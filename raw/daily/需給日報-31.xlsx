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5" rupBuild="29929"/>
  <workbookPr defaultThemeVersion="124226"/>
  <x15ac:absPath xmlns:x15ac="http://schemas.microsoft.com/office/spreadsheetml/2010/11/ac" xmlns:mc="http://schemas.openxmlformats.org/markup-compatibility/2006" url="\\Wbyakg03\d$\需給日報\需給日報template\"/>
  <xr:revisionPtr revIDLastSave="0" documentId="13_ncr:1_{529B4BA9-EABF-42C8-8562-D21F7747F34E}"/>
  <bookViews>
    <workbookView xWindow="-28920" yWindow="-120" windowWidth="29040" windowHeight="15720" tabRatio="908"/>
  </bookViews>
  <sheets>
    <sheet sheetId="1" r:id="rId1" name="當月份"/>
    <sheet sheetId="2" r:id="rId2" name="附件一(A庫存金額)"/>
    <sheet sheetId="9" r:id="rId3" name="附件二(期貨)"/>
    <sheet sheetId="8" r:id="rId4" name="當年月推移"/>
    <sheet sheetId="3" state="hidden" r:id="rId5" name="去年月推移_old"/>
    <sheet sheetId="20" r:id="rId6" name="去年月推移"/>
    <sheet sheetId="19" r:id="rId7" name="當年目標設定"/>
    <sheet sheetId="22" r:id="rId8" name="A類各進口別庫存金額目標"/>
    <sheet sheetId="23" r:id="rId9" name="日期"/>
    <sheet sheetId="5" r:id="rId10" name="庫存金額"/>
    <sheet sheetId="6" r:id="rId11" name="供應率ALL"/>
    <sheet sheetId="7" r:id="rId12" name="供應率"/>
    <sheet sheetId="11" r:id="rId13" name="點數BO"/>
    <sheet sheetId="12" r:id="rId14" name="庫存金額A類"/>
    <sheet sheetId="14" r:id="rId15" name="期貨金額"/>
    <sheet sheetId="15" r:id="rId16" name="月庫存金額"/>
    <sheet sheetId="16" r:id="rId17" name="月供應率ALL"/>
    <sheet sheetId="17" r:id="rId18" name="月供應率"/>
    <sheet sheetId="24" r:id="rId19" name="月點數BO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期貨">[1]當年月推移!$A$1:$AI$1</definedName>
    <definedName name="日期">'日期'!$A$1:$AG$3</definedName>
    <definedName name="月供應率">'月供應率'!$A$1:$P$22</definedName>
    <definedName name="月供應率ALL">'月供應率ALL'!$A$1:$O$23</definedName>
    <definedName name="月庫存金額">'月庫存金額'!$A$1:$AB$26</definedName>
    <definedName name="月點數BO">'月點數BO'!$A$1:$O$20</definedName>
    <definedName name="供應率">'供應率'!$A$1:$AI$22</definedName>
    <definedName name="供應率ALL">'供應率ALL'!$A$1:$AH$23</definedName>
    <definedName name="庫存金額">'庫存金額'!$A$1:$AI$25</definedName>
    <definedName name="庫存金額A類">'庫存金額A類'!$A$1:$AH$4</definedName>
    <definedName name="期貨金額">'期貨金額'!$A$1:$AI$21</definedName>
    <definedName name="點數BO">'點數BO'!$A$1:$AH$20</definedName>
  </definedNames>
  <calcPr calcId="191029" calcMode="manual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<sst xmlns="http://schemas.openxmlformats.org/spreadsheetml/2006/main" count="2882" uniqueCount="704">
  <si>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</si>
  <si>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</si>
  <si>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</si>
  <si>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</si>
  <si>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</si>
  <si>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</si>
  <si>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</si>
  <si>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</si>
  <si>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</si>
  <si>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</si>
  <si>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</si>
  <si>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</si>
  <si>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</si>
  <si>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</si>
  <si>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</si>
  <si>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</si>
  <si>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</si>
  <si>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</si>
  <si>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</si>
  <si>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</si>
  <si>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</si>
  <si>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</si>
  <si>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</si>
  <si>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</si>
  <si>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</si>
  <si>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</si>
  <si>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</si>
  <si>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</si>
  <si>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</si>
  <si>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</si>
  <si>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</si>
  <si>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</si>
  <si>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</si>
  <si>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</si>
  <si>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</si>
  <si>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</si>
  <si>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</si>
  <si>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</si>
  <si>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</si>
  <si>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</si>
  <si>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</si>
  <si>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</si>
  <si>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</si>
  <si>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</si>
  <si>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</si>
  <si>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</si>
  <si>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</si>
  <si>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</si>
  <si>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</si>
  <si>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</si>
  <si>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</si>
  <si>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</si>
  <si>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</si>
  <si>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</si>
  <si>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</si>
  <si>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</si>
  <si>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</si>
  <si>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</si>
  <si>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</si>
  <si>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</si>
  <si>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</si>
  <si>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</si>
  <si>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</si>
  <si>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</si>
  <si>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</si>
  <si>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</si>
  <si>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</si>
  <si>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</si>
  <si>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</si>
  <si>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</si>
  <si>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</si>
  <si>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</si>
  <si>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</si>
  <si>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</si>
  <si>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</si>
  <si>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</si>
  <si>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</si>
  <si>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</si>
  <si>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</si>
  <si>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</si>
  <si>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</si>
  <si>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</si>
  <si>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</si>
  <si>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</si>
  <si>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</si>
  <si>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</si>
  <si>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</si>
  <si>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</si>
  <si>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</si>
  <si>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</si>
  <si>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</si>
  <si>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</si>
  <si>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</si>
  <si>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</si>
  <si>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</si>
  <si>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</si>
  <si>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</si>
  <si>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</si>
  <si>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</si>
  <si>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</si>
  <si>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</si>
  <si>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</si>
  <si>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</si>
  <si>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</si>
  <si>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</si>
  <si>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</si>
  <si>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</si>
  <si>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</si>
  <si>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</si>
  <si>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</si>
  <si>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</si>
  <si>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</si>
  <si>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</si>
  <si>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</si>
  <si>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</si>
  <si>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</si>
  <si>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</si>
  <si>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</si>
  <si>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</si>
  <si>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</si>
  <si>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</si>
  <si>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</si>
  <si>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</si>
  <si>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</si>
  <si>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</si>
  <si>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</si>
  <si>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</si>
  <si>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</si>
  <si>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</si>
  <si>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</si>
  <si>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</si>
  <si>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</si>
  <si>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</si>
  <si>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</si>
  <si>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</si>
  <si>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</si>
  <si>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</si>
  <si>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</si>
  <si>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</si>
  <si>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</si>
  <si>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</si>
  <si>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</si>
  <si>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</si>
  <si>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</si>
  <si>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</si>
  <si>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</si>
  <si>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</si>
  <si>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</si>
  <si>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</si>
  <si>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</si>
  <si>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</si>
  <si>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</si>
  <si>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</si>
  <si>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</si>
  <si>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</si>
  <si>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</si>
  <si>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</si>
  <si>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</si>
  <si>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</si>
  <si>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</si>
  <si>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</si>
  <si>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</si>
  <si>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</si>
  <si>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</si>
  <si>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</si>
  <si>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</si>
  <si>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</si>
  <si>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</si>
  <si>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</si>
  <si>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</si>
  <si>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</si>
  <si>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</si>
  <si>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</si>
  <si>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</si>
  <si>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</si>
  <si>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</si>
  <si>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</si>
  <si>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</si>
  <si>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</si>
  <si>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</si>
  <si>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</si>
  <si>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</si>
  <si>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</si>
  <si>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</si>
  <si>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</si>
  <si>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</si>
  <si>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</si>
  <si>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</si>
  <si>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</si>
  <si>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</si>
  <si>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</si>
  <si>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</si>
  <si>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</si>
  <si>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</si>
  <si>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</si>
  <si>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</si>
  <si>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</si>
  <si>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</si>
  <si>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</si>
  <si>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</si>
  <si>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</si>
  <si>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</si>
  <si>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</si>
  <si>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</si>
  <si>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</si>
  <si>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</si>
  <si>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</si>
  <si>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</si>
  <si>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</si>
  <si>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</si>
  <si>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</si>
  <si>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</si>
  <si>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</si>
  <si>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</si>
  <si>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</si>
  <si>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</si>
  <si>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</si>
  <si>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</si>
  <si>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</si>
  <si>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</si>
  <si>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</si>
  <si>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</si>
  <si>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</si>
  <si>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</si>
  <si>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</si>
  <si>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</si>
  <si>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</si>
  <si>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</si>
  <si>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</si>
  <si>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</si>
  <si>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</si>
  <si>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</si>
  <si>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</si>
  <si>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</si>
  <si>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</si>
  <si>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</si>
  <si>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</si>
  <si>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</si>
  <si>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</si>
  <si>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</si>
  <si>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</si>
  <si>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</si>
  <si>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</si>
  <si>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</si>
  <si>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</si>
  <si>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</si>
  <si>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</si>
  <si>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</si>
  <si>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</si>
  <si>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</si>
  <si>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</si>
  <si>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</si>
  <si>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</si>
  <si>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</si>
  <si>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</si>
  <si>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</si>
  <si>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</si>
  <si>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</si>
  <si>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</si>
  <si>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</si>
  <si>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</si>
  <si>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</si>
  <si>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</si>
  <si>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</si>
  <si>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</si>
  <si>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</si>
  <si>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</si>
  <si>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</si>
  <si>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</si>
  <si>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</si>
  <si>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</si>
  <si>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</si>
  <si>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</si>
  <si>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</si>
  <si>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</si>
  <si>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</si>
  <si>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</si>
  <si>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</si>
  <si>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</si>
  <si>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</si>
  <si>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</si>
  <si>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</si>
  <si>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</si>
  <si>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</si>
  <si>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</si>
  <si>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</si>
  <si>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</si>
  <si>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</si>
  <si>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</si>
  <si>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</si>
  <si>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</si>
  <si>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</si>
  <si>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</si>
  <si>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</si>
  <si>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FRCD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</si>
  <si>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</si>
  <si>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</si>
  <si>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</si>
  <si>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</si>
  <si>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</si>
  <si>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</si>
  <si>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</si>
  <si>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</si>
  <si>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</si>
  <si>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</si>
  <si>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</si>
  <si>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</si>
  <si>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</si>
  <si>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</si>
  <si>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</si>
  <si>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</si>
  <si>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</si>
  <si>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</si>
  <si>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</si>
  <si>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</si>
  <si>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</si>
  <si>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</si>
  <si>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</si>
  <si>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</si>
  <si>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</si>
  <si>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</si>
  <si>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</si>
  <si>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</si>
  <si>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</si>
  <si>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</si>
  <si>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</si>
  <si>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DIFFAMT</t>
  </si>
  <si>
    <t>AVGAMT</t>
  </si>
  <si>
    <t>01-A</t>
  </si>
  <si>
    <t>.00</t>
  </si>
  <si>
    <t>02-D</t>
  </si>
  <si>
    <t>03-J</t>
  </si>
  <si>
    <t>04-O</t>
  </si>
  <si>
    <t>05-N</t>
  </si>
  <si>
    <t>06-C</t>
  </si>
  <si>
    <t>07-H</t>
  </si>
  <si>
    <t>08-E</t>
  </si>
  <si>
    <t>09-F</t>
  </si>
  <si>
    <t>10-P</t>
  </si>
  <si>
    <t>11-G</t>
  </si>
  <si>
    <t>12-M</t>
  </si>
  <si>
    <t>13-U</t>
  </si>
  <si>
    <t>14-L</t>
  </si>
  <si>
    <t>18-T</t>
  </si>
  <si>
    <t>19-V</t>
  </si>
  <si>
    <t>20-S</t>
  </si>
  <si>
    <t>21-Q</t>
  </si>
  <si>
    <t>162800.00</t>
  </si>
  <si>
    <t>22-2</t>
  </si>
  <si>
    <t>23-3</t>
  </si>
  <si>
    <t>24-4</t>
  </si>
  <si>
    <t>25-5</t>
  </si>
  <si>
    <t>26-6</t>
  </si>
  <si>
    <t>27-7</t>
  </si>
  <si>
    <t>AVGSR</t>
  </si>
  <si>
    <t>IMPCD</t>
  </si>
  <si>
    <t>SUMITEMS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</si>
  <si>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</si>
  <si>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</si>
  <si>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</si>
  <si>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</si>
  <si>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</si>
  <si>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</si>
  <si>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</si>
  <si>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</si>
  <si>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</si>
  <si>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</si>
  <si>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</si>
  <si>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</si>
  <si>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</si>
  <si>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</si>
  <si>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</si>
  <si>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</si>
  <si>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</si>
  <si>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</si>
  <si>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</si>
  <si>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</si>
  <si>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</si>
  <si>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</si>
  <si>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</si>
  <si>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</si>
  <si>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</si>
  <si>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</si>
  <si>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106839.00</t>
  </si>
  <si>
    <t>AVGITEMS</t>
  </si>
  <si>
    <t>SNO</t>
  </si>
  <si>
    <t>161176.00</t>
  </si>
  <si>
    <t>114778.00</t>
  </si>
  <si>
    <t>202412</t>
  </si>
  <si>
    <t>275724028.00</t>
  </si>
  <si>
    <t>274015037.00</t>
  </si>
  <si>
    <t>268835538.00</t>
  </si>
  <si>
    <t>203510851.00</t>
  </si>
  <si>
    <t>204818450.00</t>
  </si>
  <si>
    <t>203044770.00</t>
  </si>
  <si>
    <t>6251011.00</t>
  </si>
  <si>
    <t>4596540.00</t>
  </si>
  <si>
    <t>5467039.00</t>
  </si>
  <si>
    <t>9867686.00</t>
  </si>
  <si>
    <t>10286433.00</t>
  </si>
  <si>
    <t>10250984.00</t>
  </si>
  <si>
    <t>20590809.00</t>
  </si>
  <si>
    <t>19468701.00</t>
  </si>
  <si>
    <t>19856784.00</t>
  </si>
  <si>
    <t>12188965.00</t>
  </si>
  <si>
    <t>10420565.00</t>
  </si>
  <si>
    <t>10413393.00</t>
  </si>
  <si>
    <t>1687825.00</t>
  </si>
  <si>
    <t>1625230.00</t>
  </si>
  <si>
    <t>1565475.00</t>
  </si>
  <si>
    <t>2029081.00</t>
  </si>
  <si>
    <t>1958784.00</t>
  </si>
  <si>
    <t>2026897.00</t>
  </si>
  <si>
    <t>212328.00</t>
  </si>
  <si>
    <t>210168.00</t>
  </si>
  <si>
    <t>187298.00</t>
  </si>
  <si>
    <t>3523222.00</t>
  </si>
  <si>
    <t>3452026.00</t>
  </si>
  <si>
    <t>3401770.00</t>
  </si>
  <si>
    <t>6381701.00</t>
  </si>
  <si>
    <t>6279719.00</t>
  </si>
  <si>
    <t>5978593.00</t>
  </si>
  <si>
    <t>12432559.00</t>
  </si>
  <si>
    <t>12098147.00</t>
  </si>
  <si>
    <t>11641411.00</t>
  </si>
  <si>
    <t>8808880.00</t>
  </si>
  <si>
    <t>8758173.00</t>
  </si>
  <si>
    <t>8721497.00</t>
  </si>
  <si>
    <t>9890075.00</t>
  </si>
  <si>
    <t>8408894.00</t>
  </si>
  <si>
    <t>8148562.00</t>
  </si>
  <si>
    <t>2660114.00</t>
  </si>
  <si>
    <t>3266742.00</t>
  </si>
  <si>
    <t>2830952.00</t>
  </si>
  <si>
    <t>MTDT</t>
  </si>
  <si>
    <t>270748480.00</t>
  </si>
  <si>
    <t>272909004.00</t>
  </si>
  <si>
    <t>277259307.00</t>
  </si>
  <si>
    <t>270302358.00</t>
  </si>
  <si>
    <t>270271671.00</t>
  </si>
  <si>
    <t>270641795.00</t>
  </si>
  <si>
    <t>268101474.00</t>
  </si>
  <si>
    <t>268325581.00</t>
  </si>
  <si>
    <t>265895099.00</t>
  </si>
  <si>
    <t>269690607.00</t>
  </si>
  <si>
    <t>269693657.00</t>
  </si>
  <si>
    <t>268327831.00</t>
  </si>
  <si>
    <t>-1365826.00</t>
  </si>
  <si>
    <t>270716097.80</t>
  </si>
  <si>
    <t>204623669.00</t>
  </si>
  <si>
    <t>208497218.00</t>
  </si>
  <si>
    <t>213814499.00</t>
  </si>
  <si>
    <t>210308244.00</t>
  </si>
  <si>
    <t>210301325.00</t>
  </si>
  <si>
    <t>212554877.00</t>
  </si>
  <si>
    <t>212887724.00</t>
  </si>
  <si>
    <t>210687902.00</t>
  </si>
  <si>
    <t>208786683.00</t>
  </si>
  <si>
    <t>210753682.00</t>
  </si>
  <si>
    <t>210423305.00</t>
  </si>
  <si>
    <t>-330377.00</t>
  </si>
  <si>
    <t>209051125.40</t>
  </si>
  <si>
    <t>6169820.00</t>
  </si>
  <si>
    <t>5509489.00</t>
  </si>
  <si>
    <t>5955988.00</t>
  </si>
  <si>
    <t>3675714.00</t>
  </si>
  <si>
    <t>2812912.00</t>
  </si>
  <si>
    <t>4633832.00</t>
  </si>
  <si>
    <t>3970477.00</t>
  </si>
  <si>
    <t>5518455.00</t>
  </si>
  <si>
    <t>5809653.00</t>
  </si>
  <si>
    <t>5044396.67</t>
  </si>
  <si>
    <t>10363358.00</t>
  </si>
  <si>
    <t>10491032.00</t>
  </si>
  <si>
    <t>10601022.00</t>
  </si>
  <si>
    <t>10586961.00</t>
  </si>
  <si>
    <t>10830440.00</t>
  </si>
  <si>
    <t>10814779.00</t>
  </si>
  <si>
    <t>10830659.00</t>
  </si>
  <si>
    <t>10797406.00</t>
  </si>
  <si>
    <t>10782400.00</t>
  </si>
  <si>
    <t>10779340.00</t>
  </si>
  <si>
    <t>-3060.00</t>
  </si>
  <si>
    <t>10576790.73</t>
  </si>
  <si>
    <t>19638833.00</t>
  </si>
  <si>
    <t>20924871.00</t>
  </si>
  <si>
    <t>21528774.00</t>
  </si>
  <si>
    <t>19009883.00</t>
  </si>
  <si>
    <t>19006863.00</t>
  </si>
  <si>
    <t>18719761.00</t>
  </si>
  <si>
    <t>20229090.00</t>
  </si>
  <si>
    <t>20970784.00</t>
  </si>
  <si>
    <t>20217155.00</t>
  </si>
  <si>
    <t>18549218.00</t>
  </si>
  <si>
    <t>18473465.00</t>
  </si>
  <si>
    <t>-75753.00</t>
  </si>
  <si>
    <t>19715613.93</t>
  </si>
  <si>
    <t>11892467.00</t>
  </si>
  <si>
    <t>12075670.00</t>
  </si>
  <si>
    <t>11874048.00</t>
  </si>
  <si>
    <t>7702089.00</t>
  </si>
  <si>
    <t>6760506.00</t>
  </si>
  <si>
    <t>7594787.00</t>
  </si>
  <si>
    <t>8958655.00</t>
  </si>
  <si>
    <t>9995670.00</t>
  </si>
  <si>
    <t>9502950.00</t>
  </si>
  <si>
    <t>9470261.00</t>
  </si>
  <si>
    <t>-32689.00</t>
  </si>
  <si>
    <t>9737004.33</t>
  </si>
  <si>
    <t>1525335.00</t>
  </si>
  <si>
    <t>1472730.00</t>
  </si>
  <si>
    <t>1467475.00</t>
  </si>
  <si>
    <t>1436601.00</t>
  </si>
  <si>
    <t>1377701.00</t>
  </si>
  <si>
    <t>1326686.00</t>
  </si>
  <si>
    <t>1306881.00</t>
  </si>
  <si>
    <t>1650966.00</t>
  </si>
  <si>
    <t>1643801.00</t>
  </si>
  <si>
    <t>1520727.27</t>
  </si>
  <si>
    <t>181839.00</t>
  </si>
  <si>
    <t>111839.00</t>
  </si>
  <si>
    <t>2108689.00</t>
  </si>
  <si>
    <t>2159149.00</t>
  </si>
  <si>
    <t>2330163.00</t>
  </si>
  <si>
    <t>2054274.00</t>
  </si>
  <si>
    <t>1243525.00</t>
  </si>
  <si>
    <t>1711077.00</t>
  </si>
  <si>
    <t>1406327.00</t>
  </si>
  <si>
    <t>1694790.00</t>
  </si>
  <si>
    <t>1599916.00</t>
  </si>
  <si>
    <t>1544760.00</t>
  </si>
  <si>
    <t>-55156.00</t>
  </si>
  <si>
    <t>1834774.80</t>
  </si>
  <si>
    <t>228338.00</t>
  </si>
  <si>
    <t>225028.00</t>
  </si>
  <si>
    <t>220628.00</t>
  </si>
  <si>
    <t>214448.00</t>
  </si>
  <si>
    <t>288708.00</t>
  </si>
  <si>
    <t>286548.00</t>
  </si>
  <si>
    <t>275268.00</t>
  </si>
  <si>
    <t>266438.00</t>
  </si>
  <si>
    <t>261088.00</t>
  </si>
  <si>
    <t>240860.67</t>
  </si>
  <si>
    <t>3271941.00</t>
  </si>
  <si>
    <t>3179805.00</t>
  </si>
  <si>
    <t>3083480.00</t>
  </si>
  <si>
    <t>2999720.00</t>
  </si>
  <si>
    <t>2903395.00</t>
  </si>
  <si>
    <t>2861514.00</t>
  </si>
  <si>
    <t>2802883.00</t>
  </si>
  <si>
    <t>2761191.00</t>
  </si>
  <si>
    <t>2652302.00</t>
  </si>
  <si>
    <t>2635550.00</t>
  </si>
  <si>
    <t>-16752.00</t>
  </si>
  <si>
    <t>3012054.73</t>
  </si>
  <si>
    <t>5712116.00</t>
  </si>
  <si>
    <t>5730174.00</t>
  </si>
  <si>
    <t>6000689.00</t>
  </si>
  <si>
    <t>5209268.00</t>
  </si>
  <si>
    <t>4695212.00</t>
  </si>
  <si>
    <t>4695711.00</t>
  </si>
  <si>
    <t>4351168.00</t>
  </si>
  <si>
    <t>5088389.00</t>
  </si>
  <si>
    <t>5249817.00</t>
  </si>
  <si>
    <t>5231547.00</t>
  </si>
  <si>
    <t>-18270.00</t>
  </si>
  <si>
    <t>5404212.60</t>
  </si>
  <si>
    <t>11477714.00</t>
  </si>
  <si>
    <t>12725353.00</t>
  </si>
  <si>
    <t>13331021.00</t>
  </si>
  <si>
    <t>12371050.00</t>
  </si>
  <si>
    <t>12095648.00</t>
  </si>
  <si>
    <t>12398315.00</t>
  </si>
  <si>
    <t>11742340.00</t>
  </si>
  <si>
    <t>12061188.00</t>
  </si>
  <si>
    <t>11703303.00</t>
  </si>
  <si>
    <t>11707417.00</t>
  </si>
  <si>
    <t>11686819.00</t>
  </si>
  <si>
    <t>-20598.00</t>
  </si>
  <si>
    <t>12122889.00</t>
  </si>
  <si>
    <t>8680232.00</t>
  </si>
  <si>
    <t>8643507.00</t>
  </si>
  <si>
    <t>8625524.00</t>
  </si>
  <si>
    <t>8575184.00</t>
  </si>
  <si>
    <t>8502998.00</t>
  </si>
  <si>
    <t>8475776.00</t>
  </si>
  <si>
    <t>8467141.00</t>
  </si>
  <si>
    <t>8423486.00</t>
  </si>
  <si>
    <t>8372327.00</t>
  </si>
  <si>
    <t>8368647.00</t>
  </si>
  <si>
    <t>-3680.00</t>
  </si>
  <si>
    <t>8558058.87</t>
  </si>
  <si>
    <t>10075839.00</t>
  </si>
  <si>
    <t>8643692.00</t>
  </si>
  <si>
    <t>10160181.00</t>
  </si>
  <si>
    <t>8484502.00</t>
  </si>
  <si>
    <t>7059338.00</t>
  </si>
  <si>
    <t>9374553.00</t>
  </si>
  <si>
    <t>7740490.00</t>
  </si>
  <si>
    <t>6342694.00</t>
  </si>
  <si>
    <t>7855995.00</t>
  </si>
  <si>
    <t>7793916.00</t>
  </si>
  <si>
    <t>-62079.00</t>
  </si>
  <si>
    <t>8421281.87</t>
  </si>
  <si>
    <t>2698941.00</t>
  </si>
  <si>
    <t>2755905.00</t>
  </si>
  <si>
    <t>2601899.00</t>
  </si>
  <si>
    <t>2611409.00</t>
  </si>
  <si>
    <t>4782958.00</t>
  </si>
  <si>
    <t>4622872.00</t>
  </si>
  <si>
    <t>4781752.00</t>
  </si>
  <si>
    <t>4995336.00</t>
  </si>
  <si>
    <t>4854550.00</t>
  </si>
  <si>
    <t>3718929.27</t>
  </si>
  <si>
    <t>ㄧ、庫存金額日推移123</t>
    <phoneticPr fontId="2" type="noConversion"/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</si>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</sst>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byakg03\d$\Users\alexkuo\Desktop\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14" activePane="bottomRight" state="frozen"/>
      <selection pane="topRight" activeCell="F1" sqref="F1"/>
      <selection pane="bottomLeft" activeCell="A5" sqref="A5"/>
      <selection pane="bottomRight" activeCell="K55" sqref="K55"/>
    </sheetView>
  </sheetViews>
  <sheetFormatPr defaultColWidth="10" defaultRowHeight="23.15" customHeight="1"/>
  <cols>
    <col min="1" max="2" width="1.90625" style="2" customWidth="1"/>
    <col min="3" max="3" width="35.453125" style="71" customWidth="1"/>
    <col min="4" max="4" width="19" style="300" bestFit="1" customWidth="1"/>
    <col min="5" max="6" width="17.7265625" style="300" bestFit="1" customWidth="1"/>
    <col min="7" max="8" width="20.08984375" style="5" bestFit="1" customWidth="1"/>
    <col min="9" max="9" width="17.7265625" style="5" bestFit="1" customWidth="1"/>
    <col min="10" max="11" width="17.7265625" style="5" customWidth="1"/>
    <col min="12" max="12" width="16.453125" style="5" customWidth="1"/>
    <col min="13" max="39" width="17.7265625" style="5" customWidth="1"/>
    <col min="40" max="40" width="18.6328125" style="5" customWidth="1"/>
    <col min="41" max="41" width="17.26953125" style="2" customWidth="1"/>
    <col min="42" max="43" width="17.7265625" style="2" customWidth="1"/>
    <col min="44" max="44" width="13.269531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5" customHeight="1" thickBot="1">
      <c r="A2" s="7" t="s">
        <v>614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09" t="s">
        <v>0</v>
      </c>
      <c r="B3" s="610"/>
      <c r="C3" s="611"/>
      <c r="D3" s="472" t="str">
        <f>YEAR(日期!C2)-1&amp;"/"&amp;MONTH(日期!C2)</f>
        <v>1899/1</v>
      </c>
      <c r="E3" s="472" t="str">
        <f>YEAR(日期!C2)&amp;"/"&amp;MONTH(日期!C2)</f>
        <v>1900/1</v>
      </c>
      <c r="F3" s="473">
        <f>YEAR(日期!C2)</f>
        <v>1900</v>
      </c>
      <c r="G3" s="473">
        <f>YEAR(日期!C2)</f>
        <v>1900</v>
      </c>
      <c r="H3" s="473">
        <f>YEAR(日期!C2)</f>
        <v>1900</v>
      </c>
      <c r="I3" s="490">
        <f>日期!C2</f>
        <v>0</v>
      </c>
      <c r="J3" s="490">
        <f>日期!D2</f>
        <v>0</v>
      </c>
      <c r="K3" s="490">
        <f>日期!E2</f>
        <v>0</v>
      </c>
      <c r="L3" s="490">
        <f>日期!F2</f>
        <v>0</v>
      </c>
      <c r="M3" s="490">
        <f>日期!G2</f>
        <v>0</v>
      </c>
      <c r="N3" s="490">
        <f>日期!H2</f>
        <v>0</v>
      </c>
      <c r="O3" s="490">
        <f>日期!I2</f>
        <v>0</v>
      </c>
      <c r="P3" s="490">
        <f>日期!J2</f>
        <v>0</v>
      </c>
      <c r="Q3" s="490">
        <f>日期!K2</f>
        <v>0</v>
      </c>
      <c r="R3" s="490">
        <f>日期!L2</f>
        <v>0</v>
      </c>
      <c r="S3" s="490">
        <f>日期!M2</f>
        <v>0</v>
      </c>
      <c r="T3" s="490">
        <f>日期!N2</f>
        <v>0</v>
      </c>
      <c r="U3" s="490">
        <f>日期!O2</f>
        <v>0</v>
      </c>
      <c r="V3" s="490">
        <f>日期!P2</f>
        <v>0</v>
      </c>
      <c r="W3" s="490">
        <f>日期!Q2</f>
        <v>0</v>
      </c>
      <c r="X3" s="490">
        <f>日期!R2</f>
        <v>0</v>
      </c>
      <c r="Y3" s="490">
        <f>日期!S2</f>
        <v>0</v>
      </c>
      <c r="Z3" s="490">
        <f>日期!T2</f>
        <v>0</v>
      </c>
      <c r="AA3" s="490">
        <f>日期!U2</f>
        <v>0</v>
      </c>
      <c r="AB3" s="490">
        <f>日期!V2</f>
        <v>0</v>
      </c>
      <c r="AC3" s="490">
        <f>日期!W2</f>
        <v>0</v>
      </c>
      <c r="AD3" s="490">
        <f>日期!X2</f>
        <v>0</v>
      </c>
      <c r="AE3" s="490">
        <f>日期!Y2</f>
        <v>0</v>
      </c>
      <c r="AF3" s="490">
        <f>日期!Z2</f>
        <v>0</v>
      </c>
      <c r="AG3" s="490">
        <f>日期!AA2</f>
        <v>0</v>
      </c>
      <c r="AH3" s="490">
        <f>日期!AB2</f>
        <v>0</v>
      </c>
      <c r="AI3" s="490">
        <f>日期!AC2</f>
        <v>0</v>
      </c>
      <c r="AJ3" s="490">
        <f>日期!AD2</f>
        <v>0</v>
      </c>
      <c r="AK3" s="490">
        <f>日期!AE2</f>
        <v>0</v>
      </c>
      <c r="AL3" s="490">
        <f>日期!AF2</f>
        <v>0</v>
      </c>
      <c r="AM3" s="490">
        <f>日期!AG2</f>
        <v>0</v>
      </c>
      <c r="AN3" s="565" t="s">
        <v>1</v>
      </c>
      <c r="AO3" s="607" t="s">
        <v>2</v>
      </c>
    </row>
    <row r="4" spans="1:44" s="14" customFormat="1" ht="21.4" customHeight="1" thickBot="1">
      <c r="A4" s="612"/>
      <c r="B4" s="613"/>
      <c r="C4" s="614"/>
      <c r="D4" s="468" t="s">
        <v>3</v>
      </c>
      <c r="E4" s="468" t="s">
        <v>4</v>
      </c>
      <c r="F4" s="478" t="s">
        <v>5</v>
      </c>
      <c r="G4" s="478" t="s">
        <v>6</v>
      </c>
      <c r="H4" s="478" t="s">
        <v>7</v>
      </c>
      <c r="I4" s="12">
        <f>日期!C3</f>
        <v>0</v>
      </c>
      <c r="J4" s="12">
        <f>日期!D3</f>
        <v>0</v>
      </c>
      <c r="K4" s="12">
        <f>日期!E3</f>
        <v>0</v>
      </c>
      <c r="L4" s="12">
        <f>日期!F3</f>
        <v>0</v>
      </c>
      <c r="M4" s="12">
        <f>日期!G3</f>
        <v>0</v>
      </c>
      <c r="N4" s="12">
        <f>日期!H3</f>
        <v>0</v>
      </c>
      <c r="O4" s="12">
        <f>日期!I3</f>
        <v>0</v>
      </c>
      <c r="P4" s="12">
        <f>日期!J3</f>
        <v>0</v>
      </c>
      <c r="Q4" s="12">
        <f>日期!K3</f>
        <v>0</v>
      </c>
      <c r="R4" s="12">
        <f>日期!L3</f>
        <v>0</v>
      </c>
      <c r="S4" s="12">
        <f>日期!M3</f>
        <v>0</v>
      </c>
      <c r="T4" s="12">
        <f>日期!N3</f>
        <v>0</v>
      </c>
      <c r="U4" s="12">
        <f>日期!O3</f>
        <v>0</v>
      </c>
      <c r="V4" s="12">
        <f>日期!P3</f>
        <v>0</v>
      </c>
      <c r="W4" s="12">
        <f>日期!Q3</f>
        <v>0</v>
      </c>
      <c r="X4" s="12">
        <f>日期!R3</f>
        <v>0</v>
      </c>
      <c r="Y4" s="12">
        <f>日期!S3</f>
        <v>0</v>
      </c>
      <c r="Z4" s="12">
        <f>日期!T3</f>
        <v>0</v>
      </c>
      <c r="AA4" s="12">
        <f>日期!U3</f>
        <v>0</v>
      </c>
      <c r="AB4" s="12">
        <f>日期!V3</f>
        <v>0</v>
      </c>
      <c r="AC4" s="12">
        <f>日期!W3</f>
        <v>0</v>
      </c>
      <c r="AD4" s="12">
        <f>日期!X3</f>
        <v>0</v>
      </c>
      <c r="AE4" s="12">
        <f>日期!Y3</f>
        <v>0</v>
      </c>
      <c r="AF4" s="12">
        <f>日期!Z3</f>
        <v>0</v>
      </c>
      <c r="AG4" s="12">
        <f>日期!AA3</f>
        <v>0</v>
      </c>
      <c r="AH4" s="12">
        <f>日期!AB3</f>
        <v>0</v>
      </c>
      <c r="AI4" s="12">
        <f>日期!AC3</f>
        <v>0</v>
      </c>
      <c r="AJ4" s="12">
        <f>日期!AD3</f>
        <v>0</v>
      </c>
      <c r="AK4" s="12">
        <f>日期!AE3</f>
        <v>0</v>
      </c>
      <c r="AL4" s="12">
        <f>日期!AF3</f>
        <v>0</v>
      </c>
      <c r="AM4" s="12">
        <f>日期!AG3</f>
        <v>0</v>
      </c>
      <c r="AN4" s="600"/>
      <c r="AO4" s="608"/>
      <c r="AP4" s="13"/>
      <c r="AQ4" s="13"/>
    </row>
    <row r="5" spans="1:44" s="18" customFormat="1" ht="22" customHeight="1">
      <c r="A5" s="615" t="s">
        <v>8</v>
      </c>
      <c r="B5" s="616"/>
      <c r="C5" s="617"/>
      <c r="D5" s="301">
        <f>D6+D13+D18+D26</f>
        <v>596571295.68322504</v>
      </c>
      <c r="E5" s="301">
        <f>E6+E13+E18+E26</f>
        <v>633135858.08545041</v>
      </c>
      <c r="F5" s="301">
        <f>F6+F13+F18+F26</f>
        <v>0</v>
      </c>
      <c r="G5" s="15">
        <f>G6+G13+G18+G26</f>
        <v>0</v>
      </c>
      <c r="H5" s="15">
        <f>H6+H13+H18+H26</f>
        <v>0</v>
      </c>
      <c r="I5" s="15">
        <f t="shared" ref="I5:AM5" si="0">I6+I13+I18+I26</f>
        <v>572781506</v>
      </c>
      <c r="J5" s="15">
        <f t="shared" si="0"/>
        <v>566757176</v>
      </c>
      <c r="K5" s="15">
        <f t="shared" si="0"/>
        <v>559514786</v>
      </c>
      <c r="L5" s="15">
        <f t="shared" si="0"/>
        <v>566489424</v>
      </c>
      <c r="M5" s="15">
        <f t="shared" si="0"/>
        <v>573308415</v>
      </c>
      <c r="N5" s="15">
        <f t="shared" si="0"/>
        <v>586316811</v>
      </c>
      <c r="O5" s="15">
        <f t="shared" si="0"/>
        <v>563087578</v>
      </c>
      <c r="P5" s="15">
        <f t="shared" si="0"/>
        <v>563046952</v>
      </c>
      <c r="Q5" s="15">
        <f t="shared" si="0"/>
        <v>562911972</v>
      </c>
      <c r="R5" s="15">
        <f t="shared" si="0"/>
        <v>567698817</v>
      </c>
      <c r="S5" s="15">
        <f t="shared" si="0"/>
        <v>564436018</v>
      </c>
      <c r="T5" s="15">
        <f t="shared" si="0"/>
        <v>562279348</v>
      </c>
      <c r="U5" s="15">
        <f t="shared" si="0"/>
        <v>567174900</v>
      </c>
      <c r="V5" s="15">
        <f t="shared" si="0"/>
        <v>567182064</v>
      </c>
      <c r="W5" s="15">
        <f t="shared" si="0"/>
        <v>565214576</v>
      </c>
      <c r="X5" s="15">
        <f t="shared" si="0"/>
        <v>0</v>
      </c>
      <c r="Y5" s="15">
        <f t="shared" si="0"/>
        <v>0</v>
      </c>
      <c r="Z5" s="15">
        <f t="shared" si="0"/>
        <v>0</v>
      </c>
      <c r="AA5" s="15">
        <f t="shared" si="0"/>
        <v>0</v>
      </c>
      <c r="AB5" s="15">
        <f t="shared" si="0"/>
        <v>0</v>
      </c>
      <c r="AC5" s="15">
        <f t="shared" si="0"/>
        <v>0</v>
      </c>
      <c r="AD5" s="15">
        <f t="shared" si="0"/>
        <v>0</v>
      </c>
      <c r="AE5" s="15">
        <f t="shared" si="0"/>
        <v>0</v>
      </c>
      <c r="AF5" s="15">
        <f t="shared" si="0"/>
        <v>0</v>
      </c>
      <c r="AG5" s="15">
        <f t="shared" si="0"/>
        <v>0</v>
      </c>
      <c r="AH5" s="15">
        <f t="shared" si="0"/>
        <v>0</v>
      </c>
      <c r="AI5" s="15">
        <f t="shared" si="0"/>
        <v>0</v>
      </c>
      <c r="AJ5" s="15">
        <f t="shared" si="0"/>
        <v>0</v>
      </c>
      <c r="AK5" s="15">
        <f t="shared" si="0"/>
        <v>0</v>
      </c>
      <c r="AL5" s="15">
        <f t="shared" si="0"/>
        <v>0</v>
      </c>
      <c r="AM5" s="15">
        <f t="shared" si="0"/>
        <v>0</v>
      </c>
      <c r="AN5" s="487">
        <f>AN6+AN13+AN18+AN26</f>
        <v>-1967488</v>
      </c>
      <c r="AO5" s="238">
        <f>AO6+AO13+AO18+AO26</f>
        <v>567213356.21000004</v>
      </c>
      <c r="AP5" s="16">
        <f t="shared" ref="AP5:AP13" si="1">AJ5/10000</f>
        <v>0</v>
      </c>
      <c r="AQ5" s="17">
        <f t="shared" ref="AQ5:AQ13" si="2">AO5/10000</f>
        <v>56721.335621000006</v>
      </c>
    </row>
    <row r="6" spans="1:44" s="14" customFormat="1" ht="22" customHeight="1">
      <c r="A6" s="19"/>
      <c r="B6" s="618" t="s">
        <v>9</v>
      </c>
      <c r="C6" s="619"/>
      <c r="D6" s="287">
        <f t="shared" ref="D6:I6" si="3">SUM(D7:D12)</f>
        <v>342216230.34000003</v>
      </c>
      <c r="E6" s="287">
        <f t="shared" si="3"/>
        <v>346273480.29676729</v>
      </c>
      <c r="F6" s="287">
        <f t="shared" si="3"/>
        <v>0</v>
      </c>
      <c r="G6" s="20">
        <f>SUM(G7:G12)</f>
        <v>0</v>
      </c>
      <c r="H6" s="20">
        <f t="shared" si="3"/>
        <v>0</v>
      </c>
      <c r="I6" s="20">
        <f t="shared" si="3"/>
        <v>324622499</v>
      </c>
      <c r="J6" s="20">
        <f>SUM(J7:J12)</f>
        <v>318787276</v>
      </c>
      <c r="K6" s="20">
        <f>SUM(K7:K12)</f>
        <v>314823738</v>
      </c>
      <c r="L6" s="20">
        <f t="shared" ref="L6:AO6" si="4">SUM(L7:L12)</f>
        <v>318812958</v>
      </c>
      <c r="M6" s="20">
        <f t="shared" si="4"/>
        <v>321910066</v>
      </c>
      <c r="N6" s="20">
        <f t="shared" si="4"/>
        <v>327219139</v>
      </c>
      <c r="O6" s="20">
        <f t="shared" si="4"/>
        <v>311277005</v>
      </c>
      <c r="P6" s="20">
        <f t="shared" si="4"/>
        <v>311243298</v>
      </c>
      <c r="Q6" s="20">
        <f t="shared" si="4"/>
        <v>309765414</v>
      </c>
      <c r="R6" s="20">
        <f t="shared" si="4"/>
        <v>311373962</v>
      </c>
      <c r="S6" s="20">
        <f t="shared" si="4"/>
        <v>313056156</v>
      </c>
      <c r="T6" s="20">
        <f t="shared" si="4"/>
        <v>312423785</v>
      </c>
      <c r="U6" s="20">
        <f t="shared" si="4"/>
        <v>314334828</v>
      </c>
      <c r="V6" s="20">
        <f t="shared" si="4"/>
        <v>314337878</v>
      </c>
      <c r="W6" s="20">
        <f t="shared" si="4"/>
        <v>312860550</v>
      </c>
      <c r="X6" s="20">
        <f t="shared" si="4"/>
        <v>0</v>
      </c>
      <c r="Y6" s="20">
        <f t="shared" si="4"/>
        <v>0</v>
      </c>
      <c r="Z6" s="20">
        <f t="shared" si="4"/>
        <v>0</v>
      </c>
      <c r="AA6" s="20">
        <f t="shared" si="4"/>
        <v>0</v>
      </c>
      <c r="AB6" s="20">
        <f t="shared" si="4"/>
        <v>0</v>
      </c>
      <c r="AC6" s="20">
        <f t="shared" si="4"/>
        <v>0</v>
      </c>
      <c r="AD6" s="20">
        <f t="shared" si="4"/>
        <v>0</v>
      </c>
      <c r="AE6" s="20">
        <f t="shared" si="4"/>
        <v>0</v>
      </c>
      <c r="AF6" s="20">
        <f t="shared" si="4"/>
        <v>0</v>
      </c>
      <c r="AG6" s="20">
        <f t="shared" si="4"/>
        <v>0</v>
      </c>
      <c r="AH6" s="20">
        <f t="shared" si="4"/>
        <v>0</v>
      </c>
      <c r="AI6" s="20">
        <f t="shared" si="4"/>
        <v>0</v>
      </c>
      <c r="AJ6" s="20">
        <f t="shared" si="4"/>
        <v>0</v>
      </c>
      <c r="AK6" s="20">
        <f t="shared" si="4"/>
        <v>0</v>
      </c>
      <c r="AL6" s="20">
        <f t="shared" si="4"/>
        <v>0</v>
      </c>
      <c r="AM6" s="20">
        <f t="shared" si="4"/>
        <v>0</v>
      </c>
      <c r="AN6" s="488">
        <f t="shared" si="4"/>
        <v>-1477328</v>
      </c>
      <c r="AO6" s="21">
        <f t="shared" si="4"/>
        <v>315789903.46000004</v>
      </c>
      <c r="AP6" s="16">
        <f t="shared" si="1"/>
        <v>0</v>
      </c>
      <c r="AQ6" s="17">
        <f t="shared" si="2"/>
        <v>31578.990346000002</v>
      </c>
      <c r="AR6" s="22"/>
    </row>
    <row r="7" spans="1:44" s="14" customFormat="1" ht="22" customHeight="1">
      <c r="A7" s="23"/>
      <c r="B7" s="24"/>
      <c r="C7" s="25" t="s">
        <v>10</v>
      </c>
      <c r="D7" s="309">
        <f>HLOOKUP(MONTH(日期!$C$2),去年月推移!$D$1:$O$33,5,TRUE)</f>
        <v>292895572.44999999</v>
      </c>
      <c r="E7" s="309">
        <f>HLOOKUP(MONTH(日期!$C$2),當年目標設定!$D$1:$O$33,5,TRUE)</f>
        <v>293879556.33795047</v>
      </c>
      <c r="F7" s="308">
        <f>HLOOKUP(MONTH(日期!$C$2),當年目標設定!$R$1:$AC$33,5,TRUE)</f>
        <v>0</v>
      </c>
      <c r="G7" s="308">
        <f>當年月推移!P5</f>
        <v>0</v>
      </c>
      <c r="H7" s="308">
        <f>當年月推移!P39</f>
        <v>0</v>
      </c>
      <c r="I7" s="27">
        <f>VALUE(庫存金額!C2)</f>
        <v>275724028</v>
      </c>
      <c r="J7" s="27">
        <f>VALUE(庫存金額!D2)</f>
        <v>274015037</v>
      </c>
      <c r="K7" s="27">
        <f>VALUE(庫存金額!E2)</f>
        <v>268835538</v>
      </c>
      <c r="L7" s="27">
        <f>VALUE(庫存金額!F2)</f>
        <v>270748480</v>
      </c>
      <c r="M7" s="27">
        <f>VALUE(庫存金額!G2)</f>
        <v>272909004</v>
      </c>
      <c r="N7" s="27">
        <f>VALUE(庫存金額!H2)</f>
        <v>277259307</v>
      </c>
      <c r="O7" s="27">
        <f>VALUE(庫存金額!I2)</f>
        <v>270302358</v>
      </c>
      <c r="P7" s="27">
        <f>VALUE(庫存金額!J2)</f>
        <v>270271671</v>
      </c>
      <c r="Q7" s="27">
        <f>VALUE(庫存金額!K2)</f>
        <v>270641795</v>
      </c>
      <c r="R7" s="27">
        <f>VALUE(庫存金額!L2)</f>
        <v>268101474</v>
      </c>
      <c r="S7" s="27">
        <f>VALUE(庫存金額!M2)</f>
        <v>268325581</v>
      </c>
      <c r="T7" s="27">
        <f>VALUE(庫存金額!N2)</f>
        <v>265895099</v>
      </c>
      <c r="U7" s="27">
        <f>VALUE(庫存金額!O2)</f>
        <v>269690607</v>
      </c>
      <c r="V7" s="27">
        <f>VALUE(庫存金額!P2)</f>
        <v>269693657</v>
      </c>
      <c r="W7" s="27">
        <f>VALUE(庫存金額!Q2)</f>
        <v>268327831</v>
      </c>
      <c r="X7" s="27">
        <f>VALUE(庫存金額!R2)</f>
        <v>0</v>
      </c>
      <c r="Y7" s="27">
        <f>VALUE(庫存金額!S2)</f>
        <v>0</v>
      </c>
      <c r="Z7" s="27">
        <f>VALUE(庫存金額!T2)</f>
        <v>0</v>
      </c>
      <c r="AA7" s="27">
        <f>VALUE(庫存金額!U2)</f>
        <v>0</v>
      </c>
      <c r="AB7" s="27">
        <f>VALUE(庫存金額!V2)</f>
        <v>0</v>
      </c>
      <c r="AC7" s="27">
        <f>VALUE(庫存金額!W2)</f>
        <v>0</v>
      </c>
      <c r="AD7" s="27">
        <f>VALUE(庫存金額!X2)</f>
        <v>0</v>
      </c>
      <c r="AE7" s="27">
        <f>VALUE(庫存金額!Y2)</f>
        <v>0</v>
      </c>
      <c r="AF7" s="27">
        <f>VALUE(庫存金額!Z2)</f>
        <v>0</v>
      </c>
      <c r="AG7" s="27">
        <f>VALUE(庫存金額!AA2)</f>
        <v>0</v>
      </c>
      <c r="AH7" s="27">
        <f>VALUE(庫存金額!AB2)</f>
        <v>0</v>
      </c>
      <c r="AI7" s="27">
        <f>VALUE(庫存金額!AC2)</f>
        <v>0</v>
      </c>
      <c r="AJ7" s="27">
        <f>VALUE(庫存金額!AD2)</f>
        <v>0</v>
      </c>
      <c r="AK7" s="27">
        <f>VALUE(庫存金額!AE2)</f>
        <v>0</v>
      </c>
      <c r="AL7" s="27">
        <f>VALUE(庫存金額!AF2)</f>
        <v>0</v>
      </c>
      <c r="AM7" s="27">
        <f>VALUE(庫存金額!AG2)</f>
        <v>0</v>
      </c>
      <c r="AN7" s="27">
        <f>VALUE(庫存金額!AH2)</f>
        <v>-1365826</v>
      </c>
      <c r="AO7" s="27">
        <f>VALUE(庫存金額!AI2)</f>
        <v>270716097.80000001</v>
      </c>
      <c r="AP7" s="16">
        <f t="shared" si="1"/>
        <v>0</v>
      </c>
      <c r="AQ7" s="17">
        <f t="shared" si="2"/>
        <v>27071.609780000003</v>
      </c>
      <c r="AR7" s="22"/>
    </row>
    <row r="8" spans="1:44" s="14" customFormat="1" ht="22" customHeight="1">
      <c r="A8" s="23"/>
      <c r="B8" s="24"/>
      <c r="C8" s="25" t="s">
        <v>11</v>
      </c>
      <c r="D8" s="309">
        <f>HLOOKUP(MONTH(日期!$C$2),去年月推移!$D$1:$O$33,6,TRUE)</f>
        <v>6894022.4800000004</v>
      </c>
      <c r="E8" s="309">
        <f>HLOOKUP(MONTH(日期!$C$2),當年目標設定!$D$1:$O$33,6,TRUE)</f>
        <v>6579748.1000000006</v>
      </c>
      <c r="F8" s="308">
        <f>HLOOKUP(MONTH(日期!$C$2),當年目標設定!$R$1:$AC$33,6,TRUE)</f>
        <v>0</v>
      </c>
      <c r="G8" s="308">
        <f>當年月推移!$P6</f>
        <v>0</v>
      </c>
      <c r="H8" s="308">
        <f>當年月推移!P40</f>
        <v>0</v>
      </c>
      <c r="I8" s="27">
        <f>VALUE(庫存金額!C4)</f>
        <v>6251011</v>
      </c>
      <c r="J8" s="27">
        <f>VALUE(庫存金額!D4)</f>
        <v>4596540</v>
      </c>
      <c r="K8" s="27">
        <f>VALUE(庫存金額!E4)</f>
        <v>5467039</v>
      </c>
      <c r="L8" s="27">
        <f>VALUE(庫存金額!F4)</f>
        <v>6169820</v>
      </c>
      <c r="M8" s="27">
        <f>VALUE(庫存金額!G4)</f>
        <v>5509489</v>
      </c>
      <c r="N8" s="27">
        <f>VALUE(庫存金額!H4)</f>
        <v>5955988</v>
      </c>
      <c r="O8" s="27">
        <f>VALUE(庫存金額!I4)</f>
        <v>3675714</v>
      </c>
      <c r="P8" s="27">
        <f>VALUE(庫存金額!J4)</f>
        <v>3675714</v>
      </c>
      <c r="Q8" s="27">
        <f>VALUE(庫存金額!K4)</f>
        <v>2812912</v>
      </c>
      <c r="R8" s="27">
        <f>VALUE(庫存金額!L4)</f>
        <v>4633832</v>
      </c>
      <c r="S8" s="27">
        <f>VALUE(庫存金額!M4)</f>
        <v>3970477</v>
      </c>
      <c r="T8" s="27">
        <f>VALUE(庫存金額!N4)</f>
        <v>5518455</v>
      </c>
      <c r="U8" s="27">
        <f>VALUE(庫存金額!O4)</f>
        <v>5809653</v>
      </c>
      <c r="V8" s="27">
        <f>VALUE(庫存金額!P4)</f>
        <v>5809653</v>
      </c>
      <c r="W8" s="27">
        <f>VALUE(庫存金額!Q4)</f>
        <v>5809653</v>
      </c>
      <c r="X8" s="27">
        <f>VALUE(庫存金額!R4)</f>
        <v>0</v>
      </c>
      <c r="Y8" s="27">
        <f>VALUE(庫存金額!S4)</f>
        <v>0</v>
      </c>
      <c r="Z8" s="27">
        <f>VALUE(庫存金額!T4)</f>
        <v>0</v>
      </c>
      <c r="AA8" s="27">
        <f>VALUE(庫存金額!U4)</f>
        <v>0</v>
      </c>
      <c r="AB8" s="27">
        <f>VALUE(庫存金額!V4)</f>
        <v>0</v>
      </c>
      <c r="AC8" s="27">
        <f>VALUE(庫存金額!W4)</f>
        <v>0</v>
      </c>
      <c r="AD8" s="27">
        <f>VALUE(庫存金額!X4)</f>
        <v>0</v>
      </c>
      <c r="AE8" s="27">
        <f>VALUE(庫存金額!Y4)</f>
        <v>0</v>
      </c>
      <c r="AF8" s="27">
        <f>VALUE(庫存金額!Z4)</f>
        <v>0</v>
      </c>
      <c r="AG8" s="27">
        <f>VALUE(庫存金額!AA4)</f>
        <v>0</v>
      </c>
      <c r="AH8" s="27">
        <f>VALUE(庫存金額!AB4)</f>
        <v>0</v>
      </c>
      <c r="AI8" s="27">
        <f>VALUE(庫存金額!AC4)</f>
        <v>0</v>
      </c>
      <c r="AJ8" s="27">
        <f>VALUE(庫存金額!AD4)</f>
        <v>0</v>
      </c>
      <c r="AK8" s="27">
        <f>VALUE(庫存金額!AE4)</f>
        <v>0</v>
      </c>
      <c r="AL8" s="27">
        <f>VALUE(庫存金額!AF4)</f>
        <v>0</v>
      </c>
      <c r="AM8" s="27">
        <f>VALUE(庫存金額!AG4)</f>
        <v>0</v>
      </c>
      <c r="AN8" s="27">
        <f>VALUE(庫存金額!AH4)</f>
        <v>0</v>
      </c>
      <c r="AO8" s="27">
        <f>VALUE(庫存金額!AI4)</f>
        <v>5044396.67</v>
      </c>
      <c r="AP8" s="16">
        <f t="shared" si="1"/>
        <v>0</v>
      </c>
      <c r="AQ8" s="17">
        <f t="shared" si="2"/>
        <v>504.43966699999999</v>
      </c>
      <c r="AR8" s="22"/>
    </row>
    <row r="9" spans="1:44" s="14" customFormat="1" ht="22" customHeight="1">
      <c r="A9" s="23"/>
      <c r="B9" s="24"/>
      <c r="C9" s="25" t="s">
        <v>12</v>
      </c>
      <c r="D9" s="309">
        <f>HLOOKUP(MONTH(日期!$C$2),去年月推移!$D$1:$O$33,7,TRUE)</f>
        <v>11103888.48</v>
      </c>
      <c r="E9" s="309">
        <f>HLOOKUP(MONTH(日期!$C$2),當年目標設定!$D$1:$O$33,7,TRUE)</f>
        <v>9358482.8399999999</v>
      </c>
      <c r="F9" s="308">
        <f>HLOOKUP(MONTH(日期!$C$2),當年目標設定!$R$1:$AC$33,7,TRUE)</f>
        <v>0</v>
      </c>
      <c r="G9" s="308">
        <f>當年月推移!$P7</f>
        <v>0</v>
      </c>
      <c r="H9" s="308">
        <f>當年月推移!P41</f>
        <v>0</v>
      </c>
      <c r="I9" s="27">
        <f>VALUE(庫存金額!C5)</f>
        <v>9867686</v>
      </c>
      <c r="J9" s="27">
        <f>VALUE(庫存金額!D5)</f>
        <v>10286433</v>
      </c>
      <c r="K9" s="27">
        <f>VALUE(庫存金額!E5)</f>
        <v>10250984</v>
      </c>
      <c r="L9" s="27">
        <f>VALUE(庫存金額!F5)</f>
        <v>10363358</v>
      </c>
      <c r="M9" s="27">
        <f>VALUE(庫存金額!G5)</f>
        <v>10491032</v>
      </c>
      <c r="N9" s="27">
        <f>VALUE(庫存金額!H5)</f>
        <v>10601022</v>
      </c>
      <c r="O9" s="27">
        <f>VALUE(庫存金額!I5)</f>
        <v>10586961</v>
      </c>
      <c r="P9" s="27">
        <f>VALUE(庫存金額!J5)</f>
        <v>10586961</v>
      </c>
      <c r="Q9" s="27">
        <f>VALUE(庫存金額!K5)</f>
        <v>10830440</v>
      </c>
      <c r="R9" s="27">
        <f>VALUE(庫存金額!L5)</f>
        <v>10814779</v>
      </c>
      <c r="S9" s="27">
        <f>VALUE(庫存金額!M5)</f>
        <v>10830659</v>
      </c>
      <c r="T9" s="27">
        <f>VALUE(庫存金額!N5)</f>
        <v>10797406</v>
      </c>
      <c r="U9" s="27">
        <f>VALUE(庫存金額!O5)</f>
        <v>10782400</v>
      </c>
      <c r="V9" s="27">
        <f>VALUE(庫存金額!P5)</f>
        <v>10782400</v>
      </c>
      <c r="W9" s="27">
        <f>VALUE(庫存金額!Q5)</f>
        <v>10779340</v>
      </c>
      <c r="X9" s="27">
        <f>VALUE(庫存金額!R5)</f>
        <v>0</v>
      </c>
      <c r="Y9" s="27">
        <f>VALUE(庫存金額!S5)</f>
        <v>0</v>
      </c>
      <c r="Z9" s="27">
        <f>VALUE(庫存金額!T5)</f>
        <v>0</v>
      </c>
      <c r="AA9" s="27">
        <f>VALUE(庫存金額!U5)</f>
        <v>0</v>
      </c>
      <c r="AB9" s="27">
        <f>VALUE(庫存金額!V5)</f>
        <v>0</v>
      </c>
      <c r="AC9" s="27">
        <f>VALUE(庫存金額!W5)</f>
        <v>0</v>
      </c>
      <c r="AD9" s="27">
        <f>VALUE(庫存金額!X5)</f>
        <v>0</v>
      </c>
      <c r="AE9" s="27">
        <f>VALUE(庫存金額!Y5)</f>
        <v>0</v>
      </c>
      <c r="AF9" s="27">
        <f>VALUE(庫存金額!Z5)</f>
        <v>0</v>
      </c>
      <c r="AG9" s="27">
        <f>VALUE(庫存金額!AA5)</f>
        <v>0</v>
      </c>
      <c r="AH9" s="27">
        <f>VALUE(庫存金額!AB5)</f>
        <v>0</v>
      </c>
      <c r="AI9" s="27">
        <f>VALUE(庫存金額!AC5)</f>
        <v>0</v>
      </c>
      <c r="AJ9" s="27">
        <f>VALUE(庫存金額!AD5)</f>
        <v>0</v>
      </c>
      <c r="AK9" s="27">
        <f>VALUE(庫存金額!AE5)</f>
        <v>0</v>
      </c>
      <c r="AL9" s="27">
        <f>VALUE(庫存金額!AF5)</f>
        <v>0</v>
      </c>
      <c r="AM9" s="27">
        <f>VALUE(庫存金額!AG5)</f>
        <v>0</v>
      </c>
      <c r="AN9" s="27">
        <f>VALUE(庫存金額!AH5)</f>
        <v>-3060</v>
      </c>
      <c r="AO9" s="27">
        <f>VALUE(庫存金額!AI5)</f>
        <v>10576790.73</v>
      </c>
      <c r="AP9" s="16">
        <f t="shared" si="1"/>
        <v>0</v>
      </c>
      <c r="AQ9" s="17">
        <f t="shared" si="2"/>
        <v>1057.679073</v>
      </c>
      <c r="AR9" s="22"/>
    </row>
    <row r="10" spans="1:44" s="14" customFormat="1" ht="22" customHeight="1">
      <c r="A10" s="23"/>
      <c r="B10" s="24"/>
      <c r="C10" s="25" t="s">
        <v>13</v>
      </c>
      <c r="D10" s="309">
        <f>HLOOKUP(MONTH(日期!$C$2),去年月推移!$D$1:$O$33,8,TRUE)</f>
        <v>21593172.870000001</v>
      </c>
      <c r="E10" s="309">
        <f>HLOOKUP(MONTH(日期!$C$2),當年目標設定!$D$1:$O$33,8,TRUE)</f>
        <v>25110082.860864751</v>
      </c>
      <c r="F10" s="308">
        <f>HLOOKUP(MONTH(日期!$C$2),當年目標設定!$R$1:$AC$33,8,TRUE)</f>
        <v>0</v>
      </c>
      <c r="G10" s="308">
        <f>當年月推移!$P8</f>
        <v>0</v>
      </c>
      <c r="H10" s="308">
        <f>當年月推移!P42</f>
        <v>0</v>
      </c>
      <c r="I10" s="27">
        <f>VALUE(庫存金額!C6)</f>
        <v>20590809</v>
      </c>
      <c r="J10" s="27">
        <f>VALUE(庫存金額!D6)</f>
        <v>19468701</v>
      </c>
      <c r="K10" s="27">
        <f>VALUE(庫存金額!E6)</f>
        <v>19856784</v>
      </c>
      <c r="L10" s="27">
        <f>VALUE(庫存金額!F6)</f>
        <v>19638833</v>
      </c>
      <c r="M10" s="27">
        <f>VALUE(庫存金額!G6)</f>
        <v>20924871</v>
      </c>
      <c r="N10" s="27">
        <f>VALUE(庫存金額!H6)</f>
        <v>21528774</v>
      </c>
      <c r="O10" s="27">
        <f>VALUE(庫存金額!I6)</f>
        <v>19009883</v>
      </c>
      <c r="P10" s="27">
        <f>VALUE(庫存金額!J6)</f>
        <v>19006863</v>
      </c>
      <c r="Q10" s="27">
        <f>VALUE(庫存金額!K6)</f>
        <v>18719761</v>
      </c>
      <c r="R10" s="27">
        <f>VALUE(庫存金額!L6)</f>
        <v>20229090</v>
      </c>
      <c r="S10" s="27">
        <f>VALUE(庫存金額!M6)</f>
        <v>20970784</v>
      </c>
      <c r="T10" s="27">
        <f>VALUE(庫存金額!N6)</f>
        <v>20217155</v>
      </c>
      <c r="U10" s="27">
        <f>VALUE(庫存金額!O6)</f>
        <v>18549218</v>
      </c>
      <c r="V10" s="27">
        <f>VALUE(庫存金額!P6)</f>
        <v>18549218</v>
      </c>
      <c r="W10" s="27">
        <f>VALUE(庫存金額!Q6)</f>
        <v>18473465</v>
      </c>
      <c r="X10" s="27">
        <f>VALUE(庫存金額!R6)</f>
        <v>0</v>
      </c>
      <c r="Y10" s="27">
        <f>VALUE(庫存金額!S6)</f>
        <v>0</v>
      </c>
      <c r="Z10" s="27">
        <f>VALUE(庫存金額!T6)</f>
        <v>0</v>
      </c>
      <c r="AA10" s="27">
        <f>VALUE(庫存金額!U6)</f>
        <v>0</v>
      </c>
      <c r="AB10" s="27">
        <f>VALUE(庫存金額!V6)</f>
        <v>0</v>
      </c>
      <c r="AC10" s="27">
        <f>VALUE(庫存金額!W6)</f>
        <v>0</v>
      </c>
      <c r="AD10" s="27">
        <f>VALUE(庫存金額!X6)</f>
        <v>0</v>
      </c>
      <c r="AE10" s="27">
        <f>VALUE(庫存金額!Y6)</f>
        <v>0</v>
      </c>
      <c r="AF10" s="27">
        <f>VALUE(庫存金額!Z6)</f>
        <v>0</v>
      </c>
      <c r="AG10" s="27">
        <f>VALUE(庫存金額!AA6)</f>
        <v>0</v>
      </c>
      <c r="AH10" s="27">
        <f>VALUE(庫存金額!AB6)</f>
        <v>0</v>
      </c>
      <c r="AI10" s="27">
        <f>VALUE(庫存金額!AC6)</f>
        <v>0</v>
      </c>
      <c r="AJ10" s="27">
        <f>VALUE(庫存金額!AD6)</f>
        <v>0</v>
      </c>
      <c r="AK10" s="27">
        <f>VALUE(庫存金額!AE6)</f>
        <v>0</v>
      </c>
      <c r="AL10" s="27">
        <f>VALUE(庫存金額!AF6)</f>
        <v>0</v>
      </c>
      <c r="AM10" s="27">
        <f>VALUE(庫存金額!AG6)</f>
        <v>0</v>
      </c>
      <c r="AN10" s="27">
        <f>VALUE(庫存金額!AH6)</f>
        <v>-75753</v>
      </c>
      <c r="AO10" s="27">
        <f>VALUE(庫存金額!AI6)</f>
        <v>19715613.93</v>
      </c>
      <c r="AP10" s="16">
        <f t="shared" si="1"/>
        <v>0</v>
      </c>
      <c r="AQ10" s="17">
        <f t="shared" si="2"/>
        <v>1971.561393</v>
      </c>
      <c r="AR10" s="22"/>
    </row>
    <row r="11" spans="1:44" s="14" customFormat="1" ht="22" customHeight="1">
      <c r="A11" s="23"/>
      <c r="B11" s="24"/>
      <c r="C11" s="25" t="s">
        <v>14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2" customHeight="1">
      <c r="A12" s="23"/>
      <c r="B12" s="28"/>
      <c r="C12" s="25" t="s">
        <v>15</v>
      </c>
      <c r="D12" s="309">
        <f>HLOOKUP(MONTH(日期!$C$2),去年月推移!$D$1:$O$33,10,TRUE)</f>
        <v>9729574.0600000005</v>
      </c>
      <c r="E12" s="309">
        <f>HLOOKUP(MONTH(日期!$C$2),當年目標設定!$D$1:$O$33,10,TRUE)</f>
        <v>11345610.157952055</v>
      </c>
      <c r="F12" s="308">
        <f>HLOOKUP(MONTH(日期!$C$2),當年目標設定!$R$1:$AC$33,10,TRUE)</f>
        <v>0</v>
      </c>
      <c r="G12" s="308">
        <f>當年月推移!$P10</f>
        <v>0</v>
      </c>
      <c r="H12" s="308">
        <f>當年月推移!P44</f>
        <v>0</v>
      </c>
      <c r="I12" s="27">
        <f>VALUE(庫存金額!C8)</f>
        <v>12188965</v>
      </c>
      <c r="J12" s="27">
        <f>VALUE(庫存金額!D8)</f>
        <v>10420565</v>
      </c>
      <c r="K12" s="27">
        <f>VALUE(庫存金額!E8)</f>
        <v>10413393</v>
      </c>
      <c r="L12" s="27">
        <f>VALUE(庫存金額!F8)</f>
        <v>11892467</v>
      </c>
      <c r="M12" s="27">
        <f>VALUE(庫存金額!G8)</f>
        <v>12075670</v>
      </c>
      <c r="N12" s="27">
        <f>VALUE(庫存金額!H8)</f>
        <v>11874048</v>
      </c>
      <c r="O12" s="27">
        <f>VALUE(庫存金額!I8)</f>
        <v>7702089</v>
      </c>
      <c r="P12" s="27">
        <f>VALUE(庫存金額!J8)</f>
        <v>7702089</v>
      </c>
      <c r="Q12" s="27">
        <f>VALUE(庫存金額!K8)</f>
        <v>6760506</v>
      </c>
      <c r="R12" s="27">
        <f>VALUE(庫存金額!L8)</f>
        <v>7594787</v>
      </c>
      <c r="S12" s="27">
        <f>VALUE(庫存金額!M8)</f>
        <v>8958655</v>
      </c>
      <c r="T12" s="27">
        <f>VALUE(庫存金額!N8)</f>
        <v>9995670</v>
      </c>
      <c r="U12" s="27">
        <f>VALUE(庫存金額!O8)</f>
        <v>9502950</v>
      </c>
      <c r="V12" s="27">
        <f>VALUE(庫存金額!P8)</f>
        <v>9502950</v>
      </c>
      <c r="W12" s="27">
        <f>VALUE(庫存金額!Q8)</f>
        <v>9470261</v>
      </c>
      <c r="X12" s="27">
        <f>VALUE(庫存金額!R8)</f>
        <v>0</v>
      </c>
      <c r="Y12" s="27">
        <f>VALUE(庫存金額!S8)</f>
        <v>0</v>
      </c>
      <c r="Z12" s="27">
        <f>VALUE(庫存金額!T8)</f>
        <v>0</v>
      </c>
      <c r="AA12" s="27">
        <f>VALUE(庫存金額!U8)</f>
        <v>0</v>
      </c>
      <c r="AB12" s="27">
        <f>VALUE(庫存金額!V8)</f>
        <v>0</v>
      </c>
      <c r="AC12" s="27">
        <f>VALUE(庫存金額!W8)</f>
        <v>0</v>
      </c>
      <c r="AD12" s="27">
        <f>VALUE(庫存金額!X8)</f>
        <v>0</v>
      </c>
      <c r="AE12" s="27">
        <f>VALUE(庫存金額!Y8)</f>
        <v>0</v>
      </c>
      <c r="AF12" s="27">
        <f>VALUE(庫存金額!Z8)</f>
        <v>0</v>
      </c>
      <c r="AG12" s="27">
        <f>VALUE(庫存金額!AA8)</f>
        <v>0</v>
      </c>
      <c r="AH12" s="27">
        <f>VALUE(庫存金額!AB8)</f>
        <v>0</v>
      </c>
      <c r="AI12" s="27">
        <f>VALUE(庫存金額!AC8)</f>
        <v>0</v>
      </c>
      <c r="AJ12" s="27">
        <f>VALUE(庫存金額!AD8)</f>
        <v>0</v>
      </c>
      <c r="AK12" s="27">
        <f>VALUE(庫存金額!AE8)</f>
        <v>0</v>
      </c>
      <c r="AL12" s="27">
        <f>VALUE(庫存金額!AF8)</f>
        <v>0</v>
      </c>
      <c r="AM12" s="27">
        <f>VALUE(庫存金額!AG8)</f>
        <v>0</v>
      </c>
      <c r="AN12" s="27">
        <f>VALUE(庫存金額!AH8)</f>
        <v>-32689</v>
      </c>
      <c r="AO12" s="27">
        <f>VALUE(庫存金額!AI8)</f>
        <v>9737004.3300000001</v>
      </c>
      <c r="AP12" s="16">
        <f t="shared" si="1"/>
        <v>0</v>
      </c>
      <c r="AQ12" s="17">
        <f t="shared" si="2"/>
        <v>973.70043299999998</v>
      </c>
      <c r="AR12" s="22"/>
    </row>
    <row r="13" spans="1:44" s="14" customFormat="1" ht="22" customHeight="1">
      <c r="A13" s="23"/>
      <c r="B13" s="620" t="s">
        <v>16</v>
      </c>
      <c r="C13" s="621"/>
      <c r="D13" s="323">
        <f t="shared" ref="D13:I13" si="5">SUM(D14:D17)</f>
        <v>11096902.23</v>
      </c>
      <c r="E13" s="323">
        <f t="shared" si="5"/>
        <v>6828523.25913525</v>
      </c>
      <c r="F13" s="323">
        <f t="shared" si="5"/>
        <v>0</v>
      </c>
      <c r="G13" s="323">
        <f t="shared" si="5"/>
        <v>0</v>
      </c>
      <c r="H13" s="323">
        <f t="shared" si="5"/>
        <v>0</v>
      </c>
      <c r="I13" s="20">
        <f t="shared" si="5"/>
        <v>11790228</v>
      </c>
      <c r="J13" s="20">
        <f t="shared" ref="J13:AO13" si="6">SUM(J14:J17)</f>
        <v>10244292</v>
      </c>
      <c r="K13" s="20">
        <f t="shared" si="6"/>
        <v>9901335</v>
      </c>
      <c r="L13" s="20">
        <f t="shared" si="6"/>
        <v>11829512</v>
      </c>
      <c r="M13" s="20">
        <f t="shared" si="6"/>
        <v>10341450</v>
      </c>
      <c r="N13" s="20">
        <f t="shared" si="6"/>
        <v>11848284</v>
      </c>
      <c r="O13" s="20">
        <f t="shared" si="6"/>
        <v>10135551</v>
      </c>
      <c r="P13" s="20">
        <f t="shared" si="6"/>
        <v>10135551</v>
      </c>
      <c r="Q13" s="20">
        <f t="shared" si="6"/>
        <v>8725747</v>
      </c>
      <c r="R13" s="20">
        <f t="shared" si="6"/>
        <v>10987787</v>
      </c>
      <c r="S13" s="20">
        <f t="shared" si="6"/>
        <v>9322639</v>
      </c>
      <c r="T13" s="20">
        <f t="shared" si="6"/>
        <v>8260098</v>
      </c>
      <c r="U13" s="20">
        <f t="shared" si="6"/>
        <v>9760884</v>
      </c>
      <c r="V13" s="20">
        <f t="shared" si="6"/>
        <v>9760884</v>
      </c>
      <c r="W13" s="20">
        <f t="shared" si="6"/>
        <v>9698805</v>
      </c>
      <c r="X13" s="20">
        <f t="shared" si="6"/>
        <v>0</v>
      </c>
      <c r="Y13" s="20">
        <f t="shared" si="6"/>
        <v>0</v>
      </c>
      <c r="Z13" s="20">
        <f t="shared" si="6"/>
        <v>0</v>
      </c>
      <c r="AA13" s="20">
        <f t="shared" si="6"/>
        <v>0</v>
      </c>
      <c r="AB13" s="20">
        <f t="shared" si="6"/>
        <v>0</v>
      </c>
      <c r="AC13" s="20">
        <f t="shared" si="6"/>
        <v>0</v>
      </c>
      <c r="AD13" s="20">
        <f t="shared" si="6"/>
        <v>0</v>
      </c>
      <c r="AE13" s="20">
        <f t="shared" si="6"/>
        <v>0</v>
      </c>
      <c r="AF13" s="20">
        <f t="shared" si="6"/>
        <v>0</v>
      </c>
      <c r="AG13" s="20">
        <f t="shared" si="6"/>
        <v>0</v>
      </c>
      <c r="AH13" s="20">
        <f t="shared" si="6"/>
        <v>0</v>
      </c>
      <c r="AI13" s="20">
        <f t="shared" si="6"/>
        <v>0</v>
      </c>
      <c r="AJ13" s="20">
        <f t="shared" si="6"/>
        <v>0</v>
      </c>
      <c r="AK13" s="20">
        <f t="shared" si="6"/>
        <v>0</v>
      </c>
      <c r="AL13" s="20">
        <f t="shared" si="6"/>
        <v>0</v>
      </c>
      <c r="AM13" s="20">
        <f t="shared" si="6"/>
        <v>0</v>
      </c>
      <c r="AN13" s="20">
        <f t="shared" si="6"/>
        <v>-62079</v>
      </c>
      <c r="AO13" s="20">
        <f t="shared" si="6"/>
        <v>10182869.809999999</v>
      </c>
      <c r="AP13" s="16">
        <f t="shared" si="1"/>
        <v>0</v>
      </c>
      <c r="AQ13" s="17">
        <f t="shared" si="2"/>
        <v>1018.2869809999999</v>
      </c>
    </row>
    <row r="14" spans="1:44" s="14" customFormat="1" ht="22" customHeight="1">
      <c r="A14" s="23"/>
      <c r="B14" s="24"/>
      <c r="C14" s="29" t="s">
        <v>17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2" customHeight="1">
      <c r="A15" s="23"/>
      <c r="B15" s="24"/>
      <c r="C15" s="29" t="s">
        <v>18</v>
      </c>
      <c r="D15" s="309">
        <f>HLOOKUP(MONTH(日期!$C$2),去年月推移!$D$1:$O$33,13,TRUE)</f>
        <v>1710555.94</v>
      </c>
      <c r="E15" s="309">
        <f>HLOOKUP(MONTH(日期!$C$2),當年目標設定!$D$1:$O$33,13,TRUE)</f>
        <v>1695987.94</v>
      </c>
      <c r="F15" s="308">
        <f>HLOOKUP(MONTH(日期!$C$2),當年目標設定!$R$1:$AC$33,13,TRUE)</f>
        <v>0</v>
      </c>
      <c r="G15" s="308">
        <f>當年月推移!P13</f>
        <v>0</v>
      </c>
      <c r="H15" s="308">
        <f>當年月推移!P47</f>
        <v>0</v>
      </c>
      <c r="I15" s="27">
        <f>VALUE(庫存金額!C10)</f>
        <v>1687825</v>
      </c>
      <c r="J15" s="27">
        <f>VALUE(庫存金額!D10)</f>
        <v>1625230</v>
      </c>
      <c r="K15" s="27">
        <f>VALUE(庫存金額!E10)</f>
        <v>1565475</v>
      </c>
      <c r="L15" s="27">
        <f>VALUE(庫存金額!F10)</f>
        <v>1525335</v>
      </c>
      <c r="M15" s="27">
        <f>VALUE(庫存金額!G10)</f>
        <v>1472730</v>
      </c>
      <c r="N15" s="27">
        <f>VALUE(庫存金額!H10)</f>
        <v>1467475</v>
      </c>
      <c r="O15" s="27">
        <f>VALUE(庫存金額!I10)</f>
        <v>1436601</v>
      </c>
      <c r="P15" s="27">
        <f>VALUE(庫存金額!J10)</f>
        <v>1436601</v>
      </c>
      <c r="Q15" s="27">
        <f>VALUE(庫存金額!K10)</f>
        <v>1377701</v>
      </c>
      <c r="R15" s="27">
        <f>VALUE(庫存金額!L10)</f>
        <v>1326686</v>
      </c>
      <c r="S15" s="27">
        <f>VALUE(庫存金額!M10)</f>
        <v>1306881</v>
      </c>
      <c r="T15" s="27">
        <f>VALUE(庫存金額!N10)</f>
        <v>1650966</v>
      </c>
      <c r="U15" s="27">
        <f>VALUE(庫存金額!O10)</f>
        <v>1643801</v>
      </c>
      <c r="V15" s="27">
        <f>VALUE(庫存金額!P10)</f>
        <v>1643801</v>
      </c>
      <c r="W15" s="27">
        <f>VALUE(庫存金額!Q10)</f>
        <v>1643801</v>
      </c>
      <c r="X15" s="27">
        <f>VALUE(庫存金額!R10)</f>
        <v>0</v>
      </c>
      <c r="Y15" s="27">
        <f>VALUE(庫存金額!S10)</f>
        <v>0</v>
      </c>
      <c r="Z15" s="27">
        <f>VALUE(庫存金額!T10)</f>
        <v>0</v>
      </c>
      <c r="AA15" s="27">
        <f>VALUE(庫存金額!U10)</f>
        <v>0</v>
      </c>
      <c r="AB15" s="27">
        <f>VALUE(庫存金額!V10)</f>
        <v>0</v>
      </c>
      <c r="AC15" s="27">
        <f>VALUE(庫存金額!W10)</f>
        <v>0</v>
      </c>
      <c r="AD15" s="27">
        <f>VALUE(庫存金額!X10)</f>
        <v>0</v>
      </c>
      <c r="AE15" s="27">
        <f>VALUE(庫存金額!Y10)</f>
        <v>0</v>
      </c>
      <c r="AF15" s="27">
        <f>VALUE(庫存金額!Z10)</f>
        <v>0</v>
      </c>
      <c r="AG15" s="27">
        <f>VALUE(庫存金額!AA10)</f>
        <v>0</v>
      </c>
      <c r="AH15" s="27">
        <f>VALUE(庫存金額!AB10)</f>
        <v>0</v>
      </c>
      <c r="AI15" s="27">
        <f>VALUE(庫存金額!AC10)</f>
        <v>0</v>
      </c>
      <c r="AJ15" s="27">
        <f>VALUE(庫存金額!AD10)</f>
        <v>0</v>
      </c>
      <c r="AK15" s="27">
        <f>VALUE(庫存金額!AE10)</f>
        <v>0</v>
      </c>
      <c r="AL15" s="27">
        <f>VALUE(庫存金額!AF10)</f>
        <v>0</v>
      </c>
      <c r="AM15" s="27">
        <f>VALUE(庫存金額!AG10)</f>
        <v>0</v>
      </c>
      <c r="AN15" s="27">
        <f>VALUE(庫存金額!AH10)</f>
        <v>0</v>
      </c>
      <c r="AO15" s="27">
        <f>VALUE(庫存金額!AI10)</f>
        <v>1520727.27</v>
      </c>
    </row>
    <row r="16" spans="1:44" s="14" customFormat="1" ht="22" customHeight="1">
      <c r="A16" s="23"/>
      <c r="B16" s="24"/>
      <c r="C16" s="30" t="s">
        <v>19</v>
      </c>
      <c r="D16" s="309">
        <f>HLOOKUP(MONTH(日期!$C$2),去年月推移!$D$1:$O$33,14,TRUE)</f>
        <v>279829.61</v>
      </c>
      <c r="E16" s="309">
        <f>HLOOKUP(MONTH(日期!$C$2),當年目標設定!$D$1:$O$33,14,TRUE)</f>
        <v>263735.70500000002</v>
      </c>
      <c r="F16" s="308">
        <f>HLOOKUP(MONTH(日期!$C$2),當年目標設定!$R$1:$AC$33,14,TRUE)</f>
        <v>0</v>
      </c>
      <c r="G16" s="308">
        <f>當年月推移!P15</f>
        <v>0</v>
      </c>
      <c r="H16" s="308">
        <f>當年月推移!P49</f>
        <v>0</v>
      </c>
      <c r="I16" s="232">
        <f>VALUE(庫存金額!C14)</f>
        <v>212328</v>
      </c>
      <c r="J16" s="232">
        <f>VALUE(庫存金額!D14)</f>
        <v>210168</v>
      </c>
      <c r="K16" s="232">
        <f>VALUE(庫存金額!E14)</f>
        <v>187298</v>
      </c>
      <c r="L16" s="232">
        <f>VALUE(庫存金額!F14)</f>
        <v>228338</v>
      </c>
      <c r="M16" s="232">
        <f>VALUE(庫存金額!G14)</f>
        <v>225028</v>
      </c>
      <c r="N16" s="232">
        <f>VALUE(庫存金額!H14)</f>
        <v>220628</v>
      </c>
      <c r="O16" s="232">
        <f>VALUE(庫存金額!I14)</f>
        <v>214448</v>
      </c>
      <c r="P16" s="232">
        <f>VALUE(庫存金額!J14)</f>
        <v>214448</v>
      </c>
      <c r="Q16" s="232">
        <f>VALUE(庫存金額!K14)</f>
        <v>288708</v>
      </c>
      <c r="R16" s="232">
        <f>VALUE(庫存金額!L14)</f>
        <v>286548</v>
      </c>
      <c r="S16" s="232">
        <f>VALUE(庫存金額!M14)</f>
        <v>275268</v>
      </c>
      <c r="T16" s="232">
        <f>VALUE(庫存金額!N14)</f>
        <v>266438</v>
      </c>
      <c r="U16" s="232">
        <f>VALUE(庫存金額!O14)</f>
        <v>261088</v>
      </c>
      <c r="V16" s="232">
        <f>VALUE(庫存金額!P14)</f>
        <v>261088</v>
      </c>
      <c r="W16" s="232">
        <f>VALUE(庫存金額!Q14)</f>
        <v>261088</v>
      </c>
      <c r="X16" s="232">
        <f>VALUE(庫存金額!R14)</f>
        <v>0</v>
      </c>
      <c r="Y16" s="232">
        <f>VALUE(庫存金額!S14)</f>
        <v>0</v>
      </c>
      <c r="Z16" s="232">
        <f>VALUE(庫存金額!T14)</f>
        <v>0</v>
      </c>
      <c r="AA16" s="232">
        <f>VALUE(庫存金額!U14)</f>
        <v>0</v>
      </c>
      <c r="AB16" s="232">
        <f>VALUE(庫存金額!V14)</f>
        <v>0</v>
      </c>
      <c r="AC16" s="232">
        <f>VALUE(庫存金額!W14)</f>
        <v>0</v>
      </c>
      <c r="AD16" s="232">
        <f>VALUE(庫存金額!X14)</f>
        <v>0</v>
      </c>
      <c r="AE16" s="232">
        <f>VALUE(庫存金額!Y14)</f>
        <v>0</v>
      </c>
      <c r="AF16" s="232">
        <f>VALUE(庫存金額!Z14)</f>
        <v>0</v>
      </c>
      <c r="AG16" s="232">
        <f>VALUE(庫存金額!AA14)</f>
        <v>0</v>
      </c>
      <c r="AH16" s="232">
        <f>VALUE(庫存金額!AB14)</f>
        <v>0</v>
      </c>
      <c r="AI16" s="232">
        <f>VALUE(庫存金額!AC14)</f>
        <v>0</v>
      </c>
      <c r="AJ16" s="232">
        <f>VALUE(庫存金額!AD14)</f>
        <v>0</v>
      </c>
      <c r="AK16" s="232">
        <f>VALUE(庫存金額!AE14)</f>
        <v>0</v>
      </c>
      <c r="AL16" s="232">
        <f>VALUE(庫存金額!AF14)</f>
        <v>0</v>
      </c>
      <c r="AM16" s="232">
        <f>VALUE(庫存金額!AG14)</f>
        <v>0</v>
      </c>
      <c r="AN16" s="232">
        <f>VALUE(庫存金額!AH14)</f>
        <v>0</v>
      </c>
      <c r="AO16" s="232">
        <f>VALUE(庫存金額!AI14)</f>
        <v>240860.67</v>
      </c>
    </row>
    <row r="17" spans="1:44" s="14" customFormat="1" ht="22" customHeight="1" thickBot="1">
      <c r="A17" s="23"/>
      <c r="B17" s="24"/>
      <c r="C17" s="286" t="s">
        <v>20</v>
      </c>
      <c r="D17" s="322">
        <f>HLOOKUP(MONTH(日期!$C$2),去年月推移!$D$1:$O$33,15,TRUE)</f>
        <v>9106516.6799999997</v>
      </c>
      <c r="E17" s="309">
        <f>HLOOKUP(MONTH(日期!$C$2),當年目標設定!$D$1:$O$33,15,TRUE)</f>
        <v>4868799.6141352504</v>
      </c>
      <c r="F17" s="308">
        <f>HLOOKUP(MONTH(日期!$C$2),當年目標設定!$R$1:$AC$33,15,TRUE)</f>
        <v>0</v>
      </c>
      <c r="G17" s="308">
        <f>當年月推移!P33</f>
        <v>0</v>
      </c>
      <c r="H17" s="308">
        <f>當年月推移!P67</f>
        <v>0</v>
      </c>
      <c r="I17" s="232">
        <f>VALUE(庫存金額!C24)</f>
        <v>9890075</v>
      </c>
      <c r="J17" s="232">
        <f>VALUE(庫存金額!D24)</f>
        <v>8408894</v>
      </c>
      <c r="K17" s="232">
        <f>VALUE(庫存金額!E24)</f>
        <v>8148562</v>
      </c>
      <c r="L17" s="232">
        <f>VALUE(庫存金額!F24)</f>
        <v>10075839</v>
      </c>
      <c r="M17" s="232">
        <f>VALUE(庫存金額!G24)</f>
        <v>8643692</v>
      </c>
      <c r="N17" s="232">
        <f>VALUE(庫存金額!H24)</f>
        <v>10160181</v>
      </c>
      <c r="O17" s="232">
        <f>VALUE(庫存金額!I24)</f>
        <v>8484502</v>
      </c>
      <c r="P17" s="232">
        <f>VALUE(庫存金額!J24)</f>
        <v>8484502</v>
      </c>
      <c r="Q17" s="232">
        <f>VALUE(庫存金額!K24)</f>
        <v>7059338</v>
      </c>
      <c r="R17" s="232">
        <f>VALUE(庫存金額!L24)</f>
        <v>9374553</v>
      </c>
      <c r="S17" s="232">
        <f>VALUE(庫存金額!M24)</f>
        <v>7740490</v>
      </c>
      <c r="T17" s="232">
        <f>VALUE(庫存金額!N24)</f>
        <v>6342694</v>
      </c>
      <c r="U17" s="232">
        <f>VALUE(庫存金額!O24)</f>
        <v>7855995</v>
      </c>
      <c r="V17" s="232">
        <f>VALUE(庫存金額!P24)</f>
        <v>7855995</v>
      </c>
      <c r="W17" s="232">
        <f>VALUE(庫存金額!Q24)</f>
        <v>7793916</v>
      </c>
      <c r="X17" s="232">
        <f>VALUE(庫存金額!R24)</f>
        <v>0</v>
      </c>
      <c r="Y17" s="232">
        <f>VALUE(庫存金額!S24)</f>
        <v>0</v>
      </c>
      <c r="Z17" s="232">
        <f>VALUE(庫存金額!T24)</f>
        <v>0</v>
      </c>
      <c r="AA17" s="232">
        <f>VALUE(庫存金額!U24)</f>
        <v>0</v>
      </c>
      <c r="AB17" s="232">
        <f>VALUE(庫存金額!V24)</f>
        <v>0</v>
      </c>
      <c r="AC17" s="232">
        <f>VALUE(庫存金額!W24)</f>
        <v>0</v>
      </c>
      <c r="AD17" s="232">
        <f>VALUE(庫存金額!X24)</f>
        <v>0</v>
      </c>
      <c r="AE17" s="232">
        <f>VALUE(庫存金額!Y24)</f>
        <v>0</v>
      </c>
      <c r="AF17" s="232">
        <f>VALUE(庫存金額!Z24)</f>
        <v>0</v>
      </c>
      <c r="AG17" s="232">
        <f>VALUE(庫存金額!AA24)</f>
        <v>0</v>
      </c>
      <c r="AH17" s="232">
        <f>VALUE(庫存金額!AB24)</f>
        <v>0</v>
      </c>
      <c r="AI17" s="232">
        <f>VALUE(庫存金額!AC24)</f>
        <v>0</v>
      </c>
      <c r="AJ17" s="232">
        <f>VALUE(庫存金額!AD24)</f>
        <v>0</v>
      </c>
      <c r="AK17" s="232">
        <f>VALUE(庫存金額!AE24)</f>
        <v>0</v>
      </c>
      <c r="AL17" s="232">
        <f>VALUE(庫存金額!AF24)</f>
        <v>0</v>
      </c>
      <c r="AM17" s="232">
        <f>VALUE(庫存金額!AG24)</f>
        <v>0</v>
      </c>
      <c r="AN17" s="232">
        <f>VALUE(庫存金額!AH24)</f>
        <v>-62079</v>
      </c>
      <c r="AO17" s="232">
        <f>VALUE(庫存金額!AI24)</f>
        <v>8421281.8699999992</v>
      </c>
    </row>
    <row r="18" spans="1:44" s="14" customFormat="1" ht="22" customHeight="1">
      <c r="A18" s="23"/>
      <c r="B18" s="628" t="s">
        <v>21</v>
      </c>
      <c r="C18" s="629"/>
      <c r="D18" s="324">
        <f t="shared" ref="D18:I18" si="7">SUM(D19:D25)</f>
        <v>242317471.21000001</v>
      </c>
      <c r="E18" s="517">
        <f t="shared" si="7"/>
        <v>280033854.52954787</v>
      </c>
      <c r="F18" s="324">
        <f t="shared" si="7"/>
        <v>0</v>
      </c>
      <c r="G18" s="317">
        <f t="shared" si="7"/>
        <v>0</v>
      </c>
      <c r="H18" s="317">
        <f t="shared" si="7"/>
        <v>0</v>
      </c>
      <c r="I18" s="237">
        <f t="shared" si="7"/>
        <v>233432711</v>
      </c>
      <c r="J18" s="237">
        <f t="shared" ref="J18:AO18" si="8">SUM(J19:J25)</f>
        <v>234182912</v>
      </c>
      <c r="K18" s="237">
        <f t="shared" si="8"/>
        <v>231682807</v>
      </c>
      <c r="L18" s="237">
        <f t="shared" si="8"/>
        <v>232872059</v>
      </c>
      <c r="M18" s="237">
        <f t="shared" si="8"/>
        <v>238025040</v>
      </c>
      <c r="N18" s="237">
        <f t="shared" si="8"/>
        <v>244371535</v>
      </c>
      <c r="O18" s="237">
        <f t="shared" si="8"/>
        <v>238787659</v>
      </c>
      <c r="P18" s="237">
        <f t="shared" si="8"/>
        <v>238780740</v>
      </c>
      <c r="Q18" s="237">
        <f t="shared" si="8"/>
        <v>239361899</v>
      </c>
      <c r="R18" s="237">
        <f t="shared" si="8"/>
        <v>240438242</v>
      </c>
      <c r="S18" s="237">
        <f t="shared" si="8"/>
        <v>236999517</v>
      </c>
      <c r="T18" s="237">
        <f t="shared" si="8"/>
        <v>236324175</v>
      </c>
      <c r="U18" s="237">
        <f t="shared" si="8"/>
        <v>237948684</v>
      </c>
      <c r="V18" s="237">
        <f t="shared" si="8"/>
        <v>237952798</v>
      </c>
      <c r="W18" s="237">
        <f t="shared" si="8"/>
        <v>237524717</v>
      </c>
      <c r="X18" s="237">
        <f t="shared" si="8"/>
        <v>0</v>
      </c>
      <c r="Y18" s="237">
        <f t="shared" si="8"/>
        <v>0</v>
      </c>
      <c r="Z18" s="237">
        <f t="shared" si="8"/>
        <v>0</v>
      </c>
      <c r="AA18" s="237">
        <f t="shared" si="8"/>
        <v>0</v>
      </c>
      <c r="AB18" s="237">
        <f t="shared" si="8"/>
        <v>0</v>
      </c>
      <c r="AC18" s="237">
        <f t="shared" si="8"/>
        <v>0</v>
      </c>
      <c r="AD18" s="237">
        <f t="shared" si="8"/>
        <v>0</v>
      </c>
      <c r="AE18" s="237">
        <f t="shared" si="8"/>
        <v>0</v>
      </c>
      <c r="AF18" s="237">
        <f t="shared" si="8"/>
        <v>0</v>
      </c>
      <c r="AG18" s="237">
        <f t="shared" si="8"/>
        <v>0</v>
      </c>
      <c r="AH18" s="237">
        <f t="shared" si="8"/>
        <v>0</v>
      </c>
      <c r="AI18" s="237">
        <f t="shared" si="8"/>
        <v>0</v>
      </c>
      <c r="AJ18" s="237">
        <f t="shared" si="8"/>
        <v>0</v>
      </c>
      <c r="AK18" s="237">
        <f t="shared" si="8"/>
        <v>0</v>
      </c>
      <c r="AL18" s="237">
        <f t="shared" si="8"/>
        <v>0</v>
      </c>
      <c r="AM18" s="237">
        <f t="shared" si="8"/>
        <v>0</v>
      </c>
      <c r="AN18" s="237">
        <f t="shared" si="8"/>
        <v>-428081</v>
      </c>
      <c r="AO18" s="237">
        <f t="shared" si="8"/>
        <v>237245699.67000002</v>
      </c>
      <c r="AP18" s="16">
        <f>AJ18/10000</f>
        <v>0</v>
      </c>
      <c r="AQ18" s="17">
        <f>AO18/10000</f>
        <v>23724.569967000003</v>
      </c>
      <c r="AR18" s="22"/>
    </row>
    <row r="19" spans="1:44" s="14" customFormat="1" ht="22" customHeight="1">
      <c r="A19" s="23"/>
      <c r="B19" s="24"/>
      <c r="C19" s="247" t="s">
        <v>22</v>
      </c>
      <c r="D19" s="309">
        <f>HLOOKUP(MONTH(日期!$C$2),去年月推移!$D$1:$O$33,17,TRUE)</f>
        <v>213813987.06</v>
      </c>
      <c r="E19" s="518">
        <f>HLOOKUP(MONTH(日期!$C$2),當年目標設定!$D$1:$O$33,17,TRUE)</f>
        <v>242678348.50187168</v>
      </c>
      <c r="F19" s="309">
        <f>HLOOKUP(MONTH(日期!$C$2),當年目標設定!$R$1:$AC$33,17,TRUE)</f>
        <v>0</v>
      </c>
      <c r="G19" s="308">
        <f>當年月推移!P17</f>
        <v>0</v>
      </c>
      <c r="H19" s="308">
        <f>當年月推移!P51</f>
        <v>0</v>
      </c>
      <c r="I19" s="27">
        <f>VALUE(庫存金額!C3)</f>
        <v>203510851</v>
      </c>
      <c r="J19" s="27">
        <f>VALUE(庫存金額!D3)</f>
        <v>204818450</v>
      </c>
      <c r="K19" s="27">
        <f>VALUE(庫存金額!E3)</f>
        <v>203044770</v>
      </c>
      <c r="L19" s="27">
        <f>VALUE(庫存金額!F3)</f>
        <v>204623669</v>
      </c>
      <c r="M19" s="27">
        <f>VALUE(庫存金額!G3)</f>
        <v>208497218</v>
      </c>
      <c r="N19" s="27">
        <f>VALUE(庫存金額!H3)</f>
        <v>213814499</v>
      </c>
      <c r="O19" s="27">
        <f>VALUE(庫存金額!I3)</f>
        <v>210308244</v>
      </c>
      <c r="P19" s="27">
        <f>VALUE(庫存金額!J3)</f>
        <v>210301325</v>
      </c>
      <c r="Q19" s="27">
        <f>VALUE(庫存金額!K3)</f>
        <v>212554877</v>
      </c>
      <c r="R19" s="27">
        <f>VALUE(庫存金額!L3)</f>
        <v>212887724</v>
      </c>
      <c r="S19" s="27">
        <f>VALUE(庫存金額!M3)</f>
        <v>210687902</v>
      </c>
      <c r="T19" s="27">
        <f>VALUE(庫存金額!N3)</f>
        <v>208786683</v>
      </c>
      <c r="U19" s="27">
        <f>VALUE(庫存金額!O3)</f>
        <v>210753682</v>
      </c>
      <c r="V19" s="27">
        <f>VALUE(庫存金額!P3)</f>
        <v>210753682</v>
      </c>
      <c r="W19" s="27">
        <f>VALUE(庫存金額!Q3)</f>
        <v>210423305</v>
      </c>
      <c r="X19" s="27">
        <f>VALUE(庫存金額!R3)</f>
        <v>0</v>
      </c>
      <c r="Y19" s="27">
        <f>VALUE(庫存金額!S3)</f>
        <v>0</v>
      </c>
      <c r="Z19" s="27">
        <f>VALUE(庫存金額!T3)</f>
        <v>0</v>
      </c>
      <c r="AA19" s="27">
        <f>VALUE(庫存金額!U3)</f>
        <v>0</v>
      </c>
      <c r="AB19" s="27">
        <f>VALUE(庫存金額!V3)</f>
        <v>0</v>
      </c>
      <c r="AC19" s="27">
        <f>VALUE(庫存金額!W3)</f>
        <v>0</v>
      </c>
      <c r="AD19" s="27">
        <f>VALUE(庫存金額!X3)</f>
        <v>0</v>
      </c>
      <c r="AE19" s="27">
        <f>VALUE(庫存金額!Y3)</f>
        <v>0</v>
      </c>
      <c r="AF19" s="27">
        <f>VALUE(庫存金額!Z3)</f>
        <v>0</v>
      </c>
      <c r="AG19" s="27">
        <f>VALUE(庫存金額!AA3)</f>
        <v>0</v>
      </c>
      <c r="AH19" s="27">
        <f>VALUE(庫存金額!AB3)</f>
        <v>0</v>
      </c>
      <c r="AI19" s="27">
        <f>VALUE(庫存金額!AC3)</f>
        <v>0</v>
      </c>
      <c r="AJ19" s="27">
        <f>VALUE(庫存金額!AD3)</f>
        <v>0</v>
      </c>
      <c r="AK19" s="27">
        <f>VALUE(庫存金額!AE3)</f>
        <v>0</v>
      </c>
      <c r="AL19" s="27">
        <f>VALUE(庫存金額!AF3)</f>
        <v>0</v>
      </c>
      <c r="AM19" s="27">
        <f>VALUE(庫存金額!AG3)</f>
        <v>0</v>
      </c>
      <c r="AN19" s="27">
        <f>VALUE(庫存金額!AH3)</f>
        <v>-330377</v>
      </c>
      <c r="AO19" s="27">
        <f>VALUE(庫存金額!AI3)</f>
        <v>209051125.40000001</v>
      </c>
    </row>
    <row r="20" spans="1:44" s="14" customFormat="1" ht="22" customHeight="1">
      <c r="A20" s="23"/>
      <c r="B20" s="24"/>
      <c r="C20" s="29" t="s">
        <v>23</v>
      </c>
      <c r="D20" s="309">
        <f>HLOOKUP(MONTH(日期!$C$2),去年月推移!$D$1:$O$33,18,TRUE)</f>
        <v>2731882.9</v>
      </c>
      <c r="E20" s="518">
        <f>HLOOKUP(MONTH(日期!$C$2),當年目標設定!$D$1:$O$33,18,TRUE)</f>
        <v>1930843.414920751</v>
      </c>
      <c r="F20" s="309">
        <f>HLOOKUP(MONTH(日期!$C$2),當年目標設定!$R$1:$AC$33,18,TRUE)</f>
        <v>0</v>
      </c>
      <c r="G20" s="308">
        <f>當年月推移!P18</f>
        <v>0</v>
      </c>
      <c r="H20" s="308">
        <f>當年月推移!P52</f>
        <v>0</v>
      </c>
      <c r="I20" s="232">
        <f>VALUE(庫存金額!C13)</f>
        <v>2029081</v>
      </c>
      <c r="J20" s="232">
        <f>VALUE(庫存金額!D13)</f>
        <v>1958784</v>
      </c>
      <c r="K20" s="232">
        <f>VALUE(庫存金額!E13)</f>
        <v>2026897</v>
      </c>
      <c r="L20" s="232">
        <f>VALUE(庫存金額!F13)</f>
        <v>2108689</v>
      </c>
      <c r="M20" s="232">
        <f>VALUE(庫存金額!G13)</f>
        <v>2159149</v>
      </c>
      <c r="N20" s="232">
        <f>VALUE(庫存金額!H13)</f>
        <v>2330163</v>
      </c>
      <c r="O20" s="232">
        <f>VALUE(庫存金額!I13)</f>
        <v>2054274</v>
      </c>
      <c r="P20" s="232">
        <f>VALUE(庫存金額!J13)</f>
        <v>2054274</v>
      </c>
      <c r="Q20" s="232">
        <f>VALUE(庫存金額!K13)</f>
        <v>1243525</v>
      </c>
      <c r="R20" s="232">
        <f>VALUE(庫存金額!L13)</f>
        <v>1711077</v>
      </c>
      <c r="S20" s="232">
        <f>VALUE(庫存金額!M13)</f>
        <v>1406327</v>
      </c>
      <c r="T20" s="232">
        <f>VALUE(庫存金額!N13)</f>
        <v>1694790</v>
      </c>
      <c r="U20" s="232">
        <f>VALUE(庫存金額!O13)</f>
        <v>1599916</v>
      </c>
      <c r="V20" s="232">
        <f>VALUE(庫存金額!P13)</f>
        <v>1599916</v>
      </c>
      <c r="W20" s="232">
        <f>VALUE(庫存金額!Q13)</f>
        <v>1544760</v>
      </c>
      <c r="X20" s="232">
        <f>VALUE(庫存金額!R13)</f>
        <v>0</v>
      </c>
      <c r="Y20" s="232">
        <f>VALUE(庫存金額!S13)</f>
        <v>0</v>
      </c>
      <c r="Z20" s="232">
        <f>VALUE(庫存金額!T13)</f>
        <v>0</v>
      </c>
      <c r="AA20" s="232">
        <f>VALUE(庫存金額!U13)</f>
        <v>0</v>
      </c>
      <c r="AB20" s="232">
        <f>VALUE(庫存金額!V13)</f>
        <v>0</v>
      </c>
      <c r="AC20" s="232">
        <f>VALUE(庫存金額!W13)</f>
        <v>0</v>
      </c>
      <c r="AD20" s="232">
        <f>VALUE(庫存金額!X13)</f>
        <v>0</v>
      </c>
      <c r="AE20" s="232">
        <f>VALUE(庫存金額!Y13)</f>
        <v>0</v>
      </c>
      <c r="AF20" s="232">
        <f>VALUE(庫存金額!Z13)</f>
        <v>0</v>
      </c>
      <c r="AG20" s="232">
        <f>VALUE(庫存金額!AA13)</f>
        <v>0</v>
      </c>
      <c r="AH20" s="232">
        <f>VALUE(庫存金額!AB13)</f>
        <v>0</v>
      </c>
      <c r="AI20" s="232">
        <f>VALUE(庫存金額!AC13)</f>
        <v>0</v>
      </c>
      <c r="AJ20" s="232">
        <f>VALUE(庫存金額!AD13)</f>
        <v>0</v>
      </c>
      <c r="AK20" s="232">
        <f>VALUE(庫存金額!AE13)</f>
        <v>0</v>
      </c>
      <c r="AL20" s="232">
        <f>VALUE(庫存金額!AF13)</f>
        <v>0</v>
      </c>
      <c r="AM20" s="232">
        <f>VALUE(庫存金額!AG13)</f>
        <v>0</v>
      </c>
      <c r="AN20" s="232">
        <f>VALUE(庫存金額!AH13)</f>
        <v>-55156</v>
      </c>
      <c r="AO20" s="232">
        <f>VALUE(庫存金額!AI13)</f>
        <v>1834774.8</v>
      </c>
    </row>
    <row r="21" spans="1:44" s="14" customFormat="1" ht="22" customHeight="1">
      <c r="A21" s="23"/>
      <c r="B21" s="24"/>
      <c r="C21" s="29" t="s">
        <v>24</v>
      </c>
      <c r="D21" s="309">
        <f>HLOOKUP(MONTH(日期!$C$2),去年月推移!$D$1:$O$33,19,TRUE)</f>
        <v>8170824.7699999996</v>
      </c>
      <c r="E21" s="518">
        <f>HLOOKUP(MONTH(日期!$C$2),當年目標設定!$D$1:$O$33,19,TRUE)</f>
        <v>17510093.952699214</v>
      </c>
      <c r="F21" s="309">
        <f>HLOOKUP(MONTH(日期!$C$2),當年目標設定!$R$1:$AC$33,19,TRUE)</f>
        <v>0</v>
      </c>
      <c r="G21" s="308">
        <f>當年月推移!P19</f>
        <v>0</v>
      </c>
      <c r="H21" s="308">
        <f>當年月推移!P53</f>
        <v>0</v>
      </c>
      <c r="I21" s="232">
        <f>VALUE(庫存金額!C18)</f>
        <v>8808880</v>
      </c>
      <c r="J21" s="232">
        <f>VALUE(庫存金額!D18)</f>
        <v>8758173</v>
      </c>
      <c r="K21" s="232">
        <f>VALUE(庫存金額!E18)</f>
        <v>8721497</v>
      </c>
      <c r="L21" s="232">
        <f>VALUE(庫存金額!F18)</f>
        <v>8680232</v>
      </c>
      <c r="M21" s="232">
        <f>VALUE(庫存金額!G18)</f>
        <v>8643507</v>
      </c>
      <c r="N21" s="232">
        <f>VALUE(庫存金額!H18)</f>
        <v>8625524</v>
      </c>
      <c r="O21" s="232">
        <f>VALUE(庫存金額!I18)</f>
        <v>8575184</v>
      </c>
      <c r="P21" s="232">
        <f>VALUE(庫存金額!J18)</f>
        <v>8575184</v>
      </c>
      <c r="Q21" s="232">
        <f>VALUE(庫存金額!K18)</f>
        <v>8502998</v>
      </c>
      <c r="R21" s="232">
        <f>VALUE(庫存金額!L18)</f>
        <v>8475776</v>
      </c>
      <c r="S21" s="232">
        <f>VALUE(庫存金額!M18)</f>
        <v>8467141</v>
      </c>
      <c r="T21" s="232">
        <f>VALUE(庫存金額!N18)</f>
        <v>8423486</v>
      </c>
      <c r="U21" s="232">
        <f>VALUE(庫存金額!O18)</f>
        <v>8372327</v>
      </c>
      <c r="V21" s="232">
        <f>VALUE(庫存金額!P18)</f>
        <v>8372327</v>
      </c>
      <c r="W21" s="232">
        <f>VALUE(庫存金額!Q18)</f>
        <v>8368647</v>
      </c>
      <c r="X21" s="232">
        <f>VALUE(庫存金額!R18)</f>
        <v>0</v>
      </c>
      <c r="Y21" s="232">
        <f>VALUE(庫存金額!S18)</f>
        <v>0</v>
      </c>
      <c r="Z21" s="232">
        <f>VALUE(庫存金額!T18)</f>
        <v>0</v>
      </c>
      <c r="AA21" s="232">
        <f>VALUE(庫存金額!U18)</f>
        <v>0</v>
      </c>
      <c r="AB21" s="232">
        <f>VALUE(庫存金額!V18)</f>
        <v>0</v>
      </c>
      <c r="AC21" s="232">
        <f>VALUE(庫存金額!W18)</f>
        <v>0</v>
      </c>
      <c r="AD21" s="232">
        <f>VALUE(庫存金額!X18)</f>
        <v>0</v>
      </c>
      <c r="AE21" s="232">
        <f>VALUE(庫存金額!Y18)</f>
        <v>0</v>
      </c>
      <c r="AF21" s="232">
        <f>VALUE(庫存金額!Z18)</f>
        <v>0</v>
      </c>
      <c r="AG21" s="232">
        <f>VALUE(庫存金額!AA18)</f>
        <v>0</v>
      </c>
      <c r="AH21" s="232">
        <f>VALUE(庫存金額!AB18)</f>
        <v>0</v>
      </c>
      <c r="AI21" s="232">
        <f>VALUE(庫存金額!AC18)</f>
        <v>0</v>
      </c>
      <c r="AJ21" s="232">
        <f>VALUE(庫存金額!AD18)</f>
        <v>0</v>
      </c>
      <c r="AK21" s="232">
        <f>VALUE(庫存金額!AE18)</f>
        <v>0</v>
      </c>
      <c r="AL21" s="232">
        <f>VALUE(庫存金額!AF18)</f>
        <v>0</v>
      </c>
      <c r="AM21" s="232">
        <f>VALUE(庫存金額!AG18)</f>
        <v>0</v>
      </c>
      <c r="AN21" s="232">
        <f>VALUE(庫存金額!AH18)</f>
        <v>-3680</v>
      </c>
      <c r="AO21" s="232">
        <f>VALUE(庫存金額!AI18)</f>
        <v>8558058.8699999992</v>
      </c>
    </row>
    <row r="22" spans="1:44" s="14" customFormat="1" ht="22" customHeight="1">
      <c r="A22" s="23"/>
      <c r="B22" s="24"/>
      <c r="C22" s="29" t="s">
        <v>25</v>
      </c>
      <c r="D22" s="309">
        <f>HLOOKUP(MONTH(日期!$C$2),去年月推移!$D$1:$O$33,20,TRUE)</f>
        <v>12592603.32</v>
      </c>
      <c r="E22" s="518">
        <f>HLOOKUP(MONTH(日期!$C$2),當年目標設定!$D$1:$O$33,20,TRUE)</f>
        <v>10860934.495993618</v>
      </c>
      <c r="F22" s="309">
        <f>HLOOKUP(MONTH(日期!$C$2),當年目標設定!$R$1:$AC$33,20,TRUE)</f>
        <v>0</v>
      </c>
      <c r="G22" s="308">
        <f>當年月推移!P20</f>
        <v>0</v>
      </c>
      <c r="H22" s="308">
        <f>當年月推移!P54</f>
        <v>0</v>
      </c>
      <c r="I22" s="232">
        <f>VALUE(庫存金額!C17)</f>
        <v>12432559</v>
      </c>
      <c r="J22" s="232">
        <f>VALUE(庫存金額!D17)</f>
        <v>12098147</v>
      </c>
      <c r="K22" s="232">
        <f>VALUE(庫存金額!E17)</f>
        <v>11641411</v>
      </c>
      <c r="L22" s="232">
        <f>VALUE(庫存金額!F17)</f>
        <v>11477714</v>
      </c>
      <c r="M22" s="232">
        <f>VALUE(庫存金額!G17)</f>
        <v>12725353</v>
      </c>
      <c r="N22" s="232">
        <f>VALUE(庫存金額!H17)</f>
        <v>13331021</v>
      </c>
      <c r="O22" s="232">
        <f>VALUE(庫存金額!I17)</f>
        <v>12371050</v>
      </c>
      <c r="P22" s="232">
        <f>VALUE(庫存金額!J17)</f>
        <v>12371050</v>
      </c>
      <c r="Q22" s="232">
        <f>VALUE(庫存金額!K17)</f>
        <v>12095648</v>
      </c>
      <c r="R22" s="232">
        <f>VALUE(庫存金額!L17)</f>
        <v>12398315</v>
      </c>
      <c r="S22" s="232">
        <f>VALUE(庫存金額!M17)</f>
        <v>11742340</v>
      </c>
      <c r="T22" s="232">
        <f>VALUE(庫存金額!N17)</f>
        <v>12061188</v>
      </c>
      <c r="U22" s="232">
        <f>VALUE(庫存金額!O17)</f>
        <v>11703303</v>
      </c>
      <c r="V22" s="232">
        <f>VALUE(庫存金額!P17)</f>
        <v>11707417</v>
      </c>
      <c r="W22" s="232">
        <f>VALUE(庫存金額!Q17)</f>
        <v>11686819</v>
      </c>
      <c r="X22" s="232">
        <f>VALUE(庫存金額!R17)</f>
        <v>0</v>
      </c>
      <c r="Y22" s="232">
        <f>VALUE(庫存金額!S17)</f>
        <v>0</v>
      </c>
      <c r="Z22" s="232">
        <f>VALUE(庫存金額!T17)</f>
        <v>0</v>
      </c>
      <c r="AA22" s="232">
        <f>VALUE(庫存金額!U17)</f>
        <v>0</v>
      </c>
      <c r="AB22" s="232">
        <f>VALUE(庫存金額!V17)</f>
        <v>0</v>
      </c>
      <c r="AC22" s="232">
        <f>VALUE(庫存金額!W17)</f>
        <v>0</v>
      </c>
      <c r="AD22" s="232">
        <f>VALUE(庫存金額!X17)</f>
        <v>0</v>
      </c>
      <c r="AE22" s="232">
        <f>VALUE(庫存金額!Y17)</f>
        <v>0</v>
      </c>
      <c r="AF22" s="232">
        <f>VALUE(庫存金額!Z17)</f>
        <v>0</v>
      </c>
      <c r="AG22" s="232">
        <f>VALUE(庫存金額!AA17)</f>
        <v>0</v>
      </c>
      <c r="AH22" s="232">
        <f>VALUE(庫存金額!AB17)</f>
        <v>0</v>
      </c>
      <c r="AI22" s="232">
        <f>VALUE(庫存金額!AC17)</f>
        <v>0</v>
      </c>
      <c r="AJ22" s="232">
        <f>VALUE(庫存金額!AD17)</f>
        <v>0</v>
      </c>
      <c r="AK22" s="232">
        <f>VALUE(庫存金額!AE17)</f>
        <v>0</v>
      </c>
      <c r="AL22" s="232">
        <f>VALUE(庫存金額!AF17)</f>
        <v>0</v>
      </c>
      <c r="AM22" s="232">
        <f>VALUE(庫存金額!AG17)</f>
        <v>0</v>
      </c>
      <c r="AN22" s="232">
        <f>VALUE(庫存金額!AH17)</f>
        <v>-20598</v>
      </c>
      <c r="AO22" s="232">
        <f>VALUE(庫存金額!AI17)</f>
        <v>12122889</v>
      </c>
    </row>
    <row r="23" spans="1:44" s="14" customFormat="1" ht="22" customHeight="1">
      <c r="A23" s="23"/>
      <c r="B23" s="24"/>
      <c r="C23" s="247" t="s">
        <v>26</v>
      </c>
      <c r="D23" s="309">
        <f>HLOOKUP(MONTH(日期!$C$2),去年月推移!$D$1:$O$33,21,TRUE)</f>
        <v>4738534.16</v>
      </c>
      <c r="E23" s="518">
        <f>HLOOKUP(MONTH(日期!$C$2),當年目標設定!$D$1:$O$33,21,TRUE)</f>
        <v>6940985.0056950701</v>
      </c>
      <c r="F23" s="309">
        <f>HLOOKUP(MONTH(日期!$C$2),當年目標設定!$R$1:$AC$33,21,TRUE)</f>
        <v>0</v>
      </c>
      <c r="G23" s="308">
        <f>當年月推移!P21</f>
        <v>0</v>
      </c>
      <c r="H23" s="308">
        <f>當年月推移!P55</f>
        <v>0</v>
      </c>
      <c r="I23" s="232">
        <f>VALUE(庫存金額!C16)</f>
        <v>6381701</v>
      </c>
      <c r="J23" s="232">
        <f>VALUE(庫存金額!D16)</f>
        <v>6279719</v>
      </c>
      <c r="K23" s="232">
        <f>VALUE(庫存金額!E16)</f>
        <v>5978593</v>
      </c>
      <c r="L23" s="232">
        <f>VALUE(庫存金額!F16)</f>
        <v>5712116</v>
      </c>
      <c r="M23" s="232">
        <f>VALUE(庫存金額!G16)</f>
        <v>5730174</v>
      </c>
      <c r="N23" s="232">
        <f>VALUE(庫存金額!H16)</f>
        <v>6000689</v>
      </c>
      <c r="O23" s="232">
        <f>VALUE(庫存金額!I16)</f>
        <v>5209268</v>
      </c>
      <c r="P23" s="232">
        <f>VALUE(庫存金額!J16)</f>
        <v>5209268</v>
      </c>
      <c r="Q23" s="232">
        <f>VALUE(庫存金額!K16)</f>
        <v>4695212</v>
      </c>
      <c r="R23" s="232">
        <f>VALUE(庫存金額!L16)</f>
        <v>4695711</v>
      </c>
      <c r="S23" s="232">
        <f>VALUE(庫存金額!M16)</f>
        <v>4351168</v>
      </c>
      <c r="T23" s="232">
        <f>VALUE(庫存金額!N16)</f>
        <v>5088389</v>
      </c>
      <c r="U23" s="232">
        <f>VALUE(庫存金額!O16)</f>
        <v>5249817</v>
      </c>
      <c r="V23" s="232">
        <f>VALUE(庫存金額!P16)</f>
        <v>5249817</v>
      </c>
      <c r="W23" s="232">
        <f>VALUE(庫存金額!Q16)</f>
        <v>5231547</v>
      </c>
      <c r="X23" s="232">
        <f>VALUE(庫存金額!R16)</f>
        <v>0</v>
      </c>
      <c r="Y23" s="232">
        <f>VALUE(庫存金額!S16)</f>
        <v>0</v>
      </c>
      <c r="Z23" s="232">
        <f>VALUE(庫存金額!T16)</f>
        <v>0</v>
      </c>
      <c r="AA23" s="232">
        <f>VALUE(庫存金額!U16)</f>
        <v>0</v>
      </c>
      <c r="AB23" s="232">
        <f>VALUE(庫存金額!V16)</f>
        <v>0</v>
      </c>
      <c r="AC23" s="232">
        <f>VALUE(庫存金額!W16)</f>
        <v>0</v>
      </c>
      <c r="AD23" s="232">
        <f>VALUE(庫存金額!X16)</f>
        <v>0</v>
      </c>
      <c r="AE23" s="232">
        <f>VALUE(庫存金額!Y16)</f>
        <v>0</v>
      </c>
      <c r="AF23" s="232">
        <f>VALUE(庫存金額!Z16)</f>
        <v>0</v>
      </c>
      <c r="AG23" s="232">
        <f>VALUE(庫存金額!AA16)</f>
        <v>0</v>
      </c>
      <c r="AH23" s="232">
        <f>VALUE(庫存金額!AB16)</f>
        <v>0</v>
      </c>
      <c r="AI23" s="232">
        <f>VALUE(庫存金額!AC16)</f>
        <v>0</v>
      </c>
      <c r="AJ23" s="232">
        <f>VALUE(庫存金額!AD16)</f>
        <v>0</v>
      </c>
      <c r="AK23" s="232">
        <f>VALUE(庫存金額!AE16)</f>
        <v>0</v>
      </c>
      <c r="AL23" s="232">
        <f>VALUE(庫存金額!AF16)</f>
        <v>0</v>
      </c>
      <c r="AM23" s="232">
        <f>VALUE(庫存金額!AG16)</f>
        <v>0</v>
      </c>
      <c r="AN23" s="232">
        <f>VALUE(庫存金額!AH16)</f>
        <v>-18270</v>
      </c>
      <c r="AO23" s="232">
        <f>VALUE(庫存金額!AI16)</f>
        <v>5404212.5999999996</v>
      </c>
    </row>
    <row r="24" spans="1:44" s="14" customFormat="1" ht="22" customHeight="1">
      <c r="A24" s="23"/>
      <c r="B24" s="24"/>
      <c r="C24" s="29" t="s">
        <v>27</v>
      </c>
      <c r="D24" s="309">
        <f>HLOOKUP(MONTH(日期!$C$2),去年月推移!$D$1:$O$33,22,TRUE)</f>
        <v>106839</v>
      </c>
      <c r="E24" s="518">
        <f>HLOOKUP(MONTH(日期!$C$2),當年目標設定!$D$1:$O$33,22,TRUE)</f>
        <v>112649.15836754908</v>
      </c>
      <c r="F24" s="309">
        <f>HLOOKUP(MONTH(日期!$C$2),當年目標設定!$R$1:$AC$33,22,TRUE)</f>
        <v>0</v>
      </c>
      <c r="G24" s="308">
        <f>當年月推移!P22</f>
        <v>0</v>
      </c>
      <c r="H24" s="308">
        <f>當年月推移!P56</f>
        <v>0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181839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0</v>
      </c>
      <c r="Y24" s="232">
        <f>VALUE(庫存金額!S11)</f>
        <v>0</v>
      </c>
      <c r="Z24" s="232">
        <f>VALUE(庫存金額!T11)</f>
        <v>0</v>
      </c>
      <c r="AA24" s="232">
        <f>VALUE(庫存金額!U11)</f>
        <v>0</v>
      </c>
      <c r="AB24" s="232">
        <f>VALUE(庫存金額!V11)</f>
        <v>0</v>
      </c>
      <c r="AC24" s="232">
        <f>VALUE(庫存金額!W11)</f>
        <v>0</v>
      </c>
      <c r="AD24" s="232">
        <f>VALUE(庫存金額!X11)</f>
        <v>0</v>
      </c>
      <c r="AE24" s="232">
        <f>VALUE(庫存金額!Y11)</f>
        <v>0</v>
      </c>
      <c r="AF24" s="232">
        <f>VALUE(庫存金額!Z11)</f>
        <v>0</v>
      </c>
      <c r="AG24" s="232">
        <f>VALUE(庫存金額!AA11)</f>
        <v>0</v>
      </c>
      <c r="AH24" s="232">
        <f>VALUE(庫存金額!AB11)</f>
        <v>0</v>
      </c>
      <c r="AI24" s="232">
        <f>VALUE(庫存金額!AC11)</f>
        <v>0</v>
      </c>
      <c r="AJ24" s="232">
        <f>VALUE(庫存金額!AD11)</f>
        <v>0</v>
      </c>
      <c r="AK24" s="232">
        <f>VALUE(庫存金額!AE11)</f>
        <v>0</v>
      </c>
      <c r="AL24" s="232">
        <f>VALUE(庫存金額!AF11)</f>
        <v>0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111839</v>
      </c>
    </row>
    <row r="25" spans="1:44" s="14" customFormat="1" ht="22" customHeight="1" thickBot="1">
      <c r="A25" s="23"/>
      <c r="B25" s="24"/>
      <c r="C25" s="30" t="s">
        <v>28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0</v>
      </c>
      <c r="H25" s="308">
        <f>當年月推移!P57</f>
        <v>0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0</v>
      </c>
      <c r="Y25" s="111">
        <f>VALUE(庫存金額!S19)</f>
        <v>0</v>
      </c>
      <c r="Z25" s="111">
        <f>VALUE(庫存金額!T19)</f>
        <v>0</v>
      </c>
      <c r="AA25" s="111">
        <f>VALUE(庫存金額!U19)</f>
        <v>0</v>
      </c>
      <c r="AB25" s="111">
        <f>VALUE(庫存金額!V19)</f>
        <v>0</v>
      </c>
      <c r="AC25" s="111">
        <f>VALUE(庫存金額!W19)</f>
        <v>0</v>
      </c>
      <c r="AD25" s="111">
        <f>VALUE(庫存金額!X19)</f>
        <v>0</v>
      </c>
      <c r="AE25" s="111">
        <f>VALUE(庫存金額!Y19)</f>
        <v>0</v>
      </c>
      <c r="AF25" s="111">
        <f>VALUE(庫存金額!Z19)</f>
        <v>0</v>
      </c>
      <c r="AG25" s="111">
        <f>VALUE(庫存金額!AA19)</f>
        <v>0</v>
      </c>
      <c r="AH25" s="111">
        <f>VALUE(庫存金額!AB19)</f>
        <v>0</v>
      </c>
      <c r="AI25" s="111">
        <f>VALUE(庫存金額!AC19)</f>
        <v>0</v>
      </c>
      <c r="AJ25" s="111">
        <f>VALUE(庫存金額!AD19)</f>
        <v>0</v>
      </c>
      <c r="AK25" s="111">
        <f>VALUE(庫存金額!AE19)</f>
        <v>0</v>
      </c>
      <c r="AL25" s="111">
        <f>VALUE(庫存金額!AF19)</f>
        <v>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2" customHeight="1">
      <c r="A26" s="23"/>
      <c r="B26" s="262"/>
      <c r="C26" s="265" t="s">
        <v>29</v>
      </c>
      <c r="D26" s="325">
        <f t="shared" ref="D26:I26" si="9">SUM(D27:D31)</f>
        <v>940691.90322500002</v>
      </c>
      <c r="E26" s="325">
        <f t="shared" si="9"/>
        <v>0</v>
      </c>
      <c r="F26" s="318">
        <f t="shared" si="9"/>
        <v>0</v>
      </c>
      <c r="G26" s="318">
        <f t="shared" si="9"/>
        <v>0</v>
      </c>
      <c r="H26" s="318">
        <f t="shared" si="9"/>
        <v>0</v>
      </c>
      <c r="I26" s="237">
        <f t="shared" si="9"/>
        <v>2936068</v>
      </c>
      <c r="J26" s="237">
        <f t="shared" ref="J26:AO26" si="10">SUM(J27:J31)</f>
        <v>3542696</v>
      </c>
      <c r="K26" s="237">
        <f t="shared" si="10"/>
        <v>3106906</v>
      </c>
      <c r="L26" s="237">
        <f t="shared" si="10"/>
        <v>2974895</v>
      </c>
      <c r="M26" s="237">
        <f t="shared" si="10"/>
        <v>3031859</v>
      </c>
      <c r="N26" s="237">
        <f t="shared" si="10"/>
        <v>2877853</v>
      </c>
      <c r="O26" s="237">
        <f t="shared" si="10"/>
        <v>2887363</v>
      </c>
      <c r="P26" s="237">
        <f t="shared" si="10"/>
        <v>2887363</v>
      </c>
      <c r="Q26" s="237">
        <f t="shared" si="10"/>
        <v>5058912</v>
      </c>
      <c r="R26" s="237">
        <f t="shared" si="10"/>
        <v>4898826</v>
      </c>
      <c r="S26" s="237">
        <f t="shared" si="10"/>
        <v>5057706</v>
      </c>
      <c r="T26" s="237">
        <f t="shared" si="10"/>
        <v>5271290</v>
      </c>
      <c r="U26" s="237">
        <f t="shared" si="10"/>
        <v>5130504</v>
      </c>
      <c r="V26" s="237">
        <f t="shared" si="10"/>
        <v>5130504</v>
      </c>
      <c r="W26" s="237">
        <f t="shared" si="10"/>
        <v>5130504</v>
      </c>
      <c r="X26" s="237">
        <f t="shared" si="10"/>
        <v>0</v>
      </c>
      <c r="Y26" s="237">
        <f t="shared" si="10"/>
        <v>0</v>
      </c>
      <c r="Z26" s="237">
        <f t="shared" si="10"/>
        <v>0</v>
      </c>
      <c r="AA26" s="237">
        <f t="shared" si="10"/>
        <v>0</v>
      </c>
      <c r="AB26" s="237">
        <f t="shared" si="10"/>
        <v>0</v>
      </c>
      <c r="AC26" s="237">
        <f t="shared" si="10"/>
        <v>0</v>
      </c>
      <c r="AD26" s="237">
        <f t="shared" si="10"/>
        <v>0</v>
      </c>
      <c r="AE26" s="237">
        <f t="shared" si="10"/>
        <v>0</v>
      </c>
      <c r="AF26" s="237">
        <f t="shared" si="10"/>
        <v>0</v>
      </c>
      <c r="AG26" s="237">
        <f t="shared" si="10"/>
        <v>0</v>
      </c>
      <c r="AH26" s="237">
        <f t="shared" si="10"/>
        <v>0</v>
      </c>
      <c r="AI26" s="237">
        <f t="shared" si="10"/>
        <v>0</v>
      </c>
      <c r="AJ26" s="237">
        <f t="shared" si="10"/>
        <v>0</v>
      </c>
      <c r="AK26" s="237">
        <f t="shared" si="10"/>
        <v>0</v>
      </c>
      <c r="AL26" s="237">
        <f t="shared" si="10"/>
        <v>0</v>
      </c>
      <c r="AM26" s="237">
        <f t="shared" si="10"/>
        <v>0</v>
      </c>
      <c r="AN26" s="237">
        <f t="shared" si="10"/>
        <v>0</v>
      </c>
      <c r="AO26" s="237">
        <f t="shared" si="10"/>
        <v>3994883.27</v>
      </c>
    </row>
    <row r="27" spans="1:44" s="14" customFormat="1" ht="22" customHeight="1">
      <c r="A27" s="23"/>
      <c r="B27" s="263"/>
      <c r="C27" s="247" t="s">
        <v>30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0</v>
      </c>
      <c r="Y27" s="27">
        <f>VALUE(庫存金額!S20)</f>
        <v>0</v>
      </c>
      <c r="Z27" s="27">
        <f>VALUE(庫存金額!T20)</f>
        <v>0</v>
      </c>
      <c r="AA27" s="27">
        <f>VALUE(庫存金額!U20)</f>
        <v>0</v>
      </c>
      <c r="AB27" s="27">
        <f>VALUE(庫存金額!V20)</f>
        <v>0</v>
      </c>
      <c r="AC27" s="27">
        <f>VALUE(庫存金額!W20)</f>
        <v>0</v>
      </c>
      <c r="AD27" s="27">
        <f>VALUE(庫存金額!X20)</f>
        <v>0</v>
      </c>
      <c r="AE27" s="27">
        <f>VALUE(庫存金額!Y20)</f>
        <v>0</v>
      </c>
      <c r="AF27" s="27">
        <f>VALUE(庫存金額!Z20)</f>
        <v>0</v>
      </c>
      <c r="AG27" s="27">
        <f>VALUE(庫存金額!AA20)</f>
        <v>0</v>
      </c>
      <c r="AH27" s="27">
        <f>VALUE(庫存金額!AB20)</f>
        <v>0</v>
      </c>
      <c r="AI27" s="27">
        <f>VALUE(庫存金額!AC20)</f>
        <v>0</v>
      </c>
      <c r="AJ27" s="27">
        <f>VALUE(庫存金額!AD20)</f>
        <v>0</v>
      </c>
      <c r="AK27" s="27">
        <f>VALUE(庫存金額!AE20)</f>
        <v>0</v>
      </c>
      <c r="AL27" s="27">
        <f>VALUE(庫存金額!AF20)</f>
        <v>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161176</v>
      </c>
    </row>
    <row r="28" spans="1:44" s="14" customFormat="1" ht="22" customHeight="1">
      <c r="A28" s="23"/>
      <c r="B28" s="263"/>
      <c r="C28" s="29" t="s">
        <v>31</v>
      </c>
      <c r="D28" s="326">
        <f>HLOOKUP(MONTH(日期!$C$2),去年月推移!$D$1:$O$33,26,TRUE)</f>
        <v>138994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114778</v>
      </c>
      <c r="J28" s="27">
        <f>VALUE(庫存金額!D21)</f>
        <v>114778</v>
      </c>
      <c r="K28" s="27">
        <f>VALUE(庫存金額!E21)</f>
        <v>114778</v>
      </c>
      <c r="L28" s="27">
        <f>VALUE(庫存金額!F21)</f>
        <v>114778</v>
      </c>
      <c r="M28" s="27">
        <f>VALUE(庫存金額!G21)</f>
        <v>114778</v>
      </c>
      <c r="N28" s="27">
        <f>VALUE(庫存金額!H21)</f>
        <v>114778</v>
      </c>
      <c r="O28" s="27">
        <f>VALUE(庫存金額!I21)</f>
        <v>114778</v>
      </c>
      <c r="P28" s="27">
        <f>VALUE(庫存金額!J21)</f>
        <v>114778</v>
      </c>
      <c r="Q28" s="27">
        <f>VALUE(庫存金額!K21)</f>
        <v>114778</v>
      </c>
      <c r="R28" s="27">
        <f>VALUE(庫存金額!L21)</f>
        <v>114778</v>
      </c>
      <c r="S28" s="27">
        <f>VALUE(庫存金額!M21)</f>
        <v>114778</v>
      </c>
      <c r="T28" s="27">
        <f>VALUE(庫存金額!N21)</f>
        <v>114778</v>
      </c>
      <c r="U28" s="27">
        <f>VALUE(庫存金額!O21)</f>
        <v>114778</v>
      </c>
      <c r="V28" s="27">
        <f>VALUE(庫存金額!P21)</f>
        <v>114778</v>
      </c>
      <c r="W28" s="27">
        <f>VALUE(庫存金額!Q21)</f>
        <v>114778</v>
      </c>
      <c r="X28" s="27">
        <f>VALUE(庫存金額!R21)</f>
        <v>0</v>
      </c>
      <c r="Y28" s="27">
        <f>VALUE(庫存金額!S21)</f>
        <v>0</v>
      </c>
      <c r="Z28" s="27">
        <f>VALUE(庫存金額!T21)</f>
        <v>0</v>
      </c>
      <c r="AA28" s="27">
        <f>VALUE(庫存金額!U21)</f>
        <v>0</v>
      </c>
      <c r="AB28" s="27">
        <f>VALUE(庫存金額!V21)</f>
        <v>0</v>
      </c>
      <c r="AC28" s="27">
        <f>VALUE(庫存金額!W21)</f>
        <v>0</v>
      </c>
      <c r="AD28" s="27">
        <f>VALUE(庫存金額!X21)</f>
        <v>0</v>
      </c>
      <c r="AE28" s="27">
        <f>VALUE(庫存金額!Y21)</f>
        <v>0</v>
      </c>
      <c r="AF28" s="27">
        <f>VALUE(庫存金額!Z21)</f>
        <v>0</v>
      </c>
      <c r="AG28" s="27">
        <f>VALUE(庫存金額!AA21)</f>
        <v>0</v>
      </c>
      <c r="AH28" s="27">
        <f>VALUE(庫存金額!AB21)</f>
        <v>0</v>
      </c>
      <c r="AI28" s="27">
        <f>VALUE(庫存金額!AC21)</f>
        <v>0</v>
      </c>
      <c r="AJ28" s="27">
        <f>VALUE(庫存金額!AD21)</f>
        <v>0</v>
      </c>
      <c r="AK28" s="27">
        <f>VALUE(庫存金額!AE21)</f>
        <v>0</v>
      </c>
      <c r="AL28" s="27">
        <f>VALUE(庫存金額!AF21)</f>
        <v>0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114778</v>
      </c>
    </row>
    <row r="29" spans="1:44" s="14" customFormat="1" ht="22" customHeight="1">
      <c r="A29" s="23"/>
      <c r="B29" s="263"/>
      <c r="C29" s="29" t="s">
        <v>32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0</v>
      </c>
      <c r="H29" s="308">
        <f>當年月推移!P61</f>
        <v>0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2" customHeight="1" thickBot="1">
      <c r="A30" s="23"/>
      <c r="B30" s="264"/>
      <c r="C30" s="29" t="s">
        <v>33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0</v>
      </c>
      <c r="H30" s="308">
        <f>當年月推移!P62</f>
        <v>0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2" customHeight="1" thickBot="1">
      <c r="A31" s="23"/>
      <c r="B31" s="289"/>
      <c r="C31" s="290" t="s">
        <v>34</v>
      </c>
      <c r="D31" s="326">
        <f>HLOOKUP(MONTH(日期!$C$2),去年月推移!$D$1:$O$33,29,TRUE)</f>
        <v>640521.90322500002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2660114</v>
      </c>
      <c r="J31" s="111">
        <f>VALUE(庫存金額!D25)</f>
        <v>3266742</v>
      </c>
      <c r="K31" s="111">
        <f>VALUE(庫存金額!E25)</f>
        <v>2830952</v>
      </c>
      <c r="L31" s="111">
        <f>VALUE(庫存金額!F25)</f>
        <v>2698941</v>
      </c>
      <c r="M31" s="111">
        <f>VALUE(庫存金額!G25)</f>
        <v>2755905</v>
      </c>
      <c r="N31" s="111">
        <f>VALUE(庫存金額!H25)</f>
        <v>2601899</v>
      </c>
      <c r="O31" s="111">
        <f>VALUE(庫存金額!I25)</f>
        <v>2611409</v>
      </c>
      <c r="P31" s="111">
        <f>VALUE(庫存金額!J25)</f>
        <v>2611409</v>
      </c>
      <c r="Q31" s="111">
        <f>VALUE(庫存金額!K25)</f>
        <v>4782958</v>
      </c>
      <c r="R31" s="111">
        <f>VALUE(庫存金額!L25)</f>
        <v>4622872</v>
      </c>
      <c r="S31" s="111">
        <f>VALUE(庫存金額!M25)</f>
        <v>4781752</v>
      </c>
      <c r="T31" s="111">
        <f>VALUE(庫存金額!N25)</f>
        <v>4995336</v>
      </c>
      <c r="U31" s="111">
        <f>VALUE(庫存金額!O25)</f>
        <v>4854550</v>
      </c>
      <c r="V31" s="111">
        <f>VALUE(庫存金額!P25)</f>
        <v>4854550</v>
      </c>
      <c r="W31" s="111">
        <f>VALUE(庫存金額!Q25)</f>
        <v>4854550</v>
      </c>
      <c r="X31" s="111">
        <f>VALUE(庫存金額!R25)</f>
        <v>0</v>
      </c>
      <c r="Y31" s="111">
        <f>VALUE(庫存金額!S25)</f>
        <v>0</v>
      </c>
      <c r="Z31" s="111">
        <f>VALUE(庫存金額!T25)</f>
        <v>0</v>
      </c>
      <c r="AA31" s="111">
        <f>VALUE(庫存金額!U25)</f>
        <v>0</v>
      </c>
      <c r="AB31" s="111">
        <f>VALUE(庫存金額!V25)</f>
        <v>0</v>
      </c>
      <c r="AC31" s="111">
        <f>VALUE(庫存金額!W25)</f>
        <v>0</v>
      </c>
      <c r="AD31" s="111">
        <f>VALUE(庫存金額!X25)</f>
        <v>0</v>
      </c>
      <c r="AE31" s="111">
        <f>VALUE(庫存金額!Y25)</f>
        <v>0</v>
      </c>
      <c r="AF31" s="111">
        <f>VALUE(庫存金額!Z25)</f>
        <v>0</v>
      </c>
      <c r="AG31" s="111">
        <f>VALUE(庫存金額!AA25)</f>
        <v>0</v>
      </c>
      <c r="AH31" s="111">
        <f>VALUE(庫存金額!AB25)</f>
        <v>0</v>
      </c>
      <c r="AI31" s="111">
        <f>VALUE(庫存金額!AC25)</f>
        <v>0</v>
      </c>
      <c r="AJ31" s="111">
        <f>VALUE(庫存金額!AD25)</f>
        <v>0</v>
      </c>
      <c r="AK31" s="111">
        <f>VALUE(庫存金額!AE25)</f>
        <v>0</v>
      </c>
      <c r="AL31" s="111">
        <f>VALUE(庫存金額!AF25)</f>
        <v>0</v>
      </c>
      <c r="AM31" s="111">
        <f>VALUE(庫存金額!AG25)</f>
        <v>0</v>
      </c>
      <c r="AN31" s="111">
        <f>VALUE(庫存金額!AH25)</f>
        <v>0</v>
      </c>
      <c r="AO31" s="111">
        <f>VALUE(庫存金額!AI25)</f>
        <v>3718929.27</v>
      </c>
    </row>
    <row r="32" spans="1:44" s="32" customFormat="1" ht="22" customHeight="1">
      <c r="A32" s="622" t="s">
        <v>35</v>
      </c>
      <c r="B32" s="623"/>
      <c r="C32" s="31" t="s">
        <v>36</v>
      </c>
      <c r="D32" s="327">
        <f>HLOOKUP(MONTH(日期!$C$2),去年月推移!$D$1:$O$33,30,TRUE)</f>
        <v>1636322.68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0</v>
      </c>
      <c r="H32" s="328">
        <f>當年月推移!P63</f>
        <v>0</v>
      </c>
      <c r="I32" s="110">
        <f>VALUE(庫存金額!C15)</f>
        <v>3523222</v>
      </c>
      <c r="J32" s="110">
        <f>VALUE(庫存金額!D15)</f>
        <v>3452026</v>
      </c>
      <c r="K32" s="110">
        <f>VALUE(庫存金額!E15)</f>
        <v>3401770</v>
      </c>
      <c r="L32" s="110">
        <f>VALUE(庫存金額!F15)</f>
        <v>3271941</v>
      </c>
      <c r="M32" s="110">
        <f>VALUE(庫存金額!G15)</f>
        <v>3179805</v>
      </c>
      <c r="N32" s="110">
        <f>VALUE(庫存金額!H15)</f>
        <v>3083480</v>
      </c>
      <c r="O32" s="110">
        <f>VALUE(庫存金額!I15)</f>
        <v>2999720</v>
      </c>
      <c r="P32" s="110">
        <f>VALUE(庫存金額!J15)</f>
        <v>2999720</v>
      </c>
      <c r="Q32" s="110">
        <f>VALUE(庫存金額!K15)</f>
        <v>2903395</v>
      </c>
      <c r="R32" s="110">
        <f>VALUE(庫存金額!L15)</f>
        <v>2861514</v>
      </c>
      <c r="S32" s="110">
        <f>VALUE(庫存金額!M15)</f>
        <v>2802883</v>
      </c>
      <c r="T32" s="110">
        <f>VALUE(庫存金額!N15)</f>
        <v>2761191</v>
      </c>
      <c r="U32" s="110">
        <f>VALUE(庫存金額!O15)</f>
        <v>2652302</v>
      </c>
      <c r="V32" s="110">
        <f>VALUE(庫存金額!P15)</f>
        <v>2652302</v>
      </c>
      <c r="W32" s="110">
        <f>VALUE(庫存金額!Q15)</f>
        <v>2635550</v>
      </c>
      <c r="X32" s="110">
        <f>VALUE(庫存金額!R15)</f>
        <v>0</v>
      </c>
      <c r="Y32" s="110">
        <f>VALUE(庫存金額!S15)</f>
        <v>0</v>
      </c>
      <c r="Z32" s="110">
        <f>VALUE(庫存金額!T15)</f>
        <v>0</v>
      </c>
      <c r="AA32" s="110">
        <f>VALUE(庫存金額!U15)</f>
        <v>0</v>
      </c>
      <c r="AB32" s="110">
        <f>VALUE(庫存金額!V15)</f>
        <v>0</v>
      </c>
      <c r="AC32" s="110">
        <f>VALUE(庫存金額!W15)</f>
        <v>0</v>
      </c>
      <c r="AD32" s="110">
        <f>VALUE(庫存金額!X15)</f>
        <v>0</v>
      </c>
      <c r="AE32" s="110">
        <f>VALUE(庫存金額!Y15)</f>
        <v>0</v>
      </c>
      <c r="AF32" s="110">
        <f>VALUE(庫存金額!Z15)</f>
        <v>0</v>
      </c>
      <c r="AG32" s="110">
        <f>VALUE(庫存金額!AA15)</f>
        <v>0</v>
      </c>
      <c r="AH32" s="110">
        <f>VALUE(庫存金額!AB15)</f>
        <v>0</v>
      </c>
      <c r="AI32" s="110">
        <f>VALUE(庫存金額!AC15)</f>
        <v>0</v>
      </c>
      <c r="AJ32" s="110">
        <f>VALUE(庫存金額!AD15)</f>
        <v>0</v>
      </c>
      <c r="AK32" s="110">
        <f>VALUE(庫存金額!AE15)</f>
        <v>0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-16752</v>
      </c>
      <c r="AO32" s="110">
        <f>VALUE(庫存金額!AI15)</f>
        <v>3012054.73</v>
      </c>
    </row>
    <row r="33" spans="1:41" s="32" customFormat="1" ht="22" customHeight="1">
      <c r="A33" s="624"/>
      <c r="B33" s="625"/>
      <c r="C33" s="33" t="s">
        <v>37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2" customHeight="1">
      <c r="A34" s="624"/>
      <c r="B34" s="625"/>
      <c r="C34" s="236" t="s">
        <v>38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0</v>
      </c>
      <c r="H34" s="328">
        <f>當年月推移!P65</f>
        <v>0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2" customHeight="1" thickBot="1">
      <c r="A35" s="626"/>
      <c r="B35" s="627"/>
      <c r="C35" s="234" t="s">
        <v>39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0</v>
      </c>
      <c r="H35" s="471">
        <f>當年月推移!P66</f>
        <v>0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5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5" customHeight="1" thickBot="1">
      <c r="A37" s="41" t="s">
        <v>40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64" t="s">
        <v>0</v>
      </c>
      <c r="B38" s="565"/>
      <c r="C38" s="565"/>
      <c r="D38" s="568" t="str">
        <f>D3</f>
        <v>1899/1</v>
      </c>
      <c r="E38" s="601" t="str">
        <f>E3</f>
        <v>1900/1</v>
      </c>
      <c r="F38" s="332"/>
      <c r="G38" s="630">
        <f>YEAR(日期!C2)</f>
        <v>1900</v>
      </c>
      <c r="H38" s="631"/>
      <c r="I38" s="490">
        <f>日期!C2</f>
        <v>0</v>
      </c>
      <c r="J38" s="490">
        <f>日期!D2</f>
        <v>0</v>
      </c>
      <c r="K38" s="490">
        <f>日期!E2</f>
        <v>0</v>
      </c>
      <c r="L38" s="490">
        <f>日期!F2</f>
        <v>0</v>
      </c>
      <c r="M38" s="490">
        <f>日期!G2</f>
        <v>0</v>
      </c>
      <c r="N38" s="490">
        <f>日期!H2</f>
        <v>0</v>
      </c>
      <c r="O38" s="490">
        <f>日期!I2</f>
        <v>0</v>
      </c>
      <c r="P38" s="490">
        <f>日期!J2</f>
        <v>0</v>
      </c>
      <c r="Q38" s="490">
        <f>日期!K2</f>
        <v>0</v>
      </c>
      <c r="R38" s="490">
        <f>日期!L2</f>
        <v>0</v>
      </c>
      <c r="S38" s="490">
        <f>日期!M2</f>
        <v>0</v>
      </c>
      <c r="T38" s="490">
        <f>日期!N2</f>
        <v>0</v>
      </c>
      <c r="U38" s="490">
        <f>日期!O2</f>
        <v>0</v>
      </c>
      <c r="V38" s="490">
        <f>日期!P2</f>
        <v>0</v>
      </c>
      <c r="W38" s="490">
        <f>日期!Q2</f>
        <v>0</v>
      </c>
      <c r="X38" s="490">
        <f>日期!R2</f>
        <v>0</v>
      </c>
      <c r="Y38" s="490">
        <f>日期!S2</f>
        <v>0</v>
      </c>
      <c r="Z38" s="490">
        <f>日期!T2</f>
        <v>0</v>
      </c>
      <c r="AA38" s="490">
        <f>日期!U2</f>
        <v>0</v>
      </c>
      <c r="AB38" s="490">
        <f>日期!V2</f>
        <v>0</v>
      </c>
      <c r="AC38" s="490">
        <f>日期!W2</f>
        <v>0</v>
      </c>
      <c r="AD38" s="490">
        <f>日期!X2</f>
        <v>0</v>
      </c>
      <c r="AE38" s="490">
        <f>日期!Y2</f>
        <v>0</v>
      </c>
      <c r="AF38" s="490">
        <f>日期!Z2</f>
        <v>0</v>
      </c>
      <c r="AG38" s="490">
        <f>日期!AA2</f>
        <v>0</v>
      </c>
      <c r="AH38" s="490">
        <f>日期!AB2</f>
        <v>0</v>
      </c>
      <c r="AI38" s="490">
        <f>日期!AC2</f>
        <v>0</v>
      </c>
      <c r="AJ38" s="490">
        <f>日期!AD2</f>
        <v>0</v>
      </c>
      <c r="AK38" s="490">
        <f>日期!AE2</f>
        <v>0</v>
      </c>
      <c r="AL38" s="490">
        <f>日期!AF2</f>
        <v>0</v>
      </c>
      <c r="AM38" s="490">
        <f>日期!AG2</f>
        <v>0</v>
      </c>
      <c r="AN38" s="560" t="s">
        <v>41</v>
      </c>
    </row>
    <row r="39" spans="1:41" s="14" customFormat="1" ht="24" customHeight="1" thickBot="1">
      <c r="A39" s="599"/>
      <c r="B39" s="600"/>
      <c r="C39" s="600"/>
      <c r="D39" s="569"/>
      <c r="E39" s="602"/>
      <c r="F39" s="333"/>
      <c r="G39" s="632" t="s">
        <v>42</v>
      </c>
      <c r="H39" s="633"/>
      <c r="I39" s="12">
        <f>日期!C3</f>
        <v>0</v>
      </c>
      <c r="J39" s="12">
        <f>日期!D3</f>
        <v>0</v>
      </c>
      <c r="K39" s="12">
        <f>日期!E3</f>
        <v>0</v>
      </c>
      <c r="L39" s="12">
        <f>日期!F3</f>
        <v>0</v>
      </c>
      <c r="M39" s="12">
        <f>日期!G3</f>
        <v>0</v>
      </c>
      <c r="N39" s="12">
        <f>日期!H3</f>
        <v>0</v>
      </c>
      <c r="O39" s="12">
        <f>日期!I3</f>
        <v>0</v>
      </c>
      <c r="P39" s="12">
        <f>日期!J3</f>
        <v>0</v>
      </c>
      <c r="Q39" s="12">
        <f>日期!K3</f>
        <v>0</v>
      </c>
      <c r="R39" s="12">
        <f>日期!L3</f>
        <v>0</v>
      </c>
      <c r="S39" s="12">
        <f>日期!M3</f>
        <v>0</v>
      </c>
      <c r="T39" s="12">
        <f>日期!N3</f>
        <v>0</v>
      </c>
      <c r="U39" s="12">
        <f>日期!O3</f>
        <v>0</v>
      </c>
      <c r="V39" s="12">
        <f>日期!P3</f>
        <v>0</v>
      </c>
      <c r="W39" s="12">
        <f>日期!Q3</f>
        <v>0</v>
      </c>
      <c r="X39" s="12">
        <f>日期!R3</f>
        <v>0</v>
      </c>
      <c r="Y39" s="12">
        <f>日期!S3</f>
        <v>0</v>
      </c>
      <c r="Z39" s="12">
        <f>日期!T3</f>
        <v>0</v>
      </c>
      <c r="AA39" s="12">
        <f>日期!U3</f>
        <v>0</v>
      </c>
      <c r="AB39" s="12">
        <f>日期!V3</f>
        <v>0</v>
      </c>
      <c r="AC39" s="12">
        <f>日期!W3</f>
        <v>0</v>
      </c>
      <c r="AD39" s="12">
        <f>日期!X3</f>
        <v>0</v>
      </c>
      <c r="AE39" s="12">
        <f>日期!Y3</f>
        <v>0</v>
      </c>
      <c r="AF39" s="12">
        <f>日期!Z3</f>
        <v>0</v>
      </c>
      <c r="AG39" s="12">
        <f>日期!AA3</f>
        <v>0</v>
      </c>
      <c r="AH39" s="12">
        <f>日期!AB3</f>
        <v>0</v>
      </c>
      <c r="AI39" s="12">
        <f>日期!AC3</f>
        <v>0</v>
      </c>
      <c r="AJ39" s="12">
        <f>日期!AD3</f>
        <v>0</v>
      </c>
      <c r="AK39" s="12">
        <f>日期!AE3</f>
        <v>0</v>
      </c>
      <c r="AL39" s="12">
        <f>日期!AF3</f>
        <v>0</v>
      </c>
      <c r="AM39" s="12">
        <f>日期!AG3</f>
        <v>0</v>
      </c>
      <c r="AN39" s="561"/>
    </row>
    <row r="40" spans="1:41" s="14" customFormat="1" ht="22" customHeight="1">
      <c r="A40" s="634" t="s">
        <v>43</v>
      </c>
      <c r="B40" s="635"/>
      <c r="C40" s="635"/>
      <c r="D40" s="272" t="str">
        <f>HLOOKUP(MONTH(日期!$C$2),去年月推移!$D$1:$O$200,98,TRUE)</f>
        <v>98.2</v>
      </c>
      <c r="E40" s="45">
        <v>97.9</v>
      </c>
      <c r="F40" s="46" t="s">
        <v>44</v>
      </c>
      <c r="G40" s="589">
        <f>ROUND(當年月推移!P99,1)</f>
        <v>0</v>
      </c>
      <c r="H40" s="590"/>
      <c r="I40" s="245">
        <f>ROUND(供應率ALL!C2,1)</f>
        <v>0</v>
      </c>
      <c r="J40" s="245">
        <f>ROUND(供應率ALL!D2,1)</f>
        <v>0</v>
      </c>
      <c r="K40" s="245">
        <f>ROUND(供應率ALL!E2,1)</f>
        <v>0</v>
      </c>
      <c r="L40" s="245">
        <f>ROUND(供應率ALL!F2,1)</f>
        <v>0</v>
      </c>
      <c r="M40" s="245">
        <f>ROUND(供應率ALL!G2,1)</f>
        <v>0</v>
      </c>
      <c r="N40" s="245">
        <f>ROUND(供應率ALL!H2,1)</f>
        <v>0</v>
      </c>
      <c r="O40" s="245">
        <f>ROUND(供應率ALL!I2,1)</f>
        <v>0</v>
      </c>
      <c r="P40" s="245">
        <f>ROUND(供應率ALL!J2,1)</f>
        <v>0</v>
      </c>
      <c r="Q40" s="245">
        <f>ROUND(供應率ALL!K2,1)</f>
        <v>0</v>
      </c>
      <c r="R40" s="245">
        <f>ROUND(供應率ALL!L2,1)</f>
        <v>0</v>
      </c>
      <c r="S40" s="245">
        <f>ROUND(供應率ALL!M2,1)</f>
        <v>0</v>
      </c>
      <c r="T40" s="245">
        <f>ROUND(供應率ALL!N2,1)</f>
        <v>0</v>
      </c>
      <c r="U40" s="245">
        <f>ROUND(供應率ALL!O2,1)</f>
        <v>0</v>
      </c>
      <c r="V40" s="245">
        <f>ROUND(供應率ALL!P2,1)</f>
        <v>0</v>
      </c>
      <c r="W40" s="245">
        <f>ROUND(供應率ALL!Q2,1)</f>
        <v>0</v>
      </c>
      <c r="X40" s="245">
        <f>ROUND(供應率ALL!R2,1)</f>
        <v>0</v>
      </c>
      <c r="Y40" s="245">
        <f>ROUND(供應率ALL!S2,1)</f>
        <v>0</v>
      </c>
      <c r="Z40" s="245">
        <f>ROUND(供應率ALL!T2,1)</f>
        <v>0</v>
      </c>
      <c r="AA40" s="245">
        <f>ROUND(供應率ALL!U2,1)</f>
        <v>0</v>
      </c>
      <c r="AB40" s="245">
        <f>ROUND(供應率ALL!V2,1)</f>
        <v>0</v>
      </c>
      <c r="AC40" s="245">
        <f>ROUND(供應率ALL!W2,1)</f>
        <v>0</v>
      </c>
      <c r="AD40" s="245">
        <f>ROUND(供應率ALL!X2,1)</f>
        <v>0</v>
      </c>
      <c r="AE40" s="245">
        <f>ROUND(供應率ALL!Y2,1)</f>
        <v>0</v>
      </c>
      <c r="AF40" s="245">
        <f>ROUND(供應率ALL!Z2,1)</f>
        <v>0</v>
      </c>
      <c r="AG40" s="245">
        <f>ROUND(供應率ALL!AA2,1)</f>
        <v>0</v>
      </c>
      <c r="AH40" s="245">
        <f>ROUND(供應率ALL!AB2,1)</f>
        <v>0</v>
      </c>
      <c r="AI40" s="245">
        <f>ROUND(供應率ALL!AC2,1)</f>
        <v>0</v>
      </c>
      <c r="AJ40" s="245">
        <f>ROUND(供應率ALL!AD2,1)</f>
        <v>0</v>
      </c>
      <c r="AK40" s="245">
        <f>ROUND(供應率ALL!AE2,1)</f>
        <v>0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0</v>
      </c>
      <c r="AO40" s="48"/>
    </row>
    <row r="41" spans="1:41" s="14" customFormat="1" ht="22" customHeight="1">
      <c r="A41" s="636" t="s">
        <v>45</v>
      </c>
      <c r="B41" s="637"/>
      <c r="C41" s="637"/>
      <c r="D41" s="44" t="str">
        <f>HLOOKUP(MONTH(日期!$C$2),去年月推移!$D$1:$O$200,99,TRUE)</f>
        <v>99.1</v>
      </c>
      <c r="E41" s="50">
        <v>99.5</v>
      </c>
      <c r="F41" s="51" t="s">
        <v>44</v>
      </c>
      <c r="G41" s="558">
        <f>ROUND(當年月推移!P100,1)</f>
        <v>0</v>
      </c>
      <c r="H41" s="559"/>
      <c r="I41" s="47">
        <f>ROUND(供應率ALL!C4,1)</f>
        <v>0</v>
      </c>
      <c r="J41" s="47">
        <f>ROUND(供應率ALL!D4,1)</f>
        <v>0</v>
      </c>
      <c r="K41" s="47">
        <f>ROUND(供應率ALL!E4,1)</f>
        <v>0</v>
      </c>
      <c r="L41" s="47">
        <f>ROUND(供應率ALL!F4,1)</f>
        <v>0</v>
      </c>
      <c r="M41" s="47">
        <f>ROUND(供應率ALL!G4,1)</f>
        <v>0</v>
      </c>
      <c r="N41" s="47">
        <f>ROUND(供應率ALL!H4,1)</f>
        <v>0</v>
      </c>
      <c r="O41" s="47">
        <f>ROUND(供應率ALL!I4,1)</f>
        <v>0</v>
      </c>
      <c r="P41" s="47">
        <f>ROUND(供應率ALL!J4,1)</f>
        <v>0</v>
      </c>
      <c r="Q41" s="47">
        <f>ROUND(供應率ALL!K4,1)</f>
        <v>0</v>
      </c>
      <c r="R41" s="47">
        <f>ROUND(供應率ALL!L4,1)</f>
        <v>0</v>
      </c>
      <c r="S41" s="47">
        <f>ROUND(供應率ALL!M4,1)</f>
        <v>0</v>
      </c>
      <c r="T41" s="47">
        <f>ROUND(供應率ALL!N4,1)</f>
        <v>0</v>
      </c>
      <c r="U41" s="47">
        <f>ROUND(供應率ALL!O4,1)</f>
        <v>0</v>
      </c>
      <c r="V41" s="47">
        <f>ROUND(供應率ALL!P4,1)</f>
        <v>0</v>
      </c>
      <c r="W41" s="47">
        <f>ROUND(供應率ALL!Q4,1)</f>
        <v>0</v>
      </c>
      <c r="X41" s="47">
        <f>ROUND(供應率ALL!R4,1)</f>
        <v>0</v>
      </c>
      <c r="Y41" s="47">
        <f>ROUND(供應率ALL!S4,1)</f>
        <v>0</v>
      </c>
      <c r="Z41" s="47">
        <f>ROUND(供應率ALL!T4,1)</f>
        <v>0</v>
      </c>
      <c r="AA41" s="47">
        <f>ROUND(供應率ALL!U4,1)</f>
        <v>0</v>
      </c>
      <c r="AB41" s="47">
        <f>ROUND(供應率ALL!V4,1)</f>
        <v>0</v>
      </c>
      <c r="AC41" s="47">
        <f>ROUND(供應率ALL!W4,1)</f>
        <v>0</v>
      </c>
      <c r="AD41" s="47">
        <f>ROUND(供應率ALL!X4,1)</f>
        <v>0</v>
      </c>
      <c r="AE41" s="47">
        <f>ROUND(供應率ALL!Y4,1)</f>
        <v>0</v>
      </c>
      <c r="AF41" s="47">
        <f>ROUND(供應率ALL!Z4,1)</f>
        <v>0</v>
      </c>
      <c r="AG41" s="47">
        <f>ROUND(供應率ALL!AA4,1)</f>
        <v>0</v>
      </c>
      <c r="AH41" s="47">
        <f>ROUND(供應率ALL!AB4,1)</f>
        <v>0</v>
      </c>
      <c r="AI41" s="47">
        <f>ROUND(供應率ALL!AC4,1)</f>
        <v>0</v>
      </c>
      <c r="AJ41" s="47">
        <f>ROUND(供應率ALL!AD4,1)</f>
        <v>0</v>
      </c>
      <c r="AK41" s="47">
        <f>ROUND(供應率ALL!AE4,1)</f>
        <v>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0</v>
      </c>
      <c r="AO41" s="48"/>
    </row>
    <row r="42" spans="1:41" s="14" customFormat="1" ht="22" customHeight="1">
      <c r="A42" s="636" t="s">
        <v>12</v>
      </c>
      <c r="B42" s="637"/>
      <c r="C42" s="637"/>
      <c r="D42" s="44" t="str">
        <f>HLOOKUP(MONTH(日期!$C$2),去年月推移!$D$1:$O$200,100,TRUE)</f>
        <v>87.1</v>
      </c>
      <c r="E42" s="50">
        <v>80</v>
      </c>
      <c r="F42" s="51" t="s">
        <v>44</v>
      </c>
      <c r="G42" s="558">
        <f>ROUND(當年月推移!P101,1)</f>
        <v>0</v>
      </c>
      <c r="H42" s="559"/>
      <c r="I42" s="47">
        <f>ROUND(供應率ALL!C5,1)</f>
        <v>0</v>
      </c>
      <c r="J42" s="47">
        <f>ROUND(供應率ALL!D5,1)</f>
        <v>0</v>
      </c>
      <c r="K42" s="47">
        <f>ROUND(供應率ALL!E5,1)</f>
        <v>0</v>
      </c>
      <c r="L42" s="47">
        <f>ROUND(供應率ALL!F5,1)</f>
        <v>0</v>
      </c>
      <c r="M42" s="47">
        <f>ROUND(供應率ALL!G5,1)</f>
        <v>0</v>
      </c>
      <c r="N42" s="47">
        <f>ROUND(供應率ALL!H5,1)</f>
        <v>0</v>
      </c>
      <c r="O42" s="47">
        <f>ROUND(供應率ALL!I5,1)</f>
        <v>0</v>
      </c>
      <c r="P42" s="47">
        <f>ROUND(供應率ALL!J5,1)</f>
        <v>0</v>
      </c>
      <c r="Q42" s="47">
        <f>ROUND(供應率ALL!K5,1)</f>
        <v>0</v>
      </c>
      <c r="R42" s="47">
        <f>ROUND(供應率ALL!L5,1)</f>
        <v>0</v>
      </c>
      <c r="S42" s="47">
        <f>ROUND(供應率ALL!M5,1)</f>
        <v>0</v>
      </c>
      <c r="T42" s="47">
        <f>ROUND(供應率ALL!N5,1)</f>
        <v>0</v>
      </c>
      <c r="U42" s="47">
        <f>ROUND(供應率ALL!O5,1)</f>
        <v>0</v>
      </c>
      <c r="V42" s="47">
        <f>ROUND(供應率ALL!P5,1)</f>
        <v>0</v>
      </c>
      <c r="W42" s="47">
        <f>ROUND(供應率ALL!Q5,1)</f>
        <v>0</v>
      </c>
      <c r="X42" s="47">
        <f>ROUND(供應率ALL!R5,1)</f>
        <v>0</v>
      </c>
      <c r="Y42" s="47">
        <f>ROUND(供應率ALL!S5,1)</f>
        <v>0</v>
      </c>
      <c r="Z42" s="47">
        <f>ROUND(供應率ALL!T5,1)</f>
        <v>0</v>
      </c>
      <c r="AA42" s="47">
        <f>ROUND(供應率ALL!U5,1)</f>
        <v>0</v>
      </c>
      <c r="AB42" s="47">
        <f>ROUND(供應率ALL!V5,1)</f>
        <v>0</v>
      </c>
      <c r="AC42" s="47">
        <f>ROUND(供應率ALL!W5,1)</f>
        <v>0</v>
      </c>
      <c r="AD42" s="47">
        <f>ROUND(供應率ALL!X5,1)</f>
        <v>0</v>
      </c>
      <c r="AE42" s="47">
        <f>ROUND(供應率ALL!Y5,1)</f>
        <v>0</v>
      </c>
      <c r="AF42" s="47">
        <f>ROUND(供應率ALL!Z5,1)</f>
        <v>0</v>
      </c>
      <c r="AG42" s="47">
        <f>ROUND(供應率ALL!AA5,1)</f>
        <v>0</v>
      </c>
      <c r="AH42" s="47">
        <f>ROUND(供應率ALL!AB5,1)</f>
        <v>0</v>
      </c>
      <c r="AI42" s="47">
        <f>ROUND(供應率ALL!AC5,1)</f>
        <v>0</v>
      </c>
      <c r="AJ42" s="47">
        <f>ROUND(供應率ALL!AD5,1)</f>
        <v>0</v>
      </c>
      <c r="AK42" s="47">
        <f>ROUND(供應率ALL!AE5,1)</f>
        <v>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0</v>
      </c>
      <c r="AO42" s="48"/>
    </row>
    <row r="43" spans="1:41" s="14" customFormat="1" ht="22" customHeight="1">
      <c r="A43" s="636" t="s">
        <v>13</v>
      </c>
      <c r="B43" s="637"/>
      <c r="C43" s="637"/>
      <c r="D43" s="44" t="str">
        <f>HLOOKUP(MONTH(日期!$C$2),去年月推移!$D$1:$O$200,101,TRUE)</f>
        <v>99.7</v>
      </c>
      <c r="E43" s="50">
        <v>99.2</v>
      </c>
      <c r="F43" s="51" t="s">
        <v>44</v>
      </c>
      <c r="G43" s="558">
        <f>ROUND(當年月推移!P102,1)</f>
        <v>0</v>
      </c>
      <c r="H43" s="559"/>
      <c r="I43" s="47">
        <f>ROUND(供應率ALL!C6,1)</f>
        <v>0</v>
      </c>
      <c r="J43" s="47">
        <f>ROUND(供應率ALL!D6,1)</f>
        <v>0</v>
      </c>
      <c r="K43" s="47">
        <f>ROUND(供應率ALL!E6,1)</f>
        <v>0</v>
      </c>
      <c r="L43" s="47">
        <f>ROUND(供應率ALL!F6,1)</f>
        <v>0</v>
      </c>
      <c r="M43" s="47">
        <f>ROUND(供應率ALL!G6,1)</f>
        <v>0</v>
      </c>
      <c r="N43" s="47">
        <f>ROUND(供應率ALL!H6,1)</f>
        <v>0</v>
      </c>
      <c r="O43" s="47">
        <f>ROUND(供應率ALL!I6,1)</f>
        <v>0</v>
      </c>
      <c r="P43" s="47">
        <f>ROUND(供應率ALL!J6,1)</f>
        <v>0</v>
      </c>
      <c r="Q43" s="47">
        <f>ROUND(供應率ALL!K6,1)</f>
        <v>0</v>
      </c>
      <c r="R43" s="47">
        <f>ROUND(供應率ALL!L6,1)</f>
        <v>0</v>
      </c>
      <c r="S43" s="47">
        <f>ROUND(供應率ALL!M6,1)</f>
        <v>0</v>
      </c>
      <c r="T43" s="47">
        <f>ROUND(供應率ALL!N6,1)</f>
        <v>0</v>
      </c>
      <c r="U43" s="47">
        <f>ROUND(供應率ALL!O6,1)</f>
        <v>0</v>
      </c>
      <c r="V43" s="47">
        <f>ROUND(供應率ALL!P6,1)</f>
        <v>0</v>
      </c>
      <c r="W43" s="47">
        <f>ROUND(供應率ALL!Q6,1)</f>
        <v>0</v>
      </c>
      <c r="X43" s="47">
        <f>ROUND(供應率ALL!R6,1)</f>
        <v>0</v>
      </c>
      <c r="Y43" s="47">
        <f>ROUND(供應率ALL!S6,1)</f>
        <v>0</v>
      </c>
      <c r="Z43" s="47">
        <f>ROUND(供應率ALL!T6,1)</f>
        <v>0</v>
      </c>
      <c r="AA43" s="47">
        <f>ROUND(供應率ALL!U6,1)</f>
        <v>0</v>
      </c>
      <c r="AB43" s="47">
        <f>ROUND(供應率ALL!V6,1)</f>
        <v>0</v>
      </c>
      <c r="AC43" s="47">
        <f>ROUND(供應率ALL!W6,1)</f>
        <v>0</v>
      </c>
      <c r="AD43" s="47">
        <f>ROUND(供應率ALL!X6,1)</f>
        <v>0</v>
      </c>
      <c r="AE43" s="47">
        <f>ROUND(供應率ALL!Y6,1)</f>
        <v>0</v>
      </c>
      <c r="AF43" s="47">
        <f>ROUND(供應率ALL!Z6,1)</f>
        <v>0</v>
      </c>
      <c r="AG43" s="47">
        <f>ROUND(供應率ALL!AA6,1)</f>
        <v>0</v>
      </c>
      <c r="AH43" s="47">
        <f>ROUND(供應率ALL!AB6,1)</f>
        <v>0</v>
      </c>
      <c r="AI43" s="47">
        <f>ROUND(供應率ALL!AC6,1)</f>
        <v>0</v>
      </c>
      <c r="AJ43" s="47">
        <f>ROUND(供應率ALL!AD6,1)</f>
        <v>0</v>
      </c>
      <c r="AK43" s="47">
        <f>ROUND(供應率ALL!AE6,1)</f>
        <v>0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0</v>
      </c>
      <c r="AO43" s="48"/>
    </row>
    <row r="44" spans="1:41" s="14" customFormat="1" ht="22" customHeight="1">
      <c r="A44" s="636" t="s">
        <v>46</v>
      </c>
      <c r="B44" s="637"/>
      <c r="C44" s="637"/>
      <c r="D44" s="44" t="str">
        <f>HLOOKUP(MONTH(日期!$C$2),去年月推移!$D$1:$O$200,102,TRUE)</f>
        <v>94.7</v>
      </c>
      <c r="E44" s="50">
        <v>94.5</v>
      </c>
      <c r="F44" s="51" t="s">
        <v>44</v>
      </c>
      <c r="G44" s="558">
        <f>ROUND(當年月推移!P103,1)</f>
        <v>0</v>
      </c>
      <c r="H44" s="559"/>
      <c r="I44" s="47">
        <f>ROUND(供應率ALL!C23,1)</f>
        <v>0</v>
      </c>
      <c r="J44" s="47">
        <f>ROUND(供應率ALL!D23,1)</f>
        <v>0</v>
      </c>
      <c r="K44" s="47">
        <f>ROUND(供應率ALL!E23,1)</f>
        <v>0</v>
      </c>
      <c r="L44" s="47">
        <f>ROUND(供應率ALL!F23,1)</f>
        <v>0</v>
      </c>
      <c r="M44" s="47">
        <f>ROUND(供應率ALL!G23,1)</f>
        <v>0</v>
      </c>
      <c r="N44" s="47">
        <f>ROUND(供應率ALL!H23,1)</f>
        <v>0</v>
      </c>
      <c r="O44" s="47">
        <f>ROUND(供應率ALL!I23,1)</f>
        <v>0</v>
      </c>
      <c r="P44" s="47">
        <f>ROUND(供應率ALL!J23,1)</f>
        <v>0</v>
      </c>
      <c r="Q44" s="47">
        <f>ROUND(供應率ALL!K23,1)</f>
        <v>0</v>
      </c>
      <c r="R44" s="47">
        <f>ROUND(供應率ALL!L23,1)</f>
        <v>0</v>
      </c>
      <c r="S44" s="47">
        <f>ROUND(供應率ALL!M23,1)</f>
        <v>0</v>
      </c>
      <c r="T44" s="47">
        <f>ROUND(供應率ALL!N23,1)</f>
        <v>0</v>
      </c>
      <c r="U44" s="47">
        <f>ROUND(供應率ALL!O23,1)</f>
        <v>0</v>
      </c>
      <c r="V44" s="47">
        <f>ROUND(供應率ALL!P23,1)</f>
        <v>0</v>
      </c>
      <c r="W44" s="47">
        <f>ROUND(供應率ALL!Q23,1)</f>
        <v>0</v>
      </c>
      <c r="X44" s="47">
        <f>ROUND(供應率ALL!R23,1)</f>
        <v>0</v>
      </c>
      <c r="Y44" s="47">
        <f>ROUND(供應率ALL!S23,1)</f>
        <v>0</v>
      </c>
      <c r="Z44" s="47">
        <f>ROUND(供應率ALL!T23,1)</f>
        <v>0</v>
      </c>
      <c r="AA44" s="47">
        <f>ROUND(供應率ALL!U23,1)</f>
        <v>0</v>
      </c>
      <c r="AB44" s="47">
        <f>ROUND(供應率ALL!V23,1)</f>
        <v>0</v>
      </c>
      <c r="AC44" s="47">
        <f>ROUND(供應率ALL!W23,1)</f>
        <v>0</v>
      </c>
      <c r="AD44" s="47">
        <f>ROUND(供應率ALL!X23,1)</f>
        <v>0</v>
      </c>
      <c r="AE44" s="47">
        <f>ROUND(供應率ALL!Y23,1)</f>
        <v>0</v>
      </c>
      <c r="AF44" s="47">
        <f>ROUND(供應率ALL!Z23,1)</f>
        <v>0</v>
      </c>
      <c r="AG44" s="47">
        <f>ROUND(供應率ALL!AA23,1)</f>
        <v>0</v>
      </c>
      <c r="AH44" s="47">
        <f>ROUND(供應率ALL!AB23,1)</f>
        <v>0</v>
      </c>
      <c r="AI44" s="47">
        <f>ROUND(供應率ALL!AC23,1)</f>
        <v>0</v>
      </c>
      <c r="AJ44" s="47">
        <f>ROUND(供應率ALL!AD23,1)</f>
        <v>0</v>
      </c>
      <c r="AK44" s="47">
        <f>ROUND(供應率ALL!AE23,1)</f>
        <v>0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0</v>
      </c>
      <c r="AO44" s="48"/>
    </row>
    <row r="45" spans="1:41" s="14" customFormat="1" ht="22" customHeight="1">
      <c r="A45" s="636" t="s">
        <v>47</v>
      </c>
      <c r="B45" s="637"/>
      <c r="C45" s="637"/>
      <c r="D45" s="44" t="str">
        <f>HLOOKUP(MONTH(日期!$C$2),去年月推移!$D$1:$O$200,103,TRUE)</f>
        <v>98</v>
      </c>
      <c r="E45" s="50">
        <v>97</v>
      </c>
      <c r="F45" s="51" t="s">
        <v>44</v>
      </c>
      <c r="G45" s="558">
        <f>ROUND(當年月推移!P104,1)</f>
        <v>0</v>
      </c>
      <c r="H45" s="559"/>
      <c r="I45" s="47">
        <f>ROUND(供應率ALL!C8,1)</f>
        <v>0</v>
      </c>
      <c r="J45" s="47">
        <f>ROUND(供應率ALL!D8,1)</f>
        <v>0</v>
      </c>
      <c r="K45" s="47">
        <f>ROUND(供應率ALL!E8,1)</f>
        <v>0</v>
      </c>
      <c r="L45" s="47">
        <f>ROUND(供應率ALL!F8,1)</f>
        <v>0</v>
      </c>
      <c r="M45" s="47">
        <f>ROUND(供應率ALL!G8,1)</f>
        <v>0</v>
      </c>
      <c r="N45" s="47">
        <f>ROUND(供應率ALL!H8,1)</f>
        <v>0</v>
      </c>
      <c r="O45" s="47">
        <f>ROUND(供應率ALL!I8,1)</f>
        <v>0</v>
      </c>
      <c r="P45" s="47">
        <f>ROUND(供應率ALL!J8,1)</f>
        <v>0</v>
      </c>
      <c r="Q45" s="47">
        <f>ROUND(供應率ALL!K8,1)</f>
        <v>0</v>
      </c>
      <c r="R45" s="47">
        <f>ROUND(供應率ALL!L8,1)</f>
        <v>0</v>
      </c>
      <c r="S45" s="47">
        <f>ROUND(供應率ALL!M8,1)</f>
        <v>0</v>
      </c>
      <c r="T45" s="47">
        <f>ROUND(供應率ALL!N8,1)</f>
        <v>0</v>
      </c>
      <c r="U45" s="47">
        <f>ROUND(供應率ALL!O8,1)</f>
        <v>0</v>
      </c>
      <c r="V45" s="47">
        <f>ROUND(供應率ALL!P8,1)</f>
        <v>0</v>
      </c>
      <c r="W45" s="47">
        <f>ROUND(供應率ALL!Q8,1)</f>
        <v>0</v>
      </c>
      <c r="X45" s="47">
        <f>ROUND(供應率ALL!R8,1)</f>
        <v>0</v>
      </c>
      <c r="Y45" s="47">
        <f>ROUND(供應率ALL!S8,1)</f>
        <v>0</v>
      </c>
      <c r="Z45" s="47">
        <f>ROUND(供應率ALL!T8,1)</f>
        <v>0</v>
      </c>
      <c r="AA45" s="47">
        <f>ROUND(供應率ALL!U8,1)</f>
        <v>0</v>
      </c>
      <c r="AB45" s="47">
        <f>ROUND(供應率ALL!V8,1)</f>
        <v>0</v>
      </c>
      <c r="AC45" s="47">
        <f>ROUND(供應率ALL!W8,1)</f>
        <v>0</v>
      </c>
      <c r="AD45" s="47">
        <f>ROUND(供應率ALL!X8,1)</f>
        <v>0</v>
      </c>
      <c r="AE45" s="47">
        <f>ROUND(供應率ALL!Y8,1)</f>
        <v>0</v>
      </c>
      <c r="AF45" s="47">
        <f>ROUND(供應率ALL!Z8,1)</f>
        <v>0</v>
      </c>
      <c r="AG45" s="47">
        <f>ROUND(供應率ALL!AA8,1)</f>
        <v>0</v>
      </c>
      <c r="AH45" s="47">
        <f>ROUND(供應率ALL!AB8,1)</f>
        <v>0</v>
      </c>
      <c r="AI45" s="47">
        <f>ROUND(供應率ALL!AC8,1)</f>
        <v>0</v>
      </c>
      <c r="AJ45" s="47">
        <f>ROUND(供應率ALL!AD8,1)</f>
        <v>0</v>
      </c>
      <c r="AK45" s="47">
        <f>ROUND(供應率ALL!AE8,1)</f>
        <v>0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0</v>
      </c>
      <c r="AO45" s="48"/>
    </row>
    <row r="46" spans="1:41" s="14" customFormat="1" ht="22" customHeight="1">
      <c r="A46" s="636" t="s">
        <v>16</v>
      </c>
      <c r="B46" s="637"/>
      <c r="C46" s="637"/>
      <c r="D46" s="44" t="str">
        <f>HLOOKUP(MONTH(日期!$C$2),去年月推移!$D$1:$O$200,104,TRUE)</f>
        <v>98.6</v>
      </c>
      <c r="E46" s="50">
        <v>95</v>
      </c>
      <c r="F46" s="51" t="s">
        <v>44</v>
      </c>
      <c r="G46" s="558">
        <f>ROUND(當年月推移!P105,1)</f>
        <v>0</v>
      </c>
      <c r="H46" s="559"/>
      <c r="I46" s="47">
        <f>ROUND(供應率ALL!C9,1)</f>
        <v>0</v>
      </c>
      <c r="J46" s="47">
        <f>ROUND(供應率ALL!D9,1)</f>
        <v>0</v>
      </c>
      <c r="K46" s="47">
        <f>ROUND(供應率ALL!E9,1)</f>
        <v>0</v>
      </c>
      <c r="L46" s="47">
        <f>ROUND(供應率ALL!F9,1)</f>
        <v>0</v>
      </c>
      <c r="M46" s="47">
        <f>ROUND(供應率ALL!G9,1)</f>
        <v>0</v>
      </c>
      <c r="N46" s="47">
        <f>ROUND(供應率ALL!H9,1)</f>
        <v>0</v>
      </c>
      <c r="O46" s="47">
        <f>ROUND(供應率ALL!I9,1)</f>
        <v>0</v>
      </c>
      <c r="P46" s="47">
        <f>ROUND(供應率ALL!J9,1)</f>
        <v>0</v>
      </c>
      <c r="Q46" s="47">
        <f>ROUND(供應率ALL!K9,1)</f>
        <v>0</v>
      </c>
      <c r="R46" s="47">
        <f>ROUND(供應率ALL!L9,1)</f>
        <v>0</v>
      </c>
      <c r="S46" s="47">
        <f>ROUND(供應率ALL!M9,1)</f>
        <v>0</v>
      </c>
      <c r="T46" s="47">
        <f>ROUND(供應率ALL!N9,1)</f>
        <v>0</v>
      </c>
      <c r="U46" s="47">
        <f>ROUND(供應率ALL!O9,1)</f>
        <v>0</v>
      </c>
      <c r="V46" s="47">
        <f>ROUND(供應率ALL!P9,1)</f>
        <v>0</v>
      </c>
      <c r="W46" s="47">
        <f>ROUND(供應率ALL!Q9,1)</f>
        <v>0</v>
      </c>
      <c r="X46" s="47">
        <f>ROUND(供應率ALL!R9,1)</f>
        <v>0</v>
      </c>
      <c r="Y46" s="47">
        <f>ROUND(供應率ALL!S9,1)</f>
        <v>0</v>
      </c>
      <c r="Z46" s="47">
        <f>ROUND(供應率ALL!T9,1)</f>
        <v>0</v>
      </c>
      <c r="AA46" s="47">
        <f>ROUND(供應率ALL!U9,1)</f>
        <v>0</v>
      </c>
      <c r="AB46" s="47">
        <f>ROUND(供應率ALL!V9,1)</f>
        <v>0</v>
      </c>
      <c r="AC46" s="47">
        <f>ROUND(供應率ALL!W9,1)</f>
        <v>0</v>
      </c>
      <c r="AD46" s="47">
        <f>ROUND(供應率ALL!X9,1)</f>
        <v>0</v>
      </c>
      <c r="AE46" s="47">
        <f>ROUND(供應率ALL!Y9,1)</f>
        <v>0</v>
      </c>
      <c r="AF46" s="47">
        <f>ROUND(供應率ALL!Z9,1)</f>
        <v>0</v>
      </c>
      <c r="AG46" s="47">
        <f>ROUND(供應率ALL!AA9,1)</f>
        <v>0</v>
      </c>
      <c r="AH46" s="47">
        <f>ROUND(供應率ALL!AB9,1)</f>
        <v>0</v>
      </c>
      <c r="AI46" s="47">
        <f>ROUND(供應率ALL!AC9,1)</f>
        <v>0</v>
      </c>
      <c r="AJ46" s="47">
        <f>ROUND(供應率ALL!AD9,1)</f>
        <v>0</v>
      </c>
      <c r="AK46" s="47">
        <f>ROUND(供應率ALL!AE9,1)</f>
        <v>0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0</v>
      </c>
      <c r="AO46" s="48"/>
    </row>
    <row r="47" spans="1:41" s="14" customFormat="1" ht="22" customHeight="1" thickBot="1">
      <c r="A47" s="525" t="s">
        <v>48</v>
      </c>
      <c r="B47" s="526"/>
      <c r="C47" s="527"/>
      <c r="D47" s="231" t="str">
        <f>HLOOKUP(MONTH(日期!$C$2),去年月推移!$D$1:$O$200,105,TRUE)</f>
        <v>98.3</v>
      </c>
      <c r="E47" s="52">
        <v>97.9</v>
      </c>
      <c r="F47" s="53"/>
      <c r="G47" s="597">
        <f>ROUND(當年月推移!P106,1)</f>
        <v>0</v>
      </c>
      <c r="H47" s="598"/>
      <c r="I47" s="242">
        <f>ROUND(供應率ALL!C10,1)</f>
        <v>0</v>
      </c>
      <c r="J47" s="242">
        <f>ROUND(供應率ALL!D10,1)</f>
        <v>0</v>
      </c>
      <c r="K47" s="242">
        <f>ROUND(供應率ALL!E10,1)</f>
        <v>0</v>
      </c>
      <c r="L47" s="242">
        <f>ROUND(供應率ALL!F10,1)</f>
        <v>0</v>
      </c>
      <c r="M47" s="242">
        <f>ROUND(供應率ALL!G10,1)</f>
        <v>0</v>
      </c>
      <c r="N47" s="242">
        <f>ROUND(供應率ALL!H10,1)</f>
        <v>0</v>
      </c>
      <c r="O47" s="242">
        <f>ROUND(供應率ALL!I10,1)</f>
        <v>0</v>
      </c>
      <c r="P47" s="242">
        <f>ROUND(供應率ALL!J10,1)</f>
        <v>0</v>
      </c>
      <c r="Q47" s="242">
        <f>ROUND(供應率ALL!K10,1)</f>
        <v>0</v>
      </c>
      <c r="R47" s="242">
        <f>ROUND(供應率ALL!L10,1)</f>
        <v>0</v>
      </c>
      <c r="S47" s="242">
        <f>ROUND(供應率ALL!M10,1)</f>
        <v>0</v>
      </c>
      <c r="T47" s="242">
        <f>ROUND(供應率ALL!N10,1)</f>
        <v>0</v>
      </c>
      <c r="U47" s="242">
        <f>ROUND(供應率ALL!O10,1)</f>
        <v>0</v>
      </c>
      <c r="V47" s="242">
        <f>ROUND(供應率ALL!P10,1)</f>
        <v>0</v>
      </c>
      <c r="W47" s="242">
        <f>ROUND(供應率ALL!Q10,1)</f>
        <v>0</v>
      </c>
      <c r="X47" s="242">
        <f>ROUND(供應率ALL!R10,1)</f>
        <v>0</v>
      </c>
      <c r="Y47" s="242">
        <f>ROUND(供應率ALL!S10,1)</f>
        <v>0</v>
      </c>
      <c r="Z47" s="242">
        <f>ROUND(供應率ALL!T10,1)</f>
        <v>0</v>
      </c>
      <c r="AA47" s="242">
        <f>ROUND(供應率ALL!U10,1)</f>
        <v>0</v>
      </c>
      <c r="AB47" s="242">
        <f>ROUND(供應率ALL!V10,1)</f>
        <v>0</v>
      </c>
      <c r="AC47" s="242">
        <f>ROUND(供應率ALL!W10,1)</f>
        <v>0</v>
      </c>
      <c r="AD47" s="242">
        <f>ROUND(供應率ALL!X10,1)</f>
        <v>0</v>
      </c>
      <c r="AE47" s="242">
        <f>ROUND(供應率ALL!Y10,1)</f>
        <v>0</v>
      </c>
      <c r="AF47" s="242">
        <f>ROUND(供應率ALL!Z10,1)</f>
        <v>0</v>
      </c>
      <c r="AG47" s="242">
        <f>ROUND(供應率ALL!AA10,1)</f>
        <v>0</v>
      </c>
      <c r="AH47" s="242">
        <f>ROUND(供應率ALL!AB10,1)</f>
        <v>0</v>
      </c>
      <c r="AI47" s="242">
        <f>ROUND(供應率ALL!AC10,1)</f>
        <v>0</v>
      </c>
      <c r="AJ47" s="242">
        <f>ROUND(供應率ALL!AD10,1)</f>
        <v>0</v>
      </c>
      <c r="AK47" s="242">
        <f>ROUND(供應率ALL!AE10,1)</f>
        <v>0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0</v>
      </c>
      <c r="AO47" s="48"/>
    </row>
    <row r="48" spans="1:41" s="14" customFormat="1" ht="22" customHeight="1">
      <c r="A48" s="638" t="s">
        <v>22</v>
      </c>
      <c r="B48" s="639"/>
      <c r="C48" s="639"/>
      <c r="D48" s="44" t="str">
        <f>HLOOKUP(MONTH(日期!$C$2),去年月推移!$D$1:$O$200,106,TRUE)</f>
        <v>97.7</v>
      </c>
      <c r="E48" s="269">
        <v>97.8</v>
      </c>
      <c r="F48" s="270" t="s">
        <v>44</v>
      </c>
      <c r="G48" s="558">
        <f>ROUND(當年月推移!P107,1)</f>
        <v>0</v>
      </c>
      <c r="H48" s="559"/>
      <c r="I48" s="47">
        <f>ROUND(供應率ALL!C3,1)</f>
        <v>0</v>
      </c>
      <c r="J48" s="47">
        <f>ROUND(供應率ALL!D3,1)</f>
        <v>0</v>
      </c>
      <c r="K48" s="47">
        <f>ROUND(供應率ALL!E3,1)</f>
        <v>0</v>
      </c>
      <c r="L48" s="47">
        <f>ROUND(供應率ALL!F3,1)</f>
        <v>0</v>
      </c>
      <c r="M48" s="47">
        <f>ROUND(供應率ALL!G3,1)</f>
        <v>0</v>
      </c>
      <c r="N48" s="47">
        <f>ROUND(供應率ALL!H3,1)</f>
        <v>0</v>
      </c>
      <c r="O48" s="47">
        <f>ROUND(供應率ALL!I3,1)</f>
        <v>0</v>
      </c>
      <c r="P48" s="47">
        <f>ROUND(供應率ALL!J3,1)</f>
        <v>0</v>
      </c>
      <c r="Q48" s="47">
        <f>ROUND(供應率ALL!K3,1)</f>
        <v>0</v>
      </c>
      <c r="R48" s="47">
        <f>ROUND(供應率ALL!L3,1)</f>
        <v>0</v>
      </c>
      <c r="S48" s="47">
        <f>ROUND(供應率ALL!M3,1)</f>
        <v>0</v>
      </c>
      <c r="T48" s="47">
        <f>ROUND(供應率ALL!N3,1)</f>
        <v>0</v>
      </c>
      <c r="U48" s="47">
        <f>ROUND(供應率ALL!O3,1)</f>
        <v>0</v>
      </c>
      <c r="V48" s="47">
        <f>ROUND(供應率ALL!P3,1)</f>
        <v>0</v>
      </c>
      <c r="W48" s="47">
        <f>ROUND(供應率ALL!Q3,1)</f>
        <v>0</v>
      </c>
      <c r="X48" s="47">
        <f>ROUND(供應率ALL!R3,1)</f>
        <v>0</v>
      </c>
      <c r="Y48" s="47">
        <f>ROUND(供應率ALL!S3,1)</f>
        <v>0</v>
      </c>
      <c r="Z48" s="47">
        <f>ROUND(供應率ALL!T3,1)</f>
        <v>0</v>
      </c>
      <c r="AA48" s="47">
        <f>ROUND(供應率ALL!U3,1)</f>
        <v>0</v>
      </c>
      <c r="AB48" s="47">
        <f>ROUND(供應率ALL!V3,1)</f>
        <v>0</v>
      </c>
      <c r="AC48" s="47">
        <f>ROUND(供應率ALL!W3,1)</f>
        <v>0</v>
      </c>
      <c r="AD48" s="47">
        <f>ROUND(供應率ALL!X3,1)</f>
        <v>0</v>
      </c>
      <c r="AE48" s="47">
        <f>ROUND(供應率ALL!Y3,1)</f>
        <v>0</v>
      </c>
      <c r="AF48" s="47">
        <f>ROUND(供應率ALL!Z3,1)</f>
        <v>0</v>
      </c>
      <c r="AG48" s="47">
        <f>ROUND(供應率ALL!AA3,1)</f>
        <v>0</v>
      </c>
      <c r="AH48" s="47">
        <f>ROUND(供應率ALL!AB3,1)</f>
        <v>0</v>
      </c>
      <c r="AI48" s="47">
        <f>ROUND(供應率ALL!AC3,1)</f>
        <v>0</v>
      </c>
      <c r="AJ48" s="47">
        <f>ROUND(供應率ALL!AD3,1)</f>
        <v>0</v>
      </c>
      <c r="AK48" s="47">
        <f>ROUND(供應率ALL!AE3,1)</f>
        <v>0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0</v>
      </c>
      <c r="AO48" s="48"/>
    </row>
    <row r="49" spans="1:41" s="14" customFormat="1" ht="22" customHeight="1">
      <c r="A49" s="594" t="s">
        <v>23</v>
      </c>
      <c r="B49" s="595"/>
      <c r="C49" s="596"/>
      <c r="D49" s="44" t="str">
        <f>HLOOKUP(MONTH(日期!$C$2),去年月推移!$D$1:$O$200,107,TRUE)</f>
        <v>96</v>
      </c>
      <c r="E49" s="50">
        <v>99</v>
      </c>
      <c r="F49" s="51"/>
      <c r="G49" s="605">
        <f>ROUND(當年月推移!P108,1)</f>
        <v>0</v>
      </c>
      <c r="H49" s="606"/>
      <c r="I49" s="47">
        <f>ROUND(供應率ALL!C11,1)</f>
        <v>0</v>
      </c>
      <c r="J49" s="47">
        <f>ROUND(供應率ALL!D11,1)</f>
        <v>0</v>
      </c>
      <c r="K49" s="47">
        <f>ROUND(供應率ALL!E11,1)</f>
        <v>0</v>
      </c>
      <c r="L49" s="47">
        <f>ROUND(供應率ALL!F11,1)</f>
        <v>0</v>
      </c>
      <c r="M49" s="47">
        <f>ROUND(供應率ALL!G11,1)</f>
        <v>0</v>
      </c>
      <c r="N49" s="47">
        <f>ROUND(供應率ALL!H11,1)</f>
        <v>0</v>
      </c>
      <c r="O49" s="47">
        <f>ROUND(供應率ALL!I11,1)</f>
        <v>0</v>
      </c>
      <c r="P49" s="47">
        <f>ROUND(供應率ALL!J11,1)</f>
        <v>0</v>
      </c>
      <c r="Q49" s="47">
        <f>ROUND(供應率ALL!K11,1)</f>
        <v>0</v>
      </c>
      <c r="R49" s="47">
        <f>ROUND(供應率ALL!L11,1)</f>
        <v>0</v>
      </c>
      <c r="S49" s="47">
        <f>ROUND(供應率ALL!M11,1)</f>
        <v>0</v>
      </c>
      <c r="T49" s="47">
        <f>ROUND(供應率ALL!N11,1)</f>
        <v>0</v>
      </c>
      <c r="U49" s="47">
        <f>ROUND(供應率ALL!O11,1)</f>
        <v>0</v>
      </c>
      <c r="V49" s="47">
        <f>ROUND(供應率ALL!P11,1)</f>
        <v>0</v>
      </c>
      <c r="W49" s="47">
        <f>ROUND(供應率ALL!Q11,1)</f>
        <v>0</v>
      </c>
      <c r="X49" s="47">
        <f>ROUND(供應率ALL!R11,1)</f>
        <v>0</v>
      </c>
      <c r="Y49" s="47">
        <f>ROUND(供應率ALL!S11,1)</f>
        <v>0</v>
      </c>
      <c r="Z49" s="47">
        <f>ROUND(供應率ALL!T11,1)</f>
        <v>0</v>
      </c>
      <c r="AA49" s="47">
        <f>ROUND(供應率ALL!U11,1)</f>
        <v>0</v>
      </c>
      <c r="AB49" s="47">
        <f>ROUND(供應率ALL!V11,1)</f>
        <v>0</v>
      </c>
      <c r="AC49" s="47">
        <f>ROUND(供應率ALL!W11,1)</f>
        <v>0</v>
      </c>
      <c r="AD49" s="47">
        <f>ROUND(供應率ALL!X11,1)</f>
        <v>0</v>
      </c>
      <c r="AE49" s="47">
        <f>ROUND(供應率ALL!Y11,1)</f>
        <v>0</v>
      </c>
      <c r="AF49" s="47">
        <f>ROUND(供應率ALL!Z11,1)</f>
        <v>0</v>
      </c>
      <c r="AG49" s="47">
        <f>ROUND(供應率ALL!AA11,1)</f>
        <v>0</v>
      </c>
      <c r="AH49" s="47">
        <f>ROUND(供應率ALL!AB11,1)</f>
        <v>0</v>
      </c>
      <c r="AI49" s="47">
        <f>ROUND(供應率ALL!AC11,1)</f>
        <v>0</v>
      </c>
      <c r="AJ49" s="47">
        <f>ROUND(供應率ALL!AD11,1)</f>
        <v>0</v>
      </c>
      <c r="AK49" s="47">
        <f>ROUND(供應率ALL!AE11,1)</f>
        <v>0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0</v>
      </c>
      <c r="AO49" s="48"/>
    </row>
    <row r="50" spans="1:41" s="14" customFormat="1" ht="22" customHeight="1">
      <c r="A50" s="594" t="s">
        <v>24</v>
      </c>
      <c r="B50" s="595"/>
      <c r="C50" s="596"/>
      <c r="D50" s="44" t="str">
        <f>HLOOKUP(MONTH(日期!$C$2),去年月推移!$D$1:$O$200,108,TRUE)</f>
        <v>95</v>
      </c>
      <c r="E50" s="50">
        <v>75</v>
      </c>
      <c r="F50" s="51"/>
      <c r="G50" s="605">
        <f>ROUND(當年月推移!P109,1)</f>
        <v>0</v>
      </c>
      <c r="H50" s="606"/>
      <c r="I50" s="47">
        <f>ROUND(供應率ALL!C12,1)</f>
        <v>0</v>
      </c>
      <c r="J50" s="47">
        <f>ROUND(供應率ALL!D12,1)</f>
        <v>0</v>
      </c>
      <c r="K50" s="47">
        <f>ROUND(供應率ALL!E12,1)</f>
        <v>0</v>
      </c>
      <c r="L50" s="47">
        <f>ROUND(供應率ALL!F12,1)</f>
        <v>0</v>
      </c>
      <c r="M50" s="47">
        <f>ROUND(供應率ALL!G12,1)</f>
        <v>0</v>
      </c>
      <c r="N50" s="47">
        <f>ROUND(供應率ALL!H12,1)</f>
        <v>0</v>
      </c>
      <c r="O50" s="47">
        <f>ROUND(供應率ALL!I12,1)</f>
        <v>0</v>
      </c>
      <c r="P50" s="47">
        <f>ROUND(供應率ALL!J12,1)</f>
        <v>0</v>
      </c>
      <c r="Q50" s="47">
        <f>ROUND(供應率ALL!K12,1)</f>
        <v>0</v>
      </c>
      <c r="R50" s="47">
        <f>ROUND(供應率ALL!L12,1)</f>
        <v>0</v>
      </c>
      <c r="S50" s="47">
        <f>ROUND(供應率ALL!M12,1)</f>
        <v>0</v>
      </c>
      <c r="T50" s="47">
        <f>ROUND(供應率ALL!N12,1)</f>
        <v>0</v>
      </c>
      <c r="U50" s="47">
        <f>ROUND(供應率ALL!O12,1)</f>
        <v>0</v>
      </c>
      <c r="V50" s="47">
        <f>ROUND(供應率ALL!P12,1)</f>
        <v>0</v>
      </c>
      <c r="W50" s="47">
        <f>ROUND(供應率ALL!Q12,1)</f>
        <v>0</v>
      </c>
      <c r="X50" s="47">
        <f>ROUND(供應率ALL!R12,1)</f>
        <v>0</v>
      </c>
      <c r="Y50" s="47">
        <f>ROUND(供應率ALL!S12,1)</f>
        <v>0</v>
      </c>
      <c r="Z50" s="47">
        <f>ROUND(供應率ALL!T12,1)</f>
        <v>0</v>
      </c>
      <c r="AA50" s="47">
        <f>ROUND(供應率ALL!U12,1)</f>
        <v>0</v>
      </c>
      <c r="AB50" s="47">
        <f>ROUND(供應率ALL!V12,1)</f>
        <v>0</v>
      </c>
      <c r="AC50" s="47">
        <f>ROUND(供應率ALL!W12,1)</f>
        <v>0</v>
      </c>
      <c r="AD50" s="47">
        <f>ROUND(供應率ALL!X12,1)</f>
        <v>0</v>
      </c>
      <c r="AE50" s="47">
        <f>ROUND(供應率ALL!Y12,1)</f>
        <v>0</v>
      </c>
      <c r="AF50" s="47">
        <f>ROUND(供應率ALL!Z12,1)</f>
        <v>0</v>
      </c>
      <c r="AG50" s="47">
        <f>ROUND(供應率ALL!AA12,1)</f>
        <v>0</v>
      </c>
      <c r="AH50" s="47">
        <f>ROUND(供應率ALL!AB12,1)</f>
        <v>0</v>
      </c>
      <c r="AI50" s="47">
        <f>ROUND(供應率ALL!AC12,1)</f>
        <v>0</v>
      </c>
      <c r="AJ50" s="47">
        <f>ROUND(供應率ALL!AD12,1)</f>
        <v>0</v>
      </c>
      <c r="AK50" s="47">
        <f>ROUND(供應率ALL!AE12,1)</f>
        <v>0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0</v>
      </c>
      <c r="AO50" s="48"/>
    </row>
    <row r="51" spans="1:41" s="14" customFormat="1" ht="22" customHeight="1">
      <c r="A51" s="594" t="s">
        <v>25</v>
      </c>
      <c r="B51" s="595"/>
      <c r="C51" s="596"/>
      <c r="D51" s="44" t="str">
        <f>HLOOKUP(MONTH(日期!$C$2),去年月推移!$D$1:$O$200,109,TRUE)</f>
        <v>96.9</v>
      </c>
      <c r="E51" s="50">
        <v>98.7</v>
      </c>
      <c r="F51" s="51"/>
      <c r="G51" s="605">
        <f>ROUND(當年月推移!P110,1)</f>
        <v>0</v>
      </c>
      <c r="H51" s="606"/>
      <c r="I51" s="47">
        <f>ROUND(供應率ALL!C13,1)</f>
        <v>0</v>
      </c>
      <c r="J51" s="47">
        <f>ROUND(供應率ALL!D13,1)</f>
        <v>0</v>
      </c>
      <c r="K51" s="47">
        <f>ROUND(供應率ALL!E13,1)</f>
        <v>0</v>
      </c>
      <c r="L51" s="47">
        <f>ROUND(供應率ALL!F13,1)</f>
        <v>0</v>
      </c>
      <c r="M51" s="47">
        <f>ROUND(供應率ALL!G13,1)</f>
        <v>0</v>
      </c>
      <c r="N51" s="47">
        <f>ROUND(供應率ALL!H13,1)</f>
        <v>0</v>
      </c>
      <c r="O51" s="47">
        <f>ROUND(供應率ALL!I13,1)</f>
        <v>0</v>
      </c>
      <c r="P51" s="47">
        <f>ROUND(供應率ALL!J13,1)</f>
        <v>0</v>
      </c>
      <c r="Q51" s="47">
        <f>ROUND(供應率ALL!K13,1)</f>
        <v>0</v>
      </c>
      <c r="R51" s="47">
        <f>ROUND(供應率ALL!L13,1)</f>
        <v>0</v>
      </c>
      <c r="S51" s="47">
        <f>ROUND(供應率ALL!M13,1)</f>
        <v>0</v>
      </c>
      <c r="T51" s="47">
        <f>ROUND(供應率ALL!N13,1)</f>
        <v>0</v>
      </c>
      <c r="U51" s="47">
        <f>ROUND(供應率ALL!O13,1)</f>
        <v>0</v>
      </c>
      <c r="V51" s="47">
        <f>ROUND(供應率ALL!P13,1)</f>
        <v>0</v>
      </c>
      <c r="W51" s="47">
        <f>ROUND(供應率ALL!Q13,1)</f>
        <v>0</v>
      </c>
      <c r="X51" s="47">
        <f>ROUND(供應率ALL!R13,1)</f>
        <v>0</v>
      </c>
      <c r="Y51" s="47">
        <f>ROUND(供應率ALL!S13,1)</f>
        <v>0</v>
      </c>
      <c r="Z51" s="47">
        <f>ROUND(供應率ALL!T13,1)</f>
        <v>0</v>
      </c>
      <c r="AA51" s="47">
        <f>ROUND(供應率ALL!U13,1)</f>
        <v>0</v>
      </c>
      <c r="AB51" s="47">
        <f>ROUND(供應率ALL!V13,1)</f>
        <v>0</v>
      </c>
      <c r="AC51" s="47">
        <f>ROUND(供應率ALL!W13,1)</f>
        <v>0</v>
      </c>
      <c r="AD51" s="47">
        <f>ROUND(供應率ALL!X13,1)</f>
        <v>0</v>
      </c>
      <c r="AE51" s="47">
        <f>ROUND(供應率ALL!Y13,1)</f>
        <v>0</v>
      </c>
      <c r="AF51" s="47">
        <f>ROUND(供應率ALL!Z13,1)</f>
        <v>0</v>
      </c>
      <c r="AG51" s="47">
        <f>ROUND(供應率ALL!AA13,1)</f>
        <v>0</v>
      </c>
      <c r="AH51" s="47">
        <f>ROUND(供應率ALL!AB13,1)</f>
        <v>0</v>
      </c>
      <c r="AI51" s="47">
        <f>ROUND(供應率ALL!AC13,1)</f>
        <v>0</v>
      </c>
      <c r="AJ51" s="47">
        <f>ROUND(供應率ALL!AD13,1)</f>
        <v>0</v>
      </c>
      <c r="AK51" s="47">
        <f>ROUND(供應率ALL!AE13,1)</f>
        <v>0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0</v>
      </c>
      <c r="AO51" s="48"/>
    </row>
    <row r="52" spans="1:41" s="14" customFormat="1" ht="22" customHeight="1">
      <c r="A52" s="594" t="s">
        <v>26</v>
      </c>
      <c r="B52" s="595"/>
      <c r="C52" s="596"/>
      <c r="D52" s="44" t="str">
        <f>HLOOKUP(MONTH(日期!$C$2),去年月推移!$D$1:$O$200,110,TRUE)</f>
        <v>83</v>
      </c>
      <c r="E52" s="50">
        <v>95</v>
      </c>
      <c r="F52" s="51"/>
      <c r="G52" s="605">
        <f>ROUND(當年月推移!P111,1)</f>
        <v>0</v>
      </c>
      <c r="H52" s="606"/>
      <c r="I52" s="47">
        <f>ROUND(供應率ALL!C14,1)</f>
        <v>0</v>
      </c>
      <c r="J52" s="47">
        <f>ROUND(供應率ALL!D14,1)</f>
        <v>0</v>
      </c>
      <c r="K52" s="47">
        <f>ROUND(供應率ALL!E14,1)</f>
        <v>0</v>
      </c>
      <c r="L52" s="47">
        <f>ROUND(供應率ALL!F14,1)</f>
        <v>0</v>
      </c>
      <c r="M52" s="47">
        <f>ROUND(供應率ALL!G14,1)</f>
        <v>0</v>
      </c>
      <c r="N52" s="47">
        <f>ROUND(供應率ALL!H14,1)</f>
        <v>0</v>
      </c>
      <c r="O52" s="47">
        <f>ROUND(供應率ALL!I14,1)</f>
        <v>0</v>
      </c>
      <c r="P52" s="47">
        <f>ROUND(供應率ALL!J14,1)</f>
        <v>0</v>
      </c>
      <c r="Q52" s="47">
        <f>ROUND(供應率ALL!K14,1)</f>
        <v>0</v>
      </c>
      <c r="R52" s="47">
        <f>ROUND(供應率ALL!L14,1)</f>
        <v>0</v>
      </c>
      <c r="S52" s="47">
        <f>ROUND(供應率ALL!M14,1)</f>
        <v>0</v>
      </c>
      <c r="T52" s="47">
        <f>ROUND(供應率ALL!N14,1)</f>
        <v>0</v>
      </c>
      <c r="U52" s="47">
        <f>ROUND(供應率ALL!O14,1)</f>
        <v>0</v>
      </c>
      <c r="V52" s="47">
        <f>ROUND(供應率ALL!P14,1)</f>
        <v>0</v>
      </c>
      <c r="W52" s="47">
        <f>ROUND(供應率ALL!Q14,1)</f>
        <v>0</v>
      </c>
      <c r="X52" s="47">
        <f>ROUND(供應率ALL!R14,1)</f>
        <v>0</v>
      </c>
      <c r="Y52" s="47">
        <f>ROUND(供應率ALL!S14,1)</f>
        <v>0</v>
      </c>
      <c r="Z52" s="47">
        <f>ROUND(供應率ALL!T14,1)</f>
        <v>0</v>
      </c>
      <c r="AA52" s="47">
        <f>ROUND(供應率ALL!U14,1)</f>
        <v>0</v>
      </c>
      <c r="AB52" s="47">
        <f>ROUND(供應率ALL!V14,1)</f>
        <v>0</v>
      </c>
      <c r="AC52" s="47">
        <f>ROUND(供應率ALL!W14,1)</f>
        <v>0</v>
      </c>
      <c r="AD52" s="47">
        <f>ROUND(供應率ALL!X14,1)</f>
        <v>0</v>
      </c>
      <c r="AE52" s="47">
        <f>ROUND(供應率ALL!Y14,1)</f>
        <v>0</v>
      </c>
      <c r="AF52" s="47">
        <f>ROUND(供應率ALL!Z14,1)</f>
        <v>0</v>
      </c>
      <c r="AG52" s="47">
        <f>ROUND(供應率ALL!AA14,1)</f>
        <v>0</v>
      </c>
      <c r="AH52" s="47">
        <f>ROUND(供應率ALL!AB14,1)</f>
        <v>0</v>
      </c>
      <c r="AI52" s="47">
        <f>ROUND(供應率ALL!AC14,1)</f>
        <v>0</v>
      </c>
      <c r="AJ52" s="47">
        <f>ROUND(供應率ALL!AD14,1)</f>
        <v>0</v>
      </c>
      <c r="AK52" s="47">
        <f>ROUND(供應率ALL!AE14,1)</f>
        <v>0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0</v>
      </c>
      <c r="AO52" s="48"/>
    </row>
    <row r="53" spans="1:41" s="14" customFormat="1" ht="22" customHeight="1">
      <c r="A53" s="594" t="s">
        <v>27</v>
      </c>
      <c r="B53" s="595"/>
      <c r="C53" s="596"/>
      <c r="D53" s="44" t="str">
        <f>HLOOKUP(MONTH(日期!$C$2),去年月推移!$D$1:$O$200,111,TRUE)</f>
        <v>0</v>
      </c>
      <c r="E53" s="50"/>
      <c r="F53" s="51"/>
      <c r="G53" s="605">
        <f>ROUND(當年月推移!P112,1)</f>
        <v>0</v>
      </c>
      <c r="H53" s="606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2" customHeight="1" thickBot="1">
      <c r="A54" s="547" t="s">
        <v>49</v>
      </c>
      <c r="B54" s="548"/>
      <c r="C54" s="548"/>
      <c r="D54" s="231" t="str">
        <f>HLOOKUP(MONTH(日期!$C$2),去年月推移!$D$1:$O$200,112,TRUE)</f>
        <v>96.9</v>
      </c>
      <c r="E54" s="52"/>
      <c r="F54" s="53" t="s">
        <v>44</v>
      </c>
      <c r="G54" s="597">
        <f>ROUND(當年月推移!P113,1)</f>
        <v>0</v>
      </c>
      <c r="H54" s="598"/>
      <c r="I54" s="242">
        <f>ROUND(供應率ALL!C16,1)</f>
        <v>0</v>
      </c>
      <c r="J54" s="242">
        <f>ROUND(供應率ALL!D16,1)</f>
        <v>0</v>
      </c>
      <c r="K54" s="242">
        <f>ROUND(供應率ALL!E16,1)</f>
        <v>0</v>
      </c>
      <c r="L54" s="242">
        <f>ROUND(供應率ALL!F16,1)</f>
        <v>0</v>
      </c>
      <c r="M54" s="242">
        <f>ROUND(供應率ALL!G16,1)</f>
        <v>0</v>
      </c>
      <c r="N54" s="242">
        <f>ROUND(供應率ALL!H16,1)</f>
        <v>0</v>
      </c>
      <c r="O54" s="242">
        <f>ROUND(供應率ALL!I16,1)</f>
        <v>0</v>
      </c>
      <c r="P54" s="242">
        <f>ROUND(供應率ALL!J16,1)</f>
        <v>0</v>
      </c>
      <c r="Q54" s="242">
        <f>ROUND(供應率ALL!K16,1)</f>
        <v>0</v>
      </c>
      <c r="R54" s="242">
        <f>ROUND(供應率ALL!L16,1)</f>
        <v>0</v>
      </c>
      <c r="S54" s="242">
        <f>ROUND(供應率ALL!M16,1)</f>
        <v>0</v>
      </c>
      <c r="T54" s="242">
        <f>ROUND(供應率ALL!N16,1)</f>
        <v>0</v>
      </c>
      <c r="U54" s="242">
        <f>ROUND(供應率ALL!O16,1)</f>
        <v>0</v>
      </c>
      <c r="V54" s="242">
        <f>ROUND(供應率ALL!P16,1)</f>
        <v>0</v>
      </c>
      <c r="W54" s="242">
        <f>ROUND(供應率ALL!Q16,1)</f>
        <v>0</v>
      </c>
      <c r="X54" s="242">
        <f>ROUND(供應率ALL!R16,1)</f>
        <v>0</v>
      </c>
      <c r="Y54" s="242">
        <f>ROUND(供應率ALL!S16,1)</f>
        <v>0</v>
      </c>
      <c r="Z54" s="242">
        <f>ROUND(供應率ALL!T16,1)</f>
        <v>0</v>
      </c>
      <c r="AA54" s="242">
        <f>ROUND(供應率ALL!U16,1)</f>
        <v>0</v>
      </c>
      <c r="AB54" s="242">
        <f>ROUND(供應率ALL!V16,1)</f>
        <v>0</v>
      </c>
      <c r="AC54" s="242">
        <f>ROUND(供應率ALL!W16,1)</f>
        <v>0</v>
      </c>
      <c r="AD54" s="242">
        <f>ROUND(供應率ALL!X16,1)</f>
        <v>0</v>
      </c>
      <c r="AE54" s="242">
        <f>ROUND(供應率ALL!Y16,1)</f>
        <v>0</v>
      </c>
      <c r="AF54" s="242">
        <f>ROUND(供應率ALL!Z16,1)</f>
        <v>0</v>
      </c>
      <c r="AG54" s="242">
        <f>ROUND(供應率ALL!AA16,1)</f>
        <v>0</v>
      </c>
      <c r="AH54" s="242">
        <f>ROUND(供應率ALL!AB16,1)</f>
        <v>0</v>
      </c>
      <c r="AI54" s="242">
        <f>ROUND(供應率ALL!AC16,1)</f>
        <v>0</v>
      </c>
      <c r="AJ54" s="242">
        <f>ROUND(供應率ALL!AD16,1)</f>
        <v>0</v>
      </c>
      <c r="AK54" s="242">
        <f>ROUND(供應率ALL!AE16,1)</f>
        <v>0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0</v>
      </c>
      <c r="AO54" s="54"/>
    </row>
    <row r="55" spans="1:41" s="42" customFormat="1" ht="22" customHeight="1">
      <c r="A55" s="591" t="s">
        <v>30</v>
      </c>
      <c r="B55" s="592"/>
      <c r="C55" s="593"/>
      <c r="D55" s="272" t="str">
        <f>HLOOKUP(MONTH(日期!$C$2),去年月推移!$D$1:$O$200,113,TRUE)</f>
        <v>0</v>
      </c>
      <c r="E55" s="267"/>
      <c r="F55" s="267"/>
      <c r="G55" s="558">
        <f>ROUND(當年月推移!P114,1)</f>
        <v>0</v>
      </c>
      <c r="H55" s="559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2" customHeight="1">
      <c r="A56" s="594" t="s">
        <v>31</v>
      </c>
      <c r="B56" s="595"/>
      <c r="C56" s="596"/>
      <c r="D56" s="49" t="str">
        <f>HLOOKUP(MONTH(日期!$C$2),去年月推移!$D$1:$O$200,114,TRUE)</f>
        <v>0</v>
      </c>
      <c r="E56" s="268"/>
      <c r="F56" s="268"/>
      <c r="G56" s="558">
        <f>ROUND(當年月推移!P115,1)</f>
        <v>0</v>
      </c>
      <c r="H56" s="559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2" customHeight="1">
      <c r="A57" s="594" t="s">
        <v>32</v>
      </c>
      <c r="B57" s="595"/>
      <c r="C57" s="596"/>
      <c r="D57" s="49" t="str">
        <f>HLOOKUP(MONTH(日期!$C$2),去年月推移!$D$1:$O$200,115,TRUE)</f>
        <v>0</v>
      </c>
      <c r="E57" s="268"/>
      <c r="F57" s="268"/>
      <c r="G57" s="558">
        <f>ROUND(當年月推移!P116,1)</f>
        <v>0</v>
      </c>
      <c r="H57" s="559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2" customHeight="1">
      <c r="A58" s="594" t="s">
        <v>33</v>
      </c>
      <c r="B58" s="595"/>
      <c r="C58" s="596"/>
      <c r="D58" s="49" t="str">
        <f>HLOOKUP(MONTH(日期!$C$2),去年月推移!$D$1:$O$200,116,TRUE)</f>
        <v>0</v>
      </c>
      <c r="E58" s="268"/>
      <c r="F58" s="268"/>
      <c r="G58" s="558">
        <f>ROUND(當年月推移!P117,1)</f>
        <v>0</v>
      </c>
      <c r="H58" s="559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2" customHeight="1">
      <c r="A59" s="594" t="s">
        <v>34</v>
      </c>
      <c r="B59" s="595"/>
      <c r="C59" s="596"/>
      <c r="D59" s="243" t="str">
        <f>HLOOKUP(MONTH(日期!$C$2),去年月推移!$D$1:$O$200,117,TRUE)</f>
        <v>0</v>
      </c>
      <c r="E59" s="297"/>
      <c r="F59" s="297"/>
      <c r="G59" s="558">
        <f>ROUND(當年月推移!P118,1)</f>
        <v>0</v>
      </c>
      <c r="H59" s="559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2" customHeight="1" thickBot="1">
      <c r="A60" s="525" t="s">
        <v>29</v>
      </c>
      <c r="B60" s="526"/>
      <c r="C60" s="527"/>
      <c r="D60" s="486">
        <f>HLOOKUP(MONTH(日期!$C$2),去年月推移!$D$1:$O$200,118,TRUE)</f>
        <v>85.5</v>
      </c>
      <c r="E60" s="231"/>
      <c r="F60" s="231"/>
      <c r="G60" s="597">
        <f>ROUND(當年月推移!P119,1)</f>
        <v>0</v>
      </c>
      <c r="H60" s="598"/>
      <c r="I60" s="242">
        <f>ROUND(供應率ALL!C21,1)</f>
        <v>0</v>
      </c>
      <c r="J60" s="242">
        <f>ROUND(供應率ALL!D21,1)</f>
        <v>0</v>
      </c>
      <c r="K60" s="242">
        <f>ROUND(供應率ALL!E21,1)</f>
        <v>0</v>
      </c>
      <c r="L60" s="242">
        <f>ROUND(供應率ALL!F21,1)</f>
        <v>0</v>
      </c>
      <c r="M60" s="242">
        <f>ROUND(供應率ALL!G21,1)</f>
        <v>0</v>
      </c>
      <c r="N60" s="242">
        <f>ROUND(供應率ALL!H21,1)</f>
        <v>0</v>
      </c>
      <c r="O60" s="242">
        <f>ROUND(供應率ALL!I21,1)</f>
        <v>0</v>
      </c>
      <c r="P60" s="242">
        <f>ROUND(供應率ALL!J21,1)</f>
        <v>0</v>
      </c>
      <c r="Q60" s="242">
        <f>ROUND(供應率ALL!K21,1)</f>
        <v>0</v>
      </c>
      <c r="R60" s="242">
        <f>ROUND(供應率ALL!L21,1)</f>
        <v>0</v>
      </c>
      <c r="S60" s="242">
        <f>ROUND(供應率ALL!M21,1)</f>
        <v>0</v>
      </c>
      <c r="T60" s="242">
        <f>ROUND(供應率ALL!N21,1)</f>
        <v>0</v>
      </c>
      <c r="U60" s="242">
        <f>ROUND(供應率ALL!O21,1)</f>
        <v>0</v>
      </c>
      <c r="V60" s="242">
        <f>ROUND(供應率ALL!P21,1)</f>
        <v>0</v>
      </c>
      <c r="W60" s="242">
        <f>ROUND(供應率ALL!Q21,1)</f>
        <v>0</v>
      </c>
      <c r="X60" s="242">
        <f>ROUND(供應率ALL!R21,1)</f>
        <v>0</v>
      </c>
      <c r="Y60" s="242">
        <f>ROUND(供應率ALL!S21,1)</f>
        <v>0</v>
      </c>
      <c r="Z60" s="242">
        <f>ROUND(供應率ALL!T21,1)</f>
        <v>0</v>
      </c>
      <c r="AA60" s="242">
        <f>ROUND(供應率ALL!U21,1)</f>
        <v>0</v>
      </c>
      <c r="AB60" s="242">
        <f>ROUND(供應率ALL!V21,1)</f>
        <v>0</v>
      </c>
      <c r="AC60" s="242">
        <f>ROUND(供應率ALL!W21,1)</f>
        <v>0</v>
      </c>
      <c r="AD60" s="242">
        <f>ROUND(供應率ALL!X21,1)</f>
        <v>0</v>
      </c>
      <c r="AE60" s="242">
        <f>ROUND(供應率ALL!Y21,1)</f>
        <v>0</v>
      </c>
      <c r="AF60" s="242">
        <f>ROUND(供應率ALL!Z21,1)</f>
        <v>0</v>
      </c>
      <c r="AG60" s="242">
        <f>ROUND(供應率ALL!AA21,1)</f>
        <v>0</v>
      </c>
      <c r="AH60" s="242">
        <f>ROUND(供應率ALL!AB21,1)</f>
        <v>0</v>
      </c>
      <c r="AI60" s="242">
        <f>ROUND(供應率ALL!AC21,1)</f>
        <v>0</v>
      </c>
      <c r="AJ60" s="242">
        <f>ROUND(供應率ALL!AD21,1)</f>
        <v>0</v>
      </c>
      <c r="AK60" s="242">
        <f>ROUND(供應率ALL!AE21,1)</f>
        <v>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0</v>
      </c>
      <c r="AO60" s="54"/>
    </row>
    <row r="61" spans="1:41" s="35" customFormat="1" ht="23.15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5" customHeight="1" thickBot="1">
      <c r="A62" s="41" t="s">
        <v>50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64" t="s">
        <v>0</v>
      </c>
      <c r="B63" s="565"/>
      <c r="C63" s="565"/>
      <c r="D63" s="568" t="str">
        <f>D3</f>
        <v>1899/1</v>
      </c>
      <c r="E63" s="601" t="str">
        <f>E3</f>
        <v>1900/1</v>
      </c>
      <c r="F63" s="603"/>
      <c r="G63" s="630">
        <f>YEAR(日期!C2)</f>
        <v>1900</v>
      </c>
      <c r="H63" s="631"/>
      <c r="I63" s="490">
        <f>日期!C2</f>
        <v>0</v>
      </c>
      <c r="J63" s="490">
        <f>日期!D2</f>
        <v>0</v>
      </c>
      <c r="K63" s="490">
        <f>日期!E2</f>
        <v>0</v>
      </c>
      <c r="L63" s="490">
        <f>日期!F2</f>
        <v>0</v>
      </c>
      <c r="M63" s="490">
        <f>日期!G2</f>
        <v>0</v>
      </c>
      <c r="N63" s="490">
        <f>日期!H2</f>
        <v>0</v>
      </c>
      <c r="O63" s="490">
        <f>日期!I2</f>
        <v>0</v>
      </c>
      <c r="P63" s="490">
        <f>日期!J2</f>
        <v>0</v>
      </c>
      <c r="Q63" s="490">
        <f>日期!K2</f>
        <v>0</v>
      </c>
      <c r="R63" s="490">
        <f>日期!L2</f>
        <v>0</v>
      </c>
      <c r="S63" s="490">
        <f>日期!M2</f>
        <v>0</v>
      </c>
      <c r="T63" s="490">
        <f>日期!N2</f>
        <v>0</v>
      </c>
      <c r="U63" s="490">
        <f>日期!O2</f>
        <v>0</v>
      </c>
      <c r="V63" s="490">
        <f>日期!P2</f>
        <v>0</v>
      </c>
      <c r="W63" s="490">
        <f>日期!Q2</f>
        <v>0</v>
      </c>
      <c r="X63" s="490">
        <f>日期!R2</f>
        <v>0</v>
      </c>
      <c r="Y63" s="490">
        <f>日期!S2</f>
        <v>0</v>
      </c>
      <c r="Z63" s="490">
        <f>日期!T2</f>
        <v>0</v>
      </c>
      <c r="AA63" s="490">
        <f>日期!U2</f>
        <v>0</v>
      </c>
      <c r="AB63" s="490">
        <f>日期!V2</f>
        <v>0</v>
      </c>
      <c r="AC63" s="490">
        <f>日期!W2</f>
        <v>0</v>
      </c>
      <c r="AD63" s="490">
        <f>日期!X2</f>
        <v>0</v>
      </c>
      <c r="AE63" s="490">
        <f>日期!Y2</f>
        <v>0</v>
      </c>
      <c r="AF63" s="490">
        <f>日期!Z2</f>
        <v>0</v>
      </c>
      <c r="AG63" s="490">
        <f>日期!AA2</f>
        <v>0</v>
      </c>
      <c r="AH63" s="490">
        <f>日期!AB2</f>
        <v>0</v>
      </c>
      <c r="AI63" s="490">
        <f>日期!AC2</f>
        <v>0</v>
      </c>
      <c r="AJ63" s="490">
        <f>日期!AD2</f>
        <v>0</v>
      </c>
      <c r="AK63" s="490">
        <f>日期!AE2</f>
        <v>0</v>
      </c>
      <c r="AL63" s="490">
        <f>日期!AF2</f>
        <v>0</v>
      </c>
      <c r="AM63" s="490">
        <f>日期!AG2</f>
        <v>0</v>
      </c>
      <c r="AN63" s="560" t="s">
        <v>41</v>
      </c>
    </row>
    <row r="64" spans="1:41" s="14" customFormat="1" ht="22.75" customHeight="1" thickBot="1">
      <c r="A64" s="599"/>
      <c r="B64" s="600"/>
      <c r="C64" s="600"/>
      <c r="D64" s="569"/>
      <c r="E64" s="602"/>
      <c r="F64" s="604"/>
      <c r="G64" s="632" t="s">
        <v>42</v>
      </c>
      <c r="H64" s="633"/>
      <c r="I64" s="12">
        <f>日期!C3</f>
        <v>0</v>
      </c>
      <c r="J64" s="12">
        <f>日期!D3</f>
        <v>0</v>
      </c>
      <c r="K64" s="12">
        <f>日期!E3</f>
        <v>0</v>
      </c>
      <c r="L64" s="12">
        <f>日期!F3</f>
        <v>0</v>
      </c>
      <c r="M64" s="12">
        <f>日期!G3</f>
        <v>0</v>
      </c>
      <c r="N64" s="12">
        <f>日期!H3</f>
        <v>0</v>
      </c>
      <c r="O64" s="12">
        <f>日期!I3</f>
        <v>0</v>
      </c>
      <c r="P64" s="12">
        <f>日期!J3</f>
        <v>0</v>
      </c>
      <c r="Q64" s="12">
        <f>日期!K3</f>
        <v>0</v>
      </c>
      <c r="R64" s="12">
        <f>日期!L3</f>
        <v>0</v>
      </c>
      <c r="S64" s="12">
        <f>日期!M3</f>
        <v>0</v>
      </c>
      <c r="T64" s="12">
        <f>日期!N3</f>
        <v>0</v>
      </c>
      <c r="U64" s="12">
        <f>日期!O3</f>
        <v>0</v>
      </c>
      <c r="V64" s="12">
        <f>日期!P3</f>
        <v>0</v>
      </c>
      <c r="W64" s="12">
        <f>日期!Q3</f>
        <v>0</v>
      </c>
      <c r="X64" s="12">
        <f>日期!R3</f>
        <v>0</v>
      </c>
      <c r="Y64" s="12">
        <f>日期!S3</f>
        <v>0</v>
      </c>
      <c r="Z64" s="12">
        <f>日期!T3</f>
        <v>0</v>
      </c>
      <c r="AA64" s="12">
        <f>日期!U3</f>
        <v>0</v>
      </c>
      <c r="AB64" s="12">
        <f>日期!V3</f>
        <v>0</v>
      </c>
      <c r="AC64" s="12">
        <f>日期!W3</f>
        <v>0</v>
      </c>
      <c r="AD64" s="12">
        <f>日期!X3</f>
        <v>0</v>
      </c>
      <c r="AE64" s="12">
        <f>日期!Y3</f>
        <v>0</v>
      </c>
      <c r="AF64" s="12">
        <f>日期!Z3</f>
        <v>0</v>
      </c>
      <c r="AG64" s="12">
        <f>日期!AA3</f>
        <v>0</v>
      </c>
      <c r="AH64" s="12">
        <f>日期!AB3</f>
        <v>0</v>
      </c>
      <c r="AI64" s="12">
        <f>日期!AC3</f>
        <v>0</v>
      </c>
      <c r="AJ64" s="12">
        <f>日期!AD3</f>
        <v>0</v>
      </c>
      <c r="AK64" s="12">
        <f>日期!AE3</f>
        <v>0</v>
      </c>
      <c r="AL64" s="12">
        <f>日期!AF3</f>
        <v>0</v>
      </c>
      <c r="AM64" s="12">
        <f>日期!AG3</f>
        <v>0</v>
      </c>
      <c r="AN64" s="561"/>
    </row>
    <row r="65" spans="1:41" s="11" customFormat="1" ht="22" customHeight="1">
      <c r="A65" s="587" t="s">
        <v>51</v>
      </c>
      <c r="B65" s="588"/>
      <c r="C65" s="588"/>
      <c r="D65" s="313" t="str">
        <f>HLOOKUP(MONTH(日期!$C$2),去年月推移!$D$1:$O$200,122,TRUE)</f>
        <v>98.1</v>
      </c>
      <c r="E65" s="272">
        <v>98.1</v>
      </c>
      <c r="F65" s="272" t="s">
        <v>44</v>
      </c>
      <c r="G65" s="589">
        <f>ROUND(當年月推移!P124,1)</f>
        <v>0</v>
      </c>
      <c r="H65" s="590"/>
      <c r="I65" s="245">
        <f>ROUND(供應率!D2,1)</f>
        <v>0</v>
      </c>
      <c r="J65" s="245">
        <f>ROUND(供應率!E2,1)</f>
        <v>0</v>
      </c>
      <c r="K65" s="245">
        <f>ROUND(供應率!F2,1)</f>
        <v>0</v>
      </c>
      <c r="L65" s="245">
        <f>ROUND(供應率!G2,1)</f>
        <v>0</v>
      </c>
      <c r="M65" s="245">
        <f>ROUND(供應率!H2,1)</f>
        <v>0</v>
      </c>
      <c r="N65" s="245">
        <f>ROUND(供應率!I2,1)</f>
        <v>0</v>
      </c>
      <c r="O65" s="245">
        <f>ROUND(供應率!J2,1)</f>
        <v>0</v>
      </c>
      <c r="P65" s="245">
        <f>ROUND(供應率!K2,1)</f>
        <v>0</v>
      </c>
      <c r="Q65" s="245">
        <f>ROUND(供應率!L2,1)</f>
        <v>0</v>
      </c>
      <c r="R65" s="245">
        <f>ROUND(供應率!M2,1)</f>
        <v>0</v>
      </c>
      <c r="S65" s="245">
        <f>ROUND(供應率!N2,1)</f>
        <v>0</v>
      </c>
      <c r="T65" s="245">
        <f>ROUND(供應率!O2,1)</f>
        <v>0</v>
      </c>
      <c r="U65" s="245">
        <f>ROUND(供應率!P2,1)</f>
        <v>0</v>
      </c>
      <c r="V65" s="245">
        <f>ROUND(供應率!Q2,1)</f>
        <v>0</v>
      </c>
      <c r="W65" s="245">
        <f>ROUND(供應率!R2,1)</f>
        <v>0</v>
      </c>
      <c r="X65" s="245">
        <f>ROUND(供應率!S2,1)</f>
        <v>0</v>
      </c>
      <c r="Y65" s="245">
        <f>ROUND(供應率!T2,1)</f>
        <v>0</v>
      </c>
      <c r="Z65" s="245">
        <f>ROUND(供應率!U2,1)</f>
        <v>0</v>
      </c>
      <c r="AA65" s="245">
        <f>ROUND(供應率!V2,1)</f>
        <v>0</v>
      </c>
      <c r="AB65" s="245">
        <f>ROUND(供應率!W2,1)</f>
        <v>0</v>
      </c>
      <c r="AC65" s="245">
        <f>ROUND(供應率!X2,1)</f>
        <v>0</v>
      </c>
      <c r="AD65" s="245">
        <f>ROUND(供應率!Y2,1)</f>
        <v>0</v>
      </c>
      <c r="AE65" s="245">
        <f>ROUND(供應率!Z2,1)</f>
        <v>0</v>
      </c>
      <c r="AF65" s="245">
        <f>ROUND(供應率!AA2,1)</f>
        <v>0</v>
      </c>
      <c r="AG65" s="245">
        <f>ROUND(供應率!AB2,1)</f>
        <v>0</v>
      </c>
      <c r="AH65" s="245">
        <f>ROUND(供應率!AC2,1)</f>
        <v>0</v>
      </c>
      <c r="AI65" s="245">
        <f>ROUND(供應率!AD2,1)</f>
        <v>0</v>
      </c>
      <c r="AJ65" s="245">
        <f>ROUND(供應率!AE2,1)</f>
        <v>0</v>
      </c>
      <c r="AK65" s="245">
        <f>ROUND(供應率!AF2,1)</f>
        <v>0</v>
      </c>
      <c r="AL65" s="245">
        <f>ROUND(供應率!AG2,1)</f>
        <v>0</v>
      </c>
      <c r="AM65" s="245">
        <f>ROUND(供應率!AH2,1)</f>
        <v>0</v>
      </c>
      <c r="AN65" s="213">
        <f>ROUND(供應率!AI2,1)</f>
        <v>0</v>
      </c>
      <c r="AO65" s="55"/>
    </row>
    <row r="66" spans="1:41" s="11" customFormat="1" ht="22" customHeight="1">
      <c r="A66" s="540" t="s">
        <v>52</v>
      </c>
      <c r="B66" s="541"/>
      <c r="C66" s="541"/>
      <c r="D66" s="311" t="str">
        <f>HLOOKUP(MONTH(日期!$C$2),去年月推移!$D$1:$O$200,123,TRUE)</f>
        <v>98.4</v>
      </c>
      <c r="E66" s="49">
        <v>98.1</v>
      </c>
      <c r="F66" s="49" t="s">
        <v>44</v>
      </c>
      <c r="G66" s="558">
        <f>ROUND(當年月推移!P125,1)</f>
        <v>0</v>
      </c>
      <c r="H66" s="559"/>
      <c r="I66" s="47">
        <f>ROUND(供應率!D3,1)</f>
        <v>0</v>
      </c>
      <c r="J66" s="47">
        <f>ROUND(供應率!E3,1)</f>
        <v>0</v>
      </c>
      <c r="K66" s="47">
        <f>ROUND(供應率!F3,1)</f>
        <v>0</v>
      </c>
      <c r="L66" s="47">
        <f>ROUND(供應率!G3,1)</f>
        <v>0</v>
      </c>
      <c r="M66" s="47">
        <f>ROUND(供應率!H3,1)</f>
        <v>0</v>
      </c>
      <c r="N66" s="47">
        <f>ROUND(供應率!I3,1)</f>
        <v>0</v>
      </c>
      <c r="O66" s="47">
        <f>ROUND(供應率!J3,1)</f>
        <v>0</v>
      </c>
      <c r="P66" s="47">
        <f>ROUND(供應率!K3,1)</f>
        <v>0</v>
      </c>
      <c r="Q66" s="47">
        <f>ROUND(供應率!L3,1)</f>
        <v>0</v>
      </c>
      <c r="R66" s="47">
        <f>ROUND(供應率!M3,1)</f>
        <v>0</v>
      </c>
      <c r="S66" s="47">
        <f>ROUND(供應率!N3,1)</f>
        <v>0</v>
      </c>
      <c r="T66" s="47">
        <f>ROUND(供應率!O3,1)</f>
        <v>0</v>
      </c>
      <c r="U66" s="47">
        <f>ROUND(供應率!P3,1)</f>
        <v>0</v>
      </c>
      <c r="V66" s="47">
        <f>ROUND(供應率!Q3,1)</f>
        <v>0</v>
      </c>
      <c r="W66" s="47">
        <f>ROUND(供應率!R3,1)</f>
        <v>0</v>
      </c>
      <c r="X66" s="47">
        <f>ROUND(供應率!S3,1)</f>
        <v>0</v>
      </c>
      <c r="Y66" s="47">
        <f>ROUND(供應率!T3,1)</f>
        <v>0</v>
      </c>
      <c r="Z66" s="47">
        <f>ROUND(供應率!U3,1)</f>
        <v>0</v>
      </c>
      <c r="AA66" s="47">
        <f>ROUND(供應率!V3,1)</f>
        <v>0</v>
      </c>
      <c r="AB66" s="47">
        <f>ROUND(供應率!W3,1)</f>
        <v>0</v>
      </c>
      <c r="AC66" s="47">
        <f>ROUND(供應率!X3,1)</f>
        <v>0</v>
      </c>
      <c r="AD66" s="47">
        <f>ROUND(供應率!Y3,1)</f>
        <v>0</v>
      </c>
      <c r="AE66" s="47">
        <f>ROUND(供應率!Z3,1)</f>
        <v>0</v>
      </c>
      <c r="AF66" s="47">
        <f>ROUND(供應率!AA3,1)</f>
        <v>0</v>
      </c>
      <c r="AG66" s="47">
        <f>ROUND(供應率!AB3,1)</f>
        <v>0</v>
      </c>
      <c r="AH66" s="47">
        <f>ROUND(供應率!AC3,1)</f>
        <v>0</v>
      </c>
      <c r="AI66" s="47">
        <f>ROUND(供應率!AD3,1)</f>
        <v>0</v>
      </c>
      <c r="AJ66" s="47">
        <f>ROUND(供應率!AE3,1)</f>
        <v>0</v>
      </c>
      <c r="AK66" s="47">
        <f>ROUND(供應率!AF3,1)</f>
        <v>0</v>
      </c>
      <c r="AL66" s="47">
        <f>ROUND(供應率!AG3,1)</f>
        <v>0</v>
      </c>
      <c r="AM66" s="47">
        <f>ROUND(供應率!AH3,1)</f>
        <v>0</v>
      </c>
      <c r="AN66" s="214">
        <f>ROUND(供應率!AI3,1)</f>
        <v>0</v>
      </c>
      <c r="AO66" s="55"/>
    </row>
    <row r="67" spans="1:41" s="11" customFormat="1" ht="22" customHeight="1">
      <c r="A67" s="540" t="s">
        <v>53</v>
      </c>
      <c r="B67" s="541"/>
      <c r="C67" s="541"/>
      <c r="D67" s="311" t="str">
        <f>HLOOKUP(MONTH(日期!$C$2),去年月推移!$D$1:$O$200,124,TRUE)</f>
        <v>99.3</v>
      </c>
      <c r="E67" s="49">
        <v>99.2</v>
      </c>
      <c r="F67" s="49" t="s">
        <v>44</v>
      </c>
      <c r="G67" s="558">
        <f>ROUND(當年月推移!P126,1)</f>
        <v>0</v>
      </c>
      <c r="H67" s="559"/>
      <c r="I67" s="47">
        <f>ROUND(供應率!D4,1)</f>
        <v>0</v>
      </c>
      <c r="J67" s="47">
        <f>ROUND(供應率!E4,1)</f>
        <v>0</v>
      </c>
      <c r="K67" s="47">
        <f>ROUND(供應率!F4,1)</f>
        <v>0</v>
      </c>
      <c r="L67" s="47">
        <f>ROUND(供應率!G4,1)</f>
        <v>0</v>
      </c>
      <c r="M67" s="47">
        <f>ROUND(供應率!H4,1)</f>
        <v>0</v>
      </c>
      <c r="N67" s="47">
        <f>ROUND(供應率!I4,1)</f>
        <v>0</v>
      </c>
      <c r="O67" s="47">
        <f>ROUND(供應率!J4,1)</f>
        <v>0</v>
      </c>
      <c r="P67" s="47">
        <f>ROUND(供應率!K4,1)</f>
        <v>0</v>
      </c>
      <c r="Q67" s="47">
        <f>ROUND(供應率!L4,1)</f>
        <v>0</v>
      </c>
      <c r="R67" s="47">
        <f>ROUND(供應率!M4,1)</f>
        <v>0</v>
      </c>
      <c r="S67" s="47">
        <f>ROUND(供應率!N4,1)</f>
        <v>0</v>
      </c>
      <c r="T67" s="47">
        <f>ROUND(供應率!O4,1)</f>
        <v>0</v>
      </c>
      <c r="U67" s="47">
        <f>ROUND(供應率!P4,1)</f>
        <v>0</v>
      </c>
      <c r="V67" s="47">
        <f>ROUND(供應率!Q4,1)</f>
        <v>0</v>
      </c>
      <c r="W67" s="47">
        <f>ROUND(供應率!R4,1)</f>
        <v>0</v>
      </c>
      <c r="X67" s="47">
        <f>ROUND(供應率!S4,1)</f>
        <v>0</v>
      </c>
      <c r="Y67" s="47">
        <f>ROUND(供應率!T4,1)</f>
        <v>0</v>
      </c>
      <c r="Z67" s="47">
        <f>ROUND(供應率!U4,1)</f>
        <v>0</v>
      </c>
      <c r="AA67" s="47">
        <f>ROUND(供應率!V4,1)</f>
        <v>0</v>
      </c>
      <c r="AB67" s="47">
        <f>ROUND(供應率!W4,1)</f>
        <v>0</v>
      </c>
      <c r="AC67" s="47">
        <f>ROUND(供應率!X4,1)</f>
        <v>0</v>
      </c>
      <c r="AD67" s="47">
        <f>ROUND(供應率!Y4,1)</f>
        <v>0</v>
      </c>
      <c r="AE67" s="47">
        <f>ROUND(供應率!Z4,1)</f>
        <v>0</v>
      </c>
      <c r="AF67" s="47">
        <f>ROUND(供應率!AA4,1)</f>
        <v>0</v>
      </c>
      <c r="AG67" s="47">
        <f>ROUND(供應率!AB4,1)</f>
        <v>0</v>
      </c>
      <c r="AH67" s="47">
        <f>ROUND(供應率!AC4,1)</f>
        <v>0</v>
      </c>
      <c r="AI67" s="47">
        <f>ROUND(供應率!AD4,1)</f>
        <v>0</v>
      </c>
      <c r="AJ67" s="47">
        <f>ROUND(供應率!AE4,1)</f>
        <v>0</v>
      </c>
      <c r="AK67" s="47">
        <f>ROUND(供應率!AF4,1)</f>
        <v>0</v>
      </c>
      <c r="AL67" s="47">
        <f>ROUND(供應率!AG4,1)</f>
        <v>0</v>
      </c>
      <c r="AM67" s="47">
        <f>ROUND(供應率!AH4,1)</f>
        <v>0</v>
      </c>
      <c r="AN67" s="214">
        <f>ROUND(供應率!AI4,1)</f>
        <v>0</v>
      </c>
      <c r="AO67" s="55"/>
    </row>
    <row r="68" spans="1:41" s="11" customFormat="1" ht="22" customHeight="1">
      <c r="A68" s="575" t="s">
        <v>54</v>
      </c>
      <c r="B68" s="576"/>
      <c r="C68" s="577"/>
      <c r="D68" s="319" t="str">
        <f>HLOOKUP(MONTH(日期!$C$2),去年月推移!$D$1:$O$200,125,TRUE)</f>
        <v>98.3</v>
      </c>
      <c r="E68" s="56">
        <v>98.2</v>
      </c>
      <c r="F68" s="56" t="s">
        <v>44</v>
      </c>
      <c r="G68" s="578">
        <f>ROUND(當年月推移!P127,1)</f>
        <v>0</v>
      </c>
      <c r="H68" s="579"/>
      <c r="I68" s="57">
        <f>ROUND(供應率!D5,1)</f>
        <v>0</v>
      </c>
      <c r="J68" s="57">
        <f>ROUND(供應率!E5,1)</f>
        <v>0</v>
      </c>
      <c r="K68" s="57">
        <f>ROUND(供應率!F5,1)</f>
        <v>0</v>
      </c>
      <c r="L68" s="57">
        <f>ROUND(供應率!G5,1)</f>
        <v>0</v>
      </c>
      <c r="M68" s="57">
        <f>ROUND(供應率!H5,1)</f>
        <v>0</v>
      </c>
      <c r="N68" s="57">
        <f>ROUND(供應率!I5,1)</f>
        <v>0</v>
      </c>
      <c r="O68" s="57">
        <f>ROUND(供應率!J5,1)</f>
        <v>0</v>
      </c>
      <c r="P68" s="57">
        <f>ROUND(供應率!K5,1)</f>
        <v>0</v>
      </c>
      <c r="Q68" s="57">
        <f>ROUND(供應率!L5,1)</f>
        <v>0</v>
      </c>
      <c r="R68" s="57">
        <f>ROUND(供應率!M5,1)</f>
        <v>0</v>
      </c>
      <c r="S68" s="57">
        <f>ROUND(供應率!N5,1)</f>
        <v>0</v>
      </c>
      <c r="T68" s="57">
        <f>ROUND(供應率!O5,1)</f>
        <v>0</v>
      </c>
      <c r="U68" s="57">
        <f>ROUND(供應率!P5,1)</f>
        <v>0</v>
      </c>
      <c r="V68" s="57">
        <f>ROUND(供應率!Q5,1)</f>
        <v>0</v>
      </c>
      <c r="W68" s="57">
        <f>ROUND(供應率!R5,1)</f>
        <v>0</v>
      </c>
      <c r="X68" s="57">
        <f>ROUND(供應率!S5,1)</f>
        <v>0</v>
      </c>
      <c r="Y68" s="57">
        <f>ROUND(供應率!T5,1)</f>
        <v>0</v>
      </c>
      <c r="Z68" s="57">
        <f>ROUND(供應率!U5,1)</f>
        <v>0</v>
      </c>
      <c r="AA68" s="57">
        <f>ROUND(供應率!V5,1)</f>
        <v>0</v>
      </c>
      <c r="AB68" s="57">
        <f>ROUND(供應率!W5,1)</f>
        <v>0</v>
      </c>
      <c r="AC68" s="57">
        <f>ROUND(供應率!X5,1)</f>
        <v>0</v>
      </c>
      <c r="AD68" s="57">
        <f>ROUND(供應率!Y5,1)</f>
        <v>0</v>
      </c>
      <c r="AE68" s="57">
        <f>ROUND(供應率!Z5,1)</f>
        <v>0</v>
      </c>
      <c r="AF68" s="57">
        <f>ROUND(供應率!AA5,1)</f>
        <v>0</v>
      </c>
      <c r="AG68" s="57">
        <f>ROUND(供應率!AB5,1)</f>
        <v>0</v>
      </c>
      <c r="AH68" s="57">
        <f>ROUND(供應率!AC5,1)</f>
        <v>0</v>
      </c>
      <c r="AI68" s="57">
        <f>ROUND(供應率!AD5,1)</f>
        <v>0</v>
      </c>
      <c r="AJ68" s="57">
        <f>ROUND(供應率!AE5,1)</f>
        <v>0</v>
      </c>
      <c r="AK68" s="57">
        <f>ROUND(供應率!AF5,1)</f>
        <v>0</v>
      </c>
      <c r="AL68" s="57">
        <f>ROUND(供應率!AG5,1)</f>
        <v>0</v>
      </c>
      <c r="AM68" s="57">
        <f>ROUND(供應率!AH5,1)</f>
        <v>0</v>
      </c>
      <c r="AN68" s="216">
        <f>ROUND(供應率!AI5,1)</f>
        <v>0</v>
      </c>
      <c r="AO68" s="55"/>
    </row>
    <row r="69" spans="1:41" s="11" customFormat="1" ht="22" customHeight="1">
      <c r="A69" s="540" t="s">
        <v>11</v>
      </c>
      <c r="B69" s="541"/>
      <c r="C69" s="541"/>
      <c r="D69" s="311" t="str">
        <f>HLOOKUP(MONTH(日期!$C$2),去年月推移!$D$1:$O$200,126,TRUE)</f>
        <v>99.2</v>
      </c>
      <c r="E69" s="49">
        <v>99.5</v>
      </c>
      <c r="F69" s="49" t="s">
        <v>44</v>
      </c>
      <c r="G69" s="558">
        <f>ROUND(當年月推移!P128,1)</f>
        <v>0</v>
      </c>
      <c r="H69" s="559"/>
      <c r="I69" s="47">
        <f>ROUND(供應率!D7,1)</f>
        <v>0</v>
      </c>
      <c r="J69" s="47">
        <f>ROUND(供應率!E7,1)</f>
        <v>0</v>
      </c>
      <c r="K69" s="47">
        <f>ROUND(供應率!F7,1)</f>
        <v>0</v>
      </c>
      <c r="L69" s="47">
        <f>ROUND(供應率!G7,1)</f>
        <v>0</v>
      </c>
      <c r="M69" s="47">
        <f>ROUND(供應率!H7,1)</f>
        <v>0</v>
      </c>
      <c r="N69" s="47">
        <f>ROUND(供應率!I7,1)</f>
        <v>0</v>
      </c>
      <c r="O69" s="47">
        <f>ROUND(供應率!J7,1)</f>
        <v>0</v>
      </c>
      <c r="P69" s="47">
        <f>ROUND(供應率!K7,1)</f>
        <v>0</v>
      </c>
      <c r="Q69" s="47">
        <f>ROUND(供應率!L7,1)</f>
        <v>0</v>
      </c>
      <c r="R69" s="47">
        <f>ROUND(供應率!M7,1)</f>
        <v>0</v>
      </c>
      <c r="S69" s="47">
        <f>ROUND(供應率!N7,1)</f>
        <v>0</v>
      </c>
      <c r="T69" s="47">
        <f>ROUND(供應率!O7,1)</f>
        <v>0</v>
      </c>
      <c r="U69" s="47">
        <f>ROUND(供應率!P7,1)</f>
        <v>0</v>
      </c>
      <c r="V69" s="47">
        <f>ROUND(供應率!Q7,1)</f>
        <v>0</v>
      </c>
      <c r="W69" s="47">
        <f>ROUND(供應率!R7,1)</f>
        <v>0</v>
      </c>
      <c r="X69" s="47">
        <f>ROUND(供應率!S7,1)</f>
        <v>0</v>
      </c>
      <c r="Y69" s="47">
        <f>ROUND(供應率!T7,1)</f>
        <v>0</v>
      </c>
      <c r="Z69" s="47">
        <f>ROUND(供應率!U7,1)</f>
        <v>0</v>
      </c>
      <c r="AA69" s="47">
        <f>ROUND(供應率!V7,1)</f>
        <v>0</v>
      </c>
      <c r="AB69" s="47">
        <f>ROUND(供應率!W7,1)</f>
        <v>0</v>
      </c>
      <c r="AC69" s="47">
        <f>ROUND(供應率!X7,1)</f>
        <v>0</v>
      </c>
      <c r="AD69" s="47">
        <f>ROUND(供應率!Y7,1)</f>
        <v>0</v>
      </c>
      <c r="AE69" s="47">
        <f>ROUND(供應率!Z7,1)</f>
        <v>0</v>
      </c>
      <c r="AF69" s="47">
        <f>ROUND(供應率!AA7,1)</f>
        <v>0</v>
      </c>
      <c r="AG69" s="47">
        <f>ROUND(供應率!AB7,1)</f>
        <v>0</v>
      </c>
      <c r="AH69" s="47">
        <f>ROUND(供應率!AC7,1)</f>
        <v>0</v>
      </c>
      <c r="AI69" s="47">
        <f>ROUND(供應率!AD7,1)</f>
        <v>0</v>
      </c>
      <c r="AJ69" s="47">
        <f>ROUND(供應率!AE7,1)</f>
        <v>0</v>
      </c>
      <c r="AK69" s="47">
        <f>ROUND(供應率!AF7,1)</f>
        <v>0</v>
      </c>
      <c r="AL69" s="47">
        <f>ROUND(供應率!AG7,1)</f>
        <v>0</v>
      </c>
      <c r="AM69" s="47">
        <f>ROUND(供應率!AH7,1)</f>
        <v>0</v>
      </c>
      <c r="AN69" s="214">
        <f>ROUND(供應率!AI7,1)</f>
        <v>0</v>
      </c>
      <c r="AO69" s="55"/>
    </row>
    <row r="70" spans="1:41" s="11" customFormat="1" ht="22" customHeight="1">
      <c r="A70" s="540" t="s">
        <v>12</v>
      </c>
      <c r="B70" s="541"/>
      <c r="C70" s="541"/>
      <c r="D70" s="311" t="str">
        <f>HLOOKUP(MONTH(日期!$C$2),去年月推移!$D$1:$O$200,127,TRUE)</f>
        <v>84.5</v>
      </c>
      <c r="E70" s="49">
        <v>80</v>
      </c>
      <c r="F70" s="49" t="s">
        <v>44</v>
      </c>
      <c r="G70" s="558">
        <f>ROUND(當年月推移!P129,1)</f>
        <v>0</v>
      </c>
      <c r="H70" s="559"/>
      <c r="I70" s="47">
        <f>ROUND(供應率!D8,1)</f>
        <v>0</v>
      </c>
      <c r="J70" s="47">
        <f>ROUND(供應率!E8,1)</f>
        <v>0</v>
      </c>
      <c r="K70" s="47">
        <f>ROUND(供應率!F8,1)</f>
        <v>0</v>
      </c>
      <c r="L70" s="47">
        <f>ROUND(供應率!G8,1)</f>
        <v>0</v>
      </c>
      <c r="M70" s="47">
        <f>ROUND(供應率!H8,1)</f>
        <v>0</v>
      </c>
      <c r="N70" s="47">
        <f>ROUND(供應率!I8,1)</f>
        <v>0</v>
      </c>
      <c r="O70" s="47">
        <f>ROUND(供應率!J8,1)</f>
        <v>0</v>
      </c>
      <c r="P70" s="47">
        <f>ROUND(供應率!K8,1)</f>
        <v>0</v>
      </c>
      <c r="Q70" s="47">
        <f>ROUND(供應率!L8,1)</f>
        <v>0</v>
      </c>
      <c r="R70" s="47">
        <f>ROUND(供應率!M8,1)</f>
        <v>0</v>
      </c>
      <c r="S70" s="47">
        <f>ROUND(供應率!N8,1)</f>
        <v>0</v>
      </c>
      <c r="T70" s="47">
        <f>ROUND(供應率!O8,1)</f>
        <v>0</v>
      </c>
      <c r="U70" s="47">
        <f>ROUND(供應率!P8,1)</f>
        <v>0</v>
      </c>
      <c r="V70" s="47">
        <f>ROUND(供應率!Q8,1)</f>
        <v>0</v>
      </c>
      <c r="W70" s="47">
        <f>ROUND(供應率!R8,1)</f>
        <v>0</v>
      </c>
      <c r="X70" s="47">
        <f>ROUND(供應率!S8,1)</f>
        <v>0</v>
      </c>
      <c r="Y70" s="47">
        <f>ROUND(供應率!T8,1)</f>
        <v>0</v>
      </c>
      <c r="Z70" s="47">
        <f>ROUND(供應率!U8,1)</f>
        <v>0</v>
      </c>
      <c r="AA70" s="47">
        <f>ROUND(供應率!V8,1)</f>
        <v>0</v>
      </c>
      <c r="AB70" s="47">
        <f>ROUND(供應率!W8,1)</f>
        <v>0</v>
      </c>
      <c r="AC70" s="47">
        <f>ROUND(供應率!X8,1)</f>
        <v>0</v>
      </c>
      <c r="AD70" s="47">
        <f>ROUND(供應率!Y8,1)</f>
        <v>0</v>
      </c>
      <c r="AE70" s="47">
        <f>ROUND(供應率!Z8,1)</f>
        <v>0</v>
      </c>
      <c r="AF70" s="47">
        <f>ROUND(供應率!AA8,1)</f>
        <v>0</v>
      </c>
      <c r="AG70" s="47">
        <f>ROUND(供應率!AB8,1)</f>
        <v>0</v>
      </c>
      <c r="AH70" s="47">
        <f>ROUND(供應率!AC8,1)</f>
        <v>0</v>
      </c>
      <c r="AI70" s="47">
        <f>ROUND(供應率!AD8,1)</f>
        <v>0</v>
      </c>
      <c r="AJ70" s="47">
        <f>ROUND(供應率!AE8,1)</f>
        <v>0</v>
      </c>
      <c r="AK70" s="47">
        <f>ROUND(供應率!AF8,1)</f>
        <v>0</v>
      </c>
      <c r="AL70" s="47">
        <f>ROUND(供應率!AG8,1)</f>
        <v>0</v>
      </c>
      <c r="AM70" s="47">
        <f>ROUND(供應率!AH8,1)</f>
        <v>0</v>
      </c>
      <c r="AN70" s="214">
        <f>ROUND(供應率!AI8,1)</f>
        <v>0</v>
      </c>
      <c r="AO70" s="55"/>
    </row>
    <row r="71" spans="1:41" s="11" customFormat="1" ht="21.75" customHeight="1">
      <c r="A71" s="540" t="s">
        <v>13</v>
      </c>
      <c r="B71" s="541"/>
      <c r="C71" s="541"/>
      <c r="D71" s="311" t="str">
        <f>HLOOKUP(MONTH(日期!$C$2),去年月推移!$D$1:$O$200,128,TRUE)</f>
        <v>99.7</v>
      </c>
      <c r="E71" s="49">
        <v>99.2</v>
      </c>
      <c r="F71" s="49" t="s">
        <v>44</v>
      </c>
      <c r="G71" s="558">
        <f>ROUND(當年月推移!P130,1)</f>
        <v>0</v>
      </c>
      <c r="H71" s="559"/>
      <c r="I71" s="47">
        <f>ROUND(供應率!D9,1)</f>
        <v>0</v>
      </c>
      <c r="J71" s="47">
        <f>ROUND(供應率!E9,1)</f>
        <v>0</v>
      </c>
      <c r="K71" s="47">
        <f>ROUND(供應率!F9,1)</f>
        <v>0</v>
      </c>
      <c r="L71" s="47">
        <f>ROUND(供應率!G9,1)</f>
        <v>0</v>
      </c>
      <c r="M71" s="47">
        <f>ROUND(供應率!H9,1)</f>
        <v>0</v>
      </c>
      <c r="N71" s="47">
        <f>ROUND(供應率!I9,1)</f>
        <v>0</v>
      </c>
      <c r="O71" s="47">
        <f>ROUND(供應率!J9,1)</f>
        <v>0</v>
      </c>
      <c r="P71" s="47">
        <f>ROUND(供應率!K9,1)</f>
        <v>0</v>
      </c>
      <c r="Q71" s="47">
        <f>ROUND(供應率!L9,1)</f>
        <v>0</v>
      </c>
      <c r="R71" s="47">
        <f>ROUND(供應率!M9,1)</f>
        <v>0</v>
      </c>
      <c r="S71" s="47">
        <f>ROUND(供應率!N9,1)</f>
        <v>0</v>
      </c>
      <c r="T71" s="47">
        <f>ROUND(供應率!O9,1)</f>
        <v>0</v>
      </c>
      <c r="U71" s="47">
        <f>ROUND(供應率!P9,1)</f>
        <v>0</v>
      </c>
      <c r="V71" s="47">
        <f>ROUND(供應率!Q9,1)</f>
        <v>0</v>
      </c>
      <c r="W71" s="47">
        <f>ROUND(供應率!R9,1)</f>
        <v>0</v>
      </c>
      <c r="X71" s="47">
        <f>ROUND(供應率!S9,1)</f>
        <v>0</v>
      </c>
      <c r="Y71" s="47">
        <f>ROUND(供應率!T9,1)</f>
        <v>0</v>
      </c>
      <c r="Z71" s="47">
        <f>ROUND(供應率!U9,1)</f>
        <v>0</v>
      </c>
      <c r="AA71" s="47">
        <f>ROUND(供應率!V9,1)</f>
        <v>0</v>
      </c>
      <c r="AB71" s="47">
        <f>ROUND(供應率!W9,1)</f>
        <v>0</v>
      </c>
      <c r="AC71" s="47">
        <f>ROUND(供應率!X9,1)</f>
        <v>0</v>
      </c>
      <c r="AD71" s="47">
        <f>ROUND(供應率!Y9,1)</f>
        <v>0</v>
      </c>
      <c r="AE71" s="47">
        <f>ROUND(供應率!Z9,1)</f>
        <v>0</v>
      </c>
      <c r="AF71" s="47">
        <f>ROUND(供應率!AA9,1)</f>
        <v>0</v>
      </c>
      <c r="AG71" s="47">
        <f>ROUND(供應率!AB9,1)</f>
        <v>0</v>
      </c>
      <c r="AH71" s="47">
        <f>ROUND(供應率!AC9,1)</f>
        <v>0</v>
      </c>
      <c r="AI71" s="47">
        <f>ROUND(供應率!AD9,1)</f>
        <v>0</v>
      </c>
      <c r="AJ71" s="47">
        <f>ROUND(供應率!AE9,1)</f>
        <v>0</v>
      </c>
      <c r="AK71" s="47">
        <f>ROUND(供應率!AF9,1)</f>
        <v>0</v>
      </c>
      <c r="AL71" s="47">
        <f>ROUND(供應率!AG9,1)</f>
        <v>0</v>
      </c>
      <c r="AM71" s="47">
        <f>ROUND(供應率!AH9,1)</f>
        <v>0</v>
      </c>
      <c r="AN71" s="214">
        <f>ROUND(供應率!AI9,1)</f>
        <v>0</v>
      </c>
      <c r="AO71" s="55"/>
    </row>
    <row r="72" spans="1:41" s="11" customFormat="1" ht="22" customHeight="1">
      <c r="A72" s="540" t="s">
        <v>55</v>
      </c>
      <c r="B72" s="541"/>
      <c r="C72" s="541"/>
      <c r="D72" s="311">
        <f>HLOOKUP(MONTH(日期!$C$2),[2]去年月推移!$D$1:$O$200,129,TRUE)</f>
        <v>0</v>
      </c>
      <c r="E72" s="49">
        <v>94.5</v>
      </c>
      <c r="F72" s="49" t="s">
        <v>44</v>
      </c>
      <c r="G72" s="558">
        <f>ROUND(當年月推移!P131,1)</f>
        <v>0</v>
      </c>
      <c r="H72" s="559"/>
      <c r="I72" s="47">
        <f>ROUND(供應率!D22,1)</f>
        <v>0</v>
      </c>
      <c r="J72" s="47">
        <f>ROUND(供應率!E22,1)</f>
        <v>0</v>
      </c>
      <c r="K72" s="47">
        <f>ROUND(供應率!F22,1)</f>
        <v>0</v>
      </c>
      <c r="L72" s="47">
        <f>ROUND(供應率!G22,1)</f>
        <v>0</v>
      </c>
      <c r="M72" s="47">
        <f>ROUND(供應率!H22,1)</f>
        <v>0</v>
      </c>
      <c r="N72" s="47">
        <f>ROUND(供應率!I22,1)</f>
        <v>0</v>
      </c>
      <c r="O72" s="47">
        <f>ROUND(供應率!J22,1)</f>
        <v>0</v>
      </c>
      <c r="P72" s="47">
        <f>ROUND(供應率!K22,1)</f>
        <v>0</v>
      </c>
      <c r="Q72" s="47">
        <f>ROUND(供應率!L22,1)</f>
        <v>0</v>
      </c>
      <c r="R72" s="47">
        <f>ROUND(供應率!M22,1)</f>
        <v>0</v>
      </c>
      <c r="S72" s="47">
        <f>ROUND(供應率!N22,1)</f>
        <v>0</v>
      </c>
      <c r="T72" s="47">
        <f>ROUND(供應率!O22,1)</f>
        <v>0</v>
      </c>
      <c r="U72" s="47">
        <f>ROUND(供應率!P22,1)</f>
        <v>0</v>
      </c>
      <c r="V72" s="47">
        <f>ROUND(供應率!Q22,1)</f>
        <v>0</v>
      </c>
      <c r="W72" s="47">
        <f>ROUND(供應率!R22,1)</f>
        <v>0</v>
      </c>
      <c r="X72" s="47">
        <f>ROUND(供應率!S22,1)</f>
        <v>0</v>
      </c>
      <c r="Y72" s="47">
        <f>ROUND(供應率!T22,1)</f>
        <v>0</v>
      </c>
      <c r="Z72" s="47">
        <f>ROUND(供應率!U22,1)</f>
        <v>0</v>
      </c>
      <c r="AA72" s="47">
        <f>ROUND(供應率!V22,1)</f>
        <v>0</v>
      </c>
      <c r="AB72" s="47">
        <f>ROUND(供應率!W22,1)</f>
        <v>0</v>
      </c>
      <c r="AC72" s="47">
        <f>ROUND(供應率!X22,1)</f>
        <v>0</v>
      </c>
      <c r="AD72" s="47">
        <f>ROUND(供應率!Y22,1)</f>
        <v>0</v>
      </c>
      <c r="AE72" s="47">
        <f>ROUND(供應率!Z22,1)</f>
        <v>0</v>
      </c>
      <c r="AF72" s="47">
        <f>ROUND(供應率!AA22,1)</f>
        <v>0</v>
      </c>
      <c r="AG72" s="47">
        <f>ROUND(供應率!AB22,1)</f>
        <v>0</v>
      </c>
      <c r="AH72" s="47">
        <f>ROUND(供應率!AC22,1)</f>
        <v>0</v>
      </c>
      <c r="AI72" s="47">
        <f>ROUND(供應率!AD22,1)</f>
        <v>0</v>
      </c>
      <c r="AJ72" s="47">
        <f>ROUND(供應率!AE22,1)</f>
        <v>0</v>
      </c>
      <c r="AK72" s="47">
        <f>ROUND(供應率!AF22,1)</f>
        <v>0</v>
      </c>
      <c r="AL72" s="47">
        <f>ROUND(供應率!AG22,1)</f>
        <v>0</v>
      </c>
      <c r="AM72" s="47">
        <f>ROUND(供應率!AH22,1)</f>
        <v>0</v>
      </c>
      <c r="AN72" s="214">
        <f>ROUND(供應率!AI22,1)</f>
        <v>0</v>
      </c>
      <c r="AO72" s="55"/>
    </row>
    <row r="73" spans="1:41" s="11" customFormat="1" ht="22" customHeight="1" thickBot="1">
      <c r="A73" s="585" t="s">
        <v>15</v>
      </c>
      <c r="B73" s="586"/>
      <c r="C73" s="586"/>
      <c r="D73" s="320" t="str">
        <f>HLOOKUP(MONTH(日期!$C$2),去年月推移!$D$1:$O$200,130,TRUE)</f>
        <v>98</v>
      </c>
      <c r="E73" s="58">
        <v>97</v>
      </c>
      <c r="F73" s="58" t="s">
        <v>44</v>
      </c>
      <c r="G73" s="554">
        <f>ROUND(當年月推移!P132,1)</f>
        <v>0</v>
      </c>
      <c r="H73" s="555"/>
      <c r="I73" s="59">
        <f>ROUND(供應率!D11,1)</f>
        <v>0</v>
      </c>
      <c r="J73" s="59">
        <f>ROUND(供應率!E11,1)</f>
        <v>0</v>
      </c>
      <c r="K73" s="59">
        <f>ROUND(供應率!F11,1)</f>
        <v>0</v>
      </c>
      <c r="L73" s="59">
        <f>ROUND(供應率!G11,1)</f>
        <v>0</v>
      </c>
      <c r="M73" s="59">
        <f>ROUND(供應率!H11,1)</f>
        <v>0</v>
      </c>
      <c r="N73" s="59">
        <f>ROUND(供應率!I11,1)</f>
        <v>0</v>
      </c>
      <c r="O73" s="59">
        <f>ROUND(供應率!J11,1)</f>
        <v>0</v>
      </c>
      <c r="P73" s="59">
        <f>ROUND(供應率!K11,1)</f>
        <v>0</v>
      </c>
      <c r="Q73" s="59">
        <f>ROUND(供應率!L11,1)</f>
        <v>0</v>
      </c>
      <c r="R73" s="59">
        <f>ROUND(供應率!M11,1)</f>
        <v>0</v>
      </c>
      <c r="S73" s="59">
        <f>ROUND(供應率!N11,1)</f>
        <v>0</v>
      </c>
      <c r="T73" s="59">
        <f>ROUND(供應率!O11,1)</f>
        <v>0</v>
      </c>
      <c r="U73" s="59">
        <f>ROUND(供應率!P11,1)</f>
        <v>0</v>
      </c>
      <c r="V73" s="59">
        <f>ROUND(供應率!Q11,1)</f>
        <v>0</v>
      </c>
      <c r="W73" s="59">
        <f>ROUND(供應率!R11,1)</f>
        <v>0</v>
      </c>
      <c r="X73" s="59">
        <f>ROUND(供應率!S11,1)</f>
        <v>0</v>
      </c>
      <c r="Y73" s="59">
        <f>ROUND(供應率!T11,1)</f>
        <v>0</v>
      </c>
      <c r="Z73" s="59">
        <f>ROUND(供應率!U11,1)</f>
        <v>0</v>
      </c>
      <c r="AA73" s="59">
        <f>ROUND(供應率!V11,1)</f>
        <v>0</v>
      </c>
      <c r="AB73" s="59">
        <f>ROUND(供應率!W11,1)</f>
        <v>0</v>
      </c>
      <c r="AC73" s="59">
        <f>ROUND(供應率!X11,1)</f>
        <v>0</v>
      </c>
      <c r="AD73" s="59">
        <f>ROUND(供應率!Y11,1)</f>
        <v>0</v>
      </c>
      <c r="AE73" s="59">
        <f>ROUND(供應率!Z11,1)</f>
        <v>0</v>
      </c>
      <c r="AF73" s="59">
        <f>ROUND(供應率!AA11,1)</f>
        <v>0</v>
      </c>
      <c r="AG73" s="59">
        <f>ROUND(供應率!AB11,1)</f>
        <v>0</v>
      </c>
      <c r="AH73" s="59">
        <f>ROUND(供應率!AC11,1)</f>
        <v>0</v>
      </c>
      <c r="AI73" s="59">
        <f>ROUND(供應率!AD11,1)</f>
        <v>0</v>
      </c>
      <c r="AJ73" s="59">
        <f>ROUND(供應率!AE11,1)</f>
        <v>0</v>
      </c>
      <c r="AK73" s="59">
        <f>ROUND(供應率!AF11,1)</f>
        <v>0</v>
      </c>
      <c r="AL73" s="59">
        <f>ROUND(供應率!AG11,1)</f>
        <v>0</v>
      </c>
      <c r="AM73" s="59">
        <f>ROUND(供應率!AH11,1)</f>
        <v>0</v>
      </c>
      <c r="AN73" s="217">
        <f>ROUND(供應率!AI11,1)</f>
        <v>0</v>
      </c>
      <c r="AO73" s="55"/>
    </row>
    <row r="74" spans="1:41" s="11" customFormat="1" ht="22" customHeight="1">
      <c r="A74" s="540" t="s">
        <v>22</v>
      </c>
      <c r="B74" s="541"/>
      <c r="C74" s="541"/>
      <c r="D74" s="313" t="str">
        <f>HLOOKUP(MONTH(日期!$C$2),去年月推移!$D$1:$O$200,131,TRUE)</f>
        <v>98.2</v>
      </c>
      <c r="E74" s="49">
        <v>98.559727106188546</v>
      </c>
      <c r="F74" s="49" t="s">
        <v>44</v>
      </c>
      <c r="G74" s="558">
        <f>ROUND(當年月推移!P133,1)</f>
        <v>0</v>
      </c>
      <c r="H74" s="559"/>
      <c r="I74" s="47">
        <f>ROUND(供應率!D6,1)</f>
        <v>0</v>
      </c>
      <c r="J74" s="47">
        <f>ROUND(供應率!E6,1)</f>
        <v>0</v>
      </c>
      <c r="K74" s="47">
        <f>ROUND(供應率!F6,1)</f>
        <v>0</v>
      </c>
      <c r="L74" s="47">
        <f>ROUND(供應率!G6,1)</f>
        <v>0</v>
      </c>
      <c r="M74" s="47">
        <f>ROUND(供應率!H6,1)</f>
        <v>0</v>
      </c>
      <c r="N74" s="47">
        <f>ROUND(供應率!I6,1)</f>
        <v>0</v>
      </c>
      <c r="O74" s="47">
        <f>ROUND(供應率!J6,1)</f>
        <v>0</v>
      </c>
      <c r="P74" s="47">
        <f>ROUND(供應率!K6,1)</f>
        <v>0</v>
      </c>
      <c r="Q74" s="47">
        <f>ROUND(供應率!L6,1)</f>
        <v>0</v>
      </c>
      <c r="R74" s="47">
        <f>ROUND(供應率!M6,1)</f>
        <v>0</v>
      </c>
      <c r="S74" s="47">
        <f>ROUND(供應率!N6,1)</f>
        <v>0</v>
      </c>
      <c r="T74" s="47">
        <f>ROUND(供應率!O6,1)</f>
        <v>0</v>
      </c>
      <c r="U74" s="47">
        <f>ROUND(供應率!P6,1)</f>
        <v>0</v>
      </c>
      <c r="V74" s="47">
        <f>ROUND(供應率!Q6,1)</f>
        <v>0</v>
      </c>
      <c r="W74" s="47">
        <f>ROUND(供應率!R6,1)</f>
        <v>0</v>
      </c>
      <c r="X74" s="47">
        <f>ROUND(供應率!S6,1)</f>
        <v>0</v>
      </c>
      <c r="Y74" s="47">
        <f>ROUND(供應率!T6,1)</f>
        <v>0</v>
      </c>
      <c r="Z74" s="47">
        <f>ROUND(供應率!U6,1)</f>
        <v>0</v>
      </c>
      <c r="AA74" s="47">
        <f>ROUND(供應率!V6,1)</f>
        <v>0</v>
      </c>
      <c r="AB74" s="47">
        <f>ROUND(供應率!W6,1)</f>
        <v>0</v>
      </c>
      <c r="AC74" s="47">
        <f>ROUND(供應率!X6,1)</f>
        <v>0</v>
      </c>
      <c r="AD74" s="47">
        <f>ROUND(供應率!Y6,1)</f>
        <v>0</v>
      </c>
      <c r="AE74" s="47">
        <f>ROUND(供應率!Z6,1)</f>
        <v>0</v>
      </c>
      <c r="AF74" s="47">
        <f>ROUND(供應率!AA6,1)</f>
        <v>0</v>
      </c>
      <c r="AG74" s="47">
        <f>ROUND(供應率!AB6,1)</f>
        <v>0</v>
      </c>
      <c r="AH74" s="47">
        <f>ROUND(供應率!AC6,1)</f>
        <v>0</v>
      </c>
      <c r="AI74" s="47">
        <f>ROUND(供應率!AD6,1)</f>
        <v>0</v>
      </c>
      <c r="AJ74" s="47">
        <f>ROUND(供應率!AE6,1)</f>
        <v>0</v>
      </c>
      <c r="AK74" s="47">
        <f>ROUND(供應率!AF6,1)</f>
        <v>0</v>
      </c>
      <c r="AL74" s="47">
        <f>ROUND(供應率!AG6,1)</f>
        <v>0</v>
      </c>
      <c r="AM74" s="47">
        <f>ROUND(供應率!AH6,1)</f>
        <v>0</v>
      </c>
      <c r="AN74" s="214">
        <f>ROUND(供應率!AI6,1)</f>
        <v>0</v>
      </c>
      <c r="AO74" s="55"/>
    </row>
    <row r="75" spans="1:41" s="11" customFormat="1" ht="22" customHeight="1">
      <c r="A75" s="542" t="s">
        <v>23</v>
      </c>
      <c r="B75" s="543"/>
      <c r="C75" s="544"/>
      <c r="D75" s="310" t="str">
        <f>HLOOKUP(MONTH(日期!$C$2),去年月推移!$D$1:$O$200,132,TRUE)</f>
        <v>95.9</v>
      </c>
      <c r="E75" s="243"/>
      <c r="F75" s="243"/>
      <c r="G75" s="558">
        <f>ROUND(當年月推移!P134,1)</f>
        <v>0</v>
      </c>
      <c r="H75" s="559"/>
      <c r="I75" s="244">
        <f>ROUND(供應率!D12,1)</f>
        <v>0</v>
      </c>
      <c r="J75" s="244">
        <f>ROUND(供應率!E12,1)</f>
        <v>0</v>
      </c>
      <c r="K75" s="244">
        <f>ROUND(供應率!F12,1)</f>
        <v>0</v>
      </c>
      <c r="L75" s="244">
        <f>ROUND(供應率!G12,1)</f>
        <v>0</v>
      </c>
      <c r="M75" s="244">
        <f>ROUND(供應率!H12,1)</f>
        <v>0</v>
      </c>
      <c r="N75" s="244">
        <f>ROUND(供應率!I12,1)</f>
        <v>0</v>
      </c>
      <c r="O75" s="244">
        <f>ROUND(供應率!J12,1)</f>
        <v>0</v>
      </c>
      <c r="P75" s="244">
        <f>ROUND(供應率!K12,1)</f>
        <v>0</v>
      </c>
      <c r="Q75" s="244">
        <f>ROUND(供應率!L12,1)</f>
        <v>0</v>
      </c>
      <c r="R75" s="244">
        <f>ROUND(供應率!M12,1)</f>
        <v>0</v>
      </c>
      <c r="S75" s="244">
        <f>ROUND(供應率!N12,1)</f>
        <v>0</v>
      </c>
      <c r="T75" s="244">
        <f>ROUND(供應率!O12,1)</f>
        <v>0</v>
      </c>
      <c r="U75" s="244">
        <f>ROUND(供應率!P12,1)</f>
        <v>0</v>
      </c>
      <c r="V75" s="244">
        <f>ROUND(供應率!Q12,1)</f>
        <v>0</v>
      </c>
      <c r="W75" s="244">
        <f>ROUND(供應率!R12,1)</f>
        <v>0</v>
      </c>
      <c r="X75" s="244">
        <f>ROUND(供應率!S12,1)</f>
        <v>0</v>
      </c>
      <c r="Y75" s="244">
        <f>ROUND(供應率!T12,1)</f>
        <v>0</v>
      </c>
      <c r="Z75" s="244">
        <f>ROUND(供應率!U12,1)</f>
        <v>0</v>
      </c>
      <c r="AA75" s="244">
        <f>ROUND(供應率!V12,1)</f>
        <v>0</v>
      </c>
      <c r="AB75" s="244">
        <f>ROUND(供應率!W12,1)</f>
        <v>0</v>
      </c>
      <c r="AC75" s="244">
        <f>ROUND(供應率!X12,1)</f>
        <v>0</v>
      </c>
      <c r="AD75" s="244">
        <f>ROUND(供應率!Y12,1)</f>
        <v>0</v>
      </c>
      <c r="AE75" s="244">
        <f>ROUND(供應率!Z12,1)</f>
        <v>0</v>
      </c>
      <c r="AF75" s="244">
        <f>ROUND(供應率!AA12,1)</f>
        <v>0</v>
      </c>
      <c r="AG75" s="244">
        <f>ROUND(供應率!AB12,1)</f>
        <v>0</v>
      </c>
      <c r="AH75" s="244">
        <f>ROUND(供應率!AC12,1)</f>
        <v>0</v>
      </c>
      <c r="AI75" s="244">
        <f>ROUND(供應率!AD12,1)</f>
        <v>0</v>
      </c>
      <c r="AJ75" s="244">
        <f>ROUND(供應率!AE12,1)</f>
        <v>0</v>
      </c>
      <c r="AK75" s="244">
        <f>ROUND(供應率!AF12,1)</f>
        <v>0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0</v>
      </c>
      <c r="AO75" s="55"/>
    </row>
    <row r="76" spans="1:41" s="11" customFormat="1" ht="22" customHeight="1">
      <c r="A76" s="542" t="s">
        <v>24</v>
      </c>
      <c r="B76" s="543"/>
      <c r="C76" s="544"/>
      <c r="D76" s="310" t="str">
        <f>HLOOKUP(MONTH(日期!$C$2),去年月推移!$D$1:$O$200,133,TRUE)</f>
        <v>95.2</v>
      </c>
      <c r="E76" s="243"/>
      <c r="F76" s="243"/>
      <c r="G76" s="558">
        <f>ROUND(當年月推移!P135,1)</f>
        <v>0</v>
      </c>
      <c r="H76" s="559"/>
      <c r="I76" s="244">
        <f>ROUND(供應率!D13,1)</f>
        <v>0</v>
      </c>
      <c r="J76" s="244">
        <f>ROUND(供應率!E13,1)</f>
        <v>0</v>
      </c>
      <c r="K76" s="244">
        <f>ROUND(供應率!F13,1)</f>
        <v>0</v>
      </c>
      <c r="L76" s="244">
        <f>ROUND(供應率!G13,1)</f>
        <v>0</v>
      </c>
      <c r="M76" s="244">
        <f>ROUND(供應率!H13,1)</f>
        <v>0</v>
      </c>
      <c r="N76" s="244">
        <f>ROUND(供應率!I13,1)</f>
        <v>0</v>
      </c>
      <c r="O76" s="244">
        <f>ROUND(供應率!J13,1)</f>
        <v>0</v>
      </c>
      <c r="P76" s="244">
        <f>ROUND(供應率!K13,1)</f>
        <v>0</v>
      </c>
      <c r="Q76" s="244">
        <f>ROUND(供應率!L13,1)</f>
        <v>0</v>
      </c>
      <c r="R76" s="244">
        <f>ROUND(供應率!M13,1)</f>
        <v>0</v>
      </c>
      <c r="S76" s="244">
        <f>ROUND(供應率!N13,1)</f>
        <v>0</v>
      </c>
      <c r="T76" s="244">
        <f>ROUND(供應率!O13,1)</f>
        <v>0</v>
      </c>
      <c r="U76" s="244">
        <f>ROUND(供應率!P13,1)</f>
        <v>0</v>
      </c>
      <c r="V76" s="244">
        <f>ROUND(供應率!Q13,1)</f>
        <v>0</v>
      </c>
      <c r="W76" s="244">
        <f>ROUND(供應率!R13,1)</f>
        <v>0</v>
      </c>
      <c r="X76" s="244">
        <f>ROUND(供應率!S13,1)</f>
        <v>0</v>
      </c>
      <c r="Y76" s="244">
        <f>ROUND(供應率!T13,1)</f>
        <v>0</v>
      </c>
      <c r="Z76" s="244">
        <f>ROUND(供應率!U13,1)</f>
        <v>0</v>
      </c>
      <c r="AA76" s="244">
        <f>ROUND(供應率!V13,1)</f>
        <v>0</v>
      </c>
      <c r="AB76" s="244">
        <f>ROUND(供應率!W13,1)</f>
        <v>0</v>
      </c>
      <c r="AC76" s="244">
        <f>ROUND(供應率!X13,1)</f>
        <v>0</v>
      </c>
      <c r="AD76" s="244">
        <f>ROUND(供應率!Y13,1)</f>
        <v>0</v>
      </c>
      <c r="AE76" s="244">
        <f>ROUND(供應率!Z13,1)</f>
        <v>0</v>
      </c>
      <c r="AF76" s="244">
        <f>ROUND(供應率!AA13,1)</f>
        <v>0</v>
      </c>
      <c r="AG76" s="244">
        <f>ROUND(供應率!AB13,1)</f>
        <v>0</v>
      </c>
      <c r="AH76" s="244">
        <f>ROUND(供應率!AC13,1)</f>
        <v>0</v>
      </c>
      <c r="AI76" s="244">
        <f>ROUND(供應率!AD13,1)</f>
        <v>0</v>
      </c>
      <c r="AJ76" s="244">
        <f>ROUND(供應率!AE13,1)</f>
        <v>0</v>
      </c>
      <c r="AK76" s="244">
        <f>ROUND(供應率!AF13,1)</f>
        <v>0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0</v>
      </c>
      <c r="AO76" s="55"/>
    </row>
    <row r="77" spans="1:41" s="11" customFormat="1" ht="22" customHeight="1">
      <c r="A77" s="542" t="s">
        <v>25</v>
      </c>
      <c r="B77" s="543"/>
      <c r="C77" s="544"/>
      <c r="D77" s="310" t="str">
        <f>HLOOKUP(MONTH(日期!$C$2),去年月推移!$D$1:$O$200,134,TRUE)</f>
        <v>97.3</v>
      </c>
      <c r="E77" s="243"/>
      <c r="F77" s="243"/>
      <c r="G77" s="558">
        <f>ROUND(當年月推移!P136,1)</f>
        <v>0</v>
      </c>
      <c r="H77" s="559"/>
      <c r="I77" s="244">
        <f>ROUND(供應率!D14,1)</f>
        <v>0</v>
      </c>
      <c r="J77" s="244">
        <f>ROUND(供應率!E14,1)</f>
        <v>0</v>
      </c>
      <c r="K77" s="244">
        <f>ROUND(供應率!F14,1)</f>
        <v>0</v>
      </c>
      <c r="L77" s="244">
        <f>ROUND(供應率!G14,1)</f>
        <v>0</v>
      </c>
      <c r="M77" s="244">
        <f>ROUND(供應率!H14,1)</f>
        <v>0</v>
      </c>
      <c r="N77" s="244">
        <f>ROUND(供應率!I14,1)</f>
        <v>0</v>
      </c>
      <c r="O77" s="244">
        <f>ROUND(供應率!J14,1)</f>
        <v>0</v>
      </c>
      <c r="P77" s="244">
        <f>ROUND(供應率!K14,1)</f>
        <v>0</v>
      </c>
      <c r="Q77" s="244">
        <f>ROUND(供應率!L14,1)</f>
        <v>0</v>
      </c>
      <c r="R77" s="244">
        <f>ROUND(供應率!M14,1)</f>
        <v>0</v>
      </c>
      <c r="S77" s="244">
        <f>ROUND(供應率!N14,1)</f>
        <v>0</v>
      </c>
      <c r="T77" s="244">
        <f>ROUND(供應率!O14,1)</f>
        <v>0</v>
      </c>
      <c r="U77" s="244">
        <f>ROUND(供應率!P14,1)</f>
        <v>0</v>
      </c>
      <c r="V77" s="244">
        <f>ROUND(供應率!Q14,1)</f>
        <v>0</v>
      </c>
      <c r="W77" s="244">
        <f>ROUND(供應率!R14,1)</f>
        <v>0</v>
      </c>
      <c r="X77" s="244">
        <f>ROUND(供應率!S14,1)</f>
        <v>0</v>
      </c>
      <c r="Y77" s="244">
        <f>ROUND(供應率!T14,1)</f>
        <v>0</v>
      </c>
      <c r="Z77" s="244">
        <f>ROUND(供應率!U14,1)</f>
        <v>0</v>
      </c>
      <c r="AA77" s="244">
        <f>ROUND(供應率!V14,1)</f>
        <v>0</v>
      </c>
      <c r="AB77" s="244">
        <f>ROUND(供應率!W14,1)</f>
        <v>0</v>
      </c>
      <c r="AC77" s="244">
        <f>ROUND(供應率!X14,1)</f>
        <v>0</v>
      </c>
      <c r="AD77" s="244">
        <f>ROUND(供應率!Y14,1)</f>
        <v>0</v>
      </c>
      <c r="AE77" s="244">
        <f>ROUND(供應率!Z14,1)</f>
        <v>0</v>
      </c>
      <c r="AF77" s="244">
        <f>ROUND(供應率!AA14,1)</f>
        <v>0</v>
      </c>
      <c r="AG77" s="244">
        <f>ROUND(供應率!AB14,1)</f>
        <v>0</v>
      </c>
      <c r="AH77" s="244">
        <f>ROUND(供應率!AC14,1)</f>
        <v>0</v>
      </c>
      <c r="AI77" s="244">
        <f>ROUND(供應率!AD14,1)</f>
        <v>0</v>
      </c>
      <c r="AJ77" s="244">
        <f>ROUND(供應率!AE14,1)</f>
        <v>0</v>
      </c>
      <c r="AK77" s="244">
        <f>ROUND(供應率!AF14,1)</f>
        <v>0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0</v>
      </c>
      <c r="AO77" s="55"/>
    </row>
    <row r="78" spans="1:41" s="11" customFormat="1" ht="22" customHeight="1">
      <c r="A78" s="542" t="s">
        <v>26</v>
      </c>
      <c r="B78" s="543"/>
      <c r="C78" s="544"/>
      <c r="D78" s="310" t="str">
        <f>HLOOKUP(MONTH(日期!$C$2),去年月推移!$D$1:$O$200,135,TRUE)</f>
        <v>82.9</v>
      </c>
      <c r="E78" s="243"/>
      <c r="F78" s="243"/>
      <c r="G78" s="558">
        <f>ROUND(當年月推移!P137,1)</f>
        <v>0</v>
      </c>
      <c r="H78" s="559"/>
      <c r="I78" s="244">
        <f>ROUND(供應率!D15,1)</f>
        <v>0</v>
      </c>
      <c r="J78" s="244">
        <f>ROUND(供應率!E15,1)</f>
        <v>0</v>
      </c>
      <c r="K78" s="244">
        <f>ROUND(供應率!F15,1)</f>
        <v>0</v>
      </c>
      <c r="L78" s="244">
        <f>ROUND(供應率!G15,1)</f>
        <v>0</v>
      </c>
      <c r="M78" s="244">
        <f>ROUND(供應率!H15,1)</f>
        <v>0</v>
      </c>
      <c r="N78" s="244">
        <f>ROUND(供應率!I15,1)</f>
        <v>0</v>
      </c>
      <c r="O78" s="244">
        <f>ROUND(供應率!J15,1)</f>
        <v>0</v>
      </c>
      <c r="P78" s="244">
        <f>ROUND(供應率!K15,1)</f>
        <v>0</v>
      </c>
      <c r="Q78" s="244">
        <f>ROUND(供應率!L15,1)</f>
        <v>0</v>
      </c>
      <c r="R78" s="244">
        <f>ROUND(供應率!M15,1)</f>
        <v>0</v>
      </c>
      <c r="S78" s="244">
        <f>ROUND(供應率!N15,1)</f>
        <v>0</v>
      </c>
      <c r="T78" s="244">
        <f>ROUND(供應率!O15,1)</f>
        <v>0</v>
      </c>
      <c r="U78" s="244">
        <f>ROUND(供應率!P15,1)</f>
        <v>0</v>
      </c>
      <c r="V78" s="244">
        <f>ROUND(供應率!Q15,1)</f>
        <v>0</v>
      </c>
      <c r="W78" s="244">
        <f>ROUND(供應率!R15,1)</f>
        <v>0</v>
      </c>
      <c r="X78" s="244">
        <f>ROUND(供應率!S15,1)</f>
        <v>0</v>
      </c>
      <c r="Y78" s="244">
        <f>ROUND(供應率!T15,1)</f>
        <v>0</v>
      </c>
      <c r="Z78" s="244">
        <f>ROUND(供應率!U15,1)</f>
        <v>0</v>
      </c>
      <c r="AA78" s="244">
        <f>ROUND(供應率!V15,1)</f>
        <v>0</v>
      </c>
      <c r="AB78" s="244">
        <f>ROUND(供應率!W15,1)</f>
        <v>0</v>
      </c>
      <c r="AC78" s="244">
        <f>ROUND(供應率!X15,1)</f>
        <v>0</v>
      </c>
      <c r="AD78" s="244">
        <f>ROUND(供應率!Y15,1)</f>
        <v>0</v>
      </c>
      <c r="AE78" s="244">
        <f>ROUND(供應率!Z15,1)</f>
        <v>0</v>
      </c>
      <c r="AF78" s="244">
        <f>ROUND(供應率!AA15,1)</f>
        <v>0</v>
      </c>
      <c r="AG78" s="244">
        <f>ROUND(供應率!AB15,1)</f>
        <v>0</v>
      </c>
      <c r="AH78" s="244">
        <f>ROUND(供應率!AC15,1)</f>
        <v>0</v>
      </c>
      <c r="AI78" s="244">
        <f>ROUND(供應率!AD15,1)</f>
        <v>0</v>
      </c>
      <c r="AJ78" s="244">
        <f>ROUND(供應率!AE15,1)</f>
        <v>0</v>
      </c>
      <c r="AK78" s="244">
        <f>ROUND(供應率!AF15,1)</f>
        <v>0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0</v>
      </c>
      <c r="AO78" s="55"/>
    </row>
    <row r="79" spans="1:41" s="11" customFormat="1" ht="22" customHeight="1" thickBot="1">
      <c r="A79" s="580" t="s">
        <v>27</v>
      </c>
      <c r="B79" s="581"/>
      <c r="C79" s="582"/>
      <c r="D79" s="320" t="str">
        <f>HLOOKUP(MONTH(日期!$C$2),去年月推移!$D$1:$O$200,136,TRUE)</f>
        <v>0</v>
      </c>
      <c r="E79" s="243"/>
      <c r="F79" s="243"/>
      <c r="G79" s="554">
        <f>ROUND(當年月推移!P138,1)</f>
        <v>0</v>
      </c>
      <c r="H79" s="555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2" customHeight="1">
      <c r="A80" s="573" t="s">
        <v>30</v>
      </c>
      <c r="B80" s="574"/>
      <c r="C80" s="574"/>
      <c r="D80" s="313" t="str">
        <f>HLOOKUP(MONTH(日期!$C$2),去年月推移!$D$1:$O$200,137,TRUE)</f>
        <v>0</v>
      </c>
      <c r="E80" s="272"/>
      <c r="F80" s="272"/>
      <c r="G80" s="558">
        <f>ROUND(當年月推移!P139,1)</f>
        <v>0</v>
      </c>
      <c r="H80" s="559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2" customHeight="1">
      <c r="A81" s="549" t="s">
        <v>31</v>
      </c>
      <c r="B81" s="550"/>
      <c r="C81" s="550"/>
      <c r="D81" s="310" t="str">
        <f>HLOOKUP(MONTH(日期!$C$2),去年月推移!$D$1:$O$200,138,TRUE)</f>
        <v>0</v>
      </c>
      <c r="E81" s="49"/>
      <c r="F81" s="49"/>
      <c r="G81" s="558">
        <f>ROUND(當年月推移!P140,1)</f>
        <v>0</v>
      </c>
      <c r="H81" s="559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2" customHeight="1">
      <c r="A82" s="549" t="s">
        <v>32</v>
      </c>
      <c r="B82" s="550"/>
      <c r="C82" s="550"/>
      <c r="D82" s="310" t="str">
        <f>HLOOKUP(MONTH(日期!$C$2),去年月推移!$D$1:$O$200,139,TRUE)</f>
        <v>0</v>
      </c>
      <c r="E82" s="49"/>
      <c r="F82" s="49"/>
      <c r="G82" s="558">
        <f>ROUND(當年月推移!P141,1)</f>
        <v>0</v>
      </c>
      <c r="H82" s="559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2" customHeight="1">
      <c r="A83" s="549" t="s">
        <v>33</v>
      </c>
      <c r="B83" s="550"/>
      <c r="C83" s="550"/>
      <c r="D83" s="310" t="str">
        <f>HLOOKUP(MONTH(日期!$C$2),去年月推移!$D$1:$O$200,140,TRUE)</f>
        <v>0</v>
      </c>
      <c r="E83" s="49"/>
      <c r="F83" s="49"/>
      <c r="G83" s="558">
        <f>ROUND(當年月推移!P142,1)</f>
        <v>0</v>
      </c>
      <c r="H83" s="559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2" customHeight="1" thickBot="1">
      <c r="A84" s="556" t="s">
        <v>34</v>
      </c>
      <c r="B84" s="557"/>
      <c r="C84" s="557"/>
      <c r="D84" s="312" t="str">
        <f>HLOOKUP(MONTH(日期!$C$2),去年月推移!$D$1:$O$200,141,TRUE)</f>
        <v>0</v>
      </c>
      <c r="E84" s="58"/>
      <c r="F84" s="58"/>
      <c r="G84" s="554">
        <f>ROUND(當年月推移!P143,1)</f>
        <v>0</v>
      </c>
      <c r="H84" s="555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5" customHeight="1" thickBot="1">
      <c r="A86" s="43" t="s">
        <v>56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64" t="s">
        <v>0</v>
      </c>
      <c r="B87" s="565"/>
      <c r="C87" s="565"/>
      <c r="D87" s="568" t="str">
        <f>D3</f>
        <v>1899/1</v>
      </c>
      <c r="E87" s="568" t="str">
        <f>E3</f>
        <v>1900/1</v>
      </c>
      <c r="F87" s="335">
        <f>YEAR(日期!C2)-1</f>
        <v>1899</v>
      </c>
      <c r="G87" s="583">
        <f>YEAR(日期!C2)</f>
        <v>1900</v>
      </c>
      <c r="H87" s="584"/>
      <c r="I87" s="490">
        <f>日期!C2</f>
        <v>0</v>
      </c>
      <c r="J87" s="490">
        <f>日期!D2</f>
        <v>0</v>
      </c>
      <c r="K87" s="490">
        <f>日期!E2</f>
        <v>0</v>
      </c>
      <c r="L87" s="490">
        <f>日期!F2</f>
        <v>0</v>
      </c>
      <c r="M87" s="490">
        <f>日期!G2</f>
        <v>0</v>
      </c>
      <c r="N87" s="490">
        <f>日期!H2</f>
        <v>0</v>
      </c>
      <c r="O87" s="490">
        <f>日期!I2</f>
        <v>0</v>
      </c>
      <c r="P87" s="490">
        <f>日期!J2</f>
        <v>0</v>
      </c>
      <c r="Q87" s="490">
        <f>日期!K2</f>
        <v>0</v>
      </c>
      <c r="R87" s="490">
        <f>日期!L2</f>
        <v>0</v>
      </c>
      <c r="S87" s="490">
        <f>日期!M2</f>
        <v>0</v>
      </c>
      <c r="T87" s="490">
        <f>日期!N2</f>
        <v>0</v>
      </c>
      <c r="U87" s="490">
        <f>日期!O2</f>
        <v>0</v>
      </c>
      <c r="V87" s="490">
        <f>日期!P2</f>
        <v>0</v>
      </c>
      <c r="W87" s="490">
        <f>日期!Q2</f>
        <v>0</v>
      </c>
      <c r="X87" s="490">
        <f>日期!R2</f>
        <v>0</v>
      </c>
      <c r="Y87" s="490">
        <f>日期!S2</f>
        <v>0</v>
      </c>
      <c r="Z87" s="490">
        <f>日期!T2</f>
        <v>0</v>
      </c>
      <c r="AA87" s="490">
        <f>日期!U2</f>
        <v>0</v>
      </c>
      <c r="AB87" s="490">
        <f>日期!V2</f>
        <v>0</v>
      </c>
      <c r="AC87" s="490">
        <f>日期!W2</f>
        <v>0</v>
      </c>
      <c r="AD87" s="490">
        <f>日期!X2</f>
        <v>0</v>
      </c>
      <c r="AE87" s="490">
        <f>日期!Y2</f>
        <v>0</v>
      </c>
      <c r="AF87" s="490">
        <f>日期!Z2</f>
        <v>0</v>
      </c>
      <c r="AG87" s="490">
        <f>日期!AA2</f>
        <v>0</v>
      </c>
      <c r="AH87" s="490">
        <f>日期!AB2</f>
        <v>0</v>
      </c>
      <c r="AI87" s="490">
        <f>日期!AC2</f>
        <v>0</v>
      </c>
      <c r="AJ87" s="490">
        <f>日期!AD2</f>
        <v>0</v>
      </c>
      <c r="AK87" s="490">
        <f>日期!AE2</f>
        <v>0</v>
      </c>
      <c r="AL87" s="490">
        <f>日期!AF2</f>
        <v>0</v>
      </c>
      <c r="AM87" s="490">
        <f>日期!AG2</f>
        <v>0</v>
      </c>
      <c r="AN87" s="560" t="s">
        <v>41</v>
      </c>
    </row>
    <row r="88" spans="1:41" s="35" customFormat="1" ht="24" customHeight="1" thickBot="1">
      <c r="A88" s="566"/>
      <c r="B88" s="567"/>
      <c r="C88" s="567"/>
      <c r="D88" s="569"/>
      <c r="E88" s="570"/>
      <c r="F88" s="334" t="s">
        <v>57</v>
      </c>
      <c r="G88" s="571" t="s">
        <v>58</v>
      </c>
      <c r="H88" s="572"/>
      <c r="I88" s="12">
        <f>日期!C3</f>
        <v>0</v>
      </c>
      <c r="J88" s="12">
        <f>日期!D3</f>
        <v>0</v>
      </c>
      <c r="K88" s="12">
        <f>日期!E3</f>
        <v>0</v>
      </c>
      <c r="L88" s="12">
        <f>日期!F3</f>
        <v>0</v>
      </c>
      <c r="M88" s="12">
        <f>日期!G3</f>
        <v>0</v>
      </c>
      <c r="N88" s="12">
        <f>日期!H3</f>
        <v>0</v>
      </c>
      <c r="O88" s="12">
        <f>日期!I3</f>
        <v>0</v>
      </c>
      <c r="P88" s="12">
        <f>日期!J3</f>
        <v>0</v>
      </c>
      <c r="Q88" s="12">
        <f>日期!K3</f>
        <v>0</v>
      </c>
      <c r="R88" s="12">
        <f>日期!L3</f>
        <v>0</v>
      </c>
      <c r="S88" s="12">
        <f>日期!M3</f>
        <v>0</v>
      </c>
      <c r="T88" s="12">
        <f>日期!N3</f>
        <v>0</v>
      </c>
      <c r="U88" s="12">
        <f>日期!O3</f>
        <v>0</v>
      </c>
      <c r="V88" s="12">
        <f>日期!P3</f>
        <v>0</v>
      </c>
      <c r="W88" s="12">
        <f>日期!Q3</f>
        <v>0</v>
      </c>
      <c r="X88" s="12">
        <f>日期!R3</f>
        <v>0</v>
      </c>
      <c r="Y88" s="12">
        <f>日期!S3</f>
        <v>0</v>
      </c>
      <c r="Z88" s="12">
        <f>日期!T3</f>
        <v>0</v>
      </c>
      <c r="AA88" s="12">
        <f>日期!U3</f>
        <v>0</v>
      </c>
      <c r="AB88" s="12">
        <f>日期!V3</f>
        <v>0</v>
      </c>
      <c r="AC88" s="12">
        <f>日期!W3</f>
        <v>0</v>
      </c>
      <c r="AD88" s="12">
        <f>日期!X3</f>
        <v>0</v>
      </c>
      <c r="AE88" s="12">
        <f>日期!Y3</f>
        <v>0</v>
      </c>
      <c r="AF88" s="12">
        <f>日期!Z3</f>
        <v>0</v>
      </c>
      <c r="AG88" s="12">
        <f>日期!AA3</f>
        <v>0</v>
      </c>
      <c r="AH88" s="12">
        <f>日期!AB3</f>
        <v>0</v>
      </c>
      <c r="AI88" s="12">
        <f>日期!AC3</f>
        <v>0</v>
      </c>
      <c r="AJ88" s="12">
        <f>日期!AD3</f>
        <v>0</v>
      </c>
      <c r="AK88" s="12">
        <f>日期!AE3</f>
        <v>0</v>
      </c>
      <c r="AL88" s="12">
        <f>日期!AF3</f>
        <v>0</v>
      </c>
      <c r="AM88" s="12">
        <f>日期!AG3</f>
        <v>0</v>
      </c>
      <c r="AN88" s="561"/>
    </row>
    <row r="89" spans="1:41" s="35" customFormat="1" ht="22" customHeight="1">
      <c r="A89" s="562" t="s">
        <v>10</v>
      </c>
      <c r="B89" s="563"/>
      <c r="C89" s="563"/>
      <c r="D89" s="314">
        <f>HLOOKUP(MONTH(日期!$C$2),去年月推移!$D$1:$O$200,145,TRUE)</f>
        <v>4435</v>
      </c>
      <c r="E89" s="62" t="s">
        <v>44</v>
      </c>
      <c r="F89" s="62" t="s">
        <v>44</v>
      </c>
      <c r="G89" s="528">
        <f>當年月推移!P147</f>
        <v>0</v>
      </c>
      <c r="H89" s="529"/>
      <c r="I89" s="63">
        <f>VALUE(點數BO!C2)</f>
        <v>0</v>
      </c>
      <c r="J89" s="63">
        <f>VALUE(點數BO!D2)</f>
        <v>0</v>
      </c>
      <c r="K89" s="63">
        <f>VALUE(點數BO!E2)</f>
        <v>0</v>
      </c>
      <c r="L89" s="63">
        <f>VALUE(點數BO!F2)</f>
        <v>0</v>
      </c>
      <c r="M89" s="63">
        <f>VALUE(點數BO!G2)</f>
        <v>0</v>
      </c>
      <c r="N89" s="63">
        <f>VALUE(點數BO!H2)</f>
        <v>0</v>
      </c>
      <c r="O89" s="63">
        <f>VALUE(點數BO!I2)</f>
        <v>0</v>
      </c>
      <c r="P89" s="63">
        <f>VALUE(點數BO!J2)</f>
        <v>0</v>
      </c>
      <c r="Q89" s="63">
        <f>VALUE(點數BO!K2)</f>
        <v>0</v>
      </c>
      <c r="R89" s="63">
        <f>VALUE(點數BO!L2)</f>
        <v>0</v>
      </c>
      <c r="S89" s="63">
        <f>VALUE(點數BO!M2)</f>
        <v>0</v>
      </c>
      <c r="T89" s="63">
        <f>VALUE(點數BO!N2)</f>
        <v>0</v>
      </c>
      <c r="U89" s="63">
        <f>VALUE(點數BO!O2)</f>
        <v>0</v>
      </c>
      <c r="V89" s="63">
        <f>VALUE(點數BO!P2)</f>
        <v>0</v>
      </c>
      <c r="W89" s="63">
        <f>VALUE(點數BO!Q2)</f>
        <v>0</v>
      </c>
      <c r="X89" s="63">
        <f>VALUE(點數BO!R2)</f>
        <v>0</v>
      </c>
      <c r="Y89" s="63">
        <f>VALUE(點數BO!S2)</f>
        <v>0</v>
      </c>
      <c r="Z89" s="63">
        <f>VALUE(點數BO!T2)</f>
        <v>0</v>
      </c>
      <c r="AA89" s="63">
        <f>VALUE(點數BO!U2)</f>
        <v>0</v>
      </c>
      <c r="AB89" s="63">
        <f>VALUE(點數BO!V2)</f>
        <v>0</v>
      </c>
      <c r="AC89" s="63">
        <f>VALUE(點數BO!W2)</f>
        <v>0</v>
      </c>
      <c r="AD89" s="63">
        <f>VALUE(點數BO!X2)</f>
        <v>0</v>
      </c>
      <c r="AE89" s="63">
        <f>VALUE(點數BO!Y2)</f>
        <v>0</v>
      </c>
      <c r="AF89" s="63">
        <f>VALUE(點數BO!Z2)</f>
        <v>0</v>
      </c>
      <c r="AG89" s="63">
        <f>VALUE(點數BO!AA2)</f>
        <v>0</v>
      </c>
      <c r="AH89" s="63">
        <f>VALUE(點數BO!AB2)</f>
        <v>0</v>
      </c>
      <c r="AI89" s="63">
        <f>VALUE(點數BO!AC2)</f>
        <v>0</v>
      </c>
      <c r="AJ89" s="63">
        <f>VALUE(點數BO!AD2)</f>
        <v>0</v>
      </c>
      <c r="AK89" s="63">
        <f>VALUE(點數BO!AE2)</f>
        <v>0</v>
      </c>
      <c r="AL89" s="63">
        <f>VALUE(點數BO!AF2)</f>
        <v>0</v>
      </c>
      <c r="AM89" s="63">
        <f>VALUE(點數BO!AG2)</f>
        <v>0</v>
      </c>
      <c r="AN89" s="479">
        <f>VALUE(點數BO!AH2)</f>
        <v>0</v>
      </c>
    </row>
    <row r="90" spans="1:41" s="35" customFormat="1" ht="22" customHeight="1">
      <c r="A90" s="540" t="s">
        <v>11</v>
      </c>
      <c r="B90" s="541"/>
      <c r="C90" s="541"/>
      <c r="D90" s="314">
        <f>HLOOKUP(MONTH(日期!$C$2),去年月推移!$D$1:$O$200,146,TRUE)</f>
        <v>101</v>
      </c>
      <c r="E90" s="64" t="s">
        <v>44</v>
      </c>
      <c r="F90" s="64" t="s">
        <v>44</v>
      </c>
      <c r="G90" s="530">
        <f>當年月推移!P148</f>
        <v>0</v>
      </c>
      <c r="H90" s="5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0</v>
      </c>
    </row>
    <row r="91" spans="1:41" s="35" customFormat="1" ht="22" customHeight="1">
      <c r="A91" s="540" t="s">
        <v>12</v>
      </c>
      <c r="B91" s="541"/>
      <c r="C91" s="541"/>
      <c r="D91" s="314">
        <f>HLOOKUP(MONTH(日期!$C$2),去年月推移!$D$1:$O$200,147,TRUE)</f>
        <v>44</v>
      </c>
      <c r="E91" s="64" t="s">
        <v>44</v>
      </c>
      <c r="F91" s="64" t="s">
        <v>44</v>
      </c>
      <c r="G91" s="530">
        <f>當年月推移!P149</f>
        <v>0</v>
      </c>
      <c r="H91" s="531"/>
      <c r="I91" s="63">
        <f>VALUE(點數BO!C5)</f>
        <v>0</v>
      </c>
      <c r="J91" s="63">
        <f>VALUE(點數BO!D5)</f>
        <v>0</v>
      </c>
      <c r="K91" s="63">
        <f>VALUE(點數BO!E5)</f>
        <v>0</v>
      </c>
      <c r="L91" s="63">
        <f>VALUE(點數BO!F5)</f>
        <v>0</v>
      </c>
      <c r="M91" s="63">
        <f>VALUE(點數BO!G5)</f>
        <v>0</v>
      </c>
      <c r="N91" s="63">
        <f>VALUE(點數BO!H5)</f>
        <v>0</v>
      </c>
      <c r="O91" s="63">
        <f>VALUE(點數BO!I5)</f>
        <v>0</v>
      </c>
      <c r="P91" s="63">
        <f>VALUE(點數BO!J5)</f>
        <v>0</v>
      </c>
      <c r="Q91" s="63">
        <f>VALUE(點數BO!K5)</f>
        <v>0</v>
      </c>
      <c r="R91" s="63">
        <f>VALUE(點數BO!L5)</f>
        <v>0</v>
      </c>
      <c r="S91" s="63">
        <f>VALUE(點數BO!M5)</f>
        <v>0</v>
      </c>
      <c r="T91" s="63">
        <f>VALUE(點數BO!N5)</f>
        <v>0</v>
      </c>
      <c r="U91" s="63">
        <f>VALUE(點數BO!O5)</f>
        <v>0</v>
      </c>
      <c r="V91" s="63">
        <f>VALUE(點數BO!P5)</f>
        <v>0</v>
      </c>
      <c r="W91" s="63">
        <f>VALUE(點數BO!Q5)</f>
        <v>0</v>
      </c>
      <c r="X91" s="63">
        <f>VALUE(點數BO!R5)</f>
        <v>0</v>
      </c>
      <c r="Y91" s="63">
        <f>VALUE(點數BO!S5)</f>
        <v>0</v>
      </c>
      <c r="Z91" s="63">
        <f>VALUE(點數BO!T5)</f>
        <v>0</v>
      </c>
      <c r="AA91" s="63">
        <f>VALUE(點數BO!U5)</f>
        <v>0</v>
      </c>
      <c r="AB91" s="63">
        <f>VALUE(點數BO!V5)</f>
        <v>0</v>
      </c>
      <c r="AC91" s="63">
        <f>VALUE(點數BO!W5)</f>
        <v>0</v>
      </c>
      <c r="AD91" s="63">
        <f>VALUE(點數BO!X5)</f>
        <v>0</v>
      </c>
      <c r="AE91" s="63">
        <f>VALUE(點數BO!Y5)</f>
        <v>0</v>
      </c>
      <c r="AF91" s="63">
        <f>VALUE(點數BO!Z5)</f>
        <v>0</v>
      </c>
      <c r="AG91" s="63">
        <f>VALUE(點數BO!AA5)</f>
        <v>0</v>
      </c>
      <c r="AH91" s="63">
        <f>VALUE(點數BO!AB5)</f>
        <v>0</v>
      </c>
      <c r="AI91" s="63">
        <f>VALUE(點數BO!AC5)</f>
        <v>0</v>
      </c>
      <c r="AJ91" s="63">
        <f>VALUE(點數BO!AD5)</f>
        <v>0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480">
        <f>VALUE(點數BO!AH5)</f>
        <v>0</v>
      </c>
    </row>
    <row r="92" spans="1:41" s="35" customFormat="1" ht="22" customHeight="1">
      <c r="A92" s="540" t="s">
        <v>13</v>
      </c>
      <c r="B92" s="541"/>
      <c r="C92" s="541"/>
      <c r="D92" s="314">
        <f>HLOOKUP(MONTH(日期!$C$2),去年月推移!$D$1:$O$200,148,TRUE)</f>
        <v>143</v>
      </c>
      <c r="E92" s="64" t="s">
        <v>44</v>
      </c>
      <c r="F92" s="64" t="s">
        <v>44</v>
      </c>
      <c r="G92" s="530">
        <f>當年月推移!P150</f>
        <v>0</v>
      </c>
      <c r="H92" s="531"/>
      <c r="I92" s="63">
        <f>VALUE(點數BO!C6)</f>
        <v>0</v>
      </c>
      <c r="J92" s="63">
        <f>VALUE(點數BO!D6)</f>
        <v>0</v>
      </c>
      <c r="K92" s="63">
        <f>VALUE(點數BO!E6)</f>
        <v>0</v>
      </c>
      <c r="L92" s="63">
        <f>VALUE(點數BO!F6)</f>
        <v>0</v>
      </c>
      <c r="M92" s="63">
        <f>VALUE(點數BO!G6)</f>
        <v>0</v>
      </c>
      <c r="N92" s="63">
        <f>VALUE(點數BO!H6)</f>
        <v>0</v>
      </c>
      <c r="O92" s="63">
        <f>VALUE(點數BO!I6)</f>
        <v>0</v>
      </c>
      <c r="P92" s="63">
        <f>VALUE(點數BO!J6)</f>
        <v>0</v>
      </c>
      <c r="Q92" s="63">
        <f>VALUE(點數BO!K6)</f>
        <v>0</v>
      </c>
      <c r="R92" s="63">
        <f>VALUE(點數BO!L6)</f>
        <v>0</v>
      </c>
      <c r="S92" s="63">
        <f>VALUE(點數BO!M6)</f>
        <v>0</v>
      </c>
      <c r="T92" s="63">
        <f>VALUE(點數BO!N6)</f>
        <v>0</v>
      </c>
      <c r="U92" s="63">
        <f>VALUE(點數BO!O6)</f>
        <v>0</v>
      </c>
      <c r="V92" s="63">
        <f>VALUE(點數BO!P6)</f>
        <v>0</v>
      </c>
      <c r="W92" s="63">
        <f>VALUE(點數BO!Q6)</f>
        <v>0</v>
      </c>
      <c r="X92" s="63">
        <f>VALUE(點數BO!R6)</f>
        <v>0</v>
      </c>
      <c r="Y92" s="63">
        <f>VALUE(點數BO!S6)</f>
        <v>0</v>
      </c>
      <c r="Z92" s="63">
        <f>VALUE(點數BO!T6)</f>
        <v>0</v>
      </c>
      <c r="AA92" s="63">
        <f>VALUE(點數BO!U6)</f>
        <v>0</v>
      </c>
      <c r="AB92" s="63">
        <f>VALUE(點數BO!V6)</f>
        <v>0</v>
      </c>
      <c r="AC92" s="63">
        <f>VALUE(點數BO!W6)</f>
        <v>0</v>
      </c>
      <c r="AD92" s="63">
        <f>VALUE(點數BO!X6)</f>
        <v>0</v>
      </c>
      <c r="AE92" s="63">
        <f>VALUE(點數BO!Y6)</f>
        <v>0</v>
      </c>
      <c r="AF92" s="63">
        <f>VALUE(點數BO!Z6)</f>
        <v>0</v>
      </c>
      <c r="AG92" s="63">
        <f>VALUE(點數BO!AA6)</f>
        <v>0</v>
      </c>
      <c r="AH92" s="63">
        <f>VALUE(點數BO!AB6)</f>
        <v>0</v>
      </c>
      <c r="AI92" s="63">
        <f>VALUE(點數BO!AC6)</f>
        <v>0</v>
      </c>
      <c r="AJ92" s="63">
        <f>VALUE(點數BO!AD6)</f>
        <v>0</v>
      </c>
      <c r="AK92" s="63">
        <f>VALUE(點數BO!AE6)</f>
        <v>0</v>
      </c>
      <c r="AL92" s="63">
        <f>VALUE(點數BO!AF6)</f>
        <v>0</v>
      </c>
      <c r="AM92" s="63">
        <f>VALUE(點數BO!AG6)</f>
        <v>0</v>
      </c>
      <c r="AN92" s="480">
        <f>VALUE(點數BO!AH6)</f>
        <v>0</v>
      </c>
    </row>
    <row r="93" spans="1:41" s="35" customFormat="1" ht="22" customHeight="1">
      <c r="A93" s="540" t="s">
        <v>55</v>
      </c>
      <c r="B93" s="541"/>
      <c r="C93" s="541"/>
      <c r="D93" s="314">
        <f>HLOOKUP(MONTH(日期!$C$2),去年月推移!$D$1:$O$200,149,TRUE)</f>
        <v>570</v>
      </c>
      <c r="E93" s="64" t="s">
        <v>44</v>
      </c>
      <c r="F93" s="64" t="s">
        <v>44</v>
      </c>
      <c r="G93" s="530">
        <f>當年月推移!P151</f>
        <v>0</v>
      </c>
      <c r="H93" s="531"/>
      <c r="I93" s="63">
        <f>VALUE(點數BO!C20)</f>
        <v>0</v>
      </c>
      <c r="J93" s="63">
        <f>VALUE(點數BO!D20)</f>
        <v>0</v>
      </c>
      <c r="K93" s="63">
        <f>VALUE(點數BO!E20)</f>
        <v>0</v>
      </c>
      <c r="L93" s="63">
        <f>VALUE(點數BO!F20)</f>
        <v>0</v>
      </c>
      <c r="M93" s="63">
        <f>VALUE(點數BO!G20)</f>
        <v>0</v>
      </c>
      <c r="N93" s="63">
        <f>VALUE(點數BO!H20)</f>
        <v>0</v>
      </c>
      <c r="O93" s="63">
        <f>VALUE(點數BO!I20)</f>
        <v>0</v>
      </c>
      <c r="P93" s="63">
        <f>VALUE(點數BO!J20)</f>
        <v>0</v>
      </c>
      <c r="Q93" s="63">
        <f>VALUE(點數BO!K20)</f>
        <v>0</v>
      </c>
      <c r="R93" s="63">
        <f>VALUE(點數BO!L20)</f>
        <v>0</v>
      </c>
      <c r="S93" s="63">
        <f>VALUE(點數BO!M20)</f>
        <v>0</v>
      </c>
      <c r="T93" s="63">
        <f>VALUE(點數BO!N20)</f>
        <v>0</v>
      </c>
      <c r="U93" s="63">
        <f>VALUE(點數BO!O20)</f>
        <v>0</v>
      </c>
      <c r="V93" s="63">
        <f>VALUE(點數BO!P20)</f>
        <v>0</v>
      </c>
      <c r="W93" s="63">
        <f>VALUE(點數BO!Q20)</f>
        <v>0</v>
      </c>
      <c r="X93" s="63">
        <f>VALUE(點數BO!R20)</f>
        <v>0</v>
      </c>
      <c r="Y93" s="63">
        <f>VALUE(點數BO!S20)</f>
        <v>0</v>
      </c>
      <c r="Z93" s="63">
        <f>VALUE(點數BO!T20)</f>
        <v>0</v>
      </c>
      <c r="AA93" s="63">
        <f>VALUE(點數BO!U20)</f>
        <v>0</v>
      </c>
      <c r="AB93" s="63">
        <f>VALUE(點數BO!V20)</f>
        <v>0</v>
      </c>
      <c r="AC93" s="63">
        <f>VALUE(點數BO!W20)</f>
        <v>0</v>
      </c>
      <c r="AD93" s="63">
        <f>VALUE(點數BO!X20)</f>
        <v>0</v>
      </c>
      <c r="AE93" s="63">
        <f>VALUE(點數BO!Y20)</f>
        <v>0</v>
      </c>
      <c r="AF93" s="63">
        <f>VALUE(點數BO!Z20)</f>
        <v>0</v>
      </c>
      <c r="AG93" s="63">
        <f>VALUE(點數BO!AA20)</f>
        <v>0</v>
      </c>
      <c r="AH93" s="63">
        <f>VALUE(點數BO!AB20)</f>
        <v>0</v>
      </c>
      <c r="AI93" s="63">
        <f>VALUE(點數BO!AC20)</f>
        <v>0</v>
      </c>
      <c r="AJ93" s="63">
        <f>VALUE(點數BO!AD20)</f>
        <v>0</v>
      </c>
      <c r="AK93" s="63">
        <f>VALUE(點數BO!AE20)</f>
        <v>0</v>
      </c>
      <c r="AL93" s="63">
        <f>VALUE(點數BO!AF20)</f>
        <v>0</v>
      </c>
      <c r="AM93" s="63">
        <f>VALUE(點數BO!AG20)</f>
        <v>0</v>
      </c>
      <c r="AN93" s="480">
        <f>VALUE(點數BO!AH20)</f>
        <v>0</v>
      </c>
    </row>
    <row r="94" spans="1:41" s="35" customFormat="1" ht="22" customHeight="1">
      <c r="A94" s="540" t="s">
        <v>15</v>
      </c>
      <c r="B94" s="541"/>
      <c r="C94" s="541"/>
      <c r="D94" s="314">
        <f>HLOOKUP(MONTH(日期!$C$2),去年月推移!$D$1:$O$200,150,TRUE)</f>
        <v>239</v>
      </c>
      <c r="E94" s="64" t="s">
        <v>44</v>
      </c>
      <c r="F94" s="64" t="s">
        <v>44</v>
      </c>
      <c r="G94" s="530">
        <f>當年月推移!P152</f>
        <v>0</v>
      </c>
      <c r="H94" s="531"/>
      <c r="I94" s="63">
        <f>VALUE(點數BO!C8)</f>
        <v>0</v>
      </c>
      <c r="J94" s="63">
        <f>VALUE(點數BO!D8)</f>
        <v>0</v>
      </c>
      <c r="K94" s="63">
        <f>VALUE(點數BO!E8)</f>
        <v>0</v>
      </c>
      <c r="L94" s="63">
        <f>VALUE(點數BO!F8)</f>
        <v>0</v>
      </c>
      <c r="M94" s="63">
        <f>VALUE(點數BO!G8)</f>
        <v>0</v>
      </c>
      <c r="N94" s="63">
        <f>VALUE(點數BO!H8)</f>
        <v>0</v>
      </c>
      <c r="O94" s="63">
        <f>VALUE(點數BO!I8)</f>
        <v>0</v>
      </c>
      <c r="P94" s="63">
        <f>VALUE(點數BO!J8)</f>
        <v>0</v>
      </c>
      <c r="Q94" s="63">
        <f>VALUE(點數BO!K8)</f>
        <v>0</v>
      </c>
      <c r="R94" s="63">
        <f>VALUE(點數BO!L8)</f>
        <v>0</v>
      </c>
      <c r="S94" s="63">
        <f>VALUE(點數BO!M8)</f>
        <v>0</v>
      </c>
      <c r="T94" s="63">
        <f>VALUE(點數BO!N8)</f>
        <v>0</v>
      </c>
      <c r="U94" s="63">
        <f>VALUE(點數BO!O8)</f>
        <v>0</v>
      </c>
      <c r="V94" s="63">
        <f>VALUE(點數BO!P8)</f>
        <v>0</v>
      </c>
      <c r="W94" s="63">
        <f>VALUE(點數BO!Q8)</f>
        <v>0</v>
      </c>
      <c r="X94" s="63">
        <f>VALUE(點數BO!R8)</f>
        <v>0</v>
      </c>
      <c r="Y94" s="63">
        <f>VALUE(點數BO!S8)</f>
        <v>0</v>
      </c>
      <c r="Z94" s="63">
        <f>VALUE(點數BO!T8)</f>
        <v>0</v>
      </c>
      <c r="AA94" s="63">
        <f>VALUE(點數BO!U8)</f>
        <v>0</v>
      </c>
      <c r="AB94" s="63">
        <f>VALUE(點數BO!V8)</f>
        <v>0</v>
      </c>
      <c r="AC94" s="63">
        <f>VALUE(點數BO!W8)</f>
        <v>0</v>
      </c>
      <c r="AD94" s="63">
        <f>VALUE(點數BO!X8)</f>
        <v>0</v>
      </c>
      <c r="AE94" s="63">
        <f>VALUE(點數BO!Y8)</f>
        <v>0</v>
      </c>
      <c r="AF94" s="63">
        <f>VALUE(點數BO!Z8)</f>
        <v>0</v>
      </c>
      <c r="AG94" s="63">
        <f>VALUE(點數BO!AA8)</f>
        <v>0</v>
      </c>
      <c r="AH94" s="63">
        <f>VALUE(點數BO!AB8)</f>
        <v>0</v>
      </c>
      <c r="AI94" s="63">
        <f>VALUE(點數BO!AC8)</f>
        <v>0</v>
      </c>
      <c r="AJ94" s="63">
        <f>VALUE(點數BO!AD8)</f>
        <v>0</v>
      </c>
      <c r="AK94" s="63">
        <f>VALUE(點數BO!AE8)</f>
        <v>0</v>
      </c>
      <c r="AL94" s="63">
        <f>VALUE(點數BO!AF8)</f>
        <v>0</v>
      </c>
      <c r="AM94" s="63">
        <f>VALUE(點數BO!AG8)</f>
        <v>0</v>
      </c>
      <c r="AN94" s="480">
        <f>VALUE(點數BO!AH8)</f>
        <v>0</v>
      </c>
    </row>
    <row r="95" spans="1:41" s="35" customFormat="1" ht="22" customHeight="1">
      <c r="A95" s="549" t="s">
        <v>16</v>
      </c>
      <c r="B95" s="550"/>
      <c r="C95" s="550"/>
      <c r="D95" s="314">
        <f>HLOOKUP(MONTH(日期!$C$2),去年月推移!$D$1:$O$200,151,TRUE)</f>
        <v>2</v>
      </c>
      <c r="E95" s="65" t="s">
        <v>44</v>
      </c>
      <c r="F95" s="65" t="s">
        <v>44</v>
      </c>
      <c r="G95" s="530">
        <f>當年月推移!P153</f>
        <v>0</v>
      </c>
      <c r="H95" s="5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0</v>
      </c>
    </row>
    <row r="96" spans="1:41" s="35" customFormat="1" ht="22" customHeight="1">
      <c r="A96" s="551" t="s">
        <v>48</v>
      </c>
      <c r="B96" s="552"/>
      <c r="C96" s="553"/>
      <c r="D96" s="321">
        <f>HLOOKUP(MONTH(日期!$C$2),去年月推移!$D$1:$O$200,152,TRUE)</f>
        <v>5534</v>
      </c>
      <c r="E96" s="248"/>
      <c r="F96" s="248"/>
      <c r="G96" s="545">
        <f>當年月推移!P154</f>
        <v>0</v>
      </c>
      <c r="H96" s="546"/>
      <c r="I96" s="249">
        <f>SUM(I89:I95)</f>
        <v>0</v>
      </c>
      <c r="J96" s="249">
        <f>SUM(J89:J95)</f>
        <v>0</v>
      </c>
      <c r="K96" s="249">
        <f>SUM(K89:K95)</f>
        <v>0</v>
      </c>
      <c r="L96" s="249">
        <f t="shared" ref="L96:AN96" si="11">SUM(L89:L95)</f>
        <v>0</v>
      </c>
      <c r="M96" s="249">
        <f t="shared" si="11"/>
        <v>0</v>
      </c>
      <c r="N96" s="249">
        <f t="shared" si="11"/>
        <v>0</v>
      </c>
      <c r="O96" s="249">
        <f t="shared" si="11"/>
        <v>0</v>
      </c>
      <c r="P96" s="249">
        <f t="shared" si="11"/>
        <v>0</v>
      </c>
      <c r="Q96" s="249">
        <f t="shared" si="11"/>
        <v>0</v>
      </c>
      <c r="R96" s="249">
        <f t="shared" si="11"/>
        <v>0</v>
      </c>
      <c r="S96" s="249">
        <f t="shared" si="11"/>
        <v>0</v>
      </c>
      <c r="T96" s="249">
        <f t="shared" si="11"/>
        <v>0</v>
      </c>
      <c r="U96" s="249">
        <f t="shared" si="11"/>
        <v>0</v>
      </c>
      <c r="V96" s="249">
        <f t="shared" si="11"/>
        <v>0</v>
      </c>
      <c r="W96" s="249">
        <f t="shared" si="11"/>
        <v>0</v>
      </c>
      <c r="X96" s="249">
        <f t="shared" si="11"/>
        <v>0</v>
      </c>
      <c r="Y96" s="249">
        <f t="shared" si="11"/>
        <v>0</v>
      </c>
      <c r="Z96" s="249">
        <f t="shared" si="11"/>
        <v>0</v>
      </c>
      <c r="AA96" s="249">
        <f t="shared" si="11"/>
        <v>0</v>
      </c>
      <c r="AB96" s="249">
        <f t="shared" si="11"/>
        <v>0</v>
      </c>
      <c r="AC96" s="249">
        <f t="shared" si="11"/>
        <v>0</v>
      </c>
      <c r="AD96" s="249">
        <f t="shared" si="11"/>
        <v>0</v>
      </c>
      <c r="AE96" s="249">
        <f t="shared" si="11"/>
        <v>0</v>
      </c>
      <c r="AF96" s="249">
        <f t="shared" si="11"/>
        <v>0</v>
      </c>
      <c r="AG96" s="249">
        <f t="shared" si="11"/>
        <v>0</v>
      </c>
      <c r="AH96" s="249">
        <f t="shared" si="11"/>
        <v>0</v>
      </c>
      <c r="AI96" s="249">
        <f t="shared" si="11"/>
        <v>0</v>
      </c>
      <c r="AJ96" s="249">
        <f t="shared" si="11"/>
        <v>0</v>
      </c>
      <c r="AK96" s="249">
        <f t="shared" si="11"/>
        <v>0</v>
      </c>
      <c r="AL96" s="249">
        <f t="shared" si="11"/>
        <v>0</v>
      </c>
      <c r="AM96" s="249">
        <f t="shared" si="11"/>
        <v>0</v>
      </c>
      <c r="AN96" s="250">
        <f t="shared" si="11"/>
        <v>0</v>
      </c>
    </row>
    <row r="97" spans="1:41" s="35" customFormat="1" ht="22" customHeight="1">
      <c r="A97" s="540" t="s">
        <v>22</v>
      </c>
      <c r="B97" s="541"/>
      <c r="C97" s="541"/>
      <c r="D97" s="316">
        <f>HLOOKUP(MONTH(日期!$C$2),去年月推移!$D$1:$O$200,153,TRUE)</f>
        <v>884</v>
      </c>
      <c r="E97" s="64" t="s">
        <v>44</v>
      </c>
      <c r="F97" s="64" t="s">
        <v>44</v>
      </c>
      <c r="G97" s="530">
        <f>當年月推移!P155</f>
        <v>0</v>
      </c>
      <c r="H97" s="531"/>
      <c r="I97" s="63">
        <f>VALUE(點數BO!C3)</f>
        <v>0</v>
      </c>
      <c r="J97" s="63">
        <f>VALUE(點數BO!D3)</f>
        <v>0</v>
      </c>
      <c r="K97" s="63">
        <f>VALUE(點數BO!E3)</f>
        <v>0</v>
      </c>
      <c r="L97" s="63">
        <f>VALUE(點數BO!F3)</f>
        <v>0</v>
      </c>
      <c r="M97" s="63">
        <f>VALUE(點數BO!G3)</f>
        <v>0</v>
      </c>
      <c r="N97" s="63">
        <f>VALUE(點數BO!H3)</f>
        <v>0</v>
      </c>
      <c r="O97" s="63">
        <f>VALUE(點數BO!I3)</f>
        <v>0</v>
      </c>
      <c r="P97" s="63">
        <f>VALUE(點數BO!J3)</f>
        <v>0</v>
      </c>
      <c r="Q97" s="63">
        <f>VALUE(點數BO!K3)</f>
        <v>0</v>
      </c>
      <c r="R97" s="63">
        <f>VALUE(點數BO!L3)</f>
        <v>0</v>
      </c>
      <c r="S97" s="63">
        <f>VALUE(點數BO!M3)</f>
        <v>0</v>
      </c>
      <c r="T97" s="63">
        <f>VALUE(點數BO!N3)</f>
        <v>0</v>
      </c>
      <c r="U97" s="63">
        <f>VALUE(點數BO!O3)</f>
        <v>0</v>
      </c>
      <c r="V97" s="63">
        <f>VALUE(點數BO!P3)</f>
        <v>0</v>
      </c>
      <c r="W97" s="63">
        <f>VALUE(點數BO!Q3)</f>
        <v>0</v>
      </c>
      <c r="X97" s="63">
        <f>VALUE(點數BO!R3)</f>
        <v>0</v>
      </c>
      <c r="Y97" s="63">
        <f>VALUE(點數BO!S3)</f>
        <v>0</v>
      </c>
      <c r="Z97" s="63">
        <f>VALUE(點數BO!T3)</f>
        <v>0</v>
      </c>
      <c r="AA97" s="63">
        <f>VALUE(點數BO!U3)</f>
        <v>0</v>
      </c>
      <c r="AB97" s="63">
        <f>VALUE(點數BO!V3)</f>
        <v>0</v>
      </c>
      <c r="AC97" s="63">
        <f>VALUE(點數BO!W3)</f>
        <v>0</v>
      </c>
      <c r="AD97" s="63">
        <f>VALUE(點數BO!X3)</f>
        <v>0</v>
      </c>
      <c r="AE97" s="63">
        <f>VALUE(點數BO!Y3)</f>
        <v>0</v>
      </c>
      <c r="AF97" s="63">
        <f>VALUE(點數BO!Z3)</f>
        <v>0</v>
      </c>
      <c r="AG97" s="63">
        <f>VALUE(點數BO!AA3)</f>
        <v>0</v>
      </c>
      <c r="AH97" s="63">
        <f>VALUE(點數BO!AB3)</f>
        <v>0</v>
      </c>
      <c r="AI97" s="63">
        <f>VALUE(點數BO!AC3)</f>
        <v>0</v>
      </c>
      <c r="AJ97" s="63">
        <f>VALUE(點數BO!AD3)</f>
        <v>0</v>
      </c>
      <c r="AK97" s="63">
        <f>VALUE(點數BO!AE3)</f>
        <v>0</v>
      </c>
      <c r="AL97" s="63">
        <f>VALUE(點數BO!AF3)</f>
        <v>0</v>
      </c>
      <c r="AM97" s="63">
        <f>VALUE(點數BO!AG3)</f>
        <v>0</v>
      </c>
      <c r="AN97" s="480">
        <f>VALUE(點數BO!AH3)</f>
        <v>0</v>
      </c>
    </row>
    <row r="98" spans="1:41" s="35" customFormat="1" ht="22" customHeight="1">
      <c r="A98" s="542" t="s">
        <v>23</v>
      </c>
      <c r="B98" s="543"/>
      <c r="C98" s="544"/>
      <c r="D98" s="314">
        <f>HLOOKUP(MONTH(日期!$C$2),去年月推移!$D$1:$O$200,154,TRUE)</f>
        <v>26</v>
      </c>
      <c r="E98" s="65"/>
      <c r="F98" s="65"/>
      <c r="G98" s="530">
        <f>當年月推移!P156</f>
        <v>0</v>
      </c>
      <c r="H98" s="5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0</v>
      </c>
    </row>
    <row r="99" spans="1:41" s="35" customFormat="1" ht="22" customHeight="1">
      <c r="A99" s="542" t="s">
        <v>24</v>
      </c>
      <c r="B99" s="543"/>
      <c r="C99" s="544"/>
      <c r="D99" s="314">
        <f>HLOOKUP(MONTH(日期!$C$2),去年月推移!$D$1:$O$200,155,TRUE)</f>
        <v>21</v>
      </c>
      <c r="E99" s="65"/>
      <c r="F99" s="65"/>
      <c r="G99" s="530">
        <f>當年月推移!P157</f>
        <v>0</v>
      </c>
      <c r="H99" s="531"/>
      <c r="I99" s="63">
        <f>VALUE(點數BO!C11)</f>
        <v>0</v>
      </c>
      <c r="J99" s="63">
        <f>VALUE(點數BO!D11)</f>
        <v>0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0</v>
      </c>
      <c r="V99" s="63">
        <f>VALUE(點數BO!P11)</f>
        <v>0</v>
      </c>
      <c r="W99" s="63">
        <f>VALUE(點數BO!Q11)</f>
        <v>0</v>
      </c>
      <c r="X99" s="63">
        <f>VALUE(點數BO!R11)</f>
        <v>0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0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0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480">
        <f>VALUE(點數BO!AH11)</f>
        <v>0</v>
      </c>
    </row>
    <row r="100" spans="1:41" s="35" customFormat="1" ht="22" customHeight="1">
      <c r="A100" s="542" t="s">
        <v>25</v>
      </c>
      <c r="B100" s="543"/>
      <c r="C100" s="544"/>
      <c r="D100" s="314">
        <f>HLOOKUP(MONTH(日期!$C$2),去年月推移!$D$1:$O$200,156,TRUE)</f>
        <v>260</v>
      </c>
      <c r="E100" s="65"/>
      <c r="F100" s="65"/>
      <c r="G100" s="530">
        <f>當年月推移!P158</f>
        <v>0</v>
      </c>
      <c r="H100" s="531"/>
      <c r="I100" s="63">
        <f>VALUE(點數BO!C12)</f>
        <v>0</v>
      </c>
      <c r="J100" s="63">
        <f>VALUE(點數BO!D12)</f>
        <v>0</v>
      </c>
      <c r="K100" s="63">
        <f>VALUE(點數BO!E12)</f>
        <v>0</v>
      </c>
      <c r="L100" s="63">
        <f>VALUE(點數BO!F12)</f>
        <v>0</v>
      </c>
      <c r="M100" s="63">
        <f>VALUE(點數BO!G12)</f>
        <v>0</v>
      </c>
      <c r="N100" s="63">
        <f>VALUE(點數BO!H12)</f>
        <v>0</v>
      </c>
      <c r="O100" s="63">
        <f>VALUE(點數BO!I12)</f>
        <v>0</v>
      </c>
      <c r="P100" s="63">
        <f>VALUE(點數BO!J12)</f>
        <v>0</v>
      </c>
      <c r="Q100" s="63">
        <f>VALUE(點數BO!K12)</f>
        <v>0</v>
      </c>
      <c r="R100" s="63">
        <f>VALUE(點數BO!L12)</f>
        <v>0</v>
      </c>
      <c r="S100" s="63">
        <f>VALUE(點數BO!M12)</f>
        <v>0</v>
      </c>
      <c r="T100" s="63">
        <f>VALUE(點數BO!N12)</f>
        <v>0</v>
      </c>
      <c r="U100" s="63">
        <f>VALUE(點數BO!O12)</f>
        <v>0</v>
      </c>
      <c r="V100" s="63">
        <f>VALUE(點數BO!P12)</f>
        <v>0</v>
      </c>
      <c r="W100" s="63">
        <f>VALUE(點數BO!Q12)</f>
        <v>0</v>
      </c>
      <c r="X100" s="63">
        <f>VALUE(點數BO!R12)</f>
        <v>0</v>
      </c>
      <c r="Y100" s="63">
        <f>VALUE(點數BO!S12)</f>
        <v>0</v>
      </c>
      <c r="Z100" s="63">
        <f>VALUE(點數BO!T12)</f>
        <v>0</v>
      </c>
      <c r="AA100" s="63">
        <f>VALUE(點數BO!U12)</f>
        <v>0</v>
      </c>
      <c r="AB100" s="63">
        <f>VALUE(點數BO!V12)</f>
        <v>0</v>
      </c>
      <c r="AC100" s="63">
        <f>VALUE(點數BO!W12)</f>
        <v>0</v>
      </c>
      <c r="AD100" s="63">
        <f>VALUE(點數BO!X12)</f>
        <v>0</v>
      </c>
      <c r="AE100" s="63">
        <f>VALUE(點數BO!Y12)</f>
        <v>0</v>
      </c>
      <c r="AF100" s="63">
        <f>VALUE(點數BO!Z12)</f>
        <v>0</v>
      </c>
      <c r="AG100" s="63">
        <f>VALUE(點數BO!AA12)</f>
        <v>0</v>
      </c>
      <c r="AH100" s="63">
        <f>VALUE(點數BO!AB12)</f>
        <v>0</v>
      </c>
      <c r="AI100" s="63">
        <f>VALUE(點數BO!AC12)</f>
        <v>0</v>
      </c>
      <c r="AJ100" s="63">
        <f>VALUE(點數BO!AD12)</f>
        <v>0</v>
      </c>
      <c r="AK100" s="63">
        <f>VALUE(點數BO!AE12)</f>
        <v>0</v>
      </c>
      <c r="AL100" s="63">
        <f>VALUE(點數BO!AF12)</f>
        <v>0</v>
      </c>
      <c r="AM100" s="63">
        <f>VALUE(點數BO!AG12)</f>
        <v>0</v>
      </c>
      <c r="AN100" s="480">
        <f>VALUE(點數BO!AH12)</f>
        <v>0</v>
      </c>
    </row>
    <row r="101" spans="1:41" s="35" customFormat="1" ht="22" customHeight="1">
      <c r="A101" s="542" t="s">
        <v>26</v>
      </c>
      <c r="B101" s="543"/>
      <c r="C101" s="544"/>
      <c r="D101" s="314">
        <f>HLOOKUP(MONTH(日期!$C$2),去年月推移!$D$1:$O$200,157,TRUE)</f>
        <v>230</v>
      </c>
      <c r="E101" s="65" t="s">
        <v>44</v>
      </c>
      <c r="F101" s="65" t="s">
        <v>44</v>
      </c>
      <c r="G101" s="530">
        <f>當年月推移!P159</f>
        <v>0</v>
      </c>
      <c r="H101" s="531"/>
      <c r="I101" s="63">
        <f>VALUE(點數BO!C13)</f>
        <v>0</v>
      </c>
      <c r="J101" s="63">
        <f>VALUE(點數BO!D13)</f>
        <v>0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0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0</v>
      </c>
      <c r="U101" s="63">
        <f>VALUE(點數BO!O13)</f>
        <v>0</v>
      </c>
      <c r="V101" s="63">
        <f>VALUE(點數BO!P13)</f>
        <v>0</v>
      </c>
      <c r="W101" s="63">
        <f>VALUE(點數BO!Q13)</f>
        <v>0</v>
      </c>
      <c r="X101" s="63">
        <f>VALUE(點數BO!R13)</f>
        <v>0</v>
      </c>
      <c r="Y101" s="63">
        <f>VALUE(點數BO!S13)</f>
        <v>0</v>
      </c>
      <c r="Z101" s="63">
        <f>VALUE(點數BO!T13)</f>
        <v>0</v>
      </c>
      <c r="AA101" s="63">
        <f>VALUE(點數BO!U13)</f>
        <v>0</v>
      </c>
      <c r="AB101" s="63">
        <f>VALUE(點數BO!V13)</f>
        <v>0</v>
      </c>
      <c r="AC101" s="63">
        <f>VALUE(點數BO!W13)</f>
        <v>0</v>
      </c>
      <c r="AD101" s="63">
        <f>VALUE(點數BO!X13)</f>
        <v>0</v>
      </c>
      <c r="AE101" s="63">
        <f>VALUE(點數BO!Y13)</f>
        <v>0</v>
      </c>
      <c r="AF101" s="63">
        <f>VALUE(點數BO!Z13)</f>
        <v>0</v>
      </c>
      <c r="AG101" s="63">
        <f>VALUE(點數BO!AA13)</f>
        <v>0</v>
      </c>
      <c r="AH101" s="63">
        <f>VALUE(點數BO!AB13)</f>
        <v>0</v>
      </c>
      <c r="AI101" s="63">
        <f>VALUE(點數BO!AC13)</f>
        <v>0</v>
      </c>
      <c r="AJ101" s="63">
        <f>VALUE(點數BO!AD13)</f>
        <v>0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480">
        <f>VALUE(點數BO!AH13)</f>
        <v>0</v>
      </c>
    </row>
    <row r="102" spans="1:41" s="35" customFormat="1" ht="22" customHeight="1">
      <c r="A102" s="542" t="s">
        <v>27</v>
      </c>
      <c r="B102" s="543"/>
      <c r="C102" s="544"/>
      <c r="D102" s="315">
        <f>HLOOKUP(MONTH(日期!$C$2),去年月推移!$D$1:$O$200,158,TRUE)</f>
        <v>0</v>
      </c>
      <c r="E102" s="65"/>
      <c r="F102" s="65"/>
      <c r="G102" s="530">
        <f>當年月推移!P160</f>
        <v>0</v>
      </c>
      <c r="H102" s="5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2" customHeight="1" thickBot="1">
      <c r="A103" s="547" t="s">
        <v>49</v>
      </c>
      <c r="B103" s="548"/>
      <c r="C103" s="548"/>
      <c r="D103" s="66">
        <f>HLOOKUP(MONTH(日期!$C$2),去年月推移!$D$1:$O$200,159,TRUE)</f>
        <v>1421</v>
      </c>
      <c r="E103" s="66" t="s">
        <v>44</v>
      </c>
      <c r="F103" s="66" t="s">
        <v>44</v>
      </c>
      <c r="G103" s="532">
        <f>當年月推移!P161</f>
        <v>0</v>
      </c>
      <c r="H103" s="533"/>
      <c r="I103" s="66">
        <f>SUM(I97:I102)</f>
        <v>0</v>
      </c>
      <c r="J103" s="66">
        <f>SUM(J97:J102)</f>
        <v>0</v>
      </c>
      <c r="K103" s="66">
        <f t="shared" ref="K103:AN103" si="12">SUM(K97:K102)</f>
        <v>0</v>
      </c>
      <c r="L103" s="66">
        <f t="shared" si="12"/>
        <v>0</v>
      </c>
      <c r="M103" s="66">
        <f t="shared" si="12"/>
        <v>0</v>
      </c>
      <c r="N103" s="66">
        <f t="shared" si="12"/>
        <v>0</v>
      </c>
      <c r="O103" s="66">
        <f t="shared" si="12"/>
        <v>0</v>
      </c>
      <c r="P103" s="66">
        <f t="shared" si="12"/>
        <v>0</v>
      </c>
      <c r="Q103" s="66">
        <f t="shared" si="12"/>
        <v>0</v>
      </c>
      <c r="R103" s="66">
        <f t="shared" si="12"/>
        <v>0</v>
      </c>
      <c r="S103" s="66">
        <f t="shared" si="12"/>
        <v>0</v>
      </c>
      <c r="T103" s="66">
        <f t="shared" si="12"/>
        <v>0</v>
      </c>
      <c r="U103" s="66">
        <f t="shared" si="12"/>
        <v>0</v>
      </c>
      <c r="V103" s="66">
        <f t="shared" si="12"/>
        <v>0</v>
      </c>
      <c r="W103" s="66">
        <f t="shared" si="12"/>
        <v>0</v>
      </c>
      <c r="X103" s="66">
        <f t="shared" si="12"/>
        <v>0</v>
      </c>
      <c r="Y103" s="66">
        <f t="shared" si="12"/>
        <v>0</v>
      </c>
      <c r="Z103" s="66">
        <f t="shared" si="12"/>
        <v>0</v>
      </c>
      <c r="AA103" s="66">
        <f t="shared" si="12"/>
        <v>0</v>
      </c>
      <c r="AB103" s="66">
        <f t="shared" si="12"/>
        <v>0</v>
      </c>
      <c r="AC103" s="66">
        <f t="shared" si="12"/>
        <v>0</v>
      </c>
      <c r="AD103" s="66">
        <f t="shared" si="12"/>
        <v>0</v>
      </c>
      <c r="AE103" s="66">
        <f t="shared" si="12"/>
        <v>0</v>
      </c>
      <c r="AF103" s="66">
        <f t="shared" si="12"/>
        <v>0</v>
      </c>
      <c r="AG103" s="66">
        <f t="shared" si="12"/>
        <v>0</v>
      </c>
      <c r="AH103" s="66">
        <f t="shared" si="12"/>
        <v>0</v>
      </c>
      <c r="AI103" s="66">
        <f t="shared" si="12"/>
        <v>0</v>
      </c>
      <c r="AJ103" s="66">
        <f t="shared" si="12"/>
        <v>0</v>
      </c>
      <c r="AK103" s="66">
        <f t="shared" si="12"/>
        <v>0</v>
      </c>
      <c r="AL103" s="66">
        <f t="shared" si="12"/>
        <v>0</v>
      </c>
      <c r="AM103" s="66">
        <f t="shared" si="12"/>
        <v>0</v>
      </c>
      <c r="AN103" s="218">
        <f t="shared" si="12"/>
        <v>0</v>
      </c>
      <c r="AO103" s="16">
        <f>SUM(I103:AM103)</f>
        <v>0</v>
      </c>
    </row>
    <row r="104" spans="1:41" s="67" customFormat="1" ht="22" customHeight="1">
      <c r="A104" s="534" t="s">
        <v>30</v>
      </c>
      <c r="B104" s="535"/>
      <c r="C104" s="536"/>
      <c r="D104" s="316">
        <f>HLOOKUP(MONTH(日期!$C$2),去年月推移!$D$1:$O$200,160,TRUE)</f>
        <v>0</v>
      </c>
      <c r="E104" s="273"/>
      <c r="F104" s="273"/>
      <c r="G104" s="528">
        <f>當年月推移!P162</f>
        <v>0</v>
      </c>
      <c r="H104" s="52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2" customHeight="1">
      <c r="A105" s="537" t="s">
        <v>31</v>
      </c>
      <c r="B105" s="538"/>
      <c r="C105" s="539"/>
      <c r="D105" s="316">
        <f>HLOOKUP(MONTH(日期!$C$2),去年月推移!$D$1:$O$200,161,TRUE)</f>
        <v>0</v>
      </c>
      <c r="E105" s="274"/>
      <c r="F105" s="274"/>
      <c r="G105" s="530">
        <f>當年月推移!P163</f>
        <v>0</v>
      </c>
      <c r="H105" s="5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2" customHeight="1">
      <c r="A106" s="537" t="s">
        <v>32</v>
      </c>
      <c r="B106" s="538"/>
      <c r="C106" s="539"/>
      <c r="D106" s="316">
        <f>HLOOKUP(MONTH(日期!$C$2),去年月推移!$D$1:$O$200,162,TRUE)</f>
        <v>0</v>
      </c>
      <c r="E106" s="274"/>
      <c r="F106" s="274"/>
      <c r="G106" s="530">
        <f>當年月推移!P164</f>
        <v>0</v>
      </c>
      <c r="H106" s="5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2" customHeight="1">
      <c r="A107" s="537" t="s">
        <v>33</v>
      </c>
      <c r="B107" s="538"/>
      <c r="C107" s="539"/>
      <c r="D107" s="316">
        <f>HLOOKUP(MONTH(日期!$C$2),去年月推移!$D$1:$O$200,163,TRUE)</f>
        <v>0</v>
      </c>
      <c r="E107" s="274"/>
      <c r="F107" s="274"/>
      <c r="G107" s="530">
        <f>當年月推移!P165</f>
        <v>0</v>
      </c>
      <c r="H107" s="5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2" customHeight="1">
      <c r="A108" s="537" t="s">
        <v>34</v>
      </c>
      <c r="B108" s="538"/>
      <c r="C108" s="539"/>
      <c r="D108" s="316">
        <f>HLOOKUP(MONTH(日期!$C$2),去年月推移!$D$1:$O$200,164,TRUE)</f>
        <v>0</v>
      </c>
      <c r="E108" s="298"/>
      <c r="F108" s="298"/>
      <c r="G108" s="530">
        <f>當年月推移!P166</f>
        <v>0</v>
      </c>
      <c r="H108" s="5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2" customHeight="1" thickBot="1">
      <c r="A109" s="525" t="s">
        <v>29</v>
      </c>
      <c r="B109" s="526"/>
      <c r="C109" s="527"/>
      <c r="D109" s="66">
        <f>HLOOKUP(MONTH(日期!$C$2),去年月推移!$D$1:$O$200,165,TRUE)</f>
        <v>0</v>
      </c>
      <c r="E109" s="66"/>
      <c r="F109" s="66"/>
      <c r="G109" s="532">
        <f>當年月推移!P167</f>
        <v>0</v>
      </c>
      <c r="H109" s="533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5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5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5" customHeight="1">
      <c r="A112" s="70" t="s">
        <v>59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5" customHeight="1">
      <c r="A113" s="70" t="s">
        <v>60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5" customHeight="1">
      <c r="A114" s="70" t="s">
        <v>61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5" customHeight="1">
      <c r="A115" s="70" t="s">
        <v>62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5" customHeight="1">
      <c r="A116" s="70" t="s">
        <v>63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5" customHeight="1">
      <c r="A117" s="70" t="s">
        <v>64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5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5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5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5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5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5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5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5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5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5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5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5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5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5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5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5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5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5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5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5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5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5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5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5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5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5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5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5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5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5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5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5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5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5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5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5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5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5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5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5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5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5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5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5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5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5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5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5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5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5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5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5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5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5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5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5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5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5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5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5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5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5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5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5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5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5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5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5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5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5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5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5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5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5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5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5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5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5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5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5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5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5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5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5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5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5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5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5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5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5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5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5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5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5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5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5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5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5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5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5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5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5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5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5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5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5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5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5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5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5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5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5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5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5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5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5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5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5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5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5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5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5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5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5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5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5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9" sqref="C9"/>
    </sheetView>
  </sheetViews>
  <sheetFormatPr defaultRowHeight="17"/>
  <cols>
    <col min="1" max="2" width="9" style="74"/>
    <col min="3" max="3" width="18.08984375" style="74" bestFit="1" customWidth="1"/>
    <col min="4" max="4" width="18.36328125" style="73" bestFit="1" customWidth="1"/>
    <col min="5" max="34" width="17.7265625" style="73" customWidth="1"/>
    <col min="35" max="36" width="17.7265625" customWidth="1"/>
    <col min="37" max="37" width="17.7265625" bestFit="1" customWidth="1"/>
    <col min="38" max="70" width="17.7265625" customWidth="1"/>
    <col min="71" max="71" width="10.453125" bestFit="1" customWidth="1"/>
  </cols>
  <sheetData>
    <row r="1" spans="1:37" ht="21.5">
      <c r="A1" s="72" t="s">
        <v>65</v>
      </c>
      <c r="B1" s="72"/>
      <c r="C1" s="72"/>
    </row>
    <row r="4" spans="1:37" s="77" customFormat="1" ht="22.75" customHeight="1">
      <c r="A4" s="642" t="s">
        <v>0</v>
      </c>
      <c r="B4" s="642" t="s">
        <v>66</v>
      </c>
      <c r="C4" s="507" t="str">
        <f>YEAR(日期!C2)&amp;"年"&amp;MONTH(日期!C2)&amp;"月"</f>
        <v>1900年1月</v>
      </c>
      <c r="D4" s="508">
        <f>日期!C2</f>
        <v>0</v>
      </c>
      <c r="E4" s="508">
        <f>日期!D2</f>
        <v>0</v>
      </c>
      <c r="F4" s="508">
        <f>日期!E2</f>
        <v>0</v>
      </c>
      <c r="G4" s="508">
        <f>日期!F2</f>
        <v>0</v>
      </c>
      <c r="H4" s="508">
        <f>日期!G2</f>
        <v>0</v>
      </c>
      <c r="I4" s="508">
        <f>日期!H2</f>
        <v>0</v>
      </c>
      <c r="J4" s="508">
        <f>日期!I2</f>
        <v>0</v>
      </c>
      <c r="K4" s="508">
        <f>日期!J2</f>
        <v>0</v>
      </c>
      <c r="L4" s="508">
        <f>日期!K2</f>
        <v>0</v>
      </c>
      <c r="M4" s="508">
        <f>日期!L2</f>
        <v>0</v>
      </c>
      <c r="N4" s="508">
        <f>日期!M2</f>
        <v>0</v>
      </c>
      <c r="O4" s="508">
        <f>日期!N2</f>
        <v>0</v>
      </c>
      <c r="P4" s="508">
        <f>日期!O2</f>
        <v>0</v>
      </c>
      <c r="Q4" s="508">
        <f>日期!P2</f>
        <v>0</v>
      </c>
      <c r="R4" s="508">
        <f>日期!Q2</f>
        <v>0</v>
      </c>
      <c r="S4" s="508">
        <f>日期!R2</f>
        <v>0</v>
      </c>
      <c r="T4" s="508">
        <f>日期!S2</f>
        <v>0</v>
      </c>
      <c r="U4" s="508">
        <f>日期!T2</f>
        <v>0</v>
      </c>
      <c r="V4" s="508">
        <f>日期!U2</f>
        <v>0</v>
      </c>
      <c r="W4" s="508">
        <f>日期!V2</f>
        <v>0</v>
      </c>
      <c r="X4" s="508">
        <f>日期!W2</f>
        <v>0</v>
      </c>
      <c r="Y4" s="508">
        <f>日期!X2</f>
        <v>0</v>
      </c>
      <c r="Z4" s="508">
        <f>日期!Y2</f>
        <v>0</v>
      </c>
      <c r="AA4" s="508">
        <f>日期!Z2</f>
        <v>0</v>
      </c>
      <c r="AB4" s="508">
        <f>日期!AA2</f>
        <v>0</v>
      </c>
      <c r="AC4" s="508">
        <f>日期!AB2</f>
        <v>0</v>
      </c>
      <c r="AD4" s="508">
        <f>日期!AC2</f>
        <v>0</v>
      </c>
      <c r="AE4" s="508">
        <f>日期!AD2</f>
        <v>0</v>
      </c>
      <c r="AF4" s="508">
        <f>日期!AE2</f>
        <v>0</v>
      </c>
      <c r="AG4" s="508">
        <f>日期!AF2</f>
        <v>0</v>
      </c>
      <c r="AH4" s="508">
        <f>日期!AG2</f>
        <v>0</v>
      </c>
      <c r="AI4" s="642" t="s">
        <v>67</v>
      </c>
      <c r="AJ4" s="642" t="s">
        <v>68</v>
      </c>
      <c r="AK4" s="507" t="str">
        <f>YEAR(日期!C2)&amp;"年"&amp;MONTH(日期!C2)+1&amp;"月"</f>
        <v>1900年2月</v>
      </c>
    </row>
    <row r="5" spans="1:37" s="77" customFormat="1" ht="27" customHeight="1">
      <c r="A5" s="643"/>
      <c r="B5" s="643"/>
      <c r="C5" s="509" t="s">
        <v>69</v>
      </c>
      <c r="D5" s="510">
        <f>日期!C3</f>
        <v>0</v>
      </c>
      <c r="E5" s="510">
        <f>日期!D3</f>
        <v>0</v>
      </c>
      <c r="F5" s="510">
        <f>日期!E3</f>
        <v>0</v>
      </c>
      <c r="G5" s="510">
        <f>日期!F3</f>
        <v>0</v>
      </c>
      <c r="H5" s="510">
        <f>日期!G3</f>
        <v>0</v>
      </c>
      <c r="I5" s="510">
        <f>日期!H3</f>
        <v>0</v>
      </c>
      <c r="J5" s="510">
        <f>日期!I3</f>
        <v>0</v>
      </c>
      <c r="K5" s="510">
        <f>日期!J3</f>
        <v>0</v>
      </c>
      <c r="L5" s="510">
        <f>日期!K3</f>
        <v>0</v>
      </c>
      <c r="M5" s="510">
        <f>日期!L3</f>
        <v>0</v>
      </c>
      <c r="N5" s="510">
        <f>日期!M3</f>
        <v>0</v>
      </c>
      <c r="O5" s="510">
        <f>日期!N3</f>
        <v>0</v>
      </c>
      <c r="P5" s="510">
        <f>日期!O3</f>
        <v>0</v>
      </c>
      <c r="Q5" s="510">
        <f>日期!P3</f>
        <v>0</v>
      </c>
      <c r="R5" s="510">
        <f>日期!Q3</f>
        <v>0</v>
      </c>
      <c r="S5" s="510">
        <f>日期!R3</f>
        <v>0</v>
      </c>
      <c r="T5" s="510">
        <f>日期!S3</f>
        <v>0</v>
      </c>
      <c r="U5" s="510">
        <f>日期!T3</f>
        <v>0</v>
      </c>
      <c r="V5" s="510">
        <f>日期!U3</f>
        <v>0</v>
      </c>
      <c r="W5" s="510">
        <f>日期!V3</f>
        <v>0</v>
      </c>
      <c r="X5" s="510">
        <f>日期!W3</f>
        <v>0</v>
      </c>
      <c r="Y5" s="510">
        <f>日期!X3</f>
        <v>0</v>
      </c>
      <c r="Z5" s="510">
        <f>日期!Y3</f>
        <v>0</v>
      </c>
      <c r="AA5" s="510">
        <f>日期!Z3</f>
        <v>0</v>
      </c>
      <c r="AB5" s="510">
        <f>日期!AA3</f>
        <v>0</v>
      </c>
      <c r="AC5" s="510">
        <f>日期!AB3</f>
        <v>0</v>
      </c>
      <c r="AD5" s="510">
        <f>日期!AC3</f>
        <v>0</v>
      </c>
      <c r="AE5" s="510">
        <f>日期!AD3</f>
        <v>0</v>
      </c>
      <c r="AF5" s="510">
        <f>日期!AE3</f>
        <v>0</v>
      </c>
      <c r="AG5" s="510">
        <f>日期!AF3</f>
        <v>0</v>
      </c>
      <c r="AH5" s="510">
        <f>日期!AG3</f>
        <v>0</v>
      </c>
      <c r="AI5" s="643"/>
      <c r="AJ5" s="643"/>
      <c r="AK5" s="511" t="s">
        <v>70</v>
      </c>
    </row>
    <row r="6" spans="1:37" ht="17.5">
      <c r="A6" s="64" t="s">
        <v>71</v>
      </c>
      <c r="B6" s="64">
        <v>1</v>
      </c>
      <c r="C6" s="82">
        <f>HLOOKUP(MONTH(日期!$C$2),A類各進口別庫存金額目標!$B$2:$M$7,4,TRUE)</f>
        <v>137465858.48872739</v>
      </c>
      <c r="D6" s="88">
        <f>VALUE(庫存金額A類!C2)</f>
        <v>0</v>
      </c>
      <c r="E6" s="88">
        <f>VALUE(庫存金額A類!D2)</f>
        <v>0</v>
      </c>
      <c r="F6" s="88">
        <f>VALUE(庫存金額A類!E2)</f>
        <v>0</v>
      </c>
      <c r="G6" s="88">
        <f>VALUE(庫存金額A類!F2)</f>
        <v>0</v>
      </c>
      <c r="H6" s="88">
        <f>VALUE(庫存金額A類!G2)</f>
        <v>0</v>
      </c>
      <c r="I6" s="88">
        <f>VALUE(庫存金額A類!H2)</f>
        <v>0</v>
      </c>
      <c r="J6" s="88">
        <f>VALUE(庫存金額A類!I2)</f>
        <v>0</v>
      </c>
      <c r="K6" s="88">
        <f>VALUE(庫存金額A類!J2)</f>
        <v>0</v>
      </c>
      <c r="L6" s="88">
        <f>VALUE(庫存金額A類!K2)</f>
        <v>0</v>
      </c>
      <c r="M6" s="88">
        <f>VALUE(庫存金額A類!L2)</f>
        <v>0</v>
      </c>
      <c r="N6" s="88">
        <f>VALUE(庫存金額A類!M2)</f>
        <v>0</v>
      </c>
      <c r="O6" s="88">
        <f>VALUE(庫存金額A類!N2)</f>
        <v>0</v>
      </c>
      <c r="P6" s="88">
        <f>VALUE(庫存金額A類!O2)</f>
        <v>0</v>
      </c>
      <c r="Q6" s="88">
        <f>VALUE(庫存金額A類!P2)</f>
        <v>0</v>
      </c>
      <c r="R6" s="88">
        <f>VALUE(庫存金額A類!Q2)</f>
        <v>0</v>
      </c>
      <c r="S6" s="88">
        <f>VALUE(庫存金額A類!R2)</f>
        <v>0</v>
      </c>
      <c r="T6" s="88">
        <f>VALUE(庫存金額A類!S2)</f>
        <v>0</v>
      </c>
      <c r="U6" s="88">
        <f>VALUE(庫存金額A類!T2)</f>
        <v>0</v>
      </c>
      <c r="V6" s="88">
        <f>VALUE(庫存金額A類!U2)</f>
        <v>0</v>
      </c>
      <c r="W6" s="88">
        <f>VALUE(庫存金額A類!V2)</f>
        <v>0</v>
      </c>
      <c r="X6" s="88">
        <f>VALUE(庫存金額A類!W2)</f>
        <v>0</v>
      </c>
      <c r="Y6" s="88">
        <f>VALUE(庫存金額A類!X2)</f>
        <v>0</v>
      </c>
      <c r="Z6" s="88">
        <f>VALUE(庫存金額A類!Y2)</f>
        <v>0</v>
      </c>
      <c r="AA6" s="88">
        <f>VALUE(庫存金額A類!Z2)</f>
        <v>0</v>
      </c>
      <c r="AB6" s="88">
        <f>VALUE(庫存金額A類!AA2)</f>
        <v>0</v>
      </c>
      <c r="AC6" s="88">
        <f>VALUE(庫存金額A類!AB2)</f>
        <v>0</v>
      </c>
      <c r="AD6" s="88">
        <f>VALUE(庫存金額A類!AC2)</f>
        <v>0</v>
      </c>
      <c r="AE6" s="88">
        <f>VALUE(庫存金額A類!AD2)</f>
        <v>0</v>
      </c>
      <c r="AF6" s="88">
        <f>VALUE(庫存金額A類!AE2)</f>
        <v>0</v>
      </c>
      <c r="AG6" s="88">
        <f>VALUE(庫存金額A類!AF2)</f>
        <v>0</v>
      </c>
      <c r="AH6" s="88">
        <f>VALUE(庫存金額A類!AG2)</f>
        <v>0</v>
      </c>
      <c r="AI6" s="88">
        <f>VALUE(庫存金額A類!AH2)</f>
        <v>0</v>
      </c>
      <c r="AJ6" s="512" t="e">
        <f>AI6/AI9</f>
        <v>#DIV/0!</v>
      </c>
      <c r="AK6" s="82">
        <f>HLOOKUP(MONTH(日期!$C$2)+1,A類各進口別庫存金額目標!$B$2:$M$7,4,TRUE)</f>
        <v>130442385.00161369</v>
      </c>
    </row>
    <row r="7" spans="1:37" ht="17.5">
      <c r="A7" s="64" t="s">
        <v>71</v>
      </c>
      <c r="B7" s="64">
        <v>3</v>
      </c>
      <c r="C7" s="82">
        <f>HLOOKUP(MONTH(日期!$C$2),A類各進口別庫存金額目標!$B$2:$M$7,5,TRUE)</f>
        <v>119786342.03285699</v>
      </c>
      <c r="D7" s="88">
        <f>VALUE(庫存金額A類!C3)</f>
        <v>0</v>
      </c>
      <c r="E7" s="88">
        <f>VALUE(庫存金額A類!D3)</f>
        <v>0</v>
      </c>
      <c r="F7" s="88">
        <f>VALUE(庫存金額A類!E3)</f>
        <v>0</v>
      </c>
      <c r="G7" s="88">
        <f>VALUE(庫存金額A類!F3)</f>
        <v>0</v>
      </c>
      <c r="H7" s="88">
        <f>VALUE(庫存金額A類!G3)</f>
        <v>0</v>
      </c>
      <c r="I7" s="88">
        <f>VALUE(庫存金額A類!H3)</f>
        <v>0</v>
      </c>
      <c r="J7" s="88">
        <f>VALUE(庫存金額A類!I3)</f>
        <v>0</v>
      </c>
      <c r="K7" s="88">
        <f>VALUE(庫存金額A類!J3)</f>
        <v>0</v>
      </c>
      <c r="L7" s="88">
        <f>VALUE(庫存金額A類!K3)</f>
        <v>0</v>
      </c>
      <c r="M7" s="88">
        <f>VALUE(庫存金額A類!L3)</f>
        <v>0</v>
      </c>
      <c r="N7" s="88">
        <f>VALUE(庫存金額A類!M3)</f>
        <v>0</v>
      </c>
      <c r="O7" s="88">
        <f>VALUE(庫存金額A類!N3)</f>
        <v>0</v>
      </c>
      <c r="P7" s="88">
        <f>VALUE(庫存金額A類!O3)</f>
        <v>0</v>
      </c>
      <c r="Q7" s="88">
        <f>VALUE(庫存金額A類!P3)</f>
        <v>0</v>
      </c>
      <c r="R7" s="88">
        <f>VALUE(庫存金額A類!Q3)</f>
        <v>0</v>
      </c>
      <c r="S7" s="88">
        <f>VALUE(庫存金額A類!R3)</f>
        <v>0</v>
      </c>
      <c r="T7" s="88">
        <f>VALUE(庫存金額A類!S3)</f>
        <v>0</v>
      </c>
      <c r="U7" s="88">
        <f>VALUE(庫存金額A類!T3)</f>
        <v>0</v>
      </c>
      <c r="V7" s="88">
        <f>VALUE(庫存金額A類!U3)</f>
        <v>0</v>
      </c>
      <c r="W7" s="88">
        <f>VALUE(庫存金額A類!V3)</f>
        <v>0</v>
      </c>
      <c r="X7" s="88">
        <f>VALUE(庫存金額A類!W3)</f>
        <v>0</v>
      </c>
      <c r="Y7" s="88">
        <f>VALUE(庫存金額A類!X3)</f>
        <v>0</v>
      </c>
      <c r="Z7" s="88">
        <f>VALUE(庫存金額A類!Y3)</f>
        <v>0</v>
      </c>
      <c r="AA7" s="88">
        <f>VALUE(庫存金額A類!Z3)</f>
        <v>0</v>
      </c>
      <c r="AB7" s="88">
        <f>VALUE(庫存金額A類!AA3)</f>
        <v>0</v>
      </c>
      <c r="AC7" s="88">
        <f>VALUE(庫存金額A類!AB3)</f>
        <v>0</v>
      </c>
      <c r="AD7" s="88">
        <f>VALUE(庫存金額A類!AC3)</f>
        <v>0</v>
      </c>
      <c r="AE7" s="88">
        <f>VALUE(庫存金額A類!AD3)</f>
        <v>0</v>
      </c>
      <c r="AF7" s="88">
        <f>VALUE(庫存金額A類!AE3)</f>
        <v>0</v>
      </c>
      <c r="AG7" s="88">
        <f>VALUE(庫存金額A類!AF3)</f>
        <v>0</v>
      </c>
      <c r="AH7" s="88">
        <f>VALUE(庫存金額A類!AG3)</f>
        <v>0</v>
      </c>
      <c r="AI7" s="88">
        <f>VALUE(庫存金額A類!AH3)</f>
        <v>0</v>
      </c>
      <c r="AJ7" s="512" t="e">
        <f>AI7/AI9</f>
        <v>#DIV/0!</v>
      </c>
      <c r="AK7" s="82">
        <f>HLOOKUP(MONTH(日期!$C$2)+1,A類各進口別庫存金額目標!$B$2:$M$7,5,TRUE)</f>
        <v>116265122.70580351</v>
      </c>
    </row>
    <row r="8" spans="1:37" ht="17.5">
      <c r="A8" s="64" t="s">
        <v>71</v>
      </c>
      <c r="B8" s="64">
        <v>4</v>
      </c>
      <c r="C8" s="82">
        <f>HLOOKUP(MONTH(日期!$C$2),A類各進口別庫存金額目標!$B$2:$M$7,6,TRUE)</f>
        <v>36627355.816366076</v>
      </c>
      <c r="D8" s="88">
        <f>VALUE(庫存金額A類!C4)</f>
        <v>0</v>
      </c>
      <c r="E8" s="88">
        <f>VALUE(庫存金額A類!D4)</f>
        <v>0</v>
      </c>
      <c r="F8" s="88">
        <f>VALUE(庫存金額A類!E4)</f>
        <v>0</v>
      </c>
      <c r="G8" s="88">
        <f>VALUE(庫存金額A類!F4)</f>
        <v>0</v>
      </c>
      <c r="H8" s="88">
        <f>VALUE(庫存金額A類!G4)</f>
        <v>0</v>
      </c>
      <c r="I8" s="88">
        <f>VALUE(庫存金額A類!H4)</f>
        <v>0</v>
      </c>
      <c r="J8" s="88">
        <f>VALUE(庫存金額A類!I4)</f>
        <v>0</v>
      </c>
      <c r="K8" s="88">
        <f>VALUE(庫存金額A類!J4)</f>
        <v>0</v>
      </c>
      <c r="L8" s="88">
        <f>VALUE(庫存金額A類!K4)</f>
        <v>0</v>
      </c>
      <c r="M8" s="88">
        <f>VALUE(庫存金額A類!L4)</f>
        <v>0</v>
      </c>
      <c r="N8" s="88">
        <f>VALUE(庫存金額A類!M4)</f>
        <v>0</v>
      </c>
      <c r="O8" s="88">
        <f>VALUE(庫存金額A類!N4)</f>
        <v>0</v>
      </c>
      <c r="P8" s="88">
        <f>VALUE(庫存金額A類!O4)</f>
        <v>0</v>
      </c>
      <c r="Q8" s="88">
        <f>VALUE(庫存金額A類!P4)</f>
        <v>0</v>
      </c>
      <c r="R8" s="88">
        <f>VALUE(庫存金額A類!Q4)</f>
        <v>0</v>
      </c>
      <c r="S8" s="88">
        <f>VALUE(庫存金額A類!R4)</f>
        <v>0</v>
      </c>
      <c r="T8" s="88">
        <f>VALUE(庫存金額A類!S4)</f>
        <v>0</v>
      </c>
      <c r="U8" s="88">
        <f>VALUE(庫存金額A類!T4)</f>
        <v>0</v>
      </c>
      <c r="V8" s="88">
        <f>VALUE(庫存金額A類!U4)</f>
        <v>0</v>
      </c>
      <c r="W8" s="88">
        <f>VALUE(庫存金額A類!V4)</f>
        <v>0</v>
      </c>
      <c r="X8" s="88">
        <f>VALUE(庫存金額A類!W4)</f>
        <v>0</v>
      </c>
      <c r="Y8" s="88">
        <f>VALUE(庫存金額A類!X4)</f>
        <v>0</v>
      </c>
      <c r="Z8" s="88">
        <f>VALUE(庫存金額A類!Y4)</f>
        <v>0</v>
      </c>
      <c r="AA8" s="88">
        <f>VALUE(庫存金額A類!Z4)</f>
        <v>0</v>
      </c>
      <c r="AB8" s="88">
        <f>VALUE(庫存金額A類!AA4)</f>
        <v>0</v>
      </c>
      <c r="AC8" s="88">
        <f>VALUE(庫存金額A類!AB4)</f>
        <v>0</v>
      </c>
      <c r="AD8" s="88">
        <f>VALUE(庫存金額A類!AC4)</f>
        <v>0</v>
      </c>
      <c r="AE8" s="88">
        <f>VALUE(庫存金額A類!AD4)</f>
        <v>0</v>
      </c>
      <c r="AF8" s="88">
        <f>VALUE(庫存金額A類!AE4)</f>
        <v>0</v>
      </c>
      <c r="AG8" s="88">
        <f>VALUE(庫存金額A類!AF4)</f>
        <v>0</v>
      </c>
      <c r="AH8" s="88">
        <f>VALUE(庫存金額A類!AG4)</f>
        <v>0</v>
      </c>
      <c r="AI8" s="88">
        <f>VALUE(庫存金額A類!AH4)</f>
        <v>0</v>
      </c>
      <c r="AJ8" s="512" t="e">
        <f>AI8/AI9</f>
        <v>#DIV/0!</v>
      </c>
      <c r="AK8" s="82">
        <f>HLOOKUP(MONTH(日期!$C$2)+1,A類各進口別庫存金額目標!$B$2:$M$7,6,TRUE)</f>
        <v>36979014.782577761</v>
      </c>
    </row>
    <row r="9" spans="1:37" ht="19.5">
      <c r="A9" s="652" t="s">
        <v>72</v>
      </c>
      <c r="B9" s="652"/>
      <c r="C9" s="83">
        <f>SUM(C6:C8)</f>
        <v>293879556.33795047</v>
      </c>
      <c r="D9" s="84">
        <f t="shared" ref="D9:AH9" si="0">SUM(D6:D8)</f>
        <v>0</v>
      </c>
      <c r="E9" s="84">
        <f t="shared" si="0"/>
        <v>0</v>
      </c>
      <c r="F9" s="84">
        <f t="shared" si="0"/>
        <v>0</v>
      </c>
      <c r="G9" s="84">
        <f t="shared" si="0"/>
        <v>0</v>
      </c>
      <c r="H9" s="84">
        <f t="shared" si="0"/>
        <v>0</v>
      </c>
      <c r="I9" s="84">
        <f t="shared" si="0"/>
        <v>0</v>
      </c>
      <c r="J9" s="84">
        <f t="shared" si="0"/>
        <v>0</v>
      </c>
      <c r="K9" s="84">
        <f t="shared" si="0"/>
        <v>0</v>
      </c>
      <c r="L9" s="84">
        <f t="shared" si="0"/>
        <v>0</v>
      </c>
      <c r="M9" s="84">
        <f t="shared" si="0"/>
        <v>0</v>
      </c>
      <c r="N9" s="84">
        <f t="shared" si="0"/>
        <v>0</v>
      </c>
      <c r="O9" s="84">
        <f t="shared" si="0"/>
        <v>0</v>
      </c>
      <c r="P9" s="84">
        <f t="shared" si="0"/>
        <v>0</v>
      </c>
      <c r="Q9" s="84">
        <f>SUM(Q6:Q8)</f>
        <v>0</v>
      </c>
      <c r="R9" s="84">
        <f t="shared" si="0"/>
        <v>0</v>
      </c>
      <c r="S9" s="84">
        <f t="shared" si="0"/>
        <v>0</v>
      </c>
      <c r="T9" s="84">
        <f t="shared" si="0"/>
        <v>0</v>
      </c>
      <c r="U9" s="84">
        <f t="shared" si="0"/>
        <v>0</v>
      </c>
      <c r="V9" s="84">
        <f t="shared" si="0"/>
        <v>0</v>
      </c>
      <c r="W9" s="84">
        <f t="shared" si="0"/>
        <v>0</v>
      </c>
      <c r="X9" s="84">
        <f t="shared" si="0"/>
        <v>0</v>
      </c>
      <c r="Y9" s="84">
        <f t="shared" si="0"/>
        <v>0</v>
      </c>
      <c r="Z9" s="84">
        <f t="shared" si="0"/>
        <v>0</v>
      </c>
      <c r="AA9" s="84">
        <f t="shared" si="0"/>
        <v>0</v>
      </c>
      <c r="AB9" s="84">
        <f>SUM(AB6:AB8)</f>
        <v>0</v>
      </c>
      <c r="AC9" s="84">
        <f t="shared" si="0"/>
        <v>0</v>
      </c>
      <c r="AD9" s="84">
        <f t="shared" si="0"/>
        <v>0</v>
      </c>
      <c r="AE9" s="84">
        <f t="shared" si="0"/>
        <v>0</v>
      </c>
      <c r="AF9" s="84">
        <f t="shared" si="0"/>
        <v>0</v>
      </c>
      <c r="AG9" s="84">
        <f t="shared" si="0"/>
        <v>0</v>
      </c>
      <c r="AH9" s="84">
        <f t="shared" si="0"/>
        <v>0</v>
      </c>
      <c r="AI9" s="84">
        <f>SUM(AI6:AI8)</f>
        <v>0</v>
      </c>
      <c r="AJ9" s="513" t="e">
        <f>AI9/AI$9</f>
        <v>#DIV/0!</v>
      </c>
      <c r="AK9" s="83">
        <f>SUM(AK6:AK8)</f>
        <v>283686522.48999494</v>
      </c>
    </row>
    <row r="10" spans="1:37">
      <c r="AI10" s="98">
        <f>AI9-C9</f>
        <v>-293879556.33795047</v>
      </c>
    </row>
    <row r="14" spans="1:37" s="77" customFormat="1" ht="18" hidden="1" customHeight="1">
      <c r="A14" s="644" t="s">
        <v>0</v>
      </c>
      <c r="B14" s="646" t="s">
        <v>66</v>
      </c>
      <c r="C14" s="648" t="s">
        <v>73</v>
      </c>
      <c r="D14" s="10" t="s">
        <v>74</v>
      </c>
      <c r="E14" s="10" t="s">
        <v>75</v>
      </c>
      <c r="F14" s="10" t="s">
        <v>76</v>
      </c>
      <c r="G14" s="10" t="s">
        <v>77</v>
      </c>
      <c r="H14" s="10" t="s">
        <v>78</v>
      </c>
      <c r="I14" s="10" t="s">
        <v>79</v>
      </c>
      <c r="J14" s="10" t="s">
        <v>80</v>
      </c>
      <c r="K14" s="10" t="s">
        <v>81</v>
      </c>
      <c r="L14" s="10" t="s">
        <v>82</v>
      </c>
      <c r="M14" s="10" t="s">
        <v>83</v>
      </c>
      <c r="N14" s="10" t="s">
        <v>84</v>
      </c>
      <c r="O14" s="10" t="s">
        <v>85</v>
      </c>
      <c r="P14" s="10" t="s">
        <v>86</v>
      </c>
      <c r="Q14" s="10" t="s">
        <v>87</v>
      </c>
      <c r="R14" s="10" t="s">
        <v>88</v>
      </c>
      <c r="S14" s="10" t="s">
        <v>89</v>
      </c>
      <c r="T14" s="10" t="s">
        <v>90</v>
      </c>
      <c r="U14" s="10" t="s">
        <v>91</v>
      </c>
      <c r="V14" s="10" t="s">
        <v>92</v>
      </c>
      <c r="W14" s="10" t="s">
        <v>93</v>
      </c>
      <c r="X14" s="10" t="s">
        <v>94</v>
      </c>
      <c r="Y14" s="10" t="s">
        <v>95</v>
      </c>
      <c r="Z14" s="10" t="s">
        <v>96</v>
      </c>
      <c r="AA14" s="10" t="s">
        <v>97</v>
      </c>
      <c r="AB14" s="10" t="s">
        <v>98</v>
      </c>
      <c r="AC14" s="10" t="s">
        <v>99</v>
      </c>
      <c r="AD14" s="10" t="s">
        <v>100</v>
      </c>
      <c r="AE14" s="10" t="s">
        <v>101</v>
      </c>
      <c r="AF14" s="10" t="s">
        <v>102</v>
      </c>
      <c r="AG14" s="10" t="s">
        <v>103</v>
      </c>
      <c r="AH14" s="10" t="s">
        <v>104</v>
      </c>
      <c r="AI14" s="650" t="s">
        <v>67</v>
      </c>
      <c r="AJ14" s="640" t="s">
        <v>68</v>
      </c>
    </row>
    <row r="15" spans="1:37" s="77" customFormat="1" ht="18" hidden="1" thickBot="1">
      <c r="A15" s="645"/>
      <c r="B15" s="647"/>
      <c r="C15" s="649"/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111</v>
      </c>
      <c r="K15" s="12" t="s">
        <v>105</v>
      </c>
      <c r="L15" s="12" t="s">
        <v>106</v>
      </c>
      <c r="M15" s="12" t="s">
        <v>107</v>
      </c>
      <c r="N15" s="12" t="s">
        <v>108</v>
      </c>
      <c r="O15" s="12" t="s">
        <v>109</v>
      </c>
      <c r="P15" s="12" t="s">
        <v>110</v>
      </c>
      <c r="Q15" s="12" t="s">
        <v>111</v>
      </c>
      <c r="R15" s="12" t="s">
        <v>105</v>
      </c>
      <c r="S15" s="12" t="s">
        <v>106</v>
      </c>
      <c r="T15" s="12" t="s">
        <v>107</v>
      </c>
      <c r="U15" s="12" t="s">
        <v>108</v>
      </c>
      <c r="V15" s="12" t="s">
        <v>109</v>
      </c>
      <c r="W15" s="12" t="s">
        <v>110</v>
      </c>
      <c r="X15" s="12" t="s">
        <v>111</v>
      </c>
      <c r="Y15" s="12" t="s">
        <v>105</v>
      </c>
      <c r="Z15" s="12" t="s">
        <v>106</v>
      </c>
      <c r="AA15" s="12" t="s">
        <v>107</v>
      </c>
      <c r="AB15" s="12" t="s">
        <v>108</v>
      </c>
      <c r="AC15" s="12" t="s">
        <v>109</v>
      </c>
      <c r="AD15" s="12" t="s">
        <v>110</v>
      </c>
      <c r="AE15" s="12" t="s">
        <v>111</v>
      </c>
      <c r="AF15" s="12" t="s">
        <v>105</v>
      </c>
      <c r="AG15" s="12" t="s">
        <v>106</v>
      </c>
      <c r="AH15" s="12" t="s">
        <v>107</v>
      </c>
      <c r="AI15" s="651"/>
      <c r="AJ15" s="641"/>
    </row>
    <row r="16" spans="1:37" ht="17.5" hidden="1">
      <c r="A16" s="62" t="s">
        <v>71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5" hidden="1">
      <c r="A17" s="64" t="s">
        <v>71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5" hidden="1">
      <c r="A18" s="64" t="s">
        <v>71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72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44" t="s">
        <v>0</v>
      </c>
      <c r="B24" s="646" t="s">
        <v>66</v>
      </c>
      <c r="C24" s="648" t="s">
        <v>73</v>
      </c>
      <c r="D24" s="10" t="s">
        <v>112</v>
      </c>
      <c r="E24" s="10" t="s">
        <v>113</v>
      </c>
      <c r="F24" s="10" t="s">
        <v>114</v>
      </c>
      <c r="G24" s="10" t="s">
        <v>115</v>
      </c>
      <c r="H24" s="10" t="s">
        <v>116</v>
      </c>
      <c r="I24" s="10" t="s">
        <v>117</v>
      </c>
      <c r="J24" s="10" t="s">
        <v>118</v>
      </c>
      <c r="K24" s="10" t="s">
        <v>119</v>
      </c>
      <c r="L24" s="10" t="s">
        <v>120</v>
      </c>
      <c r="M24" s="10" t="s">
        <v>121</v>
      </c>
      <c r="N24" s="10" t="s">
        <v>122</v>
      </c>
      <c r="O24" s="10" t="s">
        <v>123</v>
      </c>
      <c r="P24" s="10" t="s">
        <v>124</v>
      </c>
      <c r="Q24" s="10" t="s">
        <v>125</v>
      </c>
      <c r="R24" s="10" t="s">
        <v>126</v>
      </c>
      <c r="S24" s="10" t="s">
        <v>127</v>
      </c>
      <c r="T24" s="10" t="s">
        <v>128</v>
      </c>
      <c r="U24" s="10" t="s">
        <v>129</v>
      </c>
      <c r="V24" s="10" t="s">
        <v>130</v>
      </c>
      <c r="W24" s="10" t="s">
        <v>131</v>
      </c>
      <c r="X24" s="10" t="s">
        <v>132</v>
      </c>
      <c r="Y24" s="10" t="s">
        <v>133</v>
      </c>
      <c r="Z24" s="10" t="s">
        <v>134</v>
      </c>
      <c r="AA24" s="10" t="s">
        <v>135</v>
      </c>
      <c r="AB24" s="10" t="s">
        <v>136</v>
      </c>
      <c r="AC24" s="10" t="s">
        <v>137</v>
      </c>
      <c r="AD24" s="10" t="s">
        <v>138</v>
      </c>
      <c r="AE24" s="10" t="s">
        <v>139</v>
      </c>
      <c r="AF24" s="10" t="s">
        <v>140</v>
      </c>
      <c r="AG24" s="10" t="s">
        <v>141</v>
      </c>
      <c r="AH24" s="10"/>
      <c r="AI24" s="650" t="s">
        <v>67</v>
      </c>
      <c r="AJ24" s="640" t="s">
        <v>68</v>
      </c>
    </row>
    <row r="25" spans="1:36" s="77" customFormat="1" ht="18" hidden="1" thickBot="1">
      <c r="A25" s="645"/>
      <c r="B25" s="647"/>
      <c r="C25" s="649"/>
      <c r="D25" s="12" t="s">
        <v>108</v>
      </c>
      <c r="E25" s="12" t="s">
        <v>109</v>
      </c>
      <c r="F25" s="12" t="s">
        <v>110</v>
      </c>
      <c r="G25" s="12" t="s">
        <v>111</v>
      </c>
      <c r="H25" s="12" t="s">
        <v>105</v>
      </c>
      <c r="I25" s="12" t="s">
        <v>106</v>
      </c>
      <c r="J25" s="12" t="s">
        <v>107</v>
      </c>
      <c r="K25" s="12" t="s">
        <v>108</v>
      </c>
      <c r="L25" s="12" t="s">
        <v>109</v>
      </c>
      <c r="M25" s="12" t="s">
        <v>110</v>
      </c>
      <c r="N25" s="12" t="s">
        <v>111</v>
      </c>
      <c r="O25" s="12" t="s">
        <v>105</v>
      </c>
      <c r="P25" s="12" t="s">
        <v>106</v>
      </c>
      <c r="Q25" s="12" t="s">
        <v>107</v>
      </c>
      <c r="R25" s="12" t="s">
        <v>108</v>
      </c>
      <c r="S25" s="12" t="s">
        <v>109</v>
      </c>
      <c r="T25" s="12" t="s">
        <v>110</v>
      </c>
      <c r="U25" s="12" t="s">
        <v>111</v>
      </c>
      <c r="V25" s="12" t="s">
        <v>105</v>
      </c>
      <c r="W25" s="12" t="s">
        <v>106</v>
      </c>
      <c r="X25" s="12" t="s">
        <v>107</v>
      </c>
      <c r="Y25" s="12" t="s">
        <v>108</v>
      </c>
      <c r="Z25" s="12" t="s">
        <v>109</v>
      </c>
      <c r="AA25" s="12" t="s">
        <v>110</v>
      </c>
      <c r="AB25" s="12" t="s">
        <v>111</v>
      </c>
      <c r="AC25" s="12" t="s">
        <v>105</v>
      </c>
      <c r="AD25" s="12" t="s">
        <v>106</v>
      </c>
      <c r="AE25" s="12" t="s">
        <v>107</v>
      </c>
      <c r="AF25" s="12" t="s">
        <v>108</v>
      </c>
      <c r="AG25" s="12" t="s">
        <v>109</v>
      </c>
      <c r="AH25" s="93"/>
      <c r="AI25" s="651"/>
      <c r="AJ25" s="641"/>
    </row>
    <row r="26" spans="1:36" ht="17.5" hidden="1">
      <c r="A26" s="62" t="s">
        <v>71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5" hidden="1">
      <c r="A27" s="64" t="s">
        <v>71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5" hidden="1">
      <c r="A28" s="64" t="s">
        <v>71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72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44" t="s">
        <v>0</v>
      </c>
      <c r="B34" s="646" t="s">
        <v>66</v>
      </c>
      <c r="C34" s="648" t="s">
        <v>73</v>
      </c>
      <c r="D34" s="10" t="s">
        <v>142</v>
      </c>
      <c r="E34" s="10" t="s">
        <v>143</v>
      </c>
      <c r="F34" s="10" t="s">
        <v>144</v>
      </c>
      <c r="G34" s="10" t="s">
        <v>145</v>
      </c>
      <c r="H34" s="10" t="s">
        <v>146</v>
      </c>
      <c r="I34" s="10" t="s">
        <v>147</v>
      </c>
      <c r="J34" s="10" t="s">
        <v>148</v>
      </c>
      <c r="K34" s="10" t="s">
        <v>149</v>
      </c>
      <c r="L34" s="10" t="s">
        <v>150</v>
      </c>
      <c r="M34" s="10" t="s">
        <v>151</v>
      </c>
      <c r="N34" s="10" t="s">
        <v>152</v>
      </c>
      <c r="O34" s="10" t="s">
        <v>153</v>
      </c>
      <c r="P34" s="10" t="s">
        <v>154</v>
      </c>
      <c r="Q34" s="10" t="s">
        <v>155</v>
      </c>
      <c r="R34" s="10" t="s">
        <v>156</v>
      </c>
      <c r="S34" s="10" t="s">
        <v>157</v>
      </c>
      <c r="T34" s="10" t="s">
        <v>158</v>
      </c>
      <c r="U34" s="10" t="s">
        <v>159</v>
      </c>
      <c r="V34" s="10" t="s">
        <v>160</v>
      </c>
      <c r="W34" s="10" t="s">
        <v>161</v>
      </c>
      <c r="X34" s="10" t="s">
        <v>162</v>
      </c>
      <c r="Y34" s="10" t="s">
        <v>163</v>
      </c>
      <c r="Z34" s="10" t="s">
        <v>164</v>
      </c>
      <c r="AA34" s="10" t="s">
        <v>165</v>
      </c>
      <c r="AB34" s="10" t="s">
        <v>166</v>
      </c>
      <c r="AC34" s="10" t="s">
        <v>167</v>
      </c>
      <c r="AD34" s="10" t="s">
        <v>168</v>
      </c>
      <c r="AE34" s="10" t="s">
        <v>169</v>
      </c>
      <c r="AF34" s="10" t="s">
        <v>170</v>
      </c>
      <c r="AG34" s="10" t="s">
        <v>171</v>
      </c>
      <c r="AH34" s="10" t="s">
        <v>172</v>
      </c>
      <c r="AI34" s="75" t="s">
        <v>67</v>
      </c>
      <c r="AJ34" s="76" t="s">
        <v>68</v>
      </c>
    </row>
    <row r="35" spans="1:36" s="77" customFormat="1" ht="18" hidden="1" thickBot="1">
      <c r="A35" s="645"/>
      <c r="B35" s="647"/>
      <c r="C35" s="649"/>
      <c r="D35" s="12" t="s">
        <v>110</v>
      </c>
      <c r="E35" s="12" t="s">
        <v>111</v>
      </c>
      <c r="F35" s="12" t="s">
        <v>105</v>
      </c>
      <c r="G35" s="12" t="s">
        <v>106</v>
      </c>
      <c r="H35" s="12" t="s">
        <v>107</v>
      </c>
      <c r="I35" s="12" t="s">
        <v>108</v>
      </c>
      <c r="J35" s="12" t="s">
        <v>109</v>
      </c>
      <c r="K35" s="12" t="s">
        <v>110</v>
      </c>
      <c r="L35" s="12" t="s">
        <v>111</v>
      </c>
      <c r="M35" s="12" t="s">
        <v>105</v>
      </c>
      <c r="N35" s="12" t="s">
        <v>106</v>
      </c>
      <c r="O35" s="12" t="s">
        <v>107</v>
      </c>
      <c r="P35" s="12" t="s">
        <v>108</v>
      </c>
      <c r="Q35" s="12" t="s">
        <v>109</v>
      </c>
      <c r="R35" s="12" t="s">
        <v>110</v>
      </c>
      <c r="S35" s="12" t="s">
        <v>111</v>
      </c>
      <c r="T35" s="12" t="s">
        <v>105</v>
      </c>
      <c r="U35" s="12" t="s">
        <v>106</v>
      </c>
      <c r="V35" s="12" t="s">
        <v>107</v>
      </c>
      <c r="W35" s="12" t="s">
        <v>108</v>
      </c>
      <c r="X35" s="12" t="s">
        <v>109</v>
      </c>
      <c r="Y35" s="12" t="s">
        <v>110</v>
      </c>
      <c r="Z35" s="12" t="s">
        <v>111</v>
      </c>
      <c r="AA35" s="12" t="s">
        <v>105</v>
      </c>
      <c r="AB35" s="12" t="s">
        <v>106</v>
      </c>
      <c r="AC35" s="12" t="s">
        <v>107</v>
      </c>
      <c r="AD35" s="12" t="s">
        <v>108</v>
      </c>
      <c r="AE35" s="12" t="s">
        <v>109</v>
      </c>
      <c r="AF35" s="12" t="s">
        <v>110</v>
      </c>
      <c r="AG35" s="12" t="s">
        <v>111</v>
      </c>
      <c r="AH35" s="12" t="s">
        <v>105</v>
      </c>
      <c r="AI35" s="12"/>
      <c r="AJ35" s="78"/>
    </row>
    <row r="36" spans="1:36" ht="17.5" hidden="1">
      <c r="A36" s="62" t="s">
        <v>71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5" hidden="1">
      <c r="A37" s="64" t="s">
        <v>71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5" hidden="1">
      <c r="A38" s="64" t="s">
        <v>71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72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5" hidden="1" customHeight="1"/>
    <row r="44" spans="1:36" s="77" customFormat="1" ht="18" hidden="1" customHeight="1">
      <c r="A44" s="644" t="s">
        <v>0</v>
      </c>
      <c r="B44" s="646" t="s">
        <v>66</v>
      </c>
      <c r="C44" s="648" t="s">
        <v>73</v>
      </c>
      <c r="D44" s="10" t="s">
        <v>173</v>
      </c>
      <c r="E44" s="10" t="s">
        <v>174</v>
      </c>
      <c r="F44" s="10" t="s">
        <v>175</v>
      </c>
      <c r="G44" s="10" t="s">
        <v>176</v>
      </c>
      <c r="H44" s="10" t="s">
        <v>177</v>
      </c>
      <c r="I44" s="10" t="s">
        <v>178</v>
      </c>
      <c r="J44" s="10" t="s">
        <v>179</v>
      </c>
      <c r="K44" s="10" t="s">
        <v>180</v>
      </c>
      <c r="L44" s="10" t="s">
        <v>181</v>
      </c>
      <c r="M44" s="10" t="s">
        <v>182</v>
      </c>
      <c r="N44" s="10" t="s">
        <v>183</v>
      </c>
      <c r="O44" s="10" t="s">
        <v>184</v>
      </c>
      <c r="P44" s="10" t="s">
        <v>185</v>
      </c>
      <c r="Q44" s="10" t="s">
        <v>186</v>
      </c>
      <c r="R44" s="10" t="s">
        <v>187</v>
      </c>
      <c r="S44" s="10" t="s">
        <v>188</v>
      </c>
      <c r="T44" s="10" t="s">
        <v>189</v>
      </c>
      <c r="U44" s="10" t="s">
        <v>190</v>
      </c>
      <c r="V44" s="10" t="s">
        <v>191</v>
      </c>
      <c r="W44" s="10" t="s">
        <v>192</v>
      </c>
      <c r="X44" s="10" t="s">
        <v>193</v>
      </c>
      <c r="Y44" s="10" t="s">
        <v>194</v>
      </c>
      <c r="Z44" s="10" t="s">
        <v>195</v>
      </c>
      <c r="AA44" s="10" t="s">
        <v>196</v>
      </c>
      <c r="AB44" s="10" t="s">
        <v>197</v>
      </c>
      <c r="AC44" s="10" t="s">
        <v>198</v>
      </c>
      <c r="AD44" s="10" t="s">
        <v>199</v>
      </c>
      <c r="AE44" s="10" t="s">
        <v>200</v>
      </c>
      <c r="AF44" s="10" t="s">
        <v>201</v>
      </c>
      <c r="AG44" s="10" t="s">
        <v>202</v>
      </c>
      <c r="AH44" s="10"/>
      <c r="AI44" s="75" t="s">
        <v>67</v>
      </c>
      <c r="AJ44" s="76" t="s">
        <v>68</v>
      </c>
    </row>
    <row r="45" spans="1:36" s="77" customFormat="1" ht="19" hidden="1" customHeight="1">
      <c r="A45" s="645"/>
      <c r="B45" s="647"/>
      <c r="C45" s="649"/>
      <c r="D45" s="12" t="s">
        <v>106</v>
      </c>
      <c r="E45" s="12" t="s">
        <v>107</v>
      </c>
      <c r="F45" s="12" t="s">
        <v>108</v>
      </c>
      <c r="G45" s="12" t="s">
        <v>109</v>
      </c>
      <c r="H45" s="12" t="s">
        <v>110</v>
      </c>
      <c r="I45" s="12" t="s">
        <v>111</v>
      </c>
      <c r="J45" s="12" t="s">
        <v>105</v>
      </c>
      <c r="K45" s="12" t="s">
        <v>106</v>
      </c>
      <c r="L45" s="12" t="s">
        <v>107</v>
      </c>
      <c r="M45" s="12" t="s">
        <v>108</v>
      </c>
      <c r="N45" s="12" t="s">
        <v>109</v>
      </c>
      <c r="O45" s="12" t="s">
        <v>110</v>
      </c>
      <c r="P45" s="12" t="s">
        <v>111</v>
      </c>
      <c r="Q45" s="12" t="s">
        <v>105</v>
      </c>
      <c r="R45" s="12" t="s">
        <v>106</v>
      </c>
      <c r="S45" s="12" t="s">
        <v>107</v>
      </c>
      <c r="T45" s="12" t="s">
        <v>108</v>
      </c>
      <c r="U45" s="12" t="s">
        <v>109</v>
      </c>
      <c r="V45" s="12" t="s">
        <v>110</v>
      </c>
      <c r="W45" s="12" t="s">
        <v>111</v>
      </c>
      <c r="X45" s="12" t="s">
        <v>105</v>
      </c>
      <c r="Y45" s="12" t="s">
        <v>106</v>
      </c>
      <c r="Z45" s="12" t="s">
        <v>107</v>
      </c>
      <c r="AA45" s="12" t="s">
        <v>108</v>
      </c>
      <c r="AB45" s="12" t="s">
        <v>109</v>
      </c>
      <c r="AC45" s="12" t="s">
        <v>110</v>
      </c>
      <c r="AD45" s="12" t="s">
        <v>111</v>
      </c>
      <c r="AE45" s="12" t="s">
        <v>105</v>
      </c>
      <c r="AF45" s="12" t="s">
        <v>106</v>
      </c>
      <c r="AG45" s="12" t="s">
        <v>107</v>
      </c>
      <c r="AH45" s="93"/>
      <c r="AI45" s="12"/>
      <c r="AJ45" s="78"/>
    </row>
    <row r="46" spans="1:36" ht="18" hidden="1" customHeight="1">
      <c r="A46" s="62" t="s">
        <v>71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71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71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72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44" t="s">
        <v>0</v>
      </c>
      <c r="B54" s="646" t="s">
        <v>66</v>
      </c>
      <c r="C54" s="648" t="s">
        <v>73</v>
      </c>
      <c r="D54" s="10" t="s">
        <v>203</v>
      </c>
      <c r="E54" s="10" t="s">
        <v>204</v>
      </c>
      <c r="F54" s="10" t="s">
        <v>205</v>
      </c>
      <c r="G54" s="10" t="s">
        <v>206</v>
      </c>
      <c r="H54" s="10" t="s">
        <v>207</v>
      </c>
      <c r="I54" s="10" t="s">
        <v>208</v>
      </c>
      <c r="J54" s="10" t="s">
        <v>209</v>
      </c>
      <c r="K54" s="10" t="s">
        <v>210</v>
      </c>
      <c r="L54" s="10" t="s">
        <v>211</v>
      </c>
      <c r="M54" s="10" t="s">
        <v>212</v>
      </c>
      <c r="N54" s="10" t="s">
        <v>213</v>
      </c>
      <c r="O54" s="10" t="s">
        <v>214</v>
      </c>
      <c r="P54" s="10" t="s">
        <v>215</v>
      </c>
      <c r="Q54" s="10" t="s">
        <v>216</v>
      </c>
      <c r="R54" s="10" t="s">
        <v>217</v>
      </c>
      <c r="S54" s="10" t="s">
        <v>218</v>
      </c>
      <c r="T54" s="10" t="s">
        <v>219</v>
      </c>
      <c r="U54" s="10" t="s">
        <v>220</v>
      </c>
      <c r="V54" s="10" t="s">
        <v>221</v>
      </c>
      <c r="W54" s="10" t="s">
        <v>222</v>
      </c>
      <c r="X54" s="10" t="s">
        <v>223</v>
      </c>
      <c r="Y54" s="10" t="s">
        <v>224</v>
      </c>
      <c r="Z54" s="10" t="s">
        <v>225</v>
      </c>
      <c r="AA54" s="10" t="s">
        <v>226</v>
      </c>
      <c r="AB54" s="10" t="s">
        <v>227</v>
      </c>
      <c r="AC54" s="10" t="s">
        <v>228</v>
      </c>
      <c r="AD54" s="10" t="s">
        <v>229</v>
      </c>
      <c r="AE54" s="10" t="s">
        <v>230</v>
      </c>
      <c r="AF54" s="10" t="s">
        <v>231</v>
      </c>
      <c r="AG54" s="10" t="s">
        <v>232</v>
      </c>
      <c r="AH54" s="10" t="s">
        <v>233</v>
      </c>
      <c r="AI54" s="75" t="s">
        <v>67</v>
      </c>
      <c r="AJ54" s="76" t="s">
        <v>68</v>
      </c>
    </row>
    <row r="55" spans="1:36" s="77" customFormat="1" ht="18" hidden="1" thickBot="1">
      <c r="A55" s="645"/>
      <c r="B55" s="647"/>
      <c r="C55" s="649"/>
      <c r="D55" s="12" t="s">
        <v>108</v>
      </c>
      <c r="E55" s="12" t="s">
        <v>109</v>
      </c>
      <c r="F55" s="12" t="s">
        <v>110</v>
      </c>
      <c r="G55" s="12" t="s">
        <v>111</v>
      </c>
      <c r="H55" s="12" t="s">
        <v>105</v>
      </c>
      <c r="I55" s="12" t="s">
        <v>106</v>
      </c>
      <c r="J55" s="12" t="s">
        <v>107</v>
      </c>
      <c r="K55" s="12" t="s">
        <v>108</v>
      </c>
      <c r="L55" s="12" t="s">
        <v>109</v>
      </c>
      <c r="M55" s="12" t="s">
        <v>110</v>
      </c>
      <c r="N55" s="12" t="s">
        <v>111</v>
      </c>
      <c r="O55" s="12" t="s">
        <v>105</v>
      </c>
      <c r="P55" s="12" t="s">
        <v>106</v>
      </c>
      <c r="Q55" s="12" t="s">
        <v>107</v>
      </c>
      <c r="R55" s="12" t="s">
        <v>108</v>
      </c>
      <c r="S55" s="12" t="s">
        <v>109</v>
      </c>
      <c r="T55" s="12" t="s">
        <v>110</v>
      </c>
      <c r="U55" s="12" t="s">
        <v>111</v>
      </c>
      <c r="V55" s="12" t="s">
        <v>105</v>
      </c>
      <c r="W55" s="12" t="s">
        <v>106</v>
      </c>
      <c r="X55" s="12" t="s">
        <v>107</v>
      </c>
      <c r="Y55" s="12" t="s">
        <v>108</v>
      </c>
      <c r="Z55" s="12" t="s">
        <v>109</v>
      </c>
      <c r="AA55" s="12" t="s">
        <v>110</v>
      </c>
      <c r="AB55" s="12" t="s">
        <v>111</v>
      </c>
      <c r="AC55" s="12" t="s">
        <v>105</v>
      </c>
      <c r="AD55" s="12" t="s">
        <v>106</v>
      </c>
      <c r="AE55" s="12" t="s">
        <v>107</v>
      </c>
      <c r="AF55" s="12" t="s">
        <v>108</v>
      </c>
      <c r="AG55" s="12" t="s">
        <v>109</v>
      </c>
      <c r="AH55" s="12" t="s">
        <v>110</v>
      </c>
      <c r="AI55" s="12"/>
      <c r="AJ55" s="78"/>
    </row>
    <row r="56" spans="1:36" ht="17.5" hidden="1">
      <c r="A56" s="62" t="s">
        <v>71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5" hidden="1">
      <c r="A57" s="64" t="s">
        <v>71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5" hidden="1">
      <c r="A58" s="64" t="s">
        <v>71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72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topRight" activeCell="C1" sqref="C1"/>
      <selection pane="bottomLeft" activeCell="A6" sqref="A6"/>
      <selection pane="bottomRight" activeCell="AB25" sqref="AB25"/>
    </sheetView>
  </sheetViews>
  <sheetFormatPr defaultRowHeight="17"/>
  <cols>
    <col min="1" max="1" width="9.36328125" style="74" customWidth="1"/>
    <col min="2" max="2" width="9.6328125" style="74" bestFit="1" customWidth="1"/>
    <col min="3" max="3" width="17.453125" style="98" bestFit="1" customWidth="1"/>
    <col min="4" max="9" width="17.453125" style="98" customWidth="1"/>
    <col min="10" max="67" width="17.453125" customWidth="1"/>
    <col min="68" max="68" width="16.453125" customWidth="1"/>
  </cols>
  <sheetData>
    <row r="1" spans="1:35" ht="21.5">
      <c r="A1" s="72" t="s">
        <v>234</v>
      </c>
      <c r="B1" s="97"/>
      <c r="I1"/>
      <c r="AG1" s="99"/>
      <c r="AH1" s="100"/>
    </row>
    <row r="3" spans="1:35" ht="17.5" thickBot="1"/>
    <row r="4" spans="1:35" s="77" customFormat="1" ht="18" thickBot="1">
      <c r="A4" s="655" t="s">
        <v>0</v>
      </c>
      <c r="B4" s="657" t="s">
        <v>66</v>
      </c>
      <c r="C4" s="491">
        <f>日期!C2</f>
        <v>0</v>
      </c>
      <c r="D4" s="491">
        <f>日期!D2</f>
        <v>0</v>
      </c>
      <c r="E4" s="491">
        <f>日期!E2</f>
        <v>0</v>
      </c>
      <c r="F4" s="491">
        <f>日期!F2</f>
        <v>0</v>
      </c>
      <c r="G4" s="491">
        <f>日期!G2</f>
        <v>0</v>
      </c>
      <c r="H4" s="491">
        <f>日期!H2</f>
        <v>0</v>
      </c>
      <c r="I4" s="491">
        <f>日期!I2</f>
        <v>0</v>
      </c>
      <c r="J4" s="491">
        <f>日期!J2</f>
        <v>0</v>
      </c>
      <c r="K4" s="491">
        <f>日期!K2</f>
        <v>0</v>
      </c>
      <c r="L4" s="491">
        <f>日期!L2</f>
        <v>0</v>
      </c>
      <c r="M4" s="491">
        <f>日期!M2</f>
        <v>0</v>
      </c>
      <c r="N4" s="491">
        <f>日期!N2</f>
        <v>0</v>
      </c>
      <c r="O4" s="491">
        <f>日期!O2</f>
        <v>0</v>
      </c>
      <c r="P4" s="491">
        <f>日期!P2</f>
        <v>0</v>
      </c>
      <c r="Q4" s="491">
        <f>日期!Q2</f>
        <v>0</v>
      </c>
      <c r="R4" s="491">
        <f>日期!R2</f>
        <v>0</v>
      </c>
      <c r="S4" s="491">
        <f>日期!S2</f>
        <v>0</v>
      </c>
      <c r="T4" s="491">
        <f>日期!T2</f>
        <v>0</v>
      </c>
      <c r="U4" s="491">
        <f>日期!U2</f>
        <v>0</v>
      </c>
      <c r="V4" s="491">
        <f>日期!V2</f>
        <v>0</v>
      </c>
      <c r="W4" s="491">
        <f>日期!W2</f>
        <v>0</v>
      </c>
      <c r="X4" s="491">
        <f>日期!X2</f>
        <v>0</v>
      </c>
      <c r="Y4" s="491">
        <f>日期!Y2</f>
        <v>0</v>
      </c>
      <c r="Z4" s="491">
        <f>日期!Z2</f>
        <v>0</v>
      </c>
      <c r="AA4" s="491">
        <f>日期!AA2</f>
        <v>0</v>
      </c>
      <c r="AB4" s="491">
        <f>日期!AB2</f>
        <v>0</v>
      </c>
      <c r="AC4" s="491">
        <f>日期!AC2</f>
        <v>0</v>
      </c>
      <c r="AD4" s="491">
        <f>日期!AD2</f>
        <v>0</v>
      </c>
      <c r="AE4" s="491">
        <f>日期!AE2</f>
        <v>0</v>
      </c>
      <c r="AF4" s="491">
        <f>日期!AF2</f>
        <v>0</v>
      </c>
      <c r="AG4" s="491">
        <f>日期!AG2</f>
        <v>0</v>
      </c>
      <c r="AH4" s="483" t="s">
        <v>67</v>
      </c>
      <c r="AI4" s="108" t="s">
        <v>68</v>
      </c>
    </row>
    <row r="5" spans="1:35" s="77" customFormat="1" ht="18" thickBot="1">
      <c r="A5" s="656"/>
      <c r="B5" s="658"/>
      <c r="C5" s="485">
        <f>日期!C3</f>
        <v>0</v>
      </c>
      <c r="D5" s="485">
        <f>日期!D3</f>
        <v>0</v>
      </c>
      <c r="E5" s="485">
        <f>日期!E3</f>
        <v>0</v>
      </c>
      <c r="F5" s="485">
        <f>日期!F3</f>
        <v>0</v>
      </c>
      <c r="G5" s="485">
        <f>日期!G3</f>
        <v>0</v>
      </c>
      <c r="H5" s="485">
        <f>日期!H3</f>
        <v>0</v>
      </c>
      <c r="I5" s="485">
        <f>日期!I3</f>
        <v>0</v>
      </c>
      <c r="J5" s="485">
        <f>日期!J3</f>
        <v>0</v>
      </c>
      <c r="K5" s="485">
        <f>日期!K3</f>
        <v>0</v>
      </c>
      <c r="L5" s="485">
        <f>日期!L3</f>
        <v>0</v>
      </c>
      <c r="M5" s="485">
        <f>日期!M3</f>
        <v>0</v>
      </c>
      <c r="N5" s="485">
        <f>日期!N3</f>
        <v>0</v>
      </c>
      <c r="O5" s="485">
        <f>日期!O3</f>
        <v>0</v>
      </c>
      <c r="P5" s="485">
        <f>日期!P3</f>
        <v>0</v>
      </c>
      <c r="Q5" s="485">
        <f>日期!Q3</f>
        <v>0</v>
      </c>
      <c r="R5" s="485">
        <f>日期!R3</f>
        <v>0</v>
      </c>
      <c r="S5" s="485">
        <f>日期!S3</f>
        <v>0</v>
      </c>
      <c r="T5" s="485">
        <f>日期!T3</f>
        <v>0</v>
      </c>
      <c r="U5" s="485">
        <f>日期!U3</f>
        <v>0</v>
      </c>
      <c r="V5" s="485">
        <f>日期!V3</f>
        <v>0</v>
      </c>
      <c r="W5" s="485">
        <f>日期!W3</f>
        <v>0</v>
      </c>
      <c r="X5" s="485">
        <f>日期!X3</f>
        <v>0</v>
      </c>
      <c r="Y5" s="485">
        <f>日期!Y3</f>
        <v>0</v>
      </c>
      <c r="Z5" s="485">
        <f>日期!Z3</f>
        <v>0</v>
      </c>
      <c r="AA5" s="485">
        <f>日期!AA3</f>
        <v>0</v>
      </c>
      <c r="AB5" s="485">
        <f>日期!AB3</f>
        <v>0</v>
      </c>
      <c r="AC5" s="485">
        <f>日期!AC3</f>
        <v>0</v>
      </c>
      <c r="AD5" s="485">
        <f>日期!AD3</f>
        <v>0</v>
      </c>
      <c r="AE5" s="485">
        <f>日期!AE3</f>
        <v>0</v>
      </c>
      <c r="AF5" s="485">
        <f>日期!AF3</f>
        <v>0</v>
      </c>
      <c r="AG5" s="485">
        <f>日期!AG3</f>
        <v>0</v>
      </c>
      <c r="AH5" s="484"/>
      <c r="AI5" s="109"/>
    </row>
    <row r="6" spans="1:35" ht="17.5">
      <c r="A6" s="101" t="s">
        <v>71</v>
      </c>
      <c r="B6" s="102" t="s">
        <v>235</v>
      </c>
      <c r="C6" s="103">
        <f>VALUE(期貨金額!D2)</f>
        <v>0</v>
      </c>
      <c r="D6" s="103">
        <f>VALUE(期貨金額!E2)</f>
        <v>0</v>
      </c>
      <c r="E6" s="103">
        <f>VALUE(期貨金額!F2)</f>
        <v>0</v>
      </c>
      <c r="F6" s="103">
        <f>VALUE(期貨金額!G2)</f>
        <v>0</v>
      </c>
      <c r="G6" s="103">
        <f>VALUE(期貨金額!H2)</f>
        <v>0</v>
      </c>
      <c r="H6" s="103">
        <f>VALUE(期貨金額!I2)</f>
        <v>0</v>
      </c>
      <c r="I6" s="103">
        <f>VALUE(期貨金額!J2)</f>
        <v>0</v>
      </c>
      <c r="J6" s="103">
        <f>VALUE(期貨金額!K2)</f>
        <v>0</v>
      </c>
      <c r="K6" s="103">
        <f>VALUE(期貨金額!L2)</f>
        <v>0</v>
      </c>
      <c r="L6" s="103">
        <f>VALUE(期貨金額!M2)</f>
        <v>0</v>
      </c>
      <c r="M6" s="103">
        <f>VALUE(期貨金額!N2)</f>
        <v>0</v>
      </c>
      <c r="N6" s="103">
        <f>VALUE(期貨金額!O2)</f>
        <v>0</v>
      </c>
      <c r="O6" s="103">
        <f>VALUE(期貨金額!P2)</f>
        <v>0</v>
      </c>
      <c r="P6" s="103">
        <f>VALUE(期貨金額!Q2)</f>
        <v>0</v>
      </c>
      <c r="Q6" s="103">
        <f>VALUE(期貨金額!R2)</f>
        <v>0</v>
      </c>
      <c r="R6" s="103">
        <f>VALUE(期貨金額!S2)</f>
        <v>0</v>
      </c>
      <c r="S6" s="103">
        <f>VALUE(期貨金額!T2)</f>
        <v>0</v>
      </c>
      <c r="T6" s="103">
        <f>VALUE(期貨金額!U2)</f>
        <v>0</v>
      </c>
      <c r="U6" s="103">
        <f>VALUE(期貨金額!V2)</f>
        <v>0</v>
      </c>
      <c r="V6" s="103">
        <f>VALUE(期貨金額!W2)</f>
        <v>0</v>
      </c>
      <c r="W6" s="103">
        <f>VALUE(期貨金額!X2)</f>
        <v>0</v>
      </c>
      <c r="X6" s="103">
        <f>VALUE(期貨金額!Y2)</f>
        <v>0</v>
      </c>
      <c r="Y6" s="103">
        <f>VALUE(期貨金額!Z2)</f>
        <v>0</v>
      </c>
      <c r="Z6" s="103">
        <f>VALUE(期貨金額!AA2)</f>
        <v>0</v>
      </c>
      <c r="AA6" s="103">
        <f>VALUE(期貨金額!AB2)</f>
        <v>0</v>
      </c>
      <c r="AB6" s="103">
        <f>VALUE(期貨金額!AC2)</f>
        <v>0</v>
      </c>
      <c r="AC6" s="103">
        <f>VALUE(期貨金額!AD2)</f>
        <v>0</v>
      </c>
      <c r="AD6" s="103">
        <f>VALUE(期貨金額!AE2)</f>
        <v>0</v>
      </c>
      <c r="AE6" s="103">
        <f>VALUE(期貨金額!AF2)</f>
        <v>0</v>
      </c>
      <c r="AF6" s="103">
        <f>VALUE(期貨金額!AG2)</f>
        <v>0</v>
      </c>
      <c r="AG6" s="103">
        <f>VALUE(期貨金額!AH2)</f>
        <v>0</v>
      </c>
      <c r="AH6" s="103">
        <f>VALUE(期貨金額!AI2)</f>
        <v>0</v>
      </c>
      <c r="AI6" s="467" t="e">
        <f>AH6/$AH$19</f>
        <v>#DIV/0!</v>
      </c>
    </row>
    <row r="7" spans="1:35" ht="17.5">
      <c r="A7" s="105" t="s">
        <v>71</v>
      </c>
      <c r="B7" s="106" t="s">
        <v>236</v>
      </c>
      <c r="C7" s="103">
        <f>VALUE(期貨金額!D3)</f>
        <v>0</v>
      </c>
      <c r="D7" s="103">
        <f>VALUE(期貨金額!E3)</f>
        <v>0</v>
      </c>
      <c r="E7" s="103">
        <f>VALUE(期貨金額!F3)</f>
        <v>0</v>
      </c>
      <c r="F7" s="103">
        <f>VALUE(期貨金額!G3)</f>
        <v>0</v>
      </c>
      <c r="G7" s="103">
        <f>VALUE(期貨金額!H3)</f>
        <v>0</v>
      </c>
      <c r="H7" s="103">
        <f>VALUE(期貨金額!I3)</f>
        <v>0</v>
      </c>
      <c r="I7" s="103">
        <f>VALUE(期貨金額!J3)</f>
        <v>0</v>
      </c>
      <c r="J7" s="103">
        <f>VALUE(期貨金額!K3)</f>
        <v>0</v>
      </c>
      <c r="K7" s="103">
        <f>VALUE(期貨金額!L3)</f>
        <v>0</v>
      </c>
      <c r="L7" s="103">
        <f>VALUE(期貨金額!M3)</f>
        <v>0</v>
      </c>
      <c r="M7" s="103">
        <f>VALUE(期貨金額!N3)</f>
        <v>0</v>
      </c>
      <c r="N7" s="103">
        <f>VALUE(期貨金額!O3)</f>
        <v>0</v>
      </c>
      <c r="O7" s="103">
        <f>VALUE(期貨金額!P3)</f>
        <v>0</v>
      </c>
      <c r="P7" s="103">
        <f>VALUE(期貨金額!Q3)</f>
        <v>0</v>
      </c>
      <c r="Q7" s="103">
        <f>VALUE(期貨金額!R3)</f>
        <v>0</v>
      </c>
      <c r="R7" s="103">
        <f>VALUE(期貨金額!S3)</f>
        <v>0</v>
      </c>
      <c r="S7" s="103">
        <f>VALUE(期貨金額!T3)</f>
        <v>0</v>
      </c>
      <c r="T7" s="103">
        <f>VALUE(期貨金額!U3)</f>
        <v>0</v>
      </c>
      <c r="U7" s="103">
        <f>VALUE(期貨金額!V3)</f>
        <v>0</v>
      </c>
      <c r="V7" s="103">
        <f>VALUE(期貨金額!W3)</f>
        <v>0</v>
      </c>
      <c r="W7" s="103">
        <f>VALUE(期貨金額!X3)</f>
        <v>0</v>
      </c>
      <c r="X7" s="103">
        <f>VALUE(期貨金額!Y3)</f>
        <v>0</v>
      </c>
      <c r="Y7" s="103">
        <f>VALUE(期貨金額!Z3)</f>
        <v>0</v>
      </c>
      <c r="Z7" s="103">
        <f>VALUE(期貨金額!AA3)</f>
        <v>0</v>
      </c>
      <c r="AA7" s="103">
        <f>VALUE(期貨金額!AB3)</f>
        <v>0</v>
      </c>
      <c r="AB7" s="103">
        <f>VALUE(期貨金額!AC3)</f>
        <v>0</v>
      </c>
      <c r="AC7" s="103">
        <f>VALUE(期貨金額!AD3)</f>
        <v>0</v>
      </c>
      <c r="AD7" s="103">
        <f>VALUE(期貨金額!AE3)</f>
        <v>0</v>
      </c>
      <c r="AE7" s="103">
        <f>VALUE(期貨金額!AF3)</f>
        <v>0</v>
      </c>
      <c r="AF7" s="103">
        <f>VALUE(期貨金額!AG3)</f>
        <v>0</v>
      </c>
      <c r="AG7" s="103">
        <f>VALUE(期貨金額!AH3)</f>
        <v>0</v>
      </c>
      <c r="AH7" s="103">
        <f>VALUE(期貨金額!AI3)</f>
        <v>0</v>
      </c>
      <c r="AI7" s="467" t="e">
        <f t="shared" ref="AI7:AI17" si="0">AH7/$AH$19</f>
        <v>#DIV/0!</v>
      </c>
    </row>
    <row r="8" spans="1:35" ht="17.5">
      <c r="A8" s="105" t="s">
        <v>71</v>
      </c>
      <c r="B8" s="106">
        <v>4</v>
      </c>
      <c r="C8" s="103">
        <f>VALUE(期貨金額!D4)</f>
        <v>0</v>
      </c>
      <c r="D8" s="103">
        <f>VALUE(期貨金額!E4)</f>
        <v>0</v>
      </c>
      <c r="E8" s="103">
        <f>VALUE(期貨金額!F4)</f>
        <v>0</v>
      </c>
      <c r="F8" s="103">
        <f>VALUE(期貨金額!G4)</f>
        <v>0</v>
      </c>
      <c r="G8" s="103">
        <f>VALUE(期貨金額!H4)</f>
        <v>0</v>
      </c>
      <c r="H8" s="103">
        <f>VALUE(期貨金額!I4)</f>
        <v>0</v>
      </c>
      <c r="I8" s="103">
        <f>VALUE(期貨金額!J4)</f>
        <v>0</v>
      </c>
      <c r="J8" s="103">
        <f>VALUE(期貨金額!K4)</f>
        <v>0</v>
      </c>
      <c r="K8" s="103">
        <f>VALUE(期貨金額!L4)</f>
        <v>0</v>
      </c>
      <c r="L8" s="103">
        <f>VALUE(期貨金額!M4)</f>
        <v>0</v>
      </c>
      <c r="M8" s="103">
        <f>VALUE(期貨金額!N4)</f>
        <v>0</v>
      </c>
      <c r="N8" s="103">
        <f>VALUE(期貨金額!O4)</f>
        <v>0</v>
      </c>
      <c r="O8" s="103">
        <f>VALUE(期貨金額!P4)</f>
        <v>0</v>
      </c>
      <c r="P8" s="103">
        <f>VALUE(期貨金額!Q4)</f>
        <v>0</v>
      </c>
      <c r="Q8" s="103">
        <f>VALUE(期貨金額!R4)</f>
        <v>0</v>
      </c>
      <c r="R8" s="103">
        <f>VALUE(期貨金額!S4)</f>
        <v>0</v>
      </c>
      <c r="S8" s="103">
        <f>VALUE(期貨金額!T4)</f>
        <v>0</v>
      </c>
      <c r="T8" s="103">
        <f>VALUE(期貨金額!U4)</f>
        <v>0</v>
      </c>
      <c r="U8" s="103">
        <f>VALUE(期貨金額!V4)</f>
        <v>0</v>
      </c>
      <c r="V8" s="103">
        <f>VALUE(期貨金額!W4)</f>
        <v>0</v>
      </c>
      <c r="W8" s="103">
        <f>VALUE(期貨金額!X4)</f>
        <v>0</v>
      </c>
      <c r="X8" s="103">
        <f>VALUE(期貨金額!Y4)</f>
        <v>0</v>
      </c>
      <c r="Y8" s="103">
        <f>VALUE(期貨金額!Z4)</f>
        <v>0</v>
      </c>
      <c r="Z8" s="103">
        <f>VALUE(期貨金額!AA4)</f>
        <v>0</v>
      </c>
      <c r="AA8" s="103">
        <f>VALUE(期貨金額!AB4)</f>
        <v>0</v>
      </c>
      <c r="AB8" s="103">
        <f>VALUE(期貨金額!AC4)</f>
        <v>0</v>
      </c>
      <c r="AC8" s="103">
        <f>VALUE(期貨金額!AD4)</f>
        <v>0</v>
      </c>
      <c r="AD8" s="103">
        <f>VALUE(期貨金額!AE4)</f>
        <v>0</v>
      </c>
      <c r="AE8" s="103">
        <f>VALUE(期貨金額!AF4)</f>
        <v>0</v>
      </c>
      <c r="AF8" s="103">
        <f>VALUE(期貨金額!AG4)</f>
        <v>0</v>
      </c>
      <c r="AG8" s="103">
        <f>VALUE(期貨金額!AH4)</f>
        <v>0</v>
      </c>
      <c r="AH8" s="103">
        <f>VALUE(期貨金額!AI4)</f>
        <v>0</v>
      </c>
      <c r="AI8" s="467" t="e">
        <f t="shared" si="0"/>
        <v>#DIV/0!</v>
      </c>
    </row>
    <row r="9" spans="1:35" ht="17.5">
      <c r="A9" s="105" t="s">
        <v>237</v>
      </c>
      <c r="B9" s="106" t="s">
        <v>235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 t="e">
        <f t="shared" si="0"/>
        <v>#DIV/0!</v>
      </c>
    </row>
    <row r="10" spans="1:35" ht="17.5">
      <c r="A10" s="105" t="s">
        <v>237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 t="e">
        <f t="shared" si="0"/>
        <v>#DIV/0!</v>
      </c>
    </row>
    <row r="11" spans="1:35" ht="17.5">
      <c r="A11" s="105" t="s">
        <v>238</v>
      </c>
      <c r="B11" s="106" t="s">
        <v>235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 t="e">
        <f t="shared" si="0"/>
        <v>#DIV/0!</v>
      </c>
    </row>
    <row r="12" spans="1:35" ht="17.5">
      <c r="A12" s="105" t="s">
        <v>238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 t="e">
        <f t="shared" si="0"/>
        <v>#DIV/0!</v>
      </c>
    </row>
    <row r="13" spans="1:35" ht="17.5">
      <c r="A13" s="105" t="s">
        <v>239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 t="e">
        <f t="shared" si="0"/>
        <v>#DIV/0!</v>
      </c>
    </row>
    <row r="14" spans="1:35" ht="17.5">
      <c r="A14" s="105" t="s">
        <v>239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 t="e">
        <f t="shared" si="0"/>
        <v>#DIV/0!</v>
      </c>
    </row>
    <row r="15" spans="1:35" ht="17.5">
      <c r="A15" s="105" t="s">
        <v>240</v>
      </c>
      <c r="B15" s="106" t="s">
        <v>236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 t="e">
        <f t="shared" si="0"/>
        <v>#DIV/0!</v>
      </c>
    </row>
    <row r="16" spans="1:35" ht="17.5">
      <c r="A16" s="105" t="s">
        <v>241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 t="e">
        <f t="shared" si="0"/>
        <v>#DIV/0!</v>
      </c>
    </row>
    <row r="17" spans="1:35" ht="17.5">
      <c r="A17" s="105" t="s">
        <v>242</v>
      </c>
      <c r="B17" s="105">
        <v>3</v>
      </c>
      <c r="C17" s="103">
        <f>VALUE(期貨金額!D15)</f>
        <v>0</v>
      </c>
      <c r="D17" s="103">
        <f>VALUE(期貨金額!E15)</f>
        <v>0</v>
      </c>
      <c r="E17" s="103">
        <f>VALUE(期貨金額!F15)</f>
        <v>0</v>
      </c>
      <c r="F17" s="103">
        <f>VALUE(期貨金額!G15)</f>
        <v>0</v>
      </c>
      <c r="G17" s="103">
        <f>VALUE(期貨金額!H15)</f>
        <v>0</v>
      </c>
      <c r="H17" s="103">
        <f>VALUE(期貨金額!I15)</f>
        <v>0</v>
      </c>
      <c r="I17" s="103">
        <f>VALUE(期貨金額!J15)</f>
        <v>0</v>
      </c>
      <c r="J17" s="103">
        <f>VALUE(期貨金額!K15)</f>
        <v>0</v>
      </c>
      <c r="K17" s="103">
        <f>VALUE(期貨金額!L15)</f>
        <v>0</v>
      </c>
      <c r="L17" s="103">
        <f>VALUE(期貨金額!M15)</f>
        <v>0</v>
      </c>
      <c r="M17" s="103">
        <f>VALUE(期貨金額!N15)</f>
        <v>0</v>
      </c>
      <c r="N17" s="103">
        <f>VALUE(期貨金額!O15)</f>
        <v>0</v>
      </c>
      <c r="O17" s="103">
        <f>VALUE(期貨金額!P15)</f>
        <v>0</v>
      </c>
      <c r="P17" s="103">
        <f>VALUE(期貨金額!Q15)</f>
        <v>0</v>
      </c>
      <c r="Q17" s="103">
        <f>VALUE(期貨金額!R15)</f>
        <v>0</v>
      </c>
      <c r="R17" s="103">
        <f>VALUE(期貨金額!S15)</f>
        <v>0</v>
      </c>
      <c r="S17" s="103">
        <f>VALUE(期貨金額!T15)</f>
        <v>0</v>
      </c>
      <c r="T17" s="103">
        <f>VALUE(期貨金額!U15)</f>
        <v>0</v>
      </c>
      <c r="U17" s="103">
        <f>VALUE(期貨金額!V15)</f>
        <v>0</v>
      </c>
      <c r="V17" s="103">
        <f>VALUE(期貨金額!W15)</f>
        <v>0</v>
      </c>
      <c r="W17" s="103">
        <f>VALUE(期貨金額!X15)</f>
        <v>0</v>
      </c>
      <c r="X17" s="103">
        <f>VALUE(期貨金額!Y15)</f>
        <v>0</v>
      </c>
      <c r="Y17" s="103">
        <f>VALUE(期貨金額!Z15)</f>
        <v>0</v>
      </c>
      <c r="Z17" s="103">
        <f>VALUE(期貨金額!AA15)</f>
        <v>0</v>
      </c>
      <c r="AA17" s="103">
        <f>VALUE(期貨金額!AB15)</f>
        <v>0</v>
      </c>
      <c r="AB17" s="103">
        <f>VALUE(期貨金額!AC15)</f>
        <v>0</v>
      </c>
      <c r="AC17" s="103">
        <f>VALUE(期貨金額!AD15)</f>
        <v>0</v>
      </c>
      <c r="AD17" s="103">
        <f>VALUE(期貨金額!AE15)</f>
        <v>0</v>
      </c>
      <c r="AE17" s="103">
        <f>VALUE(期貨金額!AF15)</f>
        <v>0</v>
      </c>
      <c r="AF17" s="103">
        <f>VALUE(期貨金額!AG15)</f>
        <v>0</v>
      </c>
      <c r="AG17" s="103">
        <f>VALUE(期貨金額!AH15)</f>
        <v>0</v>
      </c>
      <c r="AH17" s="103">
        <f>VALUE(期貨金額!AI15)</f>
        <v>0</v>
      </c>
      <c r="AI17" s="467" t="e">
        <f t="shared" si="0"/>
        <v>#DIV/0!</v>
      </c>
    </row>
    <row r="18" spans="1:35" ht="17.5">
      <c r="A18" s="105" t="s">
        <v>243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 t="e">
        <f>AH18/$AH$19</f>
        <v>#DIV/0!</v>
      </c>
    </row>
    <row r="19" spans="1:35" ht="19.5">
      <c r="A19" s="653" t="s">
        <v>41</v>
      </c>
      <c r="B19" s="654"/>
      <c r="C19" s="107">
        <f t="shared" ref="C19:AH19" si="1">SUM(C6:C18)</f>
        <v>0</v>
      </c>
      <c r="D19" s="107">
        <f t="shared" si="1"/>
        <v>0</v>
      </c>
      <c r="E19" s="107">
        <f t="shared" si="1"/>
        <v>0</v>
      </c>
      <c r="F19" s="107">
        <f t="shared" si="1"/>
        <v>0</v>
      </c>
      <c r="G19" s="107">
        <f t="shared" si="1"/>
        <v>0</v>
      </c>
      <c r="H19" s="107">
        <f t="shared" si="1"/>
        <v>0</v>
      </c>
      <c r="I19" s="107">
        <f t="shared" si="1"/>
        <v>0</v>
      </c>
      <c r="J19" s="107">
        <f t="shared" si="1"/>
        <v>0</v>
      </c>
      <c r="K19" s="107">
        <f t="shared" si="1"/>
        <v>0</v>
      </c>
      <c r="L19" s="107">
        <f t="shared" si="1"/>
        <v>0</v>
      </c>
      <c r="M19" s="107">
        <f t="shared" si="1"/>
        <v>0</v>
      </c>
      <c r="N19" s="107">
        <f t="shared" si="1"/>
        <v>0</v>
      </c>
      <c r="O19" s="107">
        <f t="shared" si="1"/>
        <v>0</v>
      </c>
      <c r="P19" s="107">
        <f t="shared" si="1"/>
        <v>0</v>
      </c>
      <c r="Q19" s="107">
        <f t="shared" si="1"/>
        <v>0</v>
      </c>
      <c r="R19" s="107">
        <f t="shared" si="1"/>
        <v>0</v>
      </c>
      <c r="S19" s="107">
        <f t="shared" si="1"/>
        <v>0</v>
      </c>
      <c r="T19" s="107">
        <f t="shared" si="1"/>
        <v>0</v>
      </c>
      <c r="U19" s="107">
        <f t="shared" si="1"/>
        <v>0</v>
      </c>
      <c r="V19" s="107">
        <f t="shared" si="1"/>
        <v>0</v>
      </c>
      <c r="W19" s="107">
        <f t="shared" si="1"/>
        <v>0</v>
      </c>
      <c r="X19" s="107">
        <f>SUM(X6:X18)</f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4" t="e">
        <f>AH19/AH$19</f>
        <v>#DIV/0!</v>
      </c>
    </row>
    <row r="20" spans="1:35" ht="17.5">
      <c r="A20" s="105" t="s">
        <v>244</v>
      </c>
      <c r="B20" s="106">
        <v>1</v>
      </c>
      <c r="C20" s="103">
        <f>VALUE(期貨金額!D7)</f>
        <v>0</v>
      </c>
      <c r="D20" s="103">
        <f>VALUE(期貨金額!E7)</f>
        <v>0</v>
      </c>
      <c r="E20" s="103">
        <f>VALUE(期貨金額!F7)</f>
        <v>0</v>
      </c>
      <c r="F20" s="103">
        <f>VALUE(期貨金額!G7)</f>
        <v>0</v>
      </c>
      <c r="G20" s="103">
        <f>VALUE(期貨金額!H7)</f>
        <v>0</v>
      </c>
      <c r="H20" s="103">
        <f>VALUE(期貨金額!I7)</f>
        <v>0</v>
      </c>
      <c r="I20" s="103">
        <f>VALUE(期貨金額!J7)</f>
        <v>0</v>
      </c>
      <c r="J20" s="103">
        <f>VALUE(期貨金額!K7)</f>
        <v>0</v>
      </c>
      <c r="K20" s="103">
        <f>VALUE(期貨金額!L7)</f>
        <v>0</v>
      </c>
      <c r="L20" s="103">
        <f>VALUE(期貨金額!M7)</f>
        <v>0</v>
      </c>
      <c r="M20" s="103">
        <f>VALUE(期貨金額!N7)</f>
        <v>0</v>
      </c>
      <c r="N20" s="103">
        <f>VALUE(期貨金額!O7)</f>
        <v>0</v>
      </c>
      <c r="O20" s="103">
        <f>VALUE(期貨金額!P7)</f>
        <v>0</v>
      </c>
      <c r="P20" s="103">
        <f>VALUE(期貨金額!Q7)</f>
        <v>0</v>
      </c>
      <c r="Q20" s="103">
        <f>VALUE(期貨金額!R7)</f>
        <v>0</v>
      </c>
      <c r="R20" s="103">
        <f>VALUE(期貨金額!S7)</f>
        <v>0</v>
      </c>
      <c r="S20" s="103">
        <f>VALUE(期貨金額!T7)</f>
        <v>0</v>
      </c>
      <c r="T20" s="103">
        <f>VALUE(期貨金額!U7)</f>
        <v>0</v>
      </c>
      <c r="U20" s="103">
        <f>VALUE(期貨金額!V7)</f>
        <v>0</v>
      </c>
      <c r="V20" s="103">
        <f>VALUE(期貨金額!W7)</f>
        <v>0</v>
      </c>
      <c r="W20" s="103">
        <f>VALUE(期貨金額!X7)</f>
        <v>0</v>
      </c>
      <c r="X20" s="103">
        <f>VALUE(期貨金額!Y7)</f>
        <v>0</v>
      </c>
      <c r="Y20" s="103">
        <f>VALUE(期貨金額!Z7)</f>
        <v>0</v>
      </c>
      <c r="Z20" s="103">
        <f>VALUE(期貨金額!AA7)</f>
        <v>0</v>
      </c>
      <c r="AA20" s="103">
        <f>VALUE(期貨金額!AB7)</f>
        <v>0</v>
      </c>
      <c r="AB20" s="103">
        <f>VALUE(期貨金額!AC7)</f>
        <v>0</v>
      </c>
      <c r="AC20" s="103">
        <f>VALUE(期貨金額!AD7)</f>
        <v>0</v>
      </c>
      <c r="AD20" s="103">
        <f>VALUE(期貨金額!AE7)</f>
        <v>0</v>
      </c>
      <c r="AE20" s="103">
        <f>VALUE(期貨金額!AF7)</f>
        <v>0</v>
      </c>
      <c r="AF20" s="103">
        <f>VALUE(期貨金額!AG7)</f>
        <v>0</v>
      </c>
      <c r="AG20" s="103">
        <f>VALUE(期貨金額!AH7)</f>
        <v>0</v>
      </c>
      <c r="AH20" s="103">
        <f>VALUE(期貨金額!AI7)</f>
        <v>0</v>
      </c>
      <c r="AI20" s="467" t="e">
        <f>AH20/$AH$26</f>
        <v>#DIV/0!</v>
      </c>
    </row>
    <row r="21" spans="1:35" ht="17.5">
      <c r="A21" s="105" t="s">
        <v>245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 t="e">
        <f t="shared" ref="AI21:AI25" si="2">AH21/$AH$26</f>
        <v>#DIV/0!</v>
      </c>
    </row>
    <row r="22" spans="1:35" ht="17.5">
      <c r="A22" s="105" t="s">
        <v>246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 t="e">
        <f t="shared" si="2"/>
        <v>#DIV/0!</v>
      </c>
    </row>
    <row r="23" spans="1:35" ht="17.5">
      <c r="A23" s="105" t="s">
        <v>247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 t="e">
        <f t="shared" si="2"/>
        <v>#DIV/0!</v>
      </c>
    </row>
    <row r="24" spans="1:35" ht="17.5">
      <c r="A24" s="105" t="s">
        <v>248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 t="e">
        <f t="shared" si="2"/>
        <v>#DIV/0!</v>
      </c>
    </row>
    <row r="25" spans="1:35" ht="17.5">
      <c r="A25" s="105" t="s">
        <v>249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 t="e">
        <f t="shared" si="2"/>
        <v>#DIV/0!</v>
      </c>
    </row>
    <row r="26" spans="1:35" ht="19.5">
      <c r="A26" s="653" t="s">
        <v>41</v>
      </c>
      <c r="B26" s="654"/>
      <c r="C26" s="107">
        <f>SUM(C20:C25)</f>
        <v>0</v>
      </c>
      <c r="D26" s="107">
        <f>SUM(D20:D25)</f>
        <v>0</v>
      </c>
      <c r="E26" s="107">
        <f>SUM(E20:E25)</f>
        <v>0</v>
      </c>
      <c r="F26" s="107">
        <f t="shared" ref="F26:AH26" si="3">SUM(F20:F25)</f>
        <v>0</v>
      </c>
      <c r="G26" s="107">
        <f t="shared" si="3"/>
        <v>0</v>
      </c>
      <c r="H26" s="107">
        <f t="shared" si="3"/>
        <v>0</v>
      </c>
      <c r="I26" s="107">
        <f t="shared" si="3"/>
        <v>0</v>
      </c>
      <c r="J26" s="107">
        <f t="shared" si="3"/>
        <v>0</v>
      </c>
      <c r="K26" s="107">
        <f t="shared" si="3"/>
        <v>0</v>
      </c>
      <c r="L26" s="107">
        <f t="shared" si="3"/>
        <v>0</v>
      </c>
      <c r="M26" s="107">
        <f t="shared" si="3"/>
        <v>0</v>
      </c>
      <c r="N26" s="107">
        <f t="shared" si="3"/>
        <v>0</v>
      </c>
      <c r="O26" s="107">
        <f t="shared" si="3"/>
        <v>0</v>
      </c>
      <c r="P26" s="107">
        <f t="shared" si="3"/>
        <v>0</v>
      </c>
      <c r="Q26" s="107">
        <f t="shared" si="3"/>
        <v>0</v>
      </c>
      <c r="R26" s="107">
        <f t="shared" si="3"/>
        <v>0</v>
      </c>
      <c r="S26" s="107">
        <f t="shared" si="3"/>
        <v>0</v>
      </c>
      <c r="T26" s="107">
        <f t="shared" si="3"/>
        <v>0</v>
      </c>
      <c r="U26" s="107">
        <f t="shared" si="3"/>
        <v>0</v>
      </c>
      <c r="V26" s="107">
        <f t="shared" si="3"/>
        <v>0</v>
      </c>
      <c r="W26" s="107">
        <f t="shared" si="3"/>
        <v>0</v>
      </c>
      <c r="X26" s="107">
        <f t="shared" si="3"/>
        <v>0</v>
      </c>
      <c r="Y26" s="107">
        <f t="shared" si="3"/>
        <v>0</v>
      </c>
      <c r="Z26" s="107">
        <f t="shared" si="3"/>
        <v>0</v>
      </c>
      <c r="AA26" s="107">
        <f t="shared" si="3"/>
        <v>0</v>
      </c>
      <c r="AB26" s="107">
        <f t="shared" si="3"/>
        <v>0</v>
      </c>
      <c r="AC26" s="107">
        <f t="shared" si="3"/>
        <v>0</v>
      </c>
      <c r="AD26" s="107">
        <f t="shared" si="3"/>
        <v>0</v>
      </c>
      <c r="AE26" s="107">
        <f t="shared" si="3"/>
        <v>0</v>
      </c>
      <c r="AF26" s="107">
        <f t="shared" si="3"/>
        <v>0</v>
      </c>
      <c r="AG26" s="107">
        <f t="shared" si="3"/>
        <v>0</v>
      </c>
      <c r="AH26" s="107">
        <f t="shared" si="3"/>
        <v>0</v>
      </c>
      <c r="AI26" s="104" t="e">
        <f>AH26/AH$26</f>
        <v>#DIV/0!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5"/>
  <cols>
    <col min="1" max="1" width="3.36328125" style="114" customWidth="1"/>
    <col min="2" max="2" width="4.453125" style="114" customWidth="1"/>
    <col min="3" max="3" width="12.7265625" style="114" customWidth="1"/>
    <col min="4" max="4" width="10.36328125" style="114" customWidth="1"/>
    <col min="5" max="5" width="10" style="114" customWidth="1"/>
    <col min="6" max="6" width="11.08984375" style="114" bestFit="1" customWidth="1"/>
    <col min="7" max="8" width="11.453125" style="114" bestFit="1" customWidth="1"/>
    <col min="9" max="15" width="10.36328125" style="114" customWidth="1"/>
    <col min="16" max="16" width="10.36328125" style="114" bestFit="1" customWidth="1"/>
    <col min="17" max="17" width="11.6328125" style="114" bestFit="1" customWidth="1"/>
    <col min="18" max="16384" width="9" style="114"/>
  </cols>
  <sheetData>
    <row r="1" spans="1:17" ht="14" thickBot="1">
      <c r="A1" s="112" t="s">
        <v>250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71" t="s">
        <v>0</v>
      </c>
      <c r="B2" s="672"/>
      <c r="C2" s="672"/>
      <c r="D2" s="116" t="s">
        <v>251</v>
      </c>
      <c r="E2" s="116" t="s">
        <v>252</v>
      </c>
      <c r="F2" s="116" t="s">
        <v>253</v>
      </c>
      <c r="G2" s="116" t="s">
        <v>254</v>
      </c>
      <c r="H2" s="116" t="s">
        <v>255</v>
      </c>
      <c r="I2" s="116" t="s">
        <v>256</v>
      </c>
      <c r="J2" s="116" t="s">
        <v>257</v>
      </c>
      <c r="K2" s="116" t="s">
        <v>258</v>
      </c>
      <c r="L2" s="116" t="s">
        <v>259</v>
      </c>
      <c r="M2" s="116" t="s">
        <v>260</v>
      </c>
      <c r="N2" s="116" t="s">
        <v>261</v>
      </c>
      <c r="O2" s="116" t="s">
        <v>262</v>
      </c>
      <c r="P2" s="116" t="s">
        <v>263</v>
      </c>
      <c r="Q2" s="499" t="s">
        <v>264</v>
      </c>
    </row>
    <row r="3" spans="1:17" s="122" customFormat="1" ht="13.5">
      <c r="A3" s="673" t="s">
        <v>8</v>
      </c>
      <c r="B3" s="674"/>
      <c r="C3" s="675"/>
      <c r="D3" s="119">
        <f>D4+D11+D16</f>
        <v>0</v>
      </c>
      <c r="E3" s="119">
        <f>E4+E11+E16</f>
        <v>0</v>
      </c>
      <c r="F3" s="119">
        <f>F4+F11+F16</f>
        <v>0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0</v>
      </c>
      <c r="Q3" s="492">
        <v>464677576.2836622</v>
      </c>
    </row>
    <row r="4" spans="1:17" ht="13.5">
      <c r="A4" s="123"/>
      <c r="B4" s="669" t="s">
        <v>9</v>
      </c>
      <c r="C4" s="670"/>
      <c r="D4" s="124">
        <f>SUM(D5:D10)</f>
        <v>0</v>
      </c>
      <c r="E4" s="124">
        <f t="shared" ref="E4:P4" si="1">SUM(E5:E10)</f>
        <v>0</v>
      </c>
      <c r="F4" s="124">
        <f t="shared" si="1"/>
        <v>0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0</v>
      </c>
      <c r="Q4" s="493">
        <v>273032650.54556781</v>
      </c>
    </row>
    <row r="5" spans="1:17" ht="13.5">
      <c r="A5" s="126"/>
      <c r="B5" s="127"/>
      <c r="C5" s="128" t="s">
        <v>10</v>
      </c>
      <c r="D5" s="129">
        <f>VALUE(月庫存金額!C2)</f>
        <v>0</v>
      </c>
      <c r="E5" s="129">
        <f>VALUE(月庫存金額!D2)</f>
        <v>0</v>
      </c>
      <c r="F5" s="129">
        <f>VALUE(月庫存金額!E2)</f>
        <v>0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0</v>
      </c>
      <c r="Q5" s="494">
        <v>234369660.42638603</v>
      </c>
    </row>
    <row r="6" spans="1:17" ht="13.5">
      <c r="A6" s="126"/>
      <c r="B6" s="127"/>
      <c r="C6" s="128" t="s">
        <v>11</v>
      </c>
      <c r="D6" s="129">
        <f>VALUE(月庫存金額!C4)</f>
        <v>0</v>
      </c>
      <c r="E6" s="129">
        <f>VALUE(月庫存金額!D4)</f>
        <v>0</v>
      </c>
      <c r="F6" s="129">
        <f>VALUE(月庫存金額!E4)</f>
        <v>0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0</v>
      </c>
      <c r="Q6" s="494">
        <v>11732298.264378672</v>
      </c>
    </row>
    <row r="7" spans="1:17" ht="13.5">
      <c r="A7" s="126"/>
      <c r="B7" s="127"/>
      <c r="C7" s="128" t="s">
        <v>12</v>
      </c>
      <c r="D7" s="129">
        <f>VALUE(月庫存金額!C5)</f>
        <v>0</v>
      </c>
      <c r="E7" s="129">
        <f>VALUE(月庫存金額!D5)</f>
        <v>0</v>
      </c>
      <c r="F7" s="129">
        <f>VALUE(月庫存金額!E5)</f>
        <v>0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0</v>
      </c>
      <c r="Q7" s="494">
        <v>1014645.0529197619</v>
      </c>
    </row>
    <row r="8" spans="1:17" ht="13.5">
      <c r="A8" s="126"/>
      <c r="B8" s="127"/>
      <c r="C8" s="128" t="s">
        <v>13</v>
      </c>
      <c r="D8" s="129">
        <f>VALUE(月庫存金額!C6)</f>
        <v>0</v>
      </c>
      <c r="E8" s="129">
        <f>VALUE(月庫存金額!D6)</f>
        <v>0</v>
      </c>
      <c r="F8" s="129">
        <f>VALUE(月庫存金額!E6)</f>
        <v>0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0</v>
      </c>
      <c r="Q8" s="494">
        <v>18506618.52265</v>
      </c>
    </row>
    <row r="9" spans="1:17" ht="13.5">
      <c r="A9" s="126"/>
      <c r="B9" s="127"/>
      <c r="C9" s="128" t="s">
        <v>14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15</v>
      </c>
      <c r="D10" s="129">
        <f>VALUE(月庫存金額!C8)</f>
        <v>0</v>
      </c>
      <c r="E10" s="129">
        <f>VALUE(月庫存金額!D8)</f>
        <v>0</v>
      </c>
      <c r="F10" s="129">
        <f>VALUE(月庫存金額!E8)</f>
        <v>0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0</v>
      </c>
      <c r="Q10" s="494">
        <v>7409428.2792333327</v>
      </c>
    </row>
    <row r="11" spans="1:17" ht="13.5">
      <c r="A11" s="126"/>
      <c r="B11" s="676" t="s">
        <v>16</v>
      </c>
      <c r="C11" s="677"/>
      <c r="D11" s="133">
        <f>SUM(D12:D15)</f>
        <v>0</v>
      </c>
      <c r="E11" s="133">
        <f>SUM(E12:E15)</f>
        <v>0</v>
      </c>
      <c r="F11" s="133">
        <f>SUM(F12:F15)</f>
        <v>0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0</v>
      </c>
      <c r="Q11" s="495">
        <v>13138072.522955555</v>
      </c>
    </row>
    <row r="12" spans="1:17" ht="13.5">
      <c r="A12" s="126"/>
      <c r="B12" s="127"/>
      <c r="C12" s="134" t="s">
        <v>17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18</v>
      </c>
      <c r="D13" s="129">
        <f>VALUE(月庫存金額!C10)</f>
        <v>0</v>
      </c>
      <c r="E13" s="129">
        <f>VALUE(月庫存金額!D10)</f>
        <v>0</v>
      </c>
      <c r="F13" s="129">
        <f>VALUE(月庫存金額!E10)</f>
        <v>0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0</v>
      </c>
      <c r="Q13" s="494">
        <v>1921849.43765</v>
      </c>
    </row>
    <row r="14" spans="1:17" ht="13.5">
      <c r="A14" s="126"/>
      <c r="B14" s="127"/>
      <c r="C14" s="134" t="s">
        <v>265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494">
        <v>0</v>
      </c>
    </row>
    <row r="15" spans="1:17" ht="13.5">
      <c r="A15" s="126"/>
      <c r="B15" s="127"/>
      <c r="C15" s="233" t="s">
        <v>19</v>
      </c>
      <c r="D15" s="129">
        <f>VALUE(月庫存金額!C14)</f>
        <v>0</v>
      </c>
      <c r="E15" s="129">
        <f>VALUE(月庫存金額!D14)</f>
        <v>0</v>
      </c>
      <c r="F15" s="129">
        <f>VALUE(月庫存金額!E14)</f>
        <v>0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0</v>
      </c>
      <c r="Q15" s="494">
        <v>410834.40910555562</v>
      </c>
    </row>
    <row r="16" spans="1:17" ht="14.25" customHeight="1">
      <c r="A16" s="126"/>
      <c r="B16" s="669" t="s">
        <v>21</v>
      </c>
      <c r="C16" s="670"/>
      <c r="D16" s="133">
        <f>SUM(D17:D23)</f>
        <v>0</v>
      </c>
      <c r="E16" s="133">
        <f>SUM(E17:E23)</f>
        <v>0</v>
      </c>
      <c r="F16" s="133">
        <f>SUM(F17:F23)</f>
        <v>0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0</v>
      </c>
      <c r="Q16" s="495">
        <v>178506853.21513885</v>
      </c>
    </row>
    <row r="17" spans="1:17" ht="13.5">
      <c r="A17" s="126"/>
      <c r="B17" s="127"/>
      <c r="C17" s="128" t="s">
        <v>22</v>
      </c>
      <c r="D17" s="129">
        <f>VALUE(月庫存金額!C3)</f>
        <v>0</v>
      </c>
      <c r="E17" s="129">
        <f>VALUE(月庫存金額!D3)</f>
        <v>0</v>
      </c>
      <c r="F17" s="129">
        <f>VALUE(月庫存金額!E3)</f>
        <v>0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0</v>
      </c>
      <c r="Q17" s="494">
        <v>151409196.64236107</v>
      </c>
    </row>
    <row r="18" spans="1:17" ht="13.5">
      <c r="A18" s="126"/>
      <c r="B18" s="127"/>
      <c r="C18" s="134" t="s">
        <v>23</v>
      </c>
      <c r="D18" s="129">
        <f>VALUE(月庫存金額!C13)</f>
        <v>0</v>
      </c>
      <c r="E18" s="129">
        <f>VALUE(月庫存金額!D13)</f>
        <v>0</v>
      </c>
      <c r="F18" s="129">
        <f>VALUE(月庫存金額!E13)</f>
        <v>0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0</v>
      </c>
      <c r="Q18" s="494">
        <v>3134492.652888889</v>
      </c>
    </row>
    <row r="19" spans="1:17" ht="13.5">
      <c r="A19" s="126"/>
      <c r="B19" s="127"/>
      <c r="C19" s="134" t="s">
        <v>24</v>
      </c>
      <c r="D19" s="129">
        <f>VALUE(月庫存金額!C21)</f>
        <v>0</v>
      </c>
      <c r="E19" s="129">
        <f>VALUE(月庫存金額!D21)</f>
        <v>0</v>
      </c>
      <c r="F19" s="129">
        <f>VALUE(月庫存金額!E21)</f>
        <v>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0</v>
      </c>
      <c r="Q19" s="494">
        <v>9206655.444444444</v>
      </c>
    </row>
    <row r="20" spans="1:17" ht="13.5">
      <c r="A20" s="126"/>
      <c r="B20" s="127"/>
      <c r="C20" s="134" t="s">
        <v>25</v>
      </c>
      <c r="D20" s="129">
        <f>VALUE(月庫存金額!C20)</f>
        <v>0</v>
      </c>
      <c r="E20" s="129">
        <f>VALUE(月庫存金額!D20)</f>
        <v>0</v>
      </c>
      <c r="F20" s="129">
        <f>VALUE(月庫存金額!E20)</f>
        <v>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0</v>
      </c>
      <c r="Q20" s="494">
        <v>10542088.864333333</v>
      </c>
    </row>
    <row r="21" spans="1:17" ht="13.5">
      <c r="A21" s="126"/>
      <c r="B21" s="127"/>
      <c r="C21" s="134" t="s">
        <v>26</v>
      </c>
      <c r="D21" s="129">
        <f>VALUE(月庫存金額!C19)</f>
        <v>0</v>
      </c>
      <c r="E21" s="129">
        <f>VALUE(月庫存金額!D19)</f>
        <v>0</v>
      </c>
      <c r="F21" s="129">
        <f>VALUE(月庫存金額!E19)</f>
        <v>0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0</v>
      </c>
      <c r="Q21" s="494">
        <v>3640844.9022222231</v>
      </c>
    </row>
    <row r="22" spans="1:17" ht="13.5">
      <c r="A22" s="126"/>
      <c r="B22" s="127"/>
      <c r="C22" s="134" t="s">
        <v>27</v>
      </c>
      <c r="D22" s="129">
        <f>VALUE(月庫存金額!C11)</f>
        <v>0</v>
      </c>
      <c r="E22" s="129">
        <f>VALUE(月庫存金額!D11)</f>
        <v>0</v>
      </c>
      <c r="F22" s="129">
        <f>VALUE(月庫存金額!E11)</f>
        <v>0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0</v>
      </c>
      <c r="Q22" s="494">
        <v>127003.2088888889</v>
      </c>
    </row>
    <row r="23" spans="1:17" ht="13.5">
      <c r="A23" s="126"/>
      <c r="B23" s="127"/>
      <c r="C23" s="138" t="s">
        <v>28</v>
      </c>
      <c r="D23" s="129">
        <f>VALUE(月庫存金額!C22)</f>
        <v>0</v>
      </c>
      <c r="E23" s="129">
        <f>VALUE(月庫存金額!D22)</f>
        <v>0</v>
      </c>
      <c r="F23" s="129">
        <f>VALUE(月庫存金額!E22)</f>
        <v>0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0</v>
      </c>
      <c r="Q23" s="494">
        <v>446571.5</v>
      </c>
    </row>
    <row r="24" spans="1:17" ht="14.25" customHeight="1">
      <c r="A24" s="126"/>
      <c r="B24" s="669" t="s">
        <v>29</v>
      </c>
      <c r="C24" s="670"/>
      <c r="D24" s="133">
        <f>SUM(D25:D28)</f>
        <v>0</v>
      </c>
      <c r="E24" s="133">
        <f t="shared" ref="E24:P24" si="4">SUM(E25:E28)</f>
        <v>0</v>
      </c>
      <c r="F24" s="133">
        <f t="shared" si="4"/>
        <v>0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0</v>
      </c>
      <c r="Q24" s="495"/>
    </row>
    <row r="25" spans="1:17" ht="13.5">
      <c r="A25" s="126"/>
      <c r="B25" s="254"/>
      <c r="C25" s="233" t="s">
        <v>266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267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268</v>
      </c>
      <c r="D27" s="129">
        <f>VALUE(月庫存金額!C25)</f>
        <v>0</v>
      </c>
      <c r="E27" s="129">
        <f>VALUE(月庫存金額!D25)</f>
        <v>0</v>
      </c>
      <c r="F27" s="129">
        <f>VALUE(月庫存金額!E25)</f>
        <v>0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0</v>
      </c>
      <c r="Q27" s="494"/>
    </row>
    <row r="28" spans="1:17" ht="13.5">
      <c r="A28" s="126"/>
      <c r="B28" s="266"/>
      <c r="C28" s="134" t="s">
        <v>269</v>
      </c>
      <c r="D28" s="129">
        <f>VALUE(月庫存金額!C26)</f>
        <v>0</v>
      </c>
      <c r="E28" s="129">
        <f>VALUE(月庫存金額!D26)</f>
        <v>0</v>
      </c>
      <c r="F28" s="129">
        <f>VALUE(月庫存金額!E26)</f>
        <v>0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0</v>
      </c>
      <c r="Q28" s="494"/>
    </row>
    <row r="29" spans="1:17" ht="13.5">
      <c r="A29" s="659" t="s">
        <v>35</v>
      </c>
      <c r="B29" s="660"/>
      <c r="C29" s="139" t="s">
        <v>36</v>
      </c>
      <c r="D29" s="140">
        <f>VALUE(月庫存金額!C15)</f>
        <v>0</v>
      </c>
      <c r="E29" s="140">
        <f>VALUE(月庫存金額!D15)</f>
        <v>0</v>
      </c>
      <c r="F29" s="140">
        <f>VALUE(月庫存金額!E15)</f>
        <v>0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0</v>
      </c>
      <c r="Q29" s="496"/>
    </row>
    <row r="30" spans="1:17" ht="13.5">
      <c r="A30" s="661"/>
      <c r="B30" s="662"/>
      <c r="C30" s="139" t="s">
        <v>37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661"/>
      <c r="B31" s="662"/>
      <c r="C31" s="239" t="s">
        <v>38</v>
      </c>
      <c r="D31" s="143">
        <f>VALUE(月庫存金額!C17)</f>
        <v>0</v>
      </c>
      <c r="E31" s="143">
        <f>VALUE(月庫存金額!D17)</f>
        <v>0</v>
      </c>
      <c r="F31" s="143">
        <f>VALUE(月庫存金額!E17)</f>
        <v>0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0</v>
      </c>
      <c r="Q31" s="497"/>
    </row>
    <row r="32" spans="1:17" ht="14" thickBot="1">
      <c r="A32" s="663"/>
      <c r="B32" s="664"/>
      <c r="C32" s="146" t="s">
        <v>39</v>
      </c>
      <c r="D32" s="147">
        <f>VALUE(月庫存金額!C18)</f>
        <v>0</v>
      </c>
      <c r="E32" s="147">
        <f>VALUE(月庫存金額!D18)</f>
        <v>0</v>
      </c>
      <c r="F32" s="147">
        <f>VALUE(月庫存金額!E18)</f>
        <v>0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0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" thickBot="1">
      <c r="A35" s="112" t="s">
        <v>270</v>
      </c>
      <c r="B35" s="112"/>
      <c r="C35" s="112"/>
      <c r="Q35" s="121"/>
    </row>
    <row r="36" spans="1:17" ht="13.5">
      <c r="A36" s="671" t="s">
        <v>0</v>
      </c>
      <c r="B36" s="672"/>
      <c r="C36" s="672"/>
      <c r="D36" s="116" t="s">
        <v>251</v>
      </c>
      <c r="E36" s="116" t="s">
        <v>252</v>
      </c>
      <c r="F36" s="116" t="s">
        <v>253</v>
      </c>
      <c r="G36" s="116" t="s">
        <v>254</v>
      </c>
      <c r="H36" s="116" t="s">
        <v>255</v>
      </c>
      <c r="I36" s="116" t="s">
        <v>256</v>
      </c>
      <c r="J36" s="116" t="s">
        <v>257</v>
      </c>
      <c r="K36" s="116" t="s">
        <v>258</v>
      </c>
      <c r="L36" s="116" t="s">
        <v>259</v>
      </c>
      <c r="M36" s="116" t="s">
        <v>260</v>
      </c>
      <c r="N36" s="116" t="s">
        <v>261</v>
      </c>
      <c r="O36" s="116" t="s">
        <v>262</v>
      </c>
      <c r="P36" s="117" t="s">
        <v>263</v>
      </c>
      <c r="Q36" s="121"/>
    </row>
    <row r="37" spans="1:17" s="122" customFormat="1" ht="13.5">
      <c r="A37" s="673" t="s">
        <v>8</v>
      </c>
      <c r="B37" s="674"/>
      <c r="C37" s="675"/>
      <c r="D37" s="119">
        <f>D38+D45+D50</f>
        <v>0</v>
      </c>
      <c r="E37" s="119">
        <f>E38+E45+E50</f>
        <v>0</v>
      </c>
      <c r="F37" s="119">
        <f>F38+F45+F50</f>
        <v>0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0</v>
      </c>
      <c r="Q37" s="121"/>
    </row>
    <row r="38" spans="1:17" ht="13.5">
      <c r="A38" s="123"/>
      <c r="B38" s="669" t="s">
        <v>9</v>
      </c>
      <c r="C38" s="670"/>
      <c r="D38" s="124">
        <f>SUM(D39:D44)</f>
        <v>0</v>
      </c>
      <c r="E38" s="124">
        <f t="shared" ref="E38:P38" si="6">SUM(E39:E44)</f>
        <v>0</v>
      </c>
      <c r="F38" s="124">
        <f t="shared" si="6"/>
        <v>0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0</v>
      </c>
      <c r="Q38" s="121"/>
    </row>
    <row r="39" spans="1:17" ht="13.5">
      <c r="A39" s="126"/>
      <c r="B39" s="127"/>
      <c r="C39" s="128" t="s">
        <v>10</v>
      </c>
      <c r="D39" s="130">
        <f>VALUE(月庫存金額!P2)</f>
        <v>0</v>
      </c>
      <c r="E39" s="130">
        <f>VALUE(月庫存金額!Q2)</f>
        <v>0</v>
      </c>
      <c r="F39" s="130">
        <f>VALUE(月庫存金額!R2)</f>
        <v>0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0</v>
      </c>
      <c r="Q39" s="121"/>
    </row>
    <row r="40" spans="1:17" ht="13.5">
      <c r="A40" s="126"/>
      <c r="B40" s="127"/>
      <c r="C40" s="128" t="s">
        <v>11</v>
      </c>
      <c r="D40" s="130">
        <f>VALUE(月庫存金額!P4)</f>
        <v>0</v>
      </c>
      <c r="E40" s="130">
        <f>VALUE(月庫存金額!Q4)</f>
        <v>0</v>
      </c>
      <c r="F40" s="130">
        <f>VALUE(月庫存金額!R4)</f>
        <v>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0</v>
      </c>
      <c r="Q40" s="121"/>
    </row>
    <row r="41" spans="1:17" ht="13.5">
      <c r="A41" s="126"/>
      <c r="B41" s="127"/>
      <c r="C41" s="128" t="s">
        <v>12</v>
      </c>
      <c r="D41" s="130">
        <f>VALUE(月庫存金額!P5)</f>
        <v>0</v>
      </c>
      <c r="E41" s="130">
        <f>VALUE(月庫存金額!Q5)</f>
        <v>0</v>
      </c>
      <c r="F41" s="130">
        <f>VALUE(月庫存金額!R5)</f>
        <v>0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0</v>
      </c>
      <c r="Q41" s="121"/>
    </row>
    <row r="42" spans="1:17" ht="13.5">
      <c r="A42" s="126"/>
      <c r="B42" s="127"/>
      <c r="C42" s="128" t="s">
        <v>13</v>
      </c>
      <c r="D42" s="130">
        <f>VALUE(月庫存金額!P6)</f>
        <v>0</v>
      </c>
      <c r="E42" s="130">
        <f>VALUE(月庫存金額!Q6)</f>
        <v>0</v>
      </c>
      <c r="F42" s="130">
        <f>VALUE(月庫存金額!R6)</f>
        <v>0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0</v>
      </c>
      <c r="Q42" s="121"/>
    </row>
    <row r="43" spans="1:17" ht="13.5">
      <c r="A43" s="126"/>
      <c r="B43" s="127"/>
      <c r="C43" s="128" t="s">
        <v>14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15</v>
      </c>
      <c r="D44" s="130">
        <f>VALUE(月庫存金額!P8)</f>
        <v>0</v>
      </c>
      <c r="E44" s="130">
        <f>VALUE(月庫存金額!Q8)</f>
        <v>0</v>
      </c>
      <c r="F44" s="130">
        <f>VALUE(月庫存金額!R8)</f>
        <v>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0</v>
      </c>
      <c r="Q44" s="121"/>
    </row>
    <row r="45" spans="1:17" ht="13.5">
      <c r="A45" s="126"/>
      <c r="B45" s="676" t="s">
        <v>16</v>
      </c>
      <c r="C45" s="677"/>
      <c r="D45" s="124">
        <f>SUM(D46:D49)</f>
        <v>0</v>
      </c>
      <c r="E45" s="124">
        <f>SUM(E46:E49)</f>
        <v>0</v>
      </c>
      <c r="F45" s="124">
        <f>SUM(F46:F49)</f>
        <v>0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0</v>
      </c>
      <c r="Q45" s="121"/>
    </row>
    <row r="46" spans="1:17" ht="13.5">
      <c r="A46" s="126"/>
      <c r="B46" s="127"/>
      <c r="C46" s="134" t="s">
        <v>17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18</v>
      </c>
      <c r="D47" s="130">
        <f>VALUE(月庫存金額!P10)</f>
        <v>0</v>
      </c>
      <c r="E47" s="130">
        <f>VALUE(月庫存金額!Q10)</f>
        <v>0</v>
      </c>
      <c r="F47" s="130">
        <f>VALUE(月庫存金額!R10)</f>
        <v>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0</v>
      </c>
      <c r="Q47" s="121"/>
    </row>
    <row r="48" spans="1:17" ht="13.5">
      <c r="A48" s="126"/>
      <c r="B48" s="127"/>
      <c r="C48" s="134" t="s">
        <v>265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19</v>
      </c>
      <c r="D49" s="130">
        <f>VALUE(月庫存金額!P14)</f>
        <v>0</v>
      </c>
      <c r="E49" s="130">
        <f>VALUE(月庫存金額!Q14)</f>
        <v>0</v>
      </c>
      <c r="F49" s="130">
        <f>VALUE(月庫存金額!R14)</f>
        <v>0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0</v>
      </c>
      <c r="Q49" s="121"/>
    </row>
    <row r="50" spans="1:17" ht="16.5" customHeight="1">
      <c r="A50" s="126"/>
      <c r="B50" s="676" t="s">
        <v>21</v>
      </c>
      <c r="C50" s="677"/>
      <c r="D50" s="124">
        <f>SUM(D51:D57)</f>
        <v>0</v>
      </c>
      <c r="E50" s="124">
        <f>SUM(E51:E57)</f>
        <v>0</v>
      </c>
      <c r="F50" s="124">
        <f>SUM(F51:F57)</f>
        <v>0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0</v>
      </c>
      <c r="Q50" s="121"/>
    </row>
    <row r="51" spans="1:17" ht="13.5">
      <c r="A51" s="126"/>
      <c r="B51" s="127"/>
      <c r="C51" s="128" t="s">
        <v>22</v>
      </c>
      <c r="D51" s="130">
        <f>VALUE(月庫存金額!P3)</f>
        <v>0</v>
      </c>
      <c r="E51" s="130">
        <f>VALUE(月庫存金額!Q3)</f>
        <v>0</v>
      </c>
      <c r="F51" s="130">
        <f>VALUE(月庫存金額!R3)</f>
        <v>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0</v>
      </c>
      <c r="Q51" s="121"/>
    </row>
    <row r="52" spans="1:17" ht="13.5">
      <c r="A52" s="126"/>
      <c r="B52" s="127"/>
      <c r="C52" s="134" t="s">
        <v>23</v>
      </c>
      <c r="D52" s="130">
        <f>VALUE(月庫存金額!P13)</f>
        <v>0</v>
      </c>
      <c r="E52" s="130">
        <f>VALUE(月庫存金額!Q13)</f>
        <v>0</v>
      </c>
      <c r="F52" s="130">
        <f>VALUE(月庫存金額!R13)</f>
        <v>0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0</v>
      </c>
      <c r="Q52" s="121"/>
    </row>
    <row r="53" spans="1:17" ht="13.5">
      <c r="A53" s="126"/>
      <c r="B53" s="127"/>
      <c r="C53" s="134" t="s">
        <v>24</v>
      </c>
      <c r="D53" s="130">
        <f>VALUE(月庫存金額!P21)</f>
        <v>0</v>
      </c>
      <c r="E53" s="130">
        <f>VALUE(月庫存金額!Q21)</f>
        <v>0</v>
      </c>
      <c r="F53" s="130">
        <f>VALUE(月庫存金額!R21)</f>
        <v>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0</v>
      </c>
      <c r="Q53" s="121"/>
    </row>
    <row r="54" spans="1:17" ht="13.5">
      <c r="A54" s="126"/>
      <c r="B54" s="127"/>
      <c r="C54" s="134" t="s">
        <v>25</v>
      </c>
      <c r="D54" s="130">
        <f>VALUE(月庫存金額!P20)</f>
        <v>0</v>
      </c>
      <c r="E54" s="130">
        <f>VALUE(月庫存金額!Q20)</f>
        <v>0</v>
      </c>
      <c r="F54" s="130">
        <f>VALUE(月庫存金額!R20)</f>
        <v>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0</v>
      </c>
      <c r="Q54" s="121"/>
    </row>
    <row r="55" spans="1:17" ht="13.5">
      <c r="A55" s="126"/>
      <c r="B55" s="127"/>
      <c r="C55" s="134" t="s">
        <v>26</v>
      </c>
      <c r="D55" s="130">
        <f>VALUE(月庫存金額!P19)</f>
        <v>0</v>
      </c>
      <c r="E55" s="130">
        <f>VALUE(月庫存金額!Q19)</f>
        <v>0</v>
      </c>
      <c r="F55" s="130">
        <f>VALUE(月庫存金額!R19)</f>
        <v>0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0</v>
      </c>
      <c r="Q55" s="121"/>
    </row>
    <row r="56" spans="1:17" ht="13.5">
      <c r="A56" s="126"/>
      <c r="B56" s="127"/>
      <c r="C56" s="134" t="s">
        <v>27</v>
      </c>
      <c r="D56" s="130">
        <f>VALUE(月庫存金額!P11)</f>
        <v>0</v>
      </c>
      <c r="E56" s="130">
        <f>VALUE(月庫存金額!Q11)</f>
        <v>0</v>
      </c>
      <c r="F56" s="130">
        <f>VALUE(月庫存金額!R11)</f>
        <v>0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0</v>
      </c>
      <c r="Q56" s="121"/>
    </row>
    <row r="57" spans="1:17" ht="13.5">
      <c r="A57" s="126"/>
      <c r="B57" s="127"/>
      <c r="C57" s="138" t="s">
        <v>28</v>
      </c>
      <c r="D57" s="130">
        <f>VALUE(月庫存金額!P22)</f>
        <v>0</v>
      </c>
      <c r="E57" s="130">
        <f>VALUE(月庫存金額!Q22)</f>
        <v>0</v>
      </c>
      <c r="F57" s="130">
        <f>VALUE(月庫存金額!R22)</f>
        <v>0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0</v>
      </c>
      <c r="Q57" s="121"/>
    </row>
    <row r="58" spans="1:17" ht="14.25" customHeight="1">
      <c r="A58" s="126"/>
      <c r="B58" s="669" t="s">
        <v>29</v>
      </c>
      <c r="C58" s="670"/>
      <c r="D58" s="124">
        <f>SUM(D59:D62)</f>
        <v>0</v>
      </c>
      <c r="E58" s="124">
        <f t="shared" ref="E58:P58" si="9">SUM(E59:E62)</f>
        <v>0</v>
      </c>
      <c r="F58" s="124">
        <f t="shared" si="9"/>
        <v>0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0</v>
      </c>
      <c r="Q58" s="121"/>
    </row>
    <row r="59" spans="1:17" ht="13.5">
      <c r="A59" s="126"/>
      <c r="B59" s="127"/>
      <c r="C59" s="233" t="s">
        <v>266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267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268</v>
      </c>
      <c r="D61" s="130">
        <f>VALUE(月庫存金額!P25)</f>
        <v>0</v>
      </c>
      <c r="E61" s="130">
        <f>VALUE(月庫存金額!Q25)</f>
        <v>0</v>
      </c>
      <c r="F61" s="130">
        <f>VALUE(月庫存金額!R25)</f>
        <v>0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0</v>
      </c>
      <c r="Q61" s="121"/>
    </row>
    <row r="62" spans="1:17" ht="13.5">
      <c r="A62" s="126"/>
      <c r="B62" s="132"/>
      <c r="C62" s="134" t="s">
        <v>269</v>
      </c>
      <c r="D62" s="130">
        <f>VALUE(月庫存金額!P26)</f>
        <v>0</v>
      </c>
      <c r="E62" s="130">
        <f>VALUE(月庫存金額!Q26)</f>
        <v>0</v>
      </c>
      <c r="F62" s="130">
        <f>VALUE(月庫存金額!R26)</f>
        <v>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0</v>
      </c>
      <c r="Q62" s="121"/>
    </row>
    <row r="63" spans="1:17" ht="13.5">
      <c r="A63" s="659" t="s">
        <v>35</v>
      </c>
      <c r="B63" s="660"/>
      <c r="C63" s="139" t="s">
        <v>36</v>
      </c>
      <c r="D63" s="140">
        <f>VALUE(月庫存金額!P15)</f>
        <v>0</v>
      </c>
      <c r="E63" s="140">
        <f>VALUE(月庫存金額!Q15)</f>
        <v>0</v>
      </c>
      <c r="F63" s="140">
        <f>VALUE(月庫存金額!R15)</f>
        <v>0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0</v>
      </c>
      <c r="Q63" s="121"/>
    </row>
    <row r="64" spans="1:17" ht="14.25" customHeight="1">
      <c r="A64" s="661"/>
      <c r="B64" s="662"/>
      <c r="C64" s="139" t="s">
        <v>37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61"/>
      <c r="B65" s="662"/>
      <c r="C65" s="239" t="s">
        <v>38</v>
      </c>
      <c r="D65" s="143">
        <f>VALUE(月庫存金額!P17)</f>
        <v>0</v>
      </c>
      <c r="E65" s="143">
        <f>VALUE(月庫存金額!Q17)</f>
        <v>0</v>
      </c>
      <c r="F65" s="143">
        <f>VALUE(月庫存金額!R17)</f>
        <v>0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0</v>
      </c>
      <c r="Q65" s="121"/>
    </row>
    <row r="66" spans="1:17" ht="14" thickBot="1">
      <c r="A66" s="663"/>
      <c r="B66" s="664"/>
      <c r="C66" s="146" t="s">
        <v>39</v>
      </c>
      <c r="D66" s="147">
        <f>VALUE(月庫存金額!P18)</f>
        <v>0</v>
      </c>
      <c r="E66" s="147">
        <f>VALUE(月庫存金額!Q18)</f>
        <v>0</v>
      </c>
      <c r="F66" s="147">
        <f>VALUE(月庫存金額!R18)</f>
        <v>0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0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" hidden="1" thickBot="1">
      <c r="A69" s="112" t="s">
        <v>271</v>
      </c>
      <c r="B69" s="112"/>
      <c r="C69" s="112"/>
      <c r="Q69" s="121"/>
    </row>
    <row r="70" spans="1:17" ht="13.5" hidden="1">
      <c r="A70" s="671" t="s">
        <v>0</v>
      </c>
      <c r="B70" s="672"/>
      <c r="C70" s="672"/>
      <c r="D70" s="116" t="s">
        <v>251</v>
      </c>
      <c r="E70" s="116" t="s">
        <v>252</v>
      </c>
      <c r="F70" s="116" t="s">
        <v>253</v>
      </c>
      <c r="G70" s="116" t="s">
        <v>254</v>
      </c>
      <c r="H70" s="116" t="s">
        <v>255</v>
      </c>
      <c r="I70" s="116" t="s">
        <v>256</v>
      </c>
      <c r="J70" s="116" t="s">
        <v>257</v>
      </c>
      <c r="K70" s="116" t="s">
        <v>258</v>
      </c>
      <c r="L70" s="116" t="s">
        <v>259</v>
      </c>
      <c r="M70" s="116" t="s">
        <v>260</v>
      </c>
      <c r="N70" s="116" t="s">
        <v>261</v>
      </c>
      <c r="O70" s="116" t="s">
        <v>262</v>
      </c>
      <c r="P70" s="117" t="s">
        <v>263</v>
      </c>
      <c r="Q70" s="121"/>
    </row>
    <row r="71" spans="1:17" s="122" customFormat="1" ht="13.5" hidden="1">
      <c r="A71" s="673" t="s">
        <v>8</v>
      </c>
      <c r="B71" s="674"/>
      <c r="C71" s="67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669" t="s">
        <v>9</v>
      </c>
      <c r="C72" s="670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10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11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12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13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14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15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" hidden="1" thickBot="1">
      <c r="A79" s="126"/>
      <c r="B79" s="676" t="s">
        <v>16</v>
      </c>
      <c r="C79" s="67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17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18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265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19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669" t="s">
        <v>21</v>
      </c>
      <c r="C84" s="670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22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23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24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25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26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27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272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59" t="s">
        <v>35</v>
      </c>
      <c r="B92" s="660"/>
      <c r="C92" s="139" t="s">
        <v>36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61"/>
      <c r="B93" s="662"/>
      <c r="C93" s="139" t="s">
        <v>37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61"/>
      <c r="B94" s="662"/>
      <c r="C94" s="239" t="s">
        <v>38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" hidden="1" thickBot="1">
      <c r="A95" s="663"/>
      <c r="B95" s="664"/>
      <c r="C95" s="146" t="s">
        <v>39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" thickBot="1">
      <c r="A97" s="112" t="s">
        <v>273</v>
      </c>
      <c r="B97" s="112"/>
      <c r="C97" s="112"/>
    </row>
    <row r="98" spans="1:19" ht="13.5">
      <c r="A98" s="671" t="s">
        <v>0</v>
      </c>
      <c r="B98" s="672"/>
      <c r="C98" s="672"/>
      <c r="D98" s="116" t="s">
        <v>251</v>
      </c>
      <c r="E98" s="116" t="s">
        <v>252</v>
      </c>
      <c r="F98" s="116" t="s">
        <v>253</v>
      </c>
      <c r="G98" s="116" t="s">
        <v>254</v>
      </c>
      <c r="H98" s="116" t="s">
        <v>255</v>
      </c>
      <c r="I98" s="116" t="s">
        <v>256</v>
      </c>
      <c r="J98" s="116" t="s">
        <v>257</v>
      </c>
      <c r="K98" s="116" t="s">
        <v>258</v>
      </c>
      <c r="L98" s="116" t="s">
        <v>259</v>
      </c>
      <c r="M98" s="116" t="s">
        <v>260</v>
      </c>
      <c r="N98" s="116" t="s">
        <v>261</v>
      </c>
      <c r="O98" s="116" t="s">
        <v>262</v>
      </c>
      <c r="P98" s="116" t="s">
        <v>274</v>
      </c>
      <c r="Q98" s="116" t="s">
        <v>4</v>
      </c>
    </row>
    <row r="99" spans="1:19" ht="13.5">
      <c r="A99" s="679" t="s">
        <v>10</v>
      </c>
      <c r="B99" s="680"/>
      <c r="C99" s="680"/>
      <c r="D99" s="187">
        <f>月供應率ALL!C2</f>
        <v>0</v>
      </c>
      <c r="E99" s="187">
        <f>月供應率ALL!D2</f>
        <v>0</v>
      </c>
      <c r="F99" s="187">
        <f>月供應率ALL!E2</f>
        <v>0</v>
      </c>
      <c r="G99" s="187">
        <f>月供應率ALL!F2</f>
        <v>0</v>
      </c>
      <c r="H99" s="187">
        <f>月供應率ALL!G2</f>
        <v>0</v>
      </c>
      <c r="I99" s="187">
        <f>月供應率ALL!H2</f>
        <v>0</v>
      </c>
      <c r="J99" s="187">
        <f>月供應率ALL!I2</f>
        <v>0</v>
      </c>
      <c r="K99" s="187">
        <f>月供應率ALL!J2</f>
        <v>0</v>
      </c>
      <c r="L99" s="187">
        <f>月供應率ALL!K2</f>
        <v>0</v>
      </c>
      <c r="M99" s="187">
        <f>月供應率ALL!L2</f>
        <v>0</v>
      </c>
      <c r="N99" s="187">
        <f>月供應率ALL!M2</f>
        <v>0</v>
      </c>
      <c r="O99" s="187">
        <f>月供應率ALL!N2</f>
        <v>0</v>
      </c>
      <c r="P99" s="187">
        <f>月供應率ALL!O2</f>
        <v>0</v>
      </c>
      <c r="Q99" s="500">
        <v>97.9</v>
      </c>
      <c r="R99" s="681"/>
      <c r="S99" s="682"/>
    </row>
    <row r="100" spans="1:19" ht="13.5">
      <c r="A100" s="667" t="s">
        <v>11</v>
      </c>
      <c r="B100" s="668"/>
      <c r="C100" s="668"/>
      <c r="D100" s="187">
        <f>月供應率ALL!C4</f>
        <v>0</v>
      </c>
      <c r="E100" s="187">
        <f>月供應率ALL!D4</f>
        <v>0</v>
      </c>
      <c r="F100" s="187">
        <f>月供應率ALL!E4</f>
        <v>0</v>
      </c>
      <c r="G100" s="187">
        <f>月供應率ALL!F4</f>
        <v>0</v>
      </c>
      <c r="H100" s="187">
        <f>月供應率ALL!G4</f>
        <v>0</v>
      </c>
      <c r="I100" s="187">
        <f>月供應率ALL!H4</f>
        <v>0</v>
      </c>
      <c r="J100" s="187">
        <f>月供應率ALL!I4</f>
        <v>0</v>
      </c>
      <c r="K100" s="187">
        <f>月供應率ALL!J4</f>
        <v>0</v>
      </c>
      <c r="L100" s="187">
        <f>月供應率ALL!K4</f>
        <v>0</v>
      </c>
      <c r="M100" s="187">
        <f>月供應率ALL!L4</f>
        <v>0</v>
      </c>
      <c r="N100" s="187">
        <f>月供應率ALL!M4</f>
        <v>0</v>
      </c>
      <c r="O100" s="187">
        <f>月供應率ALL!N4</f>
        <v>0</v>
      </c>
      <c r="P100" s="187">
        <f>月供應率ALL!O4</f>
        <v>0</v>
      </c>
      <c r="Q100" s="500">
        <v>99</v>
      </c>
      <c r="R100" s="681"/>
      <c r="S100" s="682"/>
    </row>
    <row r="101" spans="1:19" ht="13.5">
      <c r="A101" s="667" t="s">
        <v>12</v>
      </c>
      <c r="B101" s="668"/>
      <c r="C101" s="668"/>
      <c r="D101" s="187">
        <f>月供應率ALL!C5</f>
        <v>0</v>
      </c>
      <c r="E101" s="187">
        <f>月供應率ALL!D5</f>
        <v>0</v>
      </c>
      <c r="F101" s="187">
        <f>月供應率ALL!E5</f>
        <v>0</v>
      </c>
      <c r="G101" s="187">
        <f>月供應率ALL!F5</f>
        <v>0</v>
      </c>
      <c r="H101" s="187">
        <f>月供應率ALL!G5</f>
        <v>0</v>
      </c>
      <c r="I101" s="187">
        <f>月供應率ALL!H5</f>
        <v>0</v>
      </c>
      <c r="J101" s="187">
        <f>月供應率ALL!I5</f>
        <v>0</v>
      </c>
      <c r="K101" s="187">
        <f>月供應率ALL!J5</f>
        <v>0</v>
      </c>
      <c r="L101" s="187">
        <f>月供應率ALL!K5</f>
        <v>0</v>
      </c>
      <c r="M101" s="187">
        <f>月供應率ALL!L5</f>
        <v>0</v>
      </c>
      <c r="N101" s="187">
        <f>月供應率ALL!M5</f>
        <v>0</v>
      </c>
      <c r="O101" s="187">
        <f>月供應率ALL!N5</f>
        <v>0</v>
      </c>
      <c r="P101" s="187">
        <f>月供應率ALL!O5</f>
        <v>0</v>
      </c>
      <c r="Q101" s="500">
        <v>75</v>
      </c>
      <c r="R101" s="681"/>
      <c r="S101" s="682"/>
    </row>
    <row r="102" spans="1:19" ht="13.5">
      <c r="A102" s="667" t="s">
        <v>13</v>
      </c>
      <c r="B102" s="668"/>
      <c r="C102" s="668"/>
      <c r="D102" s="187">
        <f>月供應率ALL!C6</f>
        <v>0</v>
      </c>
      <c r="E102" s="187">
        <f>月供應率ALL!D6</f>
        <v>0</v>
      </c>
      <c r="F102" s="187">
        <f>月供應率ALL!E6</f>
        <v>0</v>
      </c>
      <c r="G102" s="187">
        <f>月供應率ALL!F6</f>
        <v>0</v>
      </c>
      <c r="H102" s="187">
        <f>月供應率ALL!G6</f>
        <v>0</v>
      </c>
      <c r="I102" s="187">
        <f>月供應率ALL!H6</f>
        <v>0</v>
      </c>
      <c r="J102" s="187">
        <f>月供應率ALL!I6</f>
        <v>0</v>
      </c>
      <c r="K102" s="187">
        <f>月供應率ALL!J6</f>
        <v>0</v>
      </c>
      <c r="L102" s="187">
        <f>月供應率ALL!K6</f>
        <v>0</v>
      </c>
      <c r="M102" s="187">
        <f>月供應率ALL!L6</f>
        <v>0</v>
      </c>
      <c r="N102" s="187">
        <f>月供應率ALL!M6</f>
        <v>0</v>
      </c>
      <c r="O102" s="187">
        <f>月供應率ALL!N6</f>
        <v>0</v>
      </c>
      <c r="P102" s="187">
        <f>月供應率ALL!O6</f>
        <v>0</v>
      </c>
      <c r="Q102" s="500">
        <v>99</v>
      </c>
      <c r="R102" s="681"/>
      <c r="S102" s="682"/>
    </row>
    <row r="103" spans="1:19" ht="13.5">
      <c r="A103" s="667" t="s">
        <v>20</v>
      </c>
      <c r="B103" s="668"/>
      <c r="C103" s="668"/>
      <c r="D103" s="187">
        <f>月供應率ALL!C23</f>
        <v>0</v>
      </c>
      <c r="E103" s="187">
        <f>月供應率ALL!D23</f>
        <v>0</v>
      </c>
      <c r="F103" s="187">
        <f>月供應率ALL!E23</f>
        <v>0</v>
      </c>
      <c r="G103" s="187">
        <f>月供應率ALL!F23</f>
        <v>0</v>
      </c>
      <c r="H103" s="187">
        <f>月供應率ALL!G23</f>
        <v>0</v>
      </c>
      <c r="I103" s="187">
        <f>月供應率ALL!H23</f>
        <v>0</v>
      </c>
      <c r="J103" s="187">
        <f>月供應率ALL!I23</f>
        <v>0</v>
      </c>
      <c r="K103" s="187">
        <f>月供應率ALL!J23</f>
        <v>0</v>
      </c>
      <c r="L103" s="187">
        <f>月供應率ALL!K23</f>
        <v>0</v>
      </c>
      <c r="M103" s="187">
        <f>月供應率ALL!L23</f>
        <v>0</v>
      </c>
      <c r="N103" s="187">
        <f>月供應率ALL!M23</f>
        <v>0</v>
      </c>
      <c r="O103" s="187">
        <f>月供應率ALL!N23</f>
        <v>0</v>
      </c>
      <c r="P103" s="187">
        <f>月供應率ALL!O23</f>
        <v>0</v>
      </c>
      <c r="Q103" s="500">
        <v>92</v>
      </c>
      <c r="R103" s="681"/>
      <c r="S103" s="682"/>
    </row>
    <row r="104" spans="1:19" ht="13.5">
      <c r="A104" s="667" t="s">
        <v>15</v>
      </c>
      <c r="B104" s="668"/>
      <c r="C104" s="668"/>
      <c r="D104" s="187">
        <f>月供應率ALL!C8</f>
        <v>0</v>
      </c>
      <c r="E104" s="187">
        <f>月供應率ALL!D8</f>
        <v>0</v>
      </c>
      <c r="F104" s="187">
        <f>月供應率ALL!E8</f>
        <v>0</v>
      </c>
      <c r="G104" s="187">
        <f>月供應率ALL!F8</f>
        <v>0</v>
      </c>
      <c r="H104" s="187">
        <f>月供應率ALL!G8</f>
        <v>0</v>
      </c>
      <c r="I104" s="187">
        <f>月供應率ALL!H8</f>
        <v>0</v>
      </c>
      <c r="J104" s="187">
        <f>月供應率ALL!I8</f>
        <v>0</v>
      </c>
      <c r="K104" s="187">
        <f>月供應率ALL!J8</f>
        <v>0</v>
      </c>
      <c r="L104" s="187">
        <f>月供應率ALL!K8</f>
        <v>0</v>
      </c>
      <c r="M104" s="187">
        <f>月供應率ALL!L8</f>
        <v>0</v>
      </c>
      <c r="N104" s="187">
        <f>月供應率ALL!M8</f>
        <v>0</v>
      </c>
      <c r="O104" s="187">
        <f>月供應率ALL!N8</f>
        <v>0</v>
      </c>
      <c r="P104" s="187">
        <f>月供應率ALL!O8</f>
        <v>0</v>
      </c>
      <c r="Q104" s="500">
        <v>95</v>
      </c>
      <c r="R104" s="681"/>
      <c r="S104" s="682"/>
    </row>
    <row r="105" spans="1:19" ht="13.5">
      <c r="A105" s="665" t="s">
        <v>16</v>
      </c>
      <c r="B105" s="666"/>
      <c r="C105" s="666"/>
      <c r="D105" s="187">
        <f>月供應率ALL!C9</f>
        <v>0</v>
      </c>
      <c r="E105" s="187">
        <f>月供應率ALL!D9</f>
        <v>0</v>
      </c>
      <c r="F105" s="187">
        <f>月供應率ALL!E9</f>
        <v>0</v>
      </c>
      <c r="G105" s="187">
        <f>月供應率ALL!F9</f>
        <v>0</v>
      </c>
      <c r="H105" s="187">
        <f>月供應率ALL!G9</f>
        <v>0</v>
      </c>
      <c r="I105" s="187">
        <f>月供應率ALL!H9</f>
        <v>0</v>
      </c>
      <c r="J105" s="187">
        <f>月供應率ALL!I9</f>
        <v>0</v>
      </c>
      <c r="K105" s="187">
        <f>月供應率ALL!J9</f>
        <v>0</v>
      </c>
      <c r="L105" s="187">
        <f>月供應率ALL!K9</f>
        <v>0</v>
      </c>
      <c r="M105" s="187">
        <f>月供應率ALL!L9</f>
        <v>0</v>
      </c>
      <c r="N105" s="187">
        <f>月供應率ALL!M9</f>
        <v>0</v>
      </c>
      <c r="O105" s="187">
        <f>月供應率ALL!N9</f>
        <v>0</v>
      </c>
      <c r="P105" s="187">
        <f>月供應率ALL!O9</f>
        <v>0</v>
      </c>
      <c r="Q105" s="500">
        <v>95</v>
      </c>
      <c r="R105" s="681"/>
      <c r="S105" s="682"/>
    </row>
    <row r="106" spans="1:19" ht="13.5">
      <c r="A106" s="690" t="s">
        <v>48</v>
      </c>
      <c r="B106" s="691"/>
      <c r="C106" s="692"/>
      <c r="D106" s="256">
        <f>月供應率ALL!C10</f>
        <v>0</v>
      </c>
      <c r="E106" s="256">
        <f>月供應率ALL!D10</f>
        <v>0</v>
      </c>
      <c r="F106" s="256">
        <f>月供應率ALL!E10</f>
        <v>0</v>
      </c>
      <c r="G106" s="256">
        <f>月供應率ALL!F10</f>
        <v>0</v>
      </c>
      <c r="H106" s="256">
        <f>月供應率ALL!G10</f>
        <v>0</v>
      </c>
      <c r="I106" s="256">
        <f>月供應率ALL!H10</f>
        <v>0</v>
      </c>
      <c r="J106" s="256">
        <f>月供應率ALL!I10</f>
        <v>0</v>
      </c>
      <c r="K106" s="256">
        <f>月供應率ALL!J10</f>
        <v>0</v>
      </c>
      <c r="L106" s="256">
        <f>月供應率ALL!K10</f>
        <v>0</v>
      </c>
      <c r="M106" s="256">
        <f>月供應率ALL!L10</f>
        <v>0</v>
      </c>
      <c r="N106" s="256">
        <f>月供應率ALL!M10</f>
        <v>0</v>
      </c>
      <c r="O106" s="256">
        <f>月供應率ALL!N10</f>
        <v>0</v>
      </c>
      <c r="P106" s="256">
        <f>月供應率ALL!O10</f>
        <v>0</v>
      </c>
      <c r="Q106" s="501">
        <v>97.8</v>
      </c>
      <c r="R106" s="240"/>
      <c r="S106" s="241"/>
    </row>
    <row r="107" spans="1:19" ht="13.5">
      <c r="A107" s="667" t="s">
        <v>275</v>
      </c>
      <c r="B107" s="668"/>
      <c r="C107" s="668"/>
      <c r="D107" s="187">
        <f>月供應率ALL!C3</f>
        <v>0</v>
      </c>
      <c r="E107" s="187">
        <f>月供應率ALL!D3</f>
        <v>0</v>
      </c>
      <c r="F107" s="187">
        <f>月供應率ALL!E3</f>
        <v>0</v>
      </c>
      <c r="G107" s="187">
        <f>月供應率ALL!F3</f>
        <v>0</v>
      </c>
      <c r="H107" s="187">
        <f>月供應率ALL!G3</f>
        <v>0</v>
      </c>
      <c r="I107" s="187">
        <f>月供應率ALL!H3</f>
        <v>0</v>
      </c>
      <c r="J107" s="187">
        <f>月供應率ALL!I3</f>
        <v>0</v>
      </c>
      <c r="K107" s="187">
        <f>月供應率ALL!J3</f>
        <v>0</v>
      </c>
      <c r="L107" s="187">
        <f>月供應率ALL!K3</f>
        <v>0</v>
      </c>
      <c r="M107" s="187">
        <f>月供應率ALL!L3</f>
        <v>0</v>
      </c>
      <c r="N107" s="187">
        <f>月供應率ALL!M3</f>
        <v>0</v>
      </c>
      <c r="O107" s="187">
        <f>月供應率ALL!N3</f>
        <v>0</v>
      </c>
      <c r="P107" s="187">
        <f>月供應率ALL!O3</f>
        <v>0</v>
      </c>
      <c r="Q107" s="500">
        <v>97.8</v>
      </c>
      <c r="R107" s="240"/>
      <c r="S107" s="241"/>
    </row>
    <row r="108" spans="1:19" ht="13.5">
      <c r="A108" s="257" t="s">
        <v>23</v>
      </c>
      <c r="B108" s="258"/>
      <c r="C108" s="259"/>
      <c r="D108" s="189">
        <f>月供應率ALL!C11</f>
        <v>0</v>
      </c>
      <c r="E108" s="189">
        <f>月供應率ALL!D11</f>
        <v>0</v>
      </c>
      <c r="F108" s="189">
        <f>月供應率ALL!E11</f>
        <v>0</v>
      </c>
      <c r="G108" s="189">
        <f>月供應率ALL!F11</f>
        <v>0</v>
      </c>
      <c r="H108" s="189">
        <f>月供應率ALL!G11</f>
        <v>0</v>
      </c>
      <c r="I108" s="189">
        <f>月供應率ALL!H11</f>
        <v>0</v>
      </c>
      <c r="J108" s="189">
        <f>月供應率ALL!I11</f>
        <v>0</v>
      </c>
      <c r="K108" s="189">
        <f>月供應率ALL!J11</f>
        <v>0</v>
      </c>
      <c r="L108" s="189">
        <f>月供應率ALL!K11</f>
        <v>0</v>
      </c>
      <c r="M108" s="189">
        <f>月供應率ALL!L11</f>
        <v>0</v>
      </c>
      <c r="N108" s="189">
        <f>月供應率ALL!M11</f>
        <v>0</v>
      </c>
      <c r="O108" s="189">
        <f>月供應率ALL!N11</f>
        <v>0</v>
      </c>
      <c r="P108" s="189">
        <f>月供應率ALL!O11</f>
        <v>0</v>
      </c>
      <c r="Q108" s="502">
        <v>99</v>
      </c>
      <c r="R108" s="240"/>
      <c r="S108" s="241"/>
    </row>
    <row r="109" spans="1:19" ht="13.5">
      <c r="A109" s="257" t="s">
        <v>24</v>
      </c>
      <c r="B109" s="258"/>
      <c r="C109" s="259"/>
      <c r="D109" s="189">
        <f>月供應率ALL!C12</f>
        <v>0</v>
      </c>
      <c r="E109" s="189">
        <f>月供應率ALL!D12</f>
        <v>0</v>
      </c>
      <c r="F109" s="189">
        <f>月供應率ALL!E12</f>
        <v>0</v>
      </c>
      <c r="G109" s="189">
        <f>月供應率ALL!F12</f>
        <v>0</v>
      </c>
      <c r="H109" s="189">
        <f>月供應率ALL!G12</f>
        <v>0</v>
      </c>
      <c r="I109" s="189">
        <f>月供應率ALL!H12</f>
        <v>0</v>
      </c>
      <c r="J109" s="189">
        <f>月供應率ALL!I12</f>
        <v>0</v>
      </c>
      <c r="K109" s="189">
        <f>月供應率ALL!J12</f>
        <v>0</v>
      </c>
      <c r="L109" s="189">
        <f>月供應率ALL!K12</f>
        <v>0</v>
      </c>
      <c r="M109" s="189">
        <f>月供應率ALL!L12</f>
        <v>0</v>
      </c>
      <c r="N109" s="189">
        <f>月供應率ALL!M12</f>
        <v>0</v>
      </c>
      <c r="O109" s="189">
        <f>月供應率ALL!N12</f>
        <v>0</v>
      </c>
      <c r="P109" s="189">
        <f>月供應率ALL!O12</f>
        <v>0</v>
      </c>
      <c r="Q109" s="502">
        <v>75</v>
      </c>
      <c r="R109" s="240"/>
      <c r="S109" s="241"/>
    </row>
    <row r="110" spans="1:19" ht="13.5">
      <c r="A110" s="257" t="s">
        <v>25</v>
      </c>
      <c r="B110" s="258"/>
      <c r="C110" s="259"/>
      <c r="D110" s="189">
        <f>月供應率ALL!C13</f>
        <v>0</v>
      </c>
      <c r="E110" s="189">
        <f>月供應率ALL!D13</f>
        <v>0</v>
      </c>
      <c r="F110" s="189">
        <f>月供應率ALL!E13</f>
        <v>0</v>
      </c>
      <c r="G110" s="189">
        <f>月供應率ALL!F13</f>
        <v>0</v>
      </c>
      <c r="H110" s="189">
        <f>月供應率ALL!G13</f>
        <v>0</v>
      </c>
      <c r="I110" s="189">
        <f>月供應率ALL!H13</f>
        <v>0</v>
      </c>
      <c r="J110" s="189">
        <f>月供應率ALL!I13</f>
        <v>0</v>
      </c>
      <c r="K110" s="189">
        <f>月供應率ALL!J13</f>
        <v>0</v>
      </c>
      <c r="L110" s="189">
        <f>月供應率ALL!K13</f>
        <v>0</v>
      </c>
      <c r="M110" s="189">
        <f>月供應率ALL!L13</f>
        <v>0</v>
      </c>
      <c r="N110" s="189">
        <f>月供應率ALL!M13</f>
        <v>0</v>
      </c>
      <c r="O110" s="189">
        <f>月供應率ALL!N13</f>
        <v>0</v>
      </c>
      <c r="P110" s="189">
        <f>月供應率ALL!O13</f>
        <v>0</v>
      </c>
      <c r="Q110" s="502">
        <v>98.7</v>
      </c>
      <c r="R110" s="240"/>
      <c r="S110" s="241"/>
    </row>
    <row r="111" spans="1:19" ht="13.5">
      <c r="A111" s="257" t="s">
        <v>26</v>
      </c>
      <c r="B111" s="258"/>
      <c r="C111" s="259"/>
      <c r="D111" s="189">
        <f>月供應率ALL!C14</f>
        <v>0</v>
      </c>
      <c r="E111" s="189">
        <f>月供應率ALL!D14</f>
        <v>0</v>
      </c>
      <c r="F111" s="189">
        <f>月供應率ALL!E14</f>
        <v>0</v>
      </c>
      <c r="G111" s="189">
        <f>月供應率ALL!F14</f>
        <v>0</v>
      </c>
      <c r="H111" s="189">
        <f>月供應率ALL!G14</f>
        <v>0</v>
      </c>
      <c r="I111" s="189">
        <f>月供應率ALL!H14</f>
        <v>0</v>
      </c>
      <c r="J111" s="189">
        <f>月供應率ALL!I14</f>
        <v>0</v>
      </c>
      <c r="K111" s="189">
        <f>月供應率ALL!J14</f>
        <v>0</v>
      </c>
      <c r="L111" s="189">
        <f>月供應率ALL!K14</f>
        <v>0</v>
      </c>
      <c r="M111" s="189">
        <f>月供應率ALL!L14</f>
        <v>0</v>
      </c>
      <c r="N111" s="189">
        <f>月供應率ALL!M14</f>
        <v>0</v>
      </c>
      <c r="O111" s="189">
        <f>月供應率ALL!N14</f>
        <v>0</v>
      </c>
      <c r="P111" s="189">
        <f>月供應率ALL!O14</f>
        <v>0</v>
      </c>
      <c r="Q111" s="502">
        <v>95</v>
      </c>
      <c r="R111" s="240"/>
      <c r="S111" s="241"/>
    </row>
    <row r="112" spans="1:19" ht="13.5">
      <c r="A112" s="257" t="s">
        <v>27</v>
      </c>
      <c r="B112" s="258"/>
      <c r="C112" s="259"/>
      <c r="D112" s="189">
        <f>月供應率ALL!C15</f>
        <v>0</v>
      </c>
      <c r="E112" s="189">
        <f>月供應率ALL!D15</f>
        <v>0</v>
      </c>
      <c r="F112" s="189">
        <f>月供應率ALL!E15</f>
        <v>0</v>
      </c>
      <c r="G112" s="189">
        <f>月供應率ALL!F15</f>
        <v>0</v>
      </c>
      <c r="H112" s="189">
        <f>月供應率ALL!G15</f>
        <v>0</v>
      </c>
      <c r="I112" s="189">
        <f>月供應率ALL!H15</f>
        <v>0</v>
      </c>
      <c r="J112" s="189">
        <f>月供應率ALL!I15</f>
        <v>0</v>
      </c>
      <c r="K112" s="189">
        <f>月供應率ALL!J15</f>
        <v>0</v>
      </c>
      <c r="L112" s="189">
        <f>月供應率ALL!K15</f>
        <v>0</v>
      </c>
      <c r="M112" s="189">
        <f>月供應率ALL!L15</f>
        <v>0</v>
      </c>
      <c r="N112" s="189">
        <f>月供應率ALL!M15</f>
        <v>0</v>
      </c>
      <c r="O112" s="189">
        <f>月供應率ALL!N15</f>
        <v>0</v>
      </c>
      <c r="P112" s="189">
        <f>月供應率ALL!O15</f>
        <v>0</v>
      </c>
      <c r="Q112" s="502"/>
      <c r="R112" s="240"/>
      <c r="S112" s="241"/>
    </row>
    <row r="113" spans="1:21" ht="14" thickBot="1">
      <c r="A113" s="693" t="s">
        <v>49</v>
      </c>
      <c r="B113" s="694"/>
      <c r="C113" s="694"/>
      <c r="D113" s="190">
        <f>月供應率ALL!C16</f>
        <v>0</v>
      </c>
      <c r="E113" s="190">
        <f>月供應率ALL!D16</f>
        <v>0</v>
      </c>
      <c r="F113" s="190">
        <f>月供應率ALL!E16</f>
        <v>0</v>
      </c>
      <c r="G113" s="190">
        <f>月供應率ALL!F16</f>
        <v>0</v>
      </c>
      <c r="H113" s="190">
        <f>月供應率ALL!G16</f>
        <v>0</v>
      </c>
      <c r="I113" s="190">
        <f>月供應率ALL!H16</f>
        <v>0</v>
      </c>
      <c r="J113" s="190">
        <f>月供應率ALL!I16</f>
        <v>0</v>
      </c>
      <c r="K113" s="190">
        <f>月供應率ALL!J16</f>
        <v>0</v>
      </c>
      <c r="L113" s="190">
        <f>月供應率ALL!K16</f>
        <v>0</v>
      </c>
      <c r="M113" s="190">
        <f>月供應率ALL!L16</f>
        <v>0</v>
      </c>
      <c r="N113" s="190">
        <f>月供應率ALL!M16</f>
        <v>0</v>
      </c>
      <c r="O113" s="190">
        <f>月供應率ALL!N16</f>
        <v>0</v>
      </c>
      <c r="P113" s="190">
        <f>月供應率ALL!O16</f>
        <v>0</v>
      </c>
      <c r="Q113" s="503"/>
      <c r="R113" s="681"/>
      <c r="S113" s="682"/>
    </row>
    <row r="114" spans="1:21" ht="16.5" customHeight="1">
      <c r="A114" s="695" t="s">
        <v>30</v>
      </c>
      <c r="B114" s="696"/>
      <c r="C114" s="697"/>
      <c r="D114" s="281">
        <f>月供應率ALL!C17</f>
        <v>0</v>
      </c>
      <c r="E114" s="281">
        <f>月供應率ALL!D17</f>
        <v>0</v>
      </c>
      <c r="F114" s="281">
        <f>月供應率ALL!E17</f>
        <v>0</v>
      </c>
      <c r="G114" s="281">
        <f>月供應率ALL!F17</f>
        <v>0</v>
      </c>
      <c r="H114" s="281">
        <f>月供應率ALL!G17</f>
        <v>0</v>
      </c>
      <c r="I114" s="281">
        <f>月供應率ALL!H17</f>
        <v>0</v>
      </c>
      <c r="J114" s="281">
        <f>月供應率ALL!I17</f>
        <v>0</v>
      </c>
      <c r="K114" s="281">
        <f>月供應率ALL!J17</f>
        <v>0</v>
      </c>
      <c r="L114" s="281">
        <f>月供應率ALL!K17</f>
        <v>0</v>
      </c>
      <c r="M114" s="281">
        <f>月供應率ALL!L17</f>
        <v>0</v>
      </c>
      <c r="N114" s="281">
        <f>月供應率ALL!M17</f>
        <v>0</v>
      </c>
      <c r="O114" s="281">
        <f>月供應率ALL!N17</f>
        <v>0</v>
      </c>
      <c r="P114" s="281">
        <f>月供應率ALL!O17</f>
        <v>0</v>
      </c>
      <c r="Q114" s="504"/>
      <c r="R114" s="240"/>
      <c r="S114" s="241"/>
    </row>
    <row r="115" spans="1:21" ht="13.5">
      <c r="A115" s="687" t="s">
        <v>31</v>
      </c>
      <c r="B115" s="688"/>
      <c r="C115" s="689"/>
      <c r="D115" s="187">
        <f>月供應率ALL!C18</f>
        <v>0</v>
      </c>
      <c r="E115" s="187">
        <f>月供應率ALL!D18</f>
        <v>0</v>
      </c>
      <c r="F115" s="187">
        <f>月供應率ALL!E18</f>
        <v>0</v>
      </c>
      <c r="G115" s="187">
        <f>月供應率ALL!F18</f>
        <v>0</v>
      </c>
      <c r="H115" s="187">
        <f>月供應率ALL!G18</f>
        <v>0</v>
      </c>
      <c r="I115" s="187">
        <f>月供應率ALL!H18</f>
        <v>0</v>
      </c>
      <c r="J115" s="187">
        <f>月供應率ALL!I18</f>
        <v>0</v>
      </c>
      <c r="K115" s="187">
        <f>月供應率ALL!J18</f>
        <v>0</v>
      </c>
      <c r="L115" s="187">
        <f>月供應率ALL!K18</f>
        <v>0</v>
      </c>
      <c r="M115" s="187">
        <f>月供應率ALL!L18</f>
        <v>0</v>
      </c>
      <c r="N115" s="187">
        <f>月供應率ALL!M18</f>
        <v>0</v>
      </c>
      <c r="O115" s="187">
        <f>月供應率ALL!N18</f>
        <v>0</v>
      </c>
      <c r="P115" s="187">
        <f>月供應率ALL!O18</f>
        <v>0</v>
      </c>
      <c r="Q115" s="500"/>
      <c r="R115" s="240"/>
      <c r="S115" s="241"/>
    </row>
    <row r="116" spans="1:21" ht="13.5">
      <c r="A116" s="687" t="s">
        <v>32</v>
      </c>
      <c r="B116" s="688"/>
      <c r="C116" s="689"/>
      <c r="D116" s="187">
        <f>月供應率ALL!C19</f>
        <v>0</v>
      </c>
      <c r="E116" s="187">
        <f>月供應率ALL!D19</f>
        <v>0</v>
      </c>
      <c r="F116" s="187">
        <f>月供應率ALL!E19</f>
        <v>0</v>
      </c>
      <c r="G116" s="187">
        <f>月供應率ALL!F19</f>
        <v>0</v>
      </c>
      <c r="H116" s="187">
        <f>月供應率ALL!G19</f>
        <v>0</v>
      </c>
      <c r="I116" s="187">
        <f>月供應率ALL!H19</f>
        <v>0</v>
      </c>
      <c r="J116" s="187">
        <f>月供應率ALL!I19</f>
        <v>0</v>
      </c>
      <c r="K116" s="187">
        <f>月供應率ALL!J19</f>
        <v>0</v>
      </c>
      <c r="L116" s="187">
        <f>月供應率ALL!K19</f>
        <v>0</v>
      </c>
      <c r="M116" s="187">
        <f>月供應率ALL!L19</f>
        <v>0</v>
      </c>
      <c r="N116" s="187">
        <f>月供應率ALL!M19</f>
        <v>0</v>
      </c>
      <c r="O116" s="187">
        <f>月供應率ALL!N19</f>
        <v>0</v>
      </c>
      <c r="P116" s="187">
        <f>月供應率ALL!O19</f>
        <v>0</v>
      </c>
      <c r="Q116" s="500"/>
      <c r="R116" s="240"/>
      <c r="S116" s="241"/>
    </row>
    <row r="117" spans="1:21" ht="13.5">
      <c r="A117" s="687" t="s">
        <v>33</v>
      </c>
      <c r="B117" s="688"/>
      <c r="C117" s="689"/>
      <c r="D117" s="187">
        <f>月供應率ALL!C20</f>
        <v>0</v>
      </c>
      <c r="E117" s="187">
        <f>月供應率ALL!D20</f>
        <v>0</v>
      </c>
      <c r="F117" s="187">
        <f>月供應率ALL!E20</f>
        <v>0</v>
      </c>
      <c r="G117" s="187">
        <f>月供應率ALL!F20</f>
        <v>0</v>
      </c>
      <c r="H117" s="187">
        <f>月供應率ALL!G20</f>
        <v>0</v>
      </c>
      <c r="I117" s="187">
        <f>月供應率ALL!H20</f>
        <v>0</v>
      </c>
      <c r="J117" s="187">
        <f>月供應率ALL!I20</f>
        <v>0</v>
      </c>
      <c r="K117" s="187">
        <f>月供應率ALL!J20</f>
        <v>0</v>
      </c>
      <c r="L117" s="187">
        <f>月供應率ALL!K20</f>
        <v>0</v>
      </c>
      <c r="M117" s="187">
        <f>月供應率ALL!L20</f>
        <v>0</v>
      </c>
      <c r="N117" s="187">
        <f>月供應率ALL!M20</f>
        <v>0</v>
      </c>
      <c r="O117" s="187">
        <f>月供應率ALL!N20</f>
        <v>0</v>
      </c>
      <c r="P117" s="187">
        <f>月供應率ALL!O20</f>
        <v>0</v>
      </c>
      <c r="Q117" s="500"/>
      <c r="R117" s="240"/>
      <c r="S117" s="241"/>
    </row>
    <row r="118" spans="1:21" ht="13.5">
      <c r="A118" s="291" t="s">
        <v>34</v>
      </c>
      <c r="B118" s="291"/>
      <c r="C118" s="292"/>
      <c r="D118" s="187">
        <f>月供應率ALL!C22</f>
        <v>0</v>
      </c>
      <c r="E118" s="187">
        <f>月供應率ALL!D22</f>
        <v>0</v>
      </c>
      <c r="F118" s="187">
        <f>月供應率ALL!E22</f>
        <v>0</v>
      </c>
      <c r="G118" s="187">
        <f>月供應率ALL!F22</f>
        <v>0</v>
      </c>
      <c r="H118" s="187">
        <f>月供應率ALL!G22</f>
        <v>0</v>
      </c>
      <c r="I118" s="187">
        <f>月供應率ALL!H22</f>
        <v>0</v>
      </c>
      <c r="J118" s="187">
        <f>月供應率ALL!I22</f>
        <v>0</v>
      </c>
      <c r="K118" s="187">
        <f>月供應率ALL!J22</f>
        <v>0</v>
      </c>
      <c r="L118" s="187">
        <f>月供應率ALL!K22</f>
        <v>0</v>
      </c>
      <c r="M118" s="187">
        <f>月供應率ALL!L22</f>
        <v>0</v>
      </c>
      <c r="N118" s="187">
        <f>月供應率ALL!M22</f>
        <v>0</v>
      </c>
      <c r="O118" s="187">
        <f>月供應率ALL!N22</f>
        <v>0</v>
      </c>
      <c r="P118" s="187">
        <f>月供應率ALL!O22</f>
        <v>0</v>
      </c>
      <c r="Q118" s="500"/>
      <c r="R118" s="240"/>
      <c r="S118" s="241"/>
    </row>
    <row r="119" spans="1:21" ht="15" customHeight="1" thickBot="1">
      <c r="A119" s="704" t="s">
        <v>29</v>
      </c>
      <c r="B119" s="705"/>
      <c r="C119" s="706"/>
      <c r="D119" s="190">
        <f>月供應率ALL!C21</f>
        <v>0</v>
      </c>
      <c r="E119" s="190">
        <f>月供應率ALL!D21</f>
        <v>0</v>
      </c>
      <c r="F119" s="190">
        <f>月供應率ALL!E21</f>
        <v>0</v>
      </c>
      <c r="G119" s="190">
        <f>月供應率ALL!F21</f>
        <v>0</v>
      </c>
      <c r="H119" s="190">
        <f>月供應率ALL!G21</f>
        <v>0</v>
      </c>
      <c r="I119" s="190">
        <f>月供應率ALL!H21</f>
        <v>0</v>
      </c>
      <c r="J119" s="190">
        <f>月供應率ALL!I21</f>
        <v>0</v>
      </c>
      <c r="K119" s="190">
        <f>月供應率ALL!J21</f>
        <v>0</v>
      </c>
      <c r="L119" s="190">
        <f>月供應率ALL!K21</f>
        <v>0</v>
      </c>
      <c r="M119" s="190">
        <f>月供應率ALL!L21</f>
        <v>0</v>
      </c>
      <c r="N119" s="190">
        <f>月供應率ALL!M21</f>
        <v>0</v>
      </c>
      <c r="O119" s="190">
        <f>月供應率ALL!N21</f>
        <v>0</v>
      </c>
      <c r="P119" s="190">
        <f>月供應率ALL!O21</f>
        <v>0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3">
      <c r="A121" s="151"/>
      <c r="R121" s="194"/>
      <c r="S121" s="194"/>
    </row>
    <row r="122" spans="1:21" ht="14" thickBot="1">
      <c r="A122" s="112" t="s">
        <v>276</v>
      </c>
      <c r="B122" s="112"/>
      <c r="C122" s="112"/>
      <c r="R122" s="194"/>
      <c r="S122" s="194"/>
    </row>
    <row r="123" spans="1:21" ht="13.5">
      <c r="A123" s="671" t="s">
        <v>0</v>
      </c>
      <c r="B123" s="672"/>
      <c r="C123" s="672"/>
      <c r="D123" s="116" t="s">
        <v>251</v>
      </c>
      <c r="E123" s="116" t="s">
        <v>252</v>
      </c>
      <c r="F123" s="116" t="s">
        <v>253</v>
      </c>
      <c r="G123" s="116" t="s">
        <v>254</v>
      </c>
      <c r="H123" s="116" t="s">
        <v>255</v>
      </c>
      <c r="I123" s="116" t="s">
        <v>256</v>
      </c>
      <c r="J123" s="116" t="s">
        <v>257</v>
      </c>
      <c r="K123" s="116" t="s">
        <v>258</v>
      </c>
      <c r="L123" s="116" t="s">
        <v>259</v>
      </c>
      <c r="M123" s="116" t="s">
        <v>260</v>
      </c>
      <c r="N123" s="116" t="s">
        <v>261</v>
      </c>
      <c r="O123" s="116" t="s">
        <v>262</v>
      </c>
      <c r="P123" s="117" t="s">
        <v>274</v>
      </c>
      <c r="R123" s="681"/>
      <c r="S123" s="682"/>
    </row>
    <row r="124" spans="1:21" s="198" customFormat="1">
      <c r="A124" s="685" t="s">
        <v>51</v>
      </c>
      <c r="B124" s="686"/>
      <c r="C124" s="686"/>
      <c r="D124" s="195">
        <f>月供應率!D2</f>
        <v>0</v>
      </c>
      <c r="E124" s="195">
        <f>月供應率!E2</f>
        <v>0</v>
      </c>
      <c r="F124" s="195">
        <f>月供應率!F2</f>
        <v>0</v>
      </c>
      <c r="G124" s="195">
        <f>月供應率!G2</f>
        <v>0</v>
      </c>
      <c r="H124" s="195">
        <f>月供應率!H2</f>
        <v>0</v>
      </c>
      <c r="I124" s="195">
        <f>月供應率!I2</f>
        <v>0</v>
      </c>
      <c r="J124" s="195">
        <f>月供應率!J2</f>
        <v>0</v>
      </c>
      <c r="K124" s="195">
        <f>月供應率!K2</f>
        <v>0</v>
      </c>
      <c r="L124" s="195">
        <f>月供應率!L2</f>
        <v>0</v>
      </c>
      <c r="M124" s="195">
        <f>月供應率!M2</f>
        <v>0</v>
      </c>
      <c r="N124" s="195">
        <f>月供應率!N2</f>
        <v>0</v>
      </c>
      <c r="O124" s="195">
        <f>月供應率!O2</f>
        <v>0</v>
      </c>
      <c r="P124" s="195">
        <f>月供應率!P2</f>
        <v>0</v>
      </c>
      <c r="Q124" s="197"/>
      <c r="R124" s="681"/>
      <c r="S124" s="682"/>
      <c r="T124" s="114"/>
      <c r="U124" s="114"/>
    </row>
    <row r="125" spans="1:21" s="198" customFormat="1">
      <c r="A125" s="683" t="s">
        <v>52</v>
      </c>
      <c r="B125" s="684"/>
      <c r="C125" s="684"/>
      <c r="D125" s="195">
        <f>月供應率!D3</f>
        <v>0</v>
      </c>
      <c r="E125" s="195">
        <f>月供應率!E3</f>
        <v>0</v>
      </c>
      <c r="F125" s="195">
        <f>月供應率!F3</f>
        <v>0</v>
      </c>
      <c r="G125" s="195">
        <f>月供應率!G3</f>
        <v>0</v>
      </c>
      <c r="H125" s="195">
        <f>月供應率!H3</f>
        <v>0</v>
      </c>
      <c r="I125" s="195">
        <f>月供應率!I3</f>
        <v>0</v>
      </c>
      <c r="J125" s="195">
        <f>月供應率!J3</f>
        <v>0</v>
      </c>
      <c r="K125" s="195">
        <f>月供應率!K3</f>
        <v>0</v>
      </c>
      <c r="L125" s="195">
        <f>月供應率!L3</f>
        <v>0</v>
      </c>
      <c r="M125" s="195">
        <f>月供應率!M3</f>
        <v>0</v>
      </c>
      <c r="N125" s="195">
        <f>月供應率!N3</f>
        <v>0</v>
      </c>
      <c r="O125" s="195">
        <f>月供應率!O3</f>
        <v>0</v>
      </c>
      <c r="P125" s="195">
        <f>月供應率!P3</f>
        <v>0</v>
      </c>
      <c r="Q125" s="197"/>
      <c r="R125" s="681"/>
      <c r="S125" s="682"/>
      <c r="T125" s="114"/>
      <c r="U125" s="114"/>
    </row>
    <row r="126" spans="1:21" s="198" customFormat="1">
      <c r="A126" s="683" t="s">
        <v>53</v>
      </c>
      <c r="B126" s="684"/>
      <c r="C126" s="684"/>
      <c r="D126" s="195">
        <f>月供應率!D4</f>
        <v>0</v>
      </c>
      <c r="E126" s="195">
        <f>月供應率!E4</f>
        <v>0</v>
      </c>
      <c r="F126" s="195">
        <f>月供應率!F4</f>
        <v>0</v>
      </c>
      <c r="G126" s="195">
        <f>月供應率!G4</f>
        <v>0</v>
      </c>
      <c r="H126" s="195">
        <f>月供應率!H4</f>
        <v>0</v>
      </c>
      <c r="I126" s="195">
        <f>月供應率!I4</f>
        <v>0</v>
      </c>
      <c r="J126" s="195">
        <f>月供應率!J4</f>
        <v>0</v>
      </c>
      <c r="K126" s="195">
        <f>月供應率!K4</f>
        <v>0</v>
      </c>
      <c r="L126" s="195">
        <f>月供應率!L4</f>
        <v>0</v>
      </c>
      <c r="M126" s="195">
        <f>月供應率!M4</f>
        <v>0</v>
      </c>
      <c r="N126" s="195">
        <f>月供應率!N4</f>
        <v>0</v>
      </c>
      <c r="O126" s="195">
        <f>月供應率!O4</f>
        <v>0</v>
      </c>
      <c r="P126" s="195">
        <f>月供應率!P4</f>
        <v>0</v>
      </c>
      <c r="Q126" s="197"/>
      <c r="R126" s="681"/>
      <c r="S126" s="682"/>
      <c r="T126" s="114"/>
      <c r="U126" s="114"/>
    </row>
    <row r="127" spans="1:21" s="198" customFormat="1">
      <c r="A127" s="709" t="s">
        <v>54</v>
      </c>
      <c r="B127" s="710"/>
      <c r="C127" s="711"/>
      <c r="D127" s="199">
        <f>月供應率!D5</f>
        <v>0</v>
      </c>
      <c r="E127" s="199">
        <f>月供應率!E5</f>
        <v>0</v>
      </c>
      <c r="F127" s="199">
        <f>月供應率!F5</f>
        <v>0</v>
      </c>
      <c r="G127" s="199">
        <f>月供應率!G5</f>
        <v>0</v>
      </c>
      <c r="H127" s="199">
        <f>月供應率!H5</f>
        <v>0</v>
      </c>
      <c r="I127" s="199">
        <f>月供應率!I5</f>
        <v>0</v>
      </c>
      <c r="J127" s="199">
        <f>月供應率!J5</f>
        <v>0</v>
      </c>
      <c r="K127" s="199">
        <f>月供應率!K5</f>
        <v>0</v>
      </c>
      <c r="L127" s="199">
        <f>月供應率!L5</f>
        <v>0</v>
      </c>
      <c r="M127" s="199">
        <f>月供應率!M5</f>
        <v>0</v>
      </c>
      <c r="N127" s="199">
        <f>月供應率!N5</f>
        <v>0</v>
      </c>
      <c r="O127" s="199">
        <f>月供應率!O5</f>
        <v>0</v>
      </c>
      <c r="P127" s="199">
        <f>月供應率!P5</f>
        <v>0</v>
      </c>
      <c r="Q127" s="197"/>
      <c r="R127" s="681"/>
      <c r="S127" s="682"/>
      <c r="T127" s="114"/>
      <c r="U127" s="114"/>
    </row>
    <row r="128" spans="1:21" s="198" customFormat="1">
      <c r="A128" s="683" t="s">
        <v>11</v>
      </c>
      <c r="B128" s="684"/>
      <c r="C128" s="684"/>
      <c r="D128" s="195">
        <f>月供應率!D7</f>
        <v>0</v>
      </c>
      <c r="E128" s="195">
        <f>月供應率!E7</f>
        <v>0</v>
      </c>
      <c r="F128" s="195">
        <f>月供應率!F7</f>
        <v>0</v>
      </c>
      <c r="G128" s="195">
        <f>月供應率!G7</f>
        <v>0</v>
      </c>
      <c r="H128" s="195">
        <f>月供應率!H7</f>
        <v>0</v>
      </c>
      <c r="I128" s="195">
        <f>月供應率!I7</f>
        <v>0</v>
      </c>
      <c r="J128" s="195">
        <f>月供應率!J7</f>
        <v>0</v>
      </c>
      <c r="K128" s="195">
        <f>月供應率!K7</f>
        <v>0</v>
      </c>
      <c r="L128" s="195">
        <f>月供應率!L7</f>
        <v>0</v>
      </c>
      <c r="M128" s="195">
        <f>月供應率!M7</f>
        <v>0</v>
      </c>
      <c r="N128" s="195">
        <f>月供應率!N7</f>
        <v>0</v>
      </c>
      <c r="O128" s="195">
        <f>月供應率!O7</f>
        <v>0</v>
      </c>
      <c r="P128" s="195">
        <f>月供應率!P7</f>
        <v>0</v>
      </c>
      <c r="Q128" s="197"/>
      <c r="R128" s="681"/>
      <c r="S128" s="682"/>
      <c r="T128" s="114"/>
      <c r="U128" s="114"/>
    </row>
    <row r="129" spans="1:21" s="198" customFormat="1">
      <c r="A129" s="683" t="s">
        <v>12</v>
      </c>
      <c r="B129" s="684"/>
      <c r="C129" s="684"/>
      <c r="D129" s="195">
        <f>月供應率!D8</f>
        <v>0</v>
      </c>
      <c r="E129" s="195">
        <f>月供應率!E8</f>
        <v>0</v>
      </c>
      <c r="F129" s="195">
        <f>月供應率!F8</f>
        <v>0</v>
      </c>
      <c r="G129" s="195">
        <f>月供應率!G8</f>
        <v>0</v>
      </c>
      <c r="H129" s="195">
        <f>月供應率!H8</f>
        <v>0</v>
      </c>
      <c r="I129" s="195">
        <f>月供應率!I8</f>
        <v>0</v>
      </c>
      <c r="J129" s="195">
        <f>月供應率!J8</f>
        <v>0</v>
      </c>
      <c r="K129" s="195">
        <f>月供應率!K8</f>
        <v>0</v>
      </c>
      <c r="L129" s="195">
        <f>月供應率!L8</f>
        <v>0</v>
      </c>
      <c r="M129" s="195">
        <f>月供應率!M8</f>
        <v>0</v>
      </c>
      <c r="N129" s="195">
        <f>月供應率!N8</f>
        <v>0</v>
      </c>
      <c r="O129" s="195">
        <f>月供應率!O8</f>
        <v>0</v>
      </c>
      <c r="P129" s="195">
        <f>月供應率!P8</f>
        <v>0</v>
      </c>
      <c r="Q129" s="197"/>
      <c r="R129" s="681"/>
      <c r="S129" s="682"/>
      <c r="T129" s="114"/>
      <c r="U129" s="114"/>
    </row>
    <row r="130" spans="1:21" s="198" customFormat="1">
      <c r="A130" s="683" t="s">
        <v>13</v>
      </c>
      <c r="B130" s="684"/>
      <c r="C130" s="684"/>
      <c r="D130" s="195">
        <f>月供應率!D9</f>
        <v>0</v>
      </c>
      <c r="E130" s="195">
        <f>月供應率!E9</f>
        <v>0</v>
      </c>
      <c r="F130" s="195">
        <f>月供應率!F9</f>
        <v>0</v>
      </c>
      <c r="G130" s="195">
        <f>月供應率!G9</f>
        <v>0</v>
      </c>
      <c r="H130" s="195">
        <f>月供應率!H9</f>
        <v>0</v>
      </c>
      <c r="I130" s="195">
        <f>月供應率!I9</f>
        <v>0</v>
      </c>
      <c r="J130" s="195">
        <f>月供應率!J9</f>
        <v>0</v>
      </c>
      <c r="K130" s="195">
        <f>月供應率!K9</f>
        <v>0</v>
      </c>
      <c r="L130" s="195">
        <f>月供應率!L9</f>
        <v>0</v>
      </c>
      <c r="M130" s="195">
        <f>月供應率!M9</f>
        <v>0</v>
      </c>
      <c r="N130" s="195">
        <f>月供應率!N9</f>
        <v>0</v>
      </c>
      <c r="O130" s="195">
        <f>月供應率!O9</f>
        <v>0</v>
      </c>
      <c r="P130" s="195">
        <f>月供應率!P9</f>
        <v>0</v>
      </c>
      <c r="Q130" s="197"/>
      <c r="R130" s="681"/>
      <c r="S130" s="682"/>
      <c r="T130" s="114"/>
      <c r="U130" s="114"/>
    </row>
    <row r="131" spans="1:21" s="198" customFormat="1">
      <c r="A131" s="683" t="s">
        <v>20</v>
      </c>
      <c r="B131" s="684"/>
      <c r="C131" s="684"/>
      <c r="D131" s="195">
        <f>月供應率!D22</f>
        <v>0</v>
      </c>
      <c r="E131" s="195">
        <f>月供應率!E22</f>
        <v>0</v>
      </c>
      <c r="F131" s="195">
        <f>月供應率!F22</f>
        <v>0</v>
      </c>
      <c r="G131" s="195">
        <f>月供應率!G22</f>
        <v>0</v>
      </c>
      <c r="H131" s="195">
        <f>月供應率!H22</f>
        <v>0</v>
      </c>
      <c r="I131" s="195">
        <f>月供應率!I22</f>
        <v>0</v>
      </c>
      <c r="J131" s="195">
        <f>月供應率!J22</f>
        <v>0</v>
      </c>
      <c r="K131" s="195">
        <f>月供應率!K22</f>
        <v>0</v>
      </c>
      <c r="L131" s="195">
        <f>月供應率!L22</f>
        <v>0</v>
      </c>
      <c r="M131" s="195">
        <f>月供應率!M22</f>
        <v>0</v>
      </c>
      <c r="N131" s="195">
        <f>月供應率!N22</f>
        <v>0</v>
      </c>
      <c r="O131" s="195">
        <f>月供應率!O22</f>
        <v>0</v>
      </c>
      <c r="P131" s="195">
        <f>月供應率!P22</f>
        <v>0</v>
      </c>
      <c r="Q131" s="197"/>
      <c r="R131" s="681"/>
      <c r="S131" s="682"/>
      <c r="T131" s="114"/>
      <c r="U131" s="114"/>
    </row>
    <row r="132" spans="1:21" s="198" customFormat="1" ht="13" thickBot="1">
      <c r="A132" s="702" t="s">
        <v>15</v>
      </c>
      <c r="B132" s="703"/>
      <c r="C132" s="703"/>
      <c r="D132" s="201">
        <f>月供應率!D11</f>
        <v>0</v>
      </c>
      <c r="E132" s="201">
        <f>月供應率!E11</f>
        <v>0</v>
      </c>
      <c r="F132" s="201">
        <f>月供應率!F11</f>
        <v>0</v>
      </c>
      <c r="G132" s="201">
        <f>月供應率!G11</f>
        <v>0</v>
      </c>
      <c r="H132" s="201">
        <f>月供應率!H11</f>
        <v>0</v>
      </c>
      <c r="I132" s="201">
        <f>月供應率!I11</f>
        <v>0</v>
      </c>
      <c r="J132" s="201">
        <f>月供應率!J11</f>
        <v>0</v>
      </c>
      <c r="K132" s="201">
        <f>月供應率!K11</f>
        <v>0</v>
      </c>
      <c r="L132" s="201">
        <f>月供應率!L11</f>
        <v>0</v>
      </c>
      <c r="M132" s="201">
        <f>月供應率!M11</f>
        <v>0</v>
      </c>
      <c r="N132" s="201">
        <f>月供應率!N11</f>
        <v>0</v>
      </c>
      <c r="O132" s="201">
        <f>月供應率!O11</f>
        <v>0</v>
      </c>
      <c r="P132" s="201">
        <f>月供應率!P11</f>
        <v>0</v>
      </c>
      <c r="Q132" s="197"/>
      <c r="R132" s="240"/>
      <c r="S132" s="241"/>
      <c r="T132" s="114"/>
      <c r="U132" s="114"/>
    </row>
    <row r="133" spans="1:21" s="198" customFormat="1">
      <c r="A133" s="683" t="s">
        <v>22</v>
      </c>
      <c r="B133" s="684"/>
      <c r="C133" s="684"/>
      <c r="D133" s="195">
        <f>月供應率!D6</f>
        <v>0</v>
      </c>
      <c r="E133" s="195">
        <f>月供應率!E6</f>
        <v>0</v>
      </c>
      <c r="F133" s="195">
        <f>月供應率!F6</f>
        <v>0</v>
      </c>
      <c r="G133" s="195">
        <f>月供應率!G6</f>
        <v>0</v>
      </c>
      <c r="H133" s="195">
        <f>月供應率!H6</f>
        <v>0</v>
      </c>
      <c r="I133" s="195">
        <f>月供應率!I6</f>
        <v>0</v>
      </c>
      <c r="J133" s="195">
        <f>月供應率!J6</f>
        <v>0</v>
      </c>
      <c r="K133" s="195">
        <f>月供應率!K6</f>
        <v>0</v>
      </c>
      <c r="L133" s="195">
        <f>月供應率!L6</f>
        <v>0</v>
      </c>
      <c r="M133" s="195">
        <f>月供應率!M6</f>
        <v>0</v>
      </c>
      <c r="N133" s="195">
        <f>月供應率!N6</f>
        <v>0</v>
      </c>
      <c r="O133" s="195">
        <f>月供應率!O6</f>
        <v>0</v>
      </c>
      <c r="P133" s="195">
        <f>月供應率!P6</f>
        <v>0</v>
      </c>
      <c r="Q133" s="197"/>
      <c r="R133" s="240"/>
      <c r="S133" s="241"/>
      <c r="T133" s="114"/>
      <c r="U133" s="114"/>
    </row>
    <row r="134" spans="1:21" s="198" customFormat="1">
      <c r="A134" s="712" t="s">
        <v>23</v>
      </c>
      <c r="B134" s="713"/>
      <c r="C134" s="714"/>
      <c r="D134" s="260">
        <f>月供應率!D12</f>
        <v>0</v>
      </c>
      <c r="E134" s="260">
        <f>月供應率!E12</f>
        <v>0</v>
      </c>
      <c r="F134" s="260">
        <f>月供應率!F12</f>
        <v>0</v>
      </c>
      <c r="G134" s="260">
        <f>月供應率!G12</f>
        <v>0</v>
      </c>
      <c r="H134" s="260">
        <f>月供應率!H12</f>
        <v>0</v>
      </c>
      <c r="I134" s="260">
        <f>月供應率!I12</f>
        <v>0</v>
      </c>
      <c r="J134" s="260">
        <f>月供應率!J12</f>
        <v>0</v>
      </c>
      <c r="K134" s="260">
        <f>月供應率!K12</f>
        <v>0</v>
      </c>
      <c r="L134" s="260">
        <f>月供應率!L12</f>
        <v>0</v>
      </c>
      <c r="M134" s="260">
        <f>月供應率!M12</f>
        <v>0</v>
      </c>
      <c r="N134" s="260">
        <f>月供應率!N12</f>
        <v>0</v>
      </c>
      <c r="O134" s="260">
        <f>月供應率!O12</f>
        <v>0</v>
      </c>
      <c r="P134" s="260">
        <f>月供應率!P12</f>
        <v>0</v>
      </c>
      <c r="Q134" s="197"/>
      <c r="R134" s="240"/>
      <c r="S134" s="241"/>
      <c r="T134" s="114"/>
      <c r="U134" s="114"/>
    </row>
    <row r="135" spans="1:21" s="198" customFormat="1">
      <c r="A135" s="712" t="s">
        <v>24</v>
      </c>
      <c r="B135" s="713"/>
      <c r="C135" s="714"/>
      <c r="D135" s="260">
        <f>月供應率!D13</f>
        <v>0</v>
      </c>
      <c r="E135" s="260">
        <f>月供應率!E13</f>
        <v>0</v>
      </c>
      <c r="F135" s="260">
        <f>月供應率!F13</f>
        <v>0</v>
      </c>
      <c r="G135" s="260">
        <f>月供應率!G13</f>
        <v>0</v>
      </c>
      <c r="H135" s="260">
        <f>月供應率!H13</f>
        <v>0</v>
      </c>
      <c r="I135" s="260">
        <f>月供應率!I13</f>
        <v>0</v>
      </c>
      <c r="J135" s="260">
        <f>月供應率!J13</f>
        <v>0</v>
      </c>
      <c r="K135" s="260">
        <f>月供應率!K13</f>
        <v>0</v>
      </c>
      <c r="L135" s="260">
        <f>月供應率!L13</f>
        <v>0</v>
      </c>
      <c r="M135" s="260">
        <f>月供應率!M13</f>
        <v>0</v>
      </c>
      <c r="N135" s="260">
        <f>月供應率!N13</f>
        <v>0</v>
      </c>
      <c r="O135" s="260">
        <f>月供應率!O13</f>
        <v>0</v>
      </c>
      <c r="P135" s="260">
        <f>月供應率!P13</f>
        <v>0</v>
      </c>
      <c r="Q135" s="197"/>
      <c r="R135" s="240"/>
      <c r="S135" s="241"/>
      <c r="T135" s="114"/>
      <c r="U135" s="114"/>
    </row>
    <row r="136" spans="1:21" s="198" customFormat="1">
      <c r="A136" s="712" t="s">
        <v>25</v>
      </c>
      <c r="B136" s="713"/>
      <c r="C136" s="714"/>
      <c r="D136" s="260">
        <f>月供應率!D14</f>
        <v>0</v>
      </c>
      <c r="E136" s="260">
        <f>月供應率!E14</f>
        <v>0</v>
      </c>
      <c r="F136" s="260">
        <f>月供應率!F14</f>
        <v>0</v>
      </c>
      <c r="G136" s="260">
        <f>月供應率!G14</f>
        <v>0</v>
      </c>
      <c r="H136" s="260">
        <f>月供應率!H14</f>
        <v>0</v>
      </c>
      <c r="I136" s="260">
        <f>月供應率!I14</f>
        <v>0</v>
      </c>
      <c r="J136" s="260">
        <f>月供應率!J14</f>
        <v>0</v>
      </c>
      <c r="K136" s="260">
        <f>月供應率!K14</f>
        <v>0</v>
      </c>
      <c r="L136" s="260">
        <f>月供應率!L14</f>
        <v>0</v>
      </c>
      <c r="M136" s="260">
        <f>月供應率!M14</f>
        <v>0</v>
      </c>
      <c r="N136" s="260">
        <f>月供應率!N14</f>
        <v>0</v>
      </c>
      <c r="O136" s="260">
        <f>月供應率!O14</f>
        <v>0</v>
      </c>
      <c r="P136" s="260">
        <f>月供應率!P14</f>
        <v>0</v>
      </c>
      <c r="Q136" s="197"/>
      <c r="R136" s="240"/>
      <c r="S136" s="241"/>
      <c r="T136" s="114"/>
      <c r="U136" s="114"/>
    </row>
    <row r="137" spans="1:21" s="198" customFormat="1">
      <c r="A137" s="712" t="s">
        <v>26</v>
      </c>
      <c r="B137" s="713"/>
      <c r="C137" s="714"/>
      <c r="D137" s="260">
        <f>月供應率!D15</f>
        <v>0</v>
      </c>
      <c r="E137" s="260">
        <f>月供應率!E15</f>
        <v>0</v>
      </c>
      <c r="F137" s="260">
        <f>月供應率!F15</f>
        <v>0</v>
      </c>
      <c r="G137" s="260">
        <f>月供應率!G15</f>
        <v>0</v>
      </c>
      <c r="H137" s="260">
        <f>月供應率!H15</f>
        <v>0</v>
      </c>
      <c r="I137" s="260">
        <f>月供應率!I15</f>
        <v>0</v>
      </c>
      <c r="J137" s="260">
        <f>月供應率!J15</f>
        <v>0</v>
      </c>
      <c r="K137" s="260">
        <f>月供應率!K15</f>
        <v>0</v>
      </c>
      <c r="L137" s="260">
        <f>月供應率!L15</f>
        <v>0</v>
      </c>
      <c r="M137" s="260">
        <f>月供應率!M15</f>
        <v>0</v>
      </c>
      <c r="N137" s="260">
        <f>月供應率!N15</f>
        <v>0</v>
      </c>
      <c r="O137" s="260">
        <f>月供應率!O15</f>
        <v>0</v>
      </c>
      <c r="P137" s="260">
        <f>月供應率!P15</f>
        <v>0</v>
      </c>
      <c r="Q137" s="197"/>
      <c r="R137" s="240"/>
      <c r="S137" s="241"/>
      <c r="T137" s="114"/>
      <c r="U137" s="114"/>
    </row>
    <row r="138" spans="1:21" s="198" customFormat="1" ht="13" thickBot="1">
      <c r="A138" s="717" t="s">
        <v>27</v>
      </c>
      <c r="B138" s="718"/>
      <c r="C138" s="719"/>
      <c r="D138" s="260">
        <f>月供應率!D16</f>
        <v>0</v>
      </c>
      <c r="E138" s="260">
        <f>月供應率!E16</f>
        <v>0</v>
      </c>
      <c r="F138" s="260">
        <f>月供應率!F16</f>
        <v>0</v>
      </c>
      <c r="G138" s="260">
        <f>月供應率!G16</f>
        <v>0</v>
      </c>
      <c r="H138" s="260">
        <f>月供應率!H16</f>
        <v>0</v>
      </c>
      <c r="I138" s="260">
        <f>月供應率!I16</f>
        <v>0</v>
      </c>
      <c r="J138" s="260">
        <f>月供應率!J16</f>
        <v>0</v>
      </c>
      <c r="K138" s="260">
        <f>月供應率!K16</f>
        <v>0</v>
      </c>
      <c r="L138" s="260">
        <f>月供應率!L16</f>
        <v>0</v>
      </c>
      <c r="M138" s="260">
        <f>月供應率!M16</f>
        <v>0</v>
      </c>
      <c r="N138" s="260">
        <f>月供應率!N16</f>
        <v>0</v>
      </c>
      <c r="O138" s="260">
        <f>月供應率!O16</f>
        <v>0</v>
      </c>
      <c r="P138" s="260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20" t="s">
        <v>30</v>
      </c>
      <c r="B139" s="721"/>
      <c r="C139" s="721"/>
      <c r="D139" s="282">
        <f>月供應率!D17</f>
        <v>0</v>
      </c>
      <c r="E139" s="282">
        <f>月供應率!E17</f>
        <v>0</v>
      </c>
      <c r="F139" s="282">
        <f>月供應率!F17</f>
        <v>0</v>
      </c>
      <c r="G139" s="282">
        <f>月供應率!G17</f>
        <v>0</v>
      </c>
      <c r="H139" s="282">
        <f>月供應率!H17</f>
        <v>0</v>
      </c>
      <c r="I139" s="282">
        <f>月供應率!I17</f>
        <v>0</v>
      </c>
      <c r="J139" s="282">
        <f>月供應率!J17</f>
        <v>0</v>
      </c>
      <c r="K139" s="282">
        <f>月供應率!K17</f>
        <v>0</v>
      </c>
      <c r="L139" s="282">
        <f>月供應率!L17</f>
        <v>0</v>
      </c>
      <c r="M139" s="282">
        <f>月供應率!M17</f>
        <v>0</v>
      </c>
      <c r="N139" s="282">
        <f>月供應率!N17</f>
        <v>0</v>
      </c>
      <c r="O139" s="282">
        <f>月供應率!O17</f>
        <v>0</v>
      </c>
      <c r="P139" s="296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8" t="s">
        <v>31</v>
      </c>
      <c r="B140" s="699"/>
      <c r="C140" s="699"/>
      <c r="D140" s="195">
        <f>月供應率!D18</f>
        <v>0</v>
      </c>
      <c r="E140" s="195">
        <f>月供應率!E18</f>
        <v>0</v>
      </c>
      <c r="F140" s="195">
        <f>月供應率!F18</f>
        <v>0</v>
      </c>
      <c r="G140" s="195">
        <f>月供應率!G18</f>
        <v>0</v>
      </c>
      <c r="H140" s="195">
        <f>月供應率!H18</f>
        <v>0</v>
      </c>
      <c r="I140" s="195">
        <f>月供應率!I18</f>
        <v>0</v>
      </c>
      <c r="J140" s="195">
        <f>月供應率!J18</f>
        <v>0</v>
      </c>
      <c r="K140" s="195">
        <f>月供應率!K18</f>
        <v>0</v>
      </c>
      <c r="L140" s="195">
        <f>月供應率!L18</f>
        <v>0</v>
      </c>
      <c r="M140" s="195">
        <f>月供應率!M18</f>
        <v>0</v>
      </c>
      <c r="N140" s="195">
        <f>月供應率!N18</f>
        <v>0</v>
      </c>
      <c r="O140" s="195">
        <f>月供應率!O18</f>
        <v>0</v>
      </c>
      <c r="P140" s="196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8" t="s">
        <v>32</v>
      </c>
      <c r="B141" s="699"/>
      <c r="C141" s="699"/>
      <c r="D141" s="195">
        <f>月供應率!D19</f>
        <v>0</v>
      </c>
      <c r="E141" s="195">
        <f>月供應率!E19</f>
        <v>0</v>
      </c>
      <c r="F141" s="195">
        <f>月供應率!F19</f>
        <v>0</v>
      </c>
      <c r="G141" s="195">
        <f>月供應率!G19</f>
        <v>0</v>
      </c>
      <c r="H141" s="195">
        <f>月供應率!H19</f>
        <v>0</v>
      </c>
      <c r="I141" s="195">
        <f>月供應率!I19</f>
        <v>0</v>
      </c>
      <c r="J141" s="195">
        <f>月供應率!J19</f>
        <v>0</v>
      </c>
      <c r="K141" s="195">
        <f>月供應率!K19</f>
        <v>0</v>
      </c>
      <c r="L141" s="195">
        <f>月供應率!L19</f>
        <v>0</v>
      </c>
      <c r="M141" s="195">
        <f>月供應率!M19</f>
        <v>0</v>
      </c>
      <c r="N141" s="195">
        <f>月供應率!N19</f>
        <v>0</v>
      </c>
      <c r="O141" s="195">
        <f>月供應率!O19</f>
        <v>0</v>
      </c>
      <c r="P141" s="196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8" t="s">
        <v>33</v>
      </c>
      <c r="B142" s="699"/>
      <c r="C142" s="699"/>
      <c r="D142" s="195">
        <f>月供應率!D20</f>
        <v>0</v>
      </c>
      <c r="E142" s="195">
        <f>月供應率!E20</f>
        <v>0</v>
      </c>
      <c r="F142" s="195">
        <f>月供應率!F20</f>
        <v>0</v>
      </c>
      <c r="G142" s="195">
        <f>月供應率!G20</f>
        <v>0</v>
      </c>
      <c r="H142" s="195">
        <f>月供應率!H20</f>
        <v>0</v>
      </c>
      <c r="I142" s="195">
        <f>月供應率!I20</f>
        <v>0</v>
      </c>
      <c r="J142" s="195">
        <f>月供應率!J20</f>
        <v>0</v>
      </c>
      <c r="K142" s="195">
        <f>月供應率!K20</f>
        <v>0</v>
      </c>
      <c r="L142" s="195">
        <f>月供應率!L20</f>
        <v>0</v>
      </c>
      <c r="M142" s="195">
        <f>月供應率!M20</f>
        <v>0</v>
      </c>
      <c r="N142" s="195">
        <f>月供應率!N20</f>
        <v>0</v>
      </c>
      <c r="O142" s="195">
        <f>月供應率!O20</f>
        <v>0</v>
      </c>
      <c r="P142" s="196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0" t="s">
        <v>34</v>
      </c>
      <c r="B143" s="701"/>
      <c r="C143" s="701"/>
      <c r="D143" s="201">
        <f>月供應率!D21</f>
        <v>0</v>
      </c>
      <c r="E143" s="201">
        <f>月供應率!E21</f>
        <v>0</v>
      </c>
      <c r="F143" s="201">
        <f>月供應率!F21</f>
        <v>0</v>
      </c>
      <c r="G143" s="201">
        <f>月供應率!G21</f>
        <v>0</v>
      </c>
      <c r="H143" s="201">
        <f>月供應率!H21</f>
        <v>0</v>
      </c>
      <c r="I143" s="201">
        <f>月供應率!I21</f>
        <v>0</v>
      </c>
      <c r="J143" s="201">
        <f>月供應率!J21</f>
        <v>0</v>
      </c>
      <c r="K143" s="201">
        <f>月供應率!K21</f>
        <v>0</v>
      </c>
      <c r="L143" s="201">
        <f>月供應率!L21</f>
        <v>0</v>
      </c>
      <c r="M143" s="201">
        <f>月供應率!M21</f>
        <v>0</v>
      </c>
      <c r="N143" s="201">
        <f>月供應率!N21</f>
        <v>0</v>
      </c>
      <c r="O143" s="201">
        <f>月供應率!O21</f>
        <v>0</v>
      </c>
      <c r="P143" s="202">
        <f>月供應率!P21</f>
        <v>0</v>
      </c>
      <c r="Q143" s="197"/>
      <c r="R143" s="240"/>
      <c r="S143" s="241"/>
      <c r="T143" s="114"/>
      <c r="U143" s="114"/>
    </row>
    <row r="144" spans="1:21" ht="13">
      <c r="A144" s="151"/>
      <c r="B144" s="203"/>
      <c r="C144" s="203"/>
      <c r="R144" s="194"/>
      <c r="S144" s="194"/>
    </row>
    <row r="145" spans="1:19" ht="14" thickBot="1">
      <c r="A145" s="112" t="s">
        <v>277</v>
      </c>
      <c r="B145" s="112"/>
      <c r="C145" s="112"/>
      <c r="R145" s="194"/>
      <c r="S145" s="194"/>
    </row>
    <row r="146" spans="1:19" ht="13.5">
      <c r="A146" s="671" t="s">
        <v>0</v>
      </c>
      <c r="B146" s="672"/>
      <c r="C146" s="672"/>
      <c r="D146" s="116" t="s">
        <v>251</v>
      </c>
      <c r="E146" s="116" t="s">
        <v>252</v>
      </c>
      <c r="F146" s="116" t="s">
        <v>253</v>
      </c>
      <c r="G146" s="116" t="s">
        <v>254</v>
      </c>
      <c r="H146" s="116" t="s">
        <v>255</v>
      </c>
      <c r="I146" s="116" t="s">
        <v>256</v>
      </c>
      <c r="J146" s="116" t="s">
        <v>257</v>
      </c>
      <c r="K146" s="116" t="s">
        <v>258</v>
      </c>
      <c r="L146" s="116" t="s">
        <v>259</v>
      </c>
      <c r="M146" s="116" t="s">
        <v>260</v>
      </c>
      <c r="N146" s="116" t="s">
        <v>261</v>
      </c>
      <c r="O146" s="116" t="s">
        <v>262</v>
      </c>
      <c r="P146" s="117" t="s">
        <v>263</v>
      </c>
      <c r="R146" s="681"/>
      <c r="S146" s="682"/>
    </row>
    <row r="147" spans="1:19">
      <c r="A147" s="715" t="s">
        <v>10</v>
      </c>
      <c r="B147" s="716"/>
      <c r="C147" s="716"/>
      <c r="D147" s="204">
        <f>VALUE(月點數BO!C2)</f>
        <v>0</v>
      </c>
      <c r="E147" s="204">
        <f>VALUE(月點數BO!D2)</f>
        <v>0</v>
      </c>
      <c r="F147" s="204">
        <f>VALUE(月點數BO!E2)</f>
        <v>0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0</v>
      </c>
      <c r="Q147" s="206"/>
      <c r="R147" s="681"/>
      <c r="S147" s="682"/>
    </row>
    <row r="148" spans="1:19">
      <c r="A148" s="707" t="s">
        <v>11</v>
      </c>
      <c r="B148" s="708"/>
      <c r="C148" s="708"/>
      <c r="D148" s="204">
        <f>VALUE(月點數BO!C4)</f>
        <v>0</v>
      </c>
      <c r="E148" s="204">
        <f>VALUE(月點數BO!D4)</f>
        <v>0</v>
      </c>
      <c r="F148" s="204">
        <f>VALUE(月點數BO!E4)</f>
        <v>0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0</v>
      </c>
      <c r="R148" s="681"/>
      <c r="S148" s="682"/>
    </row>
    <row r="149" spans="1:19">
      <c r="A149" s="707" t="s">
        <v>12</v>
      </c>
      <c r="B149" s="708"/>
      <c r="C149" s="708"/>
      <c r="D149" s="204">
        <f>VALUE(月點數BO!C5)</f>
        <v>0</v>
      </c>
      <c r="E149" s="204">
        <f>VALUE(月點數BO!D5)</f>
        <v>0</v>
      </c>
      <c r="F149" s="204">
        <f>VALUE(月點數BO!E5)</f>
        <v>0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0</v>
      </c>
      <c r="R149" s="681"/>
      <c r="S149" s="682"/>
    </row>
    <row r="150" spans="1:19">
      <c r="A150" s="707" t="s">
        <v>13</v>
      </c>
      <c r="B150" s="708"/>
      <c r="C150" s="708"/>
      <c r="D150" s="204">
        <f>VALUE(月點數BO!C6)</f>
        <v>0</v>
      </c>
      <c r="E150" s="204">
        <f>VALUE(月點數BO!D6)</f>
        <v>0</v>
      </c>
      <c r="F150" s="204">
        <f>VALUE(月點數BO!E6)</f>
        <v>0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0</v>
      </c>
      <c r="R150" s="681"/>
      <c r="S150" s="682"/>
    </row>
    <row r="151" spans="1:19">
      <c r="A151" s="707" t="s">
        <v>20</v>
      </c>
      <c r="B151" s="708"/>
      <c r="C151" s="708"/>
      <c r="D151" s="204">
        <f>VALUE(月點數BO!C20)</f>
        <v>0</v>
      </c>
      <c r="E151" s="204">
        <f>VALUE(月點數BO!D20)</f>
        <v>0</v>
      </c>
      <c r="F151" s="204">
        <f>VALUE(月點數BO!E20)</f>
        <v>0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0</v>
      </c>
      <c r="R151" s="681"/>
      <c r="S151" s="682"/>
    </row>
    <row r="152" spans="1:19">
      <c r="A152" s="737" t="s">
        <v>15</v>
      </c>
      <c r="B152" s="738"/>
      <c r="C152" s="738"/>
      <c r="D152" s="204">
        <f>VALUE(月點數BO!C8)</f>
        <v>0</v>
      </c>
      <c r="E152" s="204">
        <f>VALUE(月點數BO!D8)</f>
        <v>0</v>
      </c>
      <c r="F152" s="204">
        <f>VALUE(月點數BO!E8)</f>
        <v>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0</v>
      </c>
      <c r="R152" s="681"/>
      <c r="S152" s="682"/>
    </row>
    <row r="153" spans="1:19" ht="13.5">
      <c r="A153" s="665" t="s">
        <v>16</v>
      </c>
      <c r="B153" s="666"/>
      <c r="C153" s="666"/>
      <c r="D153" s="204">
        <f>VALUE(月點數BO!C9)</f>
        <v>0</v>
      </c>
      <c r="E153" s="204">
        <f>VALUE(月點數BO!D9)</f>
        <v>0</v>
      </c>
      <c r="F153" s="204">
        <f>VALUE(月點數BO!E9)</f>
        <v>0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0</v>
      </c>
      <c r="R153" s="681"/>
      <c r="S153" s="682"/>
    </row>
    <row r="154" spans="1:19" ht="13.5">
      <c r="A154" s="734" t="s">
        <v>48</v>
      </c>
      <c r="B154" s="735"/>
      <c r="C154" s="736"/>
      <c r="D154" s="261">
        <f>SUM(D147:D153)</f>
        <v>0</v>
      </c>
      <c r="E154" s="261">
        <f>SUM(E147:E153)</f>
        <v>0</v>
      </c>
      <c r="F154" s="261">
        <f>SUM(F147:F153)</f>
        <v>0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0</v>
      </c>
      <c r="R154" s="240"/>
      <c r="S154" s="241"/>
    </row>
    <row r="155" spans="1:19">
      <c r="A155" s="683" t="s">
        <v>22</v>
      </c>
      <c r="B155" s="684"/>
      <c r="C155" s="684"/>
      <c r="D155" s="204">
        <f>VALUE(月點數BO!C3)</f>
        <v>0</v>
      </c>
      <c r="E155" s="204">
        <f>VALUE(月點數BO!D3)</f>
        <v>0</v>
      </c>
      <c r="F155" s="204">
        <f>VALUE(月點數BO!E3)</f>
        <v>0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0</v>
      </c>
      <c r="R155" s="240"/>
      <c r="S155" s="241"/>
    </row>
    <row r="156" spans="1:19">
      <c r="A156" s="712" t="s">
        <v>23</v>
      </c>
      <c r="B156" s="713"/>
      <c r="C156" s="714"/>
      <c r="D156" s="207">
        <f>VALUE(月點數BO!C10)</f>
        <v>0</v>
      </c>
      <c r="E156" s="207">
        <f>VALUE(月點數BO!D10)</f>
        <v>0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0</v>
      </c>
      <c r="R156" s="240"/>
      <c r="S156" s="241"/>
    </row>
    <row r="157" spans="1:19">
      <c r="A157" s="712" t="s">
        <v>24</v>
      </c>
      <c r="B157" s="713"/>
      <c r="C157" s="714"/>
      <c r="D157" s="207">
        <f>VALUE(月點數BO!C11)</f>
        <v>0</v>
      </c>
      <c r="E157" s="207">
        <f>VALUE(月點數BO!D11)</f>
        <v>0</v>
      </c>
      <c r="F157" s="207">
        <f>VALUE(月點數BO!E11)</f>
        <v>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0</v>
      </c>
      <c r="R157" s="240"/>
      <c r="S157" s="241"/>
    </row>
    <row r="158" spans="1:19">
      <c r="A158" s="712" t="s">
        <v>25</v>
      </c>
      <c r="B158" s="713"/>
      <c r="C158" s="714"/>
      <c r="D158" s="207">
        <f>VALUE(月點數BO!C12)</f>
        <v>0</v>
      </c>
      <c r="E158" s="207">
        <f>VALUE(月點數BO!D12)</f>
        <v>0</v>
      </c>
      <c r="F158" s="207">
        <f>VALUE(月點數BO!E12)</f>
        <v>0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0</v>
      </c>
      <c r="R158" s="240"/>
      <c r="S158" s="241"/>
    </row>
    <row r="159" spans="1:19">
      <c r="A159" s="712" t="s">
        <v>26</v>
      </c>
      <c r="B159" s="713"/>
      <c r="C159" s="714"/>
      <c r="D159" s="207">
        <f>VALUE(月點數BO!C13)</f>
        <v>0</v>
      </c>
      <c r="E159" s="207">
        <f>VALUE(月點數BO!D13)</f>
        <v>0</v>
      </c>
      <c r="F159" s="207">
        <f>VALUE(月點數BO!E13)</f>
        <v>0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0</v>
      </c>
      <c r="R159" s="240"/>
      <c r="S159" s="241"/>
    </row>
    <row r="160" spans="1:19">
      <c r="A160" s="712" t="s">
        <v>27</v>
      </c>
      <c r="B160" s="713"/>
      <c r="C160" s="714"/>
      <c r="D160" s="207">
        <f>VALUE(月點數BO!C14)</f>
        <v>0</v>
      </c>
      <c r="E160" s="207">
        <f>VALUE(月點數BO!D14)</f>
        <v>0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" thickBot="1">
      <c r="A161" s="728" t="s">
        <v>49</v>
      </c>
      <c r="B161" s="729"/>
      <c r="C161" s="730"/>
      <c r="D161" s="211">
        <f>SUM(D155:D160)</f>
        <v>0</v>
      </c>
      <c r="E161" s="211">
        <f t="shared" ref="E161:P161" si="13">SUM(E155:E160)</f>
        <v>0</v>
      </c>
      <c r="F161" s="211">
        <f t="shared" si="13"/>
        <v>0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0</v>
      </c>
      <c r="R161" s="681"/>
      <c r="S161" s="682"/>
    </row>
    <row r="162" spans="1:19" ht="16.5" customHeight="1" thickBot="1">
      <c r="A162" s="731" t="s">
        <v>30</v>
      </c>
      <c r="B162" s="732"/>
      <c r="C162" s="733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" thickBot="1">
      <c r="A163" s="725" t="s">
        <v>31</v>
      </c>
      <c r="B163" s="726"/>
      <c r="C163" s="727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" thickBot="1">
      <c r="A164" s="725" t="s">
        <v>32</v>
      </c>
      <c r="B164" s="726"/>
      <c r="C164" s="727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25" t="s">
        <v>33</v>
      </c>
      <c r="B165" s="726"/>
      <c r="C165" s="727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34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" thickBot="1">
      <c r="A167" s="722" t="s">
        <v>29</v>
      </c>
      <c r="B167" s="723"/>
      <c r="C167" s="724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5"/>
  <cols>
    <col min="1" max="1" width="3.36328125" style="114" customWidth="1"/>
    <col min="2" max="2" width="4.453125" style="114" customWidth="1"/>
    <col min="3" max="3" width="11.36328125" style="114" customWidth="1"/>
    <col min="4" max="4" width="10.36328125" style="114" customWidth="1"/>
    <col min="5" max="5" width="10" style="114" customWidth="1"/>
    <col min="6" max="6" width="10.90625" style="114" bestFit="1" customWidth="1"/>
    <col min="7" max="8" width="11.26953125" style="114" bestFit="1" customWidth="1"/>
    <col min="9" max="15" width="10.36328125" style="114" customWidth="1"/>
    <col min="16" max="16" width="9.6328125" style="114" bestFit="1" customWidth="1"/>
    <col min="17" max="17" width="11.6328125" style="114" bestFit="1" customWidth="1"/>
    <col min="18" max="16384" width="9" style="114"/>
  </cols>
  <sheetData>
    <row r="1" spans="1:17" ht="14" thickBot="1">
      <c r="A1" s="112" t="s">
        <v>250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71" t="s">
        <v>0</v>
      </c>
      <c r="B2" s="672"/>
      <c r="C2" s="672"/>
      <c r="D2" s="116" t="s">
        <v>251</v>
      </c>
      <c r="E2" s="116" t="s">
        <v>252</v>
      </c>
      <c r="F2" s="116" t="s">
        <v>253</v>
      </c>
      <c r="G2" s="116" t="s">
        <v>254</v>
      </c>
      <c r="H2" s="116" t="s">
        <v>255</v>
      </c>
      <c r="I2" s="116" t="s">
        <v>256</v>
      </c>
      <c r="J2" s="116" t="s">
        <v>257</v>
      </c>
      <c r="K2" s="116" t="s">
        <v>258</v>
      </c>
      <c r="L2" s="116" t="s">
        <v>259</v>
      </c>
      <c r="M2" s="116" t="s">
        <v>260</v>
      </c>
      <c r="N2" s="116" t="s">
        <v>261</v>
      </c>
      <c r="O2" s="116" t="s">
        <v>262</v>
      </c>
      <c r="P2" s="117" t="s">
        <v>263</v>
      </c>
    </row>
    <row r="3" spans="1:17" s="122" customFormat="1" ht="13.5">
      <c r="A3" s="673" t="s">
        <v>8</v>
      </c>
      <c r="B3" s="674"/>
      <c r="C3" s="67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669" t="s">
        <v>9</v>
      </c>
      <c r="C4" s="670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10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275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11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12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13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14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15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676" t="s">
        <v>16</v>
      </c>
      <c r="C12" s="677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17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18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278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265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279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19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59" t="s">
        <v>35</v>
      </c>
      <c r="B19" s="660"/>
      <c r="C19" s="139" t="s">
        <v>36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61"/>
      <c r="B20" s="662"/>
      <c r="C20" s="139" t="s">
        <v>37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" thickBot="1">
      <c r="A21" s="663"/>
      <c r="B21" s="664"/>
      <c r="C21" s="146" t="s">
        <v>38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280</v>
      </c>
      <c r="B22" s="152"/>
      <c r="C22" s="153"/>
      <c r="P22" s="154"/>
      <c r="Q22" s="121"/>
    </row>
    <row r="23" spans="1:17" ht="14" thickBot="1">
      <c r="A23" s="112" t="s">
        <v>270</v>
      </c>
      <c r="B23" s="112"/>
      <c r="C23" s="112"/>
      <c r="Q23" s="121"/>
    </row>
    <row r="24" spans="1:17" ht="13.5">
      <c r="A24" s="671" t="s">
        <v>0</v>
      </c>
      <c r="B24" s="672"/>
      <c r="C24" s="672"/>
      <c r="D24" s="116" t="s">
        <v>251</v>
      </c>
      <c r="E24" s="116" t="s">
        <v>252</v>
      </c>
      <c r="F24" s="116" t="s">
        <v>253</v>
      </c>
      <c r="G24" s="116" t="s">
        <v>254</v>
      </c>
      <c r="H24" s="116" t="s">
        <v>255</v>
      </c>
      <c r="I24" s="116" t="s">
        <v>256</v>
      </c>
      <c r="J24" s="116" t="s">
        <v>257</v>
      </c>
      <c r="K24" s="116" t="s">
        <v>258</v>
      </c>
      <c r="L24" s="116" t="s">
        <v>259</v>
      </c>
      <c r="M24" s="116" t="s">
        <v>260</v>
      </c>
      <c r="N24" s="116" t="s">
        <v>261</v>
      </c>
      <c r="O24" s="116" t="s">
        <v>262</v>
      </c>
      <c r="P24" s="117" t="s">
        <v>263</v>
      </c>
      <c r="Q24" s="121"/>
    </row>
    <row r="25" spans="1:17" s="122" customFormat="1" ht="13.5">
      <c r="A25" s="673" t="s">
        <v>8</v>
      </c>
      <c r="B25" s="674"/>
      <c r="C25" s="67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669" t="s">
        <v>9</v>
      </c>
      <c r="C26" s="670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10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275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11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12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13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14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15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676" t="s">
        <v>16</v>
      </c>
      <c r="C34" s="677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17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18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278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265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279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19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59" t="s">
        <v>35</v>
      </c>
      <c r="B41" s="660"/>
      <c r="C41" s="139" t="s">
        <v>36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61"/>
      <c r="B42" s="662"/>
      <c r="C42" s="139" t="s">
        <v>37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" thickBot="1">
      <c r="A43" s="663"/>
      <c r="B43" s="664"/>
      <c r="C43" s="146" t="s">
        <v>38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281</v>
      </c>
      <c r="B44" s="158"/>
      <c r="C44" s="159"/>
    </row>
    <row r="45" spans="1:17" ht="14" thickBot="1">
      <c r="A45" s="112" t="s">
        <v>271</v>
      </c>
      <c r="B45" s="112"/>
      <c r="C45" s="112"/>
      <c r="Q45" s="121"/>
    </row>
    <row r="46" spans="1:17" ht="13.5">
      <c r="A46" s="671" t="s">
        <v>0</v>
      </c>
      <c r="B46" s="672"/>
      <c r="C46" s="672"/>
      <c r="D46" s="116" t="s">
        <v>251</v>
      </c>
      <c r="E46" s="116" t="s">
        <v>252</v>
      </c>
      <c r="F46" s="116" t="s">
        <v>253</v>
      </c>
      <c r="G46" s="116" t="s">
        <v>254</v>
      </c>
      <c r="H46" s="116" t="s">
        <v>255</v>
      </c>
      <c r="I46" s="116" t="s">
        <v>256</v>
      </c>
      <c r="J46" s="116" t="s">
        <v>257</v>
      </c>
      <c r="K46" s="116" t="s">
        <v>258</v>
      </c>
      <c r="L46" s="116" t="s">
        <v>259</v>
      </c>
      <c r="M46" s="116" t="s">
        <v>260</v>
      </c>
      <c r="N46" s="116" t="s">
        <v>261</v>
      </c>
      <c r="O46" s="116" t="s">
        <v>262</v>
      </c>
      <c r="P46" s="117" t="s">
        <v>263</v>
      </c>
      <c r="Q46" s="121"/>
    </row>
    <row r="47" spans="1:17" s="122" customFormat="1" ht="13.5">
      <c r="A47" s="673" t="s">
        <v>8</v>
      </c>
      <c r="B47" s="674"/>
      <c r="C47" s="67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669" t="s">
        <v>9</v>
      </c>
      <c r="C48" s="670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10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275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11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12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13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14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15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" thickBot="1">
      <c r="A56" s="169"/>
      <c r="B56" s="739" t="s">
        <v>16</v>
      </c>
      <c r="C56" s="67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17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5">
      <c r="A58" s="126"/>
      <c r="B58" s="127"/>
      <c r="C58" s="134" t="s">
        <v>18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278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265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279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19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59" t="s">
        <v>35</v>
      </c>
      <c r="B63" s="660"/>
      <c r="C63" s="139" t="s">
        <v>36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61"/>
      <c r="B64" s="662"/>
      <c r="C64" s="139" t="s">
        <v>37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" thickBot="1">
      <c r="A65" s="663"/>
      <c r="B65" s="664"/>
      <c r="C65" s="146" t="s">
        <v>38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282</v>
      </c>
      <c r="B66" s="158"/>
      <c r="C66" s="159"/>
    </row>
    <row r="67" spans="1:19" ht="14" thickBot="1">
      <c r="A67" s="112" t="s">
        <v>273</v>
      </c>
      <c r="B67" s="112"/>
      <c r="C67" s="112"/>
    </row>
    <row r="68" spans="1:19" ht="13.5">
      <c r="A68" s="671" t="s">
        <v>0</v>
      </c>
      <c r="B68" s="672"/>
      <c r="C68" s="672"/>
      <c r="D68" s="116" t="s">
        <v>251</v>
      </c>
      <c r="E68" s="116" t="s">
        <v>252</v>
      </c>
      <c r="F68" s="116" t="s">
        <v>253</v>
      </c>
      <c r="G68" s="116" t="s">
        <v>254</v>
      </c>
      <c r="H68" s="116" t="s">
        <v>255</v>
      </c>
      <c r="I68" s="116" t="s">
        <v>256</v>
      </c>
      <c r="J68" s="116" t="s">
        <v>257</v>
      </c>
      <c r="K68" s="116" t="s">
        <v>258</v>
      </c>
      <c r="L68" s="116" t="s">
        <v>259</v>
      </c>
      <c r="M68" s="116" t="s">
        <v>260</v>
      </c>
      <c r="N68" s="116" t="s">
        <v>261</v>
      </c>
      <c r="O68" s="116" t="s">
        <v>262</v>
      </c>
      <c r="P68" s="117" t="s">
        <v>274</v>
      </c>
    </row>
    <row r="69" spans="1:19" ht="13.5">
      <c r="A69" s="679" t="s">
        <v>10</v>
      </c>
      <c r="B69" s="680"/>
      <c r="C69" s="68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81"/>
      <c r="S69" s="682"/>
    </row>
    <row r="70" spans="1:19" ht="13.5">
      <c r="A70" s="667" t="s">
        <v>275</v>
      </c>
      <c r="B70" s="668"/>
      <c r="C70" s="66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81"/>
      <c r="S70" s="682"/>
    </row>
    <row r="71" spans="1:19" ht="13.5">
      <c r="A71" s="667" t="s">
        <v>11</v>
      </c>
      <c r="B71" s="668"/>
      <c r="C71" s="66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81"/>
      <c r="S71" s="682"/>
    </row>
    <row r="72" spans="1:19" ht="13.5">
      <c r="A72" s="667" t="s">
        <v>12</v>
      </c>
      <c r="B72" s="668"/>
      <c r="C72" s="66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81"/>
      <c r="S72" s="682"/>
    </row>
    <row r="73" spans="1:19" ht="13.5">
      <c r="A73" s="667" t="s">
        <v>13</v>
      </c>
      <c r="B73" s="668"/>
      <c r="C73" s="66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81"/>
      <c r="S73" s="682"/>
    </row>
    <row r="74" spans="1:19" ht="13.5">
      <c r="A74" s="667" t="s">
        <v>14</v>
      </c>
      <c r="B74" s="668"/>
      <c r="C74" s="66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81"/>
      <c r="S74" s="682"/>
    </row>
    <row r="75" spans="1:19" ht="13.5">
      <c r="A75" s="667" t="s">
        <v>15</v>
      </c>
      <c r="B75" s="668"/>
      <c r="C75" s="66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81"/>
      <c r="S75" s="682"/>
    </row>
    <row r="76" spans="1:19" ht="13.5">
      <c r="A76" s="665" t="s">
        <v>16</v>
      </c>
      <c r="B76" s="666"/>
      <c r="C76" s="666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81"/>
      <c r="S76" s="682"/>
    </row>
    <row r="77" spans="1:19" ht="14" thickBot="1">
      <c r="A77" s="693" t="s">
        <v>283</v>
      </c>
      <c r="B77" s="694"/>
      <c r="C77" s="694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81"/>
      <c r="S77" s="68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3">
      <c r="A79" s="151" t="s">
        <v>284</v>
      </c>
      <c r="R79" s="194"/>
      <c r="S79" s="194"/>
    </row>
    <row r="80" spans="1:19" ht="14" thickBot="1">
      <c r="A80" s="112" t="s">
        <v>276</v>
      </c>
      <c r="B80" s="112"/>
      <c r="C80" s="112"/>
      <c r="R80" s="194"/>
      <c r="S80" s="194"/>
    </row>
    <row r="81" spans="1:21" ht="13.5">
      <c r="A81" s="671" t="s">
        <v>0</v>
      </c>
      <c r="B81" s="672"/>
      <c r="C81" s="672"/>
      <c r="D81" s="116" t="s">
        <v>251</v>
      </c>
      <c r="E81" s="116" t="s">
        <v>252</v>
      </c>
      <c r="F81" s="116" t="s">
        <v>253</v>
      </c>
      <c r="G81" s="116" t="s">
        <v>254</v>
      </c>
      <c r="H81" s="116" t="s">
        <v>255</v>
      </c>
      <c r="I81" s="116" t="s">
        <v>256</v>
      </c>
      <c r="J81" s="116" t="s">
        <v>257</v>
      </c>
      <c r="K81" s="116" t="s">
        <v>258</v>
      </c>
      <c r="L81" s="116" t="s">
        <v>259</v>
      </c>
      <c r="M81" s="116" t="s">
        <v>260</v>
      </c>
      <c r="N81" s="116" t="s">
        <v>261</v>
      </c>
      <c r="O81" s="116" t="s">
        <v>262</v>
      </c>
      <c r="P81" s="117" t="s">
        <v>274</v>
      </c>
      <c r="R81" s="681"/>
      <c r="S81" s="682"/>
    </row>
    <row r="82" spans="1:21" s="198" customFormat="1">
      <c r="A82" s="685" t="s">
        <v>51</v>
      </c>
      <c r="B82" s="686"/>
      <c r="C82" s="686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81"/>
      <c r="S82" s="682"/>
      <c r="T82" s="114"/>
      <c r="U82" s="114"/>
    </row>
    <row r="83" spans="1:21" s="198" customFormat="1">
      <c r="A83" s="683" t="s">
        <v>52</v>
      </c>
      <c r="B83" s="684"/>
      <c r="C83" s="684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81"/>
      <c r="S83" s="682"/>
      <c r="T83" s="114"/>
      <c r="U83" s="114"/>
    </row>
    <row r="84" spans="1:21" s="198" customFormat="1">
      <c r="A84" s="683" t="s">
        <v>53</v>
      </c>
      <c r="B84" s="684"/>
      <c r="C84" s="684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81"/>
      <c r="S84" s="682"/>
      <c r="T84" s="114"/>
      <c r="U84" s="114"/>
    </row>
    <row r="85" spans="1:21" s="198" customFormat="1">
      <c r="A85" s="709" t="s">
        <v>54</v>
      </c>
      <c r="B85" s="710"/>
      <c r="C85" s="71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81"/>
      <c r="S85" s="682"/>
      <c r="T85" s="114"/>
      <c r="U85" s="114"/>
    </row>
    <row r="86" spans="1:21" s="198" customFormat="1">
      <c r="A86" s="683" t="s">
        <v>275</v>
      </c>
      <c r="B86" s="684"/>
      <c r="C86" s="684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81"/>
      <c r="S86" s="682"/>
      <c r="T86" s="114"/>
      <c r="U86" s="114"/>
    </row>
    <row r="87" spans="1:21" s="198" customFormat="1">
      <c r="A87" s="683" t="s">
        <v>11</v>
      </c>
      <c r="B87" s="684"/>
      <c r="C87" s="684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81"/>
      <c r="S87" s="682"/>
      <c r="T87" s="114"/>
      <c r="U87" s="114"/>
    </row>
    <row r="88" spans="1:21" s="198" customFormat="1">
      <c r="A88" s="683" t="s">
        <v>12</v>
      </c>
      <c r="B88" s="684"/>
      <c r="C88" s="684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81"/>
      <c r="S88" s="682"/>
      <c r="T88" s="114"/>
      <c r="U88" s="114"/>
    </row>
    <row r="89" spans="1:21" s="198" customFormat="1">
      <c r="A89" s="683" t="s">
        <v>13</v>
      </c>
      <c r="B89" s="684"/>
      <c r="C89" s="684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81"/>
      <c r="S89" s="682"/>
      <c r="T89" s="114"/>
      <c r="U89" s="114"/>
    </row>
    <row r="90" spans="1:21" s="198" customFormat="1">
      <c r="A90" s="683" t="s">
        <v>14</v>
      </c>
      <c r="B90" s="684"/>
      <c r="C90" s="684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81"/>
      <c r="S90" s="682"/>
      <c r="T90" s="114"/>
      <c r="U90" s="114"/>
    </row>
    <row r="91" spans="1:21" s="197" customFormat="1" ht="13" thickBot="1">
      <c r="A91" s="702" t="s">
        <v>15</v>
      </c>
      <c r="B91" s="703"/>
      <c r="C91" s="703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81"/>
      <c r="S91" s="682"/>
      <c r="T91" s="114"/>
      <c r="U91" s="114"/>
    </row>
    <row r="92" spans="1:21" ht="13">
      <c r="A92" s="151"/>
      <c r="B92" s="203"/>
      <c r="C92" s="203"/>
      <c r="R92" s="194"/>
      <c r="S92" s="194"/>
    </row>
    <row r="93" spans="1:21" ht="14" thickBot="1">
      <c r="A93" s="112" t="s">
        <v>277</v>
      </c>
      <c r="B93" s="112"/>
      <c r="C93" s="112"/>
      <c r="R93" s="194"/>
      <c r="S93" s="194"/>
    </row>
    <row r="94" spans="1:21" ht="13.5">
      <c r="A94" s="671" t="s">
        <v>0</v>
      </c>
      <c r="B94" s="672"/>
      <c r="C94" s="672"/>
      <c r="D94" s="116" t="s">
        <v>251</v>
      </c>
      <c r="E94" s="116" t="s">
        <v>252</v>
      </c>
      <c r="F94" s="116" t="s">
        <v>253</v>
      </c>
      <c r="G94" s="116" t="s">
        <v>254</v>
      </c>
      <c r="H94" s="116" t="s">
        <v>255</v>
      </c>
      <c r="I94" s="116" t="s">
        <v>256</v>
      </c>
      <c r="J94" s="116" t="s">
        <v>257</v>
      </c>
      <c r="K94" s="116" t="s">
        <v>258</v>
      </c>
      <c r="L94" s="116" t="s">
        <v>259</v>
      </c>
      <c r="M94" s="116" t="s">
        <v>260</v>
      </c>
      <c r="N94" s="116" t="s">
        <v>261</v>
      </c>
      <c r="O94" s="116" t="s">
        <v>262</v>
      </c>
      <c r="P94" s="117" t="s">
        <v>263</v>
      </c>
      <c r="R94" s="681"/>
      <c r="S94" s="682"/>
    </row>
    <row r="95" spans="1:21">
      <c r="A95" s="715" t="s">
        <v>10</v>
      </c>
      <c r="B95" s="716"/>
      <c r="C95" s="716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81"/>
      <c r="S95" s="682"/>
    </row>
    <row r="96" spans="1:21">
      <c r="A96" s="707" t="s">
        <v>275</v>
      </c>
      <c r="B96" s="708"/>
      <c r="C96" s="708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81"/>
      <c r="S96" s="682"/>
    </row>
    <row r="97" spans="1:19">
      <c r="A97" s="707" t="s">
        <v>11</v>
      </c>
      <c r="B97" s="708"/>
      <c r="C97" s="708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81"/>
      <c r="S97" s="682"/>
    </row>
    <row r="98" spans="1:19">
      <c r="A98" s="707" t="s">
        <v>12</v>
      </c>
      <c r="B98" s="708"/>
      <c r="C98" s="708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81"/>
      <c r="S98" s="682"/>
    </row>
    <row r="99" spans="1:19">
      <c r="A99" s="707" t="s">
        <v>13</v>
      </c>
      <c r="B99" s="708"/>
      <c r="C99" s="708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81"/>
      <c r="S99" s="682"/>
    </row>
    <row r="100" spans="1:19">
      <c r="A100" s="707" t="s">
        <v>14</v>
      </c>
      <c r="B100" s="708"/>
      <c r="C100" s="708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81"/>
      <c r="S100" s="682"/>
    </row>
    <row r="101" spans="1:19">
      <c r="A101" s="737" t="s">
        <v>15</v>
      </c>
      <c r="B101" s="738"/>
      <c r="C101" s="73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81"/>
      <c r="S101" s="682"/>
    </row>
    <row r="102" spans="1:19" ht="13.5">
      <c r="A102" s="665" t="s">
        <v>16</v>
      </c>
      <c r="B102" s="666"/>
      <c r="C102" s="666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81"/>
      <c r="S102" s="682"/>
    </row>
    <row r="103" spans="1:19" ht="14" thickBot="1">
      <c r="A103" s="740" t="s">
        <v>283</v>
      </c>
      <c r="B103" s="741"/>
      <c r="C103" s="742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81"/>
      <c r="S103" s="682"/>
    </row>
    <row r="104" spans="1:19" ht="13">
      <c r="A104" s="151" t="s">
        <v>281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5"/>
  <cols>
    <col min="1" max="1" width="3.36328125" style="343" customWidth="1"/>
    <col min="2" max="2" width="4.453125" style="343" customWidth="1"/>
    <col min="3" max="3" width="24.26953125" style="343" bestFit="1" customWidth="1"/>
    <col min="4" max="4" width="10.36328125" style="343" customWidth="1"/>
    <col min="5" max="5" width="10" style="343" customWidth="1"/>
    <col min="6" max="6" width="11.08984375" style="343" bestFit="1" customWidth="1"/>
    <col min="7" max="8" width="11.453125" style="343" bestFit="1" customWidth="1"/>
    <col min="9" max="15" width="10.36328125" style="343" customWidth="1"/>
    <col min="16" max="16" width="10.36328125" style="343" bestFit="1" customWidth="1"/>
    <col min="17" max="18" width="9" style="343"/>
    <col min="19" max="19" width="17.90625" style="343" bestFit="1" customWidth="1"/>
    <col min="20" max="20" width="13.453125" style="343" bestFit="1" customWidth="1"/>
    <col min="21" max="21" width="17.90625" style="343" bestFit="1" customWidth="1"/>
    <col min="22" max="22" width="13.453125" style="343" bestFit="1" customWidth="1"/>
    <col min="23" max="23" width="17.90625" style="343" bestFit="1" customWidth="1"/>
    <col min="24" max="24" width="13.26953125" style="343" bestFit="1" customWidth="1"/>
    <col min="25" max="25" width="17.90625" style="343" bestFit="1" customWidth="1"/>
    <col min="26" max="26" width="13.26953125" style="343" bestFit="1" customWidth="1"/>
    <col min="27" max="27" width="17.90625" style="343" bestFit="1" customWidth="1"/>
    <col min="28" max="28" width="13.453125" style="343" bestFit="1" customWidth="1"/>
    <col min="29" max="29" width="26.08984375" style="343" bestFit="1" customWidth="1"/>
    <col min="30" max="30" width="21.36328125" style="343" bestFit="1" customWidth="1"/>
    <col min="31" max="16384" width="9" style="343"/>
  </cols>
  <sheetData>
    <row r="1" spans="1:240" ht="14" thickBot="1">
      <c r="A1" s="342" t="s">
        <v>250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71" t="s">
        <v>0</v>
      </c>
      <c r="B2" s="672"/>
      <c r="C2" s="672"/>
      <c r="D2" s="344" t="s">
        <v>251</v>
      </c>
      <c r="E2" s="344" t="s">
        <v>252</v>
      </c>
      <c r="F2" s="344" t="s">
        <v>253</v>
      </c>
      <c r="G2" s="344" t="s">
        <v>254</v>
      </c>
      <c r="H2" s="344" t="s">
        <v>255</v>
      </c>
      <c r="I2" s="344" t="s">
        <v>256</v>
      </c>
      <c r="J2" s="344" t="s">
        <v>257</v>
      </c>
      <c r="K2" s="344" t="s">
        <v>258</v>
      </c>
      <c r="L2" s="344" t="s">
        <v>259</v>
      </c>
      <c r="M2" s="344" t="s">
        <v>260</v>
      </c>
      <c r="N2" s="344" t="s">
        <v>261</v>
      </c>
      <c r="O2" s="344" t="s">
        <v>262</v>
      </c>
      <c r="P2" s="345" t="s">
        <v>263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673" t="s">
        <v>8</v>
      </c>
      <c r="B3" s="674"/>
      <c r="C3" s="67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669" t="s">
        <v>9</v>
      </c>
      <c r="C4" s="670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10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11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12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13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14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15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676" t="s">
        <v>16</v>
      </c>
      <c r="C11" s="677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17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18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19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20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669" t="s">
        <v>21</v>
      </c>
      <c r="C16" s="670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22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23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24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25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26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27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" thickBot="1">
      <c r="A23" s="126"/>
      <c r="B23" s="127"/>
      <c r="C23" s="138" t="s">
        <v>28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29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266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267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268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269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" thickBot="1">
      <c r="A29" s="126"/>
      <c r="B29" s="355"/>
      <c r="C29" s="233" t="s">
        <v>34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659" t="s">
        <v>35</v>
      </c>
      <c r="B30" s="660"/>
      <c r="C30" s="356" t="s">
        <v>36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661"/>
      <c r="B31" s="662"/>
      <c r="C31" s="139" t="s">
        <v>37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661"/>
      <c r="B32" s="662"/>
      <c r="C32" s="239" t="s">
        <v>38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" thickBot="1">
      <c r="A33" s="663"/>
      <c r="B33" s="664"/>
      <c r="C33" s="146" t="s">
        <v>39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" thickBot="1">
      <c r="A35" s="342" t="s">
        <v>270</v>
      </c>
      <c r="B35" s="342"/>
      <c r="C35" s="342"/>
    </row>
    <row r="36" spans="1:240" ht="13.5">
      <c r="A36" s="671" t="s">
        <v>0</v>
      </c>
      <c r="B36" s="672"/>
      <c r="C36" s="672"/>
      <c r="D36" s="344" t="s">
        <v>251</v>
      </c>
      <c r="E36" s="344" t="s">
        <v>252</v>
      </c>
      <c r="F36" s="344" t="s">
        <v>253</v>
      </c>
      <c r="G36" s="344" t="s">
        <v>254</v>
      </c>
      <c r="H36" s="344" t="s">
        <v>255</v>
      </c>
      <c r="I36" s="344" t="s">
        <v>256</v>
      </c>
      <c r="J36" s="344" t="s">
        <v>257</v>
      </c>
      <c r="K36" s="344" t="s">
        <v>258</v>
      </c>
      <c r="L36" s="344" t="s">
        <v>259</v>
      </c>
      <c r="M36" s="344" t="s">
        <v>260</v>
      </c>
      <c r="N36" s="344" t="s">
        <v>261</v>
      </c>
      <c r="O36" s="344" t="s">
        <v>262</v>
      </c>
      <c r="P36" s="345" t="s">
        <v>263</v>
      </c>
    </row>
    <row r="37" spans="1:240" ht="13.5">
      <c r="A37" s="673" t="s">
        <v>8</v>
      </c>
      <c r="B37" s="674"/>
      <c r="C37" s="67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669" t="s">
        <v>9</v>
      </c>
      <c r="C38" s="670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10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11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12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13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14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15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676" t="s">
        <v>16</v>
      </c>
      <c r="C45" s="677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17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18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19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20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676" t="s">
        <v>21</v>
      </c>
      <c r="C50" s="677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22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23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24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25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26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27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" thickBot="1">
      <c r="A57" s="126"/>
      <c r="B57" s="127"/>
      <c r="C57" s="138" t="s">
        <v>28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29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30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31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32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33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34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659" t="s">
        <v>35</v>
      </c>
      <c r="B64" s="660"/>
      <c r="C64" s="356" t="s">
        <v>36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661"/>
      <c r="B65" s="662"/>
      <c r="C65" s="139" t="s">
        <v>37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661"/>
      <c r="B66" s="662"/>
      <c r="C66" s="239" t="s">
        <v>38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" thickBot="1">
      <c r="A67" s="663"/>
      <c r="B67" s="664"/>
      <c r="C67" s="146" t="s">
        <v>39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5" hidden="1" customHeight="1" thickBot="1">
      <c r="A69" s="342" t="s">
        <v>271</v>
      </c>
      <c r="B69" s="342"/>
      <c r="C69" s="342"/>
      <c r="Q69" s="343">
        <v>1617672.23</v>
      </c>
    </row>
    <row r="70" spans="1:240" ht="13.5" hidden="1" customHeight="1">
      <c r="A70" s="671" t="s">
        <v>0</v>
      </c>
      <c r="B70" s="672"/>
      <c r="C70" s="672"/>
      <c r="D70" s="344" t="s">
        <v>251</v>
      </c>
      <c r="E70" s="344" t="s">
        <v>252</v>
      </c>
      <c r="F70" s="344" t="s">
        <v>253</v>
      </c>
      <c r="G70" s="344" t="s">
        <v>254</v>
      </c>
      <c r="H70" s="344" t="s">
        <v>255</v>
      </c>
      <c r="I70" s="344" t="s">
        <v>256</v>
      </c>
      <c r="J70" s="344" t="s">
        <v>257</v>
      </c>
      <c r="K70" s="344" t="s">
        <v>258</v>
      </c>
      <c r="L70" s="344" t="s">
        <v>259</v>
      </c>
      <c r="M70" s="344" t="s">
        <v>260</v>
      </c>
      <c r="N70" s="344" t="s">
        <v>261</v>
      </c>
      <c r="O70" s="344" t="s">
        <v>262</v>
      </c>
      <c r="P70" s="345" t="s">
        <v>263</v>
      </c>
      <c r="Q70" s="343">
        <v>1622400.23</v>
      </c>
    </row>
    <row r="71" spans="1:240" ht="13.5" hidden="1" customHeight="1">
      <c r="A71" s="673" t="s">
        <v>8</v>
      </c>
      <c r="B71" s="674"/>
      <c r="C71" s="67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669" t="s">
        <v>9</v>
      </c>
      <c r="C72" s="670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10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11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12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13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14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15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5" hidden="1" customHeight="1" thickBot="1">
      <c r="A79" s="126"/>
      <c r="B79" s="676" t="s">
        <v>16</v>
      </c>
      <c r="C79" s="678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17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18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19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669" t="s">
        <v>21</v>
      </c>
      <c r="C83" s="670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22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23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24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25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26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27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272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59" t="s">
        <v>35</v>
      </c>
      <c r="B91" s="660"/>
      <c r="C91" s="139" t="s">
        <v>36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61"/>
      <c r="B92" s="662"/>
      <c r="C92" s="139" t="s">
        <v>37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661"/>
      <c r="B93" s="662"/>
      <c r="C93" s="239" t="s">
        <v>38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5" hidden="1" customHeight="1" thickBot="1">
      <c r="A94" s="663"/>
      <c r="B94" s="664"/>
      <c r="C94" s="146" t="s">
        <v>39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" thickBot="1">
      <c r="A96" s="342" t="s">
        <v>273</v>
      </c>
      <c r="B96" s="342"/>
      <c r="C96" s="342"/>
    </row>
    <row r="97" spans="1:18" ht="13.5">
      <c r="A97" s="671" t="s">
        <v>0</v>
      </c>
      <c r="B97" s="672"/>
      <c r="C97" s="672"/>
      <c r="D97" s="344" t="s">
        <v>251</v>
      </c>
      <c r="E97" s="344" t="s">
        <v>252</v>
      </c>
      <c r="F97" s="344" t="s">
        <v>253</v>
      </c>
      <c r="G97" s="344" t="s">
        <v>254</v>
      </c>
      <c r="H97" s="344" t="s">
        <v>255</v>
      </c>
      <c r="I97" s="344" t="s">
        <v>256</v>
      </c>
      <c r="J97" s="344" t="s">
        <v>257</v>
      </c>
      <c r="K97" s="344" t="s">
        <v>258</v>
      </c>
      <c r="L97" s="344" t="s">
        <v>259</v>
      </c>
      <c r="M97" s="344" t="s">
        <v>260</v>
      </c>
      <c r="N97" s="344" t="s">
        <v>261</v>
      </c>
      <c r="O97" s="344" t="s">
        <v>262</v>
      </c>
      <c r="P97" s="345" t="s">
        <v>274</v>
      </c>
    </row>
    <row r="98" spans="1:18" ht="13.5">
      <c r="A98" s="679" t="s">
        <v>10</v>
      </c>
      <c r="B98" s="680"/>
      <c r="C98" s="680"/>
      <c r="D98" s="187" t="s">
        <v>615</v>
      </c>
      <c r="E98" s="187" t="s">
        <v>616</v>
      </c>
      <c r="F98" s="187" t="s">
        <v>617</v>
      </c>
      <c r="G98" s="187" t="s">
        <v>617</v>
      </c>
      <c r="H98" s="187" t="s">
        <v>615</v>
      </c>
      <c r="I98" s="187" t="s">
        <v>618</v>
      </c>
      <c r="J98" s="187" t="s">
        <v>619</v>
      </c>
      <c r="K98" s="187" t="s">
        <v>618</v>
      </c>
      <c r="L98" s="187" t="s">
        <v>619</v>
      </c>
      <c r="M98" s="187" t="s">
        <v>618</v>
      </c>
      <c r="N98" s="187" t="s">
        <v>618</v>
      </c>
      <c r="O98" s="395">
        <v>98</v>
      </c>
      <c r="P98" s="395">
        <f>AVERAGE(D98:O98)</f>
        <v>98</v>
      </c>
    </row>
    <row r="99" spans="1:18" ht="13.5">
      <c r="A99" s="667" t="s">
        <v>11</v>
      </c>
      <c r="B99" s="668"/>
      <c r="C99" s="668"/>
      <c r="D99" s="187" t="s">
        <v>620</v>
      </c>
      <c r="E99" s="187" t="s">
        <v>621</v>
      </c>
      <c r="F99" s="187" t="s">
        <v>622</v>
      </c>
      <c r="G99" s="187" t="s">
        <v>622</v>
      </c>
      <c r="H99" s="187" t="s">
        <v>622</v>
      </c>
      <c r="I99" s="187" t="s">
        <v>621</v>
      </c>
      <c r="J99" s="187" t="s">
        <v>622</v>
      </c>
      <c r="K99" s="187" t="s">
        <v>621</v>
      </c>
      <c r="L99" s="187" t="s">
        <v>622</v>
      </c>
      <c r="M99" s="187" t="s">
        <v>621</v>
      </c>
      <c r="N99" s="187" t="s">
        <v>622</v>
      </c>
      <c r="O99" s="395">
        <v>100</v>
      </c>
      <c r="P99" s="395">
        <f t="shared" ref="P99:P117" si="11">AVERAGE(D99:O99)</f>
        <v>100</v>
      </c>
    </row>
    <row r="100" spans="1:18" ht="13.5">
      <c r="A100" s="667" t="s">
        <v>12</v>
      </c>
      <c r="B100" s="668"/>
      <c r="C100" s="668"/>
      <c r="D100" s="187" t="s">
        <v>623</v>
      </c>
      <c r="E100" s="187" t="s">
        <v>624</v>
      </c>
      <c r="F100" s="187" t="s">
        <v>618</v>
      </c>
      <c r="G100" s="187" t="s">
        <v>625</v>
      </c>
      <c r="H100" s="187" t="s">
        <v>626</v>
      </c>
      <c r="I100" s="187" t="s">
        <v>627</v>
      </c>
      <c r="J100" s="187" t="s">
        <v>628</v>
      </c>
      <c r="K100" s="187" t="s">
        <v>629</v>
      </c>
      <c r="L100" s="187" t="s">
        <v>630</v>
      </c>
      <c r="M100" s="187" t="s">
        <v>631</v>
      </c>
      <c r="N100" s="187" t="s">
        <v>632</v>
      </c>
      <c r="O100" s="395">
        <v>73</v>
      </c>
      <c r="P100" s="395">
        <f t="shared" si="11"/>
        <v>73</v>
      </c>
    </row>
    <row r="101" spans="1:18" ht="13.5">
      <c r="A101" s="667" t="s">
        <v>13</v>
      </c>
      <c r="B101" s="668"/>
      <c r="C101" s="668"/>
      <c r="D101" s="187" t="s">
        <v>633</v>
      </c>
      <c r="E101" s="187" t="s">
        <v>634</v>
      </c>
      <c r="F101" s="187" t="s">
        <v>635</v>
      </c>
      <c r="G101" s="187" t="s">
        <v>636</v>
      </c>
      <c r="H101" s="187" t="s">
        <v>633</v>
      </c>
      <c r="I101" s="187" t="s">
        <v>637</v>
      </c>
      <c r="J101" s="187" t="s">
        <v>633</v>
      </c>
      <c r="K101" s="187" t="s">
        <v>637</v>
      </c>
      <c r="L101" s="187" t="s">
        <v>637</v>
      </c>
      <c r="M101" s="187" t="s">
        <v>635</v>
      </c>
      <c r="N101" s="187" t="s">
        <v>636</v>
      </c>
      <c r="O101" s="395">
        <v>99.5</v>
      </c>
      <c r="P101" s="395">
        <f t="shared" si="11"/>
        <v>99.5</v>
      </c>
    </row>
    <row r="102" spans="1:18" ht="13.5">
      <c r="A102" s="667" t="s">
        <v>20</v>
      </c>
      <c r="B102" s="668"/>
      <c r="C102" s="668"/>
      <c r="D102" s="187" t="s">
        <v>638</v>
      </c>
      <c r="E102" s="187" t="s">
        <v>638</v>
      </c>
      <c r="F102" s="187" t="s">
        <v>639</v>
      </c>
      <c r="G102" s="187" t="s">
        <v>640</v>
      </c>
      <c r="H102" s="187" t="s">
        <v>639</v>
      </c>
      <c r="I102" s="187" t="s">
        <v>641</v>
      </c>
      <c r="J102" s="187" t="s">
        <v>642</v>
      </c>
      <c r="K102" s="187" t="s">
        <v>643</v>
      </c>
      <c r="L102" s="187" t="s">
        <v>644</v>
      </c>
      <c r="M102" s="187" t="s">
        <v>645</v>
      </c>
      <c r="N102" s="187" t="s">
        <v>646</v>
      </c>
      <c r="O102" s="395">
        <v>94.7</v>
      </c>
      <c r="P102" s="395">
        <f t="shared" si="11"/>
        <v>94.7</v>
      </c>
    </row>
    <row r="103" spans="1:18" ht="13.5">
      <c r="A103" s="667" t="s">
        <v>15</v>
      </c>
      <c r="B103" s="668"/>
      <c r="C103" s="668"/>
      <c r="D103" s="187" t="s">
        <v>616</v>
      </c>
      <c r="E103" s="187" t="s">
        <v>617</v>
      </c>
      <c r="F103" s="187" t="s">
        <v>647</v>
      </c>
      <c r="G103" s="187" t="s">
        <v>648</v>
      </c>
      <c r="H103" s="187" t="s">
        <v>616</v>
      </c>
      <c r="I103" s="187" t="s">
        <v>615</v>
      </c>
      <c r="J103" s="187" t="s">
        <v>619</v>
      </c>
      <c r="K103" s="187" t="s">
        <v>649</v>
      </c>
      <c r="L103" s="187" t="s">
        <v>650</v>
      </c>
      <c r="M103" s="187" t="s">
        <v>651</v>
      </c>
      <c r="N103" s="187" t="s">
        <v>652</v>
      </c>
      <c r="O103" s="395">
        <v>97.6</v>
      </c>
      <c r="P103" s="395">
        <f t="shared" si="11"/>
        <v>97.6</v>
      </c>
    </row>
    <row r="104" spans="1:18" ht="13.5">
      <c r="A104" s="665" t="s">
        <v>16</v>
      </c>
      <c r="B104" s="666"/>
      <c r="C104" s="666"/>
      <c r="D104" s="187" t="s">
        <v>649</v>
      </c>
      <c r="E104" s="187" t="s">
        <v>638</v>
      </c>
      <c r="F104" s="187" t="s">
        <v>653</v>
      </c>
      <c r="G104" s="187" t="s">
        <v>633</v>
      </c>
      <c r="H104" s="187" t="s">
        <v>654</v>
      </c>
      <c r="I104" s="187" t="s">
        <v>640</v>
      </c>
      <c r="J104" s="187" t="s">
        <v>622</v>
      </c>
      <c r="K104" s="187" t="s">
        <v>655</v>
      </c>
      <c r="L104" s="187" t="s">
        <v>656</v>
      </c>
      <c r="M104" s="187" t="s">
        <v>657</v>
      </c>
      <c r="N104" s="187" t="s">
        <v>658</v>
      </c>
      <c r="O104" s="395">
        <v>91.9</v>
      </c>
      <c r="P104" s="395">
        <f t="shared" si="11"/>
        <v>91.9</v>
      </c>
    </row>
    <row r="105" spans="1:18" ht="13.5">
      <c r="A105" s="690" t="s">
        <v>48</v>
      </c>
      <c r="B105" s="691"/>
      <c r="C105" s="692"/>
      <c r="D105" s="256" t="s">
        <v>655</v>
      </c>
      <c r="E105" s="256" t="s">
        <v>659</v>
      </c>
      <c r="F105" s="256" t="s">
        <v>617</v>
      </c>
      <c r="G105" s="256" t="s">
        <v>649</v>
      </c>
      <c r="H105" s="256" t="s">
        <v>655</v>
      </c>
      <c r="I105" s="256" t="s">
        <v>616</v>
      </c>
      <c r="J105" s="256" t="s">
        <v>650</v>
      </c>
      <c r="K105" s="256" t="s">
        <v>616</v>
      </c>
      <c r="L105" s="256" t="s">
        <v>618</v>
      </c>
      <c r="M105" s="256" t="s">
        <v>616</v>
      </c>
      <c r="N105" s="256" t="s">
        <v>616</v>
      </c>
      <c r="O105" s="396">
        <v>98.1</v>
      </c>
      <c r="P105" s="396">
        <f t="shared" si="11"/>
        <v>98.1</v>
      </c>
    </row>
    <row r="106" spans="1:18" ht="17">
      <c r="A106" s="667" t="s">
        <v>275</v>
      </c>
      <c r="B106" s="668"/>
      <c r="C106" s="668"/>
      <c r="D106" s="187" t="s">
        <v>619</v>
      </c>
      <c r="E106" s="187" t="s">
        <v>659</v>
      </c>
      <c r="F106" s="187" t="s">
        <v>660</v>
      </c>
      <c r="G106" s="187" t="s">
        <v>649</v>
      </c>
      <c r="H106" s="187" t="s">
        <v>617</v>
      </c>
      <c r="I106" s="187" t="s">
        <v>615</v>
      </c>
      <c r="J106" s="187" t="s">
        <v>615</v>
      </c>
      <c r="K106" s="187" t="s">
        <v>659</v>
      </c>
      <c r="L106" s="187" t="s">
        <v>661</v>
      </c>
      <c r="M106" s="187" t="s">
        <v>616</v>
      </c>
      <c r="N106" s="187" t="s">
        <v>662</v>
      </c>
      <c r="O106" s="395">
        <v>97.3</v>
      </c>
      <c r="P106" s="395">
        <f t="shared" si="11"/>
        <v>97.3</v>
      </c>
      <c r="R106" s="519"/>
    </row>
    <row r="107" spans="1:18" ht="17">
      <c r="A107" s="257" t="s">
        <v>23</v>
      </c>
      <c r="B107" s="258"/>
      <c r="C107" s="397"/>
      <c r="D107" s="189" t="s">
        <v>663</v>
      </c>
      <c r="E107" s="189" t="s">
        <v>664</v>
      </c>
      <c r="F107" s="189" t="s">
        <v>622</v>
      </c>
      <c r="G107" s="189" t="s">
        <v>622</v>
      </c>
      <c r="H107" s="189" t="s">
        <v>664</v>
      </c>
      <c r="I107" s="189" t="s">
        <v>622</v>
      </c>
      <c r="J107" s="189" t="s">
        <v>665</v>
      </c>
      <c r="K107" s="189" t="s">
        <v>622</v>
      </c>
      <c r="L107" s="189" t="s">
        <v>622</v>
      </c>
      <c r="M107" s="189" t="s">
        <v>622</v>
      </c>
      <c r="N107" s="189" t="s">
        <v>622</v>
      </c>
      <c r="O107" s="398">
        <v>99.8</v>
      </c>
      <c r="P107" s="395">
        <f t="shared" si="11"/>
        <v>99.8</v>
      </c>
      <c r="R107" s="519"/>
    </row>
    <row r="108" spans="1:18" ht="17">
      <c r="A108" s="257" t="s">
        <v>24</v>
      </c>
      <c r="B108" s="258"/>
      <c r="C108" s="397"/>
      <c r="D108" s="189" t="s">
        <v>666</v>
      </c>
      <c r="E108" s="189" t="s">
        <v>663</v>
      </c>
      <c r="F108" s="189" t="s">
        <v>667</v>
      </c>
      <c r="G108" s="189" t="s">
        <v>619</v>
      </c>
      <c r="H108" s="189" t="s">
        <v>668</v>
      </c>
      <c r="I108" s="189" t="s">
        <v>619</v>
      </c>
      <c r="J108" s="189" t="s">
        <v>669</v>
      </c>
      <c r="K108" s="189" t="s">
        <v>670</v>
      </c>
      <c r="L108" s="189" t="s">
        <v>617</v>
      </c>
      <c r="M108" s="189" t="s">
        <v>661</v>
      </c>
      <c r="N108" s="189" t="s">
        <v>650</v>
      </c>
      <c r="O108" s="398">
        <v>97.4</v>
      </c>
      <c r="P108" s="395">
        <f t="shared" si="11"/>
        <v>97.4</v>
      </c>
      <c r="R108" s="519"/>
    </row>
    <row r="109" spans="1:18" ht="17">
      <c r="A109" s="257" t="s">
        <v>25</v>
      </c>
      <c r="B109" s="258"/>
      <c r="C109" s="397"/>
      <c r="D109" s="189" t="s">
        <v>671</v>
      </c>
      <c r="E109" s="189" t="s">
        <v>672</v>
      </c>
      <c r="F109" s="189" t="s">
        <v>673</v>
      </c>
      <c r="G109" s="189" t="s">
        <v>674</v>
      </c>
      <c r="H109" s="189" t="s">
        <v>675</v>
      </c>
      <c r="I109" s="189" t="s">
        <v>676</v>
      </c>
      <c r="J109" s="189" t="s">
        <v>651</v>
      </c>
      <c r="K109" s="189" t="s">
        <v>677</v>
      </c>
      <c r="L109" s="189" t="s">
        <v>654</v>
      </c>
      <c r="M109" s="189" t="s">
        <v>676</v>
      </c>
      <c r="N109" s="189" t="s">
        <v>678</v>
      </c>
      <c r="O109" s="398">
        <v>97.5</v>
      </c>
      <c r="P109" s="395">
        <f t="shared" si="11"/>
        <v>97.5</v>
      </c>
      <c r="R109" s="519"/>
    </row>
    <row r="110" spans="1:18" ht="17">
      <c r="A110" s="257" t="s">
        <v>26</v>
      </c>
      <c r="B110" s="258"/>
      <c r="C110" s="397"/>
      <c r="D110" s="189" t="s">
        <v>679</v>
      </c>
      <c r="E110" s="189" t="s">
        <v>680</v>
      </c>
      <c r="F110" s="189" t="s">
        <v>681</v>
      </c>
      <c r="G110" s="189" t="s">
        <v>674</v>
      </c>
      <c r="H110" s="189" t="s">
        <v>677</v>
      </c>
      <c r="I110" s="189" t="s">
        <v>682</v>
      </c>
      <c r="J110" s="189" t="s">
        <v>615</v>
      </c>
      <c r="K110" s="189" t="s">
        <v>683</v>
      </c>
      <c r="L110" s="189" t="s">
        <v>684</v>
      </c>
      <c r="M110" s="189" t="s">
        <v>674</v>
      </c>
      <c r="N110" s="189" t="s">
        <v>641</v>
      </c>
      <c r="O110" s="398">
        <v>90.4</v>
      </c>
      <c r="P110" s="395">
        <f t="shared" si="11"/>
        <v>90.4</v>
      </c>
      <c r="R110" s="519"/>
    </row>
    <row r="111" spans="1:18" ht="17">
      <c r="A111" s="257" t="s">
        <v>27</v>
      </c>
      <c r="B111" s="258"/>
      <c r="C111" s="397"/>
      <c r="D111" s="189" t="s">
        <v>685</v>
      </c>
      <c r="E111" s="189" t="s">
        <v>685</v>
      </c>
      <c r="F111" s="189" t="s">
        <v>622</v>
      </c>
      <c r="G111" s="189" t="s">
        <v>686</v>
      </c>
      <c r="H111" s="189" t="s">
        <v>685</v>
      </c>
      <c r="I111" s="189" t="s">
        <v>685</v>
      </c>
      <c r="J111" s="189" t="s">
        <v>685</v>
      </c>
      <c r="K111" s="189" t="s">
        <v>622</v>
      </c>
      <c r="L111" s="189" t="s">
        <v>685</v>
      </c>
      <c r="M111" s="189" t="s">
        <v>685</v>
      </c>
      <c r="N111" s="189" t="s">
        <v>685</v>
      </c>
      <c r="O111" s="398">
        <v>0</v>
      </c>
      <c r="P111" s="395">
        <f t="shared" si="11"/>
        <v>0</v>
      </c>
      <c r="R111" s="519"/>
    </row>
    <row r="112" spans="1:18" ht="17.5" thickBot="1">
      <c r="A112" s="743" t="s">
        <v>49</v>
      </c>
      <c r="B112" s="744"/>
      <c r="C112" s="744"/>
      <c r="D112" s="190" t="s">
        <v>671</v>
      </c>
      <c r="E112" s="190" t="s">
        <v>651</v>
      </c>
      <c r="F112" s="190" t="s">
        <v>619</v>
      </c>
      <c r="G112" s="190" t="s">
        <v>615</v>
      </c>
      <c r="H112" s="190" t="s">
        <v>615</v>
      </c>
      <c r="I112" s="190" t="s">
        <v>616</v>
      </c>
      <c r="J112" s="190" t="s">
        <v>659</v>
      </c>
      <c r="K112" s="190" t="s">
        <v>662</v>
      </c>
      <c r="L112" s="190" t="s">
        <v>651</v>
      </c>
      <c r="M112" s="190" t="s">
        <v>650</v>
      </c>
      <c r="N112" s="190" t="s">
        <v>669</v>
      </c>
      <c r="O112" s="396">
        <v>96.9</v>
      </c>
      <c r="P112" s="396">
        <f t="shared" si="11"/>
        <v>96.9</v>
      </c>
      <c r="R112" s="519"/>
    </row>
    <row r="113" spans="1:240" ht="17">
      <c r="A113" s="668" t="s">
        <v>30</v>
      </c>
      <c r="B113" s="668"/>
      <c r="C113" s="668"/>
      <c r="D113" s="281" t="s">
        <v>685</v>
      </c>
      <c r="E113" s="281" t="s">
        <v>685</v>
      </c>
      <c r="F113" s="281" t="s">
        <v>685</v>
      </c>
      <c r="G113" s="281" t="s">
        <v>685</v>
      </c>
      <c r="H113" s="281" t="s">
        <v>685</v>
      </c>
      <c r="I113" s="281" t="s">
        <v>685</v>
      </c>
      <c r="J113" s="281" t="s">
        <v>685</v>
      </c>
      <c r="K113" s="281" t="s">
        <v>685</v>
      </c>
      <c r="L113" s="281" t="s">
        <v>685</v>
      </c>
      <c r="M113" s="281" t="s">
        <v>685</v>
      </c>
      <c r="N113" s="281" t="s">
        <v>685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668" t="s">
        <v>31</v>
      </c>
      <c r="B114" s="668"/>
      <c r="C114" s="668"/>
      <c r="D114" s="187" t="s">
        <v>685</v>
      </c>
      <c r="E114" s="187" t="s">
        <v>685</v>
      </c>
      <c r="F114" s="187" t="s">
        <v>685</v>
      </c>
      <c r="G114" s="187" t="s">
        <v>685</v>
      </c>
      <c r="H114" s="187" t="s">
        <v>685</v>
      </c>
      <c r="I114" s="187" t="s">
        <v>685</v>
      </c>
      <c r="J114" s="187" t="s">
        <v>685</v>
      </c>
      <c r="K114" s="187" t="s">
        <v>685</v>
      </c>
      <c r="L114" s="187" t="s">
        <v>685</v>
      </c>
      <c r="M114" s="187" t="s">
        <v>685</v>
      </c>
      <c r="N114" s="187" t="s">
        <v>685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668" t="s">
        <v>32</v>
      </c>
      <c r="B115" s="668"/>
      <c r="C115" s="668"/>
      <c r="D115" s="187" t="s">
        <v>685</v>
      </c>
      <c r="E115" s="187" t="s">
        <v>685</v>
      </c>
      <c r="F115" s="187" t="s">
        <v>685</v>
      </c>
      <c r="G115" s="187" t="s">
        <v>685</v>
      </c>
      <c r="H115" s="187" t="s">
        <v>685</v>
      </c>
      <c r="I115" s="187" t="s">
        <v>685</v>
      </c>
      <c r="J115" s="187" t="s">
        <v>685</v>
      </c>
      <c r="K115" s="187" t="s">
        <v>685</v>
      </c>
      <c r="L115" s="187" t="s">
        <v>685</v>
      </c>
      <c r="M115" s="187" t="s">
        <v>685</v>
      </c>
      <c r="N115" s="187" t="s">
        <v>685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668" t="s">
        <v>33</v>
      </c>
      <c r="B116" s="668"/>
      <c r="C116" s="668"/>
      <c r="D116" s="187" t="s">
        <v>685</v>
      </c>
      <c r="E116" s="187" t="s">
        <v>685</v>
      </c>
      <c r="F116" s="187" t="s">
        <v>685</v>
      </c>
      <c r="G116" s="187" t="s">
        <v>685</v>
      </c>
      <c r="H116" s="187" t="s">
        <v>685</v>
      </c>
      <c r="I116" s="187" t="s">
        <v>685</v>
      </c>
      <c r="J116" s="187" t="s">
        <v>685</v>
      </c>
      <c r="K116" s="187" t="s">
        <v>685</v>
      </c>
      <c r="L116" s="187" t="s">
        <v>685</v>
      </c>
      <c r="M116" s="187" t="s">
        <v>685</v>
      </c>
      <c r="N116" s="187" t="s">
        <v>685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668" t="s">
        <v>34</v>
      </c>
      <c r="B117" s="668"/>
      <c r="C117" s="668"/>
      <c r="D117" s="399" t="s">
        <v>685</v>
      </c>
      <c r="E117" s="399" t="s">
        <v>685</v>
      </c>
      <c r="F117" s="399" t="s">
        <v>685</v>
      </c>
      <c r="G117" s="400" t="s">
        <v>685</v>
      </c>
      <c r="H117" s="401" t="s">
        <v>685</v>
      </c>
      <c r="I117" s="187" t="s">
        <v>685</v>
      </c>
      <c r="J117" s="187" t="s">
        <v>685</v>
      </c>
      <c r="K117" s="187" t="s">
        <v>685</v>
      </c>
      <c r="L117" s="187" t="s">
        <v>685</v>
      </c>
      <c r="M117" s="187" t="s">
        <v>685</v>
      </c>
      <c r="N117" s="187" t="s">
        <v>685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45" t="s">
        <v>29</v>
      </c>
      <c r="B118" s="745"/>
      <c r="C118" s="74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3">
      <c r="A119" s="151"/>
    </row>
    <row r="120" spans="1:240" ht="14" thickBot="1">
      <c r="A120" s="342" t="s">
        <v>276</v>
      </c>
      <c r="B120" s="342"/>
      <c r="C120" s="342"/>
    </row>
    <row r="121" spans="1:240" ht="13.5">
      <c r="A121" s="671" t="s">
        <v>0</v>
      </c>
      <c r="B121" s="672"/>
      <c r="C121" s="672"/>
      <c r="D121" s="344" t="s">
        <v>251</v>
      </c>
      <c r="E121" s="344" t="s">
        <v>252</v>
      </c>
      <c r="F121" s="344" t="s">
        <v>253</v>
      </c>
      <c r="G121" s="344" t="s">
        <v>254</v>
      </c>
      <c r="H121" s="344" t="s">
        <v>255</v>
      </c>
      <c r="I121" s="344" t="s">
        <v>256</v>
      </c>
      <c r="J121" s="344" t="s">
        <v>257</v>
      </c>
      <c r="K121" s="344" t="s">
        <v>258</v>
      </c>
      <c r="L121" s="344" t="s">
        <v>259</v>
      </c>
      <c r="M121" s="344" t="s">
        <v>260</v>
      </c>
      <c r="N121" s="344" t="s">
        <v>261</v>
      </c>
      <c r="O121" s="344" t="s">
        <v>262</v>
      </c>
      <c r="P121" s="345" t="s">
        <v>274</v>
      </c>
    </row>
    <row r="122" spans="1:240">
      <c r="A122" s="683" t="s">
        <v>51</v>
      </c>
      <c r="B122" s="684"/>
      <c r="C122" s="684"/>
      <c r="D122" s="195" t="s">
        <v>659</v>
      </c>
      <c r="E122" s="195" t="s">
        <v>650</v>
      </c>
      <c r="F122" s="195" t="s">
        <v>649</v>
      </c>
      <c r="G122" s="195" t="s">
        <v>670</v>
      </c>
      <c r="H122" s="195" t="s">
        <v>617</v>
      </c>
      <c r="I122" s="195" t="s">
        <v>659</v>
      </c>
      <c r="J122" s="195" t="s">
        <v>650</v>
      </c>
      <c r="K122" s="195" t="s">
        <v>619</v>
      </c>
      <c r="L122" s="195" t="s">
        <v>675</v>
      </c>
      <c r="M122" s="195" t="s">
        <v>618</v>
      </c>
      <c r="N122" s="195" t="s">
        <v>616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3" t="s">
        <v>52</v>
      </c>
      <c r="B123" s="684"/>
      <c r="C123" s="684"/>
      <c r="D123" s="195" t="s">
        <v>660</v>
      </c>
      <c r="E123" s="195" t="s">
        <v>660</v>
      </c>
      <c r="F123" s="195" t="s">
        <v>649</v>
      </c>
      <c r="G123" s="195" t="s">
        <v>670</v>
      </c>
      <c r="H123" s="195" t="s">
        <v>615</v>
      </c>
      <c r="I123" s="195" t="s">
        <v>650</v>
      </c>
      <c r="J123" s="195" t="s">
        <v>650</v>
      </c>
      <c r="K123" s="195" t="s">
        <v>655</v>
      </c>
      <c r="L123" s="195" t="s">
        <v>616</v>
      </c>
      <c r="M123" s="195" t="s">
        <v>616</v>
      </c>
      <c r="N123" s="195" t="s">
        <v>616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3" t="s">
        <v>53</v>
      </c>
      <c r="B124" s="684"/>
      <c r="C124" s="684"/>
      <c r="D124" s="195" t="s">
        <v>636</v>
      </c>
      <c r="E124" s="195" t="s">
        <v>636</v>
      </c>
      <c r="F124" s="195" t="s">
        <v>637</v>
      </c>
      <c r="G124" s="195" t="s">
        <v>637</v>
      </c>
      <c r="H124" s="195" t="s">
        <v>634</v>
      </c>
      <c r="I124" s="195" t="s">
        <v>620</v>
      </c>
      <c r="J124" s="195" t="s">
        <v>636</v>
      </c>
      <c r="K124" s="195" t="s">
        <v>620</v>
      </c>
      <c r="L124" s="195" t="s">
        <v>634</v>
      </c>
      <c r="M124" s="195" t="s">
        <v>620</v>
      </c>
      <c r="N124" s="195" t="s">
        <v>687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709" t="s">
        <v>54</v>
      </c>
      <c r="B125" s="710"/>
      <c r="C125" s="711"/>
      <c r="D125" s="199" t="s">
        <v>655</v>
      </c>
      <c r="E125" s="199" t="s">
        <v>615</v>
      </c>
      <c r="F125" s="199" t="s">
        <v>670</v>
      </c>
      <c r="G125" s="199" t="s">
        <v>670</v>
      </c>
      <c r="H125" s="199" t="s">
        <v>617</v>
      </c>
      <c r="I125" s="199" t="s">
        <v>659</v>
      </c>
      <c r="J125" s="199" t="s">
        <v>616</v>
      </c>
      <c r="K125" s="199" t="s">
        <v>659</v>
      </c>
      <c r="L125" s="199" t="s">
        <v>618</v>
      </c>
      <c r="M125" s="199" t="s">
        <v>659</v>
      </c>
      <c r="N125" s="199" t="s">
        <v>659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3" t="s">
        <v>11</v>
      </c>
      <c r="B126" s="684"/>
      <c r="C126" s="684"/>
      <c r="D126" s="195" t="s">
        <v>634</v>
      </c>
      <c r="E126" s="195" t="s">
        <v>621</v>
      </c>
      <c r="F126" s="195" t="s">
        <v>621</v>
      </c>
      <c r="G126" s="195" t="s">
        <v>621</v>
      </c>
      <c r="H126" s="195" t="s">
        <v>621</v>
      </c>
      <c r="I126" s="195" t="s">
        <v>621</v>
      </c>
      <c r="J126" s="195" t="s">
        <v>622</v>
      </c>
      <c r="K126" s="195" t="s">
        <v>621</v>
      </c>
      <c r="L126" s="195" t="s">
        <v>621</v>
      </c>
      <c r="M126" s="195" t="s">
        <v>621</v>
      </c>
      <c r="N126" s="195" t="s">
        <v>622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3" t="s">
        <v>12</v>
      </c>
      <c r="B127" s="684"/>
      <c r="C127" s="684"/>
      <c r="D127" s="195" t="s">
        <v>688</v>
      </c>
      <c r="E127" s="195" t="s">
        <v>689</v>
      </c>
      <c r="F127" s="195" t="s">
        <v>684</v>
      </c>
      <c r="G127" s="195" t="s">
        <v>690</v>
      </c>
      <c r="H127" s="195" t="s">
        <v>691</v>
      </c>
      <c r="I127" s="195" t="s">
        <v>692</v>
      </c>
      <c r="J127" s="195" t="s">
        <v>630</v>
      </c>
      <c r="K127" s="195" t="s">
        <v>693</v>
      </c>
      <c r="L127" s="195" t="s">
        <v>694</v>
      </c>
      <c r="M127" s="195" t="s">
        <v>695</v>
      </c>
      <c r="N127" s="195" t="s">
        <v>696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3" t="s">
        <v>13</v>
      </c>
      <c r="B128" s="684"/>
      <c r="C128" s="684"/>
      <c r="D128" s="195" t="s">
        <v>633</v>
      </c>
      <c r="E128" s="195" t="s">
        <v>634</v>
      </c>
      <c r="F128" s="195" t="s">
        <v>635</v>
      </c>
      <c r="G128" s="195" t="s">
        <v>636</v>
      </c>
      <c r="H128" s="195" t="s">
        <v>664</v>
      </c>
      <c r="I128" s="195" t="s">
        <v>637</v>
      </c>
      <c r="J128" s="195" t="s">
        <v>633</v>
      </c>
      <c r="K128" s="195" t="s">
        <v>637</v>
      </c>
      <c r="L128" s="195" t="s">
        <v>637</v>
      </c>
      <c r="M128" s="195" t="s">
        <v>635</v>
      </c>
      <c r="N128" s="195" t="s">
        <v>634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3" t="s">
        <v>20</v>
      </c>
      <c r="B129" s="684"/>
      <c r="C129" s="684"/>
      <c r="D129" s="195" t="s">
        <v>663</v>
      </c>
      <c r="E129" s="195" t="s">
        <v>654</v>
      </c>
      <c r="F129" s="195" t="s">
        <v>668</v>
      </c>
      <c r="G129" s="195" t="s">
        <v>671</v>
      </c>
      <c r="H129" s="195" t="s">
        <v>668</v>
      </c>
      <c r="I129" s="195" t="s">
        <v>672</v>
      </c>
      <c r="J129" s="195" t="s">
        <v>693</v>
      </c>
      <c r="K129" s="195" t="s">
        <v>697</v>
      </c>
      <c r="L129" s="195" t="s">
        <v>658</v>
      </c>
      <c r="M129" s="195" t="s">
        <v>681</v>
      </c>
      <c r="N129" s="195" t="s">
        <v>666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3" thickBot="1">
      <c r="A130" s="702" t="s">
        <v>15</v>
      </c>
      <c r="B130" s="703"/>
      <c r="C130" s="703"/>
      <c r="D130" s="201" t="s">
        <v>616</v>
      </c>
      <c r="E130" s="201" t="s">
        <v>617</v>
      </c>
      <c r="F130" s="201" t="s">
        <v>647</v>
      </c>
      <c r="G130" s="201" t="s">
        <v>648</v>
      </c>
      <c r="H130" s="201" t="s">
        <v>616</v>
      </c>
      <c r="I130" s="201" t="s">
        <v>659</v>
      </c>
      <c r="J130" s="201" t="s">
        <v>662</v>
      </c>
      <c r="K130" s="201" t="s">
        <v>649</v>
      </c>
      <c r="L130" s="201" t="s">
        <v>618</v>
      </c>
      <c r="M130" s="201" t="s">
        <v>651</v>
      </c>
      <c r="N130" s="201" t="s">
        <v>652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3" t="s">
        <v>22</v>
      </c>
      <c r="B131" s="684"/>
      <c r="C131" s="684"/>
      <c r="D131" s="195" t="s">
        <v>615</v>
      </c>
      <c r="E131" s="195" t="s">
        <v>670</v>
      </c>
      <c r="F131" s="195" t="s">
        <v>687</v>
      </c>
      <c r="G131" s="195" t="s">
        <v>634</v>
      </c>
      <c r="H131" s="195" t="s">
        <v>620</v>
      </c>
      <c r="I131" s="195" t="s">
        <v>648</v>
      </c>
      <c r="J131" s="195" t="s">
        <v>648</v>
      </c>
      <c r="K131" s="195" t="s">
        <v>647</v>
      </c>
      <c r="L131" s="195" t="s">
        <v>615</v>
      </c>
      <c r="M131" s="195" t="s">
        <v>649</v>
      </c>
      <c r="N131" s="195" t="s">
        <v>655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712" t="s">
        <v>23</v>
      </c>
      <c r="B132" s="713"/>
      <c r="C132" s="714"/>
      <c r="D132" s="260" t="s">
        <v>640</v>
      </c>
      <c r="E132" s="260" t="s">
        <v>635</v>
      </c>
      <c r="F132" s="260" t="s">
        <v>622</v>
      </c>
      <c r="G132" s="260" t="s">
        <v>622</v>
      </c>
      <c r="H132" s="260" t="s">
        <v>664</v>
      </c>
      <c r="I132" s="260" t="s">
        <v>622</v>
      </c>
      <c r="J132" s="260" t="s">
        <v>665</v>
      </c>
      <c r="K132" s="260" t="s">
        <v>622</v>
      </c>
      <c r="L132" s="260" t="s">
        <v>622</v>
      </c>
      <c r="M132" s="260" t="s">
        <v>622</v>
      </c>
      <c r="N132" s="260" t="s">
        <v>622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712" t="s">
        <v>24</v>
      </c>
      <c r="B133" s="713"/>
      <c r="C133" s="714"/>
      <c r="D133" s="260" t="s">
        <v>698</v>
      </c>
      <c r="E133" s="260" t="s">
        <v>643</v>
      </c>
      <c r="F133" s="260" t="s">
        <v>699</v>
      </c>
      <c r="G133" s="260" t="s">
        <v>648</v>
      </c>
      <c r="H133" s="260" t="s">
        <v>617</v>
      </c>
      <c r="I133" s="260" t="s">
        <v>615</v>
      </c>
      <c r="J133" s="260" t="s">
        <v>619</v>
      </c>
      <c r="K133" s="260" t="s">
        <v>647</v>
      </c>
      <c r="L133" s="260" t="s">
        <v>649</v>
      </c>
      <c r="M133" s="260" t="s">
        <v>617</v>
      </c>
      <c r="N133" s="260" t="s">
        <v>649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712" t="s">
        <v>25</v>
      </c>
      <c r="B134" s="713"/>
      <c r="C134" s="714"/>
      <c r="D134" s="260" t="s">
        <v>669</v>
      </c>
      <c r="E134" s="260" t="s">
        <v>668</v>
      </c>
      <c r="F134" s="260" t="s">
        <v>668</v>
      </c>
      <c r="G134" s="260" t="s">
        <v>699</v>
      </c>
      <c r="H134" s="260" t="s">
        <v>650</v>
      </c>
      <c r="I134" s="260" t="s">
        <v>651</v>
      </c>
      <c r="J134" s="260" t="s">
        <v>661</v>
      </c>
      <c r="K134" s="260" t="s">
        <v>661</v>
      </c>
      <c r="L134" s="260" t="s">
        <v>700</v>
      </c>
      <c r="M134" s="260" t="s">
        <v>652</v>
      </c>
      <c r="N134" s="260" t="s">
        <v>682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712" t="s">
        <v>26</v>
      </c>
      <c r="B135" s="713"/>
      <c r="C135" s="714"/>
      <c r="D135" s="260" t="s">
        <v>701</v>
      </c>
      <c r="E135" s="260" t="s">
        <v>702</v>
      </c>
      <c r="F135" s="260" t="s">
        <v>681</v>
      </c>
      <c r="G135" s="260" t="s">
        <v>674</v>
      </c>
      <c r="H135" s="260" t="s">
        <v>703</v>
      </c>
      <c r="I135" s="260" t="s">
        <v>667</v>
      </c>
      <c r="J135" s="260" t="s">
        <v>659</v>
      </c>
      <c r="K135" s="260" t="s">
        <v>689</v>
      </c>
      <c r="L135" s="260" t="s">
        <v>684</v>
      </c>
      <c r="M135" s="260" t="s">
        <v>700</v>
      </c>
      <c r="N135" s="260" t="s">
        <v>638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3" thickBot="1">
      <c r="A136" s="746" t="s">
        <v>27</v>
      </c>
      <c r="B136" s="747"/>
      <c r="C136" s="748"/>
      <c r="D136" s="260" t="s">
        <v>685</v>
      </c>
      <c r="E136" s="260" t="s">
        <v>685</v>
      </c>
      <c r="F136" s="260" t="s">
        <v>685</v>
      </c>
      <c r="G136" s="260" t="s">
        <v>685</v>
      </c>
      <c r="H136" s="260" t="s">
        <v>685</v>
      </c>
      <c r="I136" s="260" t="s">
        <v>685</v>
      </c>
      <c r="J136" s="260" t="s">
        <v>685</v>
      </c>
      <c r="K136" s="260" t="s">
        <v>685</v>
      </c>
      <c r="L136" s="260" t="s">
        <v>685</v>
      </c>
      <c r="M136" s="260" t="s">
        <v>685</v>
      </c>
      <c r="N136" s="260" t="s">
        <v>685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9" t="s">
        <v>30</v>
      </c>
      <c r="B137" s="750"/>
      <c r="C137" s="751"/>
      <c r="D137" s="282" t="s">
        <v>685</v>
      </c>
      <c r="E137" s="282" t="s">
        <v>685</v>
      </c>
      <c r="F137" s="282" t="s">
        <v>685</v>
      </c>
      <c r="G137" s="282" t="s">
        <v>685</v>
      </c>
      <c r="H137" s="282" t="s">
        <v>685</v>
      </c>
      <c r="I137" s="282" t="s">
        <v>685</v>
      </c>
      <c r="J137" s="282" t="s">
        <v>685</v>
      </c>
      <c r="K137" s="282" t="s">
        <v>685</v>
      </c>
      <c r="L137" s="282" t="s">
        <v>685</v>
      </c>
      <c r="M137" s="282" t="s">
        <v>685</v>
      </c>
      <c r="N137" s="282" t="s">
        <v>685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2" t="s">
        <v>31</v>
      </c>
      <c r="B138" s="713"/>
      <c r="C138" s="714"/>
      <c r="D138" s="195" t="s">
        <v>685</v>
      </c>
      <c r="E138" s="195" t="s">
        <v>685</v>
      </c>
      <c r="F138" s="195" t="s">
        <v>685</v>
      </c>
      <c r="G138" s="195" t="s">
        <v>685</v>
      </c>
      <c r="H138" s="195" t="s">
        <v>685</v>
      </c>
      <c r="I138" s="195" t="s">
        <v>685</v>
      </c>
      <c r="J138" s="195" t="s">
        <v>685</v>
      </c>
      <c r="K138" s="195" t="s">
        <v>685</v>
      </c>
      <c r="L138" s="195" t="s">
        <v>685</v>
      </c>
      <c r="M138" s="195" t="s">
        <v>685</v>
      </c>
      <c r="N138" s="195" t="s">
        <v>685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2" t="s">
        <v>32</v>
      </c>
      <c r="B139" s="713"/>
      <c r="C139" s="714"/>
      <c r="D139" s="195" t="s">
        <v>685</v>
      </c>
      <c r="E139" s="195" t="s">
        <v>685</v>
      </c>
      <c r="F139" s="195" t="s">
        <v>685</v>
      </c>
      <c r="G139" s="195" t="s">
        <v>685</v>
      </c>
      <c r="H139" s="195" t="s">
        <v>685</v>
      </c>
      <c r="I139" s="195" t="s">
        <v>685</v>
      </c>
      <c r="J139" s="195" t="s">
        <v>685</v>
      </c>
      <c r="K139" s="195" t="s">
        <v>685</v>
      </c>
      <c r="L139" s="195" t="s">
        <v>685</v>
      </c>
      <c r="M139" s="195" t="s">
        <v>685</v>
      </c>
      <c r="N139" s="195" t="s">
        <v>685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2" t="s">
        <v>33</v>
      </c>
      <c r="B140" s="713"/>
      <c r="C140" s="714"/>
      <c r="D140" s="195" t="s">
        <v>685</v>
      </c>
      <c r="E140" s="195" t="s">
        <v>685</v>
      </c>
      <c r="F140" s="195" t="s">
        <v>685</v>
      </c>
      <c r="G140" s="195" t="s">
        <v>685</v>
      </c>
      <c r="H140" s="195" t="s">
        <v>685</v>
      </c>
      <c r="I140" s="195" t="s">
        <v>685</v>
      </c>
      <c r="J140" s="195" t="s">
        <v>685</v>
      </c>
      <c r="K140" s="195" t="s">
        <v>685</v>
      </c>
      <c r="L140" s="195" t="s">
        <v>685</v>
      </c>
      <c r="M140" s="195" t="s">
        <v>685</v>
      </c>
      <c r="N140" s="195" t="s">
        <v>685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3" thickBot="1">
      <c r="A141" s="753" t="s">
        <v>34</v>
      </c>
      <c r="B141" s="747"/>
      <c r="C141" s="748"/>
      <c r="D141" s="411" t="s">
        <v>685</v>
      </c>
      <c r="E141" s="411" t="s">
        <v>685</v>
      </c>
      <c r="F141" s="411" t="s">
        <v>685</v>
      </c>
      <c r="G141" s="411" t="s">
        <v>685</v>
      </c>
      <c r="H141" s="411" t="s">
        <v>685</v>
      </c>
      <c r="I141" s="411" t="s">
        <v>685</v>
      </c>
      <c r="J141" s="411" t="s">
        <v>685</v>
      </c>
      <c r="K141" s="411" t="s">
        <v>685</v>
      </c>
      <c r="L141" s="411" t="s">
        <v>685</v>
      </c>
      <c r="M141" s="411" t="s">
        <v>685</v>
      </c>
      <c r="N141" s="411" t="s">
        <v>685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3">
      <c r="A142" s="151"/>
      <c r="B142" s="203"/>
      <c r="C142" s="203"/>
    </row>
    <row r="143" spans="1:240" ht="14" thickBot="1">
      <c r="A143" s="342" t="s">
        <v>277</v>
      </c>
      <c r="B143" s="342"/>
      <c r="C143" s="342"/>
    </row>
    <row r="144" spans="1:240" ht="13.5">
      <c r="A144" s="671" t="s">
        <v>0</v>
      </c>
      <c r="B144" s="672"/>
      <c r="C144" s="672"/>
      <c r="D144" s="344" t="s">
        <v>251</v>
      </c>
      <c r="E144" s="344" t="s">
        <v>252</v>
      </c>
      <c r="F144" s="344" t="s">
        <v>253</v>
      </c>
      <c r="G144" s="344" t="s">
        <v>254</v>
      </c>
      <c r="H144" s="344" t="s">
        <v>255</v>
      </c>
      <c r="I144" s="344" t="s">
        <v>256</v>
      </c>
      <c r="J144" s="344" t="s">
        <v>257</v>
      </c>
      <c r="K144" s="344" t="s">
        <v>258</v>
      </c>
      <c r="L144" s="344" t="s">
        <v>259</v>
      </c>
      <c r="M144" s="344" t="s">
        <v>260</v>
      </c>
      <c r="N144" s="344" t="s">
        <v>261</v>
      </c>
      <c r="O144" s="344" t="s">
        <v>262</v>
      </c>
      <c r="P144" s="345" t="s">
        <v>263</v>
      </c>
    </row>
    <row r="145" spans="1:240">
      <c r="A145" s="715" t="s">
        <v>10</v>
      </c>
      <c r="B145" s="716"/>
      <c r="C145" s="716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707" t="s">
        <v>11</v>
      </c>
      <c r="B146" s="708"/>
      <c r="C146" s="708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707" t="s">
        <v>12</v>
      </c>
      <c r="B147" s="708"/>
      <c r="C147" s="708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707" t="s">
        <v>13</v>
      </c>
      <c r="B148" s="708"/>
      <c r="C148" s="708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707" t="s">
        <v>20</v>
      </c>
      <c r="B149" s="708"/>
      <c r="C149" s="708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737" t="s">
        <v>15</v>
      </c>
      <c r="B150" s="738"/>
      <c r="C150" s="738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65" t="s">
        <v>16</v>
      </c>
      <c r="B151" s="666"/>
      <c r="C151" s="666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734" t="s">
        <v>48</v>
      </c>
      <c r="B152" s="735"/>
      <c r="C152" s="736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3" t="s">
        <v>22</v>
      </c>
      <c r="B153" s="684"/>
      <c r="C153" s="684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712" t="s">
        <v>23</v>
      </c>
      <c r="B154" s="713"/>
      <c r="C154" s="714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712" t="s">
        <v>24</v>
      </c>
      <c r="B155" s="713"/>
      <c r="C155" s="714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712" t="s">
        <v>25</v>
      </c>
      <c r="B156" s="713"/>
      <c r="C156" s="714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712" t="s">
        <v>26</v>
      </c>
      <c r="B157" s="713"/>
      <c r="C157" s="714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712" t="s">
        <v>27</v>
      </c>
      <c r="B158" s="713"/>
      <c r="C158" s="714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" thickBot="1">
      <c r="A159" s="728" t="s">
        <v>49</v>
      </c>
      <c r="B159" s="729"/>
      <c r="C159" s="730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54" t="s">
        <v>30</v>
      </c>
      <c r="B160" s="755"/>
      <c r="C160" s="755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707" t="s">
        <v>31</v>
      </c>
      <c r="B161" s="708"/>
      <c r="C161" s="708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707" t="s">
        <v>32</v>
      </c>
      <c r="B162" s="708"/>
      <c r="C162" s="708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33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737" t="s">
        <v>34</v>
      </c>
      <c r="B164" s="738"/>
      <c r="C164" s="738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" thickBot="1">
      <c r="A165" s="740" t="s">
        <v>29</v>
      </c>
      <c r="B165" s="741"/>
      <c r="C165" s="742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N10" sqref="N10"/>
    </sheetView>
  </sheetViews>
  <sheetFormatPr defaultColWidth="9" defaultRowHeight="12.5"/>
  <cols>
    <col min="1" max="1" width="3.36328125" style="343" customWidth="1"/>
    <col min="2" max="2" width="4.453125" style="343" customWidth="1"/>
    <col min="3" max="3" width="24.26953125" style="343" bestFit="1" customWidth="1"/>
    <col min="4" max="4" width="10.36328125" style="343" customWidth="1"/>
    <col min="5" max="5" width="10" style="343" customWidth="1"/>
    <col min="6" max="6" width="11.08984375" style="343" bestFit="1" customWidth="1"/>
    <col min="7" max="8" width="11.453125" style="343" bestFit="1" customWidth="1"/>
    <col min="9" max="15" width="10.36328125" style="343" customWidth="1"/>
    <col min="16" max="16" width="10.36328125" style="343" bestFit="1" customWidth="1"/>
    <col min="17" max="17" width="19.7265625" style="343" customWidth="1"/>
    <col min="18" max="18" width="3.36328125" style="343" customWidth="1"/>
    <col min="19" max="19" width="12.7265625" style="343" customWidth="1"/>
    <col min="20" max="23" width="9.6328125" style="343" bestFit="1" customWidth="1"/>
    <col min="24" max="29" width="10.08984375" style="343" bestFit="1" customWidth="1"/>
    <col min="30" max="16384" width="9" style="343"/>
  </cols>
  <sheetData>
    <row r="1" spans="1:256" ht="14" thickBot="1">
      <c r="A1" s="342" t="s">
        <v>285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286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71" t="s">
        <v>0</v>
      </c>
      <c r="B2" s="672"/>
      <c r="C2" s="672"/>
      <c r="D2" s="344" t="s">
        <v>251</v>
      </c>
      <c r="E2" s="344" t="s">
        <v>252</v>
      </c>
      <c r="F2" s="344" t="s">
        <v>253</v>
      </c>
      <c r="G2" s="344" t="s">
        <v>254</v>
      </c>
      <c r="H2" s="344" t="s">
        <v>255</v>
      </c>
      <c r="I2" s="344" t="s">
        <v>256</v>
      </c>
      <c r="J2" s="344" t="s">
        <v>257</v>
      </c>
      <c r="K2" s="344" t="s">
        <v>258</v>
      </c>
      <c r="L2" s="344" t="s">
        <v>259</v>
      </c>
      <c r="M2" s="344" t="s">
        <v>260</v>
      </c>
      <c r="N2" s="344" t="s">
        <v>261</v>
      </c>
      <c r="O2" s="344" t="s">
        <v>262</v>
      </c>
      <c r="P2" s="345" t="s">
        <v>263</v>
      </c>
      <c r="Q2" s="463" t="s">
        <v>287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673" t="s">
        <v>8</v>
      </c>
      <c r="B3" s="674"/>
      <c r="C3" s="67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568641493.45188653</v>
      </c>
      <c r="I3" s="431">
        <f t="shared" si="0"/>
        <v>557360747.80289149</v>
      </c>
      <c r="J3" s="431">
        <f t="shared" si="0"/>
        <v>561833929.14141428</v>
      </c>
      <c r="K3" s="431">
        <f t="shared" si="0"/>
        <v>578452665.25418806</v>
      </c>
      <c r="L3" s="431">
        <f t="shared" si="0"/>
        <v>555562609.57837629</v>
      </c>
      <c r="M3" s="431">
        <f t="shared" si="0"/>
        <v>550626352.92796946</v>
      </c>
      <c r="N3" s="431">
        <f t="shared" si="0"/>
        <v>546436332.64244449</v>
      </c>
      <c r="O3" s="431">
        <f t="shared" si="0"/>
        <v>562171068.81954026</v>
      </c>
      <c r="P3" s="431">
        <f>P4+P11+P16+P24</f>
        <v>625094634.62922966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669" t="s">
        <v>9</v>
      </c>
      <c r="C4" s="670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348409810.18562704</v>
      </c>
      <c r="I4" s="351">
        <f t="shared" si="1"/>
        <v>342419959.59254318</v>
      </c>
      <c r="J4" s="351">
        <f t="shared" si="1"/>
        <v>349864689.34997547</v>
      </c>
      <c r="K4" s="351">
        <f t="shared" si="1"/>
        <v>358365875.91485548</v>
      </c>
      <c r="L4" s="351">
        <f t="shared" si="1"/>
        <v>340822413.05917668</v>
      </c>
      <c r="M4" s="351">
        <f t="shared" si="1"/>
        <v>337936960.78214312</v>
      </c>
      <c r="N4" s="351">
        <f t="shared" si="1"/>
        <v>333254025.48368216</v>
      </c>
      <c r="O4" s="351">
        <f t="shared" si="1"/>
        <v>346278957.30429709</v>
      </c>
      <c r="P4" s="351">
        <f>SUM(P5:P10)</f>
        <v>342886545.78391874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10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301200240.25110579</v>
      </c>
      <c r="I5" s="350">
        <v>296451024.60584056</v>
      </c>
      <c r="J5" s="350">
        <v>303603249.08621657</v>
      </c>
      <c r="K5" s="350">
        <v>311071324.98995745</v>
      </c>
      <c r="L5" s="350">
        <v>294268711.53800219</v>
      </c>
      <c r="M5" s="350">
        <v>292419281.62307173</v>
      </c>
      <c r="N5" s="350">
        <v>287810507.24077827</v>
      </c>
      <c r="O5" s="350">
        <v>298517831.81447417</v>
      </c>
      <c r="P5" s="350">
        <f t="shared" ref="P5:P10" si="2">AVERAGE(D5:O5)</f>
        <v>294777073.07571334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290636589.20204395</v>
      </c>
      <c r="X5" s="433">
        <f>SUM($D5:$I5)/6</f>
        <v>291605661.76934338</v>
      </c>
      <c r="Y5" s="433">
        <f t="shared" ref="Y5:Y10" si="3">SUM($D5:$J5)/7</f>
        <v>293319602.81461096</v>
      </c>
      <c r="Z5" s="433">
        <f>SUM($D5:$K5)/8</f>
        <v>295538568.08652925</v>
      </c>
      <c r="AA5" s="433">
        <f>SUM($D5:$L5)/9</f>
        <v>295397472.91447067</v>
      </c>
      <c r="AB5" s="433">
        <f>SUM($D5:$M5)/10</f>
        <v>295099653.78533077</v>
      </c>
      <c r="AC5" s="433">
        <f>SUM($D5:$N5)/11</f>
        <v>294437004.09946239</v>
      </c>
    </row>
    <row r="6" spans="1:256" ht="13.5">
      <c r="A6" s="126"/>
      <c r="B6" s="127"/>
      <c r="C6" s="128" t="s">
        <v>11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12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13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14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15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676" t="s">
        <v>16</v>
      </c>
      <c r="C11" s="677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17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18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19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20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669" t="s">
        <v>21</v>
      </c>
      <c r="C16" s="670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22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23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24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25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26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27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" thickBot="1">
      <c r="A23" s="126"/>
      <c r="B23" s="127"/>
      <c r="C23" s="138" t="s">
        <v>28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29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266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267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268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269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" thickBot="1">
      <c r="A29" s="126"/>
      <c r="B29" s="254"/>
      <c r="C29" s="233" t="s">
        <v>34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35</v>
      </c>
      <c r="B30" s="757"/>
      <c r="C30" s="356" t="s">
        <v>36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661"/>
      <c r="B31" s="662"/>
      <c r="C31" s="139" t="s">
        <v>37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661"/>
      <c r="B32" s="662"/>
      <c r="C32" s="239" t="s">
        <v>38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" thickBot="1">
      <c r="A33" s="663"/>
      <c r="B33" s="664"/>
      <c r="C33" s="146" t="s">
        <v>39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I18" sqref="I18"/>
    </sheetView>
  </sheetViews>
  <sheetFormatPr defaultColWidth="9" defaultRowHeight="17"/>
  <cols>
    <col min="1" max="1" width="14.453125" style="450" customWidth="1"/>
    <col min="2" max="13" width="16.26953125" style="450" bestFit="1" customWidth="1"/>
    <col min="14" max="14" width="16.08984375" style="450" bestFit="1" customWidth="1"/>
    <col min="15" max="16384" width="9" style="450"/>
  </cols>
  <sheetData>
    <row r="1" spans="1:14">
      <c r="A1" s="342" t="s">
        <v>288</v>
      </c>
    </row>
    <row r="2" spans="1:14" ht="17.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251</v>
      </c>
      <c r="C3" s="452" t="s">
        <v>252</v>
      </c>
      <c r="D3" s="452" t="s">
        <v>253</v>
      </c>
      <c r="E3" s="452" t="s">
        <v>254</v>
      </c>
      <c r="F3" s="452" t="s">
        <v>255</v>
      </c>
      <c r="G3" s="452" t="s">
        <v>256</v>
      </c>
      <c r="H3" s="452" t="s">
        <v>257</v>
      </c>
      <c r="I3" s="452" t="s">
        <v>258</v>
      </c>
      <c r="J3" s="452" t="s">
        <v>259</v>
      </c>
      <c r="K3" s="452" t="s">
        <v>260</v>
      </c>
      <c r="L3" s="452" t="s">
        <v>261</v>
      </c>
      <c r="M3" s="453" t="s">
        <v>262</v>
      </c>
      <c r="N3" s="454" t="s">
        <v>263</v>
      </c>
    </row>
    <row r="4" spans="1:14" ht="20">
      <c r="A4" s="455" t="s">
        <v>289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301200240.25110579</v>
      </c>
      <c r="G4" s="456">
        <v>296451024.60584056</v>
      </c>
      <c r="H4" s="456">
        <v>303603249.08621657</v>
      </c>
      <c r="I4" s="456">
        <v>311071324.98995745</v>
      </c>
      <c r="J4" s="456">
        <v>294268711.53800219</v>
      </c>
      <c r="K4" s="456">
        <v>292419281.62307173</v>
      </c>
      <c r="L4" s="456">
        <v>287810507.24077827</v>
      </c>
      <c r="M4" s="456">
        <v>298517831.81447417</v>
      </c>
      <c r="N4" s="457">
        <f>SUM(B4:M4)/12</f>
        <v>294777073.07571334</v>
      </c>
    </row>
    <row r="5" spans="1:14">
      <c r="A5" s="458" t="s">
        <v>290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144860270.46340305</v>
      </c>
      <c r="G5" s="456">
        <v>141605002.78633192</v>
      </c>
      <c r="H5" s="456">
        <v>146226268.07200274</v>
      </c>
      <c r="I5" s="456">
        <v>148658836.34660196</v>
      </c>
      <c r="J5" s="456">
        <v>136538554.22801971</v>
      </c>
      <c r="K5" s="456">
        <v>140878378.55540112</v>
      </c>
      <c r="L5" s="456">
        <v>131060899.50999315</v>
      </c>
      <c r="M5" s="456">
        <v>134813487.74489027</v>
      </c>
      <c r="N5" s="457">
        <f>SUM(B5:M5)/12</f>
        <v>138313960.45313308</v>
      </c>
    </row>
    <row r="6" spans="1:14">
      <c r="A6" s="458" t="s">
        <v>291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118750567.96497598</v>
      </c>
      <c r="G6" s="456">
        <v>119044552.87511206</v>
      </c>
      <c r="H6" s="456">
        <v>122405883.79289341</v>
      </c>
      <c r="I6" s="456">
        <v>127651285.04631273</v>
      </c>
      <c r="J6" s="456">
        <v>123272259.53525174</v>
      </c>
      <c r="K6" s="456">
        <v>117116707.37439159</v>
      </c>
      <c r="L6" s="456">
        <v>121192450.0133124</v>
      </c>
      <c r="M6" s="456">
        <v>126962834.42694396</v>
      </c>
      <c r="N6" s="457">
        <f>SUM(B6:M6)/12</f>
        <v>120204218.30837236</v>
      </c>
    </row>
    <row r="7" spans="1:14" ht="17.5" thickBot="1">
      <c r="A7" s="459" t="s">
        <v>292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800-000000000000}">
  <dimension ref="A1:AH6"/>
  <sheetViews>
    <sheetView workbookViewId="0" rightToLeft="false">
      <selection activeCell="H2" sqref="H2"/>
    </sheetView>
  </sheetViews>
  <sheetFormatPr defaultRowHeight="17"/>
  <cols>
    <col min="3" max="11" width="9.453125" bestFit="1" customWidth="1"/>
    <col min="12" max="33" width="10.453125" bestFit="1" customWidth="1"/>
  </cols>
  <sheetData>
    <row spans="1:34" outlineLevel="0" r="1">
      <c r="A1" s="466" t="inlineStr">
        <is>
          <t>YYMM</t>
        </is>
      </c>
      <c r="B1" s="466" t="inlineStr">
        <is>
          <t>SNO</t>
        </is>
      </c>
      <c r="C1" s="466" t="inlineStr">
        <is>
          <t>DATE01</t>
        </is>
      </c>
      <c r="D1" s="466" t="inlineStr">
        <is>
          <t>DATE02</t>
        </is>
      </c>
      <c r="E1" s="466" t="inlineStr">
        <is>
          <t>DATE03</t>
        </is>
      </c>
      <c r="F1" s="466" t="inlineStr">
        <is>
          <t>DATE04</t>
        </is>
      </c>
      <c r="G1" s="466" t="inlineStr">
        <is>
          <t>DATE05</t>
        </is>
      </c>
      <c r="H1" s="466" t="inlineStr">
        <is>
          <t>DATE06</t>
        </is>
      </c>
      <c r="I1" s="466" t="inlineStr">
        <is>
          <t>DATE07</t>
        </is>
      </c>
      <c r="J1" s="466" t="inlineStr">
        <is>
          <t>DATE08</t>
        </is>
      </c>
      <c r="K1" s="466" t="inlineStr">
        <is>
          <t>DATE09</t>
        </is>
      </c>
      <c r="L1" s="466" t="inlineStr">
        <is>
          <t>DATE10</t>
        </is>
      </c>
      <c r="M1" s="466" t="inlineStr">
        <is>
          <t>DATE11</t>
        </is>
      </c>
      <c r="N1" s="466" t="inlineStr">
        <is>
          <t>DATE12</t>
        </is>
      </c>
      <c r="O1" s="466" t="inlineStr">
        <is>
          <t>DATE13</t>
        </is>
      </c>
      <c r="P1" s="466" t="inlineStr">
        <is>
          <t>DATE14</t>
        </is>
      </c>
      <c r="Q1" s="466" t="inlineStr">
        <is>
          <t>DATE15</t>
        </is>
      </c>
      <c r="R1" s="466" t="inlineStr">
        <is>
          <t>DATE16</t>
        </is>
      </c>
      <c r="S1" s="466" t="inlineStr">
        <is>
          <t>DATE17</t>
        </is>
      </c>
      <c r="T1" s="466" t="inlineStr">
        <is>
          <t>DATE18</t>
        </is>
      </c>
      <c r="U1" s="466" t="inlineStr">
        <is>
          <t>DATE19</t>
        </is>
      </c>
      <c r="V1" s="466" t="inlineStr">
        <is>
          <t>DATE20</t>
        </is>
      </c>
      <c r="W1" s="466" t="inlineStr">
        <is>
          <t>DATE21</t>
        </is>
      </c>
      <c r="X1" s="466" t="inlineStr">
        <is>
          <t>DATE22</t>
        </is>
      </c>
      <c r="Y1" s="466" t="inlineStr">
        <is>
          <t>DATE23</t>
        </is>
      </c>
      <c r="Z1" s="466" t="inlineStr">
        <is>
          <t>DATE24</t>
        </is>
      </c>
      <c r="AA1" s="466" t="inlineStr">
        <is>
          <t>DATE25</t>
        </is>
      </c>
      <c r="AB1" s="466" t="inlineStr">
        <is>
          <t>DATE26</t>
        </is>
      </c>
      <c r="AC1" s="466" t="inlineStr">
        <is>
          <t>DATE27</t>
        </is>
      </c>
      <c r="AD1" s="466" t="inlineStr">
        <is>
          <t>DATE28</t>
        </is>
      </c>
      <c r="AE1" s="466" t="inlineStr">
        <is>
          <t>DATE29</t>
        </is>
      </c>
      <c r="AF1" s="466" t="inlineStr">
        <is>
          <t>DATE30</t>
        </is>
      </c>
      <c r="AG1" s="466" t="inlineStr">
        <is>
          <t>DATE31</t>
        </is>
      </c>
      <c r="AH1" t="s">
        <v>434</v>
      </c>
    </row>
    <row spans="1:34" outlineLevel="0" r="2">
      <c r="A2" s="466" t="inlineStr">
        <is>
          <t>202610</t>
        </is>
      </c>
      <c r="B2" s="466" t="inlineStr">
        <is>
          <t>1</t>
        </is>
      </c>
      <c r="C2" s="489" t="inlineStr">
        <is>
          <t>2026/10/01</t>
        </is>
      </c>
      <c r="D2" s="489" t="inlineStr">
        <is>
          <t>2026/10/02</t>
        </is>
      </c>
      <c r="E2" s="489" t="inlineStr">
        <is>
          <t>2026/10/03</t>
        </is>
      </c>
      <c r="F2" s="489" t="inlineStr">
        <is>
          <t>2026/10/04</t>
        </is>
      </c>
      <c r="G2" s="489" t="inlineStr">
        <is>
          <t>2026/10/05</t>
        </is>
      </c>
      <c r="H2" s="489" t="inlineStr">
        <is>
          <t>2026/10/06</t>
        </is>
      </c>
      <c r="I2" s="489" t="inlineStr">
        <is>
          <t>2026/10/07</t>
        </is>
      </c>
      <c r="J2" s="489" t="inlineStr">
        <is>
          <t>2026/10/08</t>
        </is>
      </c>
      <c r="K2" s="489" t="inlineStr">
        <is>
          <t>2026/10/09</t>
        </is>
      </c>
      <c r="L2" s="489" t="inlineStr">
        <is>
          <t>2026/10/10</t>
        </is>
      </c>
      <c r="M2" s="489" t="inlineStr">
        <is>
          <t>2026/10/11</t>
        </is>
      </c>
      <c r="N2" s="489" t="inlineStr">
        <is>
          <t>2026/10/12</t>
        </is>
      </c>
      <c r="O2" s="489" t="inlineStr">
        <is>
          <t>2026/10/13</t>
        </is>
      </c>
      <c r="P2" s="489" t="inlineStr">
        <is>
          <t>2026/10/14</t>
        </is>
      </c>
      <c r="Q2" s="489" t="inlineStr">
        <is>
          <t>2026/10/15</t>
        </is>
      </c>
      <c r="R2" s="489" t="inlineStr">
        <is>
          <t>2026/10/16</t>
        </is>
      </c>
      <c r="S2" s="489" t="inlineStr">
        <is>
          <t>2026/10/17</t>
        </is>
      </c>
      <c r="T2" s="489" t="inlineStr">
        <is>
          <t>2026/10/18</t>
        </is>
      </c>
      <c r="U2" s="489" t="inlineStr">
        <is>
          <t>2026/10/19</t>
        </is>
      </c>
      <c r="V2" s="489" t="inlineStr">
        <is>
          <t>2026/10/20</t>
        </is>
      </c>
      <c r="W2" s="489" t="inlineStr">
        <is>
          <t>2026/10/21</t>
        </is>
      </c>
      <c r="X2" s="489" t="inlineStr">
        <is>
          <t>2026/10/22</t>
        </is>
      </c>
      <c r="Y2" s="489" t="inlineStr">
        <is>
          <t>2026/10/23</t>
        </is>
      </c>
      <c r="Z2" s="489" t="inlineStr">
        <is>
          <t>2026/10/24</t>
        </is>
      </c>
      <c r="AA2" s="489" t="inlineStr">
        <is>
          <t>2026/10/25</t>
        </is>
      </c>
      <c r="AB2" s="489" t="inlineStr">
        <is>
          <t>2026/10/26</t>
        </is>
      </c>
      <c r="AC2" s="489" t="inlineStr">
        <is>
          <t>2026/10/27</t>
        </is>
      </c>
      <c r="AD2" s="489" t="inlineStr">
        <is>
          <t>2026/10/28</t>
        </is>
      </c>
      <c r="AE2" s="489" t="inlineStr">
        <is>
          <t>2026/10/29</t>
        </is>
      </c>
      <c r="AF2" s="489" t="inlineStr">
        <is>
          <t>2026/10/30</t>
        </is>
      </c>
      <c r="AG2" s="489" t="inlineStr">
        <is>
          <t>2026/10/31</t>
        </is>
      </c>
      <c r="AH2" s="465">
        <v>45628.2291731134</v>
      </c>
    </row>
    <row spans="1:34" outlineLevel="0" r="3">
      <c r="A3" s="466" t="inlineStr">
        <is>
          <t>202610</t>
        </is>
      </c>
      <c r="B3" s="466" t="inlineStr">
        <is>
          <t>2</t>
        </is>
      </c>
      <c r="C3" s="466" t="inlineStr">
        <is>
          <t>Thu</t>
        </is>
      </c>
      <c r="D3" s="466" t="inlineStr">
        <is>
          <t>Fri</t>
        </is>
      </c>
      <c r="E3" s="466" t="inlineStr">
        <is>
          <t>Sat</t>
        </is>
      </c>
      <c r="F3" s="466" t="inlineStr">
        <is>
          <t>Sun</t>
        </is>
      </c>
      <c r="G3" s="466" t="inlineStr">
        <is>
          <t>Mon</t>
        </is>
      </c>
      <c r="H3" s="466" t="inlineStr">
        <is>
          <t>Tue</t>
        </is>
      </c>
      <c r="I3" s="466" t="inlineStr">
        <is>
          <t>Wed</t>
        </is>
      </c>
      <c r="J3" s="466" t="inlineStr">
        <is>
          <t>Thu</t>
        </is>
      </c>
      <c r="K3" s="466" t="inlineStr">
        <is>
          <t>Fri</t>
        </is>
      </c>
      <c r="L3" s="466" t="inlineStr">
        <is>
          <t>Sat</t>
        </is>
      </c>
      <c r="M3" s="466" t="inlineStr">
        <is>
          <t>Sun</t>
        </is>
      </c>
      <c r="N3" s="466" t="inlineStr">
        <is>
          <t>Mon</t>
        </is>
      </c>
      <c r="O3" s="466" t="inlineStr">
        <is>
          <t>Tue</t>
        </is>
      </c>
      <c r="P3" s="466" t="inlineStr">
        <is>
          <t>Wed</t>
        </is>
      </c>
      <c r="Q3" s="466" t="inlineStr">
        <is>
          <t>Thu</t>
        </is>
      </c>
      <c r="R3" s="466" t="inlineStr">
        <is>
          <t>Fri</t>
        </is>
      </c>
      <c r="S3" s="466" t="inlineStr">
        <is>
          <t>Sat</t>
        </is>
      </c>
      <c r="T3" s="466" t="inlineStr">
        <is>
          <t>Sun</t>
        </is>
      </c>
      <c r="U3" s="466" t="inlineStr">
        <is>
          <t>Mon</t>
        </is>
      </c>
      <c r="V3" s="466" t="inlineStr">
        <is>
          <t>Tue</t>
        </is>
      </c>
      <c r="W3" s="466" t="inlineStr">
        <is>
          <t>Wed</t>
        </is>
      </c>
      <c r="X3" s="466" t="inlineStr">
        <is>
          <t>Thu</t>
        </is>
      </c>
      <c r="Y3" s="466" t="inlineStr">
        <is>
          <t>Fri</t>
        </is>
      </c>
      <c r="Z3" s="466" t="inlineStr">
        <is>
          <t>Sat</t>
        </is>
      </c>
      <c r="AA3" s="466" t="inlineStr">
        <is>
          <t>Sun</t>
        </is>
      </c>
      <c r="AB3" s="466" t="inlineStr">
        <is>
          <t>Mon</t>
        </is>
      </c>
      <c r="AC3" s="466" t="inlineStr">
        <is>
          <t>Tue</t>
        </is>
      </c>
      <c r="AD3" s="466" t="inlineStr">
        <is>
          <t>Wed</t>
        </is>
      </c>
      <c r="AE3" s="466" t="inlineStr">
        <is>
          <t>Thu</t>
        </is>
      </c>
      <c r="AF3" s="466" t="inlineStr">
        <is>
          <t>Fri</t>
        </is>
      </c>
      <c r="AG3" s="466" t="inlineStr">
        <is>
          <t>Sat</t>
        </is>
      </c>
      <c r="AH3" s="465">
        <v>45628.2291731134</v>
      </c>
    </row>
    <row spans="1:34" outlineLevel="0" r="5">
      <c r="C5" s="514"/>
    </row>
    <row spans="1:34" outlineLevel="0" r="6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900-000000000000}">
  <dimension ref="A1:AK28"/>
  <sheetViews>
    <sheetView workbookViewId="0" rightToLeft="false">
      <selection activeCell="N21" sqref="N21"/>
    </sheetView>
  </sheetViews>
  <sheetFormatPr defaultRowHeight="17"/>
  <cols>
    <col min="3" max="3" width="10.453125" bestFit="1" customWidth="1"/>
    <col min="4" max="4" width="9.453125" customWidth="1"/>
    <col min="5" max="7" width="10.453125" bestFit="1" customWidth="1"/>
    <col min="27" max="27" width="11.453125" customWidth="1"/>
    <col min="28" max="28" width="13.26953125" customWidth="1"/>
    <col min="35" max="36" width="10.453125" bestFit="1" customWidth="1"/>
  </cols>
  <sheetData>
    <row spans="1:37" outlineLevel="0" r="1">
      <c r="A1" s="1" t="inlineStr">
        <is>
          <t>YYMM</t>
        </is>
      </c>
      <c r="B1" s="1" t="inlineStr">
        <is>
          <t>FRCD</t>
        </is>
      </c>
      <c r="C1" s="1" t="inlineStr">
        <is>
          <t>DATE01</t>
        </is>
      </c>
      <c r="D1" s="1" t="inlineStr">
        <is>
          <t>DATE02</t>
        </is>
      </c>
      <c r="E1" s="1" t="inlineStr">
        <is>
          <t>DATE03</t>
        </is>
      </c>
      <c r="F1" s="1" t="inlineStr">
        <is>
          <t>DATE04</t>
        </is>
      </c>
      <c r="G1" s="1" t="inlineStr">
        <is>
          <t>DATE05</t>
        </is>
      </c>
      <c r="H1" s="1" t="inlineStr">
        <is>
          <t>DATE06</t>
        </is>
      </c>
      <c r="I1" s="1" t="inlineStr">
        <is>
          <t>DATE07</t>
        </is>
      </c>
      <c r="J1" s="1" t="inlineStr">
        <is>
          <t>DATE08</t>
        </is>
      </c>
      <c r="K1" s="1" t="inlineStr">
        <is>
          <t>DATE09</t>
        </is>
      </c>
      <c r="L1" s="1" t="inlineStr">
        <is>
          <t>DATE10</t>
        </is>
      </c>
      <c r="M1" s="1" t="inlineStr">
        <is>
          <t>DATE11</t>
        </is>
      </c>
      <c r="N1" s="1" t="inlineStr">
        <is>
          <t>DATE12</t>
        </is>
      </c>
      <c r="O1" s="1" t="inlineStr">
        <is>
          <t>DATE13</t>
        </is>
      </c>
      <c r="P1" s="1" t="inlineStr">
        <is>
          <t>DATE14</t>
        </is>
      </c>
      <c r="Q1" s="1" t="inlineStr">
        <is>
          <t>DATE15</t>
        </is>
      </c>
      <c r="R1" s="1" t="inlineStr">
        <is>
          <t>DATE16</t>
        </is>
      </c>
      <c r="S1" s="1" t="inlineStr">
        <is>
          <t>DATE17</t>
        </is>
      </c>
      <c r="T1" s="1" t="inlineStr">
        <is>
          <t>DATE18</t>
        </is>
      </c>
      <c r="U1" s="1" t="inlineStr">
        <is>
          <t>DATE19</t>
        </is>
      </c>
      <c r="V1" s="1" t="inlineStr">
        <is>
          <t>DATE20</t>
        </is>
      </c>
      <c r="W1" s="1" t="inlineStr">
        <is>
          <t>DATE21</t>
        </is>
      </c>
      <c r="X1" s="1" t="inlineStr">
        <is>
          <t>DATE22</t>
        </is>
      </c>
      <c r="Y1" s="1" t="inlineStr">
        <is>
          <t>DATE23</t>
        </is>
      </c>
      <c r="Z1" s="1" t="inlineStr">
        <is>
          <t>DATE24</t>
        </is>
      </c>
      <c r="AA1" s="1" t="inlineStr">
        <is>
          <t>DATE25</t>
        </is>
      </c>
      <c r="AB1" s="1" t="inlineStr">
        <is>
          <t>DATE26</t>
        </is>
      </c>
      <c r="AC1" s="1" t="inlineStr">
        <is>
          <t>DATE27</t>
        </is>
      </c>
      <c r="AD1" s="1" t="inlineStr">
        <is>
          <t>DATE28</t>
        </is>
      </c>
      <c r="AE1" s="1" t="inlineStr">
        <is>
          <t>DATE29</t>
        </is>
      </c>
      <c r="AF1" s="1" t="inlineStr">
        <is>
          <t>DATE30</t>
        </is>
      </c>
      <c r="AG1" s="1" t="inlineStr">
        <is>
          <t>DATE31</t>
        </is>
      </c>
      <c r="AH1" s="1" t="inlineStr">
        <is>
          <t>DIFFAMT</t>
        </is>
      </c>
      <c r="AI1" s="1" t="inlineStr">
        <is>
          <t>AVGAMT</t>
        </is>
      </c>
    </row>
    <row spans="1:37" outlineLevel="0" r="2">
      <c r="A2" s="1" t="inlineStr">
        <is>
          <t>202610</t>
        </is>
      </c>
      <c r="B2" s="1" t="inlineStr">
        <is>
          <t>01-A</t>
        </is>
      </c>
      <c r="C2" s="1" t="inlineStr">
        <is>
          <t>285008570.00</t>
        </is>
      </c>
      <c r="D2" s="1" t="inlineStr">
        <is>
          <t>284931299.00</t>
        </is>
      </c>
      <c r="E2" s="1" t="inlineStr">
        <is>
          <t>283220272.00</t>
        </is>
      </c>
      <c r="F2" s="1" t="inlineStr">
        <is>
          <t>283190667.00</t>
        </is>
      </c>
      <c r="G2" s="1" t="inlineStr">
        <is>
          <t>282153760.00</t>
        </is>
      </c>
      <c r="H2" s="1" t="inlineStr">
        <is>
          <t>280562283.00</t>
        </is>
      </c>
      <c r="I2" s="1" t="inlineStr">
        <is>
          <t>282539624.00</t>
        </is>
      </c>
      <c r="J2" s="1" t="inlineStr">
        <is>
          <t>282187994.00</t>
        </is>
      </c>
      <c r="K2" s="1" t="inlineStr">
        <is>
          <t>282191782.00</t>
        </is>
      </c>
      <c r="L2" s="1" t="inlineStr">
        <is>
          <t>282191782.00</t>
        </is>
      </c>
      <c r="M2" s="1" t="inlineStr">
        <is>
          <t>280376381.00</t>
        </is>
      </c>
      <c r="N2" s="1" t="inlineStr">
        <is>
          <t>278505106.00</t>
        </is>
      </c>
      <c r="O2" s="1" t="inlineStr">
        <is>
          <t>277888366.00</t>
        </is>
      </c>
      <c r="P2" s="1" t="inlineStr">
        <is>
          <t>278848813.00</t>
        </is>
      </c>
      <c r="Q2" s="1" t="inlineStr">
        <is>
          <t>277076160.00</t>
        </is>
      </c>
      <c r="R2" s="1" t="inlineStr">
        <is>
          <t>278064385.00</t>
        </is>
      </c>
      <c r="S2" s="1" t="inlineStr">
        <is>
          <t>277884748.00</t>
        </is>
      </c>
      <c r="T2" s="1" t="inlineStr">
        <is>
          <t>285563536.00</t>
        </is>
      </c>
      <c r="U2" s="1" t="inlineStr">
        <is>
          <t>284239527.00</t>
        </is>
      </c>
      <c r="V2" s="1" t="inlineStr">
        <is>
          <t>282880754.00</t>
        </is>
      </c>
      <c r="W2" s="1" t="inlineStr">
        <is>
          <t>284881822.00</t>
        </is>
      </c>
      <c r="X2" s="1" t="inlineStr">
        <is>
          <t>285369610.00</t>
        </is>
      </c>
      <c r="Y2" s="1" t="inlineStr">
        <is>
          <t>285325218.00</t>
        </is>
      </c>
      <c r="Z2" s="1" t="inlineStr">
        <is>
          <t>280596461.00</t>
        </is>
      </c>
      <c r="AA2" s="306" t="inlineStr">
        <is>
          <t>280572312.00</t>
        </is>
      </c>
      <c r="AB2" s="1" t="inlineStr">
        <is>
          <t>280452555.00</t>
        </is>
      </c>
      <c r="AC2" s="1" t="inlineStr">
        <is>
          <t>273752927.00</t>
        </is>
      </c>
      <c r="AD2" s="1" t="inlineStr">
        <is>
          <t>275572607.00</t>
        </is>
      </c>
      <c r="AE2" s="1" t="inlineStr">
        <is>
          <t>275674459.00</t>
        </is>
      </c>
      <c r="AF2" s="1" t="inlineStr">
        <is>
          <t>279173346.00</t>
        </is>
      </c>
      <c r="AG2" s="1" t="inlineStr">
        <is>
          <t>.00</t>
        </is>
      </c>
      <c r="AH2" s="1" t="inlineStr">
        <is>
          <t>3498887.00</t>
        </is>
      </c>
      <c r="AI2" s="1" t="inlineStr">
        <is>
          <t>281029237.53</t>
        </is>
      </c>
      <c r="AJ2">
        <v>214520184</v>
      </c>
      <c r="AK2" s="465">
        <v>43056.2292023611</v>
      </c>
    </row>
    <row spans="1:37" outlineLevel="0" r="3">
      <c r="A3" s="1" t="inlineStr">
        <is>
          <t>202610</t>
        </is>
      </c>
      <c r="B3" s="1" t="inlineStr">
        <is>
          <t>02-D</t>
        </is>
      </c>
      <c r="C3" s="1" t="inlineStr">
        <is>
          <t>179413299.00</t>
        </is>
      </c>
      <c r="D3" s="1" t="inlineStr">
        <is>
          <t>180048563.00</t>
        </is>
      </c>
      <c r="E3" s="1" t="inlineStr">
        <is>
          <t>179750898.00</t>
        </is>
      </c>
      <c r="F3" s="1" t="inlineStr">
        <is>
          <t>179750898.00</t>
        </is>
      </c>
      <c r="G3" s="1" t="inlineStr">
        <is>
          <t>180788183.00</t>
        </is>
      </c>
      <c r="H3" s="1" t="inlineStr">
        <is>
          <t>182666773.00</t>
        </is>
      </c>
      <c r="I3" s="1" t="inlineStr">
        <is>
          <t>181467929.00</t>
        </is>
      </c>
      <c r="J3" s="1" t="inlineStr">
        <is>
          <t>181957279.00</t>
        </is>
      </c>
      <c r="K3" s="1" t="inlineStr">
        <is>
          <t>181951637.00</t>
        </is>
      </c>
      <c r="L3" s="1" t="inlineStr">
        <is>
          <t>181951637.00</t>
        </is>
      </c>
      <c r="M3" s="1" t="inlineStr">
        <is>
          <t>181356342.00</t>
        </is>
      </c>
      <c r="N3" s="1" t="inlineStr">
        <is>
          <t>181021561.00</t>
        </is>
      </c>
      <c r="O3" s="1" t="inlineStr">
        <is>
          <t>180804549.00</t>
        </is>
      </c>
      <c r="P3" s="1" t="inlineStr">
        <is>
          <t>183399359.00</t>
        </is>
      </c>
      <c r="Q3" s="1" t="inlineStr">
        <is>
          <t>182507108.00</t>
        </is>
      </c>
      <c r="R3" s="1" t="inlineStr">
        <is>
          <t>184156931.00</t>
        </is>
      </c>
      <c r="S3" s="1" t="inlineStr">
        <is>
          <t>183098312.00</t>
        </is>
      </c>
      <c r="T3" s="1" t="inlineStr">
        <is>
          <t>185207594.00</t>
        </is>
      </c>
      <c r="U3" s="1" t="inlineStr">
        <is>
          <t>185593004.00</t>
        </is>
      </c>
      <c r="V3" s="1" t="inlineStr">
        <is>
          <t>184117753.00</t>
        </is>
      </c>
      <c r="W3" s="1" t="inlineStr">
        <is>
          <t>185110718.00</t>
        </is>
      </c>
      <c r="X3" s="1" t="inlineStr">
        <is>
          <t>186113633.00</t>
        </is>
      </c>
      <c r="Y3" s="1" t="inlineStr">
        <is>
          <t>186111801.00</t>
        </is>
      </c>
      <c r="Z3" s="1" t="inlineStr">
        <is>
          <t>183422460.00</t>
        </is>
      </c>
      <c r="AA3" s="1" t="inlineStr">
        <is>
          <t>183422460.00</t>
        </is>
      </c>
      <c r="AB3" s="1" t="inlineStr">
        <is>
          <t>183385911.00</t>
        </is>
      </c>
      <c r="AC3" s="1" t="inlineStr">
        <is>
          <t>180809094.00</t>
        </is>
      </c>
      <c r="AD3" s="1" t="inlineStr">
        <is>
          <t>180531172.00</t>
        </is>
      </c>
      <c r="AE3" s="1" t="inlineStr">
        <is>
          <t>181549429.00</t>
        </is>
      </c>
      <c r="AF3" s="1" t="inlineStr">
        <is>
          <t>185570864.00</t>
        </is>
      </c>
      <c r="AG3" s="1" t="inlineStr">
        <is>
          <t>.00</t>
        </is>
      </c>
      <c r="AH3" s="1" t="inlineStr">
        <is>
          <t>4021435.00</t>
        </is>
      </c>
      <c r="AI3" s="1" t="inlineStr">
        <is>
          <t>182567905.03</t>
        </is>
      </c>
      <c r="AJ3">
        <v>129394202</v>
      </c>
      <c r="AK3" s="465">
        <v>43056.2292023611</v>
      </c>
    </row>
    <row spans="1:37" outlineLevel="0" r="4">
      <c r="A4" s="1" t="inlineStr">
        <is>
          <t>202610</t>
        </is>
      </c>
      <c r="B4" s="1" t="inlineStr">
        <is>
          <t>03-J</t>
        </is>
      </c>
      <c r="C4" s="1" t="inlineStr">
        <is>
          <t>4855112.00</t>
        </is>
      </c>
      <c r="D4" s="1" t="inlineStr">
        <is>
          <t>5987077.00</t>
        </is>
      </c>
      <c r="E4" s="1" t="inlineStr">
        <is>
          <t>3953905.00</t>
        </is>
      </c>
      <c r="F4" s="1" t="inlineStr">
        <is>
          <t>3953905.00</t>
        </is>
      </c>
      <c r="G4" s="1" t="inlineStr">
        <is>
          <t>4723315.00</t>
        </is>
      </c>
      <c r="H4" s="1" t="inlineStr">
        <is>
          <t>3447295.00</t>
        </is>
      </c>
      <c r="I4" s="1" t="inlineStr">
        <is>
          <t>4936970.00</t>
        </is>
      </c>
      <c r="J4" s="1" t="inlineStr">
        <is>
          <t>4024729.00</t>
        </is>
      </c>
      <c r="K4" s="1" t="inlineStr">
        <is>
          <t>4024729.00</t>
        </is>
      </c>
      <c r="L4" s="1" t="inlineStr">
        <is>
          <t>4024729.00</t>
        </is>
      </c>
      <c r="M4" s="1" t="inlineStr">
        <is>
          <t>4024729.00</t>
        </is>
      </c>
      <c r="N4" s="1" t="inlineStr">
        <is>
          <t>4663789.00</t>
        </is>
      </c>
      <c r="O4" s="1" t="inlineStr">
        <is>
          <t>4830138.00</t>
        </is>
      </c>
      <c r="P4" s="1" t="inlineStr">
        <is>
          <t>4911043.00</t>
        </is>
      </c>
      <c r="Q4" s="1" t="inlineStr">
        <is>
          <t>4326248.00</t>
        </is>
      </c>
      <c r="R4" s="1" t="inlineStr">
        <is>
          <t>6307331.00</t>
        </is>
      </c>
      <c r="S4" s="1" t="inlineStr">
        <is>
          <t>4371888.00</t>
        </is>
      </c>
      <c r="T4" s="1" t="inlineStr">
        <is>
          <t>4371888.00</t>
        </is>
      </c>
      <c r="U4" s="1" t="inlineStr">
        <is>
          <t>3749722.00</t>
        </is>
      </c>
      <c r="V4" s="1" t="inlineStr">
        <is>
          <t>4505940.00</t>
        </is>
      </c>
      <c r="W4" s="1" t="inlineStr">
        <is>
          <t>5085153.00</t>
        </is>
      </c>
      <c r="X4" s="1" t="inlineStr">
        <is>
          <t>5226329.00</t>
        </is>
      </c>
      <c r="Y4" s="1" t="inlineStr">
        <is>
          <t>6858329.00</t>
        </is>
      </c>
      <c r="Z4" s="1" t="inlineStr">
        <is>
          <t>6374137.00</t>
        </is>
      </c>
      <c r="AA4" s="1" t="inlineStr">
        <is>
          <t>6374137.00</t>
        </is>
      </c>
      <c r="AB4" s="1" t="inlineStr">
        <is>
          <t>6374137.00</t>
        </is>
      </c>
      <c r="AC4" s="1" t="inlineStr">
        <is>
          <t>4368681.00</t>
        </is>
      </c>
      <c r="AD4" s="1" t="inlineStr">
        <is>
          <t>4917629.00</t>
        </is>
      </c>
      <c r="AE4" s="1" t="inlineStr">
        <is>
          <t>4686483.00</t>
        </is>
      </c>
      <c r="AF4" s="1" t="inlineStr">
        <is>
          <t>7689214.00</t>
        </is>
      </c>
      <c r="AG4" s="1" t="inlineStr">
        <is>
          <t>.00</t>
        </is>
      </c>
      <c r="AH4" s="1" t="inlineStr">
        <is>
          <t>3002731.00</t>
        </is>
      </c>
      <c r="AI4" s="1" t="inlineStr">
        <is>
          <t>4931623.70</t>
        </is>
      </c>
      <c r="AJ4">
        <v>7407477</v>
      </c>
      <c r="AK4" s="465">
        <v>43056.2292023611</v>
      </c>
    </row>
    <row spans="1:37" outlineLevel="0" r="5">
      <c r="A5" s="1" t="inlineStr">
        <is>
          <t>202610</t>
        </is>
      </c>
      <c r="B5" s="1" t="inlineStr">
        <is>
          <t>04-O</t>
        </is>
      </c>
      <c r="C5" s="1" t="inlineStr">
        <is>
          <t>13910059.00</t>
        </is>
      </c>
      <c r="D5" s="1" t="inlineStr">
        <is>
          <t>13765015.00</t>
        </is>
      </c>
      <c r="E5" s="1" t="inlineStr">
        <is>
          <t>13751165.00</t>
        </is>
      </c>
      <c r="F5" s="1" t="inlineStr">
        <is>
          <t>13751165.00</t>
        </is>
      </c>
      <c r="G5" s="1" t="inlineStr">
        <is>
          <t>13896532.00</t>
        </is>
      </c>
      <c r="H5" s="1" t="inlineStr">
        <is>
          <t>13645203.00</t>
        </is>
      </c>
      <c r="I5" s="1" t="inlineStr">
        <is>
          <t>13354301.00</t>
        </is>
      </c>
      <c r="J5" s="1" t="inlineStr">
        <is>
          <t>13241037.00</t>
        </is>
      </c>
      <c r="K5" s="1" t="inlineStr">
        <is>
          <t>13241037.00</t>
        </is>
      </c>
      <c r="L5" s="1" t="inlineStr">
        <is>
          <t>13241037.00</t>
        </is>
      </c>
      <c r="M5" s="1" t="inlineStr">
        <is>
          <t>13223815.00</t>
        </is>
      </c>
      <c r="N5" s="1" t="inlineStr">
        <is>
          <t>12870550.00</t>
        </is>
      </c>
      <c r="O5" s="1" t="inlineStr">
        <is>
          <t>12851916.00</t>
        </is>
      </c>
      <c r="P5" s="1" t="inlineStr">
        <is>
          <t>12801408.00</t>
        </is>
      </c>
      <c r="Q5" s="1" t="inlineStr">
        <is>
          <t>12865395.00</t>
        </is>
      </c>
      <c r="R5" s="1" t="inlineStr">
        <is>
          <t>12570503.00</t>
        </is>
      </c>
      <c r="S5" s="1" t="inlineStr">
        <is>
          <t>12565175.00</t>
        </is>
      </c>
      <c r="T5" s="1" t="inlineStr">
        <is>
          <t>12568408.00</t>
        </is>
      </c>
      <c r="U5" s="1" t="inlineStr">
        <is>
          <t>12489041.00</t>
        </is>
      </c>
      <c r="V5" s="1" t="inlineStr">
        <is>
          <t>12086512.00</t>
        </is>
      </c>
      <c r="W5" s="1" t="inlineStr">
        <is>
          <t>12089536.00</t>
        </is>
      </c>
      <c r="X5" s="1" t="inlineStr">
        <is>
          <t>11565608.00</t>
        </is>
      </c>
      <c r="Y5" s="1" t="inlineStr">
        <is>
          <t>11565608.00</t>
        </is>
      </c>
      <c r="Z5" s="1" t="inlineStr">
        <is>
          <t>11353298.00</t>
        </is>
      </c>
      <c r="AA5" s="1" t="inlineStr">
        <is>
          <t>11353298.00</t>
        </is>
      </c>
      <c r="AB5" s="1" t="inlineStr">
        <is>
          <t>11355812.00</t>
        </is>
      </c>
      <c r="AC5" s="1" t="inlineStr">
        <is>
          <t>10999666.00</t>
        </is>
      </c>
      <c r="AD5" s="1" t="inlineStr">
        <is>
          <t>10745697.00</t>
        </is>
      </c>
      <c r="AE5" s="1" t="inlineStr">
        <is>
          <t>10595037.00</t>
        </is>
      </c>
      <c r="AF5" s="1" t="inlineStr">
        <is>
          <t>10620164.00</t>
        </is>
      </c>
      <c r="AG5" s="1" t="inlineStr">
        <is>
          <t>.00</t>
        </is>
      </c>
      <c r="AH5" s="1" t="inlineStr">
        <is>
          <t>25127.00</t>
        </is>
      </c>
      <c r="AI5" s="1" t="inlineStr">
        <is>
          <t>12497766.60</t>
        </is>
      </c>
      <c r="AJ5">
        <v>19279658</v>
      </c>
      <c r="AK5" s="465">
        <v>43056.2292023611</v>
      </c>
    </row>
    <row spans="1:37" outlineLevel="0" r="6">
      <c r="A6" s="1" t="inlineStr">
        <is>
          <t>202610</t>
        </is>
      </c>
      <c r="B6" s="1" t="inlineStr">
        <is>
          <t>05-N</t>
        </is>
      </c>
      <c r="C6" s="1" t="inlineStr">
        <is>
          <t>30354765.00</t>
        </is>
      </c>
      <c r="D6" s="1" t="inlineStr">
        <is>
          <t>29826076.00</t>
        </is>
      </c>
      <c r="E6" s="1" t="inlineStr">
        <is>
          <t>27595119.00</t>
        </is>
      </c>
      <c r="F6" s="1" t="inlineStr">
        <is>
          <t>27594420.00</t>
        </is>
      </c>
      <c r="G6" s="1" t="inlineStr">
        <is>
          <t>28243202.00</t>
        </is>
      </c>
      <c r="H6" s="1" t="inlineStr">
        <is>
          <t>29350592.00</t>
        </is>
      </c>
      <c r="I6" s="1" t="inlineStr">
        <is>
          <t>32131429.00</t>
        </is>
      </c>
      <c r="J6" s="1" t="inlineStr">
        <is>
          <t>28966772.00</t>
        </is>
      </c>
      <c r="K6" s="1" t="inlineStr">
        <is>
          <t>28966772.00</t>
        </is>
      </c>
      <c r="L6" s="1" t="inlineStr">
        <is>
          <t>28961444.00</t>
        </is>
      </c>
      <c r="M6" s="1" t="inlineStr">
        <is>
          <t>28866094.00</t>
        </is>
      </c>
      <c r="N6" s="1" t="inlineStr">
        <is>
          <t>29261777.00</t>
        </is>
      </c>
      <c r="O6" s="1" t="inlineStr">
        <is>
          <t>27653873.00</t>
        </is>
      </c>
      <c r="P6" s="1" t="inlineStr">
        <is>
          <t>28008368.00</t>
        </is>
      </c>
      <c r="Q6" s="1" t="inlineStr">
        <is>
          <t>29699087.00</t>
        </is>
      </c>
      <c r="R6" s="1" t="inlineStr">
        <is>
          <t>29157121.00</t>
        </is>
      </c>
      <c r="S6" s="1" t="inlineStr">
        <is>
          <t>27348833.00</t>
        </is>
      </c>
      <c r="T6" s="1" t="inlineStr">
        <is>
          <t>27879990.00</t>
        </is>
      </c>
      <c r="U6" s="1" t="inlineStr">
        <is>
          <t>27895038.00</t>
        </is>
      </c>
      <c r="V6" s="1" t="inlineStr">
        <is>
          <t>31465667.00</t>
        </is>
      </c>
      <c r="W6" s="1" t="inlineStr">
        <is>
          <t>30560167.00</t>
        </is>
      </c>
      <c r="X6" s="1" t="inlineStr">
        <is>
          <t>31261383.00</t>
        </is>
      </c>
      <c r="Y6" s="1" t="inlineStr">
        <is>
          <t>31263023.00</t>
        </is>
      </c>
      <c r="Z6" s="1" t="inlineStr">
        <is>
          <t>30484753.00</t>
        </is>
      </c>
      <c r="AA6" s="1" t="inlineStr">
        <is>
          <t>30483613.00</t>
        </is>
      </c>
      <c r="AB6" s="1" t="inlineStr">
        <is>
          <t>30472833.00</t>
        </is>
      </c>
      <c r="AC6" s="1" t="inlineStr">
        <is>
          <t>29819809.00</t>
        </is>
      </c>
      <c r="AD6" s="1" t="inlineStr">
        <is>
          <t>31716945.00</t>
        </is>
      </c>
      <c r="AE6" s="1" t="inlineStr">
        <is>
          <t>33307428.00</t>
        </is>
      </c>
      <c r="AF6" s="1" t="inlineStr">
        <is>
          <t>31929215.00</t>
        </is>
      </c>
      <c r="AG6" s="1" t="inlineStr">
        <is>
          <t>.00</t>
        </is>
      </c>
      <c r="AH6" s="1" t="inlineStr">
        <is>
          <t>-1378213.00</t>
        </is>
      </c>
      <c r="AI6" s="1" t="inlineStr">
        <is>
          <t>29684186.93</t>
        </is>
      </c>
      <c r="AJ6">
        <v>19767518</v>
      </c>
      <c r="AK6" s="465">
        <v>43056.2292023611</v>
      </c>
    </row>
    <row spans="1:37" outlineLevel="0" r="7">
      <c r="A7" s="1" t="inlineStr">
        <is>
          <t>202610</t>
        </is>
      </c>
      <c r="B7" s="1" t="inlineStr">
        <is>
          <t>06-C</t>
        </is>
      </c>
      <c r="C7" s="1" t="inlineStr">
        <is>
          <t>.00</t>
        </is>
      </c>
      <c r="D7" s="1" t="inlineStr">
        <is>
          <t>.00</t>
        </is>
      </c>
      <c r="E7" s="1" t="inlineStr">
        <is>
          <t>.00</t>
        </is>
      </c>
      <c r="F7" s="1" t="inlineStr">
        <is>
          <t>.00</t>
        </is>
      </c>
      <c r="G7" s="1" t="inlineStr">
        <is>
          <t>.00</t>
        </is>
      </c>
      <c r="H7" s="1" t="inlineStr">
        <is>
          <t>.00</t>
        </is>
      </c>
      <c r="I7" s="1" t="inlineStr">
        <is>
          <t>.00</t>
        </is>
      </c>
      <c r="J7" s="1" t="inlineStr">
        <is>
          <t>.00</t>
        </is>
      </c>
      <c r="K7" s="1" t="inlineStr">
        <is>
          <t>.00</t>
        </is>
      </c>
      <c r="L7" s="1" t="inlineStr">
        <is>
          <t>.00</t>
        </is>
      </c>
      <c r="M7" s="1" t="inlineStr">
        <is>
          <t>.00</t>
        </is>
      </c>
      <c r="N7" s="1" t="inlineStr">
        <is>
          <t>.00</t>
        </is>
      </c>
      <c r="O7" s="1" t="inlineStr">
        <is>
          <t>.00</t>
        </is>
      </c>
      <c r="P7" s="1" t="inlineStr">
        <is>
          <t>.00</t>
        </is>
      </c>
      <c r="Q7" s="1" t="inlineStr">
        <is>
          <t>.00</t>
        </is>
      </c>
      <c r="R7" s="1" t="inlineStr">
        <is>
          <t>.00</t>
        </is>
      </c>
      <c r="S7" s="1" t="inlineStr">
        <is>
          <t>.00</t>
        </is>
      </c>
      <c r="T7" s="1" t="inlineStr">
        <is>
          <t>.00</t>
        </is>
      </c>
      <c r="U7" s="1" t="inlineStr">
        <is>
          <t>.00</t>
        </is>
      </c>
      <c r="V7" s="1" t="inlineStr">
        <is>
          <t>.00</t>
        </is>
      </c>
      <c r="W7" s="1" t="inlineStr">
        <is>
          <t>.00</t>
        </is>
      </c>
      <c r="X7" s="1" t="inlineStr">
        <is>
          <t>.00</t>
        </is>
      </c>
      <c r="Y7" s="1" t="inlineStr">
        <is>
          <t>.00</t>
        </is>
      </c>
      <c r="Z7" s="1" t="inlineStr">
        <is>
          <t>.00</t>
        </is>
      </c>
      <c r="AA7" s="1" t="inlineStr">
        <is>
          <t>.00</t>
        </is>
      </c>
      <c r="AB7" s="1" t="inlineStr">
        <is>
          <t>.00</t>
        </is>
      </c>
      <c r="AC7" s="1" t="inlineStr">
        <is>
          <t>.00</t>
        </is>
      </c>
      <c r="AD7" s="1" t="inlineStr">
        <is>
          <t>.00</t>
        </is>
      </c>
      <c r="AE7" s="1" t="inlineStr">
        <is>
          <t>.00</t>
        </is>
      </c>
      <c r="AF7" s="1" t="inlineStr">
        <is>
          <t>.00</t>
        </is>
      </c>
      <c r="AG7" s="1" t="inlineStr">
        <is>
          <t>.00</t>
        </is>
      </c>
      <c r="AH7" s="1" t="inlineStr">
        <is>
          <t>.00</t>
        </is>
      </c>
      <c r="AI7" s="1" t="inlineStr">
        <is>
          <t>.00</t>
        </is>
      </c>
      <c r="AJ7">
        <v>0</v>
      </c>
      <c r="AK7" s="465">
        <v>43056.2292023611</v>
      </c>
    </row>
    <row spans="1:37" outlineLevel="0" r="8">
      <c r="A8" s="1" t="inlineStr">
        <is>
          <t>202610</t>
        </is>
      </c>
      <c r="B8" s="1" t="inlineStr">
        <is>
          <t>07-H</t>
        </is>
      </c>
      <c r="C8" s="1" t="inlineStr">
        <is>
          <t>24454779.00</t>
        </is>
      </c>
      <c r="D8" s="1" t="inlineStr">
        <is>
          <t>21017277.00</t>
        </is>
      </c>
      <c r="E8" s="1" t="inlineStr">
        <is>
          <t>17794873.00</t>
        </is>
      </c>
      <c r="F8" s="1" t="inlineStr">
        <is>
          <t>17794873.00</t>
        </is>
      </c>
      <c r="G8" s="1" t="inlineStr">
        <is>
          <t>16014570.00</t>
        </is>
      </c>
      <c r="H8" s="1" t="inlineStr">
        <is>
          <t>14227133.00</t>
        </is>
      </c>
      <c r="I8" s="1" t="inlineStr">
        <is>
          <t>12823565.00</t>
        </is>
      </c>
      <c r="J8" s="1" t="inlineStr">
        <is>
          <t>11098733.00</t>
        </is>
      </c>
      <c r="K8" s="1" t="inlineStr">
        <is>
          <t>11098733.00</t>
        </is>
      </c>
      <c r="L8" s="1" t="inlineStr">
        <is>
          <t>11107099.00</t>
        </is>
      </c>
      <c r="M8" s="1" t="inlineStr">
        <is>
          <t>11060426.00</t>
        </is>
      </c>
      <c r="N8" s="1" t="inlineStr">
        <is>
          <t>9635318.00</t>
        </is>
      </c>
      <c r="O8" s="1" t="inlineStr">
        <is>
          <t>10595942.00</t>
        </is>
      </c>
      <c r="P8" s="1" t="inlineStr">
        <is>
          <t>12139850.00</t>
        </is>
      </c>
      <c r="Q8" s="1" t="inlineStr">
        <is>
          <t>10775984.00</t>
        </is>
      </c>
      <c r="R8" s="1" t="inlineStr">
        <is>
          <t>12702768.00</t>
        </is>
      </c>
      <c r="S8" s="1" t="inlineStr">
        <is>
          <t>9398246.00</t>
        </is>
      </c>
      <c r="T8" s="1" t="inlineStr">
        <is>
          <t>9398246.00</t>
        </is>
      </c>
      <c r="U8" s="1" t="inlineStr">
        <is>
          <t>10193232.00</t>
        </is>
      </c>
      <c r="V8" s="1" t="inlineStr">
        <is>
          <t>11311661.00</t>
        </is>
      </c>
      <c r="W8" s="1" t="inlineStr">
        <is>
          <t>12208237.00</t>
        </is>
      </c>
      <c r="X8" s="1" t="inlineStr">
        <is>
          <t>12501771.00</t>
        </is>
      </c>
      <c r="Y8" s="1" t="inlineStr">
        <is>
          <t>12501771.00</t>
        </is>
      </c>
      <c r="Z8" s="1" t="inlineStr">
        <is>
          <t>11126856.00</t>
        </is>
      </c>
      <c r="AA8" s="1" t="inlineStr">
        <is>
          <t>11126856.00</t>
        </is>
      </c>
      <c r="AB8" s="1" t="inlineStr">
        <is>
          <t>11094965.00</t>
        </is>
      </c>
      <c r="AC8" s="1" t="inlineStr">
        <is>
          <t>9389724.00</t>
        </is>
      </c>
      <c r="AD8" s="1" t="inlineStr">
        <is>
          <t>11161569.00</t>
        </is>
      </c>
      <c r="AE8" s="1" t="inlineStr">
        <is>
          <t>11676828.00</t>
        </is>
      </c>
      <c r="AF8" s="1" t="inlineStr">
        <is>
          <t>34058572.00</t>
        </is>
      </c>
      <c r="AG8" s="1" t="inlineStr">
        <is>
          <t>.00</t>
        </is>
      </c>
      <c r="AH8" s="1" t="inlineStr">
        <is>
          <t>22381744.00</t>
        </is>
      </c>
      <c r="AI8" s="1" t="inlineStr">
        <is>
          <t>13383015.23</t>
        </is>
      </c>
      <c r="AJ8">
        <v>7768697</v>
      </c>
      <c r="AK8" s="465">
        <v>43056.2292023611</v>
      </c>
    </row>
    <row spans="1:37" outlineLevel="0" r="9">
      <c r="A9" s="1" t="inlineStr">
        <is>
          <t>202610</t>
        </is>
      </c>
      <c r="B9" s="1" t="inlineStr">
        <is>
          <t>08-E</t>
        </is>
      </c>
      <c r="C9" s="1" t="inlineStr">
        <is>
          <t>.00</t>
        </is>
      </c>
      <c r="D9" s="1" t="inlineStr">
        <is>
          <t>.00</t>
        </is>
      </c>
      <c r="E9" s="1" t="inlineStr">
        <is>
          <t>.00</t>
        </is>
      </c>
      <c r="F9" s="1" t="inlineStr">
        <is>
          <t>.00</t>
        </is>
      </c>
      <c r="G9" s="1" t="inlineStr">
        <is>
          <t>.00</t>
        </is>
      </c>
      <c r="H9" s="1" t="inlineStr">
        <is>
          <t>.00</t>
        </is>
      </c>
      <c r="I9" s="1" t="inlineStr">
        <is>
          <t>.00</t>
        </is>
      </c>
      <c r="J9" s="1" t="inlineStr">
        <is>
          <t>.00</t>
        </is>
      </c>
      <c r="K9" s="1" t="inlineStr">
        <is>
          <t>.00</t>
        </is>
      </c>
      <c r="L9" s="1" t="inlineStr">
        <is>
          <t>.00</t>
        </is>
      </c>
      <c r="M9" s="1" t="inlineStr">
        <is>
          <t>.00</t>
        </is>
      </c>
      <c r="N9" s="1" t="inlineStr">
        <is>
          <t>.00</t>
        </is>
      </c>
      <c r="O9" s="1" t="inlineStr">
        <is>
          <t>.00</t>
        </is>
      </c>
      <c r="P9" s="1" t="inlineStr">
        <is>
          <t>.00</t>
        </is>
      </c>
      <c r="Q9" s="1" t="inlineStr">
        <is>
          <t>.00</t>
        </is>
      </c>
      <c r="R9" s="1" t="inlineStr">
        <is>
          <t>.00</t>
        </is>
      </c>
      <c r="S9" s="1" t="inlineStr">
        <is>
          <t>.00</t>
        </is>
      </c>
      <c r="T9" s="1" t="inlineStr">
        <is>
          <t>.00</t>
        </is>
      </c>
      <c r="U9" s="1" t="inlineStr">
        <is>
          <t>.00</t>
        </is>
      </c>
      <c r="V9" s="1" t="inlineStr">
        <is>
          <t>.00</t>
        </is>
      </c>
      <c r="W9" s="1" t="inlineStr">
        <is>
          <t>.00</t>
        </is>
      </c>
      <c r="X9" s="1" t="inlineStr">
        <is>
          <t>.00</t>
        </is>
      </c>
      <c r="Y9" s="1" t="inlineStr">
        <is>
          <t>.00</t>
        </is>
      </c>
      <c r="Z9" s="1" t="inlineStr">
        <is>
          <t>.00</t>
        </is>
      </c>
      <c r="AA9" s="1" t="inlineStr">
        <is>
          <t>.00</t>
        </is>
      </c>
      <c r="AB9" s="1" t="inlineStr">
        <is>
          <t>.00</t>
        </is>
      </c>
      <c r="AC9" s="1" t="inlineStr">
        <is>
          <t>.00</t>
        </is>
      </c>
      <c r="AD9" s="1" t="inlineStr">
        <is>
          <t>.00</t>
        </is>
      </c>
      <c r="AE9" s="1" t="inlineStr">
        <is>
          <t>.00</t>
        </is>
      </c>
      <c r="AF9" s="1" t="inlineStr">
        <is>
          <t>.00</t>
        </is>
      </c>
      <c r="AG9" s="1" t="inlineStr">
        <is>
          <t>.00</t>
        </is>
      </c>
      <c r="AH9" s="1" t="inlineStr">
        <is>
          <t>.00</t>
        </is>
      </c>
      <c r="AI9" s="1" t="inlineStr">
        <is>
          <t>.00</t>
        </is>
      </c>
      <c r="AJ9">
        <v>0</v>
      </c>
      <c r="AK9" s="465">
        <v>43056.2292023611</v>
      </c>
    </row>
    <row spans="1:37" outlineLevel="0" r="10">
      <c r="A10" s="1" t="inlineStr">
        <is>
          <t>202610</t>
        </is>
      </c>
      <c r="B10" s="1" t="inlineStr">
        <is>
          <t>09-F</t>
        </is>
      </c>
      <c r="C10" s="1" t="inlineStr">
        <is>
          <t>1988132.00</t>
        </is>
      </c>
      <c r="D10" s="1" t="inlineStr">
        <is>
          <t>1906802.00</t>
        </is>
      </c>
      <c r="E10" s="1" t="inlineStr">
        <is>
          <t>1820307.00</t>
        </is>
      </c>
      <c r="F10" s="1" t="inlineStr">
        <is>
          <t>1820307.00</t>
        </is>
      </c>
      <c r="G10" s="1" t="inlineStr">
        <is>
          <t>1750527.00</t>
        </is>
      </c>
      <c r="H10" s="1" t="inlineStr">
        <is>
          <t>1674157.00</t>
        </is>
      </c>
      <c r="I10" s="1" t="inlineStr">
        <is>
          <t>1559422.00</t>
        </is>
      </c>
      <c r="J10" s="1" t="inlineStr">
        <is>
          <t>1559852.00</t>
        </is>
      </c>
      <c r="K10" s="1" t="inlineStr">
        <is>
          <t>1559852.00</t>
        </is>
      </c>
      <c r="L10" s="1" t="inlineStr">
        <is>
          <t>1559852.00</t>
        </is>
      </c>
      <c r="M10" s="1" t="inlineStr">
        <is>
          <t>1546122.00</t>
        </is>
      </c>
      <c r="N10" s="1" t="inlineStr">
        <is>
          <t>1511682.00</t>
        </is>
      </c>
      <c r="O10" s="1" t="inlineStr">
        <is>
          <t>1804902.00</t>
        </is>
      </c>
      <c r="P10" s="1" t="inlineStr">
        <is>
          <t>1754962.00</t>
        </is>
      </c>
      <c r="Q10" s="1" t="inlineStr">
        <is>
          <t>1691977.00</t>
        </is>
      </c>
      <c r="R10" s="1" t="inlineStr">
        <is>
          <t>1652582.00</t>
        </is>
      </c>
      <c r="S10" s="1" t="inlineStr">
        <is>
          <t>1600422.00</t>
        </is>
      </c>
      <c r="T10" s="1" t="inlineStr">
        <is>
          <t>1600422.00</t>
        </is>
      </c>
      <c r="U10" s="1" t="inlineStr">
        <is>
          <t>1538677.00</t>
        </is>
      </c>
      <c r="V10" s="1" t="inlineStr">
        <is>
          <t>1518337.00</t>
        </is>
      </c>
      <c r="W10" s="1" t="inlineStr">
        <is>
          <t>1463537.00</t>
        </is>
      </c>
      <c r="X10" s="1" t="inlineStr">
        <is>
          <t>1823337.00</t>
        </is>
      </c>
      <c r="Y10" s="1" t="inlineStr">
        <is>
          <t>1813997.00</t>
        </is>
      </c>
      <c r="Z10" s="1" t="inlineStr">
        <is>
          <t>1813997.00</t>
        </is>
      </c>
      <c r="AA10" s="1" t="inlineStr">
        <is>
          <t>1813997.00</t>
        </is>
      </c>
      <c r="AB10" s="1" t="inlineStr">
        <is>
          <t>1813997.00</t>
        </is>
      </c>
      <c r="AC10" s="1" t="inlineStr">
        <is>
          <t>1813757.00</t>
        </is>
      </c>
      <c r="AD10" s="1" t="inlineStr">
        <is>
          <t>1920237.00</t>
        </is>
      </c>
      <c r="AE10" s="1" t="inlineStr">
        <is>
          <t>1876942.00</t>
        </is>
      </c>
      <c r="AF10" s="1" t="inlineStr">
        <is>
          <t>1841852.00</t>
        </is>
      </c>
      <c r="AG10" s="1" t="inlineStr">
        <is>
          <t>.00</t>
        </is>
      </c>
      <c r="AH10" s="1" t="inlineStr">
        <is>
          <t>-35090.00</t>
        </is>
      </c>
      <c r="AI10" s="1" t="inlineStr">
        <is>
          <t>1713831.50</t>
        </is>
      </c>
      <c r="AJ10">
        <v>2782946</v>
      </c>
      <c r="AK10" s="465">
        <v>43056.2292023611</v>
      </c>
    </row>
    <row spans="1:37" outlineLevel="0" r="11">
      <c r="A11" s="1" t="inlineStr">
        <is>
          <t>202610</t>
        </is>
      </c>
      <c r="B11" s="1" t="inlineStr">
        <is>
          <t>10-P</t>
        </is>
      </c>
      <c r="C11" s="1" t="inlineStr">
        <is>
          <t>98014.00</t>
        </is>
      </c>
      <c r="D11" s="1" t="inlineStr">
        <is>
          <t>98014.00</t>
        </is>
      </c>
      <c r="E11" s="1" t="inlineStr">
        <is>
          <t>98014.00</t>
        </is>
      </c>
      <c r="F11" s="1" t="inlineStr">
        <is>
          <t>98014.00</t>
        </is>
      </c>
      <c r="G11" s="1" t="inlineStr">
        <is>
          <t>98014.00</t>
        </is>
      </c>
      <c r="H11" s="1" t="inlineStr">
        <is>
          <t>98014.00</t>
        </is>
      </c>
      <c r="I11" s="1" t="inlineStr">
        <is>
          <t>98014.00</t>
        </is>
      </c>
      <c r="J11" s="1" t="inlineStr">
        <is>
          <t>98014.00</t>
        </is>
      </c>
      <c r="K11" s="1" t="inlineStr">
        <is>
          <t>98014.00</t>
        </is>
      </c>
      <c r="L11" s="1" t="inlineStr">
        <is>
          <t>98014.00</t>
        </is>
      </c>
      <c r="M11" s="1" t="inlineStr">
        <is>
          <t>98014.00</t>
        </is>
      </c>
      <c r="N11" s="1" t="inlineStr">
        <is>
          <t>98014.00</t>
        </is>
      </c>
      <c r="O11" s="1" t="inlineStr">
        <is>
          <t>84264.00</t>
        </is>
      </c>
      <c r="P11" s="1" t="inlineStr">
        <is>
          <t>84264.00</t>
        </is>
      </c>
      <c r="Q11" s="1" t="inlineStr">
        <is>
          <t>84264.00</t>
        </is>
      </c>
      <c r="R11" s="1" t="inlineStr">
        <is>
          <t>69264.00</t>
        </is>
      </c>
      <c r="S11" s="1" t="inlineStr">
        <is>
          <t>69264.00</t>
        </is>
      </c>
      <c r="T11" s="1" t="inlineStr">
        <is>
          <t>69264.00</t>
        </is>
      </c>
      <c r="U11" s="1" t="inlineStr">
        <is>
          <t>69264.00</t>
        </is>
      </c>
      <c r="V11" s="1" t="inlineStr">
        <is>
          <t>69264.00</t>
        </is>
      </c>
      <c r="W11" s="1" t="inlineStr">
        <is>
          <t>69264.00</t>
        </is>
      </c>
      <c r="X11" s="1" t="inlineStr">
        <is>
          <t>69264.00</t>
        </is>
      </c>
      <c r="Y11" s="1" t="inlineStr">
        <is>
          <t>69264.00</t>
        </is>
      </c>
      <c r="Z11" s="1" t="inlineStr">
        <is>
          <t>69264.00</t>
        </is>
      </c>
      <c r="AA11" s="1" t="inlineStr">
        <is>
          <t>69264.00</t>
        </is>
      </c>
      <c r="AB11" s="1" t="inlineStr">
        <is>
          <t>69264.00</t>
        </is>
      </c>
      <c r="AC11" s="1" t="inlineStr">
        <is>
          <t>69264.00</t>
        </is>
      </c>
      <c r="AD11" s="1" t="inlineStr">
        <is>
          <t>69264.00</t>
        </is>
      </c>
      <c r="AE11" s="1" t="inlineStr">
        <is>
          <t>69264.00</t>
        </is>
      </c>
      <c r="AF11" s="1" t="inlineStr">
        <is>
          <t>69264.00</t>
        </is>
      </c>
      <c r="AG11" s="1" t="inlineStr">
        <is>
          <t>.00</t>
        </is>
      </c>
      <c r="AH11" s="1" t="inlineStr">
        <is>
          <t>.00</t>
        </is>
      </c>
      <c r="AI11" s="1" t="inlineStr">
        <is>
          <t>82264.00</t>
        </is>
      </c>
      <c r="AJ11">
        <v>118299</v>
      </c>
      <c r="AK11" s="465">
        <v>43056.2292023611</v>
      </c>
    </row>
    <row spans="1:37" outlineLevel="0" r="12">
      <c r="A12" s="1" t="inlineStr">
        <is>
          <t>202610</t>
        </is>
      </c>
      <c r="B12" s="1" t="inlineStr">
        <is>
          <t>11-G</t>
        </is>
      </c>
      <c r="C12" s="1" t="inlineStr">
        <is>
          <t>2357.00</t>
        </is>
      </c>
      <c r="D12" s="1" t="inlineStr">
        <is>
          <t>2357.00</t>
        </is>
      </c>
      <c r="E12" s="1" t="inlineStr">
        <is>
          <t>2357.00</t>
        </is>
      </c>
      <c r="F12" s="1" t="inlineStr">
        <is>
          <t>2357.00</t>
        </is>
      </c>
      <c r="G12" s="1" t="inlineStr">
        <is>
          <t>2357.00</t>
        </is>
      </c>
      <c r="H12" s="1" t="inlineStr">
        <is>
          <t>2357.00</t>
        </is>
      </c>
      <c r="I12" s="1" t="inlineStr">
        <is>
          <t>2357.00</t>
        </is>
      </c>
      <c r="J12" s="1" t="inlineStr">
        <is>
          <t>2357.00</t>
        </is>
      </c>
      <c r="K12" s="1" t="inlineStr">
        <is>
          <t>2357.00</t>
        </is>
      </c>
      <c r="L12" s="1" t="inlineStr">
        <is>
          <t>2357.00</t>
        </is>
      </c>
      <c r="M12" s="1" t="inlineStr">
        <is>
          <t>2357.00</t>
        </is>
      </c>
      <c r="N12" s="1" t="inlineStr">
        <is>
          <t>2357.00</t>
        </is>
      </c>
      <c r="O12" s="1" t="inlineStr">
        <is>
          <t>2357.00</t>
        </is>
      </c>
      <c r="P12" s="1" t="inlineStr">
        <is>
          <t>2357.00</t>
        </is>
      </c>
      <c r="Q12" s="1" t="inlineStr">
        <is>
          <t>2357.00</t>
        </is>
      </c>
      <c r="R12" s="1" t="inlineStr">
        <is>
          <t>2357.00</t>
        </is>
      </c>
      <c r="S12" s="1" t="inlineStr">
        <is>
          <t>2357.00</t>
        </is>
      </c>
      <c r="T12" s="1" t="inlineStr">
        <is>
          <t>2357.00</t>
        </is>
      </c>
      <c r="U12" s="1" t="inlineStr">
        <is>
          <t>2357.00</t>
        </is>
      </c>
      <c r="V12" s="1" t="inlineStr">
        <is>
          <t>2357.00</t>
        </is>
      </c>
      <c r="W12" s="1" t="inlineStr">
        <is>
          <t>2357.00</t>
        </is>
      </c>
      <c r="X12" s="1" t="inlineStr">
        <is>
          <t>2357.00</t>
        </is>
      </c>
      <c r="Y12" s="1" t="inlineStr">
        <is>
          <t>2357.00</t>
        </is>
      </c>
      <c r="Z12" s="1" t="inlineStr">
        <is>
          <t>2357.00</t>
        </is>
      </c>
      <c r="AA12" s="1" t="inlineStr">
        <is>
          <t>2357.00</t>
        </is>
      </c>
      <c r="AB12" s="1" t="inlineStr">
        <is>
          <t>2357.00</t>
        </is>
      </c>
      <c r="AC12" s="1" t="inlineStr">
        <is>
          <t>2357.00</t>
        </is>
      </c>
      <c r="AD12" s="1" t="inlineStr">
        <is>
          <t>2357.00</t>
        </is>
      </c>
      <c r="AE12" s="1" t="inlineStr">
        <is>
          <t>2357.00</t>
        </is>
      </c>
      <c r="AF12" s="1" t="inlineStr">
        <is>
          <t>2357.00</t>
        </is>
      </c>
      <c r="AG12" s="1" t="inlineStr">
        <is>
          <t>.00</t>
        </is>
      </c>
      <c r="AH12" s="1" t="inlineStr">
        <is>
          <t>.00</t>
        </is>
      </c>
      <c r="AI12" s="1" t="inlineStr">
        <is>
          <t>2357.00</t>
        </is>
      </c>
      <c r="AJ12">
        <v>0</v>
      </c>
      <c r="AK12" s="465">
        <v>43056.2292023611</v>
      </c>
    </row>
    <row spans="1:37" outlineLevel="0" r="13">
      <c r="A13" s="1" t="inlineStr">
        <is>
          <t>202610</t>
        </is>
      </c>
      <c r="B13" s="1" t="inlineStr">
        <is>
          <t>12-M</t>
        </is>
      </c>
      <c r="C13" s="1" t="inlineStr">
        <is>
          <t>1259471.00</t>
        </is>
      </c>
      <c r="D13" s="1" t="inlineStr">
        <is>
          <t>866767.00</t>
        </is>
      </c>
      <c r="E13" s="1" t="inlineStr">
        <is>
          <t>809569.00</t>
        </is>
      </c>
      <c r="F13" s="1" t="inlineStr">
        <is>
          <t>809569.00</t>
        </is>
      </c>
      <c r="G13" s="1" t="inlineStr">
        <is>
          <t>2187112.00</t>
        </is>
      </c>
      <c r="H13" s="1" t="inlineStr">
        <is>
          <t>1493554.00</t>
        </is>
      </c>
      <c r="I13" s="1" t="inlineStr">
        <is>
          <t>1030753.00</t>
        </is>
      </c>
      <c r="J13" s="1" t="inlineStr">
        <is>
          <t>979234.00</t>
        </is>
      </c>
      <c r="K13" s="1" t="inlineStr">
        <is>
          <t>979234.00</t>
        </is>
      </c>
      <c r="L13" s="1" t="inlineStr">
        <is>
          <t>979234.00</t>
        </is>
      </c>
      <c r="M13" s="1" t="inlineStr">
        <is>
          <t>890210.00</t>
        </is>
      </c>
      <c r="N13" s="1" t="inlineStr">
        <is>
          <t>867054.00</t>
        </is>
      </c>
      <c r="O13" s="1" t="inlineStr">
        <is>
          <t>2327677.00</t>
        </is>
      </c>
      <c r="P13" s="1" t="inlineStr">
        <is>
          <t>1647640.00</t>
        </is>
      </c>
      <c r="Q13" s="1" t="inlineStr">
        <is>
          <t>2111026.00</t>
        </is>
      </c>
      <c r="R13" s="1" t="inlineStr">
        <is>
          <t>3052204.00</t>
        </is>
      </c>
      <c r="S13" s="1" t="inlineStr">
        <is>
          <t>2636883.00</t>
        </is>
      </c>
      <c r="T13" s="1" t="inlineStr">
        <is>
          <t>2636883.00</t>
        </is>
      </c>
      <c r="U13" s="1" t="inlineStr">
        <is>
          <t>2132073.00</t>
        </is>
      </c>
      <c r="V13" s="1" t="inlineStr">
        <is>
          <t>2273153.00</t>
        </is>
      </c>
      <c r="W13" s="1" t="inlineStr">
        <is>
          <t>2598963.00</t>
        </is>
      </c>
      <c r="X13" s="1" t="inlineStr">
        <is>
          <t>2137524.00</t>
        </is>
      </c>
      <c r="Y13" s="1" t="inlineStr">
        <is>
          <t>2463924.00</t>
        </is>
      </c>
      <c r="Z13" s="1" t="inlineStr">
        <is>
          <t>2407804.00</t>
        </is>
      </c>
      <c r="AA13" s="1" t="inlineStr">
        <is>
          <t>2407804.00</t>
        </is>
      </c>
      <c r="AB13" s="1" t="inlineStr">
        <is>
          <t>2407804.00</t>
        </is>
      </c>
      <c r="AC13" s="1" t="inlineStr">
        <is>
          <t>1912400.00</t>
        </is>
      </c>
      <c r="AD13" s="1" t="inlineStr">
        <is>
          <t>2559395.00</t>
        </is>
      </c>
      <c r="AE13" s="1" t="inlineStr">
        <is>
          <t>2445577.00</t>
        </is>
      </c>
      <c r="AF13" s="1" t="inlineStr">
        <is>
          <t>2629673.00</t>
        </is>
      </c>
      <c r="AG13" s="1" t="inlineStr">
        <is>
          <t>.00</t>
        </is>
      </c>
      <c r="AH13" s="1" t="inlineStr">
        <is>
          <t>184096.00</t>
        </is>
      </c>
      <c r="AI13" s="1" t="inlineStr">
        <is>
          <t>1864672.27</t>
        </is>
      </c>
      <c r="AJ13">
        <v>1823954</v>
      </c>
      <c r="AK13" s="465">
        <v>43056.2292023611</v>
      </c>
    </row>
    <row spans="1:37" outlineLevel="0" r="14">
      <c r="A14" s="1" t="inlineStr">
        <is>
          <t>202610</t>
        </is>
      </c>
      <c r="B14" s="1" t="inlineStr">
        <is>
          <t>13-U</t>
        </is>
      </c>
      <c r="C14" s="1" t="inlineStr">
        <is>
          <t>247218.00</t>
        </is>
      </c>
      <c r="D14" s="1" t="inlineStr">
        <is>
          <t>407498.00</t>
        </is>
      </c>
      <c r="E14" s="1" t="inlineStr">
        <is>
          <t>402638.00</t>
        </is>
      </c>
      <c r="F14" s="1" t="inlineStr">
        <is>
          <t>402638.00</t>
        </is>
      </c>
      <c r="G14" s="1" t="inlineStr">
        <is>
          <t>399178.00</t>
        </is>
      </c>
      <c r="H14" s="1" t="inlineStr">
        <is>
          <t>395438.00</t>
        </is>
      </c>
      <c r="I14" s="1" t="inlineStr">
        <is>
          <t>391498.00</t>
        </is>
      </c>
      <c r="J14" s="1" t="inlineStr">
        <is>
          <t>385558.00</t>
        </is>
      </c>
      <c r="K14" s="1" t="inlineStr">
        <is>
          <t>385558.00</t>
        </is>
      </c>
      <c r="L14" s="1" t="inlineStr">
        <is>
          <t>385558.00</t>
        </is>
      </c>
      <c r="M14" s="1" t="inlineStr">
        <is>
          <t>385558.00</t>
        </is>
      </c>
      <c r="N14" s="1" t="inlineStr">
        <is>
          <t>383938.00</t>
        </is>
      </c>
      <c r="O14" s="1" t="inlineStr">
        <is>
          <t>381248.00</t>
        </is>
      </c>
      <c r="P14" s="1" t="inlineStr">
        <is>
          <t>374528.00</t>
        </is>
      </c>
      <c r="Q14" s="1" t="inlineStr">
        <is>
          <t>374528.00</t>
        </is>
      </c>
      <c r="R14" s="1" t="inlineStr">
        <is>
          <t>373448.00</t>
        </is>
      </c>
      <c r="S14" s="1" t="inlineStr">
        <is>
          <t>370528.00</t>
        </is>
      </c>
      <c r="T14" s="1" t="inlineStr">
        <is>
          <t>370528.00</t>
        </is>
      </c>
      <c r="U14" s="1" t="inlineStr">
        <is>
          <t>369448.00</t>
        </is>
      </c>
      <c r="V14" s="1" t="inlineStr">
        <is>
          <t>364348.00</t>
        </is>
      </c>
      <c r="W14" s="1" t="inlineStr">
        <is>
          <t>363268.00</t>
        </is>
      </c>
      <c r="X14" s="1" t="inlineStr">
        <is>
          <t>417808.00</t>
        </is>
      </c>
      <c r="Y14" s="1" t="inlineStr">
        <is>
          <t>417808.00</t>
        </is>
      </c>
      <c r="Z14" s="1" t="inlineStr">
        <is>
          <t>417808.00</t>
        </is>
      </c>
      <c r="AA14" s="1" t="inlineStr">
        <is>
          <t>417808.00</t>
        </is>
      </c>
      <c r="AB14" s="1" t="inlineStr">
        <is>
          <t>417808.00</t>
        </is>
      </c>
      <c r="AC14" s="1" t="inlineStr">
        <is>
          <t>414028.00</t>
        </is>
      </c>
      <c r="AD14" s="1" t="inlineStr">
        <is>
          <t>412408.00</t>
        </is>
      </c>
      <c r="AE14" s="1" t="inlineStr">
        <is>
          <t>411868.00</t>
        </is>
      </c>
      <c r="AF14" s="1" t="inlineStr">
        <is>
          <t>408188.00</t>
        </is>
      </c>
      <c r="AG14" s="1" t="inlineStr">
        <is>
          <t>.00</t>
        </is>
      </c>
      <c r="AH14" s="1" t="inlineStr">
        <is>
          <t>-3680.00</t>
        </is>
      </c>
      <c r="AI14" s="1" t="inlineStr">
        <is>
          <t>388322.67</t>
        </is>
      </c>
      <c r="AJ14">
        <v>542080</v>
      </c>
      <c r="AK14" s="465">
        <v>43056.2292023611</v>
      </c>
    </row>
    <row spans="1:37" outlineLevel="0" r="15">
      <c r="A15" s="1" t="inlineStr">
        <is>
          <t>202610</t>
        </is>
      </c>
      <c r="B15" s="1" t="inlineStr">
        <is>
          <t>14-L</t>
        </is>
      </c>
      <c r="C15" s="1" t="inlineStr">
        <is>
          <t>2773.00</t>
        </is>
      </c>
      <c r="D15" s="1" t="inlineStr">
        <is>
          <t>2773.00</t>
        </is>
      </c>
      <c r="E15" s="1" t="inlineStr">
        <is>
          <t>2773.00</t>
        </is>
      </c>
      <c r="F15" s="1" t="inlineStr">
        <is>
          <t>2773.00</t>
        </is>
      </c>
      <c r="G15" s="1" t="inlineStr">
        <is>
          <t>2773.00</t>
        </is>
      </c>
      <c r="H15" s="1" t="inlineStr">
        <is>
          <t>2773.00</t>
        </is>
      </c>
      <c r="I15" s="1" t="inlineStr">
        <is>
          <t>2773.00</t>
        </is>
      </c>
      <c r="J15" s="1" t="inlineStr">
        <is>
          <t>2773.00</t>
        </is>
      </c>
      <c r="K15" s="1" t="inlineStr">
        <is>
          <t>2773.00</t>
        </is>
      </c>
      <c r="L15" s="1" t="inlineStr">
        <is>
          <t>2773.00</t>
        </is>
      </c>
      <c r="M15" s="1" t="inlineStr">
        <is>
          <t>2773.00</t>
        </is>
      </c>
      <c r="N15" s="1" t="inlineStr">
        <is>
          <t>2773.00</t>
        </is>
      </c>
      <c r="O15" s="1" t="inlineStr">
        <is>
          <t>2773.00</t>
        </is>
      </c>
      <c r="P15" s="1" t="inlineStr">
        <is>
          <t>2773.00</t>
        </is>
      </c>
      <c r="Q15" s="1" t="inlineStr">
        <is>
          <t>2773.00</t>
        </is>
      </c>
      <c r="R15" s="1" t="inlineStr">
        <is>
          <t>2773.00</t>
        </is>
      </c>
      <c r="S15" s="1" t="inlineStr">
        <is>
          <t>2773.00</t>
        </is>
      </c>
      <c r="T15" s="1" t="inlineStr">
        <is>
          <t>2773.00</t>
        </is>
      </c>
      <c r="U15" s="1" t="inlineStr">
        <is>
          <t>2773.00</t>
        </is>
      </c>
      <c r="V15" s="1" t="inlineStr">
        <is>
          <t>2773.00</t>
        </is>
      </c>
      <c r="W15" s="1" t="inlineStr">
        <is>
          <t>2773.00</t>
        </is>
      </c>
      <c r="X15" s="1" t="inlineStr">
        <is>
          <t>2773.00</t>
        </is>
      </c>
      <c r="Y15" s="1" t="inlineStr">
        <is>
          <t>2773.00</t>
        </is>
      </c>
      <c r="Z15" s="1" t="inlineStr">
        <is>
          <t>2773.00</t>
        </is>
      </c>
      <c r="AA15" s="1" t="inlineStr">
        <is>
          <t>2773.00</t>
        </is>
      </c>
      <c r="AB15" s="1" t="inlineStr">
        <is>
          <t>2773.00</t>
        </is>
      </c>
      <c r="AC15" s="1" t="inlineStr">
        <is>
          <t>2773.00</t>
        </is>
      </c>
      <c r="AD15" s="1" t="inlineStr">
        <is>
          <t>2773.00</t>
        </is>
      </c>
      <c r="AE15" s="1" t="inlineStr">
        <is>
          <t>2773.00</t>
        </is>
      </c>
      <c r="AF15" s="1" t="inlineStr">
        <is>
          <t>2773.00</t>
        </is>
      </c>
      <c r="AG15" s="1" t="inlineStr">
        <is>
          <t>.00</t>
        </is>
      </c>
      <c r="AH15" s="1" t="inlineStr">
        <is>
          <t>.00</t>
        </is>
      </c>
      <c r="AI15" s="1" t="inlineStr">
        <is>
          <t>2773.00</t>
        </is>
      </c>
      <c r="AJ15">
        <v>3162040</v>
      </c>
      <c r="AK15" s="465">
        <v>43056.2292023611</v>
      </c>
    </row>
    <row spans="1:37" outlineLevel="0" r="16">
      <c r="A16" s="1" t="inlineStr">
        <is>
          <t>202610</t>
        </is>
      </c>
      <c r="B16" s="1" t="inlineStr">
        <is>
          <t>18-T</t>
        </is>
      </c>
      <c r="C16" s="1" t="inlineStr">
        <is>
          <t>7484076.00</t>
        </is>
      </c>
      <c r="D16" s="1" t="inlineStr">
        <is>
          <t>7548649.00</t>
        </is>
      </c>
      <c r="E16" s="1" t="inlineStr">
        <is>
          <t>7079066.00</t>
        </is>
      </c>
      <c r="F16" s="1" t="inlineStr">
        <is>
          <t>7079066.00</t>
        </is>
      </c>
      <c r="G16" s="1" t="inlineStr">
        <is>
          <t>7397549.00</t>
        </is>
      </c>
      <c r="H16" s="1" t="inlineStr">
        <is>
          <t>7151547.00</t>
        </is>
      </c>
      <c r="I16" s="1" t="inlineStr">
        <is>
          <t>6575162.00</t>
        </is>
      </c>
      <c r="J16" s="1" t="inlineStr">
        <is>
          <t>6256686.00</t>
        </is>
      </c>
      <c r="K16" s="1" t="inlineStr">
        <is>
          <t>6256686.00</t>
        </is>
      </c>
      <c r="L16" s="1" t="inlineStr">
        <is>
          <t>6260664.00</t>
        </is>
      </c>
      <c r="M16" s="1" t="inlineStr">
        <is>
          <t>6229229.00</t>
        </is>
      </c>
      <c r="N16" s="1" t="inlineStr">
        <is>
          <t>5663455.00</t>
        </is>
      </c>
      <c r="O16" s="1" t="inlineStr">
        <is>
          <t>5961936.00</t>
        </is>
      </c>
      <c r="P16" s="1" t="inlineStr">
        <is>
          <t>5909046.00</t>
        </is>
      </c>
      <c r="Q16" s="1" t="inlineStr">
        <is>
          <t>6170758.00</t>
        </is>
      </c>
      <c r="R16" s="1" t="inlineStr">
        <is>
          <t>6334077.00</t>
        </is>
      </c>
      <c r="S16" s="1" t="inlineStr">
        <is>
          <t>5721175.00</t>
        </is>
      </c>
      <c r="T16" s="1" t="inlineStr">
        <is>
          <t>5721175.00</t>
        </is>
      </c>
      <c r="U16" s="1" t="inlineStr">
        <is>
          <t>5833494.00</t>
        </is>
      </c>
      <c r="V16" s="1" t="inlineStr">
        <is>
          <t>5783814.00</t>
        </is>
      </c>
      <c r="W16" s="1" t="inlineStr">
        <is>
          <t>5972427.00</t>
        </is>
      </c>
      <c r="X16" s="1" t="inlineStr">
        <is>
          <t>5638818.00</t>
        </is>
      </c>
      <c r="Y16" s="1" t="inlineStr">
        <is>
          <t>5638818.00</t>
        </is>
      </c>
      <c r="Z16" s="1" t="inlineStr">
        <is>
          <t>5431047.00</t>
        </is>
      </c>
      <c r="AA16" s="1" t="inlineStr">
        <is>
          <t>5431047.00</t>
        </is>
      </c>
      <c r="AB16" s="1" t="inlineStr">
        <is>
          <t>5435026.00</t>
        </is>
      </c>
      <c r="AC16" s="1" t="inlineStr">
        <is>
          <t>4639834.00</t>
        </is>
      </c>
      <c r="AD16" s="1" t="inlineStr">
        <is>
          <t>6139487.00</t>
        </is>
      </c>
      <c r="AE16" s="1" t="inlineStr">
        <is>
          <t>6591346.00</t>
        </is>
      </c>
      <c r="AF16" s="1" t="inlineStr">
        <is>
          <t>11616367.00</t>
        </is>
      </c>
      <c r="AG16" s="1" t="inlineStr">
        <is>
          <t>.00</t>
        </is>
      </c>
      <c r="AH16" s="1" t="inlineStr">
        <is>
          <t>5025021.00</t>
        </is>
      </c>
      <c r="AI16" s="1" t="inlineStr">
        <is>
          <t>6365050.90</t>
        </is>
      </c>
      <c r="AJ16">
        <v>9930178</v>
      </c>
      <c r="AK16" s="465">
        <v>43056.2292023611</v>
      </c>
    </row>
    <row spans="1:37" outlineLevel="0" r="17">
      <c r="A17" s="1" t="inlineStr">
        <is>
          <t>202610</t>
        </is>
      </c>
      <c r="B17" s="1" t="inlineStr">
        <is>
          <t>19-V</t>
        </is>
      </c>
      <c r="C17" s="1" t="inlineStr">
        <is>
          <t>13463304.00</t>
        </is>
      </c>
      <c r="D17" s="1" t="inlineStr">
        <is>
          <t>13647842.00</t>
        </is>
      </c>
      <c r="E17" s="1" t="inlineStr">
        <is>
          <t>12782797.00</t>
        </is>
      </c>
      <c r="F17" s="1" t="inlineStr">
        <is>
          <t>12782797.00</t>
        </is>
      </c>
      <c r="G17" s="1" t="inlineStr">
        <is>
          <t>12093938.00</t>
        </is>
      </c>
      <c r="H17" s="1" t="inlineStr">
        <is>
          <t>11954853.00</t>
        </is>
      </c>
      <c r="I17" s="1" t="inlineStr">
        <is>
          <t>11764206.00</t>
        </is>
      </c>
      <c r="J17" s="1" t="inlineStr">
        <is>
          <t>11767388.00</t>
        </is>
      </c>
      <c r="K17" s="1" t="inlineStr">
        <is>
          <t>11767388.00</t>
        </is>
      </c>
      <c r="L17" s="1" t="inlineStr">
        <is>
          <t>11767388.00</t>
        </is>
      </c>
      <c r="M17" s="1" t="inlineStr">
        <is>
          <t>11754617.00</t>
        </is>
      </c>
      <c r="N17" s="1" t="inlineStr">
        <is>
          <t>11595200.00</t>
        </is>
      </c>
      <c r="O17" s="1" t="inlineStr">
        <is>
          <t>11322447.00</t>
        </is>
      </c>
      <c r="P17" s="1" t="inlineStr">
        <is>
          <t>11595152.00</t>
        </is>
      </c>
      <c r="Q17" s="1" t="inlineStr">
        <is>
          <t>11811506.00</t>
        </is>
      </c>
      <c r="R17" s="1" t="inlineStr">
        <is>
          <t>12278232.00</t>
        </is>
      </c>
      <c r="S17" s="1" t="inlineStr">
        <is>
          <t>11470667.00</t>
        </is>
      </c>
      <c r="T17" s="1" t="inlineStr">
        <is>
          <t>11665063.00</t>
        </is>
      </c>
      <c r="U17" s="1" t="inlineStr">
        <is>
          <t>11912212.00</t>
        </is>
      </c>
      <c r="V17" s="1" t="inlineStr">
        <is>
          <t>11642239.00</t>
        </is>
      </c>
      <c r="W17" s="1" t="inlineStr">
        <is>
          <t>11573527.00</t>
        </is>
      </c>
      <c r="X17" s="1" t="inlineStr">
        <is>
          <t>11914481.00</t>
        </is>
      </c>
      <c r="Y17" s="1" t="inlineStr">
        <is>
          <t>11914481.00</t>
        </is>
      </c>
      <c r="Z17" s="1" t="inlineStr">
        <is>
          <t>11771761.00</t>
        </is>
      </c>
      <c r="AA17" s="1" t="inlineStr">
        <is>
          <t>11771761.00</t>
        </is>
      </c>
      <c r="AB17" s="1" t="inlineStr">
        <is>
          <t>11771761.00</t>
        </is>
      </c>
      <c r="AC17" s="1" t="inlineStr">
        <is>
          <t>11611510.00</t>
        </is>
      </c>
      <c r="AD17" s="1" t="inlineStr">
        <is>
          <t>11243638.00</t>
        </is>
      </c>
      <c r="AE17" s="1" t="inlineStr">
        <is>
          <t>11949360.00</t>
        </is>
      </c>
      <c r="AF17" s="1" t="inlineStr">
        <is>
          <t>11869121.00</t>
        </is>
      </c>
      <c r="AG17" s="1" t="inlineStr">
        <is>
          <t>.00</t>
        </is>
      </c>
      <c r="AH17" s="1" t="inlineStr">
        <is>
          <t>-80239.00</t>
        </is>
      </c>
      <c r="AI17" s="1" t="inlineStr">
        <is>
          <t>11941021.23</t>
        </is>
      </c>
      <c r="AJ17">
        <v>12733138</v>
      </c>
      <c r="AK17" s="465">
        <v>43056.2292023611</v>
      </c>
    </row>
    <row spans="1:37" outlineLevel="0" r="18">
      <c r="A18" s="1" t="inlineStr">
        <is>
          <t>202610</t>
        </is>
      </c>
      <c r="B18" s="464" t="inlineStr">
        <is>
          <t>20-S</t>
        </is>
      </c>
      <c r="C18" s="1" t="inlineStr">
        <is>
          <t>6228140.00</t>
        </is>
      </c>
      <c r="D18" s="1" t="inlineStr">
        <is>
          <t>6218582.00</t>
        </is>
      </c>
      <c r="E18" s="1" t="inlineStr">
        <is>
          <t>6218021.00</t>
        </is>
      </c>
      <c r="F18" s="1" t="inlineStr">
        <is>
          <t>6218021.00</t>
        </is>
      </c>
      <c r="G18" s="1" t="inlineStr">
        <is>
          <t>6211270.00</t>
        </is>
      </c>
      <c r="H18" s="1" t="inlineStr">
        <is>
          <t>6220101.00</t>
        </is>
      </c>
      <c r="I18" s="1" t="inlineStr">
        <is>
          <t>6226183.00</t>
        </is>
      </c>
      <c r="J18" s="1" t="inlineStr">
        <is>
          <t>6213675.00</t>
        </is>
      </c>
      <c r="K18" s="1" t="inlineStr">
        <is>
          <t>6213675.00</t>
        </is>
      </c>
      <c r="L18" s="1" t="inlineStr">
        <is>
          <t>6213675.00</t>
        </is>
      </c>
      <c r="M18" s="1" t="inlineStr">
        <is>
          <t>6212230.00</t>
        </is>
      </c>
      <c r="N18" s="1" t="inlineStr">
        <is>
          <t>6208762.00</t>
        </is>
      </c>
      <c r="O18" s="1" t="inlineStr">
        <is>
          <t>6226536.00</t>
        </is>
      </c>
      <c r="P18" s="1" t="inlineStr">
        <is>
          <t>6207178.00</t>
        </is>
      </c>
      <c r="Q18" s="1" t="inlineStr">
        <is>
          <t>6219455.00</t>
        </is>
      </c>
      <c r="R18" s="1" t="inlineStr">
        <is>
          <t>6212950.00</t>
        </is>
      </c>
      <c r="S18" s="1" t="inlineStr">
        <is>
          <t>6218668.00</t>
        </is>
      </c>
      <c r="T18" s="1" t="inlineStr">
        <is>
          <t>6411995.00</t>
        </is>
      </c>
      <c r="U18" s="1" t="inlineStr">
        <is>
          <t>6238613.00</t>
        </is>
      </c>
      <c r="V18" s="1" t="inlineStr">
        <is>
          <t>6237673.00</t>
        </is>
      </c>
      <c r="W18" s="1" t="inlineStr">
        <is>
          <t>6239535.00</t>
        </is>
      </c>
      <c r="X18" s="1" t="inlineStr">
        <is>
          <t>6228191.00</t>
        </is>
      </c>
      <c r="Y18" s="1" t="inlineStr">
        <is>
          <t>6228191.00</t>
        </is>
      </c>
      <c r="Z18" s="1" t="inlineStr">
        <is>
          <t>6227206.00</t>
        </is>
      </c>
      <c r="AA18" s="1" t="inlineStr">
        <is>
          <t>6227206.00</t>
        </is>
      </c>
      <c r="AB18" s="1" t="inlineStr">
        <is>
          <t>6227206.00</t>
        </is>
      </c>
      <c r="AC18" s="1" t="inlineStr">
        <is>
          <t>6211133.00</t>
        </is>
      </c>
      <c r="AD18" s="1" t="inlineStr">
        <is>
          <t>6206191.00</t>
        </is>
      </c>
      <c r="AE18" s="1" t="inlineStr">
        <is>
          <t>6200458.00</t>
        </is>
      </c>
      <c r="AF18" s="1" t="inlineStr">
        <is>
          <t>6198400.00</t>
        </is>
      </c>
      <c r="AG18" s="1" t="inlineStr">
        <is>
          <t>.00</t>
        </is>
      </c>
      <c r="AH18" s="1" t="inlineStr">
        <is>
          <t>-2058.00</t>
        </is>
      </c>
      <c r="AI18" s="1" t="inlineStr">
        <is>
          <t>6225637.33</t>
        </is>
      </c>
      <c r="AJ18">
        <v>948824</v>
      </c>
      <c r="AK18" s="465">
        <v>43056.2292023611</v>
      </c>
    </row>
    <row spans="1:37" outlineLevel="0" r="19">
      <c r="A19" s="1" t="inlineStr">
        <is>
          <t>202610</t>
        </is>
      </c>
      <c r="B19" s="1" t="inlineStr">
        <is>
          <t>21-Q</t>
        </is>
      </c>
      <c r="C19" s="1" t="inlineStr">
        <is>
          <t>162800.00</t>
        </is>
      </c>
      <c r="D19" s="1" t="inlineStr">
        <is>
          <t>162800.00</t>
        </is>
      </c>
      <c r="E19" s="1" t="inlineStr">
        <is>
          <t>162800.00</t>
        </is>
      </c>
      <c r="F19" s="1" t="inlineStr">
        <is>
          <t>162800.00</t>
        </is>
      </c>
      <c r="G19" s="1" t="inlineStr">
        <is>
          <t>162800.00</t>
        </is>
      </c>
      <c r="H19" s="1" t="inlineStr">
        <is>
          <t>162800.00</t>
        </is>
      </c>
      <c r="I19" s="1" t="inlineStr">
        <is>
          <t>162800.00</t>
        </is>
      </c>
      <c r="J19" s="1" t="inlineStr">
        <is>
          <t>162800.00</t>
        </is>
      </c>
      <c r="K19" s="1" t="inlineStr">
        <is>
          <t>162800.00</t>
        </is>
      </c>
      <c r="L19" s="1" t="inlineStr">
        <is>
          <t>162800.00</t>
        </is>
      </c>
      <c r="M19" s="1" t="inlineStr">
        <is>
          <t>162800.00</t>
        </is>
      </c>
      <c r="N19" s="1" t="inlineStr">
        <is>
          <t>162800.00</t>
        </is>
      </c>
      <c r="O19" s="1" t="inlineStr">
        <is>
          <t>162800.00</t>
        </is>
      </c>
      <c r="P19" s="1" t="inlineStr">
        <is>
          <t>162800.00</t>
        </is>
      </c>
      <c r="Q19" s="1" t="inlineStr">
        <is>
          <t>162800.00</t>
        </is>
      </c>
      <c r="R19" s="1" t="inlineStr">
        <is>
          <t>162800.00</t>
        </is>
      </c>
      <c r="S19" s="1" t="inlineStr">
        <is>
          <t>162800.00</t>
        </is>
      </c>
      <c r="T19" s="1" t="inlineStr">
        <is>
          <t>162800.00</t>
        </is>
      </c>
      <c r="U19" s="1" t="inlineStr">
        <is>
          <t>162800.00</t>
        </is>
      </c>
      <c r="V19" s="1" t="inlineStr">
        <is>
          <t>162800.00</t>
        </is>
      </c>
      <c r="W19" s="1" t="inlineStr">
        <is>
          <t>162800.00</t>
        </is>
      </c>
      <c r="X19" s="1" t="inlineStr">
        <is>
          <t>162800.00</t>
        </is>
      </c>
      <c r="Y19" s="1" t="inlineStr">
        <is>
          <t>162800.00</t>
        </is>
      </c>
      <c r="Z19" s="1" t="inlineStr">
        <is>
          <t>162800.00</t>
        </is>
      </c>
      <c r="AA19" s="1" t="inlineStr">
        <is>
          <t>162800.00</t>
        </is>
      </c>
      <c r="AB19" s="1" t="inlineStr">
        <is>
          <t>162800.00</t>
        </is>
      </c>
      <c r="AC19" s="1" t="inlineStr">
        <is>
          <t>162800.00</t>
        </is>
      </c>
      <c r="AD19" s="1" t="inlineStr">
        <is>
          <t>162800.00</t>
        </is>
      </c>
      <c r="AE19" s="1" t="inlineStr">
        <is>
          <t>162800.00</t>
        </is>
      </c>
      <c r="AF19" s="1" t="inlineStr">
        <is>
          <t>162800.00</t>
        </is>
      </c>
      <c r="AG19" s="1" t="inlineStr">
        <is>
          <t>.00</t>
        </is>
      </c>
      <c r="AH19" s="1" t="inlineStr">
        <is>
          <t>.00</t>
        </is>
      </c>
      <c r="AI19" s="1" t="inlineStr">
        <is>
          <t>162800.00</t>
        </is>
      </c>
      <c r="AJ19">
        <v>1995934</v>
      </c>
      <c r="AK19" s="465">
        <v>43056.2292023611</v>
      </c>
    </row>
    <row spans="1:37" outlineLevel="0" r="20">
      <c r="A20" s="1" t="inlineStr">
        <is>
          <t>202610</t>
        </is>
      </c>
      <c r="B20" s="1" t="inlineStr">
        <is>
          <t>22-2</t>
        </is>
      </c>
      <c r="C20" s="1" t="inlineStr">
        <is>
          <t>14160.00</t>
        </is>
      </c>
      <c r="D20" s="1" t="inlineStr">
        <is>
          <t>14160.00</t>
        </is>
      </c>
      <c r="E20" s="1" t="inlineStr">
        <is>
          <t>14160.00</t>
        </is>
      </c>
      <c r="F20" s="1" t="inlineStr">
        <is>
          <t>14160.00</t>
        </is>
      </c>
      <c r="G20" s="1" t="inlineStr">
        <is>
          <t>14160.00</t>
        </is>
      </c>
      <c r="H20" s="1" t="inlineStr">
        <is>
          <t>14160.00</t>
        </is>
      </c>
      <c r="I20" s="1" t="inlineStr">
        <is>
          <t>14160.00</t>
        </is>
      </c>
      <c r="J20" s="1" t="inlineStr">
        <is>
          <t>14160.00</t>
        </is>
      </c>
      <c r="K20" s="1" t="inlineStr">
        <is>
          <t>14160.00</t>
        </is>
      </c>
      <c r="L20" s="1" t="inlineStr">
        <is>
          <t>14160.00</t>
        </is>
      </c>
      <c r="M20" s="1" t="inlineStr">
        <is>
          <t>14160.00</t>
        </is>
      </c>
      <c r="N20" s="1" t="inlineStr">
        <is>
          <t>14160.00</t>
        </is>
      </c>
      <c r="O20" s="1" t="inlineStr">
        <is>
          <t>14160.00</t>
        </is>
      </c>
      <c r="P20" s="1" t="inlineStr">
        <is>
          <t>14160.00</t>
        </is>
      </c>
      <c r="Q20" s="1" t="inlineStr">
        <is>
          <t>14160.00</t>
        </is>
      </c>
      <c r="R20" s="1" t="inlineStr">
        <is>
          <t>14160.00</t>
        </is>
      </c>
      <c r="S20" s="1" t="inlineStr">
        <is>
          <t>14160.00</t>
        </is>
      </c>
      <c r="T20" s="1" t="inlineStr">
        <is>
          <t>14160.00</t>
        </is>
      </c>
      <c r="U20" s="1" t="inlineStr">
        <is>
          <t>14160.00</t>
        </is>
      </c>
      <c r="V20" s="1" t="inlineStr">
        <is>
          <t>14160.00</t>
        </is>
      </c>
      <c r="W20" s="1" t="inlineStr">
        <is>
          <t>14160.00</t>
        </is>
      </c>
      <c r="X20" s="1" t="inlineStr">
        <is>
          <t>14160.00</t>
        </is>
      </c>
      <c r="Y20" s="1" t="inlineStr">
        <is>
          <t>14160.00</t>
        </is>
      </c>
      <c r="Z20" s="1" t="inlineStr">
        <is>
          <t>14160.00</t>
        </is>
      </c>
      <c r="AA20" s="1" t="inlineStr">
        <is>
          <t>14160.00</t>
        </is>
      </c>
      <c r="AB20" s="1" t="inlineStr">
        <is>
          <t>14160.00</t>
        </is>
      </c>
      <c r="AC20" s="1" t="inlineStr">
        <is>
          <t>14160.00</t>
        </is>
      </c>
      <c r="AD20" s="1" t="inlineStr">
        <is>
          <t>14160.00</t>
        </is>
      </c>
      <c r="AE20" s="1" t="inlineStr">
        <is>
          <t>14160.00</t>
        </is>
      </c>
      <c r="AF20" s="1" t="inlineStr">
        <is>
          <t>14160.00</t>
        </is>
      </c>
      <c r="AG20" s="1" t="inlineStr">
        <is>
          <t>.00</t>
        </is>
      </c>
      <c r="AH20" s="1" t="inlineStr">
        <is>
          <t>.00</t>
        </is>
      </c>
      <c r="AI20" s="1" t="inlineStr">
        <is>
          <t>14160.00</t>
        </is>
      </c>
      <c r="AJ20">
        <v>10676173</v>
      </c>
      <c r="AK20" s="465">
        <v>43056.2292023611</v>
      </c>
    </row>
    <row spans="1:37" outlineLevel="0" r="21">
      <c r="A21" s="1" t="inlineStr">
        <is>
          <t>202610</t>
        </is>
      </c>
      <c r="B21" s="1" t="inlineStr">
        <is>
          <t>23-3</t>
        </is>
      </c>
      <c r="C21" s="1" t="inlineStr">
        <is>
          <t>159156.00</t>
        </is>
      </c>
      <c r="D21" s="1" t="inlineStr">
        <is>
          <t>159156.00</t>
        </is>
      </c>
      <c r="E21" s="1" t="inlineStr">
        <is>
          <t>159156.00</t>
        </is>
      </c>
      <c r="F21" s="1" t="inlineStr">
        <is>
          <t>159156.00</t>
        </is>
      </c>
      <c r="G21" s="1" t="inlineStr">
        <is>
          <t>153276.00</t>
        </is>
      </c>
      <c r="H21" s="1" t="inlineStr">
        <is>
          <t>153276.00</t>
        </is>
      </c>
      <c r="I21" s="1" t="inlineStr">
        <is>
          <t>153276.00</t>
        </is>
      </c>
      <c r="J21" s="1" t="inlineStr">
        <is>
          <t>153276.00</t>
        </is>
      </c>
      <c r="K21" s="1" t="inlineStr">
        <is>
          <t>153276.00</t>
        </is>
      </c>
      <c r="L21" s="1" t="inlineStr">
        <is>
          <t>153276.00</t>
        </is>
      </c>
      <c r="M21" s="1" t="inlineStr">
        <is>
          <t>153276.00</t>
        </is>
      </c>
      <c r="N21" s="1" t="inlineStr">
        <is>
          <t>153276.00</t>
        </is>
      </c>
      <c r="O21" s="1" t="inlineStr">
        <is>
          <t>153276.00</t>
        </is>
      </c>
      <c r="P21" s="1" t="inlineStr">
        <is>
          <t>153276.00</t>
        </is>
      </c>
      <c r="Q21" s="1" t="inlineStr">
        <is>
          <t>153276.00</t>
        </is>
      </c>
      <c r="R21" s="1" t="inlineStr">
        <is>
          <t>153276.00</t>
        </is>
      </c>
      <c r="S21" s="1" t="inlineStr">
        <is>
          <t>153276.00</t>
        </is>
      </c>
      <c r="T21" s="1" t="inlineStr">
        <is>
          <t>153276.00</t>
        </is>
      </c>
      <c r="U21" s="1" t="inlineStr">
        <is>
          <t>153276.00</t>
        </is>
      </c>
      <c r="V21" s="1" t="inlineStr">
        <is>
          <t>153276.00</t>
        </is>
      </c>
      <c r="W21" s="1" t="inlineStr">
        <is>
          <t>153276.00</t>
        </is>
      </c>
      <c r="X21" s="1" t="inlineStr">
        <is>
          <t>153276.00</t>
        </is>
      </c>
      <c r="Y21" s="1" t="inlineStr">
        <is>
          <t>153276.00</t>
        </is>
      </c>
      <c r="Z21" s="1" t="inlineStr">
        <is>
          <t>153276.00</t>
        </is>
      </c>
      <c r="AA21" s="1" t="inlineStr">
        <is>
          <t>153276.00</t>
        </is>
      </c>
      <c r="AB21" s="1" t="inlineStr">
        <is>
          <t>153276.00</t>
        </is>
      </c>
      <c r="AC21" s="1" t="inlineStr">
        <is>
          <t>153276.00</t>
        </is>
      </c>
      <c r="AD21" s="1" t="inlineStr">
        <is>
          <t>153276.00</t>
        </is>
      </c>
      <c r="AE21" s="1" t="inlineStr">
        <is>
          <t>153276.00</t>
        </is>
      </c>
      <c r="AF21" s="1" t="inlineStr">
        <is>
          <t>153276.00</t>
        </is>
      </c>
      <c r="AG21" s="1" t="inlineStr">
        <is>
          <t>.00</t>
        </is>
      </c>
      <c r="AH21" s="1" t="inlineStr">
        <is>
          <t>.00</t>
        </is>
      </c>
      <c r="AI21" s="1" t="inlineStr">
        <is>
          <t>154060.00</t>
        </is>
      </c>
      <c r="AJ21">
        <v>10660622</v>
      </c>
      <c r="AK21" s="465">
        <v>43056.2292023611</v>
      </c>
    </row>
    <row spans="1:37" outlineLevel="0" r="22">
      <c r="A22" s="1" t="inlineStr">
        <is>
          <t>202610</t>
        </is>
      </c>
      <c r="B22" s="1" t="inlineStr">
        <is>
          <t>24-4</t>
        </is>
      </c>
      <c r="C22" s="1" t="inlineStr">
        <is>
          <t>.00</t>
        </is>
      </c>
      <c r="D22" s="1" t="inlineStr">
        <is>
          <t>.00</t>
        </is>
      </c>
      <c r="E22" s="1" t="inlineStr">
        <is>
          <t>.00</t>
        </is>
      </c>
      <c r="F22" s="1" t="inlineStr">
        <is>
          <t>.00</t>
        </is>
      </c>
      <c r="G22" s="1" t="inlineStr">
        <is>
          <t>.00</t>
        </is>
      </c>
      <c r="H22" s="1" t="inlineStr">
        <is>
          <t>.00</t>
        </is>
      </c>
      <c r="I22" s="1" t="inlineStr">
        <is>
          <t>.00</t>
        </is>
      </c>
      <c r="J22" s="1" t="inlineStr">
        <is>
          <t>.00</t>
        </is>
      </c>
      <c r="K22" s="1" t="inlineStr">
        <is>
          <t>.00</t>
        </is>
      </c>
      <c r="L22" s="1" t="inlineStr">
        <is>
          <t>.00</t>
        </is>
      </c>
      <c r="M22" s="1" t="inlineStr">
        <is>
          <t>.00</t>
        </is>
      </c>
      <c r="N22" s="1" t="inlineStr">
        <is>
          <t>.00</t>
        </is>
      </c>
      <c r="O22" s="1" t="inlineStr">
        <is>
          <t>.00</t>
        </is>
      </c>
      <c r="P22" s="1" t="inlineStr">
        <is>
          <t>.00</t>
        </is>
      </c>
      <c r="Q22" s="1" t="inlineStr">
        <is>
          <t>.00</t>
        </is>
      </c>
      <c r="R22" s="1" t="inlineStr">
        <is>
          <t>.00</t>
        </is>
      </c>
      <c r="S22" s="1" t="inlineStr">
        <is>
          <t>.00</t>
        </is>
      </c>
      <c r="T22" s="1" t="inlineStr">
        <is>
          <t>.00</t>
        </is>
      </c>
      <c r="U22" s="1" t="inlineStr">
        <is>
          <t>.00</t>
        </is>
      </c>
      <c r="V22" s="1" t="inlineStr">
        <is>
          <t>.00</t>
        </is>
      </c>
      <c r="W22" s="1" t="inlineStr">
        <is>
          <t>.00</t>
        </is>
      </c>
      <c r="X22" s="1" t="inlineStr">
        <is>
          <t>.00</t>
        </is>
      </c>
      <c r="Y22" s="1" t="inlineStr">
        <is>
          <t>.00</t>
        </is>
      </c>
      <c r="Z22" s="1" t="inlineStr">
        <is>
          <t>.00</t>
        </is>
      </c>
      <c r="AA22" s="1" t="inlineStr">
        <is>
          <t>.00</t>
        </is>
      </c>
      <c r="AB22" s="1" t="inlineStr">
        <is>
          <t>.00</t>
        </is>
      </c>
      <c r="AC22" s="1" t="inlineStr">
        <is>
          <t>.00</t>
        </is>
      </c>
      <c r="AD22" s="1" t="inlineStr">
        <is>
          <t>.00</t>
        </is>
      </c>
      <c r="AE22" s="1" t="inlineStr">
        <is>
          <t>.00</t>
        </is>
      </c>
      <c r="AF22" s="1" t="inlineStr">
        <is>
          <t>.00</t>
        </is>
      </c>
      <c r="AG22" s="1" t="inlineStr">
        <is>
          <t>.00</t>
        </is>
      </c>
      <c r="AH22" s="1" t="inlineStr">
        <is>
          <t>.00</t>
        </is>
      </c>
      <c r="AI22" s="1" t="inlineStr">
        <is>
          <t>.00</t>
        </is>
      </c>
      <c r="AJ22">
        <v>473816</v>
      </c>
      <c r="AK22" s="465">
        <v>43056.2292023611</v>
      </c>
    </row>
    <row spans="1:37" outlineLevel="0" r="23">
      <c r="A23" s="1" t="inlineStr">
        <is>
          <t>202610</t>
        </is>
      </c>
      <c r="B23" s="464" t="inlineStr">
        <is>
          <t>25-5</t>
        </is>
      </c>
      <c r="C23" s="1" t="inlineStr">
        <is>
          <t>.00</t>
        </is>
      </c>
      <c r="D23" s="1" t="inlineStr">
        <is>
          <t>.00</t>
        </is>
      </c>
      <c r="E23" s="1" t="inlineStr">
        <is>
          <t>.00</t>
        </is>
      </c>
      <c r="F23" s="1" t="inlineStr">
        <is>
          <t>.00</t>
        </is>
      </c>
      <c r="G23" s="1" t="inlineStr">
        <is>
          <t>.00</t>
        </is>
      </c>
      <c r="H23" s="1" t="inlineStr">
        <is>
          <t>.00</t>
        </is>
      </c>
      <c r="I23" s="1" t="inlineStr">
        <is>
          <t>.00</t>
        </is>
      </c>
      <c r="J23" s="1" t="inlineStr">
        <is>
          <t>.00</t>
        </is>
      </c>
      <c r="K23" s="1" t="inlineStr">
        <is>
          <t>.00</t>
        </is>
      </c>
      <c r="L23" s="1" t="inlineStr">
        <is>
          <t>.00</t>
        </is>
      </c>
      <c r="M23" s="1" t="inlineStr">
        <is>
          <t>.00</t>
        </is>
      </c>
      <c r="N23" s="1" t="inlineStr">
        <is>
          <t>.00</t>
        </is>
      </c>
      <c r="O23" s="1" t="inlineStr">
        <is>
          <t>.00</t>
        </is>
      </c>
      <c r="P23" s="1" t="inlineStr">
        <is>
          <t>.00</t>
        </is>
      </c>
      <c r="Q23" s="1" t="inlineStr">
        <is>
          <t>.00</t>
        </is>
      </c>
      <c r="R23" s="1" t="inlineStr">
        <is>
          <t>.00</t>
        </is>
      </c>
      <c r="S23" s="1" t="inlineStr">
        <is>
          <t>.00</t>
        </is>
      </c>
      <c r="T23" s="1" t="inlineStr">
        <is>
          <t>.00</t>
        </is>
      </c>
      <c r="U23" s="1" t="inlineStr">
        <is>
          <t>.00</t>
        </is>
      </c>
      <c r="V23" s="1" t="inlineStr">
        <is>
          <t>.00</t>
        </is>
      </c>
      <c r="W23" s="1" t="inlineStr">
        <is>
          <t>.00</t>
        </is>
      </c>
      <c r="X23" s="1" t="inlineStr">
        <is>
          <t>.00</t>
        </is>
      </c>
      <c r="Y23" s="1" t="inlineStr">
        <is>
          <t>.00</t>
        </is>
      </c>
      <c r="Z23" s="1" t="inlineStr">
        <is>
          <t>.00</t>
        </is>
      </c>
      <c r="AA23" s="1" t="inlineStr">
        <is>
          <t>.00</t>
        </is>
      </c>
      <c r="AB23" s="1" t="inlineStr">
        <is>
          <t>.00</t>
        </is>
      </c>
      <c r="AC23" s="1" t="inlineStr">
        <is>
          <t>.00</t>
        </is>
      </c>
      <c r="AD23" s="1" t="inlineStr">
        <is>
          <t>.00</t>
        </is>
      </c>
      <c r="AE23" s="1" t="inlineStr">
        <is>
          <t>.00</t>
        </is>
      </c>
      <c r="AF23" s="1" t="inlineStr">
        <is>
          <t>.00</t>
        </is>
      </c>
      <c r="AG23" s="1" t="inlineStr">
        <is>
          <t>.00</t>
        </is>
      </c>
      <c r="AH23" s="1" t="inlineStr">
        <is>
          <t>.00</t>
        </is>
      </c>
      <c r="AI23" s="1" t="inlineStr">
        <is>
          <t>.00</t>
        </is>
      </c>
      <c r="AJ23">
        <v>732707</v>
      </c>
      <c r="AK23" s="465">
        <v>43056.2292023611</v>
      </c>
    </row>
    <row spans="1:37" outlineLevel="0" r="24">
      <c r="A24" s="1" t="inlineStr">
        <is>
          <t>202610</t>
        </is>
      </c>
      <c r="B24" s="464" t="inlineStr">
        <is>
          <t>26-6</t>
        </is>
      </c>
      <c r="C24" s="1" t="inlineStr">
        <is>
          <t>9535721.00</t>
        </is>
      </c>
      <c r="D24" s="1" t="inlineStr">
        <is>
          <t>8980191.00</t>
        </is>
      </c>
      <c r="E24" s="1" t="inlineStr">
        <is>
          <t>8157537.00</t>
        </is>
      </c>
      <c r="F24" s="1" t="inlineStr">
        <is>
          <t>8157537.00</t>
        </is>
      </c>
      <c r="G24" s="1" t="inlineStr">
        <is>
          <t>7456836.00</t>
        </is>
      </c>
      <c r="H24" s="1" t="inlineStr">
        <is>
          <t>7854509.00</t>
        </is>
      </c>
      <c r="I24" s="1" t="inlineStr">
        <is>
          <t>8035567.00</t>
        </is>
      </c>
      <c r="J24" s="1" t="inlineStr">
        <is>
          <t>7766749.00</t>
        </is>
      </c>
      <c r="K24" s="1" t="inlineStr">
        <is>
          <t>7765153.00</t>
        </is>
      </c>
      <c r="L24" s="1" t="inlineStr">
        <is>
          <t>7765153.00</t>
        </is>
      </c>
      <c r="M24" s="1" t="inlineStr">
        <is>
          <t>7713676.00</t>
        </is>
      </c>
      <c r="N24" s="1" t="inlineStr">
        <is>
          <t>8010177.00</t>
        </is>
      </c>
      <c r="O24" s="1" t="inlineStr">
        <is>
          <t>7301391.00</t>
        </is>
      </c>
      <c r="P24" s="1" t="inlineStr">
        <is>
          <t>8683921.00</t>
        </is>
      </c>
      <c r="Q24" s="1" t="inlineStr">
        <is>
          <t>8218982.00</t>
        </is>
      </c>
      <c r="R24" s="1" t="inlineStr">
        <is>
          <t>7384861.00</t>
        </is>
      </c>
      <c r="S24" s="1" t="inlineStr">
        <is>
          <t>6508247.00</t>
        </is>
      </c>
      <c r="T24" s="1" t="inlineStr">
        <is>
          <t>7026240.00</t>
        </is>
      </c>
      <c r="U24" s="1" t="inlineStr">
        <is>
          <t>6150564.00</t>
        </is>
      </c>
      <c r="V24" s="1" t="inlineStr">
        <is>
          <t>7804814.00</t>
        </is>
      </c>
      <c r="W24" s="1" t="inlineStr">
        <is>
          <t>9257629.00</t>
        </is>
      </c>
      <c r="X24" s="1" t="inlineStr">
        <is>
          <t>9179355.00</t>
        </is>
      </c>
      <c r="Y24" s="1" t="inlineStr">
        <is>
          <t>9179355.00</t>
        </is>
      </c>
      <c r="Z24" s="1" t="inlineStr">
        <is>
          <t>9024443.00</t>
        </is>
      </c>
      <c r="AA24" s="1" t="inlineStr">
        <is>
          <t>9024443.00</t>
        </is>
      </c>
      <c r="AB24" s="1" t="inlineStr">
        <is>
          <t>9024443.00</t>
        </is>
      </c>
      <c r="AC24" s="1" t="inlineStr">
        <is>
          <t>7731928.00</t>
        </is>
      </c>
      <c r="AD24" s="1" t="inlineStr">
        <is>
          <t>8883509.00</t>
        </is>
      </c>
      <c r="AE24" s="1" t="inlineStr">
        <is>
          <t>8067485.00</t>
        </is>
      </c>
      <c r="AF24" s="1" t="inlineStr">
        <is>
          <t>8276468.00</t>
        </is>
      </c>
      <c r="AG24" s="1" t="inlineStr">
        <is>
          <t>.00</t>
        </is>
      </c>
      <c r="AH24" s="1" t="inlineStr">
        <is>
          <t>208983.00</t>
        </is>
      </c>
      <c r="AI24" s="1" t="inlineStr">
        <is>
          <t>8130896.13</t>
        </is>
      </c>
      <c r="AJ24">
        <v>884880</v>
      </c>
      <c r="AK24" s="465">
        <v>43056.2292023611</v>
      </c>
    </row>
    <row spans="1:37" outlineLevel="0" r="25">
      <c r="A25" s="1" t="inlineStr">
        <is>
          <t>202610</t>
        </is>
      </c>
      <c r="B25" s="464" t="inlineStr">
        <is>
          <t>27-7</t>
        </is>
      </c>
      <c r="C25" s="1" t="inlineStr">
        <is>
          <t>11863989.00</t>
        </is>
      </c>
      <c r="D25" s="1" t="inlineStr">
        <is>
          <t>11709666.00</t>
        </is>
      </c>
      <c r="E25" s="1" t="inlineStr">
        <is>
          <t>11616366.00</t>
        </is>
      </c>
      <c r="F25" s="1" t="inlineStr">
        <is>
          <t>11616366.00</t>
        </is>
      </c>
      <c r="G25" s="1" t="inlineStr">
        <is>
          <t>11723746.00</t>
        </is>
      </c>
      <c r="H25" s="1" t="inlineStr">
        <is>
          <t>11194424.00</t>
        </is>
      </c>
      <c r="I25" s="1" t="inlineStr">
        <is>
          <t>11125614.00</t>
        </is>
      </c>
      <c r="J25" s="1" t="inlineStr">
        <is>
          <t>11013374.00</t>
        </is>
      </c>
      <c r="K25" s="1" t="inlineStr">
        <is>
          <t>11013374.00</t>
        </is>
      </c>
      <c r="L25" s="1" t="inlineStr">
        <is>
          <t>11013374.00</t>
        </is>
      </c>
      <c r="M25" s="1" t="inlineStr">
        <is>
          <t>11013374.00</t>
        </is>
      </c>
      <c r="N25" s="1" t="inlineStr">
        <is>
          <t>11575150.00</t>
        </is>
      </c>
      <c r="O25" s="1" t="inlineStr">
        <is>
          <t>11848883.00</t>
        </is>
      </c>
      <c r="P25" s="1" t="inlineStr">
        <is>
          <t>13027158.00</t>
        </is>
      </c>
      <c r="Q25" s="1" t="inlineStr">
        <is>
          <t>13056060.00</t>
        </is>
      </c>
      <c r="R25" s="1" t="inlineStr">
        <is>
          <t>13039584.00</t>
        </is>
      </c>
      <c r="S25" s="1" t="inlineStr">
        <is>
          <t>12958824.00</t>
        </is>
      </c>
      <c r="T25" s="1" t="inlineStr">
        <is>
          <t>12958824.00</t>
        </is>
      </c>
      <c r="U25" s="1" t="inlineStr">
        <is>
          <t>12852786.00</t>
        </is>
      </c>
      <c r="V25" s="1" t="inlineStr">
        <is>
          <t>19716776.00</t>
        </is>
      </c>
      <c r="W25" s="1" t="inlineStr">
        <is>
          <t>14465652.00</t>
        </is>
      </c>
      <c r="X25" s="1" t="inlineStr">
        <is>
          <t>14442132.00</t>
        </is>
      </c>
      <c r="Y25" s="1" t="inlineStr">
        <is>
          <t>14442132.00</t>
        </is>
      </c>
      <c r="Z25" s="1" t="inlineStr">
        <is>
          <t>14433012.00</t>
        </is>
      </c>
      <c r="AA25" s="1" t="inlineStr">
        <is>
          <t>14433012.00</t>
        </is>
      </c>
      <c r="AB25" s="1" t="inlineStr">
        <is>
          <t>14433012.00</t>
        </is>
      </c>
      <c r="AC25" s="1" t="inlineStr">
        <is>
          <t>14207693.00</t>
        </is>
      </c>
      <c r="AD25" s="1" t="inlineStr">
        <is>
          <t>15780703.00</t>
        </is>
      </c>
      <c r="AE25" s="1" t="inlineStr">
        <is>
          <t>15867831.00</t>
        </is>
      </c>
      <c r="AF25" s="1" t="inlineStr">
        <is>
          <t>15852781.00</t>
        </is>
      </c>
      <c r="AG25" s="1" t="inlineStr">
        <is>
          <t>.00</t>
        </is>
      </c>
      <c r="AH25" s="1" t="inlineStr">
        <is>
          <t>-15050.00</t>
        </is>
      </c>
      <c r="AI25" s="1" t="inlineStr">
        <is>
          <t>13143189.06</t>
        </is>
      </c>
      <c r="AJ25">
        <v>0</v>
      </c>
      <c r="AK25" s="465">
        <v>43056.2292023611</v>
      </c>
    </row>
    <row spans="1:37" outlineLevel="0" r="26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</v>
      </c>
    </row>
    <row spans="1:37" outlineLevel="0" r="2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</v>
      </c>
    </row>
    <row spans="1:37" outlineLevel="0" r="28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A00-000000000000}">
  <dimension ref="A1:AI32"/>
  <sheetViews>
    <sheetView workbookViewId="0" rightToLeft="false">
      <selection activeCell="F9" sqref="F9"/>
    </sheetView>
  </sheetViews>
  <sheetFormatPr defaultRowHeight="17"/>
  <sheetData>
    <row spans="1:35" outlineLevel="0" r="1">
      <c r="A1" s="1" t="inlineStr">
        <is>
          <t>YYMM</t>
        </is>
      </c>
      <c r="B1" s="1" t="inlineStr">
        <is>
          <t>FRCD</t>
        </is>
      </c>
      <c r="C1" s="1" t="inlineStr">
        <is>
          <t>DATE01</t>
        </is>
      </c>
      <c r="D1" s="1" t="inlineStr">
        <is>
          <t>DATE02</t>
        </is>
      </c>
      <c r="E1" s="1" t="inlineStr">
        <is>
          <t>DATE03</t>
        </is>
      </c>
      <c r="F1" s="1" t="inlineStr">
        <is>
          <t>DATE04</t>
        </is>
      </c>
      <c r="G1" s="1" t="inlineStr">
        <is>
          <t>DATE05</t>
        </is>
      </c>
      <c r="H1" s="1" t="inlineStr">
        <is>
          <t>DATE06</t>
        </is>
      </c>
      <c r="I1" s="1" t="inlineStr">
        <is>
          <t>DATE07</t>
        </is>
      </c>
      <c r="J1" s="1" t="inlineStr">
        <is>
          <t>DATE08</t>
        </is>
      </c>
      <c r="K1" s="1" t="inlineStr">
        <is>
          <t>DATE09</t>
        </is>
      </c>
      <c r="L1" s="1" t="inlineStr">
        <is>
          <t>DATE10</t>
        </is>
      </c>
      <c r="M1" s="1" t="inlineStr">
        <is>
          <t>DATE11</t>
        </is>
      </c>
      <c r="N1" s="1" t="inlineStr">
        <is>
          <t>DATE12</t>
        </is>
      </c>
      <c r="O1" s="1" t="inlineStr">
        <is>
          <t>DATE13</t>
        </is>
      </c>
      <c r="P1" s="1" t="inlineStr">
        <is>
          <t>DATE14</t>
        </is>
      </c>
      <c r="Q1" s="1" t="inlineStr">
        <is>
          <t>DATE15</t>
        </is>
      </c>
      <c r="R1" s="1" t="inlineStr">
        <is>
          <t>DATE16</t>
        </is>
      </c>
      <c r="S1" s="1" t="inlineStr">
        <is>
          <t>DATE17</t>
        </is>
      </c>
      <c r="T1" s="1" t="inlineStr">
        <is>
          <t>DATE18</t>
        </is>
      </c>
      <c r="U1" s="1" t="inlineStr">
        <is>
          <t>DATE19</t>
        </is>
      </c>
      <c r="V1" s="1" t="inlineStr">
        <is>
          <t>DATE20</t>
        </is>
      </c>
      <c r="W1" s="1" t="inlineStr">
        <is>
          <t>DATE21</t>
        </is>
      </c>
      <c r="X1" s="1" t="inlineStr">
        <is>
          <t>DATE22</t>
        </is>
      </c>
      <c r="Y1" s="1" t="inlineStr">
        <is>
          <t>DATE23</t>
        </is>
      </c>
      <c r="Z1" s="1" t="inlineStr">
        <is>
          <t>DATE24</t>
        </is>
      </c>
      <c r="AA1" s="1" t="inlineStr">
        <is>
          <t>DATE25</t>
        </is>
      </c>
      <c r="AB1" s="1" t="inlineStr">
        <is>
          <t>DATE26</t>
        </is>
      </c>
      <c r="AC1" s="1" t="inlineStr">
        <is>
          <t>DATE27</t>
        </is>
      </c>
      <c r="AD1" s="1" t="inlineStr">
        <is>
          <t>DATE28</t>
        </is>
      </c>
      <c r="AE1" s="1" t="inlineStr">
        <is>
          <t>DATE29</t>
        </is>
      </c>
      <c r="AF1" s="1" t="inlineStr">
        <is>
          <t>DATE30</t>
        </is>
      </c>
      <c r="AG1" s="1" t="inlineStr">
        <is>
          <t>DATE31</t>
        </is>
      </c>
      <c r="AH1" s="1" t="inlineStr">
        <is>
          <t>AVGSR</t>
        </is>
      </c>
    </row>
    <row spans="1:35" outlineLevel="0" r="2">
      <c r="A2" s="1" t="inlineStr">
        <is>
          <t>202610</t>
        </is>
      </c>
      <c r="B2" s="285" t="inlineStr">
        <is>
          <t>01-A</t>
        </is>
      </c>
      <c r="C2" s="1" t="inlineStr">
        <is>
          <t>96.6</t>
        </is>
      </c>
      <c r="D2" s="1" t="inlineStr">
        <is>
          <t>96.6</t>
        </is>
      </c>
      <c r="E2" s="1" t="inlineStr">
        <is>
          <t>97</t>
        </is>
      </c>
      <c r="F2" s="1" t="inlineStr">
        <is>
          <t>0</t>
        </is>
      </c>
      <c r="G2" s="1" t="inlineStr">
        <is>
          <t>96.2</t>
        </is>
      </c>
      <c r="H2" s="1" t="inlineStr">
        <is>
          <t>96.6</t>
        </is>
      </c>
      <c r="I2" s="1" t="inlineStr">
        <is>
          <t>96.8</t>
        </is>
      </c>
      <c r="J2" s="1" t="inlineStr">
        <is>
          <t>96.9</t>
        </is>
      </c>
      <c r="K2" s="1" t="inlineStr">
        <is>
          <t>0</t>
        </is>
      </c>
      <c r="L2" s="1" t="inlineStr">
        <is>
          <t>0</t>
        </is>
      </c>
      <c r="M2" s="1" t="inlineStr">
        <is>
          <t>0</t>
        </is>
      </c>
      <c r="N2" s="1" t="inlineStr">
        <is>
          <t>95.8</t>
        </is>
      </c>
      <c r="O2" s="1" t="inlineStr">
        <is>
          <t>95.2</t>
        </is>
      </c>
      <c r="P2" s="1" t="inlineStr">
        <is>
          <t>95.3</t>
        </is>
      </c>
      <c r="Q2" s="1" t="inlineStr">
        <is>
          <t>95.6</t>
        </is>
      </c>
      <c r="R2" s="1" t="inlineStr">
        <is>
          <t>96.1</t>
        </is>
      </c>
      <c r="S2" s="1" t="inlineStr">
        <is>
          <t>95.7</t>
        </is>
      </c>
      <c r="T2" s="1" t="inlineStr">
        <is>
          <t>0</t>
        </is>
      </c>
      <c r="U2" s="1" t="inlineStr">
        <is>
          <t>97</t>
        </is>
      </c>
      <c r="V2" s="1" t="inlineStr">
        <is>
          <t>95.9</t>
        </is>
      </c>
      <c r="W2" s="1" t="inlineStr">
        <is>
          <t>96.6</t>
        </is>
      </c>
      <c r="X2" s="1" t="inlineStr">
        <is>
          <t>96</t>
        </is>
      </c>
      <c r="Y2" s="1" t="inlineStr">
        <is>
          <t>0</t>
        </is>
      </c>
      <c r="Z2" s="1" t="inlineStr">
        <is>
          <t>100</t>
        </is>
      </c>
      <c r="AA2" s="1" t="inlineStr">
        <is>
          <t>0</t>
        </is>
      </c>
      <c r="AB2" s="1" t="inlineStr">
        <is>
          <t>0</t>
        </is>
      </c>
      <c r="AC2" s="1" t="inlineStr">
        <is>
          <t>94.7</t>
        </is>
      </c>
      <c r="AD2" s="1" t="inlineStr">
        <is>
          <t>95.3</t>
        </is>
      </c>
      <c r="AE2" s="1" t="inlineStr">
        <is>
          <t>95.1</t>
        </is>
      </c>
      <c r="AF2" s="1" t="inlineStr">
        <is>
          <t>95.1</t>
        </is>
      </c>
      <c r="AG2" s="1" t="inlineStr">
        <is>
          <t>0</t>
        </is>
      </c>
      <c r="AH2" s="1" t="inlineStr">
        <is>
          <t>96.1</t>
        </is>
      </c>
      <c r="AI2" s="465">
        <v>44412.2291941782</v>
      </c>
    </row>
    <row spans="1:35" outlineLevel="0" r="3">
      <c r="A3" s="1" t="inlineStr">
        <is>
          <t>202610</t>
        </is>
      </c>
      <c r="B3" s="285" t="inlineStr">
        <is>
          <t>02-D</t>
        </is>
      </c>
      <c r="C3" s="1" t="inlineStr">
        <is>
          <t>97.3</t>
        </is>
      </c>
      <c r="D3" s="1" t="inlineStr">
        <is>
          <t>96.9</t>
        </is>
      </c>
      <c r="E3" s="1" t="inlineStr">
        <is>
          <t>97.4</t>
        </is>
      </c>
      <c r="F3" s="1" t="inlineStr">
        <is>
          <t>0</t>
        </is>
      </c>
      <c r="G3" s="1" t="inlineStr">
        <is>
          <t>97.5</t>
        </is>
      </c>
      <c r="H3" s="1" t="inlineStr">
        <is>
          <t>98.1</t>
        </is>
      </c>
      <c r="I3" s="1" t="inlineStr">
        <is>
          <t>97</t>
        </is>
      </c>
      <c r="J3" s="1" t="inlineStr">
        <is>
          <t>96.5</t>
        </is>
      </c>
      <c r="K3" s="1" t="inlineStr">
        <is>
          <t>0</t>
        </is>
      </c>
      <c r="L3" s="1" t="inlineStr">
        <is>
          <t>0</t>
        </is>
      </c>
      <c r="M3" s="1" t="inlineStr">
        <is>
          <t>0</t>
        </is>
      </c>
      <c r="N3" s="1" t="inlineStr">
        <is>
          <t>96.8</t>
        </is>
      </c>
      <c r="O3" s="1" t="inlineStr">
        <is>
          <t>96.9</t>
        </is>
      </c>
      <c r="P3" s="1" t="inlineStr">
        <is>
          <t>96.9</t>
        </is>
      </c>
      <c r="Q3" s="1" t="inlineStr">
        <is>
          <t>97.8</t>
        </is>
      </c>
      <c r="R3" s="1" t="inlineStr">
        <is>
          <t>97.2</t>
        </is>
      </c>
      <c r="S3" s="1" t="inlineStr">
        <is>
          <t>97.8</t>
        </is>
      </c>
      <c r="T3" s="1" t="inlineStr">
        <is>
          <t>0</t>
        </is>
      </c>
      <c r="U3" s="1" t="inlineStr">
        <is>
          <t>97.3</t>
        </is>
      </c>
      <c r="V3" s="1" t="inlineStr">
        <is>
          <t>97.8</t>
        </is>
      </c>
      <c r="W3" s="1" t="inlineStr">
        <is>
          <t>98</t>
        </is>
      </c>
      <c r="X3" s="1" t="inlineStr">
        <is>
          <t>97.5</t>
        </is>
      </c>
      <c r="Y3" s="1" t="inlineStr">
        <is>
          <t>0</t>
        </is>
      </c>
      <c r="Z3" s="1" t="inlineStr">
        <is>
          <t>100</t>
        </is>
      </c>
      <c r="AA3" s="1" t="inlineStr">
        <is>
          <t>0</t>
        </is>
      </c>
      <c r="AB3" s="1" t="inlineStr">
        <is>
          <t>0</t>
        </is>
      </c>
      <c r="AC3" s="1" t="inlineStr">
        <is>
          <t>97.4</t>
        </is>
      </c>
      <c r="AD3" s="1" t="inlineStr">
        <is>
          <t>96.9</t>
        </is>
      </c>
      <c r="AE3" s="1" t="inlineStr">
        <is>
          <t>97.1</t>
        </is>
      </c>
      <c r="AF3" s="1" t="inlineStr">
        <is>
          <t>97.5</t>
        </is>
      </c>
      <c r="AG3" s="1" t="inlineStr">
        <is>
          <t>0</t>
        </is>
      </c>
      <c r="AH3" s="1" t="inlineStr">
        <is>
          <t>97.4</t>
        </is>
      </c>
      <c r="AI3" s="465">
        <v>44412.2291941782</v>
      </c>
    </row>
    <row spans="1:35" outlineLevel="0" r="4">
      <c r="A4" s="1" t="inlineStr">
        <is>
          <t>202610</t>
        </is>
      </c>
      <c r="B4" s="285" t="inlineStr">
        <is>
          <t>03-J</t>
        </is>
      </c>
      <c r="C4" s="1" t="inlineStr">
        <is>
          <t>99.3</t>
        </is>
      </c>
      <c r="D4" s="1" t="inlineStr">
        <is>
          <t>99.5</t>
        </is>
      </c>
      <c r="E4" s="1" t="inlineStr">
        <is>
          <t>98.1</t>
        </is>
      </c>
      <c r="F4" s="1" t="inlineStr">
        <is>
          <t>0</t>
        </is>
      </c>
      <c r="G4" s="1" t="inlineStr">
        <is>
          <t>97.6</t>
        </is>
      </c>
      <c r="H4" s="1" t="inlineStr">
        <is>
          <t>100</t>
        </is>
      </c>
      <c r="I4" s="1" t="inlineStr">
        <is>
          <t>100</t>
        </is>
      </c>
      <c r="J4" s="1" t="inlineStr">
        <is>
          <t>100</t>
        </is>
      </c>
      <c r="K4" s="1" t="inlineStr">
        <is>
          <t>0</t>
        </is>
      </c>
      <c r="L4" s="1" t="inlineStr">
        <is>
          <t>0</t>
        </is>
      </c>
      <c r="M4" s="1" t="inlineStr">
        <is>
          <t>0</t>
        </is>
      </c>
      <c r="N4" s="1" t="inlineStr">
        <is>
          <t>96.1</t>
        </is>
      </c>
      <c r="O4" s="1" t="inlineStr">
        <is>
          <t>100</t>
        </is>
      </c>
      <c r="P4" s="1" t="inlineStr">
        <is>
          <t>100</t>
        </is>
      </c>
      <c r="Q4" s="1" t="inlineStr">
        <is>
          <t>100</t>
        </is>
      </c>
      <c r="R4" s="1" t="inlineStr">
        <is>
          <t>100</t>
        </is>
      </c>
      <c r="S4" s="1" t="inlineStr">
        <is>
          <t>98.5</t>
        </is>
      </c>
      <c r="T4" s="1" t="inlineStr">
        <is>
          <t>0</t>
        </is>
      </c>
      <c r="U4" s="1" t="inlineStr">
        <is>
          <t>98.7</t>
        </is>
      </c>
      <c r="V4" s="1" t="inlineStr">
        <is>
          <t>96.7</t>
        </is>
      </c>
      <c r="W4" s="1" t="inlineStr">
        <is>
          <t>99.5</t>
        </is>
      </c>
      <c r="X4" s="1" t="inlineStr">
        <is>
          <t>100</t>
        </is>
      </c>
      <c r="Y4" s="1" t="inlineStr">
        <is>
          <t>0</t>
        </is>
      </c>
      <c r="Z4" s="1" t="inlineStr">
        <is>
          <t>100</t>
        </is>
      </c>
      <c r="AA4" s="1" t="inlineStr">
        <is>
          <t>0</t>
        </is>
      </c>
      <c r="AB4" s="1" t="inlineStr">
        <is>
          <t>0</t>
        </is>
      </c>
      <c r="AC4" s="1" t="inlineStr">
        <is>
          <t>100</t>
        </is>
      </c>
      <c r="AD4" s="1" t="inlineStr">
        <is>
          <t>100</t>
        </is>
      </c>
      <c r="AE4" s="1" t="inlineStr">
        <is>
          <t>100</t>
        </is>
      </c>
      <c r="AF4" s="1" t="inlineStr">
        <is>
          <t>100</t>
        </is>
      </c>
      <c r="AG4" s="1" t="inlineStr">
        <is>
          <t>0</t>
        </is>
      </c>
      <c r="AH4" s="1" t="inlineStr">
        <is>
          <t>99.4</t>
        </is>
      </c>
      <c r="AI4" s="465">
        <v>44412.2291941782</v>
      </c>
    </row>
    <row spans="1:35" outlineLevel="0" r="5">
      <c r="A5" s="1" t="inlineStr">
        <is>
          <t>202610</t>
        </is>
      </c>
      <c r="B5" s="285" t="inlineStr">
        <is>
          <t>04-O</t>
        </is>
      </c>
      <c r="C5" s="1" t="inlineStr">
        <is>
          <t>25</t>
        </is>
      </c>
      <c r="D5" s="1" t="inlineStr">
        <is>
          <t>100</t>
        </is>
      </c>
      <c r="E5" s="1" t="inlineStr">
        <is>
          <t>33.3</t>
        </is>
      </c>
      <c r="F5" s="1" t="inlineStr">
        <is>
          <t>0</t>
        </is>
      </c>
      <c r="G5" s="1" t="inlineStr">
        <is>
          <t>16.6</t>
        </is>
      </c>
      <c r="H5" s="1" t="inlineStr">
        <is>
          <t>33.3</t>
        </is>
      </c>
      <c r="I5" s="1" t="inlineStr">
        <is>
          <t>66.6</t>
        </is>
      </c>
      <c r="J5" s="1" t="inlineStr">
        <is>
          <t>33.3</t>
        </is>
      </c>
      <c r="K5" s="1" t="inlineStr">
        <is>
          <t>0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66.6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100</t>
        </is>
      </c>
      <c r="R5" s="1" t="inlineStr">
        <is>
          <t>20</t>
        </is>
      </c>
      <c r="S5" s="1" t="inlineStr">
        <is>
          <t>75</t>
        </is>
      </c>
      <c r="T5" s="1" t="inlineStr">
        <is>
          <t>0</t>
        </is>
      </c>
      <c r="U5" s="1" t="inlineStr">
        <is>
          <t>33.3</t>
        </is>
      </c>
      <c r="V5" s="1" t="inlineStr">
        <is>
          <t>75</t>
        </is>
      </c>
      <c r="W5" s="1" t="inlineStr">
        <is>
          <t>100</t>
        </is>
      </c>
      <c r="X5" s="1" t="inlineStr">
        <is>
          <t>66.6</t>
        </is>
      </c>
      <c r="Y5" s="1" t="inlineStr">
        <is>
          <t>0</t>
        </is>
      </c>
      <c r="Z5" s="1" t="inlineStr">
        <is>
          <t>0</t>
        </is>
      </c>
      <c r="AA5" s="1" t="inlineStr">
        <is>
          <t>0</t>
        </is>
      </c>
      <c r="AB5" s="1" t="inlineStr">
        <is>
          <t>0</t>
        </is>
      </c>
      <c r="AC5" s="1" t="inlineStr">
        <is>
          <t>62.5</t>
        </is>
      </c>
      <c r="AD5" s="1" t="inlineStr">
        <is>
          <t>50</t>
        </is>
      </c>
      <c r="AE5" s="1" t="inlineStr">
        <is>
          <t>100</t>
        </is>
      </c>
      <c r="AF5" s="1" t="inlineStr">
        <is>
          <t>50</t>
        </is>
      </c>
      <c r="AG5" s="1" t="inlineStr">
        <is>
          <t>0</t>
        </is>
      </c>
      <c r="AH5" s="1" t="inlineStr">
        <is>
          <t>50</t>
        </is>
      </c>
      <c r="AI5" s="465">
        <v>44412.2291941782</v>
      </c>
    </row>
    <row spans="1:35" outlineLevel="0" r="6">
      <c r="A6" s="1" t="inlineStr">
        <is>
          <t>202610</t>
        </is>
      </c>
      <c r="B6" s="285" t="inlineStr">
        <is>
          <t>05-N</t>
        </is>
      </c>
      <c r="C6" s="1" t="inlineStr">
        <is>
          <t>99.4</t>
        </is>
      </c>
      <c r="D6" s="1" t="inlineStr">
        <is>
          <t>99.4</t>
        </is>
      </c>
      <c r="E6" s="1" t="inlineStr">
        <is>
          <t>99.5</t>
        </is>
      </c>
      <c r="F6" s="1" t="inlineStr">
        <is>
          <t>0</t>
        </is>
      </c>
      <c r="G6" s="1" t="inlineStr">
        <is>
          <t>99.2</t>
        </is>
      </c>
      <c r="H6" s="1" t="inlineStr">
        <is>
          <t>98.4</t>
        </is>
      </c>
      <c r="I6" s="1" t="inlineStr">
        <is>
          <t>98.9</t>
        </is>
      </c>
      <c r="J6" s="1" t="inlineStr">
        <is>
          <t>99.4</t>
        </is>
      </c>
      <c r="K6" s="1" t="inlineStr">
        <is>
          <t>0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98.2</t>
        </is>
      </c>
      <c r="O6" s="1" t="inlineStr">
        <is>
          <t>96.1</t>
        </is>
      </c>
      <c r="P6" s="1" t="inlineStr">
        <is>
          <t>97.7</t>
        </is>
      </c>
      <c r="Q6" s="1" t="inlineStr">
        <is>
          <t>98.9</t>
        </is>
      </c>
      <c r="R6" s="1" t="inlineStr">
        <is>
          <t>98.8</t>
        </is>
      </c>
      <c r="S6" s="1" t="inlineStr">
        <is>
          <t>99.6</t>
        </is>
      </c>
      <c r="T6" s="1" t="inlineStr">
        <is>
          <t>0</t>
        </is>
      </c>
      <c r="U6" s="1" t="inlineStr">
        <is>
          <t>99.5</t>
        </is>
      </c>
      <c r="V6" s="1" t="inlineStr">
        <is>
          <t>99.2</t>
        </is>
      </c>
      <c r="W6" s="1" t="inlineStr">
        <is>
          <t>99.1</t>
        </is>
      </c>
      <c r="X6" s="1" t="inlineStr">
        <is>
          <t>99.3</t>
        </is>
      </c>
      <c r="Y6" s="1" t="inlineStr">
        <is>
          <t>0</t>
        </is>
      </c>
      <c r="Z6" s="1" t="inlineStr">
        <is>
          <t>100</t>
        </is>
      </c>
      <c r="AA6" s="1" t="inlineStr">
        <is>
          <t>0</t>
        </is>
      </c>
      <c r="AB6" s="1" t="inlineStr">
        <is>
          <t>0</t>
        </is>
      </c>
      <c r="AC6" s="1" t="inlineStr">
        <is>
          <t>98.9</t>
        </is>
      </c>
      <c r="AD6" s="1" t="inlineStr">
        <is>
          <t>99.8</t>
        </is>
      </c>
      <c r="AE6" s="1" t="inlineStr">
        <is>
          <t>99.4</t>
        </is>
      </c>
      <c r="AF6" s="1" t="inlineStr">
        <is>
          <t>99.6</t>
        </is>
      </c>
      <c r="AG6" s="1" t="inlineStr">
        <is>
          <t>0</t>
        </is>
      </c>
      <c r="AH6" s="1" t="inlineStr">
        <is>
          <t>99</t>
        </is>
      </c>
      <c r="AI6" s="465">
        <v>44412.2291941782</v>
      </c>
    </row>
    <row spans="1:35" outlineLevel="0" r="7">
      <c r="A7" s="1" t="inlineStr">
        <is>
          <t>202610</t>
        </is>
      </c>
      <c r="B7" s="285" t="inlineStr">
        <is>
          <t>06-C</t>
        </is>
      </c>
      <c r="C7" s="1" t="inlineStr">
        <is>
          <t>0</t>
        </is>
      </c>
      <c r="D7" s="1" t="inlineStr">
        <is>
          <t>0</t>
        </is>
      </c>
      <c r="E7" s="1" t="inlineStr">
        <is>
          <t>0</t>
        </is>
      </c>
      <c r="F7" s="1" t="inlineStr">
        <is>
          <t>0</t>
        </is>
      </c>
      <c r="G7" s="1" t="inlineStr">
        <is>
          <t>0</t>
        </is>
      </c>
      <c r="H7" s="1" t="inlineStr">
        <is>
          <t>0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0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</t>
        </is>
      </c>
      <c r="S7" s="1" t="inlineStr">
        <is>
          <t>0</t>
        </is>
      </c>
      <c r="T7" s="1" t="inlineStr">
        <is>
          <t>0</t>
        </is>
      </c>
      <c r="U7" s="1" t="inlineStr">
        <is>
          <t>0</t>
        </is>
      </c>
      <c r="V7" s="1" t="inlineStr">
        <is>
          <t>0</t>
        </is>
      </c>
      <c r="W7" s="1" t="inlineStr">
        <is>
          <t>0</t>
        </is>
      </c>
      <c r="X7" s="1" t="inlineStr">
        <is>
          <t>0</t>
        </is>
      </c>
      <c r="Y7" s="1" t="inlineStr">
        <is>
          <t>0</t>
        </is>
      </c>
      <c r="Z7" s="1" t="inlineStr">
        <is>
          <t>0</t>
        </is>
      </c>
      <c r="AA7" s="1" t="inlineStr">
        <is>
          <t>0</t>
        </is>
      </c>
      <c r="AB7" s="1" t="inlineStr">
        <is>
          <t>0</t>
        </is>
      </c>
      <c r="AC7" s="1" t="inlineStr">
        <is>
          <t>0</t>
        </is>
      </c>
      <c r="AD7" s="1" t="inlineStr">
        <is>
          <t>0</t>
        </is>
      </c>
      <c r="AE7" s="1" t="inlineStr">
        <is>
          <t>0</t>
        </is>
      </c>
      <c r="AF7" s="1" t="inlineStr">
        <is>
          <t>0</t>
        </is>
      </c>
      <c r="AG7" s="1" t="inlineStr">
        <is>
          <t>0</t>
        </is>
      </c>
      <c r="AH7" s="1" t="inlineStr">
        <is>
          <t>0</t>
        </is>
      </c>
      <c r="AI7" s="465">
        <v>44412.2291941782</v>
      </c>
    </row>
    <row spans="1:35" outlineLevel="0" r="8">
      <c r="A8" s="1" t="inlineStr">
        <is>
          <t>202610</t>
        </is>
      </c>
      <c r="B8" s="285" t="inlineStr">
        <is>
          <t>07-H</t>
        </is>
      </c>
      <c r="C8" s="1" t="inlineStr">
        <is>
          <t>99.7</t>
        </is>
      </c>
      <c r="D8" s="1" t="inlineStr">
        <is>
          <t>99.7</t>
        </is>
      </c>
      <c r="E8" s="1" t="inlineStr">
        <is>
          <t>99.4</t>
        </is>
      </c>
      <c r="F8" s="1" t="inlineStr">
        <is>
          <t>0</t>
        </is>
      </c>
      <c r="G8" s="1" t="inlineStr">
        <is>
          <t>100</t>
        </is>
      </c>
      <c r="H8" s="1" t="inlineStr">
        <is>
          <t>98.7</t>
        </is>
      </c>
      <c r="I8" s="1" t="inlineStr">
        <is>
          <t>99.7</t>
        </is>
      </c>
      <c r="J8" s="1" t="inlineStr">
        <is>
          <t>99.8</t>
        </is>
      </c>
      <c r="K8" s="1" t="inlineStr">
        <is>
          <t>0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97.6</t>
        </is>
      </c>
      <c r="O8" s="1" t="inlineStr">
        <is>
          <t>99.2</t>
        </is>
      </c>
      <c r="P8" s="1" t="inlineStr">
        <is>
          <t>100</t>
        </is>
      </c>
      <c r="Q8" s="1" t="inlineStr">
        <is>
          <t>99.5</t>
        </is>
      </c>
      <c r="R8" s="1" t="inlineStr">
        <is>
          <t>100</t>
        </is>
      </c>
      <c r="S8" s="1" t="inlineStr">
        <is>
          <t>100</t>
        </is>
      </c>
      <c r="T8" s="1" t="inlineStr">
        <is>
          <t>0</t>
        </is>
      </c>
      <c r="U8" s="1" t="inlineStr">
        <is>
          <t>99.7</t>
        </is>
      </c>
      <c r="V8" s="1" t="inlineStr">
        <is>
          <t>99.3</t>
        </is>
      </c>
      <c r="W8" s="1" t="inlineStr">
        <is>
          <t>99.8</t>
        </is>
      </c>
      <c r="X8" s="1" t="inlineStr">
        <is>
          <t>99.3</t>
        </is>
      </c>
      <c r="Y8" s="1" t="inlineStr">
        <is>
          <t>0</t>
        </is>
      </c>
      <c r="Z8" s="1" t="inlineStr">
        <is>
          <t>100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98.2</t>
        </is>
      </c>
      <c r="AD8" s="1" t="inlineStr">
        <is>
          <t>99</t>
        </is>
      </c>
      <c r="AE8" s="1" t="inlineStr">
        <is>
          <t>100</t>
        </is>
      </c>
      <c r="AF8" s="1" t="inlineStr">
        <is>
          <t>99.4</t>
        </is>
      </c>
      <c r="AG8" s="1" t="inlineStr">
        <is>
          <t>0</t>
        </is>
      </c>
      <c r="AH8" s="1" t="inlineStr">
        <is>
          <t>99.4</t>
        </is>
      </c>
      <c r="AI8" s="465">
        <v>44412.2291941782</v>
      </c>
    </row>
    <row spans="1:35" outlineLevel="0" r="9">
      <c r="A9" s="1" t="inlineStr">
        <is>
          <t>202610</t>
        </is>
      </c>
      <c r="B9" s="285" t="inlineStr">
        <is>
          <t>08-Z</t>
        </is>
      </c>
      <c r="C9" s="1" t="inlineStr">
        <is>
          <t>100</t>
        </is>
      </c>
      <c r="D9" s="1" t="inlineStr">
        <is>
          <t>100</t>
        </is>
      </c>
      <c r="E9" s="1" t="inlineStr">
        <is>
          <t>100</t>
        </is>
      </c>
      <c r="F9" s="1" t="inlineStr">
        <is>
          <t>0</t>
        </is>
      </c>
      <c r="G9" s="1" t="inlineStr">
        <is>
          <t>100</t>
        </is>
      </c>
      <c r="H9" s="1" t="inlineStr">
        <is>
          <t>91.6</t>
        </is>
      </c>
      <c r="I9" s="1" t="inlineStr">
        <is>
          <t>76.9</t>
        </is>
      </c>
      <c r="J9" s="1" t="inlineStr">
        <is>
          <t>84.6</t>
        </is>
      </c>
      <c r="K9" s="1" t="inlineStr">
        <is>
          <t>0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62.5</t>
        </is>
      </c>
      <c r="O9" s="1" t="inlineStr">
        <is>
          <t>77.7</t>
        </is>
      </c>
      <c r="P9" s="1" t="inlineStr">
        <is>
          <t>91.6</t>
        </is>
      </c>
      <c r="Q9" s="1" t="inlineStr">
        <is>
          <t>85.7</t>
        </is>
      </c>
      <c r="R9" s="1" t="inlineStr">
        <is>
          <t>87.5</t>
        </is>
      </c>
      <c r="S9" s="1" t="inlineStr">
        <is>
          <t>83.3</t>
        </is>
      </c>
      <c r="T9" s="1" t="inlineStr">
        <is>
          <t>0</t>
        </is>
      </c>
      <c r="U9" s="1" t="inlineStr">
        <is>
          <t>100</t>
        </is>
      </c>
      <c r="V9" s="1" t="inlineStr">
        <is>
          <t>72.7</t>
        </is>
      </c>
      <c r="W9" s="1" t="inlineStr">
        <is>
          <t>100</t>
        </is>
      </c>
      <c r="X9" s="1" t="inlineStr">
        <is>
          <t>80</t>
        </is>
      </c>
      <c r="Y9" s="1" t="inlineStr">
        <is>
          <t>0</t>
        </is>
      </c>
      <c r="Z9" s="1" t="inlineStr">
        <is>
          <t>0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94.4</t>
        </is>
      </c>
      <c r="AD9" s="1" t="inlineStr">
        <is>
          <t>100</t>
        </is>
      </c>
      <c r="AE9" s="1" t="inlineStr">
        <is>
          <t>100</t>
        </is>
      </c>
      <c r="AF9" s="1" t="inlineStr">
        <is>
          <t>100</t>
        </is>
      </c>
      <c r="AG9" s="1" t="inlineStr">
        <is>
          <t>0</t>
        </is>
      </c>
      <c r="AH9" s="1" t="inlineStr">
        <is>
          <t>89.8</t>
        </is>
      </c>
      <c r="AI9" s="465">
        <v>44412.2291941782</v>
      </c>
    </row>
    <row spans="1:35" outlineLevel="0" r="10">
      <c r="A10" s="1" t="inlineStr">
        <is>
          <t>202610</t>
        </is>
      </c>
      <c r="B10" s="285" t="inlineStr">
        <is>
          <t>09-@</t>
        </is>
      </c>
      <c r="C10" s="1" t="inlineStr">
        <is>
          <t>97.1</t>
        </is>
      </c>
      <c r="D10" s="1" t="inlineStr">
        <is>
          <t>97.2</t>
        </is>
      </c>
      <c r="E10" s="1" t="inlineStr">
        <is>
          <t>97.5</t>
        </is>
      </c>
      <c r="F10" s="1" t="inlineStr">
        <is>
          <t>0</t>
        </is>
      </c>
      <c r="G10" s="1" t="inlineStr">
        <is>
          <t>96.7</t>
        </is>
      </c>
      <c r="H10" s="1" t="inlineStr">
        <is>
          <t>97</t>
        </is>
      </c>
      <c r="I10" s="1" t="inlineStr">
        <is>
          <t>97.1</t>
        </is>
      </c>
      <c r="J10" s="1" t="inlineStr">
        <is>
          <t>97.5</t>
        </is>
      </c>
      <c r="K10" s="1" t="inlineStr">
        <is>
          <t>0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96</t>
        </is>
      </c>
      <c r="O10" s="1" t="inlineStr">
        <is>
          <t>95.5</t>
        </is>
      </c>
      <c r="P10" s="1" t="inlineStr">
        <is>
          <t>95.8</t>
        </is>
      </c>
      <c r="Q10" s="1" t="inlineStr">
        <is>
          <t>96.4</t>
        </is>
      </c>
      <c r="R10" s="1" t="inlineStr">
        <is>
          <t>96.8</t>
        </is>
      </c>
      <c r="S10" s="1" t="inlineStr">
        <is>
          <t>96.7</t>
        </is>
      </c>
      <c r="T10" s="1" t="inlineStr">
        <is>
          <t>0</t>
        </is>
      </c>
      <c r="U10" s="1" t="inlineStr">
        <is>
          <t>97.4</t>
        </is>
      </c>
      <c r="V10" s="1" t="inlineStr">
        <is>
          <t>96.3</t>
        </is>
      </c>
      <c r="W10" s="1" t="inlineStr">
        <is>
          <t>97</t>
        </is>
      </c>
      <c r="X10" s="1" t="inlineStr">
        <is>
          <t>96.7</t>
        </is>
      </c>
      <c r="Y10" s="1" t="inlineStr">
        <is>
          <t>0</t>
        </is>
      </c>
      <c r="Z10" s="1" t="inlineStr">
        <is>
          <t>100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95.3</t>
        </is>
      </c>
      <c r="AD10" s="1" t="inlineStr">
        <is>
          <t>96</t>
        </is>
      </c>
      <c r="AE10" s="1" t="inlineStr">
        <is>
          <t>96.1</t>
        </is>
      </c>
      <c r="AF10" s="1" t="inlineStr">
        <is>
          <t>96.2</t>
        </is>
      </c>
      <c r="AG10" s="1" t="inlineStr">
        <is>
          <t>0</t>
        </is>
      </c>
      <c r="AH10" s="1" t="inlineStr">
        <is>
          <t>96.6</t>
        </is>
      </c>
      <c r="AI10" s="465">
        <v>44412.2291941782</v>
      </c>
    </row>
    <row spans="1:35" outlineLevel="0" r="11">
      <c r="A11" s="1" t="inlineStr">
        <is>
          <t>202610</t>
        </is>
      </c>
      <c r="B11" s="285" t="inlineStr">
        <is>
          <t>10-M</t>
        </is>
      </c>
      <c r="C11" s="1" t="inlineStr">
        <is>
          <t>100</t>
        </is>
      </c>
      <c r="D11" s="1" t="inlineStr">
        <is>
          <t>100</t>
        </is>
      </c>
      <c r="E11" s="1" t="inlineStr">
        <is>
          <t>95</t>
        </is>
      </c>
      <c r="F11" s="1" t="inlineStr">
        <is>
          <t>0</t>
        </is>
      </c>
      <c r="G11" s="1" t="inlineStr">
        <is>
          <t>95.8</t>
        </is>
      </c>
      <c r="H11" s="1" t="inlineStr">
        <is>
          <t>97.2</t>
        </is>
      </c>
      <c r="I11" s="1" t="inlineStr">
        <is>
          <t>92.1</t>
        </is>
      </c>
      <c r="J11" s="1" t="inlineStr">
        <is>
          <t>100</t>
        </is>
      </c>
      <c r="K11" s="1" t="inlineStr">
        <is>
          <t>0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100</t>
        </is>
      </c>
      <c r="O11" s="1" t="inlineStr">
        <is>
          <t>100</t>
        </is>
      </c>
      <c r="P11" s="1" t="inlineStr">
        <is>
          <t>100</t>
        </is>
      </c>
      <c r="Q11" s="1" t="inlineStr">
        <is>
          <t>95.4</t>
        </is>
      </c>
      <c r="R11" s="1" t="inlineStr">
        <is>
          <t>100</t>
        </is>
      </c>
      <c r="S11" s="1" t="inlineStr">
        <is>
          <t>100</t>
        </is>
      </c>
      <c r="T11" s="1" t="inlineStr">
        <is>
          <t>0</t>
        </is>
      </c>
      <c r="U11" s="1" t="inlineStr">
        <is>
          <t>100</t>
        </is>
      </c>
      <c r="V11" s="1" t="inlineStr">
        <is>
          <t>93.1</t>
        </is>
      </c>
      <c r="W11" s="1" t="inlineStr">
        <is>
          <t>100</t>
        </is>
      </c>
      <c r="X11" s="1" t="inlineStr">
        <is>
          <t>100</t>
        </is>
      </c>
      <c r="Y11" s="1" t="inlineStr">
        <is>
          <t>0</t>
        </is>
      </c>
      <c r="Z11" s="1" t="inlineStr">
        <is>
          <t>100</t>
        </is>
      </c>
      <c r="AA11" s="1" t="inlineStr">
        <is>
          <t>0</t>
        </is>
      </c>
      <c r="AB11" s="1" t="inlineStr">
        <is>
          <t>0</t>
        </is>
      </c>
      <c r="AC11" s="1" t="inlineStr">
        <is>
          <t>67.6</t>
        </is>
      </c>
      <c r="AD11" s="1" t="inlineStr">
        <is>
          <t>100</t>
        </is>
      </c>
      <c r="AE11" s="1" t="inlineStr">
        <is>
          <t>96.4</t>
        </is>
      </c>
      <c r="AF11" s="1" t="inlineStr">
        <is>
          <t>100</t>
        </is>
      </c>
      <c r="AG11" s="1" t="inlineStr">
        <is>
          <t>0</t>
        </is>
      </c>
      <c r="AH11" s="1" t="inlineStr">
        <is>
          <t>96.4</t>
        </is>
      </c>
      <c r="AI11" s="465">
        <v>44412.2291941782</v>
      </c>
    </row>
    <row spans="1:35" outlineLevel="0" r="12">
      <c r="A12" s="1" t="inlineStr">
        <is>
          <t>202610</t>
        </is>
      </c>
      <c r="B12" s="285" t="inlineStr">
        <is>
          <t>11-S</t>
        </is>
      </c>
      <c r="C12" s="1" t="inlineStr">
        <is>
          <t>50</t>
        </is>
      </c>
      <c r="D12" s="1" t="inlineStr">
        <is>
          <t>36.3</t>
        </is>
      </c>
      <c r="E12" s="1" t="inlineStr">
        <is>
          <t>50</t>
        </is>
      </c>
      <c r="F12" s="1" t="inlineStr">
        <is>
          <t>0</t>
        </is>
      </c>
      <c r="G12" s="1" t="inlineStr">
        <is>
          <t>16.6</t>
        </is>
      </c>
      <c r="H12" s="1" t="inlineStr">
        <is>
          <t>25</t>
        </is>
      </c>
      <c r="I12" s="1" t="inlineStr">
        <is>
          <t>28.5</t>
        </is>
      </c>
      <c r="J12" s="1" t="inlineStr">
        <is>
          <t>41.6</t>
        </is>
      </c>
      <c r="K12" s="1" t="inlineStr">
        <is>
          <t>0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50</t>
        </is>
      </c>
      <c r="O12" s="1" t="inlineStr">
        <is>
          <t>100</t>
        </is>
      </c>
      <c r="P12" s="1" t="inlineStr">
        <is>
          <t>25</t>
        </is>
      </c>
      <c r="Q12" s="1" t="inlineStr">
        <is>
          <t>0</t>
        </is>
      </c>
      <c r="R12" s="1" t="inlineStr">
        <is>
          <t>0</t>
        </is>
      </c>
      <c r="S12" s="1" t="inlineStr">
        <is>
          <t>50</t>
        </is>
      </c>
      <c r="T12" s="1" t="inlineStr">
        <is>
          <t>0</t>
        </is>
      </c>
      <c r="U12" s="1" t="inlineStr">
        <is>
          <t>57.1</t>
        </is>
      </c>
      <c r="V12" s="1" t="inlineStr">
        <is>
          <t>63.6</t>
        </is>
      </c>
      <c r="W12" s="1" t="inlineStr">
        <is>
          <t>0</t>
        </is>
      </c>
      <c r="X12" s="1" t="inlineStr">
        <is>
          <t>55.5</t>
        </is>
      </c>
      <c r="Y12" s="1" t="inlineStr">
        <is>
          <t>0</t>
        </is>
      </c>
      <c r="Z12" s="1" t="inlineStr">
        <is>
          <t>0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35</t>
        </is>
      </c>
      <c r="AD12" s="1" t="inlineStr">
        <is>
          <t>66.6</t>
        </is>
      </c>
      <c r="AE12" s="1" t="inlineStr">
        <is>
          <t>42.8</t>
        </is>
      </c>
      <c r="AF12" s="1" t="inlineStr">
        <is>
          <t>12.5</t>
        </is>
      </c>
      <c r="AG12" s="1" t="inlineStr">
        <is>
          <t>0</t>
        </is>
      </c>
      <c r="AH12" s="1" t="inlineStr">
        <is>
          <t>40.7</t>
        </is>
      </c>
      <c r="AI12" s="465">
        <v>44412.2291941782</v>
      </c>
    </row>
    <row spans="1:35" outlineLevel="0" r="13">
      <c r="A13" s="1" t="inlineStr">
        <is>
          <t>202610</t>
        </is>
      </c>
      <c r="B13" s="285" t="inlineStr">
        <is>
          <t>12-V</t>
        </is>
      </c>
      <c r="C13" s="1" t="inlineStr">
        <is>
          <t>98.1</t>
        </is>
      </c>
      <c r="D13" s="1" t="inlineStr">
        <is>
          <t>96.9</t>
        </is>
      </c>
      <c r="E13" s="1" t="inlineStr">
        <is>
          <t>98.1</t>
        </is>
      </c>
      <c r="F13" s="1" t="inlineStr">
        <is>
          <t>0</t>
        </is>
      </c>
      <c r="G13" s="1" t="inlineStr">
        <is>
          <t>98.7</t>
        </is>
      </c>
      <c r="H13" s="1" t="inlineStr">
        <is>
          <t>98.6</t>
        </is>
      </c>
      <c r="I13" s="1" t="inlineStr">
        <is>
          <t>96.1</t>
        </is>
      </c>
      <c r="J13" s="1" t="inlineStr">
        <is>
          <t>96.3</t>
        </is>
      </c>
      <c r="K13" s="1" t="inlineStr">
        <is>
          <t>0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96.1</t>
        </is>
      </c>
      <c r="O13" s="1" t="inlineStr">
        <is>
          <t>96.5</t>
        </is>
      </c>
      <c r="P13" s="1" t="inlineStr">
        <is>
          <t>97.2</t>
        </is>
      </c>
      <c r="Q13" s="1" t="inlineStr">
        <is>
          <t>97.8</t>
        </is>
      </c>
      <c r="R13" s="1" t="inlineStr">
        <is>
          <t>97.2</t>
        </is>
      </c>
      <c r="S13" s="1" t="inlineStr">
        <is>
          <t>97.6</t>
        </is>
      </c>
      <c r="T13" s="1" t="inlineStr">
        <is>
          <t>0</t>
        </is>
      </c>
      <c r="U13" s="1" t="inlineStr">
        <is>
          <t>96.6</t>
        </is>
      </c>
      <c r="V13" s="1" t="inlineStr">
        <is>
          <t>97.9</t>
        </is>
      </c>
      <c r="W13" s="1" t="inlineStr">
        <is>
          <t>96.1</t>
        </is>
      </c>
      <c r="X13" s="1" t="inlineStr">
        <is>
          <t>97.4</t>
        </is>
      </c>
      <c r="Y13" s="1" t="inlineStr">
        <is>
          <t>0</t>
        </is>
      </c>
      <c r="Z13" s="1" t="inlineStr">
        <is>
          <t>100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96.2</t>
        </is>
      </c>
      <c r="AD13" s="1" t="inlineStr">
        <is>
          <t>96.9</t>
        </is>
      </c>
      <c r="AE13" s="1" t="inlineStr">
        <is>
          <t>98.2</t>
        </is>
      </c>
      <c r="AF13" s="1" t="inlineStr">
        <is>
          <t>99</t>
        </is>
      </c>
      <c r="AG13" s="1" t="inlineStr">
        <is>
          <t>0</t>
        </is>
      </c>
      <c r="AH13" s="1" t="inlineStr">
        <is>
          <t>97.3</t>
        </is>
      </c>
      <c r="AI13" s="465">
        <v>44412.2291941782</v>
      </c>
    </row>
    <row spans="1:35" outlineLevel="0" r="14">
      <c r="A14" s="1" t="inlineStr">
        <is>
          <t>202610</t>
        </is>
      </c>
      <c r="B14" s="285" t="inlineStr">
        <is>
          <t>13-T</t>
        </is>
      </c>
      <c r="C14" s="1" t="inlineStr">
        <is>
          <t>100</t>
        </is>
      </c>
      <c r="D14" s="1" t="inlineStr">
        <is>
          <t>100</t>
        </is>
      </c>
      <c r="E14" s="1" t="inlineStr">
        <is>
          <t>100</t>
        </is>
      </c>
      <c r="F14" s="1" t="inlineStr">
        <is>
          <t>0</t>
        </is>
      </c>
      <c r="G14" s="1" t="inlineStr">
        <is>
          <t>100</t>
        </is>
      </c>
      <c r="H14" s="1" t="inlineStr">
        <is>
          <t>100</t>
        </is>
      </c>
      <c r="I14" s="1" t="inlineStr">
        <is>
          <t>98</t>
        </is>
      </c>
      <c r="J14" s="1" t="inlineStr">
        <is>
          <t>97.1</t>
        </is>
      </c>
      <c r="K14" s="1" t="inlineStr">
        <is>
          <t>0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100</t>
        </is>
      </c>
      <c r="O14" s="1" t="inlineStr">
        <is>
          <t>100</t>
        </is>
      </c>
      <c r="P14" s="1" t="inlineStr">
        <is>
          <t>98.3</t>
        </is>
      </c>
      <c r="Q14" s="1" t="inlineStr">
        <is>
          <t>100</t>
        </is>
      </c>
      <c r="R14" s="1" t="inlineStr">
        <is>
          <t>100</t>
        </is>
      </c>
      <c r="S14" s="1" t="inlineStr">
        <is>
          <t>98.4</t>
        </is>
      </c>
      <c r="T14" s="1" t="inlineStr">
        <is>
          <t>0</t>
        </is>
      </c>
      <c r="U14" s="1" t="inlineStr">
        <is>
          <t>100</t>
        </is>
      </c>
      <c r="V14" s="1" t="inlineStr">
        <is>
          <t>100</t>
        </is>
      </c>
      <c r="W14" s="1" t="inlineStr">
        <is>
          <t>100</t>
        </is>
      </c>
      <c r="X14" s="1" t="inlineStr">
        <is>
          <t>95.6</t>
        </is>
      </c>
      <c r="Y14" s="1" t="inlineStr">
        <is>
          <t>0</t>
        </is>
      </c>
      <c r="Z14" s="1" t="inlineStr">
        <is>
          <t>100</t>
        </is>
      </c>
      <c r="AA14" s="1" t="inlineStr">
        <is>
          <t>0</t>
        </is>
      </c>
      <c r="AB14" s="1" t="inlineStr">
        <is>
          <t>0</t>
        </is>
      </c>
      <c r="AC14" s="1" t="inlineStr">
        <is>
          <t>86.6</t>
        </is>
      </c>
      <c r="AD14" s="1" t="inlineStr">
        <is>
          <t>97.3</t>
        </is>
      </c>
      <c r="AE14" s="1" t="inlineStr">
        <is>
          <t>92.4</t>
        </is>
      </c>
      <c r="AF14" s="1" t="inlineStr">
        <is>
          <t>100</t>
        </is>
      </c>
      <c r="AG14" s="1" t="inlineStr">
        <is>
          <t>0</t>
        </is>
      </c>
      <c r="AH14" s="1" t="inlineStr">
        <is>
          <t>97.8</t>
        </is>
      </c>
      <c r="AI14" s="465">
        <v>44412.2291941782</v>
      </c>
    </row>
    <row spans="1:35" outlineLevel="0" r="15">
      <c r="A15" s="1" t="inlineStr">
        <is>
          <t>202610</t>
        </is>
      </c>
      <c r="B15" s="285" t="inlineStr">
        <is>
          <t>14-P</t>
        </is>
      </c>
      <c r="C15" s="1" t="inlineStr">
        <is>
          <t>0</t>
        </is>
      </c>
      <c r="D15" s="1" t="inlineStr">
        <is>
          <t>0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</t>
        </is>
      </c>
      <c r="H15" s="1" t="inlineStr">
        <is>
          <t>0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0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0</t>
        </is>
      </c>
      <c r="P15" s="1" t="inlineStr">
        <is>
          <t>100</t>
        </is>
      </c>
      <c r="Q15" s="1" t="inlineStr">
        <is>
          <t>0</t>
        </is>
      </c>
      <c r="R15" s="1" t="inlineStr">
        <is>
          <t>100</t>
        </is>
      </c>
      <c r="S15" s="1" t="inlineStr">
        <is>
          <t>0</t>
        </is>
      </c>
      <c r="T15" s="1" t="inlineStr">
        <is>
          <t>0</t>
        </is>
      </c>
      <c r="U15" s="1" t="inlineStr">
        <is>
          <t>0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0</t>
        </is>
      </c>
      <c r="Y15" s="1" t="inlineStr">
        <is>
          <t>0</t>
        </is>
      </c>
      <c r="Z15" s="1" t="inlineStr">
        <is>
          <t>0</t>
        </is>
      </c>
      <c r="AA15" s="1" t="inlineStr">
        <is>
          <t>0</t>
        </is>
      </c>
      <c r="AB15" s="1" t="inlineStr">
        <is>
          <t>0</t>
        </is>
      </c>
      <c r="AC15" s="1" t="inlineStr">
        <is>
          <t>0</t>
        </is>
      </c>
      <c r="AD15" s="1" t="inlineStr">
        <is>
          <t>0</t>
        </is>
      </c>
      <c r="AE15" s="1" t="inlineStr">
        <is>
          <t>0</t>
        </is>
      </c>
      <c r="AF15" s="1" t="inlineStr">
        <is>
          <t>0</t>
        </is>
      </c>
      <c r="AG15" s="1" t="inlineStr">
        <is>
          <t>0</t>
        </is>
      </c>
      <c r="AH15" s="1" t="inlineStr">
        <is>
          <t>100</t>
        </is>
      </c>
      <c r="AI15" s="465">
        <v>44412.2291941782</v>
      </c>
    </row>
    <row spans="1:35" outlineLevel="0" r="16">
      <c r="A16" s="1" t="inlineStr">
        <is>
          <t>202610</t>
        </is>
      </c>
      <c r="B16" s="285" t="inlineStr">
        <is>
          <t>16-#</t>
        </is>
      </c>
      <c r="C16" s="1" t="inlineStr">
        <is>
          <t>97.5</t>
        </is>
      </c>
      <c r="D16" s="1" t="inlineStr">
        <is>
          <t>96.8</t>
        </is>
      </c>
      <c r="E16" s="1" t="inlineStr">
        <is>
          <t>97.6</t>
        </is>
      </c>
      <c r="F16" s="1" t="inlineStr">
        <is>
          <t>0</t>
        </is>
      </c>
      <c r="G16" s="1" t="inlineStr">
        <is>
          <t>97.6</t>
        </is>
      </c>
      <c r="H16" s="1" t="inlineStr">
        <is>
          <t>98.2</t>
        </is>
      </c>
      <c r="I16" s="1" t="inlineStr">
        <is>
          <t>96.7</t>
        </is>
      </c>
      <c r="J16" s="1" t="inlineStr">
        <is>
          <t>96.4</t>
        </is>
      </c>
      <c r="K16" s="1" t="inlineStr">
        <is>
          <t>0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96.7</t>
        </is>
      </c>
      <c r="O16" s="1" t="inlineStr">
        <is>
          <t>97</t>
        </is>
      </c>
      <c r="P16" s="1" t="inlineStr">
        <is>
          <t>96.9</t>
        </is>
      </c>
      <c r="Q16" s="1" t="inlineStr">
        <is>
          <t>97.7</t>
        </is>
      </c>
      <c r="R16" s="1" t="inlineStr">
        <is>
          <t>97.3</t>
        </is>
      </c>
      <c r="S16" s="1" t="inlineStr">
        <is>
          <t>97.7</t>
        </is>
      </c>
      <c r="T16" s="1" t="inlineStr">
        <is>
          <t>0</t>
        </is>
      </c>
      <c r="U16" s="1" t="inlineStr">
        <is>
          <t>97.2</t>
        </is>
      </c>
      <c r="V16" s="1" t="inlineStr">
        <is>
          <t>97.7</t>
        </is>
      </c>
      <c r="W16" s="1" t="inlineStr">
        <is>
          <t>97.8</t>
        </is>
      </c>
      <c r="X16" s="1" t="inlineStr">
        <is>
          <t>97.4</t>
        </is>
      </c>
      <c r="Y16" s="1" t="inlineStr">
        <is>
          <t>0</t>
        </is>
      </c>
      <c r="Z16" s="1" t="inlineStr">
        <is>
          <t>100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96.2</t>
        </is>
      </c>
      <c r="AD16" s="1" t="inlineStr">
        <is>
          <t>96.9</t>
        </is>
      </c>
      <c r="AE16" s="1" t="inlineStr">
        <is>
          <t>97</t>
        </is>
      </c>
      <c r="AF16" s="1" t="inlineStr">
        <is>
          <t>97.5</t>
        </is>
      </c>
      <c r="AG16" s="1" t="inlineStr">
        <is>
          <t>0</t>
        </is>
      </c>
      <c r="AH16" s="1" t="inlineStr">
        <is>
          <t>97.2</t>
        </is>
      </c>
      <c r="AI16" s="465">
        <v>44412.2291941782</v>
      </c>
    </row>
    <row spans="1:35" outlineLevel="0" r="17">
      <c r="A17" s="1" t="inlineStr">
        <is>
          <t>202610</t>
        </is>
      </c>
      <c r="B17" s="275" t="inlineStr">
        <is>
          <t>17-2</t>
        </is>
      </c>
      <c r="C17" s="1" t="inlineStr">
        <is>
          <t>0</t>
        </is>
      </c>
      <c r="D17" s="1" t="inlineStr">
        <is>
          <t>0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0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0</t>
        </is>
      </c>
      <c r="T17" s="1" t="inlineStr">
        <is>
          <t>0</t>
        </is>
      </c>
      <c r="U17" s="1" t="inlineStr">
        <is>
          <t>0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0</t>
        </is>
      </c>
      <c r="Y17" s="1" t="inlineStr">
        <is>
          <t>0</t>
        </is>
      </c>
      <c r="Z17" s="1" t="inlineStr">
        <is>
          <t>0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0</t>
        </is>
      </c>
      <c r="AD17" s="1" t="inlineStr">
        <is>
          <t>0</t>
        </is>
      </c>
      <c r="AE17" s="1" t="inlineStr">
        <is>
          <t>0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465">
        <v>44412.2291941782</v>
      </c>
    </row>
    <row spans="1:35" outlineLevel="0" r="18">
      <c r="A18" s="1" t="inlineStr">
        <is>
          <t>202610</t>
        </is>
      </c>
      <c r="B18" s="275" t="inlineStr">
        <is>
          <t>18-3</t>
        </is>
      </c>
      <c r="C18" s="1" t="inlineStr">
        <is>
          <t>0</t>
        </is>
      </c>
      <c r="D18" s="1" t="inlineStr">
        <is>
          <t>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0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0</t>
        </is>
      </c>
      <c r="Y18" s="1" t="inlineStr">
        <is>
          <t>0</t>
        </is>
      </c>
      <c r="Z18" s="1" t="inlineStr">
        <is>
          <t>0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0</t>
        </is>
      </c>
      <c r="AD18" s="1" t="inlineStr">
        <is>
          <t>0</t>
        </is>
      </c>
      <c r="AE18" s="1" t="inlineStr">
        <is>
          <t>0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465">
        <v>44412.2291941782</v>
      </c>
    </row>
    <row spans="1:35" outlineLevel="0" r="19">
      <c r="A19" s="1" t="inlineStr">
        <is>
          <t>202610</t>
        </is>
      </c>
      <c r="B19" s="275" t="inlineStr">
        <is>
          <t>19-4</t>
        </is>
      </c>
      <c r="C19" s="1" t="inlineStr">
        <is>
          <t>0</t>
        </is>
      </c>
      <c r="D19" s="1" t="inlineStr">
        <is>
          <t>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0</t>
        </is>
      </c>
      <c r="Y19" s="1" t="inlineStr">
        <is>
          <t>0</t>
        </is>
      </c>
      <c r="Z19" s="1" t="inlineStr">
        <is>
          <t>0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0</t>
        </is>
      </c>
      <c r="AD19" s="1" t="inlineStr">
        <is>
          <t>0</t>
        </is>
      </c>
      <c r="AE19" s="1" t="inlineStr">
        <is>
          <t>0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465">
        <v>44412.2291941782</v>
      </c>
    </row>
    <row spans="1:35" outlineLevel="0" r="20">
      <c r="A20" s="1" t="inlineStr">
        <is>
          <t>202610</t>
        </is>
      </c>
      <c r="B20" s="275" t="inlineStr">
        <is>
          <t>20-5</t>
        </is>
      </c>
      <c r="C20" s="1" t="inlineStr">
        <is>
          <t>0</t>
        </is>
      </c>
      <c r="D20" s="1" t="inlineStr">
        <is>
          <t>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0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0</t>
        </is>
      </c>
      <c r="Y20" s="1" t="inlineStr">
        <is>
          <t>0</t>
        </is>
      </c>
      <c r="Z20" s="1" t="inlineStr">
        <is>
          <t>0</t>
        </is>
      </c>
      <c r="AA20" s="1" t="inlineStr">
        <is>
          <t>0</t>
        </is>
      </c>
      <c r="AB20" s="1" t="inlineStr">
        <is>
          <t>0</t>
        </is>
      </c>
      <c r="AC20" s="1" t="inlineStr">
        <is>
          <t>0</t>
        </is>
      </c>
      <c r="AD20" s="1" t="inlineStr">
        <is>
          <t>0</t>
        </is>
      </c>
      <c r="AE20" s="1" t="inlineStr">
        <is>
          <t>0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465">
        <v>44412.2291941782</v>
      </c>
    </row>
    <row spans="1:35" outlineLevel="0" r="21">
      <c r="A21" s="1" t="inlineStr">
        <is>
          <t>202610</t>
        </is>
      </c>
      <c r="B21" s="275" t="inlineStr">
        <is>
          <t>21-$</t>
        </is>
      </c>
      <c r="C21" s="1" t="inlineStr">
        <is>
          <t>100</t>
        </is>
      </c>
      <c r="D21" s="1" t="inlineStr">
        <is>
          <t>100</t>
        </is>
      </c>
      <c r="E21" s="1" t="inlineStr">
        <is>
          <t>100</t>
        </is>
      </c>
      <c r="F21" s="1" t="inlineStr">
        <is>
          <t>0</t>
        </is>
      </c>
      <c r="G21" s="1" t="inlineStr">
        <is>
          <t>100</t>
        </is>
      </c>
      <c r="H21" s="1" t="inlineStr">
        <is>
          <t>100</t>
        </is>
      </c>
      <c r="I21" s="1" t="inlineStr">
        <is>
          <t>100</t>
        </is>
      </c>
      <c r="J21" s="1" t="inlineStr">
        <is>
          <t>100</t>
        </is>
      </c>
      <c r="K21" s="1" t="inlineStr">
        <is>
          <t>0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100</t>
        </is>
      </c>
      <c r="O21" s="1" t="inlineStr">
        <is>
          <t>100</t>
        </is>
      </c>
      <c r="P21" s="1" t="inlineStr">
        <is>
          <t>100</t>
        </is>
      </c>
      <c r="Q21" s="1" t="inlineStr">
        <is>
          <t>100</t>
        </is>
      </c>
      <c r="R21" s="1" t="inlineStr">
        <is>
          <t>100</t>
        </is>
      </c>
      <c r="S21" s="1" t="inlineStr">
        <is>
          <t>100</t>
        </is>
      </c>
      <c r="T21" s="1" t="inlineStr">
        <is>
          <t>0</t>
        </is>
      </c>
      <c r="U21" s="1" t="inlineStr">
        <is>
          <t>100</t>
        </is>
      </c>
      <c r="V21" s="1" t="inlineStr">
        <is>
          <t>100</t>
        </is>
      </c>
      <c r="W21" s="1" t="inlineStr">
        <is>
          <t>100</t>
        </is>
      </c>
      <c r="X21" s="1" t="inlineStr">
        <is>
          <t>100</t>
        </is>
      </c>
      <c r="Y21" s="1" t="inlineStr">
        <is>
          <t>0</t>
        </is>
      </c>
      <c r="Z21" s="1" t="inlineStr">
        <is>
          <t>100</t>
        </is>
      </c>
      <c r="AA21" s="1" t="inlineStr">
        <is>
          <t>0</t>
        </is>
      </c>
      <c r="AB21" s="1" t="inlineStr">
        <is>
          <t>0</t>
        </is>
      </c>
      <c r="AC21" s="1" t="inlineStr">
        <is>
          <t>100</t>
        </is>
      </c>
      <c r="AD21" s="1" t="inlineStr">
        <is>
          <t>100</t>
        </is>
      </c>
      <c r="AE21" s="1" t="inlineStr">
        <is>
          <t>100</t>
        </is>
      </c>
      <c r="AF21" s="1" t="inlineStr">
        <is>
          <t>100</t>
        </is>
      </c>
      <c r="AG21" s="1" t="inlineStr">
        <is>
          <t>0</t>
        </is>
      </c>
      <c r="AH21" s="1" t="inlineStr">
        <is>
          <t>100</t>
        </is>
      </c>
      <c r="AI21" s="465">
        <v>44412.2291941782</v>
      </c>
    </row>
    <row spans="1:35" outlineLevel="0" r="22">
      <c r="A22" s="1" t="inlineStr">
        <is>
          <t>202610</t>
        </is>
      </c>
      <c r="B22" s="275" t="inlineStr">
        <is>
          <t>22-7</t>
        </is>
      </c>
      <c r="C22" s="1" t="inlineStr">
        <is>
          <t>0</t>
        </is>
      </c>
      <c r="D22" s="1" t="inlineStr">
        <is>
          <t>0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</t>
        </is>
      </c>
      <c r="H22" s="1" t="inlineStr">
        <is>
          <t>0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0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</t>
        </is>
      </c>
      <c r="S22" s="1" t="inlineStr">
        <is>
          <t>0</t>
        </is>
      </c>
      <c r="T22" s="1" t="inlineStr">
        <is>
          <t>0</t>
        </is>
      </c>
      <c r="U22" s="1" t="inlineStr">
        <is>
          <t>0</t>
        </is>
      </c>
      <c r="V22" s="1" t="inlineStr">
        <is>
          <t>0</t>
        </is>
      </c>
      <c r="W22" s="1" t="inlineStr">
        <is>
          <t>0</t>
        </is>
      </c>
      <c r="X22" s="1" t="inlineStr">
        <is>
          <t>0</t>
        </is>
      </c>
      <c r="Y22" s="1" t="inlineStr">
        <is>
          <t>0</t>
        </is>
      </c>
      <c r="Z22" s="1" t="inlineStr">
        <is>
          <t>0</t>
        </is>
      </c>
      <c r="AA22" s="1" t="inlineStr">
        <is>
          <t>0</t>
        </is>
      </c>
      <c r="AB22" s="1" t="inlineStr">
        <is>
          <t>0</t>
        </is>
      </c>
      <c r="AC22" s="1" t="inlineStr">
        <is>
          <t>0</t>
        </is>
      </c>
      <c r="AD22" s="1" t="inlineStr">
        <is>
          <t>0</t>
        </is>
      </c>
      <c r="AE22" s="1" t="inlineStr">
        <is>
          <t>0</t>
        </is>
      </c>
      <c r="AF22" s="1" t="inlineStr">
        <is>
          <t>0</t>
        </is>
      </c>
      <c r="AG22" s="1" t="inlineStr">
        <is>
          <t>0</t>
        </is>
      </c>
      <c r="AH22" s="1" t="inlineStr">
        <is>
          <t>0</t>
        </is>
      </c>
      <c r="AI22" s="465">
        <v>44412.2291941782</v>
      </c>
    </row>
    <row spans="1:35" outlineLevel="0" r="23">
      <c r="A23" s="466" t="inlineStr">
        <is>
          <t>202610</t>
        </is>
      </c>
      <c r="B23" s="275" t="inlineStr">
        <is>
          <t>23-6</t>
        </is>
      </c>
      <c r="C23" s="466" t="inlineStr">
        <is>
          <t>93</t>
        </is>
      </c>
      <c r="D23" s="466" t="inlineStr">
        <is>
          <t>95.9</t>
        </is>
      </c>
      <c r="E23" s="466" t="inlineStr">
        <is>
          <t>96.6</t>
        </is>
      </c>
      <c r="F23" s="466" t="inlineStr">
        <is>
          <t>0</t>
        </is>
      </c>
      <c r="G23" s="466" t="inlineStr">
        <is>
          <t>94.6</t>
        </is>
      </c>
      <c r="H23" s="466" t="inlineStr">
        <is>
          <t>95.2</t>
        </is>
      </c>
      <c r="I23" s="466" t="inlineStr">
        <is>
          <t>83.3</t>
        </is>
      </c>
      <c r="J23" s="466" t="inlineStr">
        <is>
          <t>91.6</t>
        </is>
      </c>
      <c r="K23" s="466" t="inlineStr">
        <is>
          <t>0</t>
        </is>
      </c>
      <c r="L23" s="466" t="inlineStr">
        <is>
          <t>0</t>
        </is>
      </c>
      <c r="M23" s="466" t="inlineStr">
        <is>
          <t>0</t>
        </is>
      </c>
      <c r="N23" s="466" t="inlineStr">
        <is>
          <t>89.6</t>
        </is>
      </c>
      <c r="O23" s="466" t="inlineStr">
        <is>
          <t>94.9</t>
        </is>
      </c>
      <c r="P23" s="466" t="inlineStr">
        <is>
          <t>91.9</t>
        </is>
      </c>
      <c r="Q23" s="466" t="inlineStr">
        <is>
          <t>95.6</t>
        </is>
      </c>
      <c r="R23" s="466" t="inlineStr">
        <is>
          <t>97.8</t>
        </is>
      </c>
      <c r="S23" s="466" t="inlineStr">
        <is>
          <t>96.7</t>
        </is>
      </c>
      <c r="T23" s="466" t="inlineStr">
        <is>
          <t>0</t>
        </is>
      </c>
      <c r="U23" s="466" t="inlineStr">
        <is>
          <t>94.5</t>
        </is>
      </c>
      <c r="V23" s="466" t="inlineStr">
        <is>
          <t>90.2</t>
        </is>
      </c>
      <c r="W23" s="466" t="inlineStr">
        <is>
          <t>88.8</t>
        </is>
      </c>
      <c r="X23" s="466" t="inlineStr">
        <is>
          <t>91.5</t>
        </is>
      </c>
      <c r="Y23" s="466" t="inlineStr">
        <is>
          <t>0</t>
        </is>
      </c>
      <c r="Z23" s="466" t="inlineStr">
        <is>
          <t>100</t>
        </is>
      </c>
      <c r="AA23" s="466" t="inlineStr">
        <is>
          <t>0</t>
        </is>
      </c>
      <c r="AB23" s="466" t="inlineStr">
        <is>
          <t>0</t>
        </is>
      </c>
      <c r="AC23" s="466" t="inlineStr">
        <is>
          <t>84.8</t>
        </is>
      </c>
      <c r="AD23" s="466" t="inlineStr">
        <is>
          <t>93.1</t>
        </is>
      </c>
      <c r="AE23" s="466" t="inlineStr">
        <is>
          <t>96.6</t>
        </is>
      </c>
      <c r="AF23" s="466" t="inlineStr">
        <is>
          <t>95.6</t>
        </is>
      </c>
      <c r="AG23" s="466" t="inlineStr">
        <is>
          <t>0</t>
        </is>
      </c>
      <c r="AH23" s="466" t="inlineStr">
        <is>
          <t>92.6</t>
        </is>
      </c>
      <c r="AI23" s="465">
        <v>44412.2291941782</v>
      </c>
    </row>
    <row spans="1:35" outlineLevel="0" r="24">
      <c r="B24" s="275"/>
    </row>
    <row spans="1:35" outlineLevel="0" r="25">
      <c r="B25" s="275"/>
    </row>
    <row spans="1:35" outlineLevel="0" r="26">
      <c r="B26" s="275"/>
    </row>
    <row spans="1:35" outlineLevel="0" r="27">
      <c r="B27" s="275"/>
    </row>
    <row spans="1:35" outlineLevel="0" r="28">
      <c r="B28" s="275"/>
    </row>
    <row spans="1:35" outlineLevel="0" r="29">
      <c r="B29" s="275"/>
    </row>
    <row spans="1:35" outlineLevel="0" r="30">
      <c r="B30" s="275"/>
    </row>
    <row spans="1:35" outlineLevel="0" r="31">
      <c r="B31" s="275"/>
    </row>
    <row spans="1:35" outlineLevel="0" r="32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B00-000000000000}">
  <dimension ref="A1:AJ22"/>
  <sheetViews>
    <sheetView workbookViewId="0" rightToLeft="false">
      <selection activeCell="F25" sqref="F25"/>
    </sheetView>
  </sheetViews>
  <sheetFormatPr defaultRowHeight="17"/>
  <sheetData>
    <row spans="1:36" outlineLevel="0" r="1">
      <c r="A1" s="1" t="inlineStr">
        <is>
          <t>YYMM</t>
        </is>
      </c>
      <c r="B1" s="1" t="inlineStr">
        <is>
          <t>FRCD</t>
        </is>
      </c>
      <c r="C1" s="1" t="inlineStr">
        <is>
          <t>IMPCD</t>
        </is>
      </c>
      <c r="D1" s="1" t="inlineStr">
        <is>
          <t>DATE01</t>
        </is>
      </c>
      <c r="E1" s="1" t="inlineStr">
        <is>
          <t>DATE02</t>
        </is>
      </c>
      <c r="F1" s="1" t="inlineStr">
        <is>
          <t>DATE03</t>
        </is>
      </c>
      <c r="G1" s="1" t="inlineStr">
        <is>
          <t>DATE04</t>
        </is>
      </c>
      <c r="H1" s="1" t="inlineStr">
        <is>
          <t>DATE05</t>
        </is>
      </c>
      <c r="I1" s="1" t="inlineStr">
        <is>
          <t>DATE06</t>
        </is>
      </c>
      <c r="J1" s="1" t="inlineStr">
        <is>
          <t>DATE07</t>
        </is>
      </c>
      <c r="K1" s="1" t="inlineStr">
        <is>
          <t>DATE08</t>
        </is>
      </c>
      <c r="L1" s="1" t="inlineStr">
        <is>
          <t>DATE09</t>
        </is>
      </c>
      <c r="M1" s="1" t="inlineStr">
        <is>
          <t>DATE10</t>
        </is>
      </c>
      <c r="N1" s="1" t="inlineStr">
        <is>
          <t>DATE11</t>
        </is>
      </c>
      <c r="O1" s="1" t="inlineStr">
        <is>
          <t>DATE12</t>
        </is>
      </c>
      <c r="P1" s="1" t="inlineStr">
        <is>
          <t>DATE13</t>
        </is>
      </c>
      <c r="Q1" s="1" t="inlineStr">
        <is>
          <t>DATE14</t>
        </is>
      </c>
      <c r="R1" s="1" t="inlineStr">
        <is>
          <t>DATE15</t>
        </is>
      </c>
      <c r="S1" s="1" t="inlineStr">
        <is>
          <t>DATE16</t>
        </is>
      </c>
      <c r="T1" s="1" t="inlineStr">
        <is>
          <t>DATE17</t>
        </is>
      </c>
      <c r="U1" s="1" t="inlineStr">
        <is>
          <t>DATE18</t>
        </is>
      </c>
      <c r="V1" s="1" t="inlineStr">
        <is>
          <t>DATE19</t>
        </is>
      </c>
      <c r="W1" s="1" t="inlineStr">
        <is>
          <t>DATE20</t>
        </is>
      </c>
      <c r="X1" s="1" t="inlineStr">
        <is>
          <t>DATE21</t>
        </is>
      </c>
      <c r="Y1" s="1" t="inlineStr">
        <is>
          <t>DATE22</t>
        </is>
      </c>
      <c r="Z1" s="1" t="inlineStr">
        <is>
          <t>DATE23</t>
        </is>
      </c>
      <c r="AA1" s="1" t="inlineStr">
        <is>
          <t>DATE24</t>
        </is>
      </c>
      <c r="AB1" s="1" t="inlineStr">
        <is>
          <t>DATE25</t>
        </is>
      </c>
      <c r="AC1" s="1" t="inlineStr">
        <is>
          <t>DATE26</t>
        </is>
      </c>
      <c r="AD1" s="1" t="inlineStr">
        <is>
          <t>DATE27</t>
        </is>
      </c>
      <c r="AE1" s="1" t="inlineStr">
        <is>
          <t>DATE28</t>
        </is>
      </c>
      <c r="AF1" s="1" t="inlineStr">
        <is>
          <t>DATE29</t>
        </is>
      </c>
      <c r="AG1" s="1" t="inlineStr">
        <is>
          <t>DATE30</t>
        </is>
      </c>
      <c r="AH1" s="1" t="inlineStr">
        <is>
          <t>DATE31</t>
        </is>
      </c>
      <c r="AI1" s="1" t="inlineStr">
        <is>
          <t>AVGSR</t>
        </is>
      </c>
    </row>
    <row spans="1:36" outlineLevel="0" r="2">
      <c r="A2" s="1" t="inlineStr">
        <is>
          <t>202610</t>
        </is>
      </c>
      <c r="B2" s="275" t="inlineStr">
        <is>
          <t>01-A</t>
        </is>
      </c>
      <c r="C2" s="1" t="inlineStr">
        <is>
          <t>1</t>
        </is>
      </c>
      <c r="D2" s="1" t="inlineStr">
        <is>
          <t>95.5</t>
        </is>
      </c>
      <c r="E2" s="1" t="inlineStr">
        <is>
          <t>95.4</t>
        </is>
      </c>
      <c r="F2" s="1" t="inlineStr">
        <is>
          <t>96.3</t>
        </is>
      </c>
      <c r="G2" s="1" t="inlineStr">
        <is>
          <t>0</t>
        </is>
      </c>
      <c r="H2" s="1" t="inlineStr">
        <is>
          <t>95.3</t>
        </is>
      </c>
      <c r="I2" s="1" t="inlineStr">
        <is>
          <t>95.2</t>
        </is>
      </c>
      <c r="J2" s="1" t="inlineStr">
        <is>
          <t>95.9</t>
        </is>
      </c>
      <c r="K2" s="1" t="inlineStr">
        <is>
          <t>95.6</t>
        </is>
      </c>
      <c r="L2" s="1" t="inlineStr">
        <is>
          <t>0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94.3</t>
        </is>
      </c>
      <c r="P2" s="1" t="inlineStr">
        <is>
          <t>92.3</t>
        </is>
      </c>
      <c r="Q2" s="1" t="inlineStr">
        <is>
          <t>92.9</t>
        </is>
      </c>
      <c r="R2" s="1" t="inlineStr">
        <is>
          <t>93.6</t>
        </is>
      </c>
      <c r="S2" s="1" t="inlineStr">
        <is>
          <t>94.2</t>
        </is>
      </c>
      <c r="T2" s="1" t="inlineStr">
        <is>
          <t>94.4</t>
        </is>
      </c>
      <c r="U2" s="1" t="inlineStr">
        <is>
          <t>0</t>
        </is>
      </c>
      <c r="V2" s="1" t="inlineStr">
        <is>
          <t>96.3</t>
        </is>
      </c>
      <c r="W2" s="1" t="inlineStr">
        <is>
          <t>94.4</t>
        </is>
      </c>
      <c r="X2" s="1" t="inlineStr">
        <is>
          <t>95.9</t>
        </is>
      </c>
      <c r="Y2" s="1" t="inlineStr">
        <is>
          <t>94.7</t>
        </is>
      </c>
      <c r="Z2" s="1" t="inlineStr">
        <is>
          <t>0</t>
        </is>
      </c>
      <c r="AA2" s="1" t="inlineStr">
        <is>
          <t>100</t>
        </is>
      </c>
      <c r="AB2" s="1" t="inlineStr">
        <is>
          <t>0</t>
        </is>
      </c>
      <c r="AC2" s="1" t="inlineStr">
        <is>
          <t>0</t>
        </is>
      </c>
      <c r="AD2" s="1" t="inlineStr">
        <is>
          <t>92.4</t>
        </is>
      </c>
      <c r="AE2" s="1" t="inlineStr">
        <is>
          <t>93.2</t>
        </is>
      </c>
      <c r="AF2" s="1" t="inlineStr">
        <is>
          <t>93</t>
        </is>
      </c>
      <c r="AG2" s="1" t="inlineStr">
        <is>
          <t>93.4</t>
        </is>
      </c>
      <c r="AH2" s="1" t="inlineStr">
        <is>
          <t>0</t>
        </is>
      </c>
      <c r="AI2" s="1" t="inlineStr">
        <is>
          <t>94.5</t>
        </is>
      </c>
      <c r="AJ2" s="465">
        <v>43056.22959625</v>
      </c>
    </row>
    <row spans="1:36" outlineLevel="0" r="3">
      <c r="A3" s="1" t="inlineStr">
        <is>
          <t>202610</t>
        </is>
      </c>
      <c r="B3" s="275" t="inlineStr">
        <is>
          <t>01-A</t>
        </is>
      </c>
      <c r="C3" s="1" t="inlineStr">
        <is>
          <t>3</t>
        </is>
      </c>
      <c r="D3" s="1" t="inlineStr">
        <is>
          <t>97.9</t>
        </is>
      </c>
      <c r="E3" s="1" t="inlineStr">
        <is>
          <t>98.3</t>
        </is>
      </c>
      <c r="F3" s="1" t="inlineStr">
        <is>
          <t>98</t>
        </is>
      </c>
      <c r="G3" s="1" t="inlineStr">
        <is>
          <t>0</t>
        </is>
      </c>
      <c r="H3" s="1" t="inlineStr">
        <is>
          <t>97.3</t>
        </is>
      </c>
      <c r="I3" s="1" t="inlineStr">
        <is>
          <t>98.1</t>
        </is>
      </c>
      <c r="J3" s="1" t="inlineStr">
        <is>
          <t>97.7</t>
        </is>
      </c>
      <c r="K3" s="1" t="inlineStr">
        <is>
          <t>98.4</t>
        </is>
      </c>
      <c r="L3" s="1" t="inlineStr">
        <is>
          <t>0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97.7</t>
        </is>
      </c>
      <c r="P3" s="1" t="inlineStr">
        <is>
          <t>97.6</t>
        </is>
      </c>
      <c r="Q3" s="1" t="inlineStr">
        <is>
          <t>97.8</t>
        </is>
      </c>
      <c r="R3" s="1" t="inlineStr">
        <is>
          <t>97.6</t>
        </is>
      </c>
      <c r="S3" s="1" t="inlineStr">
        <is>
          <t>97.8</t>
        </is>
      </c>
      <c r="T3" s="1" t="inlineStr">
        <is>
          <t>97.2</t>
        </is>
      </c>
      <c r="U3" s="1" t="inlineStr">
        <is>
          <t>0</t>
        </is>
      </c>
      <c r="V3" s="1" t="inlineStr">
        <is>
          <t>98</t>
        </is>
      </c>
      <c r="W3" s="1" t="inlineStr">
        <is>
          <t>97.6</t>
        </is>
      </c>
      <c r="X3" s="1" t="inlineStr">
        <is>
          <t>97.2</t>
        </is>
      </c>
      <c r="Y3" s="1" t="inlineStr">
        <is>
          <t>97.4</t>
        </is>
      </c>
      <c r="Z3" s="1" t="inlineStr">
        <is>
          <t>0</t>
        </is>
      </c>
      <c r="AA3" s="1" t="inlineStr">
        <is>
          <t>100</t>
        </is>
      </c>
      <c r="AB3" s="1" t="inlineStr">
        <is>
          <t>0</t>
        </is>
      </c>
      <c r="AC3" s="1" t="inlineStr">
        <is>
          <t>0</t>
        </is>
      </c>
      <c r="AD3" s="1" t="inlineStr">
        <is>
          <t>96.9</t>
        </is>
      </c>
      <c r="AE3" s="1" t="inlineStr">
        <is>
          <t>97.3</t>
        </is>
      </c>
      <c r="AF3" s="1" t="inlineStr">
        <is>
          <t>97.1</t>
        </is>
      </c>
      <c r="AG3" s="1" t="inlineStr">
        <is>
          <t>96.7</t>
        </is>
      </c>
      <c r="AH3" s="1" t="inlineStr">
        <is>
          <t>0</t>
        </is>
      </c>
      <c r="AI3" s="1" t="inlineStr">
        <is>
          <t>97.6</t>
        </is>
      </c>
      <c r="AJ3" s="465">
        <v>43056.22959625</v>
      </c>
    </row>
    <row spans="1:36" outlineLevel="0" r="4">
      <c r="A4" s="1" t="inlineStr">
        <is>
          <t>202610</t>
        </is>
      </c>
      <c r="B4" s="275" t="inlineStr">
        <is>
          <t>01-A</t>
        </is>
      </c>
      <c r="C4" s="1" t="inlineStr">
        <is>
          <t>4</t>
        </is>
      </c>
      <c r="D4" s="1" t="inlineStr">
        <is>
          <t>99.3</t>
        </is>
      </c>
      <c r="E4" s="1" t="inlineStr">
        <is>
          <t>99.3</t>
        </is>
      </c>
      <c r="F4" s="1" t="inlineStr">
        <is>
          <t>98.6</t>
        </is>
      </c>
      <c r="G4" s="1" t="inlineStr">
        <is>
          <t>0</t>
        </is>
      </c>
      <c r="H4" s="1" t="inlineStr">
        <is>
          <t>98.9</t>
        </is>
      </c>
      <c r="I4" s="1" t="inlineStr">
        <is>
          <t>99.1</t>
        </is>
      </c>
      <c r="J4" s="1" t="inlineStr">
        <is>
          <t>98.9</t>
        </is>
      </c>
      <c r="K4" s="1" t="inlineStr">
        <is>
          <t>98.8</t>
        </is>
      </c>
      <c r="L4" s="1" t="inlineStr">
        <is>
          <t>0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98.5</t>
        </is>
      </c>
      <c r="P4" s="1" t="inlineStr">
        <is>
          <t>98.7</t>
        </is>
      </c>
      <c r="Q4" s="1" t="inlineStr">
        <is>
          <t>98.7</t>
        </is>
      </c>
      <c r="R4" s="1" t="inlineStr">
        <is>
          <t>99.6</t>
        </is>
      </c>
      <c r="S4" s="1" t="inlineStr">
        <is>
          <t>99</t>
        </is>
      </c>
      <c r="T4" s="1" t="inlineStr">
        <is>
          <t>99.2</t>
        </is>
      </c>
      <c r="U4" s="1" t="inlineStr">
        <is>
          <t>0</t>
        </is>
      </c>
      <c r="V4" s="1" t="inlineStr">
        <is>
          <t>99.2</t>
        </is>
      </c>
      <c r="W4" s="1" t="inlineStr">
        <is>
          <t>98.1</t>
        </is>
      </c>
      <c r="X4" s="1" t="inlineStr">
        <is>
          <t>98.9</t>
        </is>
      </c>
      <c r="Y4" s="1" t="inlineStr">
        <is>
          <t>98.8</t>
        </is>
      </c>
      <c r="Z4" s="1" t="inlineStr">
        <is>
          <t>0</t>
        </is>
      </c>
      <c r="AA4" s="1" t="inlineStr">
        <is>
          <t>100</t>
        </is>
      </c>
      <c r="AB4" s="1" t="inlineStr">
        <is>
          <t>0</t>
        </is>
      </c>
      <c r="AC4" s="1" t="inlineStr">
        <is>
          <t>0</t>
        </is>
      </c>
      <c r="AD4" s="1" t="inlineStr">
        <is>
          <t>98.7</t>
        </is>
      </c>
      <c r="AE4" s="1" t="inlineStr">
        <is>
          <t>98</t>
        </is>
      </c>
      <c r="AF4" s="1" t="inlineStr">
        <is>
          <t>98.4</t>
        </is>
      </c>
      <c r="AG4" s="1" t="inlineStr">
        <is>
          <t>96.9</t>
        </is>
      </c>
      <c r="AH4" s="1" t="inlineStr">
        <is>
          <t>0</t>
        </is>
      </c>
      <c r="AI4" s="1" t="inlineStr">
        <is>
          <t>98.8</t>
        </is>
      </c>
      <c r="AJ4" s="465">
        <v>43056.22959625</v>
      </c>
    </row>
    <row spans="1:36" outlineLevel="0" r="5">
      <c r="A5" s="1" t="inlineStr">
        <is>
          <t>202610</t>
        </is>
      </c>
      <c r="B5" s="275" t="inlineStr">
        <is>
          <t>01-A</t>
        </is>
      </c>
      <c r="C5" s="1" t="inlineStr">
        <is>
          <t>ALL</t>
        </is>
      </c>
      <c r="D5" s="1" t="inlineStr">
        <is>
          <t>97.1</t>
        </is>
      </c>
      <c r="E5" s="1" t="inlineStr">
        <is>
          <t>97.2</t>
        </is>
      </c>
      <c r="F5" s="1" t="inlineStr">
        <is>
          <t>97.3</t>
        </is>
      </c>
      <c r="G5" s="1" t="inlineStr">
        <is>
          <t>0</t>
        </is>
      </c>
      <c r="H5" s="1" t="inlineStr">
        <is>
          <t>96.6</t>
        </is>
      </c>
      <c r="I5" s="1" t="inlineStr">
        <is>
          <t>96.9</t>
        </is>
      </c>
      <c r="J5" s="1" t="inlineStr">
        <is>
          <t>97.1</t>
        </is>
      </c>
      <c r="K5" s="1" t="inlineStr">
        <is>
          <t>97.2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96.3</t>
        </is>
      </c>
      <c r="P5" s="1" t="inlineStr">
        <is>
          <t>95.5</t>
        </is>
      </c>
      <c r="Q5" s="1" t="inlineStr">
        <is>
          <t>95.7</t>
        </is>
      </c>
      <c r="R5" s="1" t="inlineStr">
        <is>
          <t>96.1</t>
        </is>
      </c>
      <c r="S5" s="1" t="inlineStr">
        <is>
          <t>96.3</t>
        </is>
      </c>
      <c r="T5" s="1" t="inlineStr">
        <is>
          <t>96.2</t>
        </is>
      </c>
      <c r="U5" s="1" t="inlineStr">
        <is>
          <t>0</t>
        </is>
      </c>
      <c r="V5" s="1" t="inlineStr">
        <is>
          <t>97.3</t>
        </is>
      </c>
      <c r="W5" s="1" t="inlineStr">
        <is>
          <t>96.3</t>
        </is>
      </c>
      <c r="X5" s="1" t="inlineStr">
        <is>
          <t>96.8</t>
        </is>
      </c>
      <c r="Y5" s="1" t="inlineStr">
        <is>
          <t>96.3</t>
        </is>
      </c>
      <c r="Z5" s="1" t="inlineStr">
        <is>
          <t>0</t>
        </is>
      </c>
      <c r="AA5" s="1" t="inlineStr">
        <is>
          <t>100</t>
        </is>
      </c>
      <c r="AB5" s="1" t="inlineStr">
        <is>
          <t>0</t>
        </is>
      </c>
      <c r="AC5" s="1" t="inlineStr">
        <is>
          <t>0</t>
        </is>
      </c>
      <c r="AD5" s="1" t="inlineStr">
        <is>
          <t>95.2</t>
        </is>
      </c>
      <c r="AE5" s="1" t="inlineStr">
        <is>
          <t>95.6</t>
        </is>
      </c>
      <c r="AF5" s="1" t="inlineStr">
        <is>
          <t>95.5</t>
        </is>
      </c>
      <c r="AG5" s="1" t="inlineStr">
        <is>
          <t>95.3</t>
        </is>
      </c>
      <c r="AH5" s="1" t="inlineStr">
        <is>
          <t>0</t>
        </is>
      </c>
      <c r="AI5" s="1" t="inlineStr">
        <is>
          <t>96.4</t>
        </is>
      </c>
      <c r="AJ5" s="465">
        <v>43056.22959625</v>
      </c>
    </row>
    <row spans="1:36" outlineLevel="0" r="6">
      <c r="A6" s="1" t="inlineStr">
        <is>
          <t>202610</t>
        </is>
      </c>
      <c r="B6" s="275" t="inlineStr">
        <is>
          <t>02-D</t>
        </is>
      </c>
      <c r="C6" s="1" t="inlineStr">
        <is>
          <t>ALL</t>
        </is>
      </c>
      <c r="D6" s="1" t="inlineStr">
        <is>
          <t>97.6</t>
        </is>
      </c>
      <c r="E6" s="1" t="inlineStr">
        <is>
          <t>97.5</t>
        </is>
      </c>
      <c r="F6" s="1" t="inlineStr">
        <is>
          <t>97.8</t>
        </is>
      </c>
      <c r="G6" s="1" t="inlineStr">
        <is>
          <t>0</t>
        </is>
      </c>
      <c r="H6" s="1" t="inlineStr">
        <is>
          <t>98.1</t>
        </is>
      </c>
      <c r="I6" s="1" t="inlineStr">
        <is>
          <t>98.5</t>
        </is>
      </c>
      <c r="J6" s="1" t="inlineStr">
        <is>
          <t>97.8</t>
        </is>
      </c>
      <c r="K6" s="1" t="inlineStr">
        <is>
          <t>97.6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97.6</t>
        </is>
      </c>
      <c r="P6" s="1" t="inlineStr">
        <is>
          <t>97.3</t>
        </is>
      </c>
      <c r="Q6" s="1" t="inlineStr">
        <is>
          <t>97.9</t>
        </is>
      </c>
      <c r="R6" s="1" t="inlineStr">
        <is>
          <t>98.2</t>
        </is>
      </c>
      <c r="S6" s="1" t="inlineStr">
        <is>
          <t>98</t>
        </is>
      </c>
      <c r="T6" s="1" t="inlineStr">
        <is>
          <t>98.3</t>
        </is>
      </c>
      <c r="U6" s="1" t="inlineStr">
        <is>
          <t>0</t>
        </is>
      </c>
      <c r="V6" s="1" t="inlineStr">
        <is>
          <t>97.8</t>
        </is>
      </c>
      <c r="W6" s="1" t="inlineStr">
        <is>
          <t>98.4</t>
        </is>
      </c>
      <c r="X6" s="1" t="inlineStr">
        <is>
          <t>98.6</t>
        </is>
      </c>
      <c r="Y6" s="1" t="inlineStr">
        <is>
          <t>98.3</t>
        </is>
      </c>
      <c r="Z6" s="1" t="inlineStr">
        <is>
          <t>0</t>
        </is>
      </c>
      <c r="AA6" s="1" t="inlineStr">
        <is>
          <t>100</t>
        </is>
      </c>
      <c r="AB6" s="1" t="inlineStr">
        <is>
          <t>0</t>
        </is>
      </c>
      <c r="AC6" s="1" t="inlineStr">
        <is>
          <t>0</t>
        </is>
      </c>
      <c r="AD6" s="1" t="inlineStr">
        <is>
          <t>97.8</t>
        </is>
      </c>
      <c r="AE6" s="1" t="inlineStr">
        <is>
          <t>97.6</t>
        </is>
      </c>
      <c r="AF6" s="1" t="inlineStr">
        <is>
          <t>98.1</t>
        </is>
      </c>
      <c r="AG6" s="1" t="inlineStr">
        <is>
          <t>98.3</t>
        </is>
      </c>
      <c r="AH6" s="1" t="inlineStr">
        <is>
          <t>0</t>
        </is>
      </c>
      <c r="AI6" s="1" t="inlineStr">
        <is>
          <t>97.9</t>
        </is>
      </c>
      <c r="AJ6" s="465">
        <v>43056.22959625</v>
      </c>
    </row>
    <row spans="1:36" outlineLevel="0" r="7">
      <c r="A7" s="1" t="inlineStr">
        <is>
          <t>202610</t>
        </is>
      </c>
      <c r="B7" s="275" t="inlineStr">
        <is>
          <t>03-J</t>
        </is>
      </c>
      <c r="C7" s="1" t="inlineStr">
        <is>
          <t>ALL</t>
        </is>
      </c>
      <c r="D7" s="1" t="inlineStr">
        <is>
          <t>99.3</t>
        </is>
      </c>
      <c r="E7" s="1" t="inlineStr">
        <is>
          <t>99.5</t>
        </is>
      </c>
      <c r="F7" s="1" t="inlineStr">
        <is>
          <t>98.1</t>
        </is>
      </c>
      <c r="G7" s="1" t="inlineStr">
        <is>
          <t>0</t>
        </is>
      </c>
      <c r="H7" s="1" t="inlineStr">
        <is>
          <t>97.6</t>
        </is>
      </c>
      <c r="I7" s="1" t="inlineStr">
        <is>
          <t>100</t>
        </is>
      </c>
      <c r="J7" s="1" t="inlineStr">
        <is>
          <t>100</t>
        </is>
      </c>
      <c r="K7" s="1" t="inlineStr">
        <is>
          <t>100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96.1</t>
        </is>
      </c>
      <c r="P7" s="1" t="inlineStr">
        <is>
          <t>100</t>
        </is>
      </c>
      <c r="Q7" s="1" t="inlineStr">
        <is>
          <t>100</t>
        </is>
      </c>
      <c r="R7" s="1" t="inlineStr">
        <is>
          <t>100</t>
        </is>
      </c>
      <c r="S7" s="1" t="inlineStr">
        <is>
          <t>100</t>
        </is>
      </c>
      <c r="T7" s="1" t="inlineStr">
        <is>
          <t>98.5</t>
        </is>
      </c>
      <c r="U7" s="1" t="inlineStr">
        <is>
          <t>0</t>
        </is>
      </c>
      <c r="V7" s="1" t="inlineStr">
        <is>
          <t>98.7</t>
        </is>
      </c>
      <c r="W7" s="1" t="inlineStr">
        <is>
          <t>96.7</t>
        </is>
      </c>
      <c r="X7" s="1" t="inlineStr">
        <is>
          <t>99.5</t>
        </is>
      </c>
      <c r="Y7" s="1" t="inlineStr">
        <is>
          <t>100</t>
        </is>
      </c>
      <c r="Z7" s="1" t="inlineStr">
        <is>
          <t>0</t>
        </is>
      </c>
      <c r="AA7" s="1" t="inlineStr">
        <is>
          <t>100</t>
        </is>
      </c>
      <c r="AB7" s="1" t="inlineStr">
        <is>
          <t>0</t>
        </is>
      </c>
      <c r="AC7" s="1" t="inlineStr">
        <is>
          <t>0</t>
        </is>
      </c>
      <c r="AD7" s="1" t="inlineStr">
        <is>
          <t>100</t>
        </is>
      </c>
      <c r="AE7" s="1" t="inlineStr">
        <is>
          <t>100</t>
        </is>
      </c>
      <c r="AF7" s="1" t="inlineStr">
        <is>
          <t>100</t>
        </is>
      </c>
      <c r="AG7" s="1" t="inlineStr">
        <is>
          <t>100</t>
        </is>
      </c>
      <c r="AH7" s="1" t="inlineStr">
        <is>
          <t>0</t>
        </is>
      </c>
      <c r="AI7" s="1" t="inlineStr">
        <is>
          <t>99.4</t>
        </is>
      </c>
      <c r="AJ7" s="465">
        <v>43056.22959625</v>
      </c>
    </row>
    <row spans="1:36" outlineLevel="0" r="8">
      <c r="A8" s="1" t="inlineStr">
        <is>
          <t>202610</t>
        </is>
      </c>
      <c r="B8" s="275" t="inlineStr">
        <is>
          <t>04-O</t>
        </is>
      </c>
      <c r="C8" s="1" t="inlineStr">
        <is>
          <t>ALL</t>
        </is>
      </c>
      <c r="D8" s="1" t="inlineStr">
        <is>
          <t>25</t>
        </is>
      </c>
      <c r="E8" s="1" t="inlineStr">
        <is>
          <t>100</t>
        </is>
      </c>
      <c r="F8" s="1" t="inlineStr">
        <is>
          <t>33.3</t>
        </is>
      </c>
      <c r="G8" s="1" t="inlineStr">
        <is>
          <t>0</t>
        </is>
      </c>
      <c r="H8" s="1" t="inlineStr">
        <is>
          <t>16.6</t>
        </is>
      </c>
      <c r="I8" s="1" t="inlineStr">
        <is>
          <t>100</t>
        </is>
      </c>
      <c r="J8" s="1" t="inlineStr">
        <is>
          <t>0</t>
        </is>
      </c>
      <c r="K8" s="1" t="inlineStr">
        <is>
          <t>33.3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66.6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100</t>
        </is>
      </c>
      <c r="S8" s="1" t="inlineStr">
        <is>
          <t>25</t>
        </is>
      </c>
      <c r="T8" s="1" t="inlineStr">
        <is>
          <t>66.6</t>
        </is>
      </c>
      <c r="U8" s="1" t="inlineStr">
        <is>
          <t>0</t>
        </is>
      </c>
      <c r="V8" s="1" t="inlineStr">
        <is>
          <t>33.3</t>
        </is>
      </c>
      <c r="W8" s="1" t="inlineStr">
        <is>
          <t>100</t>
        </is>
      </c>
      <c r="X8" s="1" t="inlineStr">
        <is>
          <t>100</t>
        </is>
      </c>
      <c r="Y8" s="1" t="inlineStr">
        <is>
          <t>0</t>
        </is>
      </c>
      <c r="Z8" s="1" t="inlineStr">
        <is>
          <t>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0</t>
        </is>
      </c>
      <c r="AD8" s="1" t="inlineStr">
        <is>
          <t>62.5</t>
        </is>
      </c>
      <c r="AE8" s="1" t="inlineStr">
        <is>
          <t>50</t>
        </is>
      </c>
      <c r="AF8" s="1" t="inlineStr">
        <is>
          <t>100</t>
        </is>
      </c>
      <c r="AG8" s="1" t="inlineStr">
        <is>
          <t>100</t>
        </is>
      </c>
      <c r="AH8" s="1" t="inlineStr">
        <is>
          <t>0</t>
        </is>
      </c>
      <c r="AI8" s="1" t="inlineStr">
        <is>
          <t>45.7</t>
        </is>
      </c>
      <c r="AJ8" s="465">
        <v>43056.22959625</v>
      </c>
    </row>
    <row spans="1:36" outlineLevel="0" r="9">
      <c r="A9" s="1" t="inlineStr">
        <is>
          <t>202610</t>
        </is>
      </c>
      <c r="B9" s="275" t="inlineStr">
        <is>
          <t>05-N</t>
        </is>
      </c>
      <c r="C9" s="1" t="inlineStr">
        <is>
          <t>ALL</t>
        </is>
      </c>
      <c r="D9" s="1" t="inlineStr">
        <is>
          <t>99.4</t>
        </is>
      </c>
      <c r="E9" s="1" t="inlineStr">
        <is>
          <t>99.4</t>
        </is>
      </c>
      <c r="F9" s="1" t="inlineStr">
        <is>
          <t>99.7</t>
        </is>
      </c>
      <c r="G9" s="1" t="inlineStr">
        <is>
          <t>0</t>
        </is>
      </c>
      <c r="H9" s="1" t="inlineStr">
        <is>
          <t>99.3</t>
        </is>
      </c>
      <c r="I9" s="1" t="inlineStr">
        <is>
          <t>98.5</t>
        </is>
      </c>
      <c r="J9" s="1" t="inlineStr">
        <is>
          <t>98.9</t>
        </is>
      </c>
      <c r="K9" s="1" t="inlineStr">
        <is>
          <t>99.4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98.2</t>
        </is>
      </c>
      <c r="P9" s="1" t="inlineStr">
        <is>
          <t>96.1</t>
        </is>
      </c>
      <c r="Q9" s="1" t="inlineStr">
        <is>
          <t>97.7</t>
        </is>
      </c>
      <c r="R9" s="1" t="inlineStr">
        <is>
          <t>99.1</t>
        </is>
      </c>
      <c r="S9" s="1" t="inlineStr">
        <is>
          <t>98.8</t>
        </is>
      </c>
      <c r="T9" s="1" t="inlineStr">
        <is>
          <t>99.7</t>
        </is>
      </c>
      <c r="U9" s="1" t="inlineStr">
        <is>
          <t>0</t>
        </is>
      </c>
      <c r="V9" s="1" t="inlineStr">
        <is>
          <t>99.5</t>
        </is>
      </c>
      <c r="W9" s="1" t="inlineStr">
        <is>
          <t>99.3</t>
        </is>
      </c>
      <c r="X9" s="1" t="inlineStr">
        <is>
          <t>99.1</t>
        </is>
      </c>
      <c r="Y9" s="1" t="inlineStr">
        <is>
          <t>99.5</t>
        </is>
      </c>
      <c r="Z9" s="1" t="inlineStr">
        <is>
          <t>0</t>
        </is>
      </c>
      <c r="AA9" s="1" t="inlineStr">
        <is>
          <t>100</t>
        </is>
      </c>
      <c r="AB9" s="1" t="inlineStr">
        <is>
          <t>0</t>
        </is>
      </c>
      <c r="AC9" s="1" t="inlineStr">
        <is>
          <t>0</t>
        </is>
      </c>
      <c r="AD9" s="1" t="inlineStr">
        <is>
          <t>99</t>
        </is>
      </c>
      <c r="AE9" s="1" t="inlineStr">
        <is>
          <t>99.8</t>
        </is>
      </c>
      <c r="AF9" s="1" t="inlineStr">
        <is>
          <t>99.4</t>
        </is>
      </c>
      <c r="AG9" s="1" t="inlineStr">
        <is>
          <t>99.7</t>
        </is>
      </c>
      <c r="AH9" s="1" t="inlineStr">
        <is>
          <t>0</t>
        </is>
      </c>
      <c r="AI9" s="1" t="inlineStr">
        <is>
          <t>99</t>
        </is>
      </c>
      <c r="AJ9" s="465">
        <v>43056.22959625</v>
      </c>
    </row>
    <row spans="1:36" outlineLevel="0" r="10">
      <c r="A10" s="1" t="inlineStr">
        <is>
          <t>202610</t>
        </is>
      </c>
      <c r="B10" s="275" t="inlineStr">
        <is>
          <t>06-C</t>
        </is>
      </c>
      <c r="C10" s="1" t="inlineStr">
        <is>
          <t>ALL</t>
        </is>
      </c>
      <c r="D10" s="1" t="inlineStr">
        <is>
          <t>0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0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0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0</t>
        </is>
      </c>
      <c r="W10" s="1" t="inlineStr">
        <is>
          <t>0</t>
        </is>
      </c>
      <c r="X10" s="1" t="inlineStr">
        <is>
          <t>0</t>
        </is>
      </c>
      <c r="Y10" s="1" t="inlineStr">
        <is>
          <t>0</t>
        </is>
      </c>
      <c r="Z10" s="1" t="inlineStr">
        <is>
          <t>0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0</t>
        </is>
      </c>
      <c r="AD10" s="1" t="inlineStr">
        <is>
          <t>0</t>
        </is>
      </c>
      <c r="AE10" s="1" t="inlineStr">
        <is>
          <t>0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0</t>
        </is>
      </c>
      <c r="AJ10" s="465">
        <v>43056.22959625</v>
      </c>
    </row>
    <row spans="1:36" outlineLevel="0" r="11">
      <c r="A11" s="1" t="inlineStr">
        <is>
          <t>202610</t>
        </is>
      </c>
      <c r="B11" s="275" t="inlineStr">
        <is>
          <t>07-H</t>
        </is>
      </c>
      <c r="C11" s="1" t="inlineStr">
        <is>
          <t>ALL</t>
        </is>
      </c>
      <c r="D11" s="1" t="inlineStr">
        <is>
          <t>99.7</t>
        </is>
      </c>
      <c r="E11" s="1" t="inlineStr">
        <is>
          <t>99.7</t>
        </is>
      </c>
      <c r="F11" s="1" t="inlineStr">
        <is>
          <t>99.4</t>
        </is>
      </c>
      <c r="G11" s="1" t="inlineStr">
        <is>
          <t>0</t>
        </is>
      </c>
      <c r="H11" s="1" t="inlineStr">
        <is>
          <t>100</t>
        </is>
      </c>
      <c r="I11" s="1" t="inlineStr">
        <is>
          <t>98.7</t>
        </is>
      </c>
      <c r="J11" s="1" t="inlineStr">
        <is>
          <t>99.7</t>
        </is>
      </c>
      <c r="K11" s="1" t="inlineStr">
        <is>
          <t>99.8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98</t>
        </is>
      </c>
      <c r="P11" s="1" t="inlineStr">
        <is>
          <t>99.5</t>
        </is>
      </c>
      <c r="Q11" s="1" t="inlineStr">
        <is>
          <t>100</t>
        </is>
      </c>
      <c r="R11" s="1" t="inlineStr">
        <is>
          <t>99.5</t>
        </is>
      </c>
      <c r="S11" s="1" t="inlineStr">
        <is>
          <t>100</t>
        </is>
      </c>
      <c r="T11" s="1" t="inlineStr">
        <is>
          <t>100</t>
        </is>
      </c>
      <c r="U11" s="1" t="inlineStr">
        <is>
          <t>0</t>
        </is>
      </c>
      <c r="V11" s="1" t="inlineStr">
        <is>
          <t>100</t>
        </is>
      </c>
      <c r="W11" s="1" t="inlineStr">
        <is>
          <t>99.3</t>
        </is>
      </c>
      <c r="X11" s="1" t="inlineStr">
        <is>
          <t>100</t>
        </is>
      </c>
      <c r="Y11" s="1" t="inlineStr">
        <is>
          <t>99.3</t>
        </is>
      </c>
      <c r="Z11" s="1" t="inlineStr">
        <is>
          <t>0</t>
        </is>
      </c>
      <c r="AA11" s="1" t="inlineStr">
        <is>
          <t>100</t>
        </is>
      </c>
      <c r="AB11" s="1" t="inlineStr">
        <is>
          <t>0</t>
        </is>
      </c>
      <c r="AC11" s="1" t="inlineStr">
        <is>
          <t>0</t>
        </is>
      </c>
      <c r="AD11" s="1" t="inlineStr">
        <is>
          <t>98.2</t>
        </is>
      </c>
      <c r="AE11" s="1" t="inlineStr">
        <is>
          <t>99</t>
        </is>
      </c>
      <c r="AF11" s="1" t="inlineStr">
        <is>
          <t>100</t>
        </is>
      </c>
      <c r="AG11" s="1" t="inlineStr">
        <is>
          <t>99.4</t>
        </is>
      </c>
      <c r="AH11" s="1" t="inlineStr">
        <is>
          <t>0</t>
        </is>
      </c>
      <c r="AI11" s="1" t="inlineStr">
        <is>
          <t>99.4</t>
        </is>
      </c>
      <c r="AJ11" s="465">
        <v>43056.22959625</v>
      </c>
    </row>
    <row spans="1:36" outlineLevel="0" r="12">
      <c r="A12" s="1" t="inlineStr">
        <is>
          <t>202610</t>
        </is>
      </c>
      <c r="B12" s="275" t="inlineStr">
        <is>
          <t>10-M</t>
        </is>
      </c>
      <c r="C12" s="1" t="inlineStr">
        <is>
          <t>ALL</t>
        </is>
      </c>
      <c r="D12" s="1" t="inlineStr">
        <is>
          <t>100</t>
        </is>
      </c>
      <c r="E12" s="1" t="inlineStr">
        <is>
          <t>100</t>
        </is>
      </c>
      <c r="F12" s="1" t="inlineStr">
        <is>
          <t>95</t>
        </is>
      </c>
      <c r="G12" s="1" t="inlineStr">
        <is>
          <t>0</t>
        </is>
      </c>
      <c r="H12" s="1" t="inlineStr">
        <is>
          <t>95.8</t>
        </is>
      </c>
      <c r="I12" s="1" t="inlineStr">
        <is>
          <t>97.2</t>
        </is>
      </c>
      <c r="J12" s="1" t="inlineStr">
        <is>
          <t>92.1</t>
        </is>
      </c>
      <c r="K12" s="1" t="inlineStr">
        <is>
          <t>100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100</t>
        </is>
      </c>
      <c r="P12" s="1" t="inlineStr">
        <is>
          <t>100</t>
        </is>
      </c>
      <c r="Q12" s="1" t="inlineStr">
        <is>
          <t>100</t>
        </is>
      </c>
      <c r="R12" s="1" t="inlineStr">
        <is>
          <t>95.4</t>
        </is>
      </c>
      <c r="S12" s="1" t="inlineStr">
        <is>
          <t>100</t>
        </is>
      </c>
      <c r="T12" s="1" t="inlineStr">
        <is>
          <t>100</t>
        </is>
      </c>
      <c r="U12" s="1" t="inlineStr">
        <is>
          <t>0</t>
        </is>
      </c>
      <c r="V12" s="1" t="inlineStr">
        <is>
          <t>100</t>
        </is>
      </c>
      <c r="W12" s="1" t="inlineStr">
        <is>
          <t>93.1</t>
        </is>
      </c>
      <c r="X12" s="1" t="inlineStr">
        <is>
          <t>100</t>
        </is>
      </c>
      <c r="Y12" s="1" t="inlineStr">
        <is>
          <t>100</t>
        </is>
      </c>
      <c r="Z12" s="1" t="inlineStr">
        <is>
          <t>0</t>
        </is>
      </c>
      <c r="AA12" s="1" t="inlineStr">
        <is>
          <t>100</t>
        </is>
      </c>
      <c r="AB12" s="1" t="inlineStr">
        <is>
          <t>0</t>
        </is>
      </c>
      <c r="AC12" s="1" t="inlineStr">
        <is>
          <t>0</t>
        </is>
      </c>
      <c r="AD12" s="1" t="inlineStr">
        <is>
          <t>67.6</t>
        </is>
      </c>
      <c r="AE12" s="1" t="inlineStr">
        <is>
          <t>100</t>
        </is>
      </c>
      <c r="AF12" s="1" t="inlineStr">
        <is>
          <t>96.4</t>
        </is>
      </c>
      <c r="AG12" s="1" t="inlineStr">
        <is>
          <t>100</t>
        </is>
      </c>
      <c r="AH12" s="1" t="inlineStr">
        <is>
          <t>0</t>
        </is>
      </c>
      <c r="AI12" s="1" t="inlineStr">
        <is>
          <t>96.3</t>
        </is>
      </c>
      <c r="AJ12" s="465">
        <v>43056.22959625</v>
      </c>
    </row>
    <row spans="1:36" outlineLevel="0" r="13">
      <c r="A13" s="1" t="inlineStr">
        <is>
          <t>202610</t>
        </is>
      </c>
      <c r="B13" s="275" t="inlineStr">
        <is>
          <t>11-S</t>
        </is>
      </c>
      <c r="C13" s="1" t="inlineStr">
        <is>
          <t>ALL</t>
        </is>
      </c>
      <c r="D13" s="1" t="inlineStr">
        <is>
          <t>50</t>
        </is>
      </c>
      <c r="E13" s="1" t="inlineStr">
        <is>
          <t>30</t>
        </is>
      </c>
      <c r="F13" s="1" t="inlineStr">
        <is>
          <t>50</t>
        </is>
      </c>
      <c r="G13" s="1" t="inlineStr">
        <is>
          <t>0</t>
        </is>
      </c>
      <c r="H13" s="1" t="inlineStr">
        <is>
          <t>16.6</t>
        </is>
      </c>
      <c r="I13" s="1" t="inlineStr">
        <is>
          <t>25</t>
        </is>
      </c>
      <c r="J13" s="1" t="inlineStr">
        <is>
          <t>33.3</t>
        </is>
      </c>
      <c r="K13" s="1" t="inlineStr">
        <is>
          <t>41.6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50</t>
        </is>
      </c>
      <c r="P13" s="1" t="inlineStr">
        <is>
          <t>100</t>
        </is>
      </c>
      <c r="Q13" s="1" t="inlineStr">
        <is>
          <t>28.5</t>
        </is>
      </c>
      <c r="R13" s="1" t="inlineStr">
        <is>
          <t>0</t>
        </is>
      </c>
      <c r="S13" s="1" t="inlineStr">
        <is>
          <t>0</t>
        </is>
      </c>
      <c r="T13" s="1" t="inlineStr">
        <is>
          <t>50</t>
        </is>
      </c>
      <c r="U13" s="1" t="inlineStr">
        <is>
          <t>0</t>
        </is>
      </c>
      <c r="V13" s="1" t="inlineStr">
        <is>
          <t>57.1</t>
        </is>
      </c>
      <c r="W13" s="1" t="inlineStr">
        <is>
          <t>87.5</t>
        </is>
      </c>
      <c r="X13" s="1" t="inlineStr">
        <is>
          <t>0</t>
        </is>
      </c>
      <c r="Y13" s="1" t="inlineStr">
        <is>
          <t>62.5</t>
        </is>
      </c>
      <c r="Z13" s="1" t="inlineStr">
        <is>
          <t>0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0</t>
        </is>
      </c>
      <c r="AD13" s="1" t="inlineStr">
        <is>
          <t>53.8</t>
        </is>
      </c>
      <c r="AE13" s="1" t="inlineStr">
        <is>
          <t>100</t>
        </is>
      </c>
      <c r="AF13" s="1" t="inlineStr">
        <is>
          <t>42.8</t>
        </is>
      </c>
      <c r="AG13" s="1" t="inlineStr">
        <is>
          <t>12.5</t>
        </is>
      </c>
      <c r="AH13" s="1" t="inlineStr">
        <is>
          <t>0</t>
        </is>
      </c>
      <c r="AI13" s="1" t="inlineStr">
        <is>
          <t>44.1</t>
        </is>
      </c>
      <c r="AJ13" s="465">
        <v>43056.22959625</v>
      </c>
    </row>
    <row spans="1:36" outlineLevel="0" r="14">
      <c r="A14" s="1" t="inlineStr">
        <is>
          <t>202610</t>
        </is>
      </c>
      <c r="B14" s="275" t="inlineStr">
        <is>
          <t>12-V</t>
        </is>
      </c>
      <c r="C14" s="1" t="inlineStr">
        <is>
          <t>ALL</t>
        </is>
      </c>
      <c r="D14" s="1" t="inlineStr">
        <is>
          <t>98.1</t>
        </is>
      </c>
      <c r="E14" s="1" t="inlineStr">
        <is>
          <t>97.3</t>
        </is>
      </c>
      <c r="F14" s="1" t="inlineStr">
        <is>
          <t>99</t>
        </is>
      </c>
      <c r="G14" s="1" t="inlineStr">
        <is>
          <t>0</t>
        </is>
      </c>
      <c r="H14" s="1" t="inlineStr">
        <is>
          <t>98.9</t>
        </is>
      </c>
      <c r="I14" s="1" t="inlineStr">
        <is>
          <t>99.2</t>
        </is>
      </c>
      <c r="J14" s="1" t="inlineStr">
        <is>
          <t>96.6</t>
        </is>
      </c>
      <c r="K14" s="1" t="inlineStr">
        <is>
          <t>96.8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0</t>
        </is>
      </c>
      <c r="O14" s="1" t="inlineStr">
        <is>
          <t>96.7</t>
        </is>
      </c>
      <c r="P14" s="1" t="inlineStr">
        <is>
          <t>97.5</t>
        </is>
      </c>
      <c r="Q14" s="1" t="inlineStr">
        <is>
          <t>97.4</t>
        </is>
      </c>
      <c r="R14" s="1" t="inlineStr">
        <is>
          <t>98.3</t>
        </is>
      </c>
      <c r="S14" s="1" t="inlineStr">
        <is>
          <t>97.5</t>
        </is>
      </c>
      <c r="T14" s="1" t="inlineStr">
        <is>
          <t>97.9</t>
        </is>
      </c>
      <c r="U14" s="1" t="inlineStr">
        <is>
          <t>0</t>
        </is>
      </c>
      <c r="V14" s="1" t="inlineStr">
        <is>
          <t>96.8</t>
        </is>
      </c>
      <c r="W14" s="1" t="inlineStr">
        <is>
          <t>98.1</t>
        </is>
      </c>
      <c r="X14" s="1" t="inlineStr">
        <is>
          <t>97</t>
        </is>
      </c>
      <c r="Y14" s="1" t="inlineStr">
        <is>
          <t>97.3</t>
        </is>
      </c>
      <c r="Z14" s="1" t="inlineStr">
        <is>
          <t>0</t>
        </is>
      </c>
      <c r="AA14" s="1" t="inlineStr">
        <is>
          <t>100</t>
        </is>
      </c>
      <c r="AB14" s="1" t="inlineStr">
        <is>
          <t>0</t>
        </is>
      </c>
      <c r="AC14" s="1" t="inlineStr">
        <is>
          <t>0</t>
        </is>
      </c>
      <c r="AD14" s="1" t="inlineStr">
        <is>
          <t>96.3</t>
        </is>
      </c>
      <c r="AE14" s="1" t="inlineStr">
        <is>
          <t>97.6</t>
        </is>
      </c>
      <c r="AF14" s="1" t="inlineStr">
        <is>
          <t>98.2</t>
        </is>
      </c>
      <c r="AG14" s="1" t="inlineStr">
        <is>
          <t>99</t>
        </is>
      </c>
      <c r="AH14" s="1" t="inlineStr">
        <is>
          <t>0</t>
        </is>
      </c>
      <c r="AI14" s="1" t="inlineStr">
        <is>
          <t>97.6</t>
        </is>
      </c>
      <c r="AJ14" s="465">
        <v>43056.22959625</v>
      </c>
    </row>
    <row spans="1:36" outlineLevel="0" r="15">
      <c r="A15" s="1" t="inlineStr">
        <is>
          <t>202610</t>
        </is>
      </c>
      <c r="B15" s="275" t="inlineStr">
        <is>
          <t>13-T</t>
        </is>
      </c>
      <c r="C15" s="1" t="inlineStr">
        <is>
          <t>ALL</t>
        </is>
      </c>
      <c r="D15" s="1" t="inlineStr">
        <is>
          <t>100</t>
        </is>
      </c>
      <c r="E15" s="1" t="inlineStr">
        <is>
          <t>100</t>
        </is>
      </c>
      <c r="F15" s="1" t="inlineStr">
        <is>
          <t>100</t>
        </is>
      </c>
      <c r="G15" s="1" t="inlineStr">
        <is>
          <t>0</t>
        </is>
      </c>
      <c r="H15" s="1" t="inlineStr">
        <is>
          <t>100</t>
        </is>
      </c>
      <c r="I15" s="1" t="inlineStr">
        <is>
          <t>100</t>
        </is>
      </c>
      <c r="J15" s="1" t="inlineStr">
        <is>
          <t>98</t>
        </is>
      </c>
      <c r="K15" s="1" t="inlineStr">
        <is>
          <t>98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100</t>
        </is>
      </c>
      <c r="P15" s="1" t="inlineStr">
        <is>
          <t>100</t>
        </is>
      </c>
      <c r="Q15" s="1" t="inlineStr">
        <is>
          <t>98.3</t>
        </is>
      </c>
      <c r="R15" s="1" t="inlineStr">
        <is>
          <t>100</t>
        </is>
      </c>
      <c r="S15" s="1" t="inlineStr">
        <is>
          <t>100</t>
        </is>
      </c>
      <c r="T15" s="1" t="inlineStr">
        <is>
          <t>98.4</t>
        </is>
      </c>
      <c r="U15" s="1" t="inlineStr">
        <is>
          <t>0</t>
        </is>
      </c>
      <c r="V15" s="1" t="inlineStr">
        <is>
          <t>100</t>
        </is>
      </c>
      <c r="W15" s="1" t="inlineStr">
        <is>
          <t>100</t>
        </is>
      </c>
      <c r="X15" s="1" t="inlineStr">
        <is>
          <t>100</t>
        </is>
      </c>
      <c r="Y15" s="1" t="inlineStr">
        <is>
          <t>95.6</t>
        </is>
      </c>
      <c r="Z15" s="1" t="inlineStr">
        <is>
          <t>0</t>
        </is>
      </c>
      <c r="AA15" s="1" t="inlineStr">
        <is>
          <t>100</t>
        </is>
      </c>
      <c r="AB15" s="1" t="inlineStr">
        <is>
          <t>0</t>
        </is>
      </c>
      <c r="AC15" s="1" t="inlineStr">
        <is>
          <t>0</t>
        </is>
      </c>
      <c r="AD15" s="1" t="inlineStr">
        <is>
          <t>86.6</t>
        </is>
      </c>
      <c r="AE15" s="1" t="inlineStr">
        <is>
          <t>97.3</t>
        </is>
      </c>
      <c r="AF15" s="1" t="inlineStr">
        <is>
          <t>92.3</t>
        </is>
      </c>
      <c r="AG15" s="1" t="inlineStr">
        <is>
          <t>100</t>
        </is>
      </c>
      <c r="AH15" s="1" t="inlineStr">
        <is>
          <t>0</t>
        </is>
      </c>
      <c r="AI15" s="1" t="inlineStr">
        <is>
          <t>97.8</t>
        </is>
      </c>
      <c r="AJ15" s="465">
        <v>43056.22959625</v>
      </c>
    </row>
    <row spans="1:36" outlineLevel="0" r="16">
      <c r="A16" s="1" t="inlineStr">
        <is>
          <t>202610</t>
        </is>
      </c>
      <c r="B16" s="275" t="inlineStr">
        <is>
          <t>14-P</t>
        </is>
      </c>
      <c r="C16" s="1" t="inlineStr">
        <is>
          <t>ALL</t>
        </is>
      </c>
      <c r="D16" s="1" t="inlineStr">
        <is>
          <t>0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</t>
        </is>
      </c>
      <c r="H16" s="1" t="inlineStr">
        <is>
          <t>0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0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0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0</t>
        </is>
      </c>
      <c r="Y16" s="1" t="inlineStr">
        <is>
          <t>0</t>
        </is>
      </c>
      <c r="Z16" s="1" t="inlineStr">
        <is>
          <t>0</t>
        </is>
      </c>
      <c r="AA16" s="1" t="inlineStr">
        <is>
          <t>0</t>
        </is>
      </c>
      <c r="AB16" s="1" t="inlineStr">
        <is>
          <t>0</t>
        </is>
      </c>
      <c r="AC16" s="1" t="inlineStr">
        <is>
          <t>0</t>
        </is>
      </c>
      <c r="AD16" s="1" t="inlineStr">
        <is>
          <t>0</t>
        </is>
      </c>
      <c r="AE16" s="1" t="inlineStr">
        <is>
          <t>0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>0</t>
        </is>
      </c>
      <c r="AJ16" s="465">
        <v>43056.22959625</v>
      </c>
    </row>
    <row spans="1:36" outlineLevel="0" r="17">
      <c r="A17" s="1" t="inlineStr">
        <is>
          <t>202610</t>
        </is>
      </c>
      <c r="B17" s="275" t="inlineStr">
        <is>
          <t>16-2</t>
        </is>
      </c>
      <c r="C17" s="1" t="inlineStr">
        <is>
          <t>ALL</t>
        </is>
      </c>
      <c r="D17" s="1" t="inlineStr">
        <is>
          <t>0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0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0</t>
        </is>
      </c>
      <c r="T17" s="1" t="inlineStr">
        <is>
          <t>0</t>
        </is>
      </c>
      <c r="U17" s="1" t="inlineStr">
        <is>
          <t>0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>0</t>
        </is>
      </c>
      <c r="Y17" s="1" t="inlineStr">
        <is>
          <t>0</t>
        </is>
      </c>
      <c r="Z17" s="1" t="inlineStr">
        <is>
          <t>0</t>
        </is>
      </c>
      <c r="AA17" s="1" t="inlineStr">
        <is>
          <t>0</t>
        </is>
      </c>
      <c r="AB17" s="1" t="inlineStr">
        <is>
          <t>0</t>
        </is>
      </c>
      <c r="AC17" s="1" t="inlineStr">
        <is>
          <t>0</t>
        </is>
      </c>
      <c r="AD17" s="1" t="inlineStr">
        <is>
          <t>0</t>
        </is>
      </c>
      <c r="AE17" s="1" t="inlineStr">
        <is>
          <t>0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1" t="inlineStr">
        <is>
          <t>0</t>
        </is>
      </c>
      <c r="AJ17" s="465">
        <v>43056.22959625</v>
      </c>
    </row>
    <row spans="1:36" outlineLevel="0" r="18">
      <c r="A18" s="1" t="inlineStr">
        <is>
          <t>202610</t>
        </is>
      </c>
      <c r="B18" s="275" t="inlineStr">
        <is>
          <t>17-3</t>
        </is>
      </c>
      <c r="C18" s="1" t="inlineStr">
        <is>
          <t>ALL</t>
        </is>
      </c>
      <c r="D18" s="1" t="inlineStr">
        <is>
          <t>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0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0</t>
        </is>
      </c>
      <c r="Y18" s="1" t="inlineStr">
        <is>
          <t>0</t>
        </is>
      </c>
      <c r="Z18" s="1" t="inlineStr">
        <is>
          <t>0</t>
        </is>
      </c>
      <c r="AA18" s="1" t="inlineStr">
        <is>
          <t>0</t>
        </is>
      </c>
      <c r="AB18" s="1" t="inlineStr">
        <is>
          <t>0</t>
        </is>
      </c>
      <c r="AC18" s="1" t="inlineStr">
        <is>
          <t>0</t>
        </is>
      </c>
      <c r="AD18" s="1" t="inlineStr">
        <is>
          <t>0</t>
        </is>
      </c>
      <c r="AE18" s="1" t="inlineStr">
        <is>
          <t>0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>0</t>
        </is>
      </c>
      <c r="AJ18" s="465">
        <v>43056.22959625</v>
      </c>
    </row>
    <row spans="1:36" outlineLevel="0" r="19">
      <c r="A19" s="1" t="inlineStr">
        <is>
          <t>202610</t>
        </is>
      </c>
      <c r="B19" s="275" t="inlineStr">
        <is>
          <t>18-4</t>
        </is>
      </c>
      <c r="C19" s="1" t="inlineStr">
        <is>
          <t>ALL</t>
        </is>
      </c>
      <c r="D19" s="1" t="inlineStr">
        <is>
          <t>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0</t>
        </is>
      </c>
      <c r="Y19" s="1" t="inlineStr">
        <is>
          <t>0</t>
        </is>
      </c>
      <c r="Z19" s="1" t="inlineStr">
        <is>
          <t>0</t>
        </is>
      </c>
      <c r="AA19" s="1" t="inlineStr">
        <is>
          <t>0</t>
        </is>
      </c>
      <c r="AB19" s="1" t="inlineStr">
        <is>
          <t>0</t>
        </is>
      </c>
      <c r="AC19" s="1" t="inlineStr">
        <is>
          <t>0</t>
        </is>
      </c>
      <c r="AD19" s="1" t="inlineStr">
        <is>
          <t>0</t>
        </is>
      </c>
      <c r="AE19" s="1" t="inlineStr">
        <is>
          <t>0</t>
        </is>
      </c>
      <c r="AF19" s="1" t="inlineStr">
        <is>
          <t>0</t>
        </is>
      </c>
      <c r="AG19" s="1" t="inlineStr">
        <is>
          <t>0</t>
        </is>
      </c>
      <c r="AH19" s="1" t="inlineStr">
        <is>
          <t>0</t>
        </is>
      </c>
      <c r="AI19" s="1" t="inlineStr">
        <is>
          <t>0</t>
        </is>
      </c>
      <c r="AJ19" s="465">
        <v>43056.22959625</v>
      </c>
    </row>
    <row spans="1:36" outlineLevel="0" r="20">
      <c r="A20" s="1" t="inlineStr">
        <is>
          <t>202610</t>
        </is>
      </c>
      <c r="B20" s="275" t="inlineStr">
        <is>
          <t>19-5</t>
        </is>
      </c>
      <c r="C20" s="1" t="inlineStr">
        <is>
          <t>ALL</t>
        </is>
      </c>
      <c r="D20" s="1" t="inlineStr">
        <is>
          <t>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0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0</t>
        </is>
      </c>
      <c r="Y20" s="1" t="inlineStr">
        <is>
          <t>0</t>
        </is>
      </c>
      <c r="Z20" s="1" t="inlineStr">
        <is>
          <t>0</t>
        </is>
      </c>
      <c r="AA20" s="1" t="inlineStr">
        <is>
          <t>0</t>
        </is>
      </c>
      <c r="AB20" s="1" t="inlineStr">
        <is>
          <t>0</t>
        </is>
      </c>
      <c r="AC20" s="1" t="inlineStr">
        <is>
          <t>0</t>
        </is>
      </c>
      <c r="AD20" s="1" t="inlineStr">
        <is>
          <t>0</t>
        </is>
      </c>
      <c r="AE20" s="1" t="inlineStr">
        <is>
          <t>0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>0</t>
        </is>
      </c>
      <c r="AJ20" s="465">
        <v>43056.22959625</v>
      </c>
    </row>
    <row spans="1:36" outlineLevel="0" r="21">
      <c r="A21" s="1" t="inlineStr">
        <is>
          <t>202610</t>
        </is>
      </c>
      <c r="B21" s="275" t="inlineStr">
        <is>
          <t>20-7</t>
        </is>
      </c>
      <c r="C21" s="1" t="inlineStr">
        <is>
          <t>ALL</t>
        </is>
      </c>
      <c r="D21" s="1" t="inlineStr">
        <is>
          <t>0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</t>
        </is>
      </c>
      <c r="H21" s="1" t="inlineStr">
        <is>
          <t>0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0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</t>
        </is>
      </c>
      <c r="S21" s="1" t="inlineStr">
        <is>
          <t>0</t>
        </is>
      </c>
      <c r="T21" s="1" t="inlineStr">
        <is>
          <t>0</t>
        </is>
      </c>
      <c r="U21" s="1" t="inlineStr">
        <is>
          <t>0</t>
        </is>
      </c>
      <c r="V21" s="1" t="inlineStr">
        <is>
          <t>0</t>
        </is>
      </c>
      <c r="W21" s="1" t="inlineStr">
        <is>
          <t>0</t>
        </is>
      </c>
      <c r="X21" s="1" t="inlineStr">
        <is>
          <t>0</t>
        </is>
      </c>
      <c r="Y21" s="1" t="inlineStr">
        <is>
          <t>0</t>
        </is>
      </c>
      <c r="Z21" s="1" t="inlineStr">
        <is>
          <t>0</t>
        </is>
      </c>
      <c r="AA21" s="1" t="inlineStr">
        <is>
          <t>0</t>
        </is>
      </c>
      <c r="AB21" s="1" t="inlineStr">
        <is>
          <t>0</t>
        </is>
      </c>
      <c r="AC21" s="1" t="inlineStr">
        <is>
          <t>0</t>
        </is>
      </c>
      <c r="AD21" s="1" t="inlineStr">
        <is>
          <t>0</t>
        </is>
      </c>
      <c r="AE21" s="1" t="inlineStr">
        <is>
          <t>0</t>
        </is>
      </c>
      <c r="AF21" s="1" t="inlineStr">
        <is>
          <t>0</t>
        </is>
      </c>
      <c r="AG21" s="1" t="inlineStr">
        <is>
          <t>0</t>
        </is>
      </c>
      <c r="AH21" s="1" t="inlineStr">
        <is>
          <t>0</t>
        </is>
      </c>
      <c r="AI21" s="1" t="inlineStr">
        <is>
          <t>0</t>
        </is>
      </c>
      <c r="AJ21" s="465">
        <v>43056.22959625</v>
      </c>
    </row>
    <row spans="1:36" outlineLevel="0" r="22">
      <c r="A22" s="466" t="inlineStr">
        <is>
          <t>202610</t>
        </is>
      </c>
      <c r="B22" s="466" t="inlineStr">
        <is>
          <t>21-6</t>
        </is>
      </c>
      <c r="C22" s="466" t="inlineStr">
        <is>
          <t>ALL</t>
        </is>
      </c>
      <c r="D22" s="466" t="inlineStr">
        <is>
          <t>94.4</t>
        </is>
      </c>
      <c r="E22" s="466" t="inlineStr">
        <is>
          <t>96.8</t>
        </is>
      </c>
      <c r="F22" s="466" t="inlineStr">
        <is>
          <t>97.3</t>
        </is>
      </c>
      <c r="G22" s="466" t="inlineStr">
        <is>
          <t>0</t>
        </is>
      </c>
      <c r="H22" s="466" t="inlineStr">
        <is>
          <t>95.6</t>
        </is>
      </c>
      <c r="I22" s="466" t="inlineStr">
        <is>
          <t>96.9</t>
        </is>
      </c>
      <c r="J22" s="466" t="inlineStr">
        <is>
          <t>84.7</t>
        </is>
      </c>
      <c r="K22" s="466" t="inlineStr">
        <is>
          <t>92.8</t>
        </is>
      </c>
      <c r="L22" s="466" t="inlineStr">
        <is>
          <t>0</t>
        </is>
      </c>
      <c r="M22" s="466" t="inlineStr">
        <is>
          <t>0</t>
        </is>
      </c>
      <c r="N22" s="466" t="inlineStr">
        <is>
          <t>0</t>
        </is>
      </c>
      <c r="O22" s="466" t="inlineStr">
        <is>
          <t>90.3</t>
        </is>
      </c>
      <c r="P22" s="466" t="inlineStr">
        <is>
          <t>96.7</t>
        </is>
      </c>
      <c r="Q22" s="466" t="inlineStr">
        <is>
          <t>93.2</t>
        </is>
      </c>
      <c r="R22" s="466" t="inlineStr">
        <is>
          <t>96</t>
        </is>
      </c>
      <c r="S22" s="466" t="inlineStr">
        <is>
          <t>98.4</t>
        </is>
      </c>
      <c r="T22" s="466" t="inlineStr">
        <is>
          <t>97</t>
        </is>
      </c>
      <c r="U22" s="466" t="inlineStr">
        <is>
          <t>0</t>
        </is>
      </c>
      <c r="V22" s="466" t="inlineStr">
        <is>
          <t>95.6</t>
        </is>
      </c>
      <c r="W22" s="466" t="inlineStr">
        <is>
          <t>90.9</t>
        </is>
      </c>
      <c r="X22" s="466" t="inlineStr">
        <is>
          <t>89.2</t>
        </is>
      </c>
      <c r="Y22" s="466" t="inlineStr">
        <is>
          <t>93.6</t>
        </is>
      </c>
      <c r="Z22" s="466" t="inlineStr">
        <is>
          <t>0</t>
        </is>
      </c>
      <c r="AA22" s="466" t="inlineStr">
        <is>
          <t>100</t>
        </is>
      </c>
      <c r="AB22" s="466" t="inlineStr">
        <is>
          <t>0</t>
        </is>
      </c>
      <c r="AC22" s="466" t="inlineStr">
        <is>
          <t>0</t>
        </is>
      </c>
      <c r="AD22" s="466" t="inlineStr">
        <is>
          <t>85.6</t>
        </is>
      </c>
      <c r="AE22" s="466" t="inlineStr">
        <is>
          <t>94.8</t>
        </is>
      </c>
      <c r="AF22" s="466" t="inlineStr">
        <is>
          <t>97.3</t>
        </is>
      </c>
      <c r="AG22" s="466" t="inlineStr">
        <is>
          <t>95.8</t>
        </is>
      </c>
      <c r="AH22" s="466" t="inlineStr">
        <is>
          <t>0</t>
        </is>
      </c>
      <c r="AI22" s="466" t="inlineStr">
        <is>
          <t>93.5</t>
        </is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C00-000000000000}">
  <dimension ref="A1:AI22"/>
  <sheetViews>
    <sheetView workbookViewId="0" rightToLeft="false">
      <selection activeCell="L9" sqref="L9"/>
    </sheetView>
  </sheetViews>
  <sheetFormatPr defaultRowHeight="17"/>
  <sheetData>
    <row spans="1:35" outlineLevel="0" r="1">
      <c r="A1" s="1" t="inlineStr">
        <is>
          <t>YYMM</t>
        </is>
      </c>
      <c r="B1" s="1" t="inlineStr">
        <is>
          <t>FRCD</t>
        </is>
      </c>
      <c r="C1" s="1" t="inlineStr">
        <is>
          <t>DATE01</t>
        </is>
      </c>
      <c r="D1" s="1" t="inlineStr">
        <is>
          <t>DATE02</t>
        </is>
      </c>
      <c r="E1" s="1" t="inlineStr">
        <is>
          <t>DATE03</t>
        </is>
      </c>
      <c r="F1" s="1" t="inlineStr">
        <is>
          <t>DATE04</t>
        </is>
      </c>
      <c r="G1" s="1" t="inlineStr">
        <is>
          <t>DATE05</t>
        </is>
      </c>
      <c r="H1" s="1" t="inlineStr">
        <is>
          <t>DATE06</t>
        </is>
      </c>
      <c r="I1" s="1" t="inlineStr">
        <is>
          <t>DATE07</t>
        </is>
      </c>
      <c r="J1" s="1" t="inlineStr">
        <is>
          <t>DATE08</t>
        </is>
      </c>
      <c r="K1" s="1" t="inlineStr">
        <is>
          <t>DATE09</t>
        </is>
      </c>
      <c r="L1" s="1" t="inlineStr">
        <is>
          <t>DATE10</t>
        </is>
      </c>
      <c r="M1" s="1" t="inlineStr">
        <is>
          <t>DATE11</t>
        </is>
      </c>
      <c r="N1" s="1" t="inlineStr">
        <is>
          <t>DATE12</t>
        </is>
      </c>
      <c r="O1" s="1" t="inlineStr">
        <is>
          <t>DATE13</t>
        </is>
      </c>
      <c r="P1" s="1" t="inlineStr">
        <is>
          <t>DATE14</t>
        </is>
      </c>
      <c r="Q1" s="1" t="inlineStr">
        <is>
          <t>DATE15</t>
        </is>
      </c>
      <c r="R1" s="1" t="inlineStr">
        <is>
          <t>DATE16</t>
        </is>
      </c>
      <c r="S1" s="1" t="inlineStr">
        <is>
          <t>DATE17</t>
        </is>
      </c>
      <c r="T1" s="1" t="inlineStr">
        <is>
          <t>DATE18</t>
        </is>
      </c>
      <c r="U1" s="1" t="inlineStr">
        <is>
          <t>DATE19</t>
        </is>
      </c>
      <c r="V1" s="1" t="inlineStr">
        <is>
          <t>DATE20</t>
        </is>
      </c>
      <c r="W1" s="1" t="inlineStr">
        <is>
          <t>DATE21</t>
        </is>
      </c>
      <c r="X1" s="1" t="inlineStr">
        <is>
          <t>DATE22</t>
        </is>
      </c>
      <c r="Y1" s="1" t="inlineStr">
        <is>
          <t>DATE23</t>
        </is>
      </c>
      <c r="Z1" s="1" t="inlineStr">
        <is>
          <t>DATE24</t>
        </is>
      </c>
      <c r="AA1" s="1" t="inlineStr">
        <is>
          <t>DATE25</t>
        </is>
      </c>
      <c r="AB1" s="1" t="inlineStr">
        <is>
          <t>DATE26</t>
        </is>
      </c>
      <c r="AC1" s="1" t="inlineStr">
        <is>
          <t>DATE27</t>
        </is>
      </c>
      <c r="AD1" s="1" t="inlineStr">
        <is>
          <t>DATE28</t>
        </is>
      </c>
      <c r="AE1" s="1" t="inlineStr">
        <is>
          <t>DATE29</t>
        </is>
      </c>
      <c r="AF1" s="1" t="inlineStr">
        <is>
          <t>DATE30</t>
        </is>
      </c>
      <c r="AG1" s="1" t="inlineStr">
        <is>
          <t>DATE31</t>
        </is>
      </c>
      <c r="AH1" s="1" t="inlineStr">
        <is>
          <t>SUMITEMS</t>
        </is>
      </c>
    </row>
    <row spans="1:35" outlineLevel="0" r="2">
      <c r="A2" s="1" t="inlineStr">
        <is>
          <t>202610</t>
        </is>
      </c>
      <c r="B2" s="275" t="inlineStr">
        <is>
          <t>01-A</t>
        </is>
      </c>
      <c r="C2" s="1" t="inlineStr">
        <is>
          <t>426.00</t>
        </is>
      </c>
      <c r="D2" s="1" t="inlineStr">
        <is>
          <t>374.00</t>
        </is>
      </c>
      <c r="E2" s="1" t="inlineStr">
        <is>
          <t>230.00</t>
        </is>
      </c>
      <c r="F2" s="1" t="inlineStr">
        <is>
          <t>.00</t>
        </is>
      </c>
      <c r="G2" s="1" t="inlineStr">
        <is>
          <t>472.00</t>
        </is>
      </c>
      <c r="H2" s="1" t="inlineStr">
        <is>
          <t>421.00</t>
        </is>
      </c>
      <c r="I2" s="1"/>
      <c r="J2" s="1" t="inlineStr">
        <is>
          <t>335.00</t>
        </is>
      </c>
      <c r="K2" s="1" t="inlineStr">
        <is>
          <t>.00</t>
        </is>
      </c>
      <c r="L2" s="1" t="inlineStr">
        <is>
          <t>.00</t>
        </is>
      </c>
      <c r="M2" s="1" t="inlineStr">
        <is>
          <t>.00</t>
        </is>
      </c>
      <c r="N2" s="1" t="inlineStr">
        <is>
          <t>693.00</t>
        </is>
      </c>
      <c r="O2" s="1" t="inlineStr">
        <is>
          <t>560.00</t>
        </is>
      </c>
      <c r="P2" s="1" t="inlineStr">
        <is>
          <t>520.00</t>
        </is>
      </c>
      <c r="Q2" s="1" t="inlineStr">
        <is>
          <t>482.00</t>
        </is>
      </c>
      <c r="R2" s="1" t="inlineStr">
        <is>
          <t>381.00</t>
        </is>
      </c>
      <c r="S2" s="1" t="inlineStr">
        <is>
          <t>288.00</t>
        </is>
      </c>
      <c r="T2" s="1" t="inlineStr">
        <is>
          <t>.00</t>
        </is>
      </c>
      <c r="U2" s="1" t="inlineStr">
        <is>
          <t>333.00</t>
        </is>
      </c>
      <c r="V2" s="1" t="inlineStr">
        <is>
          <t>474.00</t>
        </is>
      </c>
      <c r="W2" s="1" t="inlineStr">
        <is>
          <t>377.00</t>
        </is>
      </c>
      <c r="X2" s="1" t="inlineStr">
        <is>
          <t>473.00</t>
        </is>
      </c>
      <c r="Y2" s="1" t="inlineStr">
        <is>
          <t>.00</t>
        </is>
      </c>
      <c r="Z2" s="1" t="inlineStr">
        <is>
          <t>.00</t>
        </is>
      </c>
      <c r="AA2" s="1" t="inlineStr">
        <is>
          <t>.00</t>
        </is>
      </c>
      <c r="AB2" s="1" t="inlineStr">
        <is>
          <t>.00</t>
        </is>
      </c>
      <c r="AC2" s="1" t="inlineStr">
        <is>
          <t>877.00</t>
        </is>
      </c>
      <c r="AD2" s="1" t="inlineStr">
        <is>
          <t>602.00</t>
        </is>
      </c>
      <c r="AE2" s="1" t="inlineStr">
        <is>
          <t>497.00</t>
        </is>
      </c>
      <c r="AF2" s="1" t="inlineStr">
        <is>
          <t>458.00</t>
        </is>
      </c>
      <c r="AG2" s="1" t="inlineStr">
        <is>
          <t>.00</t>
        </is>
      </c>
      <c r="AH2" s="1" t="inlineStr">
        <is>
          <t>9641</t>
        </is>
      </c>
      <c r="AI2" s="465">
        <v>43056.2297915741</v>
      </c>
    </row>
    <row spans="1:35" outlineLevel="0" r="3">
      <c r="A3" s="1" t="inlineStr">
        <is>
          <t>202610</t>
        </is>
      </c>
      <c r="B3" s="275" t="inlineStr">
        <is>
          <t>02-D</t>
        </is>
      </c>
      <c r="C3" s="1" t="inlineStr">
        <is>
          <t>83.00</t>
        </is>
      </c>
      <c r="D3" s="1" t="inlineStr">
        <is>
          <t>67.00</t>
        </is>
      </c>
      <c r="E3" s="1" t="inlineStr">
        <is>
          <t>37.00</t>
        </is>
      </c>
      <c r="F3" s="1" t="inlineStr">
        <is>
          <t>.00</t>
        </is>
      </c>
      <c r="G3" s="1" t="inlineStr">
        <is>
          <t>48.00</t>
        </is>
      </c>
      <c r="H3" s="1" t="inlineStr">
        <is>
          <t>41.00</t>
        </is>
      </c>
      <c r="I3" s="1"/>
      <c r="J3" s="1" t="inlineStr">
        <is>
          <t>75.00</t>
        </is>
      </c>
      <c r="K3" s="1" t="inlineStr">
        <is>
          <t>.00</t>
        </is>
      </c>
      <c r="L3" s="1" t="inlineStr">
        <is>
          <t>.00</t>
        </is>
      </c>
      <c r="M3" s="1" t="inlineStr">
        <is>
          <t>.00</t>
        </is>
      </c>
      <c r="N3" s="1" t="inlineStr">
        <is>
          <t>90.00</t>
        </is>
      </c>
      <c r="O3" s="1" t="inlineStr">
        <is>
          <t>62.00</t>
        </is>
      </c>
      <c r="P3" s="1" t="inlineStr">
        <is>
          <t>68.00</t>
        </is>
      </c>
      <c r="Q3" s="1" t="inlineStr">
        <is>
          <t>43.00</t>
        </is>
      </c>
      <c r="R3" s="1" t="inlineStr">
        <is>
          <t>45.00</t>
        </is>
      </c>
      <c r="S3" s="1" t="inlineStr">
        <is>
          <t>26.00</t>
        </is>
      </c>
      <c r="T3" s="1" t="inlineStr">
        <is>
          <t>.00</t>
        </is>
      </c>
      <c r="U3" s="1" t="inlineStr">
        <is>
          <t>48.00</t>
        </is>
      </c>
      <c r="V3" s="1" t="inlineStr">
        <is>
          <t>45.00</t>
        </is>
      </c>
      <c r="W3" s="1" t="inlineStr">
        <is>
          <t>46.00</t>
        </is>
      </c>
      <c r="X3" s="1" t="inlineStr">
        <is>
          <t>47.00</t>
        </is>
      </c>
      <c r="Y3" s="1" t="inlineStr">
        <is>
          <t>.00</t>
        </is>
      </c>
      <c r="Z3" s="1" t="inlineStr">
        <is>
          <t>.00</t>
        </is>
      </c>
      <c r="AA3" s="1" t="inlineStr">
        <is>
          <t>.00</t>
        </is>
      </c>
      <c r="AB3" s="1" t="inlineStr">
        <is>
          <t>.00</t>
        </is>
      </c>
      <c r="AC3" s="1" t="inlineStr">
        <is>
          <t>74.00</t>
        </is>
      </c>
      <c r="AD3" s="1" t="inlineStr">
        <is>
          <t>78.00</t>
        </is>
      </c>
      <c r="AE3" s="1" t="inlineStr">
        <is>
          <t>53.00</t>
        </is>
      </c>
      <c r="AF3" s="1" t="inlineStr">
        <is>
          <t>40.00</t>
        </is>
      </c>
      <c r="AG3" s="1" t="inlineStr">
        <is>
          <t>.00</t>
        </is>
      </c>
      <c r="AH3" s="1" t="inlineStr">
        <is>
          <t>1179</t>
        </is>
      </c>
      <c r="AI3" s="465">
        <v>43056.2297915741</v>
      </c>
    </row>
    <row spans="1:35" outlineLevel="0" r="4">
      <c r="A4" s="1" t="inlineStr">
        <is>
          <t>202610</t>
        </is>
      </c>
      <c r="B4" s="275" t="inlineStr">
        <is>
          <t>03-J</t>
        </is>
      </c>
      <c r="C4" s="1" t="inlineStr">
        <is>
          <t>3.00</t>
        </is>
      </c>
      <c r="D4" s="1" t="inlineStr">
        <is>
          <t>2.00</t>
        </is>
      </c>
      <c r="E4" s="1" t="inlineStr">
        <is>
          <t>4.00</t>
        </is>
      </c>
      <c r="F4" s="1" t="inlineStr">
        <is>
          <t>.00</t>
        </is>
      </c>
      <c r="G4" s="1" t="inlineStr">
        <is>
          <t>8.00</t>
        </is>
      </c>
      <c r="H4" s="1" t="inlineStr">
        <is>
          <t>.00</t>
        </is>
      </c>
      <c r="I4" s="1"/>
      <c r="J4" s="1" t="inlineStr">
        <is>
          <t>.00</t>
        </is>
      </c>
      <c r="K4" s="1" t="inlineStr">
        <is>
          <t>.00</t>
        </is>
      </c>
      <c r="L4" s="1" t="inlineStr">
        <is>
          <t>.00</t>
        </is>
      </c>
      <c r="M4" s="1" t="inlineStr">
        <is>
          <t>.00</t>
        </is>
      </c>
      <c r="N4" s="1" t="inlineStr">
        <is>
          <t>10.00</t>
        </is>
      </c>
      <c r="O4" s="1" t="inlineStr">
        <is>
          <t>.00</t>
        </is>
      </c>
      <c r="P4" s="1" t="inlineStr">
        <is>
          <t>.00</t>
        </is>
      </c>
      <c r="Q4" s="1" t="inlineStr">
        <is>
          <t>.00</t>
        </is>
      </c>
      <c r="R4" s="1" t="inlineStr">
        <is>
          <t>.00</t>
        </is>
      </c>
      <c r="S4" s="1" t="inlineStr">
        <is>
          <t>3.00</t>
        </is>
      </c>
      <c r="T4" s="1" t="inlineStr">
        <is>
          <t>.00</t>
        </is>
      </c>
      <c r="U4" s="1" t="inlineStr">
        <is>
          <t>4.00</t>
        </is>
      </c>
      <c r="V4" s="1" t="inlineStr">
        <is>
          <t>11.00</t>
        </is>
      </c>
      <c r="W4" s="1" t="inlineStr">
        <is>
          <t>2.00</t>
        </is>
      </c>
      <c r="X4" s="1" t="inlineStr">
        <is>
          <t>.00</t>
        </is>
      </c>
      <c r="Y4" s="1" t="inlineStr">
        <is>
          <t>.00</t>
        </is>
      </c>
      <c r="Z4" s="1" t="inlineStr">
        <is>
          <t>.00</t>
        </is>
      </c>
      <c r="AA4" s="1" t="inlineStr">
        <is>
          <t>.00</t>
        </is>
      </c>
      <c r="AB4" s="1" t="inlineStr">
        <is>
          <t>.00</t>
        </is>
      </c>
      <c r="AC4" s="1" t="inlineStr">
        <is>
          <t>.00</t>
        </is>
      </c>
      <c r="AD4" s="1" t="inlineStr">
        <is>
          <t>.00</t>
        </is>
      </c>
      <c r="AE4" s="1" t="inlineStr">
        <is>
          <t>.00</t>
        </is>
      </c>
      <c r="AF4" s="1" t="inlineStr">
        <is>
          <t>.00</t>
        </is>
      </c>
      <c r="AG4" s="1" t="inlineStr">
        <is>
          <t>.00</t>
        </is>
      </c>
      <c r="AH4" s="1" t="inlineStr">
        <is>
          <t>47</t>
        </is>
      </c>
      <c r="AI4" s="465">
        <v>43056.2297915741</v>
      </c>
    </row>
    <row spans="1:35" outlineLevel="0" r="5">
      <c r="A5" s="1" t="inlineStr">
        <is>
          <t>202610</t>
        </is>
      </c>
      <c r="B5" s="275" t="inlineStr">
        <is>
          <t>04-O</t>
        </is>
      </c>
      <c r="C5" s="1" t="inlineStr">
        <is>
          <t>3.00</t>
        </is>
      </c>
      <c r="D5" s="1" t="inlineStr">
        <is>
          <t>.00</t>
        </is>
      </c>
      <c r="E5" s="1" t="inlineStr">
        <is>
          <t>2.00</t>
        </is>
      </c>
      <c r="F5" s="1" t="inlineStr">
        <is>
          <t>.00</t>
        </is>
      </c>
      <c r="G5" s="1" t="inlineStr">
        <is>
          <t>5.00</t>
        </is>
      </c>
      <c r="H5" s="1" t="inlineStr">
        <is>
          <t>2.00</t>
        </is>
      </c>
      <c r="I5" s="1"/>
      <c r="J5" s="1" t="inlineStr">
        <is>
          <t>2.00</t>
        </is>
      </c>
      <c r="K5" s="1" t="inlineStr">
        <is>
          <t>.00</t>
        </is>
      </c>
      <c r="L5" s="1" t="inlineStr">
        <is>
          <t>.00</t>
        </is>
      </c>
      <c r="M5" s="1" t="inlineStr">
        <is>
          <t>.00</t>
        </is>
      </c>
      <c r="N5" s="1" t="inlineStr">
        <is>
          <t>2.00</t>
        </is>
      </c>
      <c r="O5" s="1" t="inlineStr">
        <is>
          <t>4.00</t>
        </is>
      </c>
      <c r="P5" s="1" t="inlineStr">
        <is>
          <t>1.00</t>
        </is>
      </c>
      <c r="Q5" s="1" t="inlineStr">
        <is>
          <t>.00</t>
        </is>
      </c>
      <c r="R5" s="1" t="inlineStr">
        <is>
          <t>4.00</t>
        </is>
      </c>
      <c r="S5" s="1" t="inlineStr">
        <is>
          <t>1.00</t>
        </is>
      </c>
      <c r="T5" s="1" t="inlineStr">
        <is>
          <t>.00</t>
        </is>
      </c>
      <c r="U5" s="1" t="inlineStr">
        <is>
          <t>2.00</t>
        </is>
      </c>
      <c r="V5" s="1" t="inlineStr">
        <is>
          <t>1.00</t>
        </is>
      </c>
      <c r="W5" s="1" t="inlineStr">
        <is>
          <t>.00</t>
        </is>
      </c>
      <c r="X5" s="1" t="inlineStr">
        <is>
          <t>4.00</t>
        </is>
      </c>
      <c r="Y5" s="1" t="inlineStr">
        <is>
          <t>.00</t>
        </is>
      </c>
      <c r="Z5" s="1" t="inlineStr">
        <is>
          <t>.00</t>
        </is>
      </c>
      <c r="AA5" s="1" t="inlineStr">
        <is>
          <t>.00</t>
        </is>
      </c>
      <c r="AB5" s="1" t="inlineStr">
        <is>
          <t>.00</t>
        </is>
      </c>
      <c r="AC5" s="1" t="inlineStr">
        <is>
          <t>3.00</t>
        </is>
      </c>
      <c r="AD5" s="1" t="inlineStr">
        <is>
          <t>1.00</t>
        </is>
      </c>
      <c r="AE5" s="1" t="inlineStr">
        <is>
          <t>.00</t>
        </is>
      </c>
      <c r="AF5" s="1" t="inlineStr">
        <is>
          <t>1.00</t>
        </is>
      </c>
      <c r="AG5" s="1" t="inlineStr">
        <is>
          <t>.00</t>
        </is>
      </c>
      <c r="AH5" s="1" t="inlineStr">
        <is>
          <t>39</t>
        </is>
      </c>
      <c r="AI5" s="465">
        <v>43056.2297915741</v>
      </c>
    </row>
    <row spans="1:35" outlineLevel="0" r="6">
      <c r="A6" s="1" t="inlineStr">
        <is>
          <t>202610</t>
        </is>
      </c>
      <c r="B6" s="275" t="inlineStr">
        <is>
          <t>05-N</t>
        </is>
      </c>
      <c r="C6" s="1" t="inlineStr">
        <is>
          <t>13.00</t>
        </is>
      </c>
      <c r="D6" s="1" t="inlineStr">
        <is>
          <t>14.00</t>
        </is>
      </c>
      <c r="E6" s="1" t="inlineStr">
        <is>
          <t>7.00</t>
        </is>
      </c>
      <c r="F6" s="1" t="inlineStr">
        <is>
          <t>.00</t>
        </is>
      </c>
      <c r="G6" s="1" t="inlineStr">
        <is>
          <t>17.00</t>
        </is>
      </c>
      <c r="H6" s="1" t="inlineStr">
        <is>
          <t>42.00</t>
        </is>
      </c>
      <c r="I6" s="1"/>
      <c r="J6" s="1" t="inlineStr">
        <is>
          <t>16.00</t>
        </is>
      </c>
      <c r="K6" s="1" t="inlineStr">
        <is>
          <t>.00</t>
        </is>
      </c>
      <c r="L6" s="1" t="inlineStr">
        <is>
          <t>.00</t>
        </is>
      </c>
      <c r="M6" s="1" t="inlineStr">
        <is>
          <t>.00</t>
        </is>
      </c>
      <c r="N6" s="1" t="inlineStr">
        <is>
          <t>57.00</t>
        </is>
      </c>
      <c r="O6" s="1" t="inlineStr">
        <is>
          <t>70.00</t>
        </is>
      </c>
      <c r="P6" s="1" t="inlineStr">
        <is>
          <t>42.00</t>
        </is>
      </c>
      <c r="Q6" s="1" t="inlineStr">
        <is>
          <t>22.00</t>
        </is>
      </c>
      <c r="R6" s="1" t="inlineStr">
        <is>
          <t>25.00</t>
        </is>
      </c>
      <c r="S6" s="1" t="inlineStr">
        <is>
          <t>6.00</t>
        </is>
      </c>
      <c r="T6" s="1" t="inlineStr">
        <is>
          <t>.00</t>
        </is>
      </c>
      <c r="U6" s="1" t="inlineStr">
        <is>
          <t>11.00</t>
        </is>
      </c>
      <c r="V6" s="1" t="inlineStr">
        <is>
          <t>14.00</t>
        </is>
      </c>
      <c r="W6" s="1" t="inlineStr">
        <is>
          <t>21.00</t>
        </is>
      </c>
      <c r="X6" s="1" t="inlineStr">
        <is>
          <t>17.00</t>
        </is>
      </c>
      <c r="Y6" s="1" t="inlineStr">
        <is>
          <t>.00</t>
        </is>
      </c>
      <c r="Z6" s="1" t="inlineStr">
        <is>
          <t>.00</t>
        </is>
      </c>
      <c r="AA6" s="1" t="inlineStr">
        <is>
          <t>.00</t>
        </is>
      </c>
      <c r="AB6" s="1" t="inlineStr">
        <is>
          <t>.00</t>
        </is>
      </c>
      <c r="AC6" s="1" t="inlineStr">
        <is>
          <t>38.00</t>
        </is>
      </c>
      <c r="AD6" s="1" t="inlineStr">
        <is>
          <t>4.00</t>
        </is>
      </c>
      <c r="AE6" s="1" t="inlineStr">
        <is>
          <t>12.00</t>
        </is>
      </c>
      <c r="AF6" s="1" t="inlineStr">
        <is>
          <t>8.00</t>
        </is>
      </c>
      <c r="AG6" s="1" t="inlineStr">
        <is>
          <t>.00</t>
        </is>
      </c>
      <c r="AH6" s="1" t="inlineStr">
        <is>
          <t>487</t>
        </is>
      </c>
      <c r="AI6" s="465">
        <v>43056.2297915741</v>
      </c>
    </row>
    <row spans="1:35" outlineLevel="0" r="7">
      <c r="A7" s="1" t="inlineStr">
        <is>
          <t>202610</t>
        </is>
      </c>
      <c r="B7" s="275" t="inlineStr">
        <is>
          <t>06-C</t>
        </is>
      </c>
      <c r="C7" s="1" t="inlineStr">
        <is>
          <t>.00</t>
        </is>
      </c>
      <c r="D7" s="1" t="inlineStr">
        <is>
          <t>.00</t>
        </is>
      </c>
      <c r="E7" s="1" t="inlineStr">
        <is>
          <t>.00</t>
        </is>
      </c>
      <c r="F7" s="1" t="inlineStr">
        <is>
          <t>.00</t>
        </is>
      </c>
      <c r="G7" s="1" t="inlineStr">
        <is>
          <t>.00</t>
        </is>
      </c>
      <c r="H7" s="1" t="inlineStr">
        <is>
          <t>.00</t>
        </is>
      </c>
      <c r="I7" s="1"/>
      <c r="J7" s="1" t="inlineStr">
        <is>
          <t>.00</t>
        </is>
      </c>
      <c r="K7" s="1" t="inlineStr">
        <is>
          <t>.00</t>
        </is>
      </c>
      <c r="L7" s="1" t="inlineStr">
        <is>
          <t>.00</t>
        </is>
      </c>
      <c r="M7" s="1" t="inlineStr">
        <is>
          <t>.00</t>
        </is>
      </c>
      <c r="N7" s="1" t="inlineStr">
        <is>
          <t>.00</t>
        </is>
      </c>
      <c r="O7" s="1" t="inlineStr">
        <is>
          <t>.00</t>
        </is>
      </c>
      <c r="P7" s="1" t="inlineStr">
        <is>
          <t>.00</t>
        </is>
      </c>
      <c r="Q7" s="1" t="inlineStr">
        <is>
          <t>.00</t>
        </is>
      </c>
      <c r="R7" s="1" t="inlineStr">
        <is>
          <t>.00</t>
        </is>
      </c>
      <c r="S7" s="1" t="inlineStr">
        <is>
          <t>.00</t>
        </is>
      </c>
      <c r="T7" s="1" t="inlineStr">
        <is>
          <t>.00</t>
        </is>
      </c>
      <c r="U7" s="1" t="inlineStr">
        <is>
          <t>.00</t>
        </is>
      </c>
      <c r="V7" s="1" t="inlineStr">
        <is>
          <t>.00</t>
        </is>
      </c>
      <c r="W7" s="1" t="inlineStr">
        <is>
          <t>.00</t>
        </is>
      </c>
      <c r="X7" s="1" t="inlineStr">
        <is>
          <t>.00</t>
        </is>
      </c>
      <c r="Y7" s="1" t="inlineStr">
        <is>
          <t>.00</t>
        </is>
      </c>
      <c r="Z7" s="1" t="inlineStr">
        <is>
          <t>.00</t>
        </is>
      </c>
      <c r="AA7" s="1" t="inlineStr">
        <is>
          <t>.00</t>
        </is>
      </c>
      <c r="AB7" s="1" t="inlineStr">
        <is>
          <t>.00</t>
        </is>
      </c>
      <c r="AC7" s="1" t="inlineStr">
        <is>
          <t>.00</t>
        </is>
      </c>
      <c r="AD7" s="1" t="inlineStr">
        <is>
          <t>.00</t>
        </is>
      </c>
      <c r="AE7" s="1" t="inlineStr">
        <is>
          <t>.00</t>
        </is>
      </c>
      <c r="AF7" s="1" t="inlineStr">
        <is>
          <t>.00</t>
        </is>
      </c>
      <c r="AG7" s="1" t="inlineStr">
        <is>
          <t>.00</t>
        </is>
      </c>
      <c r="AH7" s="1" t="inlineStr">
        <is>
          <t>0</t>
        </is>
      </c>
      <c r="AI7" s="465">
        <v>43056.2297915741</v>
      </c>
    </row>
    <row spans="1:35" outlineLevel="0" r="8">
      <c r="A8" s="1" t="inlineStr">
        <is>
          <t>202610</t>
        </is>
      </c>
      <c r="B8" s="275" t="inlineStr">
        <is>
          <t>07-H</t>
        </is>
      </c>
      <c r="C8" s="1" t="inlineStr">
        <is>
          <t>1.00</t>
        </is>
      </c>
      <c r="D8" s="1" t="inlineStr">
        <is>
          <t>1.00</t>
        </is>
      </c>
      <c r="E8" s="1" t="inlineStr">
        <is>
          <t>2.00</t>
        </is>
      </c>
      <c r="F8" s="1" t="inlineStr">
        <is>
          <t>.00</t>
        </is>
      </c>
      <c r="G8" s="1" t="inlineStr">
        <is>
          <t>.00</t>
        </is>
      </c>
      <c r="H8" s="1" t="inlineStr">
        <is>
          <t>8.00</t>
        </is>
      </c>
      <c r="I8" s="1"/>
      <c r="J8" s="1" t="inlineStr">
        <is>
          <t>1.00</t>
        </is>
      </c>
      <c r="K8" s="1" t="inlineStr">
        <is>
          <t>.00</t>
        </is>
      </c>
      <c r="L8" s="1" t="inlineStr">
        <is>
          <t>.00</t>
        </is>
      </c>
      <c r="M8" s="1" t="inlineStr">
        <is>
          <t>.00</t>
        </is>
      </c>
      <c r="N8" s="1" t="inlineStr">
        <is>
          <t>16.00</t>
        </is>
      </c>
      <c r="O8" s="1" t="inlineStr">
        <is>
          <t>3.00</t>
        </is>
      </c>
      <c r="P8" s="1" t="inlineStr">
        <is>
          <t>.00</t>
        </is>
      </c>
      <c r="Q8" s="1" t="inlineStr">
        <is>
          <t>2.00</t>
        </is>
      </c>
      <c r="R8" s="1" t="inlineStr">
        <is>
          <t>.00</t>
        </is>
      </c>
      <c r="S8" s="1" t="inlineStr">
        <is>
          <t>.00</t>
        </is>
      </c>
      <c r="T8" s="1" t="inlineStr">
        <is>
          <t>.00</t>
        </is>
      </c>
      <c r="U8" s="1" t="inlineStr">
        <is>
          <t>1.00</t>
        </is>
      </c>
      <c r="V8" s="1" t="inlineStr">
        <is>
          <t>2.00</t>
        </is>
      </c>
      <c r="W8" s="1" t="inlineStr">
        <is>
          <t>1.00</t>
        </is>
      </c>
      <c r="X8" s="1" t="inlineStr">
        <is>
          <t>4.00</t>
        </is>
      </c>
      <c r="Y8" s="1" t="inlineStr">
        <is>
          <t>.00</t>
        </is>
      </c>
      <c r="Z8" s="1" t="inlineStr">
        <is>
          <t>.00</t>
        </is>
      </c>
      <c r="AA8" s="1" t="inlineStr">
        <is>
          <t>.00</t>
        </is>
      </c>
      <c r="AB8" s="1" t="inlineStr">
        <is>
          <t>.00</t>
        </is>
      </c>
      <c r="AC8" s="1" t="inlineStr">
        <is>
          <t>13.00</t>
        </is>
      </c>
      <c r="AD8" s="1" t="inlineStr">
        <is>
          <t>4.00</t>
        </is>
      </c>
      <c r="AE8" s="1" t="inlineStr">
        <is>
          <t>.00</t>
        </is>
      </c>
      <c r="AF8" s="1" t="inlineStr">
        <is>
          <t>2.00</t>
        </is>
      </c>
      <c r="AG8" s="1" t="inlineStr">
        <is>
          <t>.00</t>
        </is>
      </c>
      <c r="AH8" s="1" t="inlineStr">
        <is>
          <t>63</t>
        </is>
      </c>
      <c r="AI8" s="465">
        <v>43056.2297915741</v>
      </c>
    </row>
    <row spans="1:35" outlineLevel="0" r="9">
      <c r="A9" s="1" t="inlineStr">
        <is>
          <t>202610</t>
        </is>
      </c>
      <c r="B9" s="275" t="inlineStr">
        <is>
          <t>08-Z</t>
        </is>
      </c>
      <c r="C9" s="1" t="inlineStr">
        <is>
          <t>.00</t>
        </is>
      </c>
      <c r="D9" s="1" t="inlineStr">
        <is>
          <t>.00</t>
        </is>
      </c>
      <c r="E9" s="1" t="inlineStr">
        <is>
          <t>.00</t>
        </is>
      </c>
      <c r="F9" s="1" t="inlineStr">
        <is>
          <t>.00</t>
        </is>
      </c>
      <c r="G9" s="1" t="inlineStr">
        <is>
          <t>.00</t>
        </is>
      </c>
      <c r="H9" s="1" t="inlineStr">
        <is>
          <t>1.00</t>
        </is>
      </c>
      <c r="I9" s="1"/>
      <c r="J9" s="1" t="inlineStr">
        <is>
          <t>2.00</t>
        </is>
      </c>
      <c r="K9" s="1" t="inlineStr">
        <is>
          <t>.00</t>
        </is>
      </c>
      <c r="L9" s="1" t="inlineStr">
        <is>
          <t>.00</t>
        </is>
      </c>
      <c r="M9" s="1" t="inlineStr">
        <is>
          <t>.00</t>
        </is>
      </c>
      <c r="N9" s="1" t="inlineStr">
        <is>
          <t>6.00</t>
        </is>
      </c>
      <c r="O9" s="1" t="inlineStr">
        <is>
          <t>2.00</t>
        </is>
      </c>
      <c r="P9" s="1" t="inlineStr">
        <is>
          <t>1.00</t>
        </is>
      </c>
      <c r="Q9" s="1" t="inlineStr">
        <is>
          <t>1.00</t>
        </is>
      </c>
      <c r="R9" s="1" t="inlineStr">
        <is>
          <t>1.00</t>
        </is>
      </c>
      <c r="S9" s="1" t="inlineStr">
        <is>
          <t>2.00</t>
        </is>
      </c>
      <c r="T9" s="1" t="inlineStr">
        <is>
          <t>.00</t>
        </is>
      </c>
      <c r="U9" s="1" t="inlineStr">
        <is>
          <t>.00</t>
        </is>
      </c>
      <c r="V9" s="1" t="inlineStr">
        <is>
          <t>3.00</t>
        </is>
      </c>
      <c r="W9" s="1" t="inlineStr">
        <is>
          <t>.00</t>
        </is>
      </c>
      <c r="X9" s="1" t="inlineStr">
        <is>
          <t>1.00</t>
        </is>
      </c>
      <c r="Y9" s="1" t="inlineStr">
        <is>
          <t>.00</t>
        </is>
      </c>
      <c r="Z9" s="1" t="inlineStr">
        <is>
          <t>.00</t>
        </is>
      </c>
      <c r="AA9" s="1" t="inlineStr">
        <is>
          <t>.00</t>
        </is>
      </c>
      <c r="AB9" s="1" t="inlineStr">
        <is>
          <t>.00</t>
        </is>
      </c>
      <c r="AC9" s="1" t="inlineStr">
        <is>
          <t>1.00</t>
        </is>
      </c>
      <c r="AD9" s="1" t="inlineStr">
        <is>
          <t>.00</t>
        </is>
      </c>
      <c r="AE9" s="1" t="inlineStr">
        <is>
          <t>.00</t>
        </is>
      </c>
      <c r="AF9" s="1" t="inlineStr">
        <is>
          <t>.00</t>
        </is>
      </c>
      <c r="AG9" s="1" t="inlineStr">
        <is>
          <t>.00</t>
        </is>
      </c>
      <c r="AH9" s="1" t="inlineStr">
        <is>
          <t>24</t>
        </is>
      </c>
      <c r="AI9" s="465">
        <v>43056.2297915741</v>
      </c>
    </row>
    <row spans="1:35" outlineLevel="0" r="10">
      <c r="A10" s="1" t="inlineStr">
        <is>
          <t>202610</t>
        </is>
      </c>
      <c r="B10" s="275" t="inlineStr">
        <is>
          <t>10-M</t>
        </is>
      </c>
      <c r="C10" s="1" t="inlineStr">
        <is>
          <t>.00</t>
        </is>
      </c>
      <c r="D10" s="1" t="inlineStr">
        <is>
          <t>.00</t>
        </is>
      </c>
      <c r="E10" s="1" t="inlineStr">
        <is>
          <t>1.00</t>
        </is>
      </c>
      <c r="F10" s="1" t="inlineStr">
        <is>
          <t>.00</t>
        </is>
      </c>
      <c r="G10" s="1" t="inlineStr">
        <is>
          <t>1.00</t>
        </is>
      </c>
      <c r="H10" s="1" t="inlineStr">
        <is>
          <t>1.00</t>
        </is>
      </c>
      <c r="I10" s="1"/>
      <c r="J10" s="1" t="inlineStr">
        <is>
          <t>.00</t>
        </is>
      </c>
      <c r="K10" s="1" t="inlineStr">
        <is>
          <t>.00</t>
        </is>
      </c>
      <c r="L10" s="1" t="inlineStr">
        <is>
          <t>.00</t>
        </is>
      </c>
      <c r="M10" s="1" t="inlineStr">
        <is>
          <t>.00</t>
        </is>
      </c>
      <c r="N10" s="1" t="inlineStr">
        <is>
          <t>.00</t>
        </is>
      </c>
      <c r="O10" s="1" t="inlineStr">
        <is>
          <t>.00</t>
        </is>
      </c>
      <c r="P10" s="1" t="inlineStr">
        <is>
          <t>.00</t>
        </is>
      </c>
      <c r="Q10" s="1" t="inlineStr">
        <is>
          <t>1.00</t>
        </is>
      </c>
      <c r="R10" s="1" t="inlineStr">
        <is>
          <t>.00</t>
        </is>
      </c>
      <c r="S10" s="1" t="inlineStr">
        <is>
          <t>.00</t>
        </is>
      </c>
      <c r="T10" s="1" t="inlineStr">
        <is>
          <t>.00</t>
        </is>
      </c>
      <c r="U10" s="1" t="inlineStr">
        <is>
          <t>.00</t>
        </is>
      </c>
      <c r="V10" s="1" t="inlineStr">
        <is>
          <t>2.00</t>
        </is>
      </c>
      <c r="W10" s="1" t="inlineStr">
        <is>
          <t>.00</t>
        </is>
      </c>
      <c r="X10" s="1" t="inlineStr">
        <is>
          <t>.00</t>
        </is>
      </c>
      <c r="Y10" s="1" t="inlineStr">
        <is>
          <t>.00</t>
        </is>
      </c>
      <c r="Z10" s="1" t="inlineStr">
        <is>
          <t>.00</t>
        </is>
      </c>
      <c r="AA10" s="1" t="inlineStr">
        <is>
          <t>.00</t>
        </is>
      </c>
      <c r="AB10" s="1" t="inlineStr">
        <is>
          <t>.00</t>
        </is>
      </c>
      <c r="AC10" s="1" t="inlineStr">
        <is>
          <t>11.00</t>
        </is>
      </c>
      <c r="AD10" s="1" t="inlineStr">
        <is>
          <t>.00</t>
        </is>
      </c>
      <c r="AE10" s="1" t="inlineStr">
        <is>
          <t>1.00</t>
        </is>
      </c>
      <c r="AF10" s="1" t="inlineStr">
        <is>
          <t>.00</t>
        </is>
      </c>
      <c r="AG10" s="1" t="inlineStr">
        <is>
          <t>.00</t>
        </is>
      </c>
      <c r="AH10" s="1" t="inlineStr">
        <is>
          <t>21</t>
        </is>
      </c>
      <c r="AI10" s="465">
        <v>43056.2297915741</v>
      </c>
    </row>
    <row spans="1:35" outlineLevel="0" r="11">
      <c r="A11" s="1" t="inlineStr">
        <is>
          <t>202610</t>
        </is>
      </c>
      <c r="B11" s="275" t="inlineStr">
        <is>
          <t>11-S</t>
        </is>
      </c>
      <c r="C11" s="1" t="inlineStr">
        <is>
          <t>2.00</t>
        </is>
      </c>
      <c r="D11" s="1" t="inlineStr">
        <is>
          <t>7.00</t>
        </is>
      </c>
      <c r="E11" s="1" t="inlineStr">
        <is>
          <t>1.00</t>
        </is>
      </c>
      <c r="F11" s="1" t="inlineStr">
        <is>
          <t>.00</t>
        </is>
      </c>
      <c r="G11" s="1" t="inlineStr">
        <is>
          <t>5.00</t>
        </is>
      </c>
      <c r="H11" s="1" t="inlineStr">
        <is>
          <t>3.00</t>
        </is>
      </c>
      <c r="I11" s="1"/>
      <c r="J11" s="1" t="inlineStr">
        <is>
          <t>7.00</t>
        </is>
      </c>
      <c r="K11" s="1" t="inlineStr">
        <is>
          <t>.00</t>
        </is>
      </c>
      <c r="L11" s="1" t="inlineStr">
        <is>
          <t>.00</t>
        </is>
      </c>
      <c r="M11" s="1" t="inlineStr">
        <is>
          <t>.00</t>
        </is>
      </c>
      <c r="N11" s="1" t="inlineStr">
        <is>
          <t>6.00</t>
        </is>
      </c>
      <c r="O11" s="1" t="inlineStr">
        <is>
          <t>.00</t>
        </is>
      </c>
      <c r="P11" s="1" t="inlineStr">
        <is>
          <t>6.00</t>
        </is>
      </c>
      <c r="Q11" s="1" t="inlineStr">
        <is>
          <t>3.00</t>
        </is>
      </c>
      <c r="R11" s="1" t="inlineStr">
        <is>
          <t>2.00</t>
        </is>
      </c>
      <c r="S11" s="1" t="inlineStr">
        <is>
          <t>3.00</t>
        </is>
      </c>
      <c r="T11" s="1" t="inlineStr">
        <is>
          <t>.00</t>
        </is>
      </c>
      <c r="U11" s="1" t="inlineStr">
        <is>
          <t>3.00</t>
        </is>
      </c>
      <c r="V11" s="1" t="inlineStr">
        <is>
          <t>4.00</t>
        </is>
      </c>
      <c r="W11" s="1" t="inlineStr">
        <is>
          <t>.00</t>
        </is>
      </c>
      <c r="X11" s="1" t="inlineStr">
        <is>
          <t>4.00</t>
        </is>
      </c>
      <c r="Y11" s="1" t="inlineStr">
        <is>
          <t>.00</t>
        </is>
      </c>
      <c r="Z11" s="1" t="inlineStr">
        <is>
          <t>.00</t>
        </is>
      </c>
      <c r="AA11" s="1" t="inlineStr">
        <is>
          <t>.00</t>
        </is>
      </c>
      <c r="AB11" s="1" t="inlineStr">
        <is>
          <t>.00</t>
        </is>
      </c>
      <c r="AC11" s="1" t="inlineStr">
        <is>
          <t>13.00</t>
        </is>
      </c>
      <c r="AD11" s="1" t="inlineStr">
        <is>
          <t>1.00</t>
        </is>
      </c>
      <c r="AE11" s="1" t="inlineStr">
        <is>
          <t>4.00</t>
        </is>
      </c>
      <c r="AF11" s="1" t="inlineStr">
        <is>
          <t>7.00</t>
        </is>
      </c>
      <c r="AG11" s="1" t="inlineStr">
        <is>
          <t>.00</t>
        </is>
      </c>
      <c r="AH11" s="1" t="inlineStr">
        <is>
          <t>86</t>
        </is>
      </c>
      <c r="AI11" s="465">
        <v>43056.2297915741</v>
      </c>
    </row>
    <row spans="1:35" outlineLevel="0" r="12">
      <c r="A12" s="1" t="inlineStr">
        <is>
          <t>202610</t>
        </is>
      </c>
      <c r="B12" s="275" t="inlineStr">
        <is>
          <t>12-V</t>
        </is>
      </c>
      <c r="C12" s="1" t="inlineStr">
        <is>
          <t>8.00</t>
        </is>
      </c>
      <c r="D12" s="1" t="inlineStr">
        <is>
          <t>13.00</t>
        </is>
      </c>
      <c r="E12" s="1" t="inlineStr">
        <is>
          <t>6.00</t>
        </is>
      </c>
      <c r="F12" s="1" t="inlineStr">
        <is>
          <t>.00</t>
        </is>
      </c>
      <c r="G12" s="1" t="inlineStr">
        <is>
          <t>5.00</t>
        </is>
      </c>
      <c r="H12" s="1" t="inlineStr">
        <is>
          <t>7.00</t>
        </is>
      </c>
      <c r="I12" s="1"/>
      <c r="J12" s="1" t="inlineStr">
        <is>
          <t>19.00</t>
        </is>
      </c>
      <c r="K12" s="1" t="inlineStr">
        <is>
          <t>.00</t>
        </is>
      </c>
      <c r="L12" s="1" t="inlineStr">
        <is>
          <t>.00</t>
        </is>
      </c>
      <c r="M12" s="1" t="inlineStr">
        <is>
          <t>.00</t>
        </is>
      </c>
      <c r="N12" s="1" t="inlineStr">
        <is>
          <t>18.00</t>
        </is>
      </c>
      <c r="O12" s="1" t="inlineStr">
        <is>
          <t>10.00</t>
        </is>
      </c>
      <c r="P12" s="1" t="inlineStr">
        <is>
          <t>10.00</t>
        </is>
      </c>
      <c r="Q12" s="1" t="inlineStr">
        <is>
          <t>8.00</t>
        </is>
      </c>
      <c r="R12" s="1" t="inlineStr">
        <is>
          <t>10.00</t>
        </is>
      </c>
      <c r="S12" s="1" t="inlineStr">
        <is>
          <t>8.00</t>
        </is>
      </c>
      <c r="T12" s="1" t="inlineStr">
        <is>
          <t>.00</t>
        </is>
      </c>
      <c r="U12" s="1" t="inlineStr">
        <is>
          <t>13.00</t>
        </is>
      </c>
      <c r="V12" s="1" t="inlineStr">
        <is>
          <t>8.00</t>
        </is>
      </c>
      <c r="W12" s="1" t="inlineStr">
        <is>
          <t>17.00</t>
        </is>
      </c>
      <c r="X12" s="1" t="inlineStr">
        <is>
          <t>12.00</t>
        </is>
      </c>
      <c r="Y12" s="1" t="inlineStr">
        <is>
          <t>.00</t>
        </is>
      </c>
      <c r="Z12" s="1" t="inlineStr">
        <is>
          <t>.00</t>
        </is>
      </c>
      <c r="AA12" s="1" t="inlineStr">
        <is>
          <t>.00</t>
        </is>
      </c>
      <c r="AB12" s="1" t="inlineStr">
        <is>
          <t>.00</t>
        </is>
      </c>
      <c r="AC12" s="1" t="inlineStr">
        <is>
          <t>23.00</t>
        </is>
      </c>
      <c r="AD12" s="1" t="inlineStr">
        <is>
          <t>12.00</t>
        </is>
      </c>
      <c r="AE12" s="1" t="inlineStr">
        <is>
          <t>6.00</t>
        </is>
      </c>
      <c r="AF12" s="1" t="inlineStr">
        <is>
          <t>3.00</t>
        </is>
      </c>
      <c r="AG12" s="1" t="inlineStr">
        <is>
          <t>.00</t>
        </is>
      </c>
      <c r="AH12" s="1" t="inlineStr">
        <is>
          <t>236</t>
        </is>
      </c>
      <c r="AI12" s="465">
        <v>43056.2297915741</v>
      </c>
    </row>
    <row spans="1:35" outlineLevel="0" r="13">
      <c r="A13" s="1" t="inlineStr">
        <is>
          <t>202610</t>
        </is>
      </c>
      <c r="B13" s="275" t="inlineStr">
        <is>
          <t>13-T</t>
        </is>
      </c>
      <c r="C13" s="1" t="inlineStr">
        <is>
          <t>.00</t>
        </is>
      </c>
      <c r="D13" s="1" t="inlineStr">
        <is>
          <t>.00</t>
        </is>
      </c>
      <c r="E13" s="1" t="inlineStr">
        <is>
          <t>.00</t>
        </is>
      </c>
      <c r="F13" s="1" t="inlineStr">
        <is>
          <t>.00</t>
        </is>
      </c>
      <c r="G13" s="1" t="inlineStr">
        <is>
          <t>.00</t>
        </is>
      </c>
      <c r="H13" s="1" t="inlineStr">
        <is>
          <t>.00</t>
        </is>
      </c>
      <c r="I13" s="1"/>
      <c r="J13" s="1" t="inlineStr">
        <is>
          <t>3.00</t>
        </is>
      </c>
      <c r="K13" s="1" t="inlineStr">
        <is>
          <t>.00</t>
        </is>
      </c>
      <c r="L13" s="1" t="inlineStr">
        <is>
          <t>.00</t>
        </is>
      </c>
      <c r="M13" s="1" t="inlineStr">
        <is>
          <t>.00</t>
        </is>
      </c>
      <c r="N13" s="1" t="inlineStr">
        <is>
          <t>.00</t>
        </is>
      </c>
      <c r="O13" s="1" t="inlineStr">
        <is>
          <t>.00</t>
        </is>
      </c>
      <c r="P13" s="1" t="inlineStr">
        <is>
          <t>1.00</t>
        </is>
      </c>
      <c r="Q13" s="1" t="inlineStr">
        <is>
          <t>.00</t>
        </is>
      </c>
      <c r="R13" s="1" t="inlineStr">
        <is>
          <t>.00</t>
        </is>
      </c>
      <c r="S13" s="1" t="inlineStr">
        <is>
          <t>1.00</t>
        </is>
      </c>
      <c r="T13" s="1" t="inlineStr">
        <is>
          <t>.00</t>
        </is>
      </c>
      <c r="U13" s="1" t="inlineStr">
        <is>
          <t>.00</t>
        </is>
      </c>
      <c r="V13" s="1" t="inlineStr">
        <is>
          <t>.00</t>
        </is>
      </c>
      <c r="W13" s="1" t="inlineStr">
        <is>
          <t>.00</t>
        </is>
      </c>
      <c r="X13" s="1" t="inlineStr">
        <is>
          <t>4.00</t>
        </is>
      </c>
      <c r="Y13" s="1" t="inlineStr">
        <is>
          <t>.00</t>
        </is>
      </c>
      <c r="Z13" s="1" t="inlineStr">
        <is>
          <t>.00</t>
        </is>
      </c>
      <c r="AA13" s="1" t="inlineStr">
        <is>
          <t>.00</t>
        </is>
      </c>
      <c r="AB13" s="1" t="inlineStr">
        <is>
          <t>.00</t>
        </is>
      </c>
      <c r="AC13" s="1" t="inlineStr">
        <is>
          <t>19.00</t>
        </is>
      </c>
      <c r="AD13" s="1" t="inlineStr">
        <is>
          <t>2.00</t>
        </is>
      </c>
      <c r="AE13" s="1" t="inlineStr">
        <is>
          <t>5.00</t>
        </is>
      </c>
      <c r="AF13" s="1" t="inlineStr">
        <is>
          <t>.00</t>
        </is>
      </c>
      <c r="AG13" s="1" t="inlineStr">
        <is>
          <t>.00</t>
        </is>
      </c>
      <c r="AH13" s="1" t="inlineStr">
        <is>
          <t>37</t>
        </is>
      </c>
      <c r="AI13" s="465">
        <v>43056.2297915741</v>
      </c>
    </row>
    <row spans="1:35" outlineLevel="0" r="14">
      <c r="A14" s="1" t="inlineStr">
        <is>
          <t>202610</t>
        </is>
      </c>
      <c r="B14" s="275" t="inlineStr">
        <is>
          <t>14-P</t>
        </is>
      </c>
      <c r="C14" s="1" t="inlineStr">
        <is>
          <t>.00</t>
        </is>
      </c>
      <c r="D14" s="1" t="inlineStr">
        <is>
          <t>.00</t>
        </is>
      </c>
      <c r="E14" s="1" t="inlineStr">
        <is>
          <t>.00</t>
        </is>
      </c>
      <c r="F14" s="1" t="inlineStr">
        <is>
          <t>.00</t>
        </is>
      </c>
      <c r="G14" s="1" t="inlineStr">
        <is>
          <t>.00</t>
        </is>
      </c>
      <c r="H14" s="1" t="inlineStr">
        <is>
          <t>.00</t>
        </is>
      </c>
      <c r="I14" s="1"/>
      <c r="J14" s="1" t="inlineStr">
        <is>
          <t>.00</t>
        </is>
      </c>
      <c r="K14" s="1" t="inlineStr">
        <is>
          <t>.00</t>
        </is>
      </c>
      <c r="L14" s="1" t="inlineStr">
        <is>
          <t>.00</t>
        </is>
      </c>
      <c r="M14" s="1" t="inlineStr">
        <is>
          <t>.00</t>
        </is>
      </c>
      <c r="N14" s="1" t="inlineStr">
        <is>
          <t>.00</t>
        </is>
      </c>
      <c r="O14" s="1" t="inlineStr">
        <is>
          <t>.00</t>
        </is>
      </c>
      <c r="P14" s="1" t="inlineStr">
        <is>
          <t>.00</t>
        </is>
      </c>
      <c r="Q14" s="1" t="inlineStr">
        <is>
          <t>.00</t>
        </is>
      </c>
      <c r="R14" s="1" t="inlineStr">
        <is>
          <t>.00</t>
        </is>
      </c>
      <c r="S14" s="1" t="inlineStr">
        <is>
          <t>.00</t>
        </is>
      </c>
      <c r="T14" s="1" t="inlineStr">
        <is>
          <t>.00</t>
        </is>
      </c>
      <c r="U14" s="1" t="inlineStr">
        <is>
          <t>.00</t>
        </is>
      </c>
      <c r="V14" s="1" t="inlineStr">
        <is>
          <t>.00</t>
        </is>
      </c>
      <c r="W14" s="1" t="inlineStr">
        <is>
          <t>.00</t>
        </is>
      </c>
      <c r="X14" s="1" t="inlineStr">
        <is>
          <t>.00</t>
        </is>
      </c>
      <c r="Y14" s="1" t="inlineStr">
        <is>
          <t>.00</t>
        </is>
      </c>
      <c r="Z14" s="1" t="inlineStr">
        <is>
          <t>.00</t>
        </is>
      </c>
      <c r="AA14" s="1" t="inlineStr">
        <is>
          <t>.00</t>
        </is>
      </c>
      <c r="AB14" s="1" t="inlineStr">
        <is>
          <t>.00</t>
        </is>
      </c>
      <c r="AC14" s="1" t="inlineStr">
        <is>
          <t>.00</t>
        </is>
      </c>
      <c r="AD14" s="1" t="inlineStr">
        <is>
          <t>.00</t>
        </is>
      </c>
      <c r="AE14" s="1" t="inlineStr">
        <is>
          <t>.00</t>
        </is>
      </c>
      <c r="AF14" s="1" t="inlineStr">
        <is>
          <t>.00</t>
        </is>
      </c>
      <c r="AG14" s="1" t="inlineStr">
        <is>
          <t>.00</t>
        </is>
      </c>
      <c r="AH14" s="1" t="inlineStr">
        <is>
          <t>0</t>
        </is>
      </c>
      <c r="AI14" s="465">
        <v>43056.2297915741</v>
      </c>
    </row>
    <row spans="1:35" outlineLevel="0" r="15">
      <c r="A15" s="1" t="inlineStr">
        <is>
          <t>202610</t>
        </is>
      </c>
      <c r="B15" s="275" t="inlineStr">
        <is>
          <t>16-2</t>
        </is>
      </c>
      <c r="C15" s="1" t="inlineStr">
        <is>
          <t>.00</t>
        </is>
      </c>
      <c r="D15" s="1" t="inlineStr">
        <is>
          <t>.00</t>
        </is>
      </c>
      <c r="E15" s="1" t="inlineStr">
        <is>
          <t>.00</t>
        </is>
      </c>
      <c r="F15" s="1" t="inlineStr">
        <is>
          <t>.00</t>
        </is>
      </c>
      <c r="G15" s="1" t="inlineStr">
        <is>
          <t>.00</t>
        </is>
      </c>
      <c r="H15" s="1" t="inlineStr">
        <is>
          <t>.00</t>
        </is>
      </c>
      <c r="I15" s="1"/>
      <c r="J15" s="1" t="inlineStr">
        <is>
          <t>.00</t>
        </is>
      </c>
      <c r="K15" s="1" t="inlineStr">
        <is>
          <t>.00</t>
        </is>
      </c>
      <c r="L15" s="1" t="inlineStr">
        <is>
          <t>.00</t>
        </is>
      </c>
      <c r="M15" s="1" t="inlineStr">
        <is>
          <t>.00</t>
        </is>
      </c>
      <c r="N15" s="1" t="inlineStr">
        <is>
          <t>.00</t>
        </is>
      </c>
      <c r="O15" s="1" t="inlineStr">
        <is>
          <t>.00</t>
        </is>
      </c>
      <c r="P15" s="1" t="inlineStr">
        <is>
          <t>.00</t>
        </is>
      </c>
      <c r="Q15" s="1" t="inlineStr">
        <is>
          <t>.00</t>
        </is>
      </c>
      <c r="R15" s="1" t="inlineStr">
        <is>
          <t>.00</t>
        </is>
      </c>
      <c r="S15" s="1" t="inlineStr">
        <is>
          <t>.00</t>
        </is>
      </c>
      <c r="T15" s="1" t="inlineStr">
        <is>
          <t>.00</t>
        </is>
      </c>
      <c r="U15" s="1" t="inlineStr">
        <is>
          <t>.00</t>
        </is>
      </c>
      <c r="V15" s="1" t="inlineStr">
        <is>
          <t>.00</t>
        </is>
      </c>
      <c r="W15" s="1" t="inlineStr">
        <is>
          <t>.00</t>
        </is>
      </c>
      <c r="X15" s="1" t="inlineStr">
        <is>
          <t>.00</t>
        </is>
      </c>
      <c r="Y15" s="1" t="inlineStr">
        <is>
          <t>.00</t>
        </is>
      </c>
      <c r="Z15" s="1" t="inlineStr">
        <is>
          <t>.00</t>
        </is>
      </c>
      <c r="AA15" s="1" t="inlineStr">
        <is>
          <t>.00</t>
        </is>
      </c>
      <c r="AB15" s="1" t="inlineStr">
        <is>
          <t>.00</t>
        </is>
      </c>
      <c r="AC15" s="1" t="inlineStr">
        <is>
          <t>.00</t>
        </is>
      </c>
      <c r="AD15" s="1" t="inlineStr">
        <is>
          <t>.00</t>
        </is>
      </c>
      <c r="AE15" s="1" t="inlineStr">
        <is>
          <t>.00</t>
        </is>
      </c>
      <c r="AF15" s="1" t="inlineStr">
        <is>
          <t>.00</t>
        </is>
      </c>
      <c r="AG15" s="1" t="inlineStr">
        <is>
          <t>.00</t>
        </is>
      </c>
      <c r="AH15" s="1" t="inlineStr">
        <is>
          <t>0</t>
        </is>
      </c>
      <c r="AI15" s="465">
        <v>43056.2297915741</v>
      </c>
    </row>
    <row spans="1:35" outlineLevel="0" r="16">
      <c r="A16" s="1" t="inlineStr">
        <is>
          <t>202610</t>
        </is>
      </c>
      <c r="B16" s="275" t="inlineStr">
        <is>
          <t>17-3</t>
        </is>
      </c>
      <c r="C16" s="1" t="inlineStr">
        <is>
          <t>.00</t>
        </is>
      </c>
      <c r="D16" s="1" t="inlineStr">
        <is>
          <t>.00</t>
        </is>
      </c>
      <c r="E16" s="1" t="inlineStr">
        <is>
          <t>.00</t>
        </is>
      </c>
      <c r="F16" s="1" t="inlineStr">
        <is>
          <t>.00</t>
        </is>
      </c>
      <c r="G16" s="1" t="inlineStr">
        <is>
          <t>.00</t>
        </is>
      </c>
      <c r="H16" s="1" t="inlineStr">
        <is>
          <t>.00</t>
        </is>
      </c>
      <c r="I16" s="1"/>
      <c r="J16" s="1" t="inlineStr">
        <is>
          <t>.00</t>
        </is>
      </c>
      <c r="K16" s="1" t="inlineStr">
        <is>
          <t>.00</t>
        </is>
      </c>
      <c r="L16" s="1" t="inlineStr">
        <is>
          <t>.00</t>
        </is>
      </c>
      <c r="M16" s="1" t="inlineStr">
        <is>
          <t>.00</t>
        </is>
      </c>
      <c r="N16" s="1" t="inlineStr">
        <is>
          <t>.00</t>
        </is>
      </c>
      <c r="O16" s="1" t="inlineStr">
        <is>
          <t>.00</t>
        </is>
      </c>
      <c r="P16" s="1" t="inlineStr">
        <is>
          <t>.00</t>
        </is>
      </c>
      <c r="Q16" s="1" t="inlineStr">
        <is>
          <t>.00</t>
        </is>
      </c>
      <c r="R16" s="1" t="inlineStr">
        <is>
          <t>.00</t>
        </is>
      </c>
      <c r="S16" s="1" t="inlineStr">
        <is>
          <t>.00</t>
        </is>
      </c>
      <c r="T16" s="1" t="inlineStr">
        <is>
          <t>.00</t>
        </is>
      </c>
      <c r="U16" s="1" t="inlineStr">
        <is>
          <t>.00</t>
        </is>
      </c>
      <c r="V16" s="1" t="inlineStr">
        <is>
          <t>.00</t>
        </is>
      </c>
      <c r="W16" s="1" t="inlineStr">
        <is>
          <t>.00</t>
        </is>
      </c>
      <c r="X16" s="1" t="inlineStr">
        <is>
          <t>.00</t>
        </is>
      </c>
      <c r="Y16" s="1" t="inlineStr">
        <is>
          <t>.00</t>
        </is>
      </c>
      <c r="Z16" s="1" t="inlineStr">
        <is>
          <t>.00</t>
        </is>
      </c>
      <c r="AA16" s="1" t="inlineStr">
        <is>
          <t>.00</t>
        </is>
      </c>
      <c r="AB16" s="1" t="inlineStr">
        <is>
          <t>.00</t>
        </is>
      </c>
      <c r="AC16" s="1" t="inlineStr">
        <is>
          <t>.00</t>
        </is>
      </c>
      <c r="AD16" s="1" t="inlineStr">
        <is>
          <t>.00</t>
        </is>
      </c>
      <c r="AE16" s="1" t="inlineStr">
        <is>
          <t>.00</t>
        </is>
      </c>
      <c r="AF16" s="1" t="inlineStr">
        <is>
          <t>.00</t>
        </is>
      </c>
      <c r="AG16" s="1" t="inlineStr">
        <is>
          <t>.00</t>
        </is>
      </c>
      <c r="AH16" s="1" t="inlineStr">
        <is>
          <t>0</t>
        </is>
      </c>
      <c r="AI16" s="465">
        <v>43056.2297915741</v>
      </c>
    </row>
    <row spans="1:35" outlineLevel="0" r="17">
      <c r="A17" s="1" t="inlineStr">
        <is>
          <t>202610</t>
        </is>
      </c>
      <c r="B17" s="275" t="inlineStr">
        <is>
          <t>18-4</t>
        </is>
      </c>
      <c r="C17" s="1" t="inlineStr">
        <is>
          <t>.00</t>
        </is>
      </c>
      <c r="D17" s="1" t="inlineStr">
        <is>
          <t>.00</t>
        </is>
      </c>
      <c r="E17" s="1" t="inlineStr">
        <is>
          <t>.00</t>
        </is>
      </c>
      <c r="F17" s="1" t="inlineStr">
        <is>
          <t>.00</t>
        </is>
      </c>
      <c r="G17" s="1" t="inlineStr">
        <is>
          <t>.00</t>
        </is>
      </c>
      <c r="H17" s="1" t="inlineStr">
        <is>
          <t>.00</t>
        </is>
      </c>
      <c r="I17" s="1"/>
      <c r="J17" s="1" t="inlineStr">
        <is>
          <t>.00</t>
        </is>
      </c>
      <c r="K17" s="1" t="inlineStr">
        <is>
          <t>.00</t>
        </is>
      </c>
      <c r="L17" s="1" t="inlineStr">
        <is>
          <t>.00</t>
        </is>
      </c>
      <c r="M17" s="1" t="inlineStr">
        <is>
          <t>.00</t>
        </is>
      </c>
      <c r="N17" s="1" t="inlineStr">
        <is>
          <t>.00</t>
        </is>
      </c>
      <c r="O17" s="1" t="inlineStr">
        <is>
          <t>.00</t>
        </is>
      </c>
      <c r="P17" s="1" t="inlineStr">
        <is>
          <t>.00</t>
        </is>
      </c>
      <c r="Q17" s="1" t="inlineStr">
        <is>
          <t>.00</t>
        </is>
      </c>
      <c r="R17" s="1" t="inlineStr">
        <is>
          <t>.00</t>
        </is>
      </c>
      <c r="S17" s="1" t="inlineStr">
        <is>
          <t>.00</t>
        </is>
      </c>
      <c r="T17" s="1" t="inlineStr">
        <is>
          <t>.00</t>
        </is>
      </c>
      <c r="U17" s="1" t="inlineStr">
        <is>
          <t>.00</t>
        </is>
      </c>
      <c r="V17" s="1" t="inlineStr">
        <is>
          <t>.00</t>
        </is>
      </c>
      <c r="W17" s="1" t="inlineStr">
        <is>
          <t>.00</t>
        </is>
      </c>
      <c r="X17" s="1" t="inlineStr">
        <is>
          <t>.00</t>
        </is>
      </c>
      <c r="Y17" s="1" t="inlineStr">
        <is>
          <t>.00</t>
        </is>
      </c>
      <c r="Z17" s="1" t="inlineStr">
        <is>
          <t>.00</t>
        </is>
      </c>
      <c r="AA17" s="1" t="inlineStr">
        <is>
          <t>.00</t>
        </is>
      </c>
      <c r="AB17" s="1" t="inlineStr">
        <is>
          <t>.00</t>
        </is>
      </c>
      <c r="AC17" s="1" t="inlineStr">
        <is>
          <t>.00</t>
        </is>
      </c>
      <c r="AD17" s="1" t="inlineStr">
        <is>
          <t>.00</t>
        </is>
      </c>
      <c r="AE17" s="1" t="inlineStr">
        <is>
          <t>.00</t>
        </is>
      </c>
      <c r="AF17" s="1" t="inlineStr">
        <is>
          <t>.00</t>
        </is>
      </c>
      <c r="AG17" s="1" t="inlineStr">
        <is>
          <t>.00</t>
        </is>
      </c>
      <c r="AH17" s="1" t="inlineStr">
        <is>
          <t>0</t>
        </is>
      </c>
      <c r="AI17" s="465">
        <v>43056.2297915741</v>
      </c>
    </row>
    <row spans="1:35" outlineLevel="0" r="18">
      <c r="A18" s="1" t="inlineStr">
        <is>
          <t>202610</t>
        </is>
      </c>
      <c r="B18" s="275" t="inlineStr">
        <is>
          <t>19-5</t>
        </is>
      </c>
      <c r="C18" s="1" t="inlineStr">
        <is>
          <t>.00</t>
        </is>
      </c>
      <c r="D18" s="1" t="inlineStr">
        <is>
          <t>.00</t>
        </is>
      </c>
      <c r="E18" s="1" t="inlineStr">
        <is>
          <t>.00</t>
        </is>
      </c>
      <c r="F18" s="1" t="inlineStr">
        <is>
          <t>.00</t>
        </is>
      </c>
      <c r="G18" s="1" t="inlineStr">
        <is>
          <t>.00</t>
        </is>
      </c>
      <c r="H18" s="1" t="inlineStr">
        <is>
          <t>.00</t>
        </is>
      </c>
      <c r="I18" s="1"/>
      <c r="J18" s="1" t="inlineStr">
        <is>
          <t>.00</t>
        </is>
      </c>
      <c r="K18" s="1" t="inlineStr">
        <is>
          <t>.00</t>
        </is>
      </c>
      <c r="L18" s="1" t="inlineStr">
        <is>
          <t>.00</t>
        </is>
      </c>
      <c r="M18" s="1" t="inlineStr">
        <is>
          <t>.00</t>
        </is>
      </c>
      <c r="N18" s="1" t="inlineStr">
        <is>
          <t>.00</t>
        </is>
      </c>
      <c r="O18" s="1" t="inlineStr">
        <is>
          <t>.00</t>
        </is>
      </c>
      <c r="P18" s="1" t="inlineStr">
        <is>
          <t>.00</t>
        </is>
      </c>
      <c r="Q18" s="1" t="inlineStr">
        <is>
          <t>.00</t>
        </is>
      </c>
      <c r="R18" s="1" t="inlineStr">
        <is>
          <t>.00</t>
        </is>
      </c>
      <c r="S18" s="1" t="inlineStr">
        <is>
          <t>.00</t>
        </is>
      </c>
      <c r="T18" s="1" t="inlineStr">
        <is>
          <t>.00</t>
        </is>
      </c>
      <c r="U18" s="1" t="inlineStr">
        <is>
          <t>.00</t>
        </is>
      </c>
      <c r="V18" s="1" t="inlineStr">
        <is>
          <t>.00</t>
        </is>
      </c>
      <c r="W18" s="1" t="inlineStr">
        <is>
          <t>.00</t>
        </is>
      </c>
      <c r="X18" s="1" t="inlineStr">
        <is>
          <t>.00</t>
        </is>
      </c>
      <c r="Y18" s="1" t="inlineStr">
        <is>
          <t>.00</t>
        </is>
      </c>
      <c r="Z18" s="1" t="inlineStr">
        <is>
          <t>.00</t>
        </is>
      </c>
      <c r="AA18" s="1" t="inlineStr">
        <is>
          <t>.00</t>
        </is>
      </c>
      <c r="AB18" s="1" t="inlineStr">
        <is>
          <t>.00</t>
        </is>
      </c>
      <c r="AC18" s="1" t="inlineStr">
        <is>
          <t>.00</t>
        </is>
      </c>
      <c r="AD18" s="1" t="inlineStr">
        <is>
          <t>.00</t>
        </is>
      </c>
      <c r="AE18" s="1" t="inlineStr">
        <is>
          <t>.00</t>
        </is>
      </c>
      <c r="AF18" s="1" t="inlineStr">
        <is>
          <t>.00</t>
        </is>
      </c>
      <c r="AG18" s="1" t="inlineStr">
        <is>
          <t>.00</t>
        </is>
      </c>
      <c r="AH18" s="1" t="inlineStr">
        <is>
          <t>0</t>
        </is>
      </c>
      <c r="AI18" s="465">
        <v>43056.2297915741</v>
      </c>
    </row>
    <row spans="1:35" outlineLevel="0" r="19">
      <c r="A19" s="1" t="inlineStr">
        <is>
          <t>202610</t>
        </is>
      </c>
      <c r="B19" s="275" t="inlineStr">
        <is>
          <t>20-7</t>
        </is>
      </c>
      <c r="C19" s="1" t="inlineStr">
        <is>
          <t>.00</t>
        </is>
      </c>
      <c r="D19" s="1" t="inlineStr">
        <is>
          <t>.00</t>
        </is>
      </c>
      <c r="E19" s="1" t="inlineStr">
        <is>
          <t>.00</t>
        </is>
      </c>
      <c r="F19" s="1" t="inlineStr">
        <is>
          <t>.00</t>
        </is>
      </c>
      <c r="G19" s="1" t="inlineStr">
        <is>
          <t>.00</t>
        </is>
      </c>
      <c r="H19" s="1" t="inlineStr">
        <is>
          <t>.00</t>
        </is>
      </c>
      <c r="I19" s="1"/>
      <c r="J19" s="1" t="inlineStr">
        <is>
          <t>.00</t>
        </is>
      </c>
      <c r="K19" s="1" t="inlineStr">
        <is>
          <t>.00</t>
        </is>
      </c>
      <c r="L19" s="1" t="inlineStr">
        <is>
          <t>.00</t>
        </is>
      </c>
      <c r="M19" s="1" t="inlineStr">
        <is>
          <t>.00</t>
        </is>
      </c>
      <c r="N19" s="1" t="inlineStr">
        <is>
          <t>.00</t>
        </is>
      </c>
      <c r="O19" s="1" t="inlineStr">
        <is>
          <t>.00</t>
        </is>
      </c>
      <c r="P19" s="1" t="inlineStr">
        <is>
          <t>.00</t>
        </is>
      </c>
      <c r="Q19" s="1" t="inlineStr">
        <is>
          <t>.00</t>
        </is>
      </c>
      <c r="R19" s="1" t="inlineStr">
        <is>
          <t>.00</t>
        </is>
      </c>
      <c r="S19" s="1" t="inlineStr">
        <is>
          <t>.00</t>
        </is>
      </c>
      <c r="T19" s="1" t="inlineStr">
        <is>
          <t>.00</t>
        </is>
      </c>
      <c r="U19" s="1" t="inlineStr">
        <is>
          <t>.00</t>
        </is>
      </c>
      <c r="V19" s="1" t="inlineStr">
        <is>
          <t>.00</t>
        </is>
      </c>
      <c r="W19" s="1" t="inlineStr">
        <is>
          <t>.00</t>
        </is>
      </c>
      <c r="X19" s="1" t="inlineStr">
        <is>
          <t>.00</t>
        </is>
      </c>
      <c r="Y19" s="1" t="inlineStr">
        <is>
          <t>.00</t>
        </is>
      </c>
      <c r="Z19" s="1" t="inlineStr">
        <is>
          <t>.00</t>
        </is>
      </c>
      <c r="AA19" s="1" t="inlineStr">
        <is>
          <t>.00</t>
        </is>
      </c>
      <c r="AB19" s="1" t="inlineStr">
        <is>
          <t>.00</t>
        </is>
      </c>
      <c r="AC19" s="1" t="inlineStr">
        <is>
          <t>.00</t>
        </is>
      </c>
      <c r="AD19" s="1" t="inlineStr">
        <is>
          <t>.00</t>
        </is>
      </c>
      <c r="AE19" s="1" t="inlineStr">
        <is>
          <t>.00</t>
        </is>
      </c>
      <c r="AF19" s="1" t="inlineStr">
        <is>
          <t>.00</t>
        </is>
      </c>
      <c r="AG19" s="1" t="inlineStr">
        <is>
          <t>.00</t>
        </is>
      </c>
      <c r="AH19" s="1" t="inlineStr">
        <is>
          <t>0</t>
        </is>
      </c>
      <c r="AI19" s="465">
        <v>43056.2297915741</v>
      </c>
    </row>
    <row spans="1:35" outlineLevel="0" r="20">
      <c r="A20" s="466" t="inlineStr">
        <is>
          <t>202610</t>
        </is>
      </c>
      <c r="B20" s="275" t="inlineStr">
        <is>
          <t>21-6</t>
        </is>
      </c>
      <c r="C20" s="466" t="inlineStr">
        <is>
          <t>24.00</t>
        </is>
      </c>
      <c r="D20" s="466" t="inlineStr">
        <is>
          <t>17.00</t>
        </is>
      </c>
      <c r="E20" s="466" t="inlineStr">
        <is>
          <t>13.00</t>
        </is>
      </c>
      <c r="F20" s="466" t="inlineStr">
        <is>
          <t>.00</t>
        </is>
      </c>
      <c r="G20" s="466" t="inlineStr">
        <is>
          <t>24.00</t>
        </is>
      </c>
      <c r="H20" s="466" t="inlineStr">
        <is>
          <t>22.00</t>
        </is>
      </c>
      <c r="I20" s="466"/>
      <c r="J20" s="466" t="inlineStr">
        <is>
          <t>33.00</t>
        </is>
      </c>
      <c r="K20" s="466" t="inlineStr">
        <is>
          <t>.00</t>
        </is>
      </c>
      <c r="L20" s="466" t="inlineStr">
        <is>
          <t>.00</t>
        </is>
      </c>
      <c r="M20" s="466" t="inlineStr">
        <is>
          <t>.00</t>
        </is>
      </c>
      <c r="N20" s="466" t="inlineStr">
        <is>
          <t>68.00</t>
        </is>
      </c>
      <c r="O20" s="466" t="inlineStr">
        <is>
          <t>19.00</t>
        </is>
      </c>
      <c r="P20" s="466" t="inlineStr">
        <is>
          <t>27.00</t>
        </is>
      </c>
      <c r="Q20" s="466" t="inlineStr">
        <is>
          <t>18.00</t>
        </is>
      </c>
      <c r="R20" s="466" t="inlineStr">
        <is>
          <t>10.00</t>
        </is>
      </c>
      <c r="S20" s="466" t="inlineStr">
        <is>
          <t>13.00</t>
        </is>
      </c>
      <c r="T20" s="466" t="inlineStr">
        <is>
          <t>.00</t>
        </is>
      </c>
      <c r="U20" s="466" t="inlineStr">
        <is>
          <t>23.00</t>
        </is>
      </c>
      <c r="V20" s="466" t="inlineStr">
        <is>
          <t>37.00</t>
        </is>
      </c>
      <c r="W20" s="466" t="inlineStr">
        <is>
          <t>41.00</t>
        </is>
      </c>
      <c r="X20" s="466" t="inlineStr">
        <is>
          <t>34.00</t>
        </is>
      </c>
      <c r="Y20" s="466" t="inlineStr">
        <is>
          <t>.00</t>
        </is>
      </c>
      <c r="Z20" s="466" t="inlineStr">
        <is>
          <t>.00</t>
        </is>
      </c>
      <c r="AA20" s="466" t="inlineStr">
        <is>
          <t>.00</t>
        </is>
      </c>
      <c r="AB20" s="466" t="inlineStr">
        <is>
          <t>.00</t>
        </is>
      </c>
      <c r="AC20" s="466" t="inlineStr">
        <is>
          <t>130.00</t>
        </is>
      </c>
      <c r="AD20" s="466" t="inlineStr">
        <is>
          <t>21.00</t>
        </is>
      </c>
      <c r="AE20" s="466" t="inlineStr">
        <is>
          <t>13.00</t>
        </is>
      </c>
      <c r="AF20" s="466" t="inlineStr">
        <is>
          <t>17.00</t>
        </is>
      </c>
      <c r="AG20" s="466" t="inlineStr">
        <is>
          <t>.00</t>
        </is>
      </c>
      <c r="AH20" s="466" t="inlineStr">
        <is>
          <t>666</t>
        </is>
      </c>
    </row>
    <row spans="1:35" outlineLevel="0" r="21">
      <c r="B21" s="275"/>
    </row>
    <row spans="1:35" outlineLevel="0" r="22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D00-000000000000}">
  <dimension ref="A1:AI5"/>
  <sheetViews>
    <sheetView workbookViewId="0" rightToLeft="false">
      <selection activeCell="J19" sqref="J19"/>
    </sheetView>
  </sheetViews>
  <sheetFormatPr defaultRowHeight="17"/>
  <cols>
    <col min="3" max="7" width="10.453125" bestFit="1" customWidth="1"/>
    <col min="8" max="8" width="10.26953125" customWidth="1"/>
    <col min="34" max="34" width="9.453125" bestFit="1" customWidth="1"/>
    <col min="35" max="35" width="11" customWidth="1"/>
  </cols>
  <sheetData>
    <row spans="1:35" ht="18" customHeight="1" outlineLevel="0" r="1">
      <c r="A1" s="1" t="inlineStr">
        <is>
          <t>YYMM</t>
        </is>
      </c>
      <c r="B1" s="1" t="inlineStr">
        <is>
          <t>IMPCD</t>
        </is>
      </c>
      <c r="C1" s="1" t="inlineStr">
        <is>
          <t>DATE01</t>
        </is>
      </c>
      <c r="D1" s="1" t="inlineStr">
        <is>
          <t>DATE02</t>
        </is>
      </c>
      <c r="E1" s="1" t="inlineStr">
        <is>
          <t>DATE03</t>
        </is>
      </c>
      <c r="F1" s="1" t="inlineStr">
        <is>
          <t>DATE04</t>
        </is>
      </c>
      <c r="G1" s="1" t="inlineStr">
        <is>
          <t>DATE05</t>
        </is>
      </c>
      <c r="H1" s="1" t="inlineStr">
        <is>
          <t>DATE06</t>
        </is>
      </c>
      <c r="I1" s="1" t="inlineStr">
        <is>
          <t>DATE07</t>
        </is>
      </c>
      <c r="J1" s="1" t="inlineStr">
        <is>
          <t>DATE08</t>
        </is>
      </c>
      <c r="K1" s="1" t="inlineStr">
        <is>
          <t>DATE09</t>
        </is>
      </c>
      <c r="L1" s="1" t="inlineStr">
        <is>
          <t>DATE10</t>
        </is>
      </c>
      <c r="M1" s="1" t="inlineStr">
        <is>
          <t>DATE11</t>
        </is>
      </c>
      <c r="N1" s="1" t="inlineStr">
        <is>
          <t>DATE12</t>
        </is>
      </c>
      <c r="O1" s="1" t="inlineStr">
        <is>
          <t>DATE13</t>
        </is>
      </c>
      <c r="P1" s="1" t="inlineStr">
        <is>
          <t>DATE14</t>
        </is>
      </c>
      <c r="Q1" s="1" t="inlineStr">
        <is>
          <t>DATE15</t>
        </is>
      </c>
      <c r="R1" s="1" t="inlineStr">
        <is>
          <t>DATE16</t>
        </is>
      </c>
      <c r="S1" s="1" t="inlineStr">
        <is>
          <t>DATE17</t>
        </is>
      </c>
      <c r="T1" s="1" t="inlineStr">
        <is>
          <t>DATE18</t>
        </is>
      </c>
      <c r="U1" s="1" t="inlineStr">
        <is>
          <t>DATE19</t>
        </is>
      </c>
      <c r="V1" s="1" t="inlineStr">
        <is>
          <t>DATE20</t>
        </is>
      </c>
      <c r="W1" s="1" t="inlineStr">
        <is>
          <t>DATE21</t>
        </is>
      </c>
      <c r="X1" s="1" t="inlineStr">
        <is>
          <t>DATE22</t>
        </is>
      </c>
      <c r="Y1" s="1" t="inlineStr">
        <is>
          <t>DATE23</t>
        </is>
      </c>
      <c r="Z1" s="1" t="inlineStr">
        <is>
          <t>DATE24</t>
        </is>
      </c>
      <c r="AA1" s="1" t="inlineStr">
        <is>
          <t>DATE25</t>
        </is>
      </c>
      <c r="AB1" s="1" t="inlineStr">
        <is>
          <t>DATE26</t>
        </is>
      </c>
      <c r="AC1" s="1" t="inlineStr">
        <is>
          <t>DATE27</t>
        </is>
      </c>
      <c r="AD1" s="1" t="inlineStr">
        <is>
          <t>DATE28</t>
        </is>
      </c>
      <c r="AE1" s="1" t="inlineStr">
        <is>
          <t>DATE29</t>
        </is>
      </c>
      <c r="AF1" s="1" t="inlineStr">
        <is>
          <t>DATE30</t>
        </is>
      </c>
      <c r="AG1" s="1" t="inlineStr">
        <is>
          <t>DATE31</t>
        </is>
      </c>
      <c r="AH1" s="1" t="inlineStr">
        <is>
          <t>AVGAMT</t>
        </is>
      </c>
    </row>
    <row spans="1:35" outlineLevel="0" r="2">
      <c r="A2" s="1" t="inlineStr">
        <is>
          <t>202610</t>
        </is>
      </c>
      <c r="B2" s="1" t="inlineStr">
        <is>
          <t>1</t>
        </is>
      </c>
      <c r="C2" s="1" t="inlineStr">
        <is>
          <t>126517988.00</t>
        </is>
      </c>
      <c r="D2" s="1" t="inlineStr">
        <is>
          <t>127208302.00</t>
        </is>
      </c>
      <c r="E2" s="1" t="inlineStr">
        <is>
          <t>126815221.00</t>
        </is>
      </c>
      <c r="F2" s="1" t="inlineStr">
        <is>
          <t>126785960.00</t>
        </is>
      </c>
      <c r="G2" s="1" t="inlineStr">
        <is>
          <t>127156871.00</t>
        </is>
      </c>
      <c r="H2" s="1" t="inlineStr">
        <is>
          <t>128116314.00</t>
        </is>
      </c>
      <c r="I2" s="1" t="inlineStr">
        <is>
          <t>127680598.00</t>
        </is>
      </c>
      <c r="J2" s="1" t="inlineStr">
        <is>
          <t>127924219.00</t>
        </is>
      </c>
      <c r="K2" s="1" t="inlineStr">
        <is>
          <t>127918922.00</t>
        </is>
      </c>
      <c r="L2" s="1" t="inlineStr">
        <is>
          <t>127918922.00</t>
        </is>
      </c>
      <c r="M2" s="1" t="inlineStr">
        <is>
          <t>127150865.00</t>
        </is>
      </c>
      <c r="N2" s="1" t="inlineStr">
        <is>
          <t>126464340.00</t>
        </is>
      </c>
      <c r="O2" s="1" t="inlineStr">
        <is>
          <t>126168112.00</t>
        </is>
      </c>
      <c r="P2" s="1" t="inlineStr">
        <is>
          <t>128249018.00</t>
        </is>
      </c>
      <c r="Q2" s="1" t="inlineStr">
        <is>
          <t>127605363.00</t>
        </is>
      </c>
      <c r="R2" s="1" t="inlineStr">
        <is>
          <t>129144797.00</t>
        </is>
      </c>
      <c r="S2" s="1" t="inlineStr">
        <is>
          <t>128011871.00</t>
        </is>
      </c>
      <c r="T2" s="1" t="inlineStr">
        <is>
          <t>132832452.00</t>
        </is>
      </c>
      <c r="U2" s="1" t="inlineStr">
        <is>
          <t>133140393.00</t>
        </is>
      </c>
      <c r="V2" s="1" t="inlineStr">
        <is>
          <t>131299394.00</t>
        </is>
      </c>
      <c r="W2" s="1" t="inlineStr">
        <is>
          <t>131974657.00</t>
        </is>
      </c>
      <c r="X2" s="1" t="inlineStr">
        <is>
          <t>131047032.00</t>
        </is>
      </c>
      <c r="Y2" s="1" t="inlineStr">
        <is>
          <t>131001309.00</t>
        </is>
      </c>
      <c r="Z2" s="1" t="inlineStr">
        <is>
          <t>128860534.00</t>
        </is>
      </c>
      <c r="AA2" s="1" t="inlineStr">
        <is>
          <t>128860384.00</t>
        </is>
      </c>
      <c r="AB2" s="1" t="inlineStr">
        <is>
          <t>128762702.00</t>
        </is>
      </c>
      <c r="AC2" s="1" t="inlineStr">
        <is>
          <t>126054869.00</t>
        </is>
      </c>
      <c r="AD2" s="1" t="inlineStr">
        <is>
          <t>125554331.00</t>
        </is>
      </c>
      <c r="AE2" s="1" t="inlineStr">
        <is>
          <t>125425022.00</t>
        </is>
      </c>
      <c r="AF2" s="1" t="inlineStr">
        <is>
          <t>126581947.00</t>
        </is>
      </c>
      <c r="AG2" s="1" t="inlineStr">
        <is>
          <t>.00</t>
        </is>
      </c>
      <c r="AH2" s="1" t="inlineStr">
        <is>
          <t>128274423.63</t>
        </is>
      </c>
      <c r="AI2" s="465">
        <v>43056.2298886806</v>
      </c>
    </row>
    <row spans="1:35" outlineLevel="0" r="3">
      <c r="A3" s="1" t="inlineStr">
        <is>
          <t>202610</t>
        </is>
      </c>
      <c r="B3" s="1" t="inlineStr">
        <is>
          <t>3</t>
        </is>
      </c>
      <c r="C3" s="1" t="inlineStr">
        <is>
          <t>118678696.00</t>
        </is>
      </c>
      <c r="D3" s="1" t="inlineStr">
        <is>
          <t>117979982.00</t>
        </is>
      </c>
      <c r="E3" s="1" t="inlineStr">
        <is>
          <t>117378148.00</t>
        </is>
      </c>
      <c r="F3" s="1" t="inlineStr">
        <is>
          <t>117378107.00</t>
        </is>
      </c>
      <c r="G3" s="1" t="inlineStr">
        <is>
          <t>116708169.00</t>
        </is>
      </c>
      <c r="H3" s="1" t="inlineStr">
        <is>
          <t>114677210.00</t>
        </is>
      </c>
      <c r="I3" s="1" t="inlineStr">
        <is>
          <t>114997559.00</t>
        </is>
      </c>
      <c r="J3" s="1" t="inlineStr">
        <is>
          <t>115628255.00</t>
        </is>
      </c>
      <c r="K3" s="1" t="inlineStr">
        <is>
          <t>115637340.00</t>
        </is>
      </c>
      <c r="L3" s="1" t="inlineStr">
        <is>
          <t>115637340.00</t>
        </is>
      </c>
      <c r="M3" s="1" t="inlineStr">
        <is>
          <t>114681766.00</t>
        </is>
      </c>
      <c r="N3" s="1" t="inlineStr">
        <is>
          <t>113510985.00</t>
        </is>
      </c>
      <c r="O3" s="1" t="inlineStr">
        <is>
          <t>112924541.00</t>
        </is>
      </c>
      <c r="P3" s="1" t="inlineStr">
        <is>
          <t>112416404.00</t>
        </is>
      </c>
      <c r="Q3" s="1" t="inlineStr">
        <is>
          <t>110973517.00</t>
        </is>
      </c>
      <c r="R3" s="1" t="inlineStr">
        <is>
          <t>111770528.00</t>
        </is>
      </c>
      <c r="S3" s="1" t="inlineStr">
        <is>
          <t>113398239.00</t>
        </is>
      </c>
      <c r="T3" s="1" t="inlineStr">
        <is>
          <t>115809776.00</t>
        </is>
      </c>
      <c r="U3" s="1" t="inlineStr">
        <is>
          <t>115454010.00</t>
        </is>
      </c>
      <c r="V3" s="1" t="inlineStr">
        <is>
          <t>115575271.00</t>
        </is>
      </c>
      <c r="W3" s="1" t="inlineStr">
        <is>
          <t>115452880.00</t>
        </is>
      </c>
      <c r="X3" s="1" t="inlineStr">
        <is>
          <t>118107869.00</t>
        </is>
      </c>
      <c r="Y3" s="1" t="inlineStr">
        <is>
          <t>118109200.00</t>
        </is>
      </c>
      <c r="Z3" s="1" t="inlineStr">
        <is>
          <t>115890582.00</t>
        </is>
      </c>
      <c r="AA3" s="1" t="inlineStr">
        <is>
          <t>115871810.00</t>
        </is>
      </c>
      <c r="AB3" s="1" t="inlineStr">
        <is>
          <t>115849972.00</t>
        </is>
      </c>
      <c r="AC3" s="1" t="inlineStr">
        <is>
          <t>113909450.00</t>
        </is>
      </c>
      <c r="AD3" s="1" t="inlineStr">
        <is>
          <t>115746986.00</t>
        </is>
      </c>
      <c r="AE3" s="1" t="inlineStr">
        <is>
          <t>117095186.00</t>
        </is>
      </c>
      <c r="AF3" s="1" t="inlineStr">
        <is>
          <t>119260082.00</t>
        </is>
      </c>
      <c r="AG3" s="1" t="inlineStr">
        <is>
          <t>.00</t>
        </is>
      </c>
      <c r="AH3" s="1" t="inlineStr">
        <is>
          <t>115550328.67</t>
        </is>
      </c>
      <c r="AI3" s="465">
        <v>43056.2298886806</v>
      </c>
    </row>
    <row spans="1:35" outlineLevel="0" r="4">
      <c r="A4" s="1" t="inlineStr">
        <is>
          <t>202610</t>
        </is>
      </c>
      <c r="B4" s="1" t="inlineStr">
        <is>
          <t>4</t>
        </is>
      </c>
      <c r="C4" s="1" t="inlineStr">
        <is>
          <t>39811886.00</t>
        </is>
      </c>
      <c r="D4" s="1" t="inlineStr">
        <is>
          <t>39743015.00</t>
        </is>
      </c>
      <c r="E4" s="1" t="inlineStr">
        <is>
          <t>39026903.00</t>
        </is>
      </c>
      <c r="F4" s="1" t="inlineStr">
        <is>
          <t>39026600.00</t>
        </is>
      </c>
      <c r="G4" s="1" t="inlineStr">
        <is>
          <t>38288720.00</t>
        </is>
      </c>
      <c r="H4" s="1" t="inlineStr">
        <is>
          <t>37768759.00</t>
        </is>
      </c>
      <c r="I4" s="1" t="inlineStr">
        <is>
          <t>39861467.00</t>
        </is>
      </c>
      <c r="J4" s="1" t="inlineStr">
        <is>
          <t>38635520.00</t>
        </is>
      </c>
      <c r="K4" s="1" t="inlineStr">
        <is>
          <t>38635520.00</t>
        </is>
      </c>
      <c r="L4" s="1" t="inlineStr">
        <is>
          <t>38635520.00</t>
        </is>
      </c>
      <c r="M4" s="1" t="inlineStr">
        <is>
          <t>38543750.00</t>
        </is>
      </c>
      <c r="N4" s="1" t="inlineStr">
        <is>
          <t>38529781.00</t>
        </is>
      </c>
      <c r="O4" s="1" t="inlineStr">
        <is>
          <t>38795713.00</t>
        </is>
      </c>
      <c r="P4" s="1" t="inlineStr">
        <is>
          <t>38183391.00</t>
        </is>
      </c>
      <c r="Q4" s="1" t="inlineStr">
        <is>
          <t>38497280.00</t>
        </is>
      </c>
      <c r="R4" s="1" t="inlineStr">
        <is>
          <t>37149060.00</t>
        </is>
      </c>
      <c r="S4" s="1" t="inlineStr">
        <is>
          <t>36474638.00</t>
        </is>
      </c>
      <c r="T4" s="1" t="inlineStr">
        <is>
          <t>36921308.00</t>
        </is>
      </c>
      <c r="U4" s="1" t="inlineStr">
        <is>
          <t>35645124.00</t>
        </is>
      </c>
      <c r="V4" s="1" t="inlineStr">
        <is>
          <t>36006089.00</t>
        </is>
      </c>
      <c r="W4" s="1" t="inlineStr">
        <is>
          <t>37454285.00</t>
        </is>
      </c>
      <c r="X4" s="1" t="inlineStr">
        <is>
          <t>36214709.00</t>
        </is>
      </c>
      <c r="Y4" s="1" t="inlineStr">
        <is>
          <t>36214709.00</t>
        </is>
      </c>
      <c r="Z4" s="1" t="inlineStr">
        <is>
          <t>35845345.00</t>
        </is>
      </c>
      <c r="AA4" s="306" t="inlineStr">
        <is>
          <t>35840118.00</t>
        </is>
      </c>
      <c r="AB4" s="1" t="inlineStr">
        <is>
          <t>35839881.00</t>
        </is>
      </c>
      <c r="AC4" s="1" t="inlineStr">
        <is>
          <t>33788608.00</t>
        </is>
      </c>
      <c r="AD4" s="1" t="inlineStr">
        <is>
          <t>34271290.00</t>
        </is>
      </c>
      <c r="AE4" s="1" t="inlineStr">
        <is>
          <t>33154251.00</t>
        </is>
      </c>
      <c r="AF4" s="1" t="inlineStr">
        <is>
          <t>33331317.00</t>
        </is>
      </c>
      <c r="AG4" s="1" t="inlineStr">
        <is>
          <t>.00</t>
        </is>
      </c>
      <c r="AH4" s="1" t="inlineStr">
        <is>
          <t>37204485.23</t>
        </is>
      </c>
      <c r="AI4" s="465">
        <v>43056.2298886806</v>
      </c>
    </row>
    <row spans="1:35" outlineLevel="0" r="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E00-000000000000}">
  <dimension ref="A1:AJ21"/>
  <sheetViews>
    <sheetView workbookViewId="0" rightToLeft="false">
      <selection activeCell="K20" sqref="K20"/>
    </sheetView>
  </sheetViews>
  <sheetFormatPr defaultRowHeight="17"/>
  <sheetData>
    <row spans="1:36" outlineLevel="0" r="1">
      <c r="A1" s="1" t="inlineStr">
        <is>
          <t>YYMM</t>
        </is>
      </c>
      <c r="B1" s="1" t="inlineStr">
        <is>
          <t>FRCD</t>
        </is>
      </c>
      <c r="C1" s="1" t="inlineStr">
        <is>
          <t>IMPCD</t>
        </is>
      </c>
      <c r="D1" s="1" t="inlineStr">
        <is>
          <t>DATE01</t>
        </is>
      </c>
      <c r="E1" s="1" t="inlineStr">
        <is>
          <t>DATE02</t>
        </is>
      </c>
      <c r="F1" s="1" t="inlineStr">
        <is>
          <t>DATE03</t>
        </is>
      </c>
      <c r="G1" s="1" t="inlineStr">
        <is>
          <t>DATE04</t>
        </is>
      </c>
      <c r="H1" s="1" t="inlineStr">
        <is>
          <t>DATE05</t>
        </is>
      </c>
      <c r="I1" s="1" t="inlineStr">
        <is>
          <t>DATE06</t>
        </is>
      </c>
      <c r="J1" s="1" t="inlineStr">
        <is>
          <t>DATE07</t>
        </is>
      </c>
      <c r="K1" s="1" t="inlineStr">
        <is>
          <t>DATE08</t>
        </is>
      </c>
      <c r="L1" s="1" t="inlineStr">
        <is>
          <t>DATE09</t>
        </is>
      </c>
      <c r="M1" s="1" t="inlineStr">
        <is>
          <t>DATE10</t>
        </is>
      </c>
      <c r="N1" s="1" t="inlineStr">
        <is>
          <t>DATE11</t>
        </is>
      </c>
      <c r="O1" s="1" t="inlineStr">
        <is>
          <t>DATE12</t>
        </is>
      </c>
      <c r="P1" s="1" t="inlineStr">
        <is>
          <t>DATE13</t>
        </is>
      </c>
      <c r="Q1" s="1" t="inlineStr">
        <is>
          <t>DATE14</t>
        </is>
      </c>
      <c r="R1" s="1" t="inlineStr">
        <is>
          <t>DATE15</t>
        </is>
      </c>
      <c r="S1" s="1" t="inlineStr">
        <is>
          <t>DATE16</t>
        </is>
      </c>
      <c r="T1" s="1" t="inlineStr">
        <is>
          <t>DATE17</t>
        </is>
      </c>
      <c r="U1" s="1" t="inlineStr">
        <is>
          <t>DATE18</t>
        </is>
      </c>
      <c r="V1" s="1" t="inlineStr">
        <is>
          <t>DATE19</t>
        </is>
      </c>
      <c r="W1" s="1" t="inlineStr">
        <is>
          <t>DATE20</t>
        </is>
      </c>
      <c r="X1" s="1" t="inlineStr">
        <is>
          <t>DATE21</t>
        </is>
      </c>
      <c r="Y1" s="1" t="inlineStr">
        <is>
          <t>DATE22</t>
        </is>
      </c>
      <c r="Z1" s="1" t="inlineStr">
        <is>
          <t>DATE23</t>
        </is>
      </c>
      <c r="AA1" s="1" t="inlineStr">
        <is>
          <t>DATE24</t>
        </is>
      </c>
      <c r="AB1" s="1" t="inlineStr">
        <is>
          <t>DATE25</t>
        </is>
      </c>
      <c r="AC1" s="1" t="inlineStr">
        <is>
          <t>DATE26</t>
        </is>
      </c>
      <c r="AD1" s="1" t="inlineStr">
        <is>
          <t>DATE27</t>
        </is>
      </c>
      <c r="AE1" s="1" t="inlineStr">
        <is>
          <t>DATE28</t>
        </is>
      </c>
      <c r="AF1" s="1" t="inlineStr">
        <is>
          <t>DATE29</t>
        </is>
      </c>
      <c r="AG1" s="1" t="inlineStr">
        <is>
          <t>DATE30</t>
        </is>
      </c>
      <c r="AH1" s="1" t="inlineStr">
        <is>
          <t>DATE31</t>
        </is>
      </c>
      <c r="AI1" s="1" t="inlineStr">
        <is>
          <t>AVGAMT</t>
        </is>
      </c>
    </row>
    <row spans="1:36" outlineLevel="0" r="2">
      <c r="A2" s="1" t="inlineStr">
        <is>
          <t>202610</t>
        </is>
      </c>
      <c r="B2" s="1" t="inlineStr">
        <is>
          <t>A</t>
        </is>
      </c>
      <c r="C2" s="1" t="inlineStr">
        <is>
          <t>1</t>
        </is>
      </c>
      <c r="D2" s="1" t="inlineStr">
        <is>
          <t>3163084.00</t>
        </is>
      </c>
      <c r="E2" s="1" t="inlineStr">
        <is>
          <t>3327469.00</t>
        </is>
      </c>
      <c r="F2" s="1" t="inlineStr">
        <is>
          <t>3386373.00</t>
        </is>
      </c>
      <c r="G2" s="1" t="inlineStr">
        <is>
          <t>3386373.00</t>
        </is>
      </c>
      <c r="H2" s="1" t="inlineStr">
        <is>
          <t>3448360.00</t>
        </is>
      </c>
      <c r="I2" s="1" t="inlineStr">
        <is>
          <t>3538469.00</t>
        </is>
      </c>
      <c r="J2" s="1" t="inlineStr">
        <is>
          <t>3604497.00</t>
        </is>
      </c>
      <c r="K2" s="1" t="inlineStr">
        <is>
          <t>3686089.00</t>
        </is>
      </c>
      <c r="L2" s="1" t="inlineStr">
        <is>
          <t>3686089.00</t>
        </is>
      </c>
      <c r="M2" s="1" t="inlineStr">
        <is>
          <t>3686089.00</t>
        </is>
      </c>
      <c r="N2" s="1" t="inlineStr">
        <is>
          <t>3686089.00</t>
        </is>
      </c>
      <c r="O2" s="1" t="inlineStr">
        <is>
          <t>3793414.00</t>
        </is>
      </c>
      <c r="P2" s="1" t="inlineStr">
        <is>
          <t>4015263.00</t>
        </is>
      </c>
      <c r="Q2" s="1" t="inlineStr">
        <is>
          <t>3831552.00</t>
        </is>
      </c>
      <c r="R2" s="1" t="inlineStr">
        <is>
          <t>3829793.00</t>
        </is>
      </c>
      <c r="S2" s="1" t="inlineStr">
        <is>
          <t>4053414.00</t>
        </is>
      </c>
      <c r="T2" s="1" t="inlineStr">
        <is>
          <t>4126072.00</t>
        </is>
      </c>
      <c r="U2" s="1" t="inlineStr">
        <is>
          <t>4177685.00</t>
        </is>
      </c>
      <c r="V2" s="1" t="inlineStr">
        <is>
          <t>4170933.00</t>
        </is>
      </c>
      <c r="W2" s="1" t="inlineStr">
        <is>
          <t>4252985.00</t>
        </is>
      </c>
      <c r="X2" s="1" t="inlineStr">
        <is>
          <t>4380137.00</t>
        </is>
      </c>
      <c r="Y2" s="1" t="inlineStr">
        <is>
          <t>4467469.00</t>
        </is>
      </c>
      <c r="Z2" s="1" t="inlineStr">
        <is>
          <t>4467469.00</t>
        </is>
      </c>
      <c r="AA2" s="1" t="inlineStr">
        <is>
          <t>4467469.00</t>
        </is>
      </c>
      <c r="AB2" s="1" t="inlineStr">
        <is>
          <t>4467469.00</t>
        </is>
      </c>
      <c r="AC2" s="1" t="inlineStr">
        <is>
          <t>4467469.00</t>
        </is>
      </c>
      <c r="AD2" s="1" t="inlineStr">
        <is>
          <t>4552887.00</t>
        </is>
      </c>
      <c r="AE2" s="1" t="inlineStr">
        <is>
          <t>4393525.00</t>
        </is>
      </c>
      <c r="AF2" s="1" t="inlineStr">
        <is>
          <t>4461091.00</t>
        </is>
      </c>
      <c r="AG2" s="1" t="inlineStr">
        <is>
          <t>4386893.00</t>
        </is>
      </c>
      <c r="AH2" s="1" t="inlineStr">
        <is>
          <t>.00</t>
        </is>
      </c>
      <c r="AI2" s="1" t="inlineStr">
        <is>
          <t>3978732.33</t>
        </is>
      </c>
      <c r="AJ2" s="465">
        <v>43056.2298890509</v>
      </c>
    </row>
    <row spans="1:36" outlineLevel="0" r="3">
      <c r="A3" s="1" t="inlineStr">
        <is>
          <t>202610</t>
        </is>
      </c>
      <c r="B3" s="1" t="inlineStr">
        <is>
          <t>A</t>
        </is>
      </c>
      <c r="C3" s="1" t="inlineStr">
        <is>
          <t>3</t>
        </is>
      </c>
      <c r="D3" s="1" t="inlineStr">
        <is>
          <t>7565598.00</t>
        </is>
      </c>
      <c r="E3" s="1" t="inlineStr">
        <is>
          <t>7571526.00</t>
        </is>
      </c>
      <c r="F3" s="1" t="inlineStr">
        <is>
          <t>7584318.00</t>
        </is>
      </c>
      <c r="G3" s="1" t="inlineStr">
        <is>
          <t>7584318.00</t>
        </is>
      </c>
      <c r="H3" s="1" t="inlineStr">
        <is>
          <t>7601670.00</t>
        </is>
      </c>
      <c r="I3" s="1" t="inlineStr">
        <is>
          <t>7610294.00</t>
        </is>
      </c>
      <c r="J3" s="1" t="inlineStr">
        <is>
          <t>7624014.00</t>
        </is>
      </c>
      <c r="K3" s="1" t="inlineStr">
        <is>
          <t>7686787.00</t>
        </is>
      </c>
      <c r="L3" s="1" t="inlineStr">
        <is>
          <t>7686787.00</t>
        </is>
      </c>
      <c r="M3" s="1" t="inlineStr">
        <is>
          <t>7686787.00</t>
        </is>
      </c>
      <c r="N3" s="1" t="inlineStr">
        <is>
          <t>7686787.00</t>
        </is>
      </c>
      <c r="O3" s="1" t="inlineStr">
        <is>
          <t>7400641.00</t>
        </is>
      </c>
      <c r="P3" s="1" t="inlineStr">
        <is>
          <t>7415308.00</t>
        </is>
      </c>
      <c r="Q3" s="1" t="inlineStr">
        <is>
          <t>7508270.00</t>
        </is>
      </c>
      <c r="R3" s="1" t="inlineStr">
        <is>
          <t>7538093.00</t>
        </is>
      </c>
      <c r="S3" s="1" t="inlineStr">
        <is>
          <t>6846823.00</t>
        </is>
      </c>
      <c r="T3" s="1" t="inlineStr">
        <is>
          <t>6881564.00</t>
        </is>
      </c>
      <c r="U3" s="1" t="inlineStr">
        <is>
          <t>6909214.00</t>
        </is>
      </c>
      <c r="V3" s="1" t="inlineStr">
        <is>
          <t>6975972.00</t>
        </is>
      </c>
      <c r="W3" s="1" t="inlineStr">
        <is>
          <t>7068328.00</t>
        </is>
      </c>
      <c r="X3" s="1" t="inlineStr">
        <is>
          <t>7123690.00</t>
        </is>
      </c>
      <c r="Y3" s="1" t="inlineStr">
        <is>
          <t>6033330.00</t>
        </is>
      </c>
      <c r="Z3" s="1" t="inlineStr">
        <is>
          <t>6033330.00</t>
        </is>
      </c>
      <c r="AA3" s="1" t="inlineStr">
        <is>
          <t>6033330.00</t>
        </is>
      </c>
      <c r="AB3" s="1" t="inlineStr">
        <is>
          <t>6033330.00</t>
        </is>
      </c>
      <c r="AC3" s="1" t="inlineStr">
        <is>
          <t>6033330.00</t>
        </is>
      </c>
      <c r="AD3" s="1" t="inlineStr">
        <is>
          <t>6039809.00</t>
        </is>
      </c>
      <c r="AE3" s="1" t="inlineStr">
        <is>
          <t>6124149.00</t>
        </is>
      </c>
      <c r="AF3" s="1" t="inlineStr">
        <is>
          <t>6220924.00</t>
        </is>
      </c>
      <c r="AG3" s="1" t="inlineStr">
        <is>
          <t>6262625.00</t>
        </is>
      </c>
      <c r="AH3" s="1" t="inlineStr">
        <is>
          <t>.00</t>
        </is>
      </c>
      <c r="AI3" s="1" t="inlineStr">
        <is>
          <t>7012364.87</t>
        </is>
      </c>
      <c r="AJ3" s="465">
        <v>43056.2298890509</v>
      </c>
    </row>
    <row spans="1:36" outlineLevel="0" r="4">
      <c r="A4" s="1" t="inlineStr">
        <is>
          <t>202610</t>
        </is>
      </c>
      <c r="B4" s="1" t="inlineStr">
        <is>
          <t>A</t>
        </is>
      </c>
      <c r="C4" s="1" t="inlineStr">
        <is>
          <t>4</t>
        </is>
      </c>
      <c r="D4" s="1" t="inlineStr">
        <is>
          <t>18747.00</t>
        </is>
      </c>
      <c r="E4" s="1" t="inlineStr">
        <is>
          <t>17783.00</t>
        </is>
      </c>
      <c r="F4" s="1" t="inlineStr">
        <is>
          <t>17785.00</t>
        </is>
      </c>
      <c r="G4" s="1" t="inlineStr">
        <is>
          <t>17785.00</t>
        </is>
      </c>
      <c r="H4" s="1" t="inlineStr">
        <is>
          <t>17785.00</t>
        </is>
      </c>
      <c r="I4" s="1" t="inlineStr">
        <is>
          <t>17785.00</t>
        </is>
      </c>
      <c r="J4" s="1" t="inlineStr">
        <is>
          <t>17828.00</t>
        </is>
      </c>
      <c r="K4" s="1" t="inlineStr">
        <is>
          <t>17879.00</t>
        </is>
      </c>
      <c r="L4" s="1" t="inlineStr">
        <is>
          <t>17879.00</t>
        </is>
      </c>
      <c r="M4" s="1" t="inlineStr">
        <is>
          <t>17879.00</t>
        </is>
      </c>
      <c r="N4" s="1" t="inlineStr">
        <is>
          <t>17879.00</t>
        </is>
      </c>
      <c r="O4" s="1" t="inlineStr">
        <is>
          <t>17899.00</t>
        </is>
      </c>
      <c r="P4" s="1" t="inlineStr">
        <is>
          <t>17950.00</t>
        </is>
      </c>
      <c r="Q4" s="1" t="inlineStr">
        <is>
          <t>18886.00</t>
        </is>
      </c>
      <c r="R4" s="1" t="inlineStr">
        <is>
          <t>17848.00</t>
        </is>
      </c>
      <c r="S4" s="1" t="inlineStr">
        <is>
          <t>23725.00</t>
        </is>
      </c>
      <c r="T4" s="1" t="inlineStr">
        <is>
          <t>23726.00</t>
        </is>
      </c>
      <c r="U4" s="1" t="inlineStr">
        <is>
          <t>23727.00</t>
        </is>
      </c>
      <c r="V4" s="1" t="inlineStr">
        <is>
          <t>23438.00</t>
        </is>
      </c>
      <c r="W4" s="1" t="inlineStr">
        <is>
          <t>30730.00</t>
        </is>
      </c>
      <c r="X4" s="1" t="inlineStr">
        <is>
          <t>42597.00</t>
        </is>
      </c>
      <c r="Y4" s="1" t="inlineStr">
        <is>
          <t>42746.00</t>
        </is>
      </c>
      <c r="Z4" s="1" t="inlineStr">
        <is>
          <t>42746.00</t>
        </is>
      </c>
      <c r="AA4" s="1" t="inlineStr">
        <is>
          <t>42746.00</t>
        </is>
      </c>
      <c r="AB4" s="1" t="inlineStr">
        <is>
          <t>42746.00</t>
        </is>
      </c>
      <c r="AC4" s="1" t="inlineStr">
        <is>
          <t>42746.00</t>
        </is>
      </c>
      <c r="AD4" s="1" t="inlineStr">
        <is>
          <t>42746.00</t>
        </is>
      </c>
      <c r="AE4" s="1" t="inlineStr">
        <is>
          <t>42746.00</t>
        </is>
      </c>
      <c r="AF4" s="1" t="inlineStr">
        <is>
          <t>41353.00</t>
        </is>
      </c>
      <c r="AG4" s="1" t="inlineStr">
        <is>
          <t>41366.00</t>
        </is>
      </c>
      <c r="AH4" s="1" t="inlineStr">
        <is>
          <t>.00</t>
        </is>
      </c>
      <c r="AI4" s="1" t="inlineStr">
        <is>
          <t>27316.03</t>
        </is>
      </c>
      <c r="AJ4" s="465">
        <v>43056.2298890509</v>
      </c>
    </row>
    <row spans="1:36" outlineLevel="0" r="5">
      <c r="A5" s="1" t="inlineStr">
        <is>
          <t>202610</t>
        </is>
      </c>
      <c r="B5" s="1" t="inlineStr">
        <is>
          <t>C</t>
        </is>
      </c>
      <c r="C5" s="1" t="inlineStr">
        <is>
          <t>1</t>
        </is>
      </c>
      <c r="D5" s="1" t="inlineStr">
        <is>
          <t>.00</t>
        </is>
      </c>
      <c r="E5" s="1" t="inlineStr">
        <is>
          <t>.00</t>
        </is>
      </c>
      <c r="F5" s="1" t="inlineStr">
        <is>
          <t>.00</t>
        </is>
      </c>
      <c r="G5" s="1" t="inlineStr">
        <is>
          <t>.00</t>
        </is>
      </c>
      <c r="H5" s="1" t="inlineStr">
        <is>
          <t>.00</t>
        </is>
      </c>
      <c r="I5" s="1" t="inlineStr">
        <is>
          <t>.00</t>
        </is>
      </c>
      <c r="J5" s="1" t="inlineStr">
        <is>
          <t>.00</t>
        </is>
      </c>
      <c r="K5" s="1" t="inlineStr">
        <is>
          <t>.00</t>
        </is>
      </c>
      <c r="L5" s="1" t="inlineStr">
        <is>
          <t>.00</t>
        </is>
      </c>
      <c r="M5" s="1" t="inlineStr">
        <is>
          <t>.00</t>
        </is>
      </c>
      <c r="N5" s="1" t="inlineStr">
        <is>
          <t>.00</t>
        </is>
      </c>
      <c r="O5" s="1" t="inlineStr">
        <is>
          <t>.00</t>
        </is>
      </c>
      <c r="P5" s="1" t="inlineStr">
        <is>
          <t>.00</t>
        </is>
      </c>
      <c r="Q5" s="1" t="inlineStr">
        <is>
          <t>.00</t>
        </is>
      </c>
      <c r="R5" s="1" t="inlineStr">
        <is>
          <t>.00</t>
        </is>
      </c>
      <c r="S5" s="1" t="inlineStr">
        <is>
          <t>.00</t>
        </is>
      </c>
      <c r="T5" s="1" t="inlineStr">
        <is>
          <t>.00</t>
        </is>
      </c>
      <c r="U5" s="1" t="inlineStr">
        <is>
          <t>.00</t>
        </is>
      </c>
      <c r="V5" s="1" t="inlineStr">
        <is>
          <t>.00</t>
        </is>
      </c>
      <c r="W5" s="1" t="inlineStr">
        <is>
          <t>.00</t>
        </is>
      </c>
      <c r="X5" s="1" t="inlineStr">
        <is>
          <t>.00</t>
        </is>
      </c>
      <c r="Y5" s="1" t="inlineStr">
        <is>
          <t>.00</t>
        </is>
      </c>
      <c r="Z5" s="1" t="inlineStr">
        <is>
          <t>.00</t>
        </is>
      </c>
      <c r="AA5" s="1" t="inlineStr">
        <is>
          <t>.00</t>
        </is>
      </c>
      <c r="AB5" s="1" t="inlineStr">
        <is>
          <t>.00</t>
        </is>
      </c>
      <c r="AC5" s="1" t="inlineStr">
        <is>
          <t>.00</t>
        </is>
      </c>
      <c r="AD5" s="1" t="inlineStr">
        <is>
          <t>.00</t>
        </is>
      </c>
      <c r="AE5" s="1" t="inlineStr">
        <is>
          <t>.00</t>
        </is>
      </c>
      <c r="AF5" s="1" t="inlineStr">
        <is>
          <t>.00</t>
        </is>
      </c>
      <c r="AG5" s="1" t="inlineStr">
        <is>
          <t>.00</t>
        </is>
      </c>
      <c r="AH5" s="1" t="inlineStr">
        <is>
          <t>.00</t>
        </is>
      </c>
      <c r="AI5" s="1" t="inlineStr">
        <is>
          <t>.00</t>
        </is>
      </c>
      <c r="AJ5" s="465">
        <v>43056.2298890509</v>
      </c>
    </row>
    <row spans="1:36" outlineLevel="0" r="6">
      <c r="A6" s="1" t="inlineStr">
        <is>
          <t>202610</t>
        </is>
      </c>
      <c r="B6" s="1" t="inlineStr">
        <is>
          <t>C</t>
        </is>
      </c>
      <c r="C6" s="1" t="inlineStr">
        <is>
          <t>3</t>
        </is>
      </c>
      <c r="D6" s="1" t="inlineStr">
        <is>
          <t>.00</t>
        </is>
      </c>
      <c r="E6" s="1" t="inlineStr">
        <is>
          <t>.00</t>
        </is>
      </c>
      <c r="F6" s="1" t="inlineStr">
        <is>
          <t>.00</t>
        </is>
      </c>
      <c r="G6" s="1" t="inlineStr">
        <is>
          <t>.00</t>
        </is>
      </c>
      <c r="H6" s="1" t="inlineStr">
        <is>
          <t>.00</t>
        </is>
      </c>
      <c r="I6" s="1" t="inlineStr">
        <is>
          <t>.00</t>
        </is>
      </c>
      <c r="J6" s="1" t="inlineStr">
        <is>
          <t>.00</t>
        </is>
      </c>
      <c r="K6" s="1" t="inlineStr">
        <is>
          <t>.00</t>
        </is>
      </c>
      <c r="L6" s="1" t="inlineStr">
        <is>
          <t>.00</t>
        </is>
      </c>
      <c r="M6" s="1" t="inlineStr">
        <is>
          <t>.00</t>
        </is>
      </c>
      <c r="N6" s="1" t="inlineStr">
        <is>
          <t>.00</t>
        </is>
      </c>
      <c r="O6" s="1" t="inlineStr">
        <is>
          <t>.00</t>
        </is>
      </c>
      <c r="P6" s="1" t="inlineStr">
        <is>
          <t>.00</t>
        </is>
      </c>
      <c r="Q6" s="1" t="inlineStr">
        <is>
          <t>.00</t>
        </is>
      </c>
      <c r="R6" s="1" t="inlineStr">
        <is>
          <t>.00</t>
        </is>
      </c>
      <c r="S6" s="1" t="inlineStr">
        <is>
          <t>.00</t>
        </is>
      </c>
      <c r="T6" s="1" t="inlineStr">
        <is>
          <t>.00</t>
        </is>
      </c>
      <c r="U6" s="1" t="inlineStr">
        <is>
          <t>.00</t>
        </is>
      </c>
      <c r="V6" s="1" t="inlineStr">
        <is>
          <t>.00</t>
        </is>
      </c>
      <c r="W6" s="1" t="inlineStr">
        <is>
          <t>.00</t>
        </is>
      </c>
      <c r="X6" s="1" t="inlineStr">
        <is>
          <t>.00</t>
        </is>
      </c>
      <c r="Y6" s="1" t="inlineStr">
        <is>
          <t>.00</t>
        </is>
      </c>
      <c r="Z6" s="1" t="inlineStr">
        <is>
          <t>.00</t>
        </is>
      </c>
      <c r="AA6" s="1" t="inlineStr">
        <is>
          <t>.00</t>
        </is>
      </c>
      <c r="AB6" s="1" t="inlineStr">
        <is>
          <t>.00</t>
        </is>
      </c>
      <c r="AC6" s="1" t="inlineStr">
        <is>
          <t>.00</t>
        </is>
      </c>
      <c r="AD6" s="1" t="inlineStr">
        <is>
          <t>.00</t>
        </is>
      </c>
      <c r="AE6" s="1" t="inlineStr">
        <is>
          <t>.00</t>
        </is>
      </c>
      <c r="AF6" s="1" t="inlineStr">
        <is>
          <t>.00</t>
        </is>
      </c>
      <c r="AG6" s="1" t="inlineStr">
        <is>
          <t>.00</t>
        </is>
      </c>
      <c r="AH6" s="1" t="inlineStr">
        <is>
          <t>.00</t>
        </is>
      </c>
      <c r="AI6" s="1" t="inlineStr">
        <is>
          <t>.00</t>
        </is>
      </c>
      <c r="AJ6" s="465">
        <v>43056.2298890509</v>
      </c>
    </row>
    <row spans="1:36" outlineLevel="0" r="7">
      <c r="A7" s="1" t="inlineStr">
        <is>
          <t>202610</t>
        </is>
      </c>
      <c r="B7" s="1" t="inlineStr">
        <is>
          <t>D</t>
        </is>
      </c>
      <c r="C7" s="1" t="inlineStr">
        <is>
          <t>1</t>
        </is>
      </c>
      <c r="D7" s="1" t="inlineStr">
        <is>
          <t>6736542.00</t>
        </is>
      </c>
      <c r="E7" s="1" t="inlineStr">
        <is>
          <t>6738479.00</t>
        </is>
      </c>
      <c r="F7" s="1" t="inlineStr">
        <is>
          <t>6742721.00</t>
        </is>
      </c>
      <c r="G7" s="1" t="inlineStr">
        <is>
          <t>6742721.00</t>
        </is>
      </c>
      <c r="H7" s="1" t="inlineStr">
        <is>
          <t>6340977.00</t>
        </is>
      </c>
      <c r="I7" s="1" t="inlineStr">
        <is>
          <t>6308134.00</t>
        </is>
      </c>
      <c r="J7" s="1" t="inlineStr">
        <is>
          <t>6068065.00</t>
        </is>
      </c>
      <c r="K7" s="1" t="inlineStr">
        <is>
          <t>6085057.00</t>
        </is>
      </c>
      <c r="L7" s="1" t="inlineStr">
        <is>
          <t>6085057.00</t>
        </is>
      </c>
      <c r="M7" s="1" t="inlineStr">
        <is>
          <t>6085057.00</t>
        </is>
      </c>
      <c r="N7" s="1" t="inlineStr">
        <is>
          <t>6085057.00</t>
        </is>
      </c>
      <c r="O7" s="1" t="inlineStr">
        <is>
          <t>6062974.00</t>
        </is>
      </c>
      <c r="P7" s="1" t="inlineStr">
        <is>
          <t>6141679.00</t>
        </is>
      </c>
      <c r="Q7" s="1" t="inlineStr">
        <is>
          <t>6115721.00</t>
        </is>
      </c>
      <c r="R7" s="1" t="inlineStr">
        <is>
          <t>6076295.00</t>
        </is>
      </c>
      <c r="S7" s="1" t="inlineStr">
        <is>
          <t>6057534.00</t>
        </is>
      </c>
      <c r="T7" s="1" t="inlineStr">
        <is>
          <t>6060011.00</t>
        </is>
      </c>
      <c r="U7" s="1" t="inlineStr">
        <is>
          <t>6065450.00</t>
        </is>
      </c>
      <c r="V7" s="1" t="inlineStr">
        <is>
          <t>6173220.00</t>
        </is>
      </c>
      <c r="W7" s="1" t="inlineStr">
        <is>
          <t>6166579.00</t>
        </is>
      </c>
      <c r="X7" s="1" t="inlineStr">
        <is>
          <t>6179708.00</t>
        </is>
      </c>
      <c r="Y7" s="1" t="inlineStr">
        <is>
          <t>6188002.00</t>
        </is>
      </c>
      <c r="Z7" s="1" t="inlineStr">
        <is>
          <t>6188002.00</t>
        </is>
      </c>
      <c r="AA7" s="1" t="inlineStr">
        <is>
          <t>6188002.00</t>
        </is>
      </c>
      <c r="AB7" s="1" t="inlineStr">
        <is>
          <t>6188002.00</t>
        </is>
      </c>
      <c r="AC7" s="1" t="inlineStr">
        <is>
          <t>6188002.00</t>
        </is>
      </c>
      <c r="AD7" s="1" t="inlineStr">
        <is>
          <t>6171056.00</t>
        </is>
      </c>
      <c r="AE7" s="1" t="inlineStr">
        <is>
          <t>6194889.00</t>
        </is>
      </c>
      <c r="AF7" s="1" t="inlineStr">
        <is>
          <t>6194793.00</t>
        </is>
      </c>
      <c r="AG7" s="1" t="inlineStr">
        <is>
          <t>6138184.00</t>
        </is>
      </c>
      <c r="AH7" s="1" t="inlineStr">
        <is>
          <t>.00</t>
        </is>
      </c>
      <c r="AI7" s="1" t="inlineStr">
        <is>
          <t>6225199.00</t>
        </is>
      </c>
      <c r="AJ7" s="465">
        <v>43056.2298890509</v>
      </c>
    </row>
    <row spans="1:36" outlineLevel="0" r="8">
      <c r="A8" s="1" t="inlineStr">
        <is>
          <t>202610</t>
        </is>
      </c>
      <c r="B8" s="1" t="inlineStr">
        <is>
          <t>E</t>
        </is>
      </c>
      <c r="C8" s="1" t="inlineStr">
        <is>
          <t>1</t>
        </is>
      </c>
      <c r="D8" s="1" t="inlineStr">
        <is>
          <t>.00</t>
        </is>
      </c>
      <c r="E8" s="1" t="inlineStr">
        <is>
          <t>.00</t>
        </is>
      </c>
      <c r="F8" s="1" t="inlineStr">
        <is>
          <t>.00</t>
        </is>
      </c>
      <c r="G8" s="1" t="inlineStr">
        <is>
          <t>.00</t>
        </is>
      </c>
      <c r="H8" s="1" t="inlineStr">
        <is>
          <t>.00</t>
        </is>
      </c>
      <c r="I8" s="1" t="inlineStr">
        <is>
          <t>.00</t>
        </is>
      </c>
      <c r="J8" s="1" t="inlineStr">
        <is>
          <t>.00</t>
        </is>
      </c>
      <c r="K8" s="1" t="inlineStr">
        <is>
          <t>.00</t>
        </is>
      </c>
      <c r="L8" s="1" t="inlineStr">
        <is>
          <t>.00</t>
        </is>
      </c>
      <c r="M8" s="1" t="inlineStr">
        <is>
          <t>.00</t>
        </is>
      </c>
      <c r="N8" s="1" t="inlineStr">
        <is>
          <t>.00</t>
        </is>
      </c>
      <c r="O8" s="1" t="inlineStr">
        <is>
          <t>.00</t>
        </is>
      </c>
      <c r="P8" s="1" t="inlineStr">
        <is>
          <t>.00</t>
        </is>
      </c>
      <c r="Q8" s="1" t="inlineStr">
        <is>
          <t>.00</t>
        </is>
      </c>
      <c r="R8" s="1" t="inlineStr">
        <is>
          <t>.00</t>
        </is>
      </c>
      <c r="S8" s="1" t="inlineStr">
        <is>
          <t>.00</t>
        </is>
      </c>
      <c r="T8" s="1" t="inlineStr">
        <is>
          <t>.00</t>
        </is>
      </c>
      <c r="U8" s="1" t="inlineStr">
        <is>
          <t>.00</t>
        </is>
      </c>
      <c r="V8" s="1" t="inlineStr">
        <is>
          <t>.00</t>
        </is>
      </c>
      <c r="W8" s="1" t="inlineStr">
        <is>
          <t>.00</t>
        </is>
      </c>
      <c r="X8" s="1" t="inlineStr">
        <is>
          <t>.00</t>
        </is>
      </c>
      <c r="Y8" s="1" t="inlineStr">
        <is>
          <t>.00</t>
        </is>
      </c>
      <c r="Z8" s="1" t="inlineStr">
        <is>
          <t>.00</t>
        </is>
      </c>
      <c r="AA8" s="1" t="inlineStr">
        <is>
          <t>.00</t>
        </is>
      </c>
      <c r="AB8" s="1" t="inlineStr">
        <is>
          <t>.00</t>
        </is>
      </c>
      <c r="AC8" s="1" t="inlineStr">
        <is>
          <t>.00</t>
        </is>
      </c>
      <c r="AD8" s="1" t="inlineStr">
        <is>
          <t>.00</t>
        </is>
      </c>
      <c r="AE8" s="1" t="inlineStr">
        <is>
          <t>.00</t>
        </is>
      </c>
      <c r="AF8" s="1" t="inlineStr">
        <is>
          <t>.00</t>
        </is>
      </c>
      <c r="AG8" s="1" t="inlineStr">
        <is>
          <t>.00</t>
        </is>
      </c>
      <c r="AH8" s="1" t="inlineStr">
        <is>
          <t>.00</t>
        </is>
      </c>
      <c r="AI8" s="1" t="inlineStr">
        <is>
          <t>.00</t>
        </is>
      </c>
      <c r="AJ8" s="465">
        <v>43056.2298890509</v>
      </c>
    </row>
    <row spans="1:36" outlineLevel="0" r="9">
      <c r="A9" s="1" t="inlineStr">
        <is>
          <t>202610</t>
        </is>
      </c>
      <c r="B9" s="1" t="inlineStr">
        <is>
          <t>E</t>
        </is>
      </c>
      <c r="C9" s="1" t="inlineStr">
        <is>
          <t>3</t>
        </is>
      </c>
      <c r="D9" s="1" t="inlineStr">
        <is>
          <t>.00</t>
        </is>
      </c>
      <c r="E9" s="1" t="inlineStr">
        <is>
          <t>.00</t>
        </is>
      </c>
      <c r="F9" s="1" t="inlineStr">
        <is>
          <t>.00</t>
        </is>
      </c>
      <c r="G9" s="1" t="inlineStr">
        <is>
          <t>.00</t>
        </is>
      </c>
      <c r="H9" s="1" t="inlineStr">
        <is>
          <t>.00</t>
        </is>
      </c>
      <c r="I9" s="1" t="inlineStr">
        <is>
          <t>.00</t>
        </is>
      </c>
      <c r="J9" s="1" t="inlineStr">
        <is>
          <t>.00</t>
        </is>
      </c>
      <c r="K9" s="1" t="inlineStr">
        <is>
          <t>.00</t>
        </is>
      </c>
      <c r="L9" s="1" t="inlineStr">
        <is>
          <t>.00</t>
        </is>
      </c>
      <c r="M9" s="1" t="inlineStr">
        <is>
          <t>.00</t>
        </is>
      </c>
      <c r="N9" s="1" t="inlineStr">
        <is>
          <t>.00</t>
        </is>
      </c>
      <c r="O9" s="1" t="inlineStr">
        <is>
          <t>.00</t>
        </is>
      </c>
      <c r="P9" s="1" t="inlineStr">
        <is>
          <t>.00</t>
        </is>
      </c>
      <c r="Q9" s="1" t="inlineStr">
        <is>
          <t>.00</t>
        </is>
      </c>
      <c r="R9" s="1" t="inlineStr">
        <is>
          <t>.00</t>
        </is>
      </c>
      <c r="S9" s="1" t="inlineStr">
        <is>
          <t>.00</t>
        </is>
      </c>
      <c r="T9" s="1" t="inlineStr">
        <is>
          <t>.00</t>
        </is>
      </c>
      <c r="U9" s="1" t="inlineStr">
        <is>
          <t>.00</t>
        </is>
      </c>
      <c r="V9" s="1" t="inlineStr">
        <is>
          <t>.00</t>
        </is>
      </c>
      <c r="W9" s="1" t="inlineStr">
        <is>
          <t>.00</t>
        </is>
      </c>
      <c r="X9" s="1" t="inlineStr">
        <is>
          <t>.00</t>
        </is>
      </c>
      <c r="Y9" s="1" t="inlineStr">
        <is>
          <t>.00</t>
        </is>
      </c>
      <c r="Z9" s="1" t="inlineStr">
        <is>
          <t>.00</t>
        </is>
      </c>
      <c r="AA9" s="1" t="inlineStr">
        <is>
          <t>.00</t>
        </is>
      </c>
      <c r="AB9" s="1" t="inlineStr">
        <is>
          <t>.00</t>
        </is>
      </c>
      <c r="AC9" s="1" t="inlineStr">
        <is>
          <t>.00</t>
        </is>
      </c>
      <c r="AD9" s="1" t="inlineStr">
        <is>
          <t>.00</t>
        </is>
      </c>
      <c r="AE9" s="1" t="inlineStr">
        <is>
          <t>.00</t>
        </is>
      </c>
      <c r="AF9" s="1" t="inlineStr">
        <is>
          <t>.00</t>
        </is>
      </c>
      <c r="AG9" s="1" t="inlineStr">
        <is>
          <t>.00</t>
        </is>
      </c>
      <c r="AH9" s="1" t="inlineStr">
        <is>
          <t>.00</t>
        </is>
      </c>
      <c r="AI9" s="1" t="inlineStr">
        <is>
          <t>.00</t>
        </is>
      </c>
      <c r="AJ9" s="465">
        <v>43056.2298890509</v>
      </c>
    </row>
    <row spans="1:36" outlineLevel="0" r="10">
      <c r="A10" s="1" t="inlineStr">
        <is>
          <t>202610</t>
        </is>
      </c>
      <c r="B10" s="1" t="inlineStr">
        <is>
          <t>F</t>
        </is>
      </c>
      <c r="C10" s="1" t="inlineStr">
        <is>
          <t>1</t>
        </is>
      </c>
      <c r="D10" s="1" t="inlineStr">
        <is>
          <t>.00</t>
        </is>
      </c>
      <c r="E10" s="1" t="inlineStr">
        <is>
          <t>.00</t>
        </is>
      </c>
      <c r="F10" s="1" t="inlineStr">
        <is>
          <t>.00</t>
        </is>
      </c>
      <c r="G10" s="1" t="inlineStr">
        <is>
          <t>.00</t>
        </is>
      </c>
      <c r="H10" s="1" t="inlineStr">
        <is>
          <t>.00</t>
        </is>
      </c>
      <c r="I10" s="1" t="inlineStr">
        <is>
          <t>.00</t>
        </is>
      </c>
      <c r="J10" s="1" t="inlineStr">
        <is>
          <t>.00</t>
        </is>
      </c>
      <c r="K10" s="1" t="inlineStr">
        <is>
          <t>.00</t>
        </is>
      </c>
      <c r="L10" s="1" t="inlineStr">
        <is>
          <t>.00</t>
        </is>
      </c>
      <c r="M10" s="1" t="inlineStr">
        <is>
          <t>.00</t>
        </is>
      </c>
      <c r="N10" s="1" t="inlineStr">
        <is>
          <t>.00</t>
        </is>
      </c>
      <c r="O10" s="1" t="inlineStr">
        <is>
          <t>.00</t>
        </is>
      </c>
      <c r="P10" s="1" t="inlineStr">
        <is>
          <t>.00</t>
        </is>
      </c>
      <c r="Q10" s="1" t="inlineStr">
        <is>
          <t>.00</t>
        </is>
      </c>
      <c r="R10" s="1" t="inlineStr">
        <is>
          <t>.00</t>
        </is>
      </c>
      <c r="S10" s="1" t="inlineStr">
        <is>
          <t>.00</t>
        </is>
      </c>
      <c r="T10" s="1" t="inlineStr">
        <is>
          <t>.00</t>
        </is>
      </c>
      <c r="U10" s="1" t="inlineStr">
        <is>
          <t>.00</t>
        </is>
      </c>
      <c r="V10" s="1" t="inlineStr">
        <is>
          <t>.00</t>
        </is>
      </c>
      <c r="W10" s="1" t="inlineStr">
        <is>
          <t>.00</t>
        </is>
      </c>
      <c r="X10" s="1" t="inlineStr">
        <is>
          <t>.00</t>
        </is>
      </c>
      <c r="Y10" s="1" t="inlineStr">
        <is>
          <t>.00</t>
        </is>
      </c>
      <c r="Z10" s="1" t="inlineStr">
        <is>
          <t>.00</t>
        </is>
      </c>
      <c r="AA10" s="1" t="inlineStr">
        <is>
          <t>.00</t>
        </is>
      </c>
      <c r="AB10" s="1" t="inlineStr">
        <is>
          <t>.00</t>
        </is>
      </c>
      <c r="AC10" s="1" t="inlineStr">
        <is>
          <t>.00</t>
        </is>
      </c>
      <c r="AD10" s="1" t="inlineStr">
        <is>
          <t>.00</t>
        </is>
      </c>
      <c r="AE10" s="1" t="inlineStr">
        <is>
          <t>.00</t>
        </is>
      </c>
      <c r="AF10" s="1" t="inlineStr">
        <is>
          <t>.00</t>
        </is>
      </c>
      <c r="AG10" s="1" t="inlineStr">
        <is>
          <t>.00</t>
        </is>
      </c>
      <c r="AH10" s="1" t="inlineStr">
        <is>
          <t>.00</t>
        </is>
      </c>
      <c r="AI10" s="1" t="inlineStr">
        <is>
          <t>.00</t>
        </is>
      </c>
      <c r="AJ10" s="465">
        <v>43056.2298890509</v>
      </c>
    </row>
    <row spans="1:36" outlineLevel="0" r="11">
      <c r="A11" s="1" t="inlineStr">
        <is>
          <t>202610</t>
        </is>
      </c>
      <c r="B11" s="1" t="inlineStr">
        <is>
          <t>F</t>
        </is>
      </c>
      <c r="C11" s="1" t="inlineStr">
        <is>
          <t>3</t>
        </is>
      </c>
      <c r="D11" s="1" t="inlineStr">
        <is>
          <t>.00</t>
        </is>
      </c>
      <c r="E11" s="1" t="inlineStr">
        <is>
          <t>.00</t>
        </is>
      </c>
      <c r="F11" s="1" t="inlineStr">
        <is>
          <t>.00</t>
        </is>
      </c>
      <c r="G11" s="1" t="inlineStr">
        <is>
          <t>.00</t>
        </is>
      </c>
      <c r="H11" s="1" t="inlineStr">
        <is>
          <t>.00</t>
        </is>
      </c>
      <c r="I11" s="1" t="inlineStr">
        <is>
          <t>.00</t>
        </is>
      </c>
      <c r="J11" s="1" t="inlineStr">
        <is>
          <t>.00</t>
        </is>
      </c>
      <c r="K11" s="1" t="inlineStr">
        <is>
          <t>.00</t>
        </is>
      </c>
      <c r="L11" s="1" t="inlineStr">
        <is>
          <t>.00</t>
        </is>
      </c>
      <c r="M11" s="1" t="inlineStr">
        <is>
          <t>.00</t>
        </is>
      </c>
      <c r="N11" s="1" t="inlineStr">
        <is>
          <t>.00</t>
        </is>
      </c>
      <c r="O11" s="1" t="inlineStr">
        <is>
          <t>.00</t>
        </is>
      </c>
      <c r="P11" s="1" t="inlineStr">
        <is>
          <t>.00</t>
        </is>
      </c>
      <c r="Q11" s="1" t="inlineStr">
        <is>
          <t>.00</t>
        </is>
      </c>
      <c r="R11" s="1" t="inlineStr">
        <is>
          <t>.00</t>
        </is>
      </c>
      <c r="S11" s="1" t="inlineStr">
        <is>
          <t>.00</t>
        </is>
      </c>
      <c r="T11" s="1" t="inlineStr">
        <is>
          <t>.00</t>
        </is>
      </c>
      <c r="U11" s="1" t="inlineStr">
        <is>
          <t>.00</t>
        </is>
      </c>
      <c r="V11" s="1" t="inlineStr">
        <is>
          <t>.00</t>
        </is>
      </c>
      <c r="W11" s="1" t="inlineStr">
        <is>
          <t>.00</t>
        </is>
      </c>
      <c r="X11" s="1" t="inlineStr">
        <is>
          <t>.00</t>
        </is>
      </c>
      <c r="Y11" s="1" t="inlineStr">
        <is>
          <t>.00</t>
        </is>
      </c>
      <c r="Z11" s="1" t="inlineStr">
        <is>
          <t>.00</t>
        </is>
      </c>
      <c r="AA11" s="1" t="inlineStr">
        <is>
          <t>.00</t>
        </is>
      </c>
      <c r="AB11" s="1" t="inlineStr">
        <is>
          <t>.00</t>
        </is>
      </c>
      <c r="AC11" s="1" t="inlineStr">
        <is>
          <t>.00</t>
        </is>
      </c>
      <c r="AD11" s="1" t="inlineStr">
        <is>
          <t>.00</t>
        </is>
      </c>
      <c r="AE11" s="1" t="inlineStr">
        <is>
          <t>.00</t>
        </is>
      </c>
      <c r="AF11" s="1" t="inlineStr">
        <is>
          <t>.00</t>
        </is>
      </c>
      <c r="AG11" s="1" t="inlineStr">
        <is>
          <t>.00</t>
        </is>
      </c>
      <c r="AH11" s="1" t="inlineStr">
        <is>
          <t>.00</t>
        </is>
      </c>
      <c r="AI11" s="1" t="inlineStr">
        <is>
          <t>.00</t>
        </is>
      </c>
      <c r="AJ11" s="465">
        <v>43056.2298890509</v>
      </c>
    </row>
    <row spans="1:36" outlineLevel="0" r="12">
      <c r="A12" s="1" t="inlineStr">
        <is>
          <t>202610</t>
        </is>
      </c>
      <c r="B12" s="1" t="inlineStr">
        <is>
          <t>H</t>
        </is>
      </c>
      <c r="C12" s="1" t="inlineStr">
        <is>
          <t>3</t>
        </is>
      </c>
      <c r="D12" s="1" t="inlineStr">
        <is>
          <t>.00</t>
        </is>
      </c>
      <c r="E12" s="1" t="inlineStr">
        <is>
          <t>.00</t>
        </is>
      </c>
      <c r="F12" s="1" t="inlineStr">
        <is>
          <t>.00</t>
        </is>
      </c>
      <c r="G12" s="1" t="inlineStr">
        <is>
          <t>.00</t>
        </is>
      </c>
      <c r="H12" s="1" t="inlineStr">
        <is>
          <t>.00</t>
        </is>
      </c>
      <c r="I12" s="1" t="inlineStr">
        <is>
          <t>.00</t>
        </is>
      </c>
      <c r="J12" s="1" t="inlineStr">
        <is>
          <t>.00</t>
        </is>
      </c>
      <c r="K12" s="1" t="inlineStr">
        <is>
          <t>.00</t>
        </is>
      </c>
      <c r="L12" s="1" t="inlineStr">
        <is>
          <t>.00</t>
        </is>
      </c>
      <c r="M12" s="1" t="inlineStr">
        <is>
          <t>.00</t>
        </is>
      </c>
      <c r="N12" s="1" t="inlineStr">
        <is>
          <t>.00</t>
        </is>
      </c>
      <c r="O12" s="1" t="inlineStr">
        <is>
          <t>.00</t>
        </is>
      </c>
      <c r="P12" s="1" t="inlineStr">
        <is>
          <t>.00</t>
        </is>
      </c>
      <c r="Q12" s="1" t="inlineStr">
        <is>
          <t>.00</t>
        </is>
      </c>
      <c r="R12" s="1" t="inlineStr">
        <is>
          <t>.00</t>
        </is>
      </c>
      <c r="S12" s="1" t="inlineStr">
        <is>
          <t>.00</t>
        </is>
      </c>
      <c r="T12" s="1" t="inlineStr">
        <is>
          <t>.00</t>
        </is>
      </c>
      <c r="U12" s="1" t="inlineStr">
        <is>
          <t>.00</t>
        </is>
      </c>
      <c r="V12" s="1" t="inlineStr">
        <is>
          <t>.00</t>
        </is>
      </c>
      <c r="W12" s="1" t="inlineStr">
        <is>
          <t>.00</t>
        </is>
      </c>
      <c r="X12" s="1" t="inlineStr">
        <is>
          <t>.00</t>
        </is>
      </c>
      <c r="Y12" s="1" t="inlineStr">
        <is>
          <t>.00</t>
        </is>
      </c>
      <c r="Z12" s="1" t="inlineStr">
        <is>
          <t>.00</t>
        </is>
      </c>
      <c r="AA12" s="1" t="inlineStr">
        <is>
          <t>.00</t>
        </is>
      </c>
      <c r="AB12" s="1" t="inlineStr">
        <is>
          <t>.00</t>
        </is>
      </c>
      <c r="AC12" s="1" t="inlineStr">
        <is>
          <t>.00</t>
        </is>
      </c>
      <c r="AD12" s="1" t="inlineStr">
        <is>
          <t>.00</t>
        </is>
      </c>
      <c r="AE12" s="1" t="inlineStr">
        <is>
          <t>.00</t>
        </is>
      </c>
      <c r="AF12" s="1" t="inlineStr">
        <is>
          <t>.00</t>
        </is>
      </c>
      <c r="AG12" s="1" t="inlineStr">
        <is>
          <t>.00</t>
        </is>
      </c>
      <c r="AH12" s="1" t="inlineStr">
        <is>
          <t>.00</t>
        </is>
      </c>
      <c r="AI12" s="1" t="inlineStr">
        <is>
          <t>.00</t>
        </is>
      </c>
      <c r="AJ12" s="465">
        <v>43056.2298890509</v>
      </c>
    </row>
    <row spans="1:36" outlineLevel="0" r="13">
      <c r="A13" s="1" t="inlineStr">
        <is>
          <t>202610</t>
        </is>
      </c>
      <c r="B13" s="1" t="inlineStr">
        <is>
          <t>J</t>
        </is>
      </c>
      <c r="C13" s="1" t="inlineStr">
        <is>
          <t>3</t>
        </is>
      </c>
      <c r="D13" s="1" t="inlineStr">
        <is>
          <t>.00</t>
        </is>
      </c>
      <c r="E13" s="1" t="inlineStr">
        <is>
          <t>.00</t>
        </is>
      </c>
      <c r="F13" s="1" t="inlineStr">
        <is>
          <t>.00</t>
        </is>
      </c>
      <c r="G13" s="1" t="inlineStr">
        <is>
          <t>.00</t>
        </is>
      </c>
      <c r="H13" s="1" t="inlineStr">
        <is>
          <t>.00</t>
        </is>
      </c>
      <c r="I13" s="1" t="inlineStr">
        <is>
          <t>.00</t>
        </is>
      </c>
      <c r="J13" s="1" t="inlineStr">
        <is>
          <t>.00</t>
        </is>
      </c>
      <c r="K13" s="1" t="inlineStr">
        <is>
          <t>.00</t>
        </is>
      </c>
      <c r="L13" s="1" t="inlineStr">
        <is>
          <t>.00</t>
        </is>
      </c>
      <c r="M13" s="1" t="inlineStr">
        <is>
          <t>.00</t>
        </is>
      </c>
      <c r="N13" s="1" t="inlineStr">
        <is>
          <t>.00</t>
        </is>
      </c>
      <c r="O13" s="1" t="inlineStr">
        <is>
          <t>.00</t>
        </is>
      </c>
      <c r="P13" s="1" t="inlineStr">
        <is>
          <t>.00</t>
        </is>
      </c>
      <c r="Q13" s="1" t="inlineStr">
        <is>
          <t>.00</t>
        </is>
      </c>
      <c r="R13" s="1" t="inlineStr">
        <is>
          <t>.00</t>
        </is>
      </c>
      <c r="S13" s="1" t="inlineStr">
        <is>
          <t>.00</t>
        </is>
      </c>
      <c r="T13" s="1" t="inlineStr">
        <is>
          <t>.00</t>
        </is>
      </c>
      <c r="U13" s="1" t="inlineStr">
        <is>
          <t>.00</t>
        </is>
      </c>
      <c r="V13" s="1" t="inlineStr">
        <is>
          <t>.00</t>
        </is>
      </c>
      <c r="W13" s="1" t="inlineStr">
        <is>
          <t>.00</t>
        </is>
      </c>
      <c r="X13" s="1" t="inlineStr">
        <is>
          <t>.00</t>
        </is>
      </c>
      <c r="Y13" s="1" t="inlineStr">
        <is>
          <t>.00</t>
        </is>
      </c>
      <c r="Z13" s="1" t="inlineStr">
        <is>
          <t>.00</t>
        </is>
      </c>
      <c r="AA13" s="1" t="inlineStr">
        <is>
          <t>.00</t>
        </is>
      </c>
      <c r="AB13" s="1" t="inlineStr">
        <is>
          <t>.00</t>
        </is>
      </c>
      <c r="AC13" s="1" t="inlineStr">
        <is>
          <t>.00</t>
        </is>
      </c>
      <c r="AD13" s="1" t="inlineStr">
        <is>
          <t>.00</t>
        </is>
      </c>
      <c r="AE13" s="1" t="inlineStr">
        <is>
          <t>.00</t>
        </is>
      </c>
      <c r="AF13" s="1" t="inlineStr">
        <is>
          <t>.00</t>
        </is>
      </c>
      <c r="AG13" s="1" t="inlineStr">
        <is>
          <t>.00</t>
        </is>
      </c>
      <c r="AH13" s="1" t="inlineStr">
        <is>
          <t>.00</t>
        </is>
      </c>
      <c r="AI13" s="1" t="inlineStr">
        <is>
          <t>.00</t>
        </is>
      </c>
      <c r="AJ13" s="465">
        <v>43056.2298890509</v>
      </c>
    </row>
    <row spans="1:36" outlineLevel="0" r="14">
      <c r="A14" s="1" t="inlineStr">
        <is>
          <t>202610</t>
        </is>
      </c>
      <c r="B14" s="1" t="inlineStr">
        <is>
          <t>M</t>
        </is>
      </c>
      <c r="C14" s="1" t="inlineStr">
        <is>
          <t>3</t>
        </is>
      </c>
      <c r="D14" s="1" t="inlineStr">
        <is>
          <t>.00</t>
        </is>
      </c>
      <c r="E14" s="1" t="inlineStr">
        <is>
          <t>.00</t>
        </is>
      </c>
      <c r="F14" s="1" t="inlineStr">
        <is>
          <t>.00</t>
        </is>
      </c>
      <c r="G14" s="1" t="inlineStr">
        <is>
          <t>.00</t>
        </is>
      </c>
      <c r="H14" s="1" t="inlineStr">
        <is>
          <t>.00</t>
        </is>
      </c>
      <c r="I14" s="1" t="inlineStr">
        <is>
          <t>.00</t>
        </is>
      </c>
      <c r="J14" s="1" t="inlineStr">
        <is>
          <t>.00</t>
        </is>
      </c>
      <c r="K14" s="1" t="inlineStr">
        <is>
          <t>.00</t>
        </is>
      </c>
      <c r="L14" s="1" t="inlineStr">
        <is>
          <t>.00</t>
        </is>
      </c>
      <c r="M14" s="1" t="inlineStr">
        <is>
          <t>.00</t>
        </is>
      </c>
      <c r="N14" s="1" t="inlineStr">
        <is>
          <t>.00</t>
        </is>
      </c>
      <c r="O14" s="1" t="inlineStr">
        <is>
          <t>.00</t>
        </is>
      </c>
      <c r="P14" s="1" t="inlineStr">
        <is>
          <t>.00</t>
        </is>
      </c>
      <c r="Q14" s="1" t="inlineStr">
        <is>
          <t>.00</t>
        </is>
      </c>
      <c r="R14" s="1" t="inlineStr">
        <is>
          <t>.00</t>
        </is>
      </c>
      <c r="S14" s="1" t="inlineStr">
        <is>
          <t>.00</t>
        </is>
      </c>
      <c r="T14" s="1" t="inlineStr">
        <is>
          <t>.00</t>
        </is>
      </c>
      <c r="U14" s="1" t="inlineStr">
        <is>
          <t>.00</t>
        </is>
      </c>
      <c r="V14" s="1" t="inlineStr">
        <is>
          <t>.00</t>
        </is>
      </c>
      <c r="W14" s="1" t="inlineStr">
        <is>
          <t>.00</t>
        </is>
      </c>
      <c r="X14" s="1" t="inlineStr">
        <is>
          <t>.00</t>
        </is>
      </c>
      <c r="Y14" s="1" t="inlineStr">
        <is>
          <t>.00</t>
        </is>
      </c>
      <c r="Z14" s="1" t="inlineStr">
        <is>
          <t>.00</t>
        </is>
      </c>
      <c r="AA14" s="1" t="inlineStr">
        <is>
          <t>.00</t>
        </is>
      </c>
      <c r="AB14" s="1" t="inlineStr">
        <is>
          <t>.00</t>
        </is>
      </c>
      <c r="AC14" s="1" t="inlineStr">
        <is>
          <t>.00</t>
        </is>
      </c>
      <c r="AD14" s="1" t="inlineStr">
        <is>
          <t>.00</t>
        </is>
      </c>
      <c r="AE14" s="1" t="inlineStr">
        <is>
          <t>.00</t>
        </is>
      </c>
      <c r="AF14" s="1" t="inlineStr">
        <is>
          <t>.00</t>
        </is>
      </c>
      <c r="AG14" s="1" t="inlineStr">
        <is>
          <t>.00</t>
        </is>
      </c>
      <c r="AH14" s="1" t="inlineStr">
        <is>
          <t>.00</t>
        </is>
      </c>
      <c r="AI14" s="1" t="inlineStr">
        <is>
          <t>.00</t>
        </is>
      </c>
      <c r="AJ14" s="465">
        <v>43056.2298890509</v>
      </c>
    </row>
    <row spans="1:36" outlineLevel="0" r="15">
      <c r="A15" s="1" t="inlineStr">
        <is>
          <t>202610</t>
        </is>
      </c>
      <c r="B15" s="1" t="inlineStr">
        <is>
          <t>N</t>
        </is>
      </c>
      <c r="C15" s="1" t="inlineStr">
        <is>
          <t>3</t>
        </is>
      </c>
      <c r="D15" s="1" t="inlineStr">
        <is>
          <t>19635.00</t>
        </is>
      </c>
      <c r="E15" s="1" t="inlineStr">
        <is>
          <t>19635.00</t>
        </is>
      </c>
      <c r="F15" s="1" t="inlineStr">
        <is>
          <t>19633.00</t>
        </is>
      </c>
      <c r="G15" s="1" t="inlineStr">
        <is>
          <t>19633.00</t>
        </is>
      </c>
      <c r="H15" s="1" t="inlineStr">
        <is>
          <t>19634.00</t>
        </is>
      </c>
      <c r="I15" s="1" t="inlineStr">
        <is>
          <t>19906.00</t>
        </is>
      </c>
      <c r="J15" s="1" t="inlineStr">
        <is>
          <t>19908.00</t>
        </is>
      </c>
      <c r="K15" s="1" t="inlineStr">
        <is>
          <t>19908.00</t>
        </is>
      </c>
      <c r="L15" s="1" t="inlineStr">
        <is>
          <t>19908.00</t>
        </is>
      </c>
      <c r="M15" s="1" t="inlineStr">
        <is>
          <t>19908.00</t>
        </is>
      </c>
      <c r="N15" s="1" t="inlineStr">
        <is>
          <t>19908.00</t>
        </is>
      </c>
      <c r="O15" s="1" t="inlineStr">
        <is>
          <t>19908.00</t>
        </is>
      </c>
      <c r="P15" s="1" t="inlineStr">
        <is>
          <t>19908.00</t>
        </is>
      </c>
      <c r="Q15" s="1" t="inlineStr">
        <is>
          <t>18814.00</t>
        </is>
      </c>
      <c r="R15" s="1" t="inlineStr">
        <is>
          <t>18814.00</t>
        </is>
      </c>
      <c r="S15" s="1" t="inlineStr">
        <is>
          <t>18814.00</t>
        </is>
      </c>
      <c r="T15" s="1" t="inlineStr">
        <is>
          <t>18814.00</t>
        </is>
      </c>
      <c r="U15" s="1" t="inlineStr">
        <is>
          <t>18814.00</t>
        </is>
      </c>
      <c r="V15" s="1" t="inlineStr">
        <is>
          <t>18814.00</t>
        </is>
      </c>
      <c r="W15" s="1" t="inlineStr">
        <is>
          <t>18814.00</t>
        </is>
      </c>
      <c r="X15" s="1" t="inlineStr">
        <is>
          <t>18814.00</t>
        </is>
      </c>
      <c r="Y15" s="1" t="inlineStr">
        <is>
          <t>18814.00</t>
        </is>
      </c>
      <c r="Z15" s="1" t="inlineStr">
        <is>
          <t>18814.00</t>
        </is>
      </c>
      <c r="AA15" s="1" t="inlineStr">
        <is>
          <t>18814.00</t>
        </is>
      </c>
      <c r="AB15" s="1" t="inlineStr">
        <is>
          <t>18814.00</t>
        </is>
      </c>
      <c r="AC15" s="1" t="inlineStr">
        <is>
          <t>18814.00</t>
        </is>
      </c>
      <c r="AD15" s="1" t="inlineStr">
        <is>
          <t>20539.00</t>
        </is>
      </c>
      <c r="AE15" s="1" t="inlineStr">
        <is>
          <t>20539.00</t>
        </is>
      </c>
      <c r="AF15" s="1" t="inlineStr">
        <is>
          <t>20689.00</t>
        </is>
      </c>
      <c r="AG15" s="1" t="inlineStr">
        <is>
          <t>20689.00</t>
        </is>
      </c>
      <c r="AH15" s="1" t="inlineStr">
        <is>
          <t>.00</t>
        </is>
      </c>
      <c r="AI15" s="1" t="inlineStr">
        <is>
          <t>19482.33</t>
        </is>
      </c>
      <c r="AJ15" s="465">
        <v>43056.2298890509</v>
      </c>
    </row>
    <row spans="1:36" outlineLevel="0" r="16">
      <c r="A16" s="1" t="inlineStr">
        <is>
          <t>202610</t>
        </is>
      </c>
      <c r="B16" s="1" t="inlineStr">
        <is>
          <t>O</t>
        </is>
      </c>
      <c r="C16" s="1" t="inlineStr">
        <is>
          <t>3</t>
        </is>
      </c>
      <c r="D16" s="1" t="inlineStr">
        <is>
          <t>.00</t>
        </is>
      </c>
      <c r="E16" s="1" t="inlineStr">
        <is>
          <t>.00</t>
        </is>
      </c>
      <c r="F16" s="1" t="inlineStr">
        <is>
          <t>.00</t>
        </is>
      </c>
      <c r="G16" s="1" t="inlineStr">
        <is>
          <t>.00</t>
        </is>
      </c>
      <c r="H16" s="1" t="inlineStr">
        <is>
          <t>.00</t>
        </is>
      </c>
      <c r="I16" s="1" t="inlineStr">
        <is>
          <t>.00</t>
        </is>
      </c>
      <c r="J16" s="1" t="inlineStr">
        <is>
          <t>.00</t>
        </is>
      </c>
      <c r="K16" s="1" t="inlineStr">
        <is>
          <t>.00</t>
        </is>
      </c>
      <c r="L16" s="1" t="inlineStr">
        <is>
          <t>.00</t>
        </is>
      </c>
      <c r="M16" s="1" t="inlineStr">
        <is>
          <t>.00</t>
        </is>
      </c>
      <c r="N16" s="1" t="inlineStr">
        <is>
          <t>.00</t>
        </is>
      </c>
      <c r="O16" s="1" t="inlineStr">
        <is>
          <t>.00</t>
        </is>
      </c>
      <c r="P16" s="1" t="inlineStr">
        <is>
          <t>.00</t>
        </is>
      </c>
      <c r="Q16" s="1" t="inlineStr">
        <is>
          <t>.00</t>
        </is>
      </c>
      <c r="R16" s="1" t="inlineStr">
        <is>
          <t>.00</t>
        </is>
      </c>
      <c r="S16" s="1" t="inlineStr">
        <is>
          <t>.00</t>
        </is>
      </c>
      <c r="T16" s="1" t="inlineStr">
        <is>
          <t>.00</t>
        </is>
      </c>
      <c r="U16" s="1" t="inlineStr">
        <is>
          <t>.00</t>
        </is>
      </c>
      <c r="V16" s="1" t="inlineStr">
        <is>
          <t>.00</t>
        </is>
      </c>
      <c r="W16" s="1" t="inlineStr">
        <is>
          <t>.00</t>
        </is>
      </c>
      <c r="X16" s="1" t="inlineStr">
        <is>
          <t>.00</t>
        </is>
      </c>
      <c r="Y16" s="1" t="inlineStr">
        <is>
          <t>.00</t>
        </is>
      </c>
      <c r="Z16" s="1" t="inlineStr">
        <is>
          <t>.00</t>
        </is>
      </c>
      <c r="AA16" s="1" t="inlineStr">
        <is>
          <t>.00</t>
        </is>
      </c>
      <c r="AB16" s="1" t="inlineStr">
        <is>
          <t>.00</t>
        </is>
      </c>
      <c r="AC16" s="1" t="inlineStr">
        <is>
          <t>.00</t>
        </is>
      </c>
      <c r="AD16" s="1" t="inlineStr">
        <is>
          <t>.00</t>
        </is>
      </c>
      <c r="AE16" s="1" t="inlineStr">
        <is>
          <t>.00</t>
        </is>
      </c>
      <c r="AF16" s="1" t="inlineStr">
        <is>
          <t>.00</t>
        </is>
      </c>
      <c r="AG16" s="1" t="inlineStr">
        <is>
          <t>.00</t>
        </is>
      </c>
      <c r="AH16" s="1" t="inlineStr">
        <is>
          <t>.00</t>
        </is>
      </c>
      <c r="AI16" s="1" t="inlineStr">
        <is>
          <t>.00</t>
        </is>
      </c>
      <c r="AJ16" s="465">
        <v>43056.2298890509</v>
      </c>
    </row>
    <row spans="1:36" outlineLevel="0" r="17">
      <c r="A17" s="1" t="inlineStr">
        <is>
          <t>202610</t>
        </is>
      </c>
      <c r="B17" s="1" t="inlineStr">
        <is>
          <t>P</t>
        </is>
      </c>
      <c r="C17" s="1" t="inlineStr">
        <is>
          <t>1</t>
        </is>
      </c>
      <c r="D17" s="1" t="inlineStr">
        <is>
          <t>.00</t>
        </is>
      </c>
      <c r="E17" s="1" t="inlineStr">
        <is>
          <t>.00</t>
        </is>
      </c>
      <c r="F17" s="1" t="inlineStr">
        <is>
          <t>.00</t>
        </is>
      </c>
      <c r="G17" s="1" t="inlineStr">
        <is>
          <t>.00</t>
        </is>
      </c>
      <c r="H17" s="1" t="inlineStr">
        <is>
          <t>.00</t>
        </is>
      </c>
      <c r="I17" s="1" t="inlineStr">
        <is>
          <t>.00</t>
        </is>
      </c>
      <c r="J17" s="1" t="inlineStr">
        <is>
          <t>.00</t>
        </is>
      </c>
      <c r="K17" s="1" t="inlineStr">
        <is>
          <t>.00</t>
        </is>
      </c>
      <c r="L17" s="1" t="inlineStr">
        <is>
          <t>.00</t>
        </is>
      </c>
      <c r="M17" s="1" t="inlineStr">
        <is>
          <t>.00</t>
        </is>
      </c>
      <c r="N17" s="1" t="inlineStr">
        <is>
          <t>.00</t>
        </is>
      </c>
      <c r="O17" s="1" t="inlineStr">
        <is>
          <t>.00</t>
        </is>
      </c>
      <c r="P17" s="1" t="inlineStr">
        <is>
          <t>.00</t>
        </is>
      </c>
      <c r="Q17" s="1" t="inlineStr">
        <is>
          <t>.00</t>
        </is>
      </c>
      <c r="R17" s="1" t="inlineStr">
        <is>
          <t>.00</t>
        </is>
      </c>
      <c r="S17" s="1" t="inlineStr">
        <is>
          <t>.00</t>
        </is>
      </c>
      <c r="T17" s="1" t="inlineStr">
        <is>
          <t>.00</t>
        </is>
      </c>
      <c r="U17" s="1" t="inlineStr">
        <is>
          <t>.00</t>
        </is>
      </c>
      <c r="V17" s="1" t="inlineStr">
        <is>
          <t>.00</t>
        </is>
      </c>
      <c r="W17" s="1" t="inlineStr">
        <is>
          <t>.00</t>
        </is>
      </c>
      <c r="X17" s="1" t="inlineStr">
        <is>
          <t>.00</t>
        </is>
      </c>
      <c r="Y17" s="1" t="inlineStr">
        <is>
          <t>.00</t>
        </is>
      </c>
      <c r="Z17" s="1" t="inlineStr">
        <is>
          <t>.00</t>
        </is>
      </c>
      <c r="AA17" s="1" t="inlineStr">
        <is>
          <t>.00</t>
        </is>
      </c>
      <c r="AB17" s="1" t="inlineStr">
        <is>
          <t>.00</t>
        </is>
      </c>
      <c r="AC17" s="1" t="inlineStr">
        <is>
          <t>.00</t>
        </is>
      </c>
      <c r="AD17" s="1" t="inlineStr">
        <is>
          <t>.00</t>
        </is>
      </c>
      <c r="AE17" s="1" t="inlineStr">
        <is>
          <t>.00</t>
        </is>
      </c>
      <c r="AF17" s="1" t="inlineStr">
        <is>
          <t>.00</t>
        </is>
      </c>
      <c r="AG17" s="1" t="inlineStr">
        <is>
          <t>.00</t>
        </is>
      </c>
      <c r="AH17" s="1" t="inlineStr">
        <is>
          <t>.00</t>
        </is>
      </c>
      <c r="AI17" s="1" t="inlineStr">
        <is>
          <t>.00</t>
        </is>
      </c>
      <c r="AJ17" s="465">
        <v>43056.2298890509</v>
      </c>
    </row>
    <row spans="1:36" outlineLevel="0" r="18">
      <c r="A18" s="1" t="inlineStr">
        <is>
          <t>202610</t>
        </is>
      </c>
      <c r="B18" s="1" t="inlineStr">
        <is>
          <t>Q</t>
        </is>
      </c>
      <c r="C18" s="1" t="inlineStr">
        <is>
          <t>3</t>
        </is>
      </c>
      <c r="D18" s="1" t="inlineStr">
        <is>
          <t>.00</t>
        </is>
      </c>
      <c r="E18" s="1" t="inlineStr">
        <is>
          <t>.00</t>
        </is>
      </c>
      <c r="F18" s="1" t="inlineStr">
        <is>
          <t>.00</t>
        </is>
      </c>
      <c r="G18" s="1" t="inlineStr">
        <is>
          <t>.00</t>
        </is>
      </c>
      <c r="H18" s="1" t="inlineStr">
        <is>
          <t>.00</t>
        </is>
      </c>
      <c r="I18" s="1" t="inlineStr">
        <is>
          <t>.00</t>
        </is>
      </c>
      <c r="J18" s="1" t="inlineStr">
        <is>
          <t>.00</t>
        </is>
      </c>
      <c r="K18" s="1" t="inlineStr">
        <is>
          <t>.00</t>
        </is>
      </c>
      <c r="L18" s="1" t="inlineStr">
        <is>
          <t>.00</t>
        </is>
      </c>
      <c r="M18" s="1" t="inlineStr">
        <is>
          <t>.00</t>
        </is>
      </c>
      <c r="N18" s="1" t="inlineStr">
        <is>
          <t>.00</t>
        </is>
      </c>
      <c r="O18" s="1" t="inlineStr">
        <is>
          <t>.00</t>
        </is>
      </c>
      <c r="P18" s="1" t="inlineStr">
        <is>
          <t>.00</t>
        </is>
      </c>
      <c r="Q18" s="1" t="inlineStr">
        <is>
          <t>.00</t>
        </is>
      </c>
      <c r="R18" s="1" t="inlineStr">
        <is>
          <t>.00</t>
        </is>
      </c>
      <c r="S18" s="1" t="inlineStr">
        <is>
          <t>.00</t>
        </is>
      </c>
      <c r="T18" s="1" t="inlineStr">
        <is>
          <t>.00</t>
        </is>
      </c>
      <c r="U18" s="1" t="inlineStr">
        <is>
          <t>.00</t>
        </is>
      </c>
      <c r="V18" s="1" t="inlineStr">
        <is>
          <t>.00</t>
        </is>
      </c>
      <c r="W18" s="1" t="inlineStr">
        <is>
          <t>.00</t>
        </is>
      </c>
      <c r="X18" s="1" t="inlineStr">
        <is>
          <t>.00</t>
        </is>
      </c>
      <c r="Y18" s="1" t="inlineStr">
        <is>
          <t>.00</t>
        </is>
      </c>
      <c r="Z18" s="1" t="inlineStr">
        <is>
          <t>.00</t>
        </is>
      </c>
      <c r="AA18" s="1" t="inlineStr">
        <is>
          <t>.00</t>
        </is>
      </c>
      <c r="AB18" s="1" t="inlineStr">
        <is>
          <t>.00</t>
        </is>
      </c>
      <c r="AC18" s="1" t="inlineStr">
        <is>
          <t>.00</t>
        </is>
      </c>
      <c r="AD18" s="1" t="inlineStr">
        <is>
          <t>.00</t>
        </is>
      </c>
      <c r="AE18" s="1" t="inlineStr">
        <is>
          <t>.00</t>
        </is>
      </c>
      <c r="AF18" s="1" t="inlineStr">
        <is>
          <t>.00</t>
        </is>
      </c>
      <c r="AG18" s="1" t="inlineStr">
        <is>
          <t>.00</t>
        </is>
      </c>
      <c r="AH18" s="1" t="inlineStr">
        <is>
          <t>.00</t>
        </is>
      </c>
      <c r="AI18" s="1" t="inlineStr">
        <is>
          <t>.00</t>
        </is>
      </c>
      <c r="AJ18" s="465">
        <v>43056.2298890509</v>
      </c>
    </row>
    <row spans="1:36" outlineLevel="0" r="19">
      <c r="A19" s="1" t="inlineStr">
        <is>
          <t>202610</t>
        </is>
      </c>
      <c r="B19" s="1" t="inlineStr">
        <is>
          <t>S</t>
        </is>
      </c>
      <c r="C19" s="1" t="inlineStr">
        <is>
          <t>3</t>
        </is>
      </c>
      <c r="D19" s="1" t="inlineStr">
        <is>
          <t>.00</t>
        </is>
      </c>
      <c r="E19" s="1" t="inlineStr">
        <is>
          <t>.00</t>
        </is>
      </c>
      <c r="F19" s="1" t="inlineStr">
        <is>
          <t>.00</t>
        </is>
      </c>
      <c r="G19" s="1" t="inlineStr">
        <is>
          <t>.00</t>
        </is>
      </c>
      <c r="H19" s="1" t="inlineStr">
        <is>
          <t>.00</t>
        </is>
      </c>
      <c r="I19" s="1" t="inlineStr">
        <is>
          <t>.00</t>
        </is>
      </c>
      <c r="J19" s="1" t="inlineStr">
        <is>
          <t>.00</t>
        </is>
      </c>
      <c r="K19" s="1" t="inlineStr">
        <is>
          <t>.00</t>
        </is>
      </c>
      <c r="L19" s="1" t="inlineStr">
        <is>
          <t>.00</t>
        </is>
      </c>
      <c r="M19" s="1" t="inlineStr">
        <is>
          <t>.00</t>
        </is>
      </c>
      <c r="N19" s="1" t="inlineStr">
        <is>
          <t>.00</t>
        </is>
      </c>
      <c r="O19" s="1" t="inlineStr">
        <is>
          <t>.00</t>
        </is>
      </c>
      <c r="P19" s="1" t="inlineStr">
        <is>
          <t>.00</t>
        </is>
      </c>
      <c r="Q19" s="1" t="inlineStr">
        <is>
          <t>.00</t>
        </is>
      </c>
      <c r="R19" s="1" t="inlineStr">
        <is>
          <t>.00</t>
        </is>
      </c>
      <c r="S19" s="1" t="inlineStr">
        <is>
          <t>.00</t>
        </is>
      </c>
      <c r="T19" s="1" t="inlineStr">
        <is>
          <t>.00</t>
        </is>
      </c>
      <c r="U19" s="1" t="inlineStr">
        <is>
          <t>.00</t>
        </is>
      </c>
      <c r="V19" s="1" t="inlineStr">
        <is>
          <t>.00</t>
        </is>
      </c>
      <c r="W19" s="1" t="inlineStr">
        <is>
          <t>.00</t>
        </is>
      </c>
      <c r="X19" s="1" t="inlineStr">
        <is>
          <t>.00</t>
        </is>
      </c>
      <c r="Y19" s="1" t="inlineStr">
        <is>
          <t>.00</t>
        </is>
      </c>
      <c r="Z19" s="1" t="inlineStr">
        <is>
          <t>.00</t>
        </is>
      </c>
      <c r="AA19" s="1" t="inlineStr">
        <is>
          <t>.00</t>
        </is>
      </c>
      <c r="AB19" s="1" t="inlineStr">
        <is>
          <t>.00</t>
        </is>
      </c>
      <c r="AC19" s="1" t="inlineStr">
        <is>
          <t>.00</t>
        </is>
      </c>
      <c r="AD19" s="1" t="inlineStr">
        <is>
          <t>.00</t>
        </is>
      </c>
      <c r="AE19" s="1" t="inlineStr">
        <is>
          <t>.00</t>
        </is>
      </c>
      <c r="AF19" s="1" t="inlineStr">
        <is>
          <t>.00</t>
        </is>
      </c>
      <c r="AG19" s="1" t="inlineStr">
        <is>
          <t>.00</t>
        </is>
      </c>
      <c r="AH19" s="1" t="inlineStr">
        <is>
          <t>.00</t>
        </is>
      </c>
      <c r="AI19" s="1" t="inlineStr">
        <is>
          <t>.00</t>
        </is>
      </c>
      <c r="AJ19" s="465">
        <v>43056.2298890509</v>
      </c>
    </row>
    <row spans="1:36" outlineLevel="0" r="20">
      <c r="A20" s="1" t="inlineStr">
        <is>
          <t>202610</t>
        </is>
      </c>
      <c r="B20" s="1" t="inlineStr">
        <is>
          <t>T</t>
        </is>
      </c>
      <c r="C20" s="1" t="inlineStr">
        <is>
          <t>3</t>
        </is>
      </c>
      <c r="D20" s="1" t="inlineStr">
        <is>
          <t>.00</t>
        </is>
      </c>
      <c r="E20" s="1" t="inlineStr">
        <is>
          <t>.00</t>
        </is>
      </c>
      <c r="F20" s="1" t="inlineStr">
        <is>
          <t>.00</t>
        </is>
      </c>
      <c r="G20" s="1" t="inlineStr">
        <is>
          <t>.00</t>
        </is>
      </c>
      <c r="H20" s="1" t="inlineStr">
        <is>
          <t>.00</t>
        </is>
      </c>
      <c r="I20" s="1" t="inlineStr">
        <is>
          <t>.00</t>
        </is>
      </c>
      <c r="J20" s="1" t="inlineStr">
        <is>
          <t>.00</t>
        </is>
      </c>
      <c r="K20" s="1" t="inlineStr">
        <is>
          <t>.00</t>
        </is>
      </c>
      <c r="L20" s="1" t="inlineStr">
        <is>
          <t>.00</t>
        </is>
      </c>
      <c r="M20" s="1" t="inlineStr">
        <is>
          <t>.00</t>
        </is>
      </c>
      <c r="N20" s="1" t="inlineStr">
        <is>
          <t>.00</t>
        </is>
      </c>
      <c r="O20" s="1" t="inlineStr">
        <is>
          <t>.00</t>
        </is>
      </c>
      <c r="P20" s="1" t="inlineStr">
        <is>
          <t>.00</t>
        </is>
      </c>
      <c r="Q20" s="1" t="inlineStr">
        <is>
          <t>.00</t>
        </is>
      </c>
      <c r="R20" s="1" t="inlineStr">
        <is>
          <t>.00</t>
        </is>
      </c>
      <c r="S20" s="1" t="inlineStr">
        <is>
          <t>.00</t>
        </is>
      </c>
      <c r="T20" s="1" t="inlineStr">
        <is>
          <t>.00</t>
        </is>
      </c>
      <c r="U20" s="1" t="inlineStr">
        <is>
          <t>.00</t>
        </is>
      </c>
      <c r="V20" s="1" t="inlineStr">
        <is>
          <t>.00</t>
        </is>
      </c>
      <c r="W20" s="1" t="inlineStr">
        <is>
          <t>.00</t>
        </is>
      </c>
      <c r="X20" s="1" t="inlineStr">
        <is>
          <t>.00</t>
        </is>
      </c>
      <c r="Y20" s="1" t="inlineStr">
        <is>
          <t>.00</t>
        </is>
      </c>
      <c r="Z20" s="1" t="inlineStr">
        <is>
          <t>.00</t>
        </is>
      </c>
      <c r="AA20" s="1" t="inlineStr">
        <is>
          <t>.00</t>
        </is>
      </c>
      <c r="AB20" s="1" t="inlineStr">
        <is>
          <t>.00</t>
        </is>
      </c>
      <c r="AC20" s="1" t="inlineStr">
        <is>
          <t>.00</t>
        </is>
      </c>
      <c r="AD20" s="1" t="inlineStr">
        <is>
          <t>.00</t>
        </is>
      </c>
      <c r="AE20" s="1" t="inlineStr">
        <is>
          <t>.00</t>
        </is>
      </c>
      <c r="AF20" s="1" t="inlineStr">
        <is>
          <t>.00</t>
        </is>
      </c>
      <c r="AG20" s="1" t="inlineStr">
        <is>
          <t>.00</t>
        </is>
      </c>
      <c r="AH20" s="1" t="inlineStr">
        <is>
          <t>.00</t>
        </is>
      </c>
      <c r="AI20" s="1" t="inlineStr">
        <is>
          <t>.00</t>
        </is>
      </c>
      <c r="AJ20" s="465">
        <v>43056.2298890509</v>
      </c>
    </row>
    <row spans="1:36" outlineLevel="0" r="21">
      <c r="A21" s="1" t="inlineStr">
        <is>
          <t>202610</t>
        </is>
      </c>
      <c r="B21" s="1" t="inlineStr">
        <is>
          <t>V</t>
        </is>
      </c>
      <c r="C21" s="1" t="inlineStr">
        <is>
          <t>3</t>
        </is>
      </c>
      <c r="D21" s="1" t="inlineStr">
        <is>
          <t>.00</t>
        </is>
      </c>
      <c r="E21" s="1" t="inlineStr">
        <is>
          <t>.00</t>
        </is>
      </c>
      <c r="F21" s="1" t="inlineStr">
        <is>
          <t>.00</t>
        </is>
      </c>
      <c r="G21" s="1" t="inlineStr">
        <is>
          <t>.00</t>
        </is>
      </c>
      <c r="H21" s="1" t="inlineStr">
        <is>
          <t>.00</t>
        </is>
      </c>
      <c r="I21" s="1" t="inlineStr">
        <is>
          <t>.00</t>
        </is>
      </c>
      <c r="J21" s="1" t="inlineStr">
        <is>
          <t>.00</t>
        </is>
      </c>
      <c r="K21" s="1" t="inlineStr">
        <is>
          <t>.00</t>
        </is>
      </c>
      <c r="L21" s="1" t="inlineStr">
        <is>
          <t>.00</t>
        </is>
      </c>
      <c r="M21" s="1" t="inlineStr">
        <is>
          <t>.00</t>
        </is>
      </c>
      <c r="N21" s="1" t="inlineStr">
        <is>
          <t>.00</t>
        </is>
      </c>
      <c r="O21" s="1" t="inlineStr">
        <is>
          <t>.00</t>
        </is>
      </c>
      <c r="P21" s="1" t="inlineStr">
        <is>
          <t>.00</t>
        </is>
      </c>
      <c r="Q21" s="1" t="inlineStr">
        <is>
          <t>.00</t>
        </is>
      </c>
      <c r="R21" s="1" t="inlineStr">
        <is>
          <t>.00</t>
        </is>
      </c>
      <c r="S21" s="1" t="inlineStr">
        <is>
          <t>.00</t>
        </is>
      </c>
      <c r="T21" s="1" t="inlineStr">
        <is>
          <t>.00</t>
        </is>
      </c>
      <c r="U21" s="1" t="inlineStr">
        <is>
          <t>.00</t>
        </is>
      </c>
      <c r="V21" s="1" t="inlineStr">
        <is>
          <t>.00</t>
        </is>
      </c>
      <c r="W21" s="1" t="inlineStr">
        <is>
          <t>.00</t>
        </is>
      </c>
      <c r="X21" s="1" t="inlineStr">
        <is>
          <t>.00</t>
        </is>
      </c>
      <c r="Y21" s="1" t="inlineStr">
        <is>
          <t>.00</t>
        </is>
      </c>
      <c r="Z21" s="1" t="inlineStr">
        <is>
          <t>.00</t>
        </is>
      </c>
      <c r="AA21" s="1" t="inlineStr">
        <is>
          <t>.00</t>
        </is>
      </c>
      <c r="AB21" s="1" t="inlineStr">
        <is>
          <t>.00</t>
        </is>
      </c>
      <c r="AC21" s="1" t="inlineStr">
        <is>
          <t>.00</t>
        </is>
      </c>
      <c r="AD21" s="1" t="inlineStr">
        <is>
          <t>.00</t>
        </is>
      </c>
      <c r="AE21" s="1" t="inlineStr">
        <is>
          <t>.00</t>
        </is>
      </c>
      <c r="AF21" s="1" t="inlineStr">
        <is>
          <t>.00</t>
        </is>
      </c>
      <c r="AG21" s="1" t="inlineStr">
        <is>
          <t>.00</t>
        </is>
      </c>
      <c r="AH21" s="1" t="inlineStr">
        <is>
          <t>.00</t>
        </is>
      </c>
      <c r="AI21" s="1" t="inlineStr">
        <is>
          <t>.00</t>
        </is>
      </c>
      <c r="AJ21" s="465">
        <v>43056.2298890509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F00-000000000000}">
  <dimension ref="A1:AC1351"/>
  <sheetViews>
    <sheetView workbookViewId="0" rightToLeft="false">
      <selection activeCell="K17" sqref="K17"/>
    </sheetView>
  </sheetViews>
  <sheetFormatPr defaultRowHeight="17"/>
  <cols>
    <col min="16" max="16" width="10.7265625" customWidth="1"/>
    <col min="17" max="17" width="11.7265625" customWidth="1"/>
    <col min="21" max="21" width="16.08984375" customWidth="1"/>
  </cols>
  <sheetData>
    <row spans="1:29" outlineLevel="0" r="1">
      <c r="A1" s="1" t="inlineStr">
        <is>
          <t>YY</t>
        </is>
      </c>
      <c r="B1" s="1" t="inlineStr">
        <is>
          <t>FRCD</t>
        </is>
      </c>
      <c r="C1" s="1" t="inlineStr">
        <is>
          <t>MONTH01</t>
        </is>
      </c>
      <c r="D1" s="1" t="inlineStr">
        <is>
          <t>MONTH02</t>
        </is>
      </c>
      <c r="E1" s="1" t="inlineStr">
        <is>
          <t>MONTH03</t>
        </is>
      </c>
      <c r="F1" s="1" t="inlineStr">
        <is>
          <t>MONTH04</t>
        </is>
      </c>
      <c r="G1" s="1" t="inlineStr">
        <is>
          <t>MONTH05</t>
        </is>
      </c>
      <c r="H1" s="1" t="inlineStr">
        <is>
          <t>MONTH06</t>
        </is>
      </c>
      <c r="I1" s="1" t="inlineStr">
        <is>
          <t>MONTH07</t>
        </is>
      </c>
      <c r="J1" s="1" t="inlineStr">
        <is>
          <t>MONTH08</t>
        </is>
      </c>
      <c r="K1" s="1" t="inlineStr">
        <is>
          <t>MONTH09</t>
        </is>
      </c>
      <c r="L1" s="1" t="inlineStr">
        <is>
          <t>MONTH10</t>
        </is>
      </c>
      <c r="M1" s="1" t="inlineStr">
        <is>
          <t>MONTH11</t>
        </is>
      </c>
      <c r="N1" s="1" t="inlineStr">
        <is>
          <t>MONTH12</t>
        </is>
      </c>
      <c r="O1" s="1" t="inlineStr">
        <is>
          <t>AVGAMT</t>
        </is>
      </c>
      <c r="P1" s="1" t="inlineStr">
        <is>
          <t>MONTH01E</t>
        </is>
      </c>
      <c r="Q1" s="1" t="inlineStr">
        <is>
          <t>MONTH02E</t>
        </is>
      </c>
      <c r="R1" s="1" t="inlineStr">
        <is>
          <t>MONTH03E</t>
        </is>
      </c>
      <c r="S1" s="1" t="inlineStr">
        <is>
          <t>MONTH04E</t>
        </is>
      </c>
      <c r="T1" s="1" t="inlineStr">
        <is>
          <t>MONTH05E</t>
        </is>
      </c>
      <c r="U1" s="1" t="inlineStr">
        <is>
          <t>MONTH06E</t>
        </is>
      </c>
      <c r="V1" s="1" t="inlineStr">
        <is>
          <t>MONTH07E</t>
        </is>
      </c>
      <c r="W1" s="1" t="inlineStr">
        <is>
          <t>MONTH08E</t>
        </is>
      </c>
      <c r="X1" s="1" t="inlineStr">
        <is>
          <t>MONTH09E</t>
        </is>
      </c>
      <c r="Y1" s="1" t="inlineStr">
        <is>
          <t>MONTH10E</t>
        </is>
      </c>
      <c r="Z1" s="1" t="inlineStr">
        <is>
          <t>MONTH11E</t>
        </is>
      </c>
      <c r="AA1" s="1" t="inlineStr">
        <is>
          <t>MONTH12E</t>
        </is>
      </c>
      <c r="AB1" s="1" t="inlineStr">
        <is>
          <t>AVGAMTE</t>
        </is>
      </c>
    </row>
    <row spans="1:29" outlineLevel="0" r="2">
      <c r="A2" s="1" t="inlineStr">
        <is>
          <t>2026</t>
        </is>
      </c>
      <c r="B2" s="1" t="inlineStr">
        <is>
          <t>01-A</t>
        </is>
      </c>
      <c r="C2" s="1" t="inlineStr">
        <is>
          <t>299834672.32</t>
        </is>
      </c>
      <c r="D2" s="1" t="inlineStr">
        <is>
          <t>307225013.71</t>
        </is>
      </c>
      <c r="E2" s="1" t="inlineStr">
        <is>
          <t>294153684.23</t>
        </is>
      </c>
      <c r="F2" s="1" t="inlineStr">
        <is>
          <t>303615613.60</t>
        </is>
      </c>
      <c r="G2" s="1" t="inlineStr">
        <is>
          <t>303089170.68</t>
        </is>
      </c>
      <c r="H2" s="1" t="inlineStr">
        <is>
          <t>293058162.43</t>
        </is>
      </c>
      <c r="I2" s="1" t="inlineStr">
        <is>
          <t>280660315.45</t>
        </is>
      </c>
      <c r="J2" s="1" t="inlineStr">
        <is>
          <t>313721137.16</t>
        </is>
      </c>
      <c r="K2" s="1" t="inlineStr">
        <is>
          <t>292196928.73</t>
        </is>
      </c>
      <c r="L2" s="1" t="inlineStr">
        <is>
          <t>.00</t>
        </is>
      </c>
      <c r="M2" s="1" t="inlineStr">
        <is>
          <t>.00</t>
        </is>
      </c>
      <c r="N2" s="1" t="inlineStr">
        <is>
          <t>.00</t>
        </is>
      </c>
      <c r="O2" s="1" t="inlineStr">
        <is>
          <t>298617189.00</t>
        </is>
      </c>
      <c r="P2" s="1" t="inlineStr">
        <is>
          <t>302224799.00</t>
        </is>
      </c>
      <c r="Q2" s="1" t="inlineStr">
        <is>
          <t>305116846.00</t>
        </is>
      </c>
      <c r="R2" s="1" t="inlineStr">
        <is>
          <t>306852591.00</t>
        </is>
      </c>
      <c r="S2" s="1" t="inlineStr">
        <is>
          <t>307882720.00</t>
        </is>
      </c>
      <c r="T2" s="1" t="inlineStr">
        <is>
          <t>293635390.00</t>
        </is>
      </c>
      <c r="U2" s="1" t="inlineStr">
        <is>
          <t>290574147.00</t>
        </is>
      </c>
      <c r="V2" s="1" t="inlineStr">
        <is>
          <t>296341017.00</t>
        </is>
      </c>
      <c r="W2" s="1" t="inlineStr">
        <is>
          <t>310558267.00</t>
        </is>
      </c>
      <c r="X2" s="1" t="inlineStr">
        <is>
          <t>285233376.00</t>
        </is>
      </c>
      <c r="Y2" s="1" t="inlineStr">
        <is>
          <t>.00</t>
        </is>
      </c>
      <c r="Z2" s="1" t="inlineStr">
        <is>
          <t>.00</t>
        </is>
      </c>
      <c r="AA2" s="1" t="inlineStr">
        <is>
          <t>.00</t>
        </is>
      </c>
      <c r="AB2" s="1" t="inlineStr">
        <is>
          <t>299824350.00</t>
        </is>
      </c>
      <c r="AC2" s="465">
        <v>43045.2298827315</v>
      </c>
    </row>
    <row spans="1:29" outlineLevel="0" r="3">
      <c r="A3" s="1" t="inlineStr">
        <is>
          <t>2026</t>
        </is>
      </c>
      <c r="B3" s="1" t="inlineStr">
        <is>
          <t>02-D</t>
        </is>
      </c>
      <c r="C3" s="1" t="inlineStr">
        <is>
          <t>165227363.52</t>
        </is>
      </c>
      <c r="D3" s="1" t="inlineStr">
        <is>
          <t>171806418.89</t>
        </is>
      </c>
      <c r="E3" s="1" t="inlineStr">
        <is>
          <t>185142109.58</t>
        </is>
      </c>
      <c r="F3" s="1" t="inlineStr">
        <is>
          <t>201494393.80</t>
        </is>
      </c>
      <c r="G3" s="1" t="inlineStr">
        <is>
          <t>197100209.52</t>
        </is>
      </c>
      <c r="H3" s="1" t="inlineStr">
        <is>
          <t>194109777.83</t>
        </is>
      </c>
      <c r="I3" s="1" t="inlineStr">
        <is>
          <t>183427224.00</t>
        </is>
      </c>
      <c r="J3" s="1" t="inlineStr">
        <is>
          <t>190814460.97</t>
        </is>
      </c>
      <c r="K3" s="1" t="inlineStr">
        <is>
          <t>180234234.80</t>
        </is>
      </c>
      <c r="L3" s="1" t="inlineStr">
        <is>
          <t>.00</t>
        </is>
      </c>
      <c r="M3" s="1" t="inlineStr">
        <is>
          <t>.00</t>
        </is>
      </c>
      <c r="N3" s="1" t="inlineStr">
        <is>
          <t>.00</t>
        </is>
      </c>
      <c r="O3" s="1" t="inlineStr">
        <is>
          <t>185484022.00</t>
        </is>
      </c>
      <c r="P3" s="1" t="inlineStr">
        <is>
          <t>158651008.00</t>
        </is>
      </c>
      <c r="Q3" s="1" t="inlineStr">
        <is>
          <t>175318749.00</t>
        </is>
      </c>
      <c r="R3" s="1" t="inlineStr">
        <is>
          <t>199041123.00</t>
        </is>
      </c>
      <c r="S3" s="1" t="inlineStr">
        <is>
          <t>210284655.00</t>
        </is>
      </c>
      <c r="T3" s="1" t="inlineStr">
        <is>
          <t>194361294.00</t>
        </is>
      </c>
      <c r="U3" s="1" t="inlineStr">
        <is>
          <t>184619899.00</t>
        </is>
      </c>
      <c r="V3" s="1" t="inlineStr">
        <is>
          <t>185881792.00</t>
        </is>
      </c>
      <c r="W3" s="1" t="inlineStr">
        <is>
          <t>194451579.00</t>
        </is>
      </c>
      <c r="X3" s="1" t="inlineStr">
        <is>
          <t>176105434.00</t>
        </is>
      </c>
      <c r="Y3" s="1" t="inlineStr">
        <is>
          <t>.00</t>
        </is>
      </c>
      <c r="Z3" s="1" t="inlineStr">
        <is>
          <t>.00</t>
        </is>
      </c>
      <c r="AA3" s="1" t="inlineStr">
        <is>
          <t>.00</t>
        </is>
      </c>
      <c r="AB3" s="1" t="inlineStr">
        <is>
          <t>186523948.00</t>
        </is>
      </c>
      <c r="AC3" s="465">
        <v>43045.2298827315</v>
      </c>
    </row>
    <row spans="1:29" outlineLevel="0" r="4">
      <c r="A4" s="1" t="inlineStr">
        <is>
          <t>2026</t>
        </is>
      </c>
      <c r="B4" s="1" t="inlineStr">
        <is>
          <t>03-J</t>
        </is>
      </c>
      <c r="C4" s="1" t="inlineStr">
        <is>
          <t>5684437.16</t>
        </is>
      </c>
      <c r="D4" s="1" t="inlineStr">
        <is>
          <t>7322154.32</t>
        </is>
      </c>
      <c r="E4" s="1" t="inlineStr">
        <is>
          <t>5630647.58</t>
        </is>
      </c>
      <c r="F4" s="1" t="inlineStr">
        <is>
          <t>7013262.93</t>
        </is>
      </c>
      <c r="G4" s="1" t="inlineStr">
        <is>
          <t>5414422.39</t>
        </is>
      </c>
      <c r="H4" s="1" t="inlineStr">
        <is>
          <t>4738664.43</t>
        </is>
      </c>
      <c r="I4" s="1" t="inlineStr">
        <is>
          <t>4285839.87</t>
        </is>
      </c>
      <c r="J4" s="1" t="inlineStr">
        <is>
          <t>5322993.42</t>
        </is>
      </c>
      <c r="K4" s="1" t="inlineStr">
        <is>
          <t>5926020.80</t>
        </is>
      </c>
      <c r="L4" s="1" t="inlineStr">
        <is>
          <t>.00</t>
        </is>
      </c>
      <c r="M4" s="1" t="inlineStr">
        <is>
          <t>.00</t>
        </is>
      </c>
      <c r="N4" s="1" t="inlineStr">
        <is>
          <t>.00</t>
        </is>
      </c>
      <c r="O4" s="1" t="inlineStr">
        <is>
          <t>5704271.00</t>
        </is>
      </c>
      <c r="P4" s="1" t="inlineStr">
        <is>
          <t>5317956.00</t>
        </is>
      </c>
      <c r="Q4" s="1" t="inlineStr">
        <is>
          <t>8522669.00</t>
        </is>
      </c>
      <c r="R4" s="1" t="inlineStr">
        <is>
          <t>7237880.00</t>
        </is>
      </c>
      <c r="S4" s="1" t="inlineStr">
        <is>
          <t>10936543.00</t>
        </is>
      </c>
      <c r="T4" s="1" t="inlineStr">
        <is>
          <t>4908536.00</t>
        </is>
      </c>
      <c r="U4" s="1" t="inlineStr">
        <is>
          <t>5477175.00</t>
        </is>
      </c>
      <c r="V4" s="1" t="inlineStr">
        <is>
          <t>6087974.00</t>
        </is>
      </c>
      <c r="W4" s="1" t="inlineStr">
        <is>
          <t>7369846.00</t>
        </is>
      </c>
      <c r="X4" s="1" t="inlineStr">
        <is>
          <t>4860058.00</t>
        </is>
      </c>
      <c r="Y4" s="1" t="inlineStr">
        <is>
          <t>.00</t>
        </is>
      </c>
      <c r="Z4" s="1" t="inlineStr">
        <is>
          <t>.00</t>
        </is>
      </c>
      <c r="AA4" s="1" t="inlineStr">
        <is>
          <t>.00</t>
        </is>
      </c>
      <c r="AB4" s="1" t="inlineStr">
        <is>
          <t>6746515.00</t>
        </is>
      </c>
      <c r="AC4" s="465">
        <v>43045.2298827315</v>
      </c>
    </row>
    <row spans="1:29" outlineLevel="0" r="5">
      <c r="A5" s="1" t="inlineStr">
        <is>
          <t>2026</t>
        </is>
      </c>
      <c r="B5" s="1" t="inlineStr">
        <is>
          <t>04-O</t>
        </is>
      </c>
      <c r="C5" s="1" t="inlineStr">
        <is>
          <t>4773461.94</t>
        </is>
      </c>
      <c r="D5" s="1" t="inlineStr">
        <is>
          <t>4462656.46</t>
        </is>
      </c>
      <c r="E5" s="1" t="inlineStr">
        <is>
          <t>4174818.16</t>
        </is>
      </c>
      <c r="F5" s="1" t="inlineStr">
        <is>
          <t>5699307.20</t>
        </is>
      </c>
      <c r="G5" s="1" t="inlineStr">
        <is>
          <t>7986887.97</t>
        </is>
      </c>
      <c r="H5" s="1" t="inlineStr">
        <is>
          <t>12898206.30</t>
        </is>
      </c>
      <c r="I5" s="1" t="inlineStr">
        <is>
          <t>15315525.48</t>
        </is>
      </c>
      <c r="J5" s="1" t="inlineStr">
        <is>
          <t>16755979.65</t>
        </is>
      </c>
      <c r="K5" s="1" t="inlineStr">
        <is>
          <t>15101688.93</t>
        </is>
      </c>
      <c r="L5" s="1" t="inlineStr">
        <is>
          <t>.00</t>
        </is>
      </c>
      <c r="M5" s="1" t="inlineStr">
        <is>
          <t>.00</t>
        </is>
      </c>
      <c r="N5" s="1" t="inlineStr">
        <is>
          <t>.00</t>
        </is>
      </c>
      <c r="O5" s="1" t="inlineStr">
        <is>
          <t>9685392.00</t>
        </is>
      </c>
      <c r="P5" s="1" t="inlineStr">
        <is>
          <t>4695532.00</t>
        </is>
      </c>
      <c r="Q5" s="1" t="inlineStr">
        <is>
          <t>4160961.00</t>
        </is>
      </c>
      <c r="R5" s="1" t="inlineStr">
        <is>
          <t>4257263.00</t>
        </is>
      </c>
      <c r="S5" s="1" t="inlineStr">
        <is>
          <t>6915946.00</t>
        </is>
      </c>
      <c r="T5" s="1" t="inlineStr">
        <is>
          <t>12077872.00</t>
        </is>
      </c>
      <c r="U5" s="1" t="inlineStr">
        <is>
          <t>14155845.00</t>
        </is>
      </c>
      <c r="V5" s="1" t="inlineStr">
        <is>
          <t>15707947.00</t>
        </is>
      </c>
      <c r="W5" s="1" t="inlineStr">
        <is>
          <t>16427933.00</t>
        </is>
      </c>
      <c r="X5" s="1" t="inlineStr">
        <is>
          <t>13966169.00</t>
        </is>
      </c>
      <c r="Y5" s="1" t="inlineStr">
        <is>
          <t>.00</t>
        </is>
      </c>
      <c r="Z5" s="1" t="inlineStr">
        <is>
          <t>.00</t>
        </is>
      </c>
      <c r="AA5" s="1" t="inlineStr">
        <is>
          <t>.00</t>
        </is>
      </c>
      <c r="AB5" s="1" t="inlineStr">
        <is>
          <t>10262830.00</t>
        </is>
      </c>
      <c r="AC5" s="465">
        <v>43045.2298827315</v>
      </c>
    </row>
    <row spans="1:29" outlineLevel="0" r="6">
      <c r="A6" s="1" t="inlineStr">
        <is>
          <t>2026</t>
        </is>
      </c>
      <c r="B6" s="1" t="inlineStr">
        <is>
          <t>05-N</t>
        </is>
      </c>
      <c r="C6" s="1" t="inlineStr">
        <is>
          <t>28706641.23</t>
        </is>
      </c>
      <c r="D6" s="1" t="inlineStr">
        <is>
          <t>26607421.00</t>
        </is>
      </c>
      <c r="E6" s="1" t="inlineStr">
        <is>
          <t>27847352.65</t>
        </is>
      </c>
      <c r="F6" s="1" t="inlineStr">
        <is>
          <t>28707950.10</t>
        </is>
      </c>
      <c r="G6" s="1" t="inlineStr">
        <is>
          <t>27835093.10</t>
        </is>
      </c>
      <c r="H6" s="1" t="inlineStr">
        <is>
          <t>28109129.10</t>
        </is>
      </c>
      <c r="I6" s="1" t="inlineStr">
        <is>
          <t>26860135.65</t>
        </is>
      </c>
      <c r="J6" s="1" t="inlineStr">
        <is>
          <t>32039625.42</t>
        </is>
      </c>
      <c r="K6" s="1" t="inlineStr">
        <is>
          <t>31464599.87</t>
        </is>
      </c>
      <c r="L6" s="1" t="inlineStr">
        <is>
          <t>.00</t>
        </is>
      </c>
      <c r="M6" s="1" t="inlineStr">
        <is>
          <t>.00</t>
        </is>
      </c>
      <c r="N6" s="1" t="inlineStr">
        <is>
          <t>.00</t>
        </is>
      </c>
      <c r="O6" s="1" t="inlineStr">
        <is>
          <t>28686439.00</t>
        </is>
      </c>
      <c r="P6" s="1" t="inlineStr">
        <is>
          <t>26144769.00</t>
        </is>
      </c>
      <c r="Q6" s="1" t="inlineStr">
        <is>
          <t>30327158.00</t>
        </is>
      </c>
      <c r="R6" s="1" t="inlineStr">
        <is>
          <t>27847957.00</t>
        </is>
      </c>
      <c r="S6" s="1" t="inlineStr">
        <is>
          <t>30729681.00</t>
        </is>
      </c>
      <c r="T6" s="1" t="inlineStr">
        <is>
          <t>31184822.00</t>
        </is>
      </c>
      <c r="U6" s="1" t="inlineStr">
        <is>
          <t>28714327.00</t>
        </is>
      </c>
      <c r="V6" s="1" t="inlineStr">
        <is>
          <t>30654529.00</t>
        </is>
      </c>
      <c r="W6" s="1" t="inlineStr">
        <is>
          <t>34687879.00</t>
        </is>
      </c>
      <c r="X6" s="1" t="inlineStr">
        <is>
          <t>27003691.00</t>
        </is>
      </c>
      <c r="Y6" s="1" t="inlineStr">
        <is>
          <t>.00</t>
        </is>
      </c>
      <c r="Z6" s="1" t="inlineStr">
        <is>
          <t>.00</t>
        </is>
      </c>
      <c r="AA6" s="1" t="inlineStr">
        <is>
          <t>.00</t>
        </is>
      </c>
      <c r="AB6" s="1" t="inlineStr">
        <is>
          <t>29699424.00</t>
        </is>
      </c>
      <c r="AC6" s="465">
        <v>43045.2298827315</v>
      </c>
    </row>
    <row spans="1:29" outlineLevel="0" r="7">
      <c r="A7" s="1" t="inlineStr">
        <is>
          <t>2026</t>
        </is>
      </c>
      <c r="B7" s="1" t="inlineStr">
        <is>
          <t>06-C</t>
        </is>
      </c>
      <c r="C7" s="1" t="inlineStr">
        <is>
          <t>.00</t>
        </is>
      </c>
      <c r="D7" s="1" t="inlineStr">
        <is>
          <t>.00</t>
        </is>
      </c>
      <c r="E7" s="1" t="inlineStr">
        <is>
          <t>.00</t>
        </is>
      </c>
      <c r="F7" s="1" t="inlineStr">
        <is>
          <t>.00</t>
        </is>
      </c>
      <c r="G7" s="1" t="inlineStr">
        <is>
          <t>.00</t>
        </is>
      </c>
      <c r="H7" s="1" t="inlineStr">
        <is>
          <t>.00</t>
        </is>
      </c>
      <c r="I7" s="1" t="inlineStr">
        <is>
          <t>.00</t>
        </is>
      </c>
      <c r="J7" s="1" t="inlineStr">
        <is>
          <t>.00</t>
        </is>
      </c>
      <c r="K7" s="1" t="inlineStr">
        <is>
          <t>.00</t>
        </is>
      </c>
      <c r="L7" s="1" t="inlineStr">
        <is>
          <t>.00</t>
        </is>
      </c>
      <c r="M7" s="1" t="inlineStr">
        <is>
          <t>.00</t>
        </is>
      </c>
      <c r="N7" s="1" t="inlineStr">
        <is>
          <t>.00</t>
        </is>
      </c>
      <c r="O7" s="1" t="inlineStr">
        <is>
          <t>.00</t>
        </is>
      </c>
      <c r="P7" s="1" t="inlineStr">
        <is>
          <t>.00</t>
        </is>
      </c>
      <c r="Q7" s="1" t="inlineStr">
        <is>
          <t>.00</t>
        </is>
      </c>
      <c r="R7" s="1" t="inlineStr">
        <is>
          <t>.00</t>
        </is>
      </c>
      <c r="S7" s="1" t="inlineStr">
        <is>
          <t>.00</t>
        </is>
      </c>
      <c r="T7" s="1" t="inlineStr">
        <is>
          <t>.00</t>
        </is>
      </c>
      <c r="U7" s="1" t="inlineStr">
        <is>
          <t>.00</t>
        </is>
      </c>
      <c r="V7" s="1" t="inlineStr">
        <is>
          <t>.00</t>
        </is>
      </c>
      <c r="W7" s="1" t="inlineStr">
        <is>
          <t>.00</t>
        </is>
      </c>
      <c r="X7" s="1" t="inlineStr">
        <is>
          <t>.00</t>
        </is>
      </c>
      <c r="Y7" s="1" t="inlineStr">
        <is>
          <t>.00</t>
        </is>
      </c>
      <c r="Z7" s="1" t="inlineStr">
        <is>
          <t>.00</t>
        </is>
      </c>
      <c r="AA7" s="1" t="inlineStr">
        <is>
          <t>.00</t>
        </is>
      </c>
      <c r="AB7" s="1" t="inlineStr">
        <is>
          <t>.00</t>
        </is>
      </c>
      <c r="AC7" s="465">
        <v>43045.2298827315</v>
      </c>
    </row>
    <row spans="1:29" outlineLevel="0" r="8">
      <c r="A8" s="1" t="inlineStr">
        <is>
          <t>2026</t>
        </is>
      </c>
      <c r="B8" s="1" t="inlineStr">
        <is>
          <t>07-H</t>
        </is>
      </c>
      <c r="C8" s="1" t="inlineStr">
        <is>
          <t>11976640.10</t>
        </is>
      </c>
      <c r="D8" s="1" t="inlineStr">
        <is>
          <t>12337838.93</t>
        </is>
      </c>
      <c r="E8" s="1" t="inlineStr">
        <is>
          <t>11441743.00</t>
        </is>
      </c>
      <c r="F8" s="1" t="inlineStr">
        <is>
          <t>11521378.63</t>
        </is>
      </c>
      <c r="G8" s="1" t="inlineStr">
        <is>
          <t>11732807.23</t>
        </is>
      </c>
      <c r="H8" s="1" t="inlineStr">
        <is>
          <t>10866156.07</t>
        </is>
      </c>
      <c r="I8" s="1" t="inlineStr">
        <is>
          <t>11808715.00</t>
        </is>
      </c>
      <c r="J8" s="1" t="inlineStr">
        <is>
          <t>12220930.68</t>
        </is>
      </c>
      <c r="K8" s="1" t="inlineStr">
        <is>
          <t>10382863.40</t>
        </is>
      </c>
      <c r="L8" s="1" t="inlineStr">
        <is>
          <t>.00</t>
        </is>
      </c>
      <c r="M8" s="1" t="inlineStr">
        <is>
          <t>.00</t>
        </is>
      </c>
      <c r="N8" s="1" t="inlineStr">
        <is>
          <t>.00</t>
        </is>
      </c>
      <c r="O8" s="1" t="inlineStr">
        <is>
          <t>11587675.00</t>
        </is>
      </c>
      <c r="P8" s="1" t="inlineStr">
        <is>
          <t>8358564.00</t>
        </is>
      </c>
      <c r="Q8" s="1" t="inlineStr">
        <is>
          <t>14672261.00</t>
        </is>
      </c>
      <c r="R8" s="1" t="inlineStr">
        <is>
          <t>11567400.00</t>
        </is>
      </c>
      <c r="S8" s="1" t="inlineStr">
        <is>
          <t>16566721.00</t>
        </is>
      </c>
      <c r="T8" s="1" t="inlineStr">
        <is>
          <t>15490019.00</t>
        </is>
      </c>
      <c r="U8" s="1" t="inlineStr">
        <is>
          <t>11041548.00</t>
        </is>
      </c>
      <c r="V8" s="1" t="inlineStr">
        <is>
          <t>22702415.00</t>
        </is>
      </c>
      <c r="W8" s="1" t="inlineStr">
        <is>
          <t>15740447.00</t>
        </is>
      </c>
      <c r="X8" s="1" t="inlineStr">
        <is>
          <t>27728265.00</t>
        </is>
      </c>
      <c r="Y8" s="1" t="inlineStr">
        <is>
          <t>.00</t>
        </is>
      </c>
      <c r="Z8" s="1" t="inlineStr">
        <is>
          <t>.00</t>
        </is>
      </c>
      <c r="AA8" s="1" t="inlineStr">
        <is>
          <t>.00</t>
        </is>
      </c>
      <c r="AB8" s="1" t="inlineStr">
        <is>
          <t>15985293.00</t>
        </is>
      </c>
      <c r="AC8" s="465">
        <v>43045.2298827315</v>
      </c>
    </row>
    <row spans="1:29" outlineLevel="0" r="9">
      <c r="A9" s="1" t="inlineStr">
        <is>
          <t>2026</t>
        </is>
      </c>
      <c r="B9" s="1" t="inlineStr">
        <is>
          <t>08-E</t>
        </is>
      </c>
      <c r="C9" s="1" t="inlineStr">
        <is>
          <t>.00</t>
        </is>
      </c>
      <c r="D9" s="1" t="inlineStr">
        <is>
          <t>.00</t>
        </is>
      </c>
      <c r="E9" s="1" t="inlineStr">
        <is>
          <t>.00</t>
        </is>
      </c>
      <c r="F9" s="1" t="inlineStr">
        <is>
          <t>.00</t>
        </is>
      </c>
      <c r="G9" s="1" t="inlineStr">
        <is>
          <t>.00</t>
        </is>
      </c>
      <c r="H9" s="1" t="inlineStr">
        <is>
          <t>.00</t>
        </is>
      </c>
      <c r="I9" s="1" t="inlineStr">
        <is>
          <t>.00</t>
        </is>
      </c>
      <c r="J9" s="1" t="inlineStr">
        <is>
          <t>.00</t>
        </is>
      </c>
      <c r="K9" s="1" t="inlineStr">
        <is>
          <t>.00</t>
        </is>
      </c>
      <c r="L9" s="1" t="inlineStr">
        <is>
          <t>.00</t>
        </is>
      </c>
      <c r="M9" s="1" t="inlineStr">
        <is>
          <t>.00</t>
        </is>
      </c>
      <c r="N9" s="1" t="inlineStr">
        <is>
          <t>.00</t>
        </is>
      </c>
      <c r="O9" s="1" t="inlineStr">
        <is>
          <t>.00</t>
        </is>
      </c>
      <c r="P9" s="1" t="inlineStr">
        <is>
          <t>.00</t>
        </is>
      </c>
      <c r="Q9" s="1" t="inlineStr">
        <is>
          <t>.00</t>
        </is>
      </c>
      <c r="R9" s="1" t="inlineStr">
        <is>
          <t>.00</t>
        </is>
      </c>
      <c r="S9" s="1" t="inlineStr">
        <is>
          <t>.00</t>
        </is>
      </c>
      <c r="T9" s="1" t="inlineStr">
        <is>
          <t>.00</t>
        </is>
      </c>
      <c r="U9" s="1" t="inlineStr">
        <is>
          <t>.00</t>
        </is>
      </c>
      <c r="V9" s="1" t="inlineStr">
        <is>
          <t>.00</t>
        </is>
      </c>
      <c r="W9" s="1" t="inlineStr">
        <is>
          <t>.00</t>
        </is>
      </c>
      <c r="X9" s="1" t="inlineStr">
        <is>
          <t>.00</t>
        </is>
      </c>
      <c r="Y9" s="1" t="inlineStr">
        <is>
          <t>.00</t>
        </is>
      </c>
      <c r="Z9" s="1" t="inlineStr">
        <is>
          <t>.00</t>
        </is>
      </c>
      <c r="AA9" s="1" t="inlineStr">
        <is>
          <t>.00</t>
        </is>
      </c>
      <c r="AB9" s="1" t="inlineStr">
        <is>
          <t>.00</t>
        </is>
      </c>
      <c r="AC9" s="465">
        <v>43045.2298827315</v>
      </c>
    </row>
    <row spans="1:29" outlineLevel="0" r="10">
      <c r="A10" s="1" t="inlineStr">
        <is>
          <t>2026</t>
        </is>
      </c>
      <c r="B10" s="1" t="inlineStr">
        <is>
          <t>09-F</t>
        </is>
      </c>
      <c r="C10" s="1" t="inlineStr">
        <is>
          <t>1497237.48</t>
        </is>
      </c>
      <c r="D10" s="1" t="inlineStr">
        <is>
          <t>1489814.86</t>
        </is>
      </c>
      <c r="E10" s="1" t="inlineStr">
        <is>
          <t>1555533.19</t>
        </is>
      </c>
      <c r="F10" s="1" t="inlineStr">
        <is>
          <t>2110874.17</t>
        </is>
      </c>
      <c r="G10" s="1" t="inlineStr">
        <is>
          <t>2594700.48</t>
        </is>
      </c>
      <c r="H10" s="1" t="inlineStr">
        <is>
          <t>2536582.23</t>
        </is>
      </c>
      <c r="I10" s="1" t="inlineStr">
        <is>
          <t>3609860.55</t>
        </is>
      </c>
      <c r="J10" s="1" t="inlineStr">
        <is>
          <t>3138628.61</t>
        </is>
      </c>
      <c r="K10" s="1" t="inlineStr">
        <is>
          <t>2909879.67</t>
        </is>
      </c>
      <c r="L10" s="1" t="inlineStr">
        <is>
          <t>.00</t>
        </is>
      </c>
      <c r="M10" s="1" t="inlineStr">
        <is>
          <t>.00</t>
        </is>
      </c>
      <c r="N10" s="1" t="inlineStr">
        <is>
          <t>.00</t>
        </is>
      </c>
      <c r="O10" s="1" t="inlineStr">
        <is>
          <t>2382568.00</t>
        </is>
      </c>
      <c r="P10" s="1" t="inlineStr">
        <is>
          <t>1289077.00</t>
        </is>
      </c>
      <c r="Q10" s="1" t="inlineStr">
        <is>
          <t>1374367.00</t>
        </is>
      </c>
      <c r="R10" s="1" t="inlineStr">
        <is>
          <t>1808940.00</t>
        </is>
      </c>
      <c r="S10" s="1" t="inlineStr">
        <is>
          <t>2724770.00</t>
        </is>
      </c>
      <c r="T10" s="1" t="inlineStr">
        <is>
          <t>2219395.00</t>
        </is>
      </c>
      <c r="U10" s="1" t="inlineStr">
        <is>
          <t>3550243.00</t>
        </is>
      </c>
      <c r="V10" s="1" t="inlineStr">
        <is>
          <t>3966257.00</t>
        </is>
      </c>
      <c r="W10" s="1" t="inlineStr">
        <is>
          <t>3254017.00</t>
        </is>
      </c>
      <c r="X10" s="1" t="inlineStr">
        <is>
          <t>2126267.00</t>
        </is>
      </c>
      <c r="Y10" s="1" t="inlineStr">
        <is>
          <t>.00</t>
        </is>
      </c>
      <c r="Z10" s="1" t="inlineStr">
        <is>
          <t>.00</t>
        </is>
      </c>
      <c r="AA10" s="1" t="inlineStr">
        <is>
          <t>.00</t>
        </is>
      </c>
      <c r="AB10" s="1" t="inlineStr">
        <is>
          <t>2479259.00</t>
        </is>
      </c>
      <c r="AC10" s="465">
        <v>43045.2298827315</v>
      </c>
    </row>
    <row spans="1:29" outlineLevel="0" r="11">
      <c r="A11" s="1" t="inlineStr">
        <is>
          <t>2026</t>
        </is>
      </c>
      <c r="B11" s="1" t="inlineStr">
        <is>
          <t>10-P</t>
        </is>
      </c>
      <c r="C11" s="1" t="inlineStr">
        <is>
          <t>106839.00</t>
        </is>
      </c>
      <c r="D11" s="1" t="inlineStr">
        <is>
          <t>106839.00</t>
        </is>
      </c>
      <c r="E11" s="1" t="inlineStr">
        <is>
          <t>114968.03</t>
        </is>
      </c>
      <c r="F11" s="1" t="inlineStr">
        <is>
          <t>106839.00</t>
        </is>
      </c>
      <c r="G11" s="1" t="inlineStr">
        <is>
          <t>106839.00</t>
        </is>
      </c>
      <c r="H11" s="1" t="inlineStr">
        <is>
          <t>106839.00</t>
        </is>
      </c>
      <c r="I11" s="1" t="inlineStr">
        <is>
          <t>106839.00</t>
        </is>
      </c>
      <c r="J11" s="1" t="inlineStr">
        <is>
          <t>103138.19</t>
        </is>
      </c>
      <c r="K11" s="1" t="inlineStr">
        <is>
          <t>98014.00</t>
        </is>
      </c>
      <c r="L11" s="1" t="inlineStr">
        <is>
          <t>.00</t>
        </is>
      </c>
      <c r="M11" s="1" t="inlineStr">
        <is>
          <t>.00</t>
        </is>
      </c>
      <c r="N11" s="1" t="inlineStr">
        <is>
          <t>.00</t>
        </is>
      </c>
      <c r="O11" s="1" t="inlineStr">
        <is>
          <t>106350.00</t>
        </is>
      </c>
      <c r="P11" s="1" t="inlineStr">
        <is>
          <t>106839.00</t>
        </is>
      </c>
      <c r="Q11" s="1" t="inlineStr">
        <is>
          <t>106839.00</t>
        </is>
      </c>
      <c r="R11" s="1" t="inlineStr">
        <is>
          <t>106839.00</t>
        </is>
      </c>
      <c r="S11" s="1" t="inlineStr">
        <is>
          <t>106839.00</t>
        </is>
      </c>
      <c r="T11" s="1" t="inlineStr">
        <is>
          <t>106839.00</t>
        </is>
      </c>
      <c r="U11" s="1" t="inlineStr">
        <is>
          <t>106839.00</t>
        </is>
      </c>
      <c r="V11" s="1" t="inlineStr">
        <is>
          <t>106839.00</t>
        </is>
      </c>
      <c r="W11" s="1" t="inlineStr">
        <is>
          <t>98014.00</t>
        </is>
      </c>
      <c r="X11" s="1" t="inlineStr">
        <is>
          <t>98014.00</t>
        </is>
      </c>
      <c r="Y11" s="1" t="inlineStr">
        <is>
          <t>.00</t>
        </is>
      </c>
      <c r="Z11" s="1" t="inlineStr">
        <is>
          <t>.00</t>
        </is>
      </c>
      <c r="AA11" s="1" t="inlineStr">
        <is>
          <t>.00</t>
        </is>
      </c>
      <c r="AB11" s="1" t="inlineStr">
        <is>
          <t>104878.00</t>
        </is>
      </c>
      <c r="AC11" s="465">
        <v>43045.2298827315</v>
      </c>
    </row>
    <row spans="1:29" outlineLevel="0" r="12">
      <c r="A12" s="1" t="inlineStr">
        <is>
          <t>2026</t>
        </is>
      </c>
      <c r="B12" s="1" t="inlineStr">
        <is>
          <t>11-G</t>
        </is>
      </c>
      <c r="C12" s="1" t="inlineStr">
        <is>
          <t>.00</t>
        </is>
      </c>
      <c r="D12" s="1" t="inlineStr">
        <is>
          <t>.00</t>
        </is>
      </c>
      <c r="E12" s="1" t="inlineStr">
        <is>
          <t>806.45</t>
        </is>
      </c>
      <c r="F12" s="1" t="inlineStr">
        <is>
          <t>.00</t>
        </is>
      </c>
      <c r="G12" s="1" t="inlineStr">
        <is>
          <t>.00</t>
        </is>
      </c>
      <c r="H12" s="1" t="inlineStr">
        <is>
          <t>.00</t>
        </is>
      </c>
      <c r="I12" s="1" t="inlineStr">
        <is>
          <t>163.87</t>
        </is>
      </c>
      <c r="J12" s="1" t="inlineStr">
        <is>
          <t>2410.13</t>
        </is>
      </c>
      <c r="K12" s="1" t="inlineStr">
        <is>
          <t>2357.00</t>
        </is>
      </c>
      <c r="L12" s="1" t="inlineStr">
        <is>
          <t>.00</t>
        </is>
      </c>
      <c r="M12" s="1" t="inlineStr">
        <is>
          <t>.00</t>
        </is>
      </c>
      <c r="N12" s="1" t="inlineStr">
        <is>
          <t>.00</t>
        </is>
      </c>
      <c r="O12" s="1" t="inlineStr">
        <is>
          <t>637.00</t>
        </is>
      </c>
      <c r="P12" s="1" t="inlineStr">
        <is>
          <t>.00</t>
        </is>
      </c>
      <c r="Q12" s="1" t="inlineStr">
        <is>
          <t>.00</t>
        </is>
      </c>
      <c r="R12" s="1" t="inlineStr">
        <is>
          <t>.00</t>
        </is>
      </c>
      <c r="S12" s="1" t="inlineStr">
        <is>
          <t>.00</t>
        </is>
      </c>
      <c r="T12" s="1" t="inlineStr">
        <is>
          <t>.00</t>
        </is>
      </c>
      <c r="U12" s="1" t="inlineStr">
        <is>
          <t>.00</t>
        </is>
      </c>
      <c r="V12" s="1" t="inlineStr">
        <is>
          <t>2540.00</t>
        </is>
      </c>
      <c r="W12" s="1" t="inlineStr">
        <is>
          <t>2357.00</t>
        </is>
      </c>
      <c r="X12" s="1" t="inlineStr">
        <is>
          <t>2357.00</t>
        </is>
      </c>
      <c r="Y12" s="1" t="inlineStr">
        <is>
          <t>.00</t>
        </is>
      </c>
      <c r="Z12" s="1" t="inlineStr">
        <is>
          <t>.00</t>
        </is>
      </c>
      <c r="AA12" s="1" t="inlineStr">
        <is>
          <t>.00</t>
        </is>
      </c>
      <c r="AB12" s="1" t="inlineStr">
        <is>
          <t>806.00</t>
        </is>
      </c>
      <c r="AC12" s="465">
        <v>43045.2298827315</v>
      </c>
    </row>
    <row spans="1:29" outlineLevel="0" r="13">
      <c r="A13" s="1" t="inlineStr">
        <is>
          <t>2026</t>
        </is>
      </c>
      <c r="B13" s="1" t="inlineStr">
        <is>
          <t>12-M</t>
        </is>
      </c>
      <c r="C13" s="1" t="inlineStr">
        <is>
          <t>1654288.48</t>
        </is>
      </c>
      <c r="D13" s="1" t="inlineStr">
        <is>
          <t>2191549.54</t>
        </is>
      </c>
      <c r="E13" s="1" t="inlineStr">
        <is>
          <t>1575862.94</t>
        </is>
      </c>
      <c r="F13" s="1" t="inlineStr">
        <is>
          <t>1918721.60</t>
        </is>
      </c>
      <c r="G13" s="1" t="inlineStr">
        <is>
          <t>1492150.32</t>
        </is>
      </c>
      <c r="H13" s="1" t="inlineStr">
        <is>
          <t>1677135.10</t>
        </is>
      </c>
      <c r="I13" s="1" t="inlineStr">
        <is>
          <t>1705742.00</t>
        </is>
      </c>
      <c r="J13" s="1" t="inlineStr">
        <is>
          <t>2063226.29</t>
        </is>
      </c>
      <c r="K13" s="1" t="inlineStr">
        <is>
          <t>2026459.10</t>
        </is>
      </c>
      <c r="L13" s="1" t="inlineStr">
        <is>
          <t>.00</t>
        </is>
      </c>
      <c r="M13" s="1" t="inlineStr">
        <is>
          <t>.00</t>
        </is>
      </c>
      <c r="N13" s="1" t="inlineStr">
        <is>
          <t>.00</t>
        </is>
      </c>
      <c r="O13" s="1" t="inlineStr">
        <is>
          <t>1811682.00</t>
        </is>
      </c>
      <c r="P13" s="1" t="inlineStr">
        <is>
          <t>1395237.00</t>
        </is>
      </c>
      <c r="Q13" s="1" t="inlineStr">
        <is>
          <t>2518152.00</t>
        </is>
      </c>
      <c r="R13" s="1" t="inlineStr">
        <is>
          <t>1225378.00</t>
        </is>
      </c>
      <c r="S13" s="1" t="inlineStr">
        <is>
          <t>1804630.00</t>
        </is>
      </c>
      <c r="T13" s="1" t="inlineStr">
        <is>
          <t>2070317.00</t>
        </is>
      </c>
      <c r="U13" s="1" t="inlineStr">
        <is>
          <t>1954838.00</t>
        </is>
      </c>
      <c r="V13" s="1" t="inlineStr">
        <is>
          <t>734679.00</t>
        </is>
      </c>
      <c r="W13" s="1" t="inlineStr">
        <is>
          <t>3159224.00</t>
        </is>
      </c>
      <c r="X13" s="1" t="inlineStr">
        <is>
          <t>1355005.00</t>
        </is>
      </c>
      <c r="Y13" s="1" t="inlineStr">
        <is>
          <t>.00</t>
        </is>
      </c>
      <c r="Z13" s="1" t="inlineStr">
        <is>
          <t>.00</t>
        </is>
      </c>
      <c r="AA13" s="1" t="inlineStr">
        <is>
          <t>.00</t>
        </is>
      </c>
      <c r="AB13" s="1" t="inlineStr">
        <is>
          <t>1801940.00</t>
        </is>
      </c>
      <c r="AC13" s="465">
        <v>43045.2298827315</v>
      </c>
    </row>
    <row spans="1:29" outlineLevel="0" r="14">
      <c r="A14" s="1" t="inlineStr">
        <is>
          <t>2026</t>
        </is>
      </c>
      <c r="B14" s="1" t="inlineStr">
        <is>
          <t>13-U</t>
        </is>
      </c>
      <c r="C14" s="1" t="inlineStr">
        <is>
          <t>153232.84</t>
        </is>
      </c>
      <c r="D14" s="1" t="inlineStr">
        <is>
          <t>421797.29</t>
        </is>
      </c>
      <c r="E14" s="1" t="inlineStr">
        <is>
          <t>457168.97</t>
        </is>
      </c>
      <c r="F14" s="1" t="inlineStr">
        <is>
          <t>390693.00</t>
        </is>
      </c>
      <c r="G14" s="1" t="inlineStr">
        <is>
          <t>359351.23</t>
        </is>
      </c>
      <c r="H14" s="1" t="inlineStr">
        <is>
          <t>334777.33</t>
        </is>
      </c>
      <c r="I14" s="1" t="inlineStr">
        <is>
          <t>334870.26</t>
        </is>
      </c>
      <c r="J14" s="1" t="inlineStr">
        <is>
          <t>299651.23</t>
        </is>
      </c>
      <c r="K14" s="1" t="inlineStr">
        <is>
          <t>263864.00</t>
        </is>
      </c>
      <c r="L14" s="1" t="inlineStr">
        <is>
          <t>.00</t>
        </is>
      </c>
      <c r="M14" s="1" t="inlineStr">
        <is>
          <t>.00</t>
        </is>
      </c>
      <c r="N14" s="1" t="inlineStr">
        <is>
          <t>.00</t>
        </is>
      </c>
      <c r="O14" s="1" t="inlineStr">
        <is>
          <t>335045.00</t>
        </is>
      </c>
      <c r="P14" s="1" t="inlineStr">
        <is>
          <t>116058.00</t>
        </is>
      </c>
      <c r="Q14" s="1" t="inlineStr">
        <is>
          <t>514198.00</t>
        </is>
      </c>
      <c r="R14" s="1" t="inlineStr">
        <is>
          <t>404308.00</t>
        </is>
      </c>
      <c r="S14" s="1" t="inlineStr">
        <is>
          <t>391188.00</t>
        </is>
      </c>
      <c r="T14" s="1" t="inlineStr">
        <is>
          <t>322858.00</t>
        </is>
      </c>
      <c r="U14" s="1" t="inlineStr">
        <is>
          <t>387608.00</t>
        </is>
      </c>
      <c r="V14" s="1" t="inlineStr">
        <is>
          <t>287248.00</t>
        </is>
      </c>
      <c r="W14" s="1" t="inlineStr">
        <is>
          <t>279168.00</t>
        </is>
      </c>
      <c r="X14" s="1" t="inlineStr">
        <is>
          <t>256538.00</t>
        </is>
      </c>
      <c r="Y14" s="1" t="inlineStr">
        <is>
          <t>.00</t>
        </is>
      </c>
      <c r="Z14" s="1" t="inlineStr">
        <is>
          <t>.00</t>
        </is>
      </c>
      <c r="AA14" s="1" t="inlineStr">
        <is>
          <t>.00</t>
        </is>
      </c>
      <c r="AB14" s="1" t="inlineStr">
        <is>
          <t>328797.00</t>
        </is>
      </c>
      <c r="AC14" s="465">
        <v>43045.2298827315</v>
      </c>
    </row>
    <row spans="1:29" outlineLevel="0" r="15">
      <c r="A15" s="1" t="inlineStr">
        <is>
          <t>2026</t>
        </is>
      </c>
      <c r="B15" s="1" t="inlineStr">
        <is>
          <t>14-L</t>
        </is>
      </c>
      <c r="C15" s="1" t="inlineStr">
        <is>
          <t>92028.65</t>
        </is>
      </c>
      <c r="D15" s="1" t="inlineStr">
        <is>
          <t>115688.50</t>
        </is>
      </c>
      <c r="E15" s="1" t="inlineStr">
        <is>
          <t>86948.10</t>
        </is>
      </c>
      <c r="F15" s="1" t="inlineStr">
        <is>
          <t>110244.03</t>
        </is>
      </c>
      <c r="G15" s="1" t="inlineStr">
        <is>
          <t>86659.26</t>
        </is>
      </c>
      <c r="H15" s="1" t="inlineStr">
        <is>
          <t>29406.83</t>
        </is>
      </c>
      <c r="I15" s="1" t="inlineStr">
        <is>
          <t>3827.77</t>
        </is>
      </c>
      <c r="J15" s="1" t="inlineStr">
        <is>
          <t>3051.35</t>
        </is>
      </c>
      <c r="K15" s="1" t="inlineStr">
        <is>
          <t>3274.13</t>
        </is>
      </c>
      <c r="L15" s="1" t="inlineStr">
        <is>
          <t>.00</t>
        </is>
      </c>
      <c r="M15" s="1" t="inlineStr">
        <is>
          <t>.00</t>
        </is>
      </c>
      <c r="N15" s="1" t="inlineStr">
        <is>
          <t>.00</t>
        </is>
      </c>
      <c r="O15" s="1" t="inlineStr">
        <is>
          <t>59014.00</t>
        </is>
      </c>
      <c r="P15" s="1" t="inlineStr">
        <is>
          <t>102712.00</t>
        </is>
      </c>
      <c r="Q15" s="1" t="inlineStr">
        <is>
          <t>102612.00</t>
        </is>
      </c>
      <c r="R15" s="1" t="inlineStr">
        <is>
          <t>83222.00</t>
        </is>
      </c>
      <c r="S15" s="1" t="inlineStr">
        <is>
          <t>119184.00</t>
        </is>
      </c>
      <c r="T15" s="1" t="inlineStr">
        <is>
          <t>56169.00</t>
        </is>
      </c>
      <c r="U15" s="1" t="inlineStr">
        <is>
          <t>2773.00</t>
        </is>
      </c>
      <c r="V15" s="1" t="inlineStr">
        <is>
          <t>2773.00</t>
        </is>
      </c>
      <c r="W15" s="1" t="inlineStr">
        <is>
          <t>2773.00</t>
        </is>
      </c>
      <c r="X15" s="1" t="inlineStr">
        <is>
          <t>17807.00</t>
        </is>
      </c>
      <c r="Y15" s="1" t="inlineStr">
        <is>
          <t>.00</t>
        </is>
      </c>
      <c r="Z15" s="1" t="inlineStr">
        <is>
          <t>.00</t>
        </is>
      </c>
      <c r="AA15" s="1" t="inlineStr">
        <is>
          <t>.00</t>
        </is>
      </c>
      <c r="AB15" s="1" t="inlineStr">
        <is>
          <t>54447.00</t>
        </is>
      </c>
      <c r="AC15" s="465">
        <v>43045.2298827315</v>
      </c>
    </row>
    <row spans="1:29" outlineLevel="0" r="16">
      <c r="A16" s="1" t="inlineStr">
        <is>
          <t>2026</t>
        </is>
      </c>
      <c r="B16" s="1" t="inlineStr">
        <is>
          <t>17-8</t>
        </is>
      </c>
      <c r="C16" s="1" t="inlineStr">
        <is>
          <t>.00</t>
        </is>
      </c>
      <c r="D16" s="1" t="inlineStr">
        <is>
          <t>.00</t>
        </is>
      </c>
      <c r="E16" s="1" t="inlineStr">
        <is>
          <t>.00</t>
        </is>
      </c>
      <c r="F16" s="1" t="inlineStr">
        <is>
          <t>.00</t>
        </is>
      </c>
      <c r="G16" s="1" t="inlineStr">
        <is>
          <t>.00</t>
        </is>
      </c>
      <c r="H16" s="1" t="inlineStr">
        <is>
          <t>.00</t>
        </is>
      </c>
      <c r="I16" s="1" t="inlineStr">
        <is>
          <t>.00</t>
        </is>
      </c>
      <c r="J16" s="1" t="inlineStr">
        <is>
          <t>.00</t>
        </is>
      </c>
      <c r="K16" s="1" t="inlineStr">
        <is>
          <t>.00</t>
        </is>
      </c>
      <c r="L16" s="1" t="inlineStr">
        <is>
          <t>.00</t>
        </is>
      </c>
      <c r="M16" s="1" t="inlineStr">
        <is>
          <t>.00</t>
        </is>
      </c>
      <c r="N16" s="1" t="inlineStr">
        <is>
          <t>.00</t>
        </is>
      </c>
      <c r="O16" s="1" t="inlineStr">
        <is>
          <t>.00</t>
        </is>
      </c>
      <c r="P16" s="1" t="inlineStr">
        <is>
          <t>.00</t>
        </is>
      </c>
      <c r="Q16" s="1" t="inlineStr">
        <is>
          <t>.00</t>
        </is>
      </c>
      <c r="R16" s="1" t="inlineStr">
        <is>
          <t>.00</t>
        </is>
      </c>
      <c r="S16" s="1" t="inlineStr">
        <is>
          <t>.00</t>
        </is>
      </c>
      <c r="T16" s="1" t="inlineStr">
        <is>
          <t>.00</t>
        </is>
      </c>
      <c r="U16" s="1" t="inlineStr">
        <is>
          <t>.00</t>
        </is>
      </c>
      <c r="V16" s="1" t="inlineStr">
        <is>
          <t>.00</t>
        </is>
      </c>
      <c r="W16" s="1" t="inlineStr">
        <is>
          <t>.00</t>
        </is>
      </c>
      <c r="X16" s="1" t="inlineStr">
        <is>
          <t>.00</t>
        </is>
      </c>
      <c r="Y16" s="1" t="inlineStr">
        <is>
          <t>.00</t>
        </is>
      </c>
      <c r="Z16" s="1" t="inlineStr">
        <is>
          <t>.00</t>
        </is>
      </c>
      <c r="AA16" s="1" t="inlineStr">
        <is>
          <t>.00</t>
        </is>
      </c>
      <c r="AB16" s="1" t="inlineStr">
        <is>
          <t>.00</t>
        </is>
      </c>
      <c r="AC16" s="465">
        <v>43045.2298827315</v>
      </c>
    </row>
    <row spans="1:29" outlineLevel="0" r="17">
      <c r="A17" s="1" t="inlineStr">
        <is>
          <t>2026</t>
        </is>
      </c>
      <c r="B17" s="1" t="inlineStr">
        <is>
          <t>18-T</t>
        </is>
      </c>
      <c r="C17" s="1" t="inlineStr">
        <is>
          <t>6144143.10</t>
        </is>
      </c>
      <c r="D17" s="1" t="inlineStr">
        <is>
          <t>6624502.46</t>
        </is>
      </c>
      <c r="E17" s="1" t="inlineStr">
        <is>
          <t>5900638.84</t>
        </is>
      </c>
      <c r="F17" s="1" t="inlineStr">
        <is>
          <t>5102363.83</t>
        </is>
      </c>
      <c r="G17" s="1" t="inlineStr">
        <is>
          <t>5888874.71</t>
        </is>
      </c>
      <c r="H17" s="1" t="inlineStr">
        <is>
          <t>7610703.37</t>
        </is>
      </c>
      <c r="I17" s="1" t="inlineStr">
        <is>
          <t>6994164.65</t>
        </is>
      </c>
      <c r="J17" s="1" t="inlineStr">
        <is>
          <t>7751868.74</t>
        </is>
      </c>
      <c r="K17" s="1" t="inlineStr">
        <is>
          <t>9693058.60</t>
        </is>
      </c>
      <c r="L17" s="1" t="inlineStr">
        <is>
          <t>.00</t>
        </is>
      </c>
      <c r="M17" s="1" t="inlineStr">
        <is>
          <t>.00</t>
        </is>
      </c>
      <c r="N17" s="1" t="inlineStr">
        <is>
          <t>.00</t>
        </is>
      </c>
      <c r="O17" s="1" t="inlineStr">
        <is>
          <t>6856702.00</t>
        </is>
      </c>
      <c r="P17" s="1" t="inlineStr">
        <is>
          <t>6589897.00</t>
        </is>
      </c>
      <c r="Q17" s="1" t="inlineStr">
        <is>
          <t>7851229.00</t>
        </is>
      </c>
      <c r="R17" s="1" t="inlineStr">
        <is>
          <t>6149577.00</t>
        </is>
      </c>
      <c r="S17" s="1" t="inlineStr">
        <is>
          <t>7515941.00</t>
        </is>
      </c>
      <c r="T17" s="1" t="inlineStr">
        <is>
          <t>7306682.00</t>
        </is>
      </c>
      <c r="U17" s="1" t="inlineStr">
        <is>
          <t>9051165.00</t>
        </is>
      </c>
      <c r="V17" s="1" t="inlineStr">
        <is>
          <t>10098360.00</t>
        </is>
      </c>
      <c r="W17" s="1" t="inlineStr">
        <is>
          <t>26470539.00</t>
        </is>
      </c>
      <c r="X17" s="1" t="inlineStr">
        <is>
          <t>8336860.00</t>
        </is>
      </c>
      <c r="Y17" s="1" t="inlineStr">
        <is>
          <t>.00</t>
        </is>
      </c>
      <c r="Z17" s="1" t="inlineStr">
        <is>
          <t>.00</t>
        </is>
      </c>
      <c r="AA17" s="1" t="inlineStr">
        <is>
          <t>.00</t>
        </is>
      </c>
      <c r="AB17" s="1" t="inlineStr">
        <is>
          <t>9930028.00</t>
        </is>
      </c>
      <c r="AC17" s="465">
        <v>43045.2298827315</v>
      </c>
    </row>
    <row spans="1:29" outlineLevel="0" r="18">
      <c r="A18" s="1" t="inlineStr">
        <is>
          <t>2026</t>
        </is>
      </c>
      <c r="B18" s="464" t="inlineStr">
        <is>
          <t>19-V</t>
        </is>
      </c>
      <c r="C18" s="1" t="inlineStr">
        <is>
          <t>10283834.97</t>
        </is>
      </c>
      <c r="D18" s="1" t="inlineStr">
        <is>
          <t>10074047.82</t>
        </is>
      </c>
      <c r="E18" s="1" t="inlineStr">
        <is>
          <t>11570067.81</t>
        </is>
      </c>
      <c r="F18" s="1" t="inlineStr">
        <is>
          <t>11090298.63</t>
        </is>
      </c>
      <c r="G18" s="1" t="inlineStr">
        <is>
          <t>10872506.97</t>
        </is>
      </c>
      <c r="H18" s="1" t="inlineStr">
        <is>
          <t>11056667.40</t>
        </is>
      </c>
      <c r="I18" s="1" t="inlineStr">
        <is>
          <t>10095650.58</t>
        </is>
      </c>
      <c r="J18" s="1" t="inlineStr">
        <is>
          <t>9973847.19</t>
        </is>
      </c>
      <c r="K18" s="1" t="inlineStr">
        <is>
          <t>11225733.50</t>
        </is>
      </c>
      <c r="L18" s="1" t="inlineStr">
        <is>
          <t>.00</t>
        </is>
      </c>
      <c r="M18" s="1" t="inlineStr">
        <is>
          <t>.00</t>
        </is>
      </c>
      <c r="N18" s="1" t="inlineStr">
        <is>
          <t>.00</t>
        </is>
      </c>
      <c r="O18" s="1" t="inlineStr">
        <is>
          <t>10693628.00</t>
        </is>
      </c>
      <c r="P18" s="1" t="inlineStr">
        <is>
          <t>10038829.00</t>
        </is>
      </c>
      <c r="Q18" s="1" t="inlineStr">
        <is>
          <t>11733146.00</t>
        </is>
      </c>
      <c r="R18" s="1" t="inlineStr">
        <is>
          <t>10843853.00</t>
        </is>
      </c>
      <c r="S18" s="1" t="inlineStr">
        <is>
          <t>11814297.00</t>
        </is>
      </c>
      <c r="T18" s="1" t="inlineStr">
        <is>
          <t>12096175.00</t>
        </is>
      </c>
      <c r="U18" s="1" t="inlineStr">
        <is>
          <t>11281946.00</t>
        </is>
      </c>
      <c r="V18" s="1" t="inlineStr">
        <is>
          <t>11631121.00</t>
        </is>
      </c>
      <c r="W18" s="1" t="inlineStr">
        <is>
          <t>11026682.00</t>
        </is>
      </c>
      <c r="X18" s="1" t="inlineStr">
        <is>
          <t>11994989.00</t>
        </is>
      </c>
      <c r="Y18" s="1" t="inlineStr">
        <is>
          <t>.00</t>
        </is>
      </c>
      <c r="Z18" s="1" t="inlineStr">
        <is>
          <t>.00</t>
        </is>
      </c>
      <c r="AA18" s="1" t="inlineStr">
        <is>
          <t>.00</t>
        </is>
      </c>
      <c r="AB18" s="1" t="inlineStr">
        <is>
          <t>11384560.00</t>
        </is>
      </c>
      <c r="AC18" s="465">
        <v>43045.2298827315</v>
      </c>
    </row>
    <row spans="1:29" outlineLevel="0" r="19">
      <c r="A19" s="1" t="inlineStr">
        <is>
          <t>2026</t>
        </is>
      </c>
      <c r="B19" s="1" t="inlineStr">
        <is>
          <t>20-S</t>
        </is>
      </c>
      <c r="C19" s="1" t="inlineStr">
        <is>
          <t>7942536.90</t>
        </is>
      </c>
      <c r="D19" s="1" t="inlineStr">
        <is>
          <t>7788290.93</t>
        </is>
      </c>
      <c r="E19" s="1" t="inlineStr">
        <is>
          <t>7577748.45</t>
        </is>
      </c>
      <c r="F19" s="1" t="inlineStr">
        <is>
          <t>7170796.07</t>
        </is>
      </c>
      <c r="G19" s="1" t="inlineStr">
        <is>
          <t>6985512.10</t>
        </is>
      </c>
      <c r="H19" s="1" t="inlineStr">
        <is>
          <t>6688836.20</t>
        </is>
      </c>
      <c r="I19" s="1" t="inlineStr">
        <is>
          <t>6513543.90</t>
        </is>
      </c>
      <c r="J19" s="1" t="inlineStr">
        <is>
          <t>6369434.23</t>
        </is>
      </c>
      <c r="K19" s="1" t="inlineStr">
        <is>
          <t>6274880.30</t>
        </is>
      </c>
      <c r="L19" s="1" t="inlineStr">
        <is>
          <t>.00</t>
        </is>
      </c>
      <c r="M19" s="1" t="inlineStr">
        <is>
          <t>.00</t>
        </is>
      </c>
      <c r="N19" s="1" t="inlineStr">
        <is>
          <t>.00</t>
        </is>
      </c>
      <c r="O19" s="1" t="inlineStr">
        <is>
          <t>7034620.00</t>
        </is>
      </c>
      <c r="P19" s="1" t="inlineStr">
        <is>
          <t>7730794.00</t>
        </is>
      </c>
      <c r="Q19" s="1" t="inlineStr">
        <is>
          <t>7745653.00</t>
        </is>
      </c>
      <c r="R19" s="1" t="inlineStr">
        <is>
          <t>7350084.00</t>
        </is>
      </c>
      <c r="S19" s="1" t="inlineStr">
        <is>
          <t>7162266.00</t>
        </is>
      </c>
      <c r="T19" s="1" t="inlineStr">
        <is>
          <t>6786336.00</t>
        </is>
      </c>
      <c r="U19" s="1" t="inlineStr">
        <is>
          <t>6614678.00</t>
        </is>
      </c>
      <c r="V19" s="1" t="inlineStr">
        <is>
          <t>6439211.00</t>
        </is>
      </c>
      <c r="W19" s="1" t="inlineStr">
        <is>
          <t>6324517.00</t>
        </is>
      </c>
      <c r="X19" s="1" t="inlineStr">
        <is>
          <t>6239212.00</t>
        </is>
      </c>
      <c r="Y19" s="1" t="inlineStr">
        <is>
          <t>.00</t>
        </is>
      </c>
      <c r="Z19" s="1" t="inlineStr">
        <is>
          <t>.00</t>
        </is>
      </c>
      <c r="AA19" s="1" t="inlineStr">
        <is>
          <t>.00</t>
        </is>
      </c>
      <c r="AB19" s="1" t="inlineStr">
        <is>
          <t>6932528.00</t>
        </is>
      </c>
      <c r="AC19" s="465">
        <v>43045.2298827315</v>
      </c>
    </row>
    <row spans="1:29" outlineLevel="0" r="20">
      <c r="A20" s="1" t="inlineStr">
        <is>
          <t>2026</t>
        </is>
      </c>
      <c r="B20" s="1" t="inlineStr">
        <is>
          <t>21-Q</t>
        </is>
      </c>
      <c r="C20" s="1" t="inlineStr">
        <is>
          <t>162800.00</t>
        </is>
      </c>
      <c r="D20" s="1" t="inlineStr">
        <is>
          <t>162800.00</t>
        </is>
      </c>
      <c r="E20" s="1" t="inlineStr">
        <is>
          <t>162800.00</t>
        </is>
      </c>
      <c r="F20" s="1" t="inlineStr">
        <is>
          <t>162800.00</t>
        </is>
      </c>
      <c r="G20" s="1" t="inlineStr">
        <is>
          <t>162800.00</t>
        </is>
      </c>
      <c r="H20" s="1" t="inlineStr">
        <is>
          <t>162800.00</t>
        </is>
      </c>
      <c r="I20" s="1" t="inlineStr">
        <is>
          <t>162800.00</t>
        </is>
      </c>
      <c r="J20" s="1" t="inlineStr">
        <is>
          <t>162800.00</t>
        </is>
      </c>
      <c r="K20" s="1" t="inlineStr">
        <is>
          <t>162800.00</t>
        </is>
      </c>
      <c r="L20" s="1" t="inlineStr">
        <is>
          <t>.00</t>
        </is>
      </c>
      <c r="M20" s="1" t="inlineStr">
        <is>
          <t>.00</t>
        </is>
      </c>
      <c r="N20" s="1" t="inlineStr">
        <is>
          <t>.00</t>
        </is>
      </c>
      <c r="O20" s="1" t="inlineStr">
        <is>
          <t>162800.00</t>
        </is>
      </c>
      <c r="P20" s="1" t="inlineStr">
        <is>
          <t>162800.00</t>
        </is>
      </c>
      <c r="Q20" s="1" t="inlineStr">
        <is>
          <t>162800.00</t>
        </is>
      </c>
      <c r="R20" s="1" t="inlineStr">
        <is>
          <t>162800.00</t>
        </is>
      </c>
      <c r="S20" s="1" t="inlineStr">
        <is>
          <t>162800.00</t>
        </is>
      </c>
      <c r="T20" s="1" t="inlineStr">
        <is>
          <t>162800.00</t>
        </is>
      </c>
      <c r="U20" s="1" t="inlineStr">
        <is>
          <t>162800.00</t>
        </is>
      </c>
      <c r="V20" s="1" t="inlineStr">
        <is>
          <t>162800.00</t>
        </is>
      </c>
      <c r="W20" s="1" t="inlineStr">
        <is>
          <t>162800.00</t>
        </is>
      </c>
      <c r="X20" s="1" t="inlineStr">
        <is>
          <t>162800.00</t>
        </is>
      </c>
      <c r="Y20" s="1" t="inlineStr">
        <is>
          <t>.00</t>
        </is>
      </c>
      <c r="Z20" s="1" t="inlineStr">
        <is>
          <t>.00</t>
        </is>
      </c>
      <c r="AA20" s="1" t="inlineStr">
        <is>
          <t>.00</t>
        </is>
      </c>
      <c r="AB20" s="1" t="inlineStr">
        <is>
          <t>162800.00</t>
        </is>
      </c>
      <c r="AC20" s="465">
        <v>43045.2298827315</v>
      </c>
    </row>
    <row spans="1:29" outlineLevel="0" r="21">
      <c r="A21" s="1" t="inlineStr">
        <is>
          <t>2026</t>
        </is>
      </c>
      <c r="B21" s="1" t="inlineStr">
        <is>
          <t>22-2</t>
        </is>
      </c>
      <c r="C21" s="1" t="inlineStr">
        <is>
          <t>14160.00</t>
        </is>
      </c>
      <c r="D21" s="1" t="inlineStr">
        <is>
          <t>14160.00</t>
        </is>
      </c>
      <c r="E21" s="1" t="inlineStr">
        <is>
          <t>14160.00</t>
        </is>
      </c>
      <c r="F21" s="1" t="inlineStr">
        <is>
          <t>14160.00</t>
        </is>
      </c>
      <c r="G21" s="1" t="inlineStr">
        <is>
          <t>14160.00</t>
        </is>
      </c>
      <c r="H21" s="1" t="inlineStr">
        <is>
          <t>14160.00</t>
        </is>
      </c>
      <c r="I21" s="1" t="inlineStr">
        <is>
          <t>14160.00</t>
        </is>
      </c>
      <c r="J21" s="1" t="inlineStr">
        <is>
          <t>14160.00</t>
        </is>
      </c>
      <c r="K21" s="1" t="inlineStr">
        <is>
          <t>14160.00</t>
        </is>
      </c>
      <c r="L21" s="1" t="inlineStr">
        <is>
          <t>.00</t>
        </is>
      </c>
      <c r="M21" s="1" t="inlineStr">
        <is>
          <t>.00</t>
        </is>
      </c>
      <c r="N21" s="1" t="inlineStr">
        <is>
          <t>.00</t>
        </is>
      </c>
      <c r="O21" s="1" t="inlineStr">
        <is>
          <t>14160.00</t>
        </is>
      </c>
      <c r="P21" s="1" t="inlineStr">
        <is>
          <t>14160.00</t>
        </is>
      </c>
      <c r="Q21" s="1" t="inlineStr">
        <is>
          <t>14160.00</t>
        </is>
      </c>
      <c r="R21" s="1" t="inlineStr">
        <is>
          <t>14160.00</t>
        </is>
      </c>
      <c r="S21" s="1" t="inlineStr">
        <is>
          <t>14160.00</t>
        </is>
      </c>
      <c r="T21" s="1" t="inlineStr">
        <is>
          <t>14160.00</t>
        </is>
      </c>
      <c r="U21" s="1" t="inlineStr">
        <is>
          <t>14160.00</t>
        </is>
      </c>
      <c r="V21" s="1" t="inlineStr">
        <is>
          <t>14160.00</t>
        </is>
      </c>
      <c r="W21" s="1" t="inlineStr">
        <is>
          <t>14160.00</t>
        </is>
      </c>
      <c r="X21" s="1" t="inlineStr">
        <is>
          <t>14160.00</t>
        </is>
      </c>
      <c r="Y21" s="1" t="inlineStr">
        <is>
          <t>.00</t>
        </is>
      </c>
      <c r="Z21" s="1" t="inlineStr">
        <is>
          <t>.00</t>
        </is>
      </c>
      <c r="AA21" s="1" t="inlineStr">
        <is>
          <t>.00</t>
        </is>
      </c>
      <c r="AB21" s="1" t="inlineStr">
        <is>
          <t>14160.00</t>
        </is>
      </c>
      <c r="AC21" s="465">
        <v>43045.2298827315</v>
      </c>
    </row>
    <row spans="1:29" outlineLevel="0" r="22">
      <c r="A22" s="1" t="inlineStr">
        <is>
          <t>2026</t>
        </is>
      </c>
      <c r="B22" s="1" t="inlineStr">
        <is>
          <t>23-3</t>
        </is>
      </c>
      <c r="C22" s="1" t="inlineStr">
        <is>
          <t>133791.10</t>
        </is>
      </c>
      <c r="D22" s="1" t="inlineStr">
        <is>
          <t>178802.57</t>
        </is>
      </c>
      <c r="E22" s="1" t="inlineStr">
        <is>
          <t>137735.42</t>
        </is>
      </c>
      <c r="F22" s="1" t="inlineStr">
        <is>
          <t>138738.60</t>
        </is>
      </c>
      <c r="G22" s="1" t="inlineStr">
        <is>
          <t>109922.55</t>
        </is>
      </c>
      <c r="H22" s="1" t="inlineStr">
        <is>
          <t>111836.00</t>
        </is>
      </c>
      <c r="I22" s="1" t="inlineStr">
        <is>
          <t>154046.32</t>
        </is>
      </c>
      <c r="J22" s="1" t="inlineStr">
        <is>
          <t>157698.58</t>
        </is>
      </c>
      <c r="K22" s="1" t="inlineStr">
        <is>
          <t>157470.00</t>
        </is>
      </c>
      <c r="L22" s="1" t="inlineStr">
        <is>
          <t>.00</t>
        </is>
      </c>
      <c r="M22" s="1" t="inlineStr">
        <is>
          <t>.00</t>
        </is>
      </c>
      <c r="N22" s="1" t="inlineStr">
        <is>
          <t>.00</t>
        </is>
      </c>
      <c r="O22" s="1" t="inlineStr">
        <is>
          <t>142227.00</t>
        </is>
      </c>
      <c r="P22" s="1" t="inlineStr">
        <is>
          <t>158004.00</t>
        </is>
      </c>
      <c r="Q22" s="1" t="inlineStr">
        <is>
          <t>166314.00</t>
        </is>
      </c>
      <c r="R22" s="1" t="inlineStr">
        <is>
          <t>222078.00</t>
        </is>
      </c>
      <c r="S22" s="1" t="inlineStr">
        <is>
          <t>130752.00</t>
        </is>
      </c>
      <c r="T22" s="1" t="inlineStr">
        <is>
          <t>76104.00</t>
        </is>
      </c>
      <c r="U22" s="1" t="inlineStr">
        <is>
          <t>105108.00</t>
        </is>
      </c>
      <c r="V22" s="1" t="inlineStr">
        <is>
          <t>186876.00</t>
        </is>
      </c>
      <c r="W22" s="1" t="inlineStr">
        <is>
          <t>150696.00</t>
        </is>
      </c>
      <c r="X22" s="1" t="inlineStr">
        <is>
          <t>159156.00</t>
        </is>
      </c>
      <c r="Y22" s="1" t="inlineStr">
        <is>
          <t>.00</t>
        </is>
      </c>
      <c r="Z22" s="1" t="inlineStr">
        <is>
          <t>.00</t>
        </is>
      </c>
      <c r="AA22" s="1" t="inlineStr">
        <is>
          <t>.00</t>
        </is>
      </c>
      <c r="AB22" s="1" t="inlineStr">
        <is>
          <t>150565.00</t>
        </is>
      </c>
      <c r="AC22" s="465">
        <v>43045.2298827315</v>
      </c>
    </row>
    <row spans="1:29" outlineLevel="0" r="23">
      <c r="A23" s="1" t="inlineStr">
        <is>
          <t>2026</t>
        </is>
      </c>
      <c r="B23" s="464" t="inlineStr">
        <is>
          <t>24-4</t>
        </is>
      </c>
      <c r="C23" s="1" t="inlineStr">
        <is>
          <t>.00</t>
        </is>
      </c>
      <c r="D23" s="1" t="inlineStr">
        <is>
          <t>.00</t>
        </is>
      </c>
      <c r="E23" s="1" t="inlineStr">
        <is>
          <t>.00</t>
        </is>
      </c>
      <c r="F23" s="1" t="inlineStr">
        <is>
          <t>.00</t>
        </is>
      </c>
      <c r="G23" s="1" t="inlineStr">
        <is>
          <t>.00</t>
        </is>
      </c>
      <c r="H23" s="1" t="inlineStr">
        <is>
          <t>.00</t>
        </is>
      </c>
      <c r="I23" s="1" t="inlineStr">
        <is>
          <t>.00</t>
        </is>
      </c>
      <c r="J23" s="1" t="inlineStr">
        <is>
          <t>.00</t>
        </is>
      </c>
      <c r="K23" s="1" t="inlineStr">
        <is>
          <t>.00</t>
        </is>
      </c>
      <c r="L23" s="1" t="inlineStr">
        <is>
          <t>.00</t>
        </is>
      </c>
      <c r="M23" s="1" t="inlineStr">
        <is>
          <t>.00</t>
        </is>
      </c>
      <c r="N23" s="1" t="inlineStr">
        <is>
          <t>.00</t>
        </is>
      </c>
      <c r="O23" s="1" t="inlineStr">
        <is>
          <t>.00</t>
        </is>
      </c>
      <c r="P23" s="1" t="inlineStr">
        <is>
          <t>.00</t>
        </is>
      </c>
      <c r="Q23" s="1" t="inlineStr">
        <is>
          <t>.00</t>
        </is>
      </c>
      <c r="R23" s="1" t="inlineStr">
        <is>
          <t>.00</t>
        </is>
      </c>
      <c r="S23" s="1" t="inlineStr">
        <is>
          <t>.00</t>
        </is>
      </c>
      <c r="T23" s="1" t="inlineStr">
        <is>
          <t>.00</t>
        </is>
      </c>
      <c r="U23" s="1" t="inlineStr">
        <is>
          <t>.00</t>
        </is>
      </c>
      <c r="V23" s="1" t="inlineStr">
        <is>
          <t>.00</t>
        </is>
      </c>
      <c r="W23" s="1" t="inlineStr">
        <is>
          <t>.00</t>
        </is>
      </c>
      <c r="X23" s="1" t="inlineStr">
        <is>
          <t>.00</t>
        </is>
      </c>
      <c r="Y23" s="1" t="inlineStr">
        <is>
          <t>.00</t>
        </is>
      </c>
      <c r="Z23" s="1" t="inlineStr">
        <is>
          <t>.00</t>
        </is>
      </c>
      <c r="AA23" s="1" t="inlineStr">
        <is>
          <t>.00</t>
        </is>
      </c>
      <c r="AB23" s="1" t="inlineStr">
        <is>
          <t>.00</t>
        </is>
      </c>
      <c r="AC23" s="465">
        <v>43045.2298827315</v>
      </c>
    </row>
    <row spans="1:29" outlineLevel="0" r="24">
      <c r="A24" s="1" t="inlineStr">
        <is>
          <t>2026</t>
        </is>
      </c>
      <c r="B24" s="464" t="inlineStr">
        <is>
          <t>25-5</t>
        </is>
      </c>
      <c r="C24" s="1" t="inlineStr">
        <is>
          <t>.00</t>
        </is>
      </c>
      <c r="D24" s="1" t="inlineStr">
        <is>
          <t>.00</t>
        </is>
      </c>
      <c r="E24" s="1" t="inlineStr">
        <is>
          <t>.00</t>
        </is>
      </c>
      <c r="F24" s="1" t="inlineStr">
        <is>
          <t>.00</t>
        </is>
      </c>
      <c r="G24" s="1" t="inlineStr">
        <is>
          <t>.00</t>
        </is>
      </c>
      <c r="H24" s="1" t="inlineStr">
        <is>
          <t>.00</t>
        </is>
      </c>
      <c r="I24" s="1" t="inlineStr">
        <is>
          <t>.00</t>
        </is>
      </c>
      <c r="J24" s="1" t="inlineStr">
        <is>
          <t>.00</t>
        </is>
      </c>
      <c r="K24" s="1" t="inlineStr">
        <is>
          <t>.00</t>
        </is>
      </c>
      <c r="L24" s="1" t="inlineStr">
        <is>
          <t>.00</t>
        </is>
      </c>
      <c r="M24" s="1" t="inlineStr">
        <is>
          <t>.00</t>
        </is>
      </c>
      <c r="N24" s="1" t="inlineStr">
        <is>
          <t>.00</t>
        </is>
      </c>
      <c r="O24" s="1" t="inlineStr">
        <is>
          <t>.00</t>
        </is>
      </c>
      <c r="P24" s="1" t="inlineStr">
        <is>
          <t>.00</t>
        </is>
      </c>
      <c r="Q24" s="1" t="inlineStr">
        <is>
          <t>.00</t>
        </is>
      </c>
      <c r="R24" s="1" t="inlineStr">
        <is>
          <t>.00</t>
        </is>
      </c>
      <c r="S24" s="1" t="inlineStr">
        <is>
          <t>.00</t>
        </is>
      </c>
      <c r="T24" s="1" t="inlineStr">
        <is>
          <t>.00</t>
        </is>
      </c>
      <c r="U24" s="1" t="inlineStr">
        <is>
          <t>.00</t>
        </is>
      </c>
      <c r="V24" s="1" t="inlineStr">
        <is>
          <t>.00</t>
        </is>
      </c>
      <c r="W24" s="1" t="inlineStr">
        <is>
          <t>.00</t>
        </is>
      </c>
      <c r="X24" s="1" t="inlineStr">
        <is>
          <t>.00</t>
        </is>
      </c>
      <c r="Y24" s="1" t="inlineStr">
        <is>
          <t>.00</t>
        </is>
      </c>
      <c r="Z24" s="1" t="inlineStr">
        <is>
          <t>.00</t>
        </is>
      </c>
      <c r="AA24" s="1" t="inlineStr">
        <is>
          <t>.00</t>
        </is>
      </c>
      <c r="AB24" s="1" t="inlineStr">
        <is>
          <t>.00</t>
        </is>
      </c>
      <c r="AC24" s="465">
        <v>43045.2298827315</v>
      </c>
    </row>
    <row spans="1:29" outlineLevel="0" r="25">
      <c r="A25" s="1" t="inlineStr">
        <is>
          <t>2026</t>
        </is>
      </c>
      <c r="B25" s="464" t="inlineStr">
        <is>
          <t>26-6</t>
        </is>
      </c>
      <c r="C25" s="1" t="inlineStr">
        <is>
          <t>5295736.90</t>
        </is>
      </c>
      <c r="D25" s="1" t="inlineStr">
        <is>
          <t>5008243.64</t>
        </is>
      </c>
      <c r="E25" s="1" t="inlineStr">
        <is>
          <t>5099825.03</t>
        </is>
      </c>
      <c r="F25" s="1" t="inlineStr">
        <is>
          <t>5251707.63</t>
        </is>
      </c>
      <c r="G25" s="1" t="inlineStr">
        <is>
          <t>5529716.32</t>
        </is>
      </c>
      <c r="H25" s="1" t="inlineStr">
        <is>
          <t>6030730.67</t>
        </is>
      </c>
      <c r="I25" s="1" t="inlineStr">
        <is>
          <t>6861396.26</t>
        </is>
      </c>
      <c r="J25" s="1" t="inlineStr">
        <is>
          <t>7561339.65</t>
        </is>
      </c>
      <c r="K25" s="1" t="inlineStr">
        <is>
          <t>9172558.93</t>
        </is>
      </c>
      <c r="L25" s="1" t="inlineStr">
        <is>
          <t>.00</t>
        </is>
      </c>
      <c r="M25" s="1" t="inlineStr">
        <is>
          <t>.00</t>
        </is>
      </c>
      <c r="N25" s="1" t="inlineStr">
        <is>
          <t>.00</t>
        </is>
      </c>
      <c r="O25" s="1" t="inlineStr">
        <is>
          <t>6201251.00</t>
        </is>
      </c>
      <c r="P25" s="1" t="inlineStr">
        <is>
          <t>5577439.00</t>
        </is>
      </c>
      <c r="Q25" s="1" t="inlineStr">
        <is>
          <t>5423970.00</t>
        </is>
      </c>
      <c r="R25" s="1" t="inlineStr">
        <is>
          <t>5718016.00</t>
        </is>
      </c>
      <c r="S25" s="1" t="inlineStr">
        <is>
          <t>5664986.00</t>
        </is>
      </c>
      <c r="T25" s="1" t="inlineStr">
        <is>
          <t>6199447.00</t>
        </is>
      </c>
      <c r="U25" s="1" t="inlineStr">
        <is>
          <t>5066832.00</t>
        </is>
      </c>
      <c r="V25" s="1" t="inlineStr">
        <is>
          <t>6851508.00</t>
        </is>
      </c>
      <c r="W25" s="1" t="inlineStr">
        <is>
          <t>10064819.00</t>
        </is>
      </c>
      <c r="X25" s="1" t="inlineStr">
        <is>
          <t>7746124.00</t>
        </is>
      </c>
      <c r="Y25" s="1" t="inlineStr">
        <is>
          <t>.00</t>
        </is>
      </c>
      <c r="Z25" s="1" t="inlineStr">
        <is>
          <t>.00</t>
        </is>
      </c>
      <c r="AA25" s="1" t="inlineStr">
        <is>
          <t>.00</t>
        </is>
      </c>
      <c r="AB25" s="1" t="inlineStr">
        <is>
          <t>6479238.00</t>
        </is>
      </c>
      <c r="AC25" s="465">
        <v>43045.2298827315</v>
      </c>
    </row>
    <row spans="1:29" outlineLevel="0" r="26">
      <c r="A26" s="1" t="inlineStr">
        <is>
          <t>2026</t>
        </is>
      </c>
      <c r="B26" s="464" t="inlineStr">
        <is>
          <t>27-7</t>
        </is>
      </c>
      <c r="C26" s="1" t="inlineStr">
        <is>
          <t>4342640.74</t>
        </is>
      </c>
      <c r="D26" s="1" t="inlineStr">
        <is>
          <t>5185411.22</t>
        </is>
      </c>
      <c r="E26" s="1" t="inlineStr">
        <is>
          <t>5478941.26</t>
        </is>
      </c>
      <c r="F26" s="1" t="inlineStr">
        <is>
          <t>6608525.86</t>
        </is>
      </c>
      <c r="G26" s="1" t="inlineStr">
        <is>
          <t>7189715.71</t>
        </is>
      </c>
      <c r="H26" s="1" t="inlineStr">
        <is>
          <t>7863026.93</t>
        </is>
      </c>
      <c r="I26" s="1" t="inlineStr">
        <is>
          <t>8471797.16</t>
        </is>
      </c>
      <c r="J26" s="1" t="inlineStr">
        <is>
          <t>9120636.55</t>
        </is>
      </c>
      <c r="K26" s="1" t="inlineStr">
        <is>
          <t>10473658.00</t>
        </is>
      </c>
      <c r="L26" s="1" t="inlineStr">
        <is>
          <t>.00</t>
        </is>
      </c>
      <c r="M26" s="1" t="inlineStr">
        <is>
          <t>.00</t>
        </is>
      </c>
      <c r="N26" s="1" t="inlineStr">
        <is>
          <t>.00</t>
        </is>
      </c>
      <c r="O26" s="1" t="inlineStr">
        <is>
          <t>7192706.00</t>
        </is>
      </c>
      <c r="P26" s="1" t="inlineStr">
        <is>
          <t>4840921.00</t>
        </is>
      </c>
      <c r="Q26" s="1" t="inlineStr">
        <is>
          <t>6036373.00</t>
        </is>
      </c>
      <c r="R26" s="1" t="inlineStr">
        <is>
          <t>8910550.00</t>
        </is>
      </c>
      <c r="S26" s="1" t="inlineStr">
        <is>
          <t>7512907.00</t>
        </is>
      </c>
      <c r="T26" s="1" t="inlineStr">
        <is>
          <t>7773177.00</t>
        </is>
      </c>
      <c r="U26" s="1" t="inlineStr">
        <is>
          <t>8969899.00</t>
        </is>
      </c>
      <c r="V26" s="1" t="inlineStr">
        <is>
          <t>9147595.00</t>
        </is>
      </c>
      <c r="W26" s="1" t="inlineStr">
        <is>
          <t>10384364.00</t>
        </is>
      </c>
      <c r="X26" s="1" t="inlineStr">
        <is>
          <t>11710179.00</t>
        </is>
      </c>
      <c r="Y26" s="1" t="inlineStr">
        <is>
          <t>.00</t>
        </is>
      </c>
      <c r="Z26" s="1" t="inlineStr">
        <is>
          <t>.00</t>
        </is>
      </c>
      <c r="AA26" s="1" t="inlineStr">
        <is>
          <t>.00</t>
        </is>
      </c>
      <c r="AB26" s="1" t="inlineStr">
        <is>
          <t>8365107.00</t>
        </is>
      </c>
      <c r="AC26" s="465">
        <v>43045.2298827315</v>
      </c>
    </row>
    <row spans="1:29" outlineLevel="0" r="2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65">
        <v>43045.2298827315</v>
      </c>
    </row>
    <row spans="1:29" outlineLevel="0" r="28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65">
        <v>43045.2298827315</v>
      </c>
    </row>
    <row spans="1:29" outlineLevel="0"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spans="1:29" outlineLevel="0"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spans="1:29" outlineLevel="0"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spans="1:29" outlineLevel="0"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spans="1:28" outlineLevel="0"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spans="1:28" outlineLevel="0"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spans="1:28" outlineLevel="0"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spans="1:28" outlineLevel="0"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spans="1:28" outlineLevel="0"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spans="1:28" outlineLevel="0"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spans="1:28" outlineLevel="0"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spans="1:28" outlineLevel="0"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spans="1:28" outlineLevel="0"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spans="1:28" outlineLevel="0"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spans="1:28" outlineLevel="0"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spans="1:28" outlineLevel="0"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spans="1:28" outlineLevel="0"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spans="1:28" outlineLevel="0"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spans="1:28" outlineLevel="0"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spans="1:28" outlineLevel="0"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spans="1:28" outlineLevel="0"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spans="1:28" outlineLevel="0"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spans="1:28" outlineLevel="0"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spans="1:28" outlineLevel="0"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spans="1:28" outlineLevel="0"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spans="1:28" outlineLevel="0"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spans="1:28" outlineLevel="0"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spans="1:28" outlineLevel="0"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spans="1:28" outlineLevel="0"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spans="1:28" outlineLevel="0"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spans="1:28" outlineLevel="0"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spans="1:28" outlineLevel="0"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spans="1:28" outlineLevel="0"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spans="1:28" outlineLevel="0"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spans="1:28" outlineLevel="0"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spans="1:28" outlineLevel="0"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spans="1:28" outlineLevel="0"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spans="1:28" outlineLevel="0"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spans="1:28" outlineLevel="0"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spans="1:28" outlineLevel="0"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spans="1:28" outlineLevel="0"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spans="1:28" outlineLevel="0"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spans="1:28" outlineLevel="0"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spans="1:28" outlineLevel="0"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spans="1:28" outlineLevel="0"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spans="1:28" outlineLevel="0"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spans="1:28" outlineLevel="0"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spans="1:28" outlineLevel="0"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spans="1:28" outlineLevel="0"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spans="1:28" outlineLevel="0"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spans="1:28" outlineLevel="0"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spans="1:28" outlineLevel="0"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spans="1:28" outlineLevel="0"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spans="1:28" outlineLevel="0"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spans="1:28" outlineLevel="0"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spans="1:28" outlineLevel="0"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spans="1:28" outlineLevel="0"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spans="1:28" outlineLevel="0"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spans="1:28" outlineLevel="0"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spans="1:28" outlineLevel="0"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spans="1:28" outlineLevel="0"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spans="1:28" outlineLevel="0"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spans="1:28" outlineLevel="0"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spans="1:28" outlineLevel="0"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spans="1:28" outlineLevel="0"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spans="1:28" outlineLevel="0"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spans="1:28" outlineLevel="0"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spans="1:28" outlineLevel="0"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spans="1:28" outlineLevel="0"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spans="1:28" outlineLevel="0"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spans="1:28" outlineLevel="0"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spans="1:28" outlineLevel="0"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spans="1:28" outlineLevel="0"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spans="1:28" outlineLevel="0"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spans="1:28" outlineLevel="0"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spans="1:28" outlineLevel="0"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spans="1:28" outlineLevel="0"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spans="1:28" outlineLevel="0"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spans="1:28" outlineLevel="0"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spans="1:28" outlineLevel="0"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spans="1:28" outlineLevel="0"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spans="1:28" outlineLevel="0"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spans="1:28" outlineLevel="0"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spans="1:28" outlineLevel="0"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spans="1:28" outlineLevel="0"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spans="1:28" outlineLevel="0"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spans="1:28" outlineLevel="0"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spans="1:28" outlineLevel="0"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spans="1:28" outlineLevel="0"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spans="1:28" outlineLevel="0"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spans="1:28" outlineLevel="0"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spans="1:28" outlineLevel="0"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spans="1:28" outlineLevel="0"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spans="1:28" outlineLevel="0"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spans="1:28" outlineLevel="0"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spans="1:28" outlineLevel="0"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spans="1:28" outlineLevel="0"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spans="1:28" outlineLevel="0"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spans="1:28" outlineLevel="0"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spans="1:28" outlineLevel="0"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spans="1:28" outlineLevel="0"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spans="1:28" outlineLevel="0"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spans="1:28" outlineLevel="0"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spans="1:28" outlineLevel="0"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spans="1:28" outlineLevel="0"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spans="1:28" outlineLevel="0"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spans="1:28" outlineLevel="0"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spans="1:28" outlineLevel="0"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spans="1:28" outlineLevel="0"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spans="1:28" outlineLevel="0"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spans="1:28" outlineLevel="0"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spans="1:28" outlineLevel="0"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spans="1:28" outlineLevel="0"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spans="1:28" outlineLevel="0"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spans="1:28" outlineLevel="0"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spans="1:28" outlineLevel="0"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spans="1:28" outlineLevel="0"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spans="1:28" outlineLevel="0"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spans="1:28" outlineLevel="0"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spans="1:28" outlineLevel="0"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spans="1:28" outlineLevel="0"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spans="1:28" outlineLevel="0"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spans="1:28" outlineLevel="0"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spans="1:28" outlineLevel="0"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spans="1:28" outlineLevel="0"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spans="1:28" outlineLevel="0"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spans="1:28" outlineLevel="0"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spans="1:28" outlineLevel="0"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spans="1:28" outlineLevel="0"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spans="1:28" outlineLevel="0"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spans="1:28" outlineLevel="0"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spans="1:28" outlineLevel="0"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spans="1:28" outlineLevel="0"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spans="1:28" outlineLevel="0"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spans="1:28" outlineLevel="0"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spans="1:28" outlineLevel="0"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spans="1:28" outlineLevel="0"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spans="1:28" outlineLevel="0"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spans="1:28" outlineLevel="0"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spans="1:28" outlineLevel="0"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spans="1:28" outlineLevel="0"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spans="1:28" outlineLevel="0"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spans="1:28" outlineLevel="0"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spans="1:28" outlineLevel="0"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spans="1:28" outlineLevel="0"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spans="1:28" outlineLevel="0"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spans="1:28" outlineLevel="0"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spans="1:28" outlineLevel="0"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spans="1:28" outlineLevel="0"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spans="1:28" outlineLevel="0"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spans="1:28" outlineLevel="0"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spans="1:28" outlineLevel="0"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spans="1:28" outlineLevel="0"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spans="1:28" outlineLevel="0"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spans="1:28" outlineLevel="0"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spans="1:28" outlineLevel="0"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spans="1:28" outlineLevel="0"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spans="1:28" outlineLevel="0"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spans="1:28" outlineLevel="0"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spans="1:28" outlineLevel="0"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spans="1:28" outlineLevel="0"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spans="1:28" outlineLevel="0"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spans="1:28" outlineLevel="0"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spans="1:28" outlineLevel="0"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spans="1:28" outlineLevel="0"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spans="1:28" outlineLevel="0"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spans="1:28" outlineLevel="0"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spans="1:28" outlineLevel="0"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spans="1:28" outlineLevel="0"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spans="1:28" outlineLevel="0"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spans="1:28" outlineLevel="0"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spans="1:28" outlineLevel="0"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spans="1:28" outlineLevel="0"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spans="1:28" outlineLevel="0"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spans="1:28" outlineLevel="0"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spans="1:28" outlineLevel="0"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spans="1:28" outlineLevel="0"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spans="1:28" outlineLevel="0"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spans="1:28" outlineLevel="0"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spans="1:28" outlineLevel="0"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spans="1:28" outlineLevel="0"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spans="1:28" outlineLevel="0"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spans="1:28" outlineLevel="0"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spans="1:28" outlineLevel="0"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spans="1:28" outlineLevel="0"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spans="1:28" outlineLevel="0"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spans="1:28" outlineLevel="0"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spans="1:28" outlineLevel="0"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spans="1:28" outlineLevel="0"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spans="1:28" outlineLevel="0"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spans="1:28" outlineLevel="0"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spans="1:28" outlineLevel="0"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spans="1:28" outlineLevel="0"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spans="1:28" outlineLevel="0"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spans="1:28" outlineLevel="0"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spans="1:28" outlineLevel="0"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spans="1:28" outlineLevel="0"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spans="1:28" outlineLevel="0"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spans="1:28" outlineLevel="0"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spans="1:28" outlineLevel="0"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spans="1:28" outlineLevel="0"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spans="1:28" outlineLevel="0"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spans="1:28" outlineLevel="0"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spans="1:28" outlineLevel="0"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spans="1:28" outlineLevel="0"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spans="1:28" outlineLevel="0"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spans="1:28" outlineLevel="0"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spans="1:28" outlineLevel="0"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spans="1:28" outlineLevel="0"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spans="1:28" outlineLevel="0"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spans="1:28" outlineLevel="0"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spans="1:28" outlineLevel="0"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spans="1:28" outlineLevel="0"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spans="1:28" outlineLevel="0"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spans="1:28" outlineLevel="0"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spans="1:28" outlineLevel="0"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spans="1:28" outlineLevel="0"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spans="1:28" outlineLevel="0"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spans="1:28" outlineLevel="0"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spans="1:28" outlineLevel="0"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spans="1:28" outlineLevel="0"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spans="1:28" outlineLevel="0"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spans="1:28" outlineLevel="0"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spans="1:28" outlineLevel="0"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spans="1:28" outlineLevel="0"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spans="1:28" outlineLevel="0"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spans="1:28" outlineLevel="0"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spans="1:28" outlineLevel="0"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spans="1:28" outlineLevel="0"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spans="1:28" outlineLevel="0"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spans="1:28" outlineLevel="0"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spans="1:28" outlineLevel="0"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spans="1:28" outlineLevel="0"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spans="1:28" outlineLevel="0"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spans="1:28" outlineLevel="0"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spans="1:28" outlineLevel="0"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spans="1:28" outlineLevel="0"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spans="1:28" outlineLevel="0"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spans="1:28" outlineLevel="0"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spans="1:28" outlineLevel="0"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spans="1:28" outlineLevel="0"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spans="1:28" outlineLevel="0"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spans="1:28" outlineLevel="0"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spans="1:28" outlineLevel="0"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spans="1:28" outlineLevel="0"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spans="1:28" outlineLevel="0"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spans="1:28" outlineLevel="0"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spans="1:28" outlineLevel="0"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spans="1:28" outlineLevel="0"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spans="1:28" outlineLevel="0"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spans="1:28" outlineLevel="0"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spans="1:28" outlineLevel="0"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spans="1:28" outlineLevel="0"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spans="1:28" outlineLevel="0"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spans="1:28" outlineLevel="0"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spans="1:28" outlineLevel="0"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spans="1:28" outlineLevel="0"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spans="1:28" outlineLevel="0"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spans="1:28" outlineLevel="0"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spans="1:28" outlineLevel="0"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spans="1:28" outlineLevel="0"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spans="1:28" outlineLevel="0"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spans="1:28" outlineLevel="0"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spans="1:28" outlineLevel="0"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spans="1:28" outlineLevel="0"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spans="1:28" outlineLevel="0"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spans="1:28" outlineLevel="0"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spans="1:28" outlineLevel="0"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spans="1:28" outlineLevel="0"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spans="1:28" outlineLevel="0"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spans="1:28" outlineLevel="0"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spans="1:28" outlineLevel="0"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spans="1:28" outlineLevel="0"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spans="1:28" outlineLevel="0"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spans="1:28" outlineLevel="0"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spans="1:28" outlineLevel="0"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spans="1:28" outlineLevel="0"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spans="1:28" outlineLevel="0"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spans="1:28" outlineLevel="0"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spans="1:28" outlineLevel="0"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spans="1:28" outlineLevel="0"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spans="1:28" outlineLevel="0"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spans="1:28" outlineLevel="0"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spans="1:28" outlineLevel="0"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spans="1:28" outlineLevel="0"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spans="1:28" outlineLevel="0"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spans="1:28" outlineLevel="0"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spans="1:28" outlineLevel="0"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spans="1:28" outlineLevel="0"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spans="1:28" outlineLevel="0"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spans="1:28" outlineLevel="0"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spans="1:28" outlineLevel="0"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spans="1:28" outlineLevel="0"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spans="1:28" outlineLevel="0"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spans="1:28" outlineLevel="0"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spans="1:28" outlineLevel="0"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spans="1:28" outlineLevel="0"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spans="1:28" outlineLevel="0"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spans="1:28" outlineLevel="0"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spans="1:28" outlineLevel="0"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spans="1:28" outlineLevel="0"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spans="1:28" outlineLevel="0"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spans="1:28" outlineLevel="0"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spans="1:28" outlineLevel="0"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spans="1:28" outlineLevel="0"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spans="1:28" outlineLevel="0"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spans="1:28" outlineLevel="0"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spans="1:28" outlineLevel="0"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spans="1:28" outlineLevel="0"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spans="1:28" outlineLevel="0"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spans="1:28" outlineLevel="0"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spans="1:28" outlineLevel="0"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spans="1:28" outlineLevel="0"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spans="1:28" outlineLevel="0"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spans="1:28" outlineLevel="0"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spans="1:28" outlineLevel="0"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spans="1:28" outlineLevel="0"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spans="1:28" outlineLevel="0"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spans="1:28" outlineLevel="0"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spans="1:28" outlineLevel="0"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spans="1:28" outlineLevel="0"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spans="1:28" outlineLevel="0"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spans="1:28" outlineLevel="0"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spans="1:28" outlineLevel="0"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spans="1:28" outlineLevel="0"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spans="1:28" outlineLevel="0"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spans="1:28" outlineLevel="0"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spans="1:28" outlineLevel="0"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spans="1:28" outlineLevel="0"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spans="1:28" outlineLevel="0"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spans="1:28" outlineLevel="0"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spans="1:28" outlineLevel="0"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spans="1:28" outlineLevel="0"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spans="1:28" outlineLevel="0"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spans="1:28" outlineLevel="0"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spans="1:28" outlineLevel="0"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spans="1:28" outlineLevel="0"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spans="1:28" outlineLevel="0"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spans="1:28" outlineLevel="0"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spans="1:28" outlineLevel="0"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spans="1:28" outlineLevel="0"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spans="1:28" outlineLevel="0"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spans="1:28" outlineLevel="0"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spans="1:28" outlineLevel="0"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spans="1:28" outlineLevel="0"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spans="1:28" outlineLevel="0"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spans="1:28" outlineLevel="0"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spans="1:28" outlineLevel="0"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spans="1:28" outlineLevel="0"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spans="1:28" outlineLevel="0"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spans="1:28" outlineLevel="0"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spans="1:28" outlineLevel="0"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spans="1:28" outlineLevel="0"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spans="1:28" outlineLevel="0"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spans="1:28" outlineLevel="0"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spans="1:28" outlineLevel="0"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spans="1:28" outlineLevel="0"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spans="1:28" outlineLevel="0"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spans="1:28" outlineLevel="0"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spans="1:28" outlineLevel="0"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spans="1:28" outlineLevel="0"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spans="1:28" outlineLevel="0"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spans="1:28" outlineLevel="0"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spans="1:28" outlineLevel="0"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spans="1:28" outlineLevel="0"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spans="1:28" outlineLevel="0"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spans="1:28" outlineLevel="0"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spans="1:28" outlineLevel="0"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spans="1:28" outlineLevel="0"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spans="1:28" outlineLevel="0"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spans="1:28" outlineLevel="0"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spans="1:28" outlineLevel="0"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spans="1:28" outlineLevel="0"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spans="1:28" outlineLevel="0"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spans="1:28" outlineLevel="0"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spans="1:28" outlineLevel="0"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spans="1:28" outlineLevel="0"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spans="1:28" outlineLevel="0"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spans="1:28" outlineLevel="0"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spans="1:28" outlineLevel="0"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spans="1:28" outlineLevel="0"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spans="1:28" outlineLevel="0"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spans="1:28" outlineLevel="0"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spans="1:28" outlineLevel="0"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spans="1:28" outlineLevel="0"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spans="1:28" outlineLevel="0"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spans="1:28" outlineLevel="0"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spans="1:28" outlineLevel="0"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spans="1:28" outlineLevel="0"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spans="1:28" outlineLevel="0"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spans="1:28" outlineLevel="0"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spans="1:28" outlineLevel="0"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spans="1:28" outlineLevel="0"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spans="1:28" outlineLevel="0"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spans="1:28" outlineLevel="0"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spans="1:28" outlineLevel="0"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spans="1:28" outlineLevel="0"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spans="1:28" outlineLevel="0"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spans="1:28" outlineLevel="0"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spans="1:28" outlineLevel="0"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spans="1:28" outlineLevel="0"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spans="1:28" outlineLevel="0"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spans="1:28" outlineLevel="0"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spans="1:28" outlineLevel="0"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spans="1:28" outlineLevel="0"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spans="1:28" outlineLevel="0"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spans="1:28" outlineLevel="0"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spans="1:28" outlineLevel="0"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spans="1:28" outlineLevel="0"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spans="1:28" outlineLevel="0"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spans="1:28" outlineLevel="0"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spans="1:28" outlineLevel="0"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spans="1:28" outlineLevel="0"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spans="1:28" outlineLevel="0"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spans="1:28" outlineLevel="0"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spans="1:28" outlineLevel="0"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spans="1:28" outlineLevel="0"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spans="1:28" outlineLevel="0"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spans="1:28" outlineLevel="0"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spans="1:28" outlineLevel="0"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spans="1:28" outlineLevel="0"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spans="1:28" outlineLevel="0"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spans="1:28" outlineLevel="0"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spans="1:28" outlineLevel="0"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spans="1:28" outlineLevel="0"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spans="1:28" outlineLevel="0"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spans="1:28" outlineLevel="0"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spans="1:28" outlineLevel="0"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spans="1:28" outlineLevel="0"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spans="1:28" outlineLevel="0"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spans="1:28" outlineLevel="0"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spans="1:28" outlineLevel="0"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spans="1:28" outlineLevel="0"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spans="1:28" outlineLevel="0"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spans="1:28" outlineLevel="0"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spans="1:28" outlineLevel="0"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spans="1:28" outlineLevel="0"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spans="1:28" outlineLevel="0"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spans="1:28" outlineLevel="0"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spans="1:28" outlineLevel="0"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spans="1:28" outlineLevel="0"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spans="1:28" outlineLevel="0"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spans="1:28" outlineLevel="0"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spans="1:28" outlineLevel="0"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spans="1:28" outlineLevel="0"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spans="1:28" outlineLevel="0"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spans="1:28" outlineLevel="0"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spans="1:28" outlineLevel="0"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spans="1:28" outlineLevel="0"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spans="1:28" outlineLevel="0"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spans="1:28" outlineLevel="0"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spans="1:28" outlineLevel="0"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spans="1:28" outlineLevel="0"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spans="1:28" outlineLevel="0"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spans="1:28" outlineLevel="0"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spans="1:28" outlineLevel="0"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spans="1:28" outlineLevel="0"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spans="1:28" outlineLevel="0"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spans="1:28" outlineLevel="0"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spans="1:28" outlineLevel="0"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spans="1:28" outlineLevel="0"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spans="1:28" outlineLevel="0"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spans="1:28" outlineLevel="0"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spans="1:28" outlineLevel="0"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spans="1:28" outlineLevel="0"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spans="1:28" outlineLevel="0"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spans="1:28" outlineLevel="0"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spans="1:28" outlineLevel="0"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spans="1:28" outlineLevel="0"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spans="1:28" outlineLevel="0"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spans="1:28" outlineLevel="0"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spans="1:28" outlineLevel="0"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spans="1:28" outlineLevel="0"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spans="1:28" outlineLevel="0"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spans="1:28" outlineLevel="0"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spans="1:28" outlineLevel="0"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spans="1:28" outlineLevel="0"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spans="1:28" outlineLevel="0"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spans="1:28" outlineLevel="0"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spans="1:28" outlineLevel="0"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spans="1:28" outlineLevel="0"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spans="1:28" outlineLevel="0"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spans="1:28" outlineLevel="0"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spans="1:28" outlineLevel="0"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spans="1:28" outlineLevel="0"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spans="1:28" outlineLevel="0"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spans="1:28" outlineLevel="0"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spans="1:28" outlineLevel="0"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spans="1:28" outlineLevel="0"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spans="1:28" outlineLevel="0"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spans="1:28" outlineLevel="0"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spans="1:28" outlineLevel="0"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spans="1:28" outlineLevel="0"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spans="1:28" outlineLevel="0"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spans="1:28" outlineLevel="0"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spans="1:28" outlineLevel="0"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spans="1:28" outlineLevel="0"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spans="1:28" outlineLevel="0"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spans="1:28" outlineLevel="0"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spans="1:28" outlineLevel="0"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spans="1:28" outlineLevel="0"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spans="1:28" outlineLevel="0"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spans="1:28" outlineLevel="0"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spans="1:28" outlineLevel="0"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spans="1:28" outlineLevel="0"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spans="1:28" outlineLevel="0"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spans="1:28" outlineLevel="0"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spans="1:28" outlineLevel="0"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spans="1:28" outlineLevel="0"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spans="1:28" outlineLevel="0"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spans="1:28" outlineLevel="0"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spans="1:28" outlineLevel="0"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spans="1:28" outlineLevel="0"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spans="1:28" outlineLevel="0"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spans="1:28" outlineLevel="0"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spans="1:28" outlineLevel="0"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spans="1:28" outlineLevel="0"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spans="1:28" outlineLevel="0"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spans="1:28" outlineLevel="0"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spans="1:28" outlineLevel="0"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spans="1:28" outlineLevel="0"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spans="1:28" outlineLevel="0"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spans="1:28" outlineLevel="0"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spans="1:28" outlineLevel="0"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spans="1:28" outlineLevel="0"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spans="1:28" outlineLevel="0"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spans="1:28" outlineLevel="0"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spans="1:28" outlineLevel="0"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spans="1:28" outlineLevel="0"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spans="1:28" outlineLevel="0"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spans="1:28" outlineLevel="0"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spans="1:28" outlineLevel="0"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spans="1:28" outlineLevel="0"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spans="1:28" outlineLevel="0"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spans="1:28" outlineLevel="0"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spans="1:28" outlineLevel="0"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spans="1:28" outlineLevel="0"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spans="1:28" outlineLevel="0"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spans="1:28" outlineLevel="0"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spans="1:28" outlineLevel="0"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spans="1:28" outlineLevel="0"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spans="1:28" outlineLevel="0"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spans="1:28" outlineLevel="0"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spans="1:28" outlineLevel="0"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spans="1:28" outlineLevel="0"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spans="1:28" outlineLevel="0"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spans="1:28" outlineLevel="0"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spans="1:28" outlineLevel="0"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spans="1:28" outlineLevel="0"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spans="1:28" outlineLevel="0"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spans="1:28" outlineLevel="0"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spans="1:28" outlineLevel="0"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spans="1:28" outlineLevel="0"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spans="1:28" outlineLevel="0"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spans="1:28" outlineLevel="0"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spans="1:28" outlineLevel="0"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spans="1:28" outlineLevel="0"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spans="1:28" outlineLevel="0"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spans="1:28" outlineLevel="0"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spans="1:28" outlineLevel="0"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spans="1:28" outlineLevel="0"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spans="1:28" outlineLevel="0"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spans="1:28" outlineLevel="0"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spans="1:28" outlineLevel="0"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spans="1:28" outlineLevel="0"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spans="1:28" outlineLevel="0"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spans="1:28" outlineLevel="0"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spans="1:28" outlineLevel="0"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spans="1:28" outlineLevel="0"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spans="1:28" outlineLevel="0"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spans="1:28" outlineLevel="0"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spans="1:28" outlineLevel="0"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spans="1:28" outlineLevel="0"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spans="1:28" outlineLevel="0"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spans="1:28" outlineLevel="0"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spans="1:28" outlineLevel="0"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spans="1:28" outlineLevel="0"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spans="1:28" outlineLevel="0"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spans="1:28" outlineLevel="0"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spans="1:28" outlineLevel="0"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spans="1:28" outlineLevel="0"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spans="1:28" outlineLevel="0"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spans="1:28" outlineLevel="0"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spans="1:28" outlineLevel="0"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spans="1:28" outlineLevel="0"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spans="1:28" outlineLevel="0"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spans="1:28" outlineLevel="0"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spans="1:28" outlineLevel="0"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spans="1:28" outlineLevel="0"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spans="1:28" outlineLevel="0"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spans="1:28" outlineLevel="0"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spans="1:28" outlineLevel="0"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spans="1:28" outlineLevel="0"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spans="1:28" outlineLevel="0"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spans="1:28" outlineLevel="0"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spans="1:28" outlineLevel="0"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spans="1:28" outlineLevel="0"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spans="1:28" outlineLevel="0"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spans="1:28" outlineLevel="0"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spans="1:28" outlineLevel="0"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spans="1:28" outlineLevel="0"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spans="1:28" outlineLevel="0"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spans="1:28" outlineLevel="0"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spans="1:28" outlineLevel="0"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spans="1:28" outlineLevel="0"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spans="1:28" outlineLevel="0"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spans="1:28" outlineLevel="0"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spans="1:28" outlineLevel="0"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spans="1:28" outlineLevel="0"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spans="1:28" outlineLevel="0"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spans="1:28" outlineLevel="0"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spans="1:28" outlineLevel="0"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spans="1:28" outlineLevel="0"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spans="1:28" outlineLevel="0"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spans="1:28" outlineLevel="0"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spans="1:28" outlineLevel="0"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spans="1:28" outlineLevel="0"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spans="1:28" outlineLevel="0"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spans="1:28" outlineLevel="0"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spans="1:28" outlineLevel="0"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spans="1:28" outlineLevel="0"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spans="1:28" outlineLevel="0"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spans="1:28" outlineLevel="0"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spans="1:28" outlineLevel="0"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spans="1:28" outlineLevel="0"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spans="1:28" outlineLevel="0"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spans="1:28" outlineLevel="0"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spans="1:28" outlineLevel="0"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spans="1:28" outlineLevel="0"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spans="1:28" outlineLevel="0"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spans="1:28" outlineLevel="0"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spans="1:28" outlineLevel="0"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spans="1:28" outlineLevel="0"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spans="1:28" outlineLevel="0"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spans="1:28" outlineLevel="0"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spans="1:28" outlineLevel="0"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spans="1:28" outlineLevel="0"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spans="1:28" outlineLevel="0"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spans="1:28" outlineLevel="0"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spans="1:28" outlineLevel="0"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spans="1:28" outlineLevel="0"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spans="1:28" outlineLevel="0"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spans="1:28" outlineLevel="0"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spans="1:28" outlineLevel="0"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spans="1:28" outlineLevel="0"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spans="1:28" outlineLevel="0"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spans="1:28" outlineLevel="0"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spans="1:28" outlineLevel="0"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spans="1:28" outlineLevel="0"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spans="1:28" outlineLevel="0"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spans="1:28" outlineLevel="0"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spans="1:28" outlineLevel="0"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spans="1:28" outlineLevel="0"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spans="1:28" outlineLevel="0"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spans="1:28" outlineLevel="0"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spans="1:28" outlineLevel="0"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spans="1:28" outlineLevel="0"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spans="1:28" outlineLevel="0"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spans="1:28" outlineLevel="0"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spans="1:28" outlineLevel="0"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spans="1:28" outlineLevel="0"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spans="1:28" outlineLevel="0"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spans="1:28" outlineLevel="0"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spans="1:28" outlineLevel="0"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spans="1:28" outlineLevel="0"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spans="1:28" outlineLevel="0"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spans="1:28" outlineLevel="0"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spans="1:28" outlineLevel="0"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spans="1:28" outlineLevel="0"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spans="1:28" outlineLevel="0"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spans="1:28" outlineLevel="0"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spans="1:28" outlineLevel="0"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spans="1:28" outlineLevel="0"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spans="1:28" outlineLevel="0"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spans="1:28" outlineLevel="0"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spans="1:28" outlineLevel="0"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spans="1:28" outlineLevel="0"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spans="1:28" outlineLevel="0"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spans="1:28" outlineLevel="0"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spans="1:28" outlineLevel="0"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spans="1:28" outlineLevel="0"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spans="1:28" outlineLevel="0"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spans="1:28" outlineLevel="0"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spans="1:28" outlineLevel="0"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spans="1:28" outlineLevel="0"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spans="1:28" outlineLevel="0"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spans="1:28" outlineLevel="0"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spans="1:28" outlineLevel="0"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spans="1:28" outlineLevel="0"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spans="1:28" outlineLevel="0"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spans="1:28" outlineLevel="0"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spans="1:28" outlineLevel="0"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spans="1:28" outlineLevel="0"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spans="1:28" outlineLevel="0"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spans="1:28" outlineLevel="0"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spans="1:28" outlineLevel="0"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spans="1:28" outlineLevel="0"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spans="1:28" outlineLevel="0"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spans="1:28" outlineLevel="0"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spans="1:28" outlineLevel="0"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spans="1:28" outlineLevel="0"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spans="1:28" outlineLevel="0"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spans="1:28" outlineLevel="0"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spans="1:28" outlineLevel="0"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spans="1:28" outlineLevel="0"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spans="1:28" outlineLevel="0"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spans="1:28" outlineLevel="0"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spans="1:28" outlineLevel="0"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spans="1:28" outlineLevel="0"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spans="1:28" outlineLevel="0"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spans="1:28" outlineLevel="0"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spans="1:28" outlineLevel="0"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spans="1:28" outlineLevel="0"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spans="1:28" outlineLevel="0"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spans="1:28" outlineLevel="0"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spans="1:28" outlineLevel="0"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spans="1:28" outlineLevel="0"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spans="1:28" outlineLevel="0"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spans="1:28" outlineLevel="0"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spans="1:28" outlineLevel="0"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spans="1:28" outlineLevel="0"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spans="1:28" outlineLevel="0"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spans="1:28" outlineLevel="0"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spans="1:28" outlineLevel="0"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spans="1:28" outlineLevel="0"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spans="1:28" outlineLevel="0"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spans="1:28" outlineLevel="0"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spans="1:28" outlineLevel="0"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spans="1:28" outlineLevel="0"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spans="1:28" outlineLevel="0"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spans="1:28" outlineLevel="0"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spans="1:28" outlineLevel="0"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spans="1:28" outlineLevel="0"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spans="1:28" outlineLevel="0"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spans="1:28" outlineLevel="0"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spans="1:28" outlineLevel="0"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spans="1:28" outlineLevel="0"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spans="1:28" outlineLevel="0"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spans="1:28" outlineLevel="0"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spans="1:28" outlineLevel="0"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spans="1:28" outlineLevel="0"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spans="1:28" outlineLevel="0"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spans="1:28" outlineLevel="0"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spans="1:28" outlineLevel="0"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spans="1:28" outlineLevel="0"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spans="1:28" outlineLevel="0"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spans="1:28" outlineLevel="0"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spans="1:28" outlineLevel="0"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spans="1:28" outlineLevel="0"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spans="1:28" outlineLevel="0"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spans="1:28" outlineLevel="0"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spans="1:28" outlineLevel="0"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spans="1:28" outlineLevel="0"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spans="1:28" outlineLevel="0"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spans="1:28" outlineLevel="0"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spans="1:28" outlineLevel="0"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spans="1:28" outlineLevel="0"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spans="1:28" outlineLevel="0"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spans="1:28" outlineLevel="0"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spans="1:28" outlineLevel="0"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spans="1:28" outlineLevel="0"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spans="1:28" outlineLevel="0"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spans="1:28" outlineLevel="0"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spans="1:28" outlineLevel="0"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spans="1:28" outlineLevel="0"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spans="1:28" outlineLevel="0"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spans="1:28" outlineLevel="0"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spans="1:28" outlineLevel="0"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spans="1:28" outlineLevel="0"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spans="1:28" outlineLevel="0"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spans="1:28" outlineLevel="0"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spans="1:28" outlineLevel="0"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spans="1:28" outlineLevel="0"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spans="1:28" outlineLevel="0"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spans="1:28" outlineLevel="0"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spans="1:28" outlineLevel="0"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spans="1:28" outlineLevel="0"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spans="1:28" outlineLevel="0"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spans="1:28" outlineLevel="0"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spans="1:28" outlineLevel="0"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spans="1:28" outlineLevel="0"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spans="1:28" outlineLevel="0"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spans="1:28" outlineLevel="0"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spans="1:28" outlineLevel="0"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spans="1:28" outlineLevel="0"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spans="1:28" outlineLevel="0"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spans="1:28" outlineLevel="0"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spans="1:28" outlineLevel="0"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spans="1:28" outlineLevel="0"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spans="1:28" outlineLevel="0"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spans="1:28" outlineLevel="0"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spans="1:28" outlineLevel="0"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spans="1:28" outlineLevel="0"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spans="1:28" outlineLevel="0"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spans="1:28" outlineLevel="0"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spans="1:28" outlineLevel="0"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spans="1:28" outlineLevel="0"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spans="1:28" outlineLevel="0"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spans="1:28" outlineLevel="0"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spans="1:28" outlineLevel="0"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spans="1:28" outlineLevel="0"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spans="1:28" outlineLevel="0"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spans="1:28" outlineLevel="0"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spans="1:28" outlineLevel="0"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spans="1:28" outlineLevel="0"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spans="1:28" outlineLevel="0"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spans="1:28" outlineLevel="0"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spans="1:28" outlineLevel="0"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spans="1:28" outlineLevel="0"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spans="1:28" outlineLevel="0"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spans="1:28" outlineLevel="0"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spans="1:28" outlineLevel="0"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spans="1:28" outlineLevel="0"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spans="1:28" outlineLevel="0"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spans="1:28" outlineLevel="0"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spans="1:28" outlineLevel="0"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spans="1:28" outlineLevel="0"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spans="1:28" outlineLevel="0"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spans="1:28" outlineLevel="0"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spans="1:28" outlineLevel="0"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spans="1:28" outlineLevel="0"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spans="1:28" outlineLevel="0"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spans="1:28" outlineLevel="0"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spans="1:28" outlineLevel="0"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spans="1:28" outlineLevel="0"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spans="1:28" outlineLevel="0"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spans="1:28" outlineLevel="0"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spans="1:28" outlineLevel="0"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spans="1:28" outlineLevel="0"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spans="1:28" outlineLevel="0"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spans="1:28" outlineLevel="0"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spans="1:28" outlineLevel="0"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spans="1:28" outlineLevel="0"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spans="1:28" outlineLevel="0"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spans="1:28" outlineLevel="0"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spans="1:28" outlineLevel="0"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spans="1:28" outlineLevel="0"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spans="1:28" outlineLevel="0"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spans="1:28" outlineLevel="0"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spans="1:28" outlineLevel="0"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spans="1:28" outlineLevel="0"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spans="1:28" outlineLevel="0"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spans="1:28" outlineLevel="0"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spans="1:28" outlineLevel="0"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spans="1:28" outlineLevel="0"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spans="1:28" outlineLevel="0"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spans="1:28" outlineLevel="0"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spans="1:28" outlineLevel="0"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spans="1:28" outlineLevel="0"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spans="1:28" outlineLevel="0"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spans="1:28" outlineLevel="0"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spans="1:28" outlineLevel="0"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spans="1:28" outlineLevel="0"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spans="1:28" outlineLevel="0"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spans="1:28" outlineLevel="0"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spans="1:28" outlineLevel="0"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spans="1:28" outlineLevel="0"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spans="1:28" outlineLevel="0"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spans="1:28" outlineLevel="0"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spans="1:28" outlineLevel="0"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spans="1:28" outlineLevel="0"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spans="1:28" outlineLevel="0"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spans="1:28" outlineLevel="0"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spans="1:28" outlineLevel="0"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spans="1:28" outlineLevel="0"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spans="1:28" outlineLevel="0"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spans="1:28" outlineLevel="0"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spans="1:28" outlineLevel="0"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spans="1:28" outlineLevel="0"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spans="1:28" outlineLevel="0"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spans="1:28" outlineLevel="0"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spans="1:28" outlineLevel="0"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spans="1:28" outlineLevel="0"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spans="1:28" outlineLevel="0"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spans="1:28" outlineLevel="0"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spans="1:28" outlineLevel="0"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spans="1:28" outlineLevel="0"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spans="1:28" outlineLevel="0"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spans="1:28" outlineLevel="0"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spans="1:28" outlineLevel="0"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spans="1:28" outlineLevel="0"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spans="1:28" outlineLevel="0"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spans="1:28" outlineLevel="0"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spans="1:28" outlineLevel="0"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spans="1:28" outlineLevel="0"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spans="1:28" outlineLevel="0"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spans="1:28" outlineLevel="0"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spans="1:28" outlineLevel="0"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spans="1:28" outlineLevel="0"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spans="1:28" outlineLevel="0"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spans="1:28" outlineLevel="0"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spans="1:28" outlineLevel="0"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spans="1:28" outlineLevel="0"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spans="1:28" outlineLevel="0"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spans="1:28" outlineLevel="0"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spans="1:28" outlineLevel="0"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spans="1:28" outlineLevel="0"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spans="1:28" outlineLevel="0"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spans="1:28" outlineLevel="0"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spans="1:28" outlineLevel="0"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spans="1:28" outlineLevel="0"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spans="1:28" outlineLevel="0"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spans="1:28" outlineLevel="0"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spans="1:28" outlineLevel="0"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spans="1:28" outlineLevel="0"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spans="1:28" outlineLevel="0"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spans="1:28" outlineLevel="0"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spans="1:28" outlineLevel="0"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spans="1:28" outlineLevel="0"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spans="1:28" outlineLevel="0"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spans="1:28" outlineLevel="0"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spans="1:28" outlineLevel="0"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spans="1:28" outlineLevel="0"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spans="1:28" outlineLevel="0"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spans="1:28" outlineLevel="0"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spans="1:28" outlineLevel="0"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spans="1:28" outlineLevel="0"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spans="1:28" outlineLevel="0"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spans="1:28" outlineLevel="0"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spans="1:28" outlineLevel="0"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spans="1:28" outlineLevel="0"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spans="1:28" outlineLevel="0"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spans="1:28" outlineLevel="0"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spans="1:28" outlineLevel="0"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spans="1:28" outlineLevel="0"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spans="1:28" outlineLevel="0"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spans="1:28" outlineLevel="0"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spans="1:28" outlineLevel="0"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spans="1:28" outlineLevel="0"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spans="1:28" outlineLevel="0"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spans="1:28" outlineLevel="0"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spans="1:28" outlineLevel="0"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spans="1:28" outlineLevel="0"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spans="1:28" outlineLevel="0"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spans="1:28" outlineLevel="0"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spans="1:28" outlineLevel="0"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spans="1:28" outlineLevel="0"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spans="1:28" outlineLevel="0"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spans="1:28" outlineLevel="0"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spans="1:28" outlineLevel="0"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spans="1:28" outlineLevel="0"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spans="1:28" outlineLevel="0"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spans="1:28" outlineLevel="0"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spans="1:28" outlineLevel="0"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spans="1:28" outlineLevel="0"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spans="1:28" outlineLevel="0"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spans="1:28" outlineLevel="0"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spans="1:28" outlineLevel="0"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spans="1:28" outlineLevel="0"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spans="1:28" outlineLevel="0"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spans="1:28" outlineLevel="0"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spans="1:28" outlineLevel="0"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spans="1:28" outlineLevel="0"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spans="1:28" outlineLevel="0"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spans="1:28" outlineLevel="0"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spans="1:28" outlineLevel="0"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spans="1:28" outlineLevel="0"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spans="1:28" outlineLevel="0"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spans="1:28" outlineLevel="0"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spans="1:28" outlineLevel="0"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spans="1:28" outlineLevel="0"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spans="1:28" outlineLevel="0"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spans="1:28" outlineLevel="0"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spans="1:28" outlineLevel="0"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spans="1:28" outlineLevel="0"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spans="1:28" outlineLevel="0"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spans="1:28" outlineLevel="0"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spans="1:28" outlineLevel="0"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spans="1:28" outlineLevel="0"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spans="1:28" outlineLevel="0"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spans="1:28" outlineLevel="0"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spans="1:28" outlineLevel="0"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spans="1:28" outlineLevel="0"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spans="1:28" outlineLevel="0"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spans="1:28" outlineLevel="0"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spans="1:28" outlineLevel="0"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spans="1:28" outlineLevel="0"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spans="1:28" outlineLevel="0"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spans="1:28" outlineLevel="0"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spans="1:28" outlineLevel="0"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spans="1:28" outlineLevel="0"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spans="1:28" outlineLevel="0"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spans="1:28" outlineLevel="0"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spans="1:28" outlineLevel="0"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spans="1:28" outlineLevel="0"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spans="1:28" outlineLevel="0"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spans="1:28" outlineLevel="0"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spans="1:28" outlineLevel="0"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spans="1:28" outlineLevel="0"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spans="1:28" outlineLevel="0"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spans="1:28" outlineLevel="0"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spans="1:28" outlineLevel="0"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spans="1:28" outlineLevel="0"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spans="1:28" outlineLevel="0"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spans="1:28" outlineLevel="0"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spans="1:28" outlineLevel="0"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spans="1:28" outlineLevel="0"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spans="1:28" outlineLevel="0"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spans="1:28" outlineLevel="0"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spans="1:28" outlineLevel="0"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spans="1:28" outlineLevel="0"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spans="1:28" outlineLevel="0"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spans="1:28" outlineLevel="0"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spans="1:28" outlineLevel="0"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spans="1:28" outlineLevel="0"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spans="1:28" outlineLevel="0"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spans="1:28" outlineLevel="0"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spans="1:28" outlineLevel="0"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spans="1:28" outlineLevel="0"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spans="1:28" outlineLevel="0"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spans="1:28" outlineLevel="0"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spans="1:28" outlineLevel="0"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spans="1:28" outlineLevel="0"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spans="1:28" outlineLevel="0"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spans="1:28" outlineLevel="0"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spans="1:28" outlineLevel="0"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spans="1:28" outlineLevel="0"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spans="1:28" outlineLevel="0"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spans="1:28" outlineLevel="0"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spans="1:28" outlineLevel="0"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spans="1:28" outlineLevel="0"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spans="1:28" outlineLevel="0"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spans="1:28" outlineLevel="0"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spans="1:28" outlineLevel="0"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spans="1:28" outlineLevel="0"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spans="1:28" outlineLevel="0"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spans="1:28" outlineLevel="0"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spans="1:28" outlineLevel="0"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spans="1:28" outlineLevel="0"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spans="1:28" outlineLevel="0"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spans="1:28" outlineLevel="0"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spans="1:28" outlineLevel="0"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spans="1:28" outlineLevel="0"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spans="1:28" outlineLevel="0"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spans="1:28" outlineLevel="0"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spans="1:28" outlineLevel="0"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spans="1:28" outlineLevel="0"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spans="1:28" outlineLevel="0"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spans="1:28" outlineLevel="0"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spans="1:28" outlineLevel="0"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spans="1:28" outlineLevel="0"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spans="1:28" outlineLevel="0"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spans="1:28" outlineLevel="0"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spans="1:28" outlineLevel="0"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spans="1:28" outlineLevel="0"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spans="1:28" outlineLevel="0"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spans="1:28" outlineLevel="0"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spans="1:28" outlineLevel="0"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spans="1:28" outlineLevel="0"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spans="1:28" outlineLevel="0"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spans="1:28" outlineLevel="0"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spans="1:28" outlineLevel="0"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spans="1:28" outlineLevel="0"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spans="1:28" outlineLevel="0"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spans="1:28" outlineLevel="0"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spans="1:28" outlineLevel="0"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spans="1:28" outlineLevel="0"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spans="1:28" outlineLevel="0"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spans="1:28" outlineLevel="0"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spans="1:28" outlineLevel="0"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spans="1:28" outlineLevel="0"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spans="1:28" outlineLevel="0"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spans="1:28" outlineLevel="0"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spans="1:28" outlineLevel="0"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spans="1:28" outlineLevel="0"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spans="1:28" outlineLevel="0"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spans="1:28" outlineLevel="0"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spans="1:28" outlineLevel="0"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spans="1:28" outlineLevel="0"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spans="1:28" outlineLevel="0"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spans="1:28" outlineLevel="0"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spans="1:28" outlineLevel="0"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spans="1:28" outlineLevel="0"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spans="1:28" outlineLevel="0"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spans="1:28" outlineLevel="0"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spans="1:28" outlineLevel="0"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spans="1:28" outlineLevel="0"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spans="1:28" outlineLevel="0"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spans="1:28" outlineLevel="0"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spans="1:28" outlineLevel="0"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spans="1:28" outlineLevel="0"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spans="1:28" outlineLevel="0"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spans="1:28" outlineLevel="0"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spans="1:28" outlineLevel="0"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spans="1:28" outlineLevel="0"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spans="1:28" outlineLevel="0"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spans="1:28" outlineLevel="0"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spans="1:28" outlineLevel="0"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spans="1:28" outlineLevel="0"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spans="1:28" outlineLevel="0"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spans="1:28" outlineLevel="0"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spans="1:28" outlineLevel="0"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spans="1:28" outlineLevel="0"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spans="1:28" outlineLevel="0"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spans="1:28" outlineLevel="0"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spans="1:28" outlineLevel="0"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spans="1:28" outlineLevel="0"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spans="1:28" outlineLevel="0"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spans="1:28" outlineLevel="0"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spans="1:28" outlineLevel="0"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spans="1:28" outlineLevel="0"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spans="1:28" outlineLevel="0"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spans="1:28" outlineLevel="0"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spans="1:28" outlineLevel="0"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spans="1:28" outlineLevel="0"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spans="1:28" outlineLevel="0"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spans="1:28" outlineLevel="0"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spans="1:28" outlineLevel="0"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spans="1:28" outlineLevel="0"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spans="1:28" outlineLevel="0"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spans="1:28" outlineLevel="0"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spans="1:28" outlineLevel="0"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spans="1:28" outlineLevel="0"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spans="1:28" outlineLevel="0"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spans="1:28" outlineLevel="0"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spans="1:28" outlineLevel="0"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spans="1:28" outlineLevel="0"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spans="1:28" outlineLevel="0"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spans="1:28" outlineLevel="0"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spans="1:28" outlineLevel="0"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spans="1:28" outlineLevel="0"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spans="1:28" outlineLevel="0"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spans="1:28" outlineLevel="0"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spans="1:28" outlineLevel="0"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spans="1:28" outlineLevel="0"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spans="1:28" outlineLevel="0"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spans="1:28" outlineLevel="0"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spans="1:28" outlineLevel="0"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spans="1:28" outlineLevel="0"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spans="1:28" outlineLevel="0"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spans="1:28" outlineLevel="0"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spans="1:28" outlineLevel="0"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spans="1:28" outlineLevel="0"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spans="1:28" outlineLevel="0"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spans="1:28" outlineLevel="0"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spans="1:28" outlineLevel="0"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spans="1:28" outlineLevel="0"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spans="1:28" outlineLevel="0"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spans="1:28" outlineLevel="0"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spans="1:28" outlineLevel="0"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spans="1:28" outlineLevel="0"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spans="1:28" outlineLevel="0"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spans="1:28" outlineLevel="0"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spans="1:28" outlineLevel="0"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spans="1:28" outlineLevel="0"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spans="1:28" outlineLevel="0"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spans="1:28" outlineLevel="0"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spans="1:28" outlineLevel="0"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spans="1:28" outlineLevel="0"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spans="1:28" outlineLevel="0"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spans="1:28" outlineLevel="0"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spans="1:28" outlineLevel="0"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spans="1:28" outlineLevel="0"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spans="1:28" outlineLevel="0"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spans="1:28" outlineLevel="0"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spans="1:28" outlineLevel="0"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spans="1:28" outlineLevel="0"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spans="1:28" outlineLevel="0"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spans="1:28" outlineLevel="0"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spans="1:28" outlineLevel="0"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spans="1:28" outlineLevel="0"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spans="1:28" outlineLevel="0"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spans="1:28" outlineLevel="0"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spans="1:28" outlineLevel="0"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spans="1:28" outlineLevel="0"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spans="1:28" outlineLevel="0"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spans="1:28" outlineLevel="0"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spans="1:28" outlineLevel="0"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spans="1:28" outlineLevel="0"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spans="1:28" outlineLevel="0"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spans="1:28" outlineLevel="0"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spans="1:28" outlineLevel="0"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spans="1:28" outlineLevel="0"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spans="1:28" outlineLevel="0"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spans="1:28" outlineLevel="0"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spans="1:28" outlineLevel="0"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spans="1:28" outlineLevel="0"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spans="1:28" outlineLevel="0"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spans="1:28" outlineLevel="0"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spans="1:28" outlineLevel="0"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spans="1:28" outlineLevel="0"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spans="1:28" outlineLevel="0"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spans="1:28" outlineLevel="0"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spans="1:28" outlineLevel="0"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spans="1:28" outlineLevel="0"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spans="1:28" outlineLevel="0"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spans="1:28" outlineLevel="0"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spans="1:28" outlineLevel="0"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spans="1:28" outlineLevel="0"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spans="1:28" outlineLevel="0"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spans="1:28" outlineLevel="0"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spans="1:28" outlineLevel="0"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spans="1:28" outlineLevel="0"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spans="1:28" outlineLevel="0"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spans="1:28" outlineLevel="0"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spans="1:28" outlineLevel="0"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spans="1:28" outlineLevel="0"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spans="1:28" outlineLevel="0"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spans="1:28" outlineLevel="0"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spans="1:28" outlineLevel="0"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spans="1:28" outlineLevel="0"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spans="1:28" outlineLevel="0"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spans="1:28" outlineLevel="0"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spans="1:28" outlineLevel="0"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spans="1:28" outlineLevel="0"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spans="1:28" outlineLevel="0"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spans="1:28" outlineLevel="0"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spans="1:28" outlineLevel="0"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spans="1:28" outlineLevel="0"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spans="1:28" outlineLevel="0"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spans="1:28" outlineLevel="0"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spans="1:28" outlineLevel="0"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spans="1:28" outlineLevel="0"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spans="1:28" outlineLevel="0"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spans="1:28" outlineLevel="0"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spans="1:28" outlineLevel="0"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spans="1:28" outlineLevel="0"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spans="1:28" outlineLevel="0"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spans="1:28" outlineLevel="0"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spans="1:28" outlineLevel="0"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spans="1:28" outlineLevel="0"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spans="1:28" outlineLevel="0"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spans="1:28" outlineLevel="0"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spans="1:28" outlineLevel="0"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spans="1:28" outlineLevel="0"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spans="1:28" outlineLevel="0"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spans="1:28" outlineLevel="0"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spans="1:28" outlineLevel="0"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spans="1:28" outlineLevel="0"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spans="1:28" outlineLevel="0"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spans="1:28" outlineLevel="0"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spans="1:28" outlineLevel="0"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spans="1:28" outlineLevel="0"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spans="1:28" outlineLevel="0"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spans="1:28" outlineLevel="0"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spans="1:28" outlineLevel="0"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spans="1:28" outlineLevel="0"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spans="1:28" outlineLevel="0"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spans="1:28" outlineLevel="0"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spans="1:28" outlineLevel="0"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spans="1:28" outlineLevel="0"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spans="1:28" outlineLevel="0"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spans="1:28" outlineLevel="0"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spans="1:28" outlineLevel="0"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spans="1:28" outlineLevel="0"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spans="1:28" outlineLevel="0"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spans="1:28" outlineLevel="0"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spans="1:28" outlineLevel="0"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spans="1:28" outlineLevel="0"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spans="1:28" outlineLevel="0"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spans="1:28" outlineLevel="0"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spans="1:28" outlineLevel="0"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spans="1:28" outlineLevel="0"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spans="1:28" outlineLevel="0"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spans="1:28" outlineLevel="0"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spans="1:28" outlineLevel="0"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spans="1:28" outlineLevel="0"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spans="1:28" outlineLevel="0"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spans="1:28" outlineLevel="0"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spans="1:28" outlineLevel="0"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spans="1:28" outlineLevel="0"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spans="1:28" outlineLevel="0"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spans="1:28" outlineLevel="0"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spans="1:28" outlineLevel="0"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spans="1:28" outlineLevel="0"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spans="1:28" outlineLevel="0"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spans="1:28" outlineLevel="0"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spans="1:28" outlineLevel="0"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spans="1:28" outlineLevel="0"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spans="1:28" outlineLevel="0"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spans="1:28" outlineLevel="0"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spans="1:28" outlineLevel="0"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spans="1:28" outlineLevel="0"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spans="1:28" outlineLevel="0"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spans="1:28" outlineLevel="0"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spans="1:28" outlineLevel="0"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spans="1:28" outlineLevel="0"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spans="1:28" outlineLevel="0"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spans="1:28" outlineLevel="0"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spans="1:28" outlineLevel="0"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spans="1:28" outlineLevel="0"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spans="1:28" outlineLevel="0"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spans="1:28" outlineLevel="0"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spans="1:28" outlineLevel="0"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spans="1:28" outlineLevel="0"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spans="1:28" outlineLevel="0"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spans="1:28" outlineLevel="0"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spans="1:28" outlineLevel="0"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spans="1:28" outlineLevel="0"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spans="1:28" outlineLevel="0"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spans="1:28" outlineLevel="0"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spans="1:28" outlineLevel="0"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spans="1:28" outlineLevel="0"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spans="1:28" outlineLevel="0"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spans="1:28" outlineLevel="0"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spans="1:28" outlineLevel="0"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spans="1:28" outlineLevel="0"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spans="1:28" outlineLevel="0"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spans="1:28" outlineLevel="0"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spans="1:28" outlineLevel="0"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spans="1:28" outlineLevel="0"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spans="1:28" outlineLevel="0"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spans="1:28" outlineLevel="0"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spans="1:28" outlineLevel="0"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spans="1:28" outlineLevel="0"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spans="1:28" outlineLevel="0"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spans="1:28" outlineLevel="0"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spans="1:28" outlineLevel="0"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spans="1:28" outlineLevel="0"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spans="1:28" outlineLevel="0"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spans="1:28" outlineLevel="0"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spans="1:28" outlineLevel="0"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spans="1:28" outlineLevel="0"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spans="1:28" outlineLevel="0"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spans="1:28" outlineLevel="0"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spans="1:28" outlineLevel="0"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spans="1:28" outlineLevel="0"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spans="1:28" outlineLevel="0"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spans="1:28" outlineLevel="0"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spans="1:28" outlineLevel="0"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spans="1:28" outlineLevel="0"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spans="1:28" outlineLevel="0"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spans="1:28" outlineLevel="0"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1000-000000000000}">
  <dimension ref="A1:Q1051"/>
  <sheetViews>
    <sheetView workbookViewId="0" rightToLeft="false">
      <selection activeCell="J14" sqref="J14"/>
    </sheetView>
  </sheetViews>
  <sheetFormatPr defaultRowHeight="17"/>
  <cols>
    <col min="3" max="3" width="11.90625" customWidth="1"/>
    <col min="10" max="10" width="11.26953125" customWidth="1"/>
  </cols>
  <sheetData>
    <row spans="1:17" outlineLevel="0" r="1">
      <c r="A1" s="1" t="inlineStr">
        <is>
          <t>YY</t>
        </is>
      </c>
      <c r="B1" s="1" t="inlineStr">
        <is>
          <t>FRCD</t>
        </is>
      </c>
      <c r="C1" s="1" t="inlineStr">
        <is>
          <t>MONTH01</t>
        </is>
      </c>
      <c r="D1" s="1" t="inlineStr">
        <is>
          <t>MONTH02</t>
        </is>
      </c>
      <c r="E1" s="1" t="inlineStr">
        <is>
          <t>MONTH03</t>
        </is>
      </c>
      <c r="F1" s="1" t="inlineStr">
        <is>
          <t>MONTH04</t>
        </is>
      </c>
      <c r="G1" s="1" t="inlineStr">
        <is>
          <t>MONTH05</t>
        </is>
      </c>
      <c r="H1" s="1" t="inlineStr">
        <is>
          <t>MONTH06</t>
        </is>
      </c>
      <c r="I1" s="1" t="inlineStr">
        <is>
          <t>MONTH07</t>
        </is>
      </c>
      <c r="J1" s="1" t="inlineStr">
        <is>
          <t>MONTH08</t>
        </is>
      </c>
      <c r="K1" s="1" t="inlineStr">
        <is>
          <t>MONTH09</t>
        </is>
      </c>
      <c r="L1" s="1" t="inlineStr">
        <is>
          <t>MONTH10</t>
        </is>
      </c>
      <c r="M1" s="1" t="inlineStr">
        <is>
          <t>MONTH11</t>
        </is>
      </c>
      <c r="N1" s="1" t="inlineStr">
        <is>
          <t>MONTH12</t>
        </is>
      </c>
      <c r="O1" s="1" t="inlineStr">
        <is>
          <t>AVGSR</t>
        </is>
      </c>
    </row>
    <row spans="1:17" outlineLevel="0" r="2">
      <c r="A2" s="1" t="inlineStr">
        <is>
          <t>2026</t>
        </is>
      </c>
      <c r="B2" s="275" t="inlineStr">
        <is>
          <t>01-A</t>
        </is>
      </c>
      <c r="C2" s="1" t="inlineStr">
        <is>
          <t>97.9</t>
        </is>
      </c>
      <c r="D2" s="1" t="inlineStr">
        <is>
          <t>98.2</t>
        </is>
      </c>
      <c r="E2" s="1" t="inlineStr">
        <is>
          <t>97.9</t>
        </is>
      </c>
      <c r="F2" s="1" t="inlineStr">
        <is>
          <t>97.7</t>
        </is>
      </c>
      <c r="G2" s="1" t="inlineStr">
        <is>
          <t>97.5</t>
        </is>
      </c>
      <c r="H2" s="1" t="inlineStr">
        <is>
          <t>97.3</t>
        </is>
      </c>
      <c r="I2" s="1" t="inlineStr">
        <is>
          <t>97.2</t>
        </is>
      </c>
      <c r="J2" s="1" t="inlineStr">
        <is>
          <t>97.4</t>
        </is>
      </c>
      <c r="K2" s="1" t="inlineStr">
        <is>
          <t>97.2</t>
        </is>
      </c>
      <c r="L2" s="1" t="inlineStr">
        <is>
          <t>0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97.5</t>
        </is>
      </c>
      <c r="P2" s="465"/>
      <c r="Q2" s="465"/>
    </row>
    <row spans="1:17" outlineLevel="0" r="3">
      <c r="A3" s="1" t="inlineStr">
        <is>
          <t>2026</t>
        </is>
      </c>
      <c r="B3" s="275" t="inlineStr">
        <is>
          <t>02-D</t>
        </is>
      </c>
      <c r="C3" s="1" t="inlineStr">
        <is>
          <t>96.8</t>
        </is>
      </c>
      <c r="D3" s="1" t="inlineStr">
        <is>
          <t>97.2</t>
        </is>
      </c>
      <c r="E3" s="1" t="inlineStr">
        <is>
          <t>97.4</t>
        </is>
      </c>
      <c r="F3" s="1" t="inlineStr">
        <is>
          <t>98</t>
        </is>
      </c>
      <c r="G3" s="1" t="inlineStr">
        <is>
          <t>98.1</t>
        </is>
      </c>
      <c r="H3" s="1" t="inlineStr">
        <is>
          <t>97.5</t>
        </is>
      </c>
      <c r="I3" s="1" t="inlineStr">
        <is>
          <t>97.6</t>
        </is>
      </c>
      <c r="J3" s="1" t="inlineStr">
        <is>
          <t>98</t>
        </is>
      </c>
      <c r="K3" s="1" t="inlineStr">
        <is>
          <t>97.6</t>
        </is>
      </c>
      <c r="L3" s="1" t="inlineStr">
        <is>
          <t>0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97.5</t>
        </is>
      </c>
      <c r="P3" s="465"/>
      <c r="Q3" s="465"/>
    </row>
    <row spans="1:17" outlineLevel="0" r="4">
      <c r="A4" s="1" t="inlineStr">
        <is>
          <t>2026</t>
        </is>
      </c>
      <c r="B4" s="275" t="inlineStr">
        <is>
          <t>03-J</t>
        </is>
      </c>
      <c r="C4" s="1" t="inlineStr">
        <is>
          <t>100</t>
        </is>
      </c>
      <c r="D4" s="1" t="inlineStr">
        <is>
          <t>100</t>
        </is>
      </c>
      <c r="E4" s="1" t="inlineStr">
        <is>
          <t>100</t>
        </is>
      </c>
      <c r="F4" s="1" t="inlineStr">
        <is>
          <t>99.8</t>
        </is>
      </c>
      <c r="G4" s="1" t="inlineStr">
        <is>
          <t>99.8</t>
        </is>
      </c>
      <c r="H4" s="1" t="inlineStr">
        <is>
          <t>99.9</t>
        </is>
      </c>
      <c r="I4" s="1" t="inlineStr">
        <is>
          <t>99.9</t>
        </is>
      </c>
      <c r="J4" s="1" t="inlineStr">
        <is>
          <t>98</t>
        </is>
      </c>
      <c r="K4" s="1" t="inlineStr">
        <is>
          <t>99.9</t>
        </is>
      </c>
      <c r="L4" s="1" t="inlineStr">
        <is>
          <t>0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99.7</t>
        </is>
      </c>
      <c r="P4" s="465"/>
      <c r="Q4" s="465"/>
    </row>
    <row spans="1:17" outlineLevel="0" r="5">
      <c r="A5" s="1" t="inlineStr">
        <is>
          <t>2026</t>
        </is>
      </c>
      <c r="B5" s="275" t="inlineStr">
        <is>
          <t>04-O</t>
        </is>
      </c>
      <c r="C5" s="1" t="inlineStr">
        <is>
          <t>89.1</t>
        </is>
      </c>
      <c r="D5" s="1" t="inlineStr">
        <is>
          <t>96.7</t>
        </is>
      </c>
      <c r="E5" s="1" t="inlineStr">
        <is>
          <t>83.4</t>
        </is>
      </c>
      <c r="F5" s="1" t="inlineStr">
        <is>
          <t>80.9</t>
        </is>
      </c>
      <c r="G5" s="1" t="inlineStr">
        <is>
          <t>89.8</t>
        </is>
      </c>
      <c r="H5" s="1" t="inlineStr">
        <is>
          <t>82.5</t>
        </is>
      </c>
      <c r="I5" s="1" t="inlineStr">
        <is>
          <t>67.1</t>
        </is>
      </c>
      <c r="J5" s="1" t="inlineStr">
        <is>
          <t>50</t>
        </is>
      </c>
      <c r="K5" s="1" t="inlineStr">
        <is>
          <t>56.1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77.2</t>
        </is>
      </c>
      <c r="P5" s="465"/>
      <c r="Q5" s="465"/>
    </row>
    <row spans="1:17" outlineLevel="0" r="6">
      <c r="A6" s="1" t="inlineStr">
        <is>
          <t>2026</t>
        </is>
      </c>
      <c r="B6" s="275" t="inlineStr">
        <is>
          <t>05-N</t>
        </is>
      </c>
      <c r="C6" s="1" t="inlineStr">
        <is>
          <t>99.3</t>
        </is>
      </c>
      <c r="D6" s="1" t="inlineStr">
        <is>
          <t>99.3</t>
        </is>
      </c>
      <c r="E6" s="1" t="inlineStr">
        <is>
          <t>99.4</t>
        </is>
      </c>
      <c r="F6" s="1" t="inlineStr">
        <is>
          <t>99.4</t>
        </is>
      </c>
      <c r="G6" s="1" t="inlineStr">
        <is>
          <t>99.6</t>
        </is>
      </c>
      <c r="H6" s="1" t="inlineStr">
        <is>
          <t>99</t>
        </is>
      </c>
      <c r="I6" s="1" t="inlineStr">
        <is>
          <t>99.5</t>
        </is>
      </c>
      <c r="J6" s="1" t="inlineStr">
        <is>
          <t>99.3</t>
        </is>
      </c>
      <c r="K6" s="1" t="inlineStr">
        <is>
          <t>99.4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99.3</t>
        </is>
      </c>
      <c r="P6" s="465"/>
      <c r="Q6" s="465"/>
    </row>
    <row spans="1:17" outlineLevel="0" r="7">
      <c r="A7" s="1" t="inlineStr">
        <is>
          <t>2026</t>
        </is>
      </c>
      <c r="B7" s="275" t="inlineStr">
        <is>
          <t>06-C</t>
        </is>
      </c>
      <c r="C7" s="1" t="inlineStr">
        <is>
          <t>0</t>
        </is>
      </c>
      <c r="D7" s="1" t="inlineStr">
        <is>
          <t>0</t>
        </is>
      </c>
      <c r="E7" s="1" t="inlineStr">
        <is>
          <t>0</t>
        </is>
      </c>
      <c r="F7" s="1" t="inlineStr">
        <is>
          <t>0</t>
        </is>
      </c>
      <c r="G7" s="1" t="inlineStr">
        <is>
          <t>0</t>
        </is>
      </c>
      <c r="H7" s="1" t="inlineStr">
        <is>
          <t>0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0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0</t>
        </is>
      </c>
      <c r="P7" s="465"/>
      <c r="Q7" s="465"/>
    </row>
    <row spans="1:17" outlineLevel="0" r="8">
      <c r="A8" s="1" t="inlineStr">
        <is>
          <t>2026</t>
        </is>
      </c>
      <c r="B8" s="275" t="inlineStr">
        <is>
          <t>07-H</t>
        </is>
      </c>
      <c r="C8" s="1" t="inlineStr">
        <is>
          <t>97.7</t>
        </is>
      </c>
      <c r="D8" s="1" t="inlineStr">
        <is>
          <t>98.6</t>
        </is>
      </c>
      <c r="E8" s="1" t="inlineStr">
        <is>
          <t>98.9</t>
        </is>
      </c>
      <c r="F8" s="1" t="inlineStr">
        <is>
          <t>99.3</t>
        </is>
      </c>
      <c r="G8" s="1" t="inlineStr">
        <is>
          <t>99.2</t>
        </is>
      </c>
      <c r="H8" s="1" t="inlineStr">
        <is>
          <t>98.9</t>
        </is>
      </c>
      <c r="I8" s="1" t="inlineStr">
        <is>
          <t>99.4</t>
        </is>
      </c>
      <c r="J8" s="1" t="inlineStr">
        <is>
          <t>99.6</t>
        </is>
      </c>
      <c r="K8" s="1" t="inlineStr">
        <is>
          <t>99.3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98.9</t>
        </is>
      </c>
      <c r="P8" s="465"/>
      <c r="Q8" s="465"/>
    </row>
    <row spans="1:17" outlineLevel="0" r="9">
      <c r="A9" s="1" t="inlineStr">
        <is>
          <t>2026</t>
        </is>
      </c>
      <c r="B9" s="275" t="inlineStr">
        <is>
          <t>08-Z</t>
        </is>
      </c>
      <c r="C9" s="1" t="inlineStr">
        <is>
          <t>95.8</t>
        </is>
      </c>
      <c r="D9" s="1" t="inlineStr">
        <is>
          <t>95.8</t>
        </is>
      </c>
      <c r="E9" s="1" t="inlineStr">
        <is>
          <t>91.6</t>
        </is>
      </c>
      <c r="F9" s="1" t="inlineStr">
        <is>
          <t>96.1</t>
        </is>
      </c>
      <c r="G9" s="1" t="inlineStr">
        <is>
          <t>98.9</t>
        </is>
      </c>
      <c r="H9" s="1" t="inlineStr">
        <is>
          <t>93.1</t>
        </is>
      </c>
      <c r="I9" s="1" t="inlineStr">
        <is>
          <t>99.6</t>
        </is>
      </c>
      <c r="J9" s="1" t="inlineStr">
        <is>
          <t>99.5</t>
        </is>
      </c>
      <c r="K9" s="1" t="inlineStr">
        <is>
          <t>98.9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96.5</t>
        </is>
      </c>
      <c r="P9" s="465"/>
      <c r="Q9" s="465"/>
    </row>
    <row spans="1:17" outlineLevel="0" r="10">
      <c r="A10" s="1" t="inlineStr">
        <is>
          <t>2026</t>
        </is>
      </c>
      <c r="B10" s="275" t="inlineStr">
        <is>
          <t>09-@</t>
        </is>
      </c>
      <c r="C10" s="1" t="inlineStr">
        <is>
          <t>98</t>
        </is>
      </c>
      <c r="D10" s="1" t="inlineStr">
        <is>
          <t>98.3</t>
        </is>
      </c>
      <c r="E10" s="1" t="inlineStr">
        <is>
          <t>98</t>
        </is>
      </c>
      <c r="F10" s="1" t="inlineStr">
        <is>
          <t>97.9</t>
        </is>
      </c>
      <c r="G10" s="1" t="inlineStr">
        <is>
          <t>97.8</t>
        </is>
      </c>
      <c r="H10" s="1" t="inlineStr">
        <is>
          <t>97.4</t>
        </is>
      </c>
      <c r="I10" s="1" t="inlineStr">
        <is>
          <t>97.5</t>
        </is>
      </c>
      <c r="J10" s="1" t="inlineStr">
        <is>
          <t>97.6</t>
        </is>
      </c>
      <c r="K10" s="1" t="inlineStr">
        <is>
          <t>97.6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97.7</t>
        </is>
      </c>
      <c r="P10" s="465"/>
      <c r="Q10" s="465"/>
    </row>
    <row spans="1:17" outlineLevel="0" r="11">
      <c r="A11" s="1" t="inlineStr">
        <is>
          <t>2026</t>
        </is>
      </c>
      <c r="B11" s="275" t="inlineStr">
        <is>
          <t>10-M</t>
        </is>
      </c>
      <c r="C11" s="1" t="inlineStr">
        <is>
          <t>99.7</t>
        </is>
      </c>
      <c r="D11" s="1" t="inlineStr">
        <is>
          <t>100</t>
        </is>
      </c>
      <c r="E11" s="1" t="inlineStr">
        <is>
          <t>100</t>
        </is>
      </c>
      <c r="F11" s="1" t="inlineStr">
        <is>
          <t>99.8</t>
        </is>
      </c>
      <c r="G11" s="1" t="inlineStr">
        <is>
          <t>100</t>
        </is>
      </c>
      <c r="H11" s="1" t="inlineStr">
        <is>
          <t>100</t>
        </is>
      </c>
      <c r="I11" s="1" t="inlineStr">
        <is>
          <t>100</t>
        </is>
      </c>
      <c r="J11" s="1" t="inlineStr">
        <is>
          <t>98.3</t>
        </is>
      </c>
      <c r="K11" s="1" t="inlineStr">
        <is>
          <t>99.1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99.6</t>
        </is>
      </c>
      <c r="P11" s="465"/>
      <c r="Q11" s="465"/>
    </row>
    <row spans="1:17" outlineLevel="0" r="12">
      <c r="A12" s="1" t="inlineStr">
        <is>
          <t>2026</t>
        </is>
      </c>
      <c r="B12" s="275" t="inlineStr">
        <is>
          <t>11-S</t>
        </is>
      </c>
      <c r="C12" s="1" t="inlineStr">
        <is>
          <t>94.1</t>
        </is>
      </c>
      <c r="D12" s="1" t="inlineStr">
        <is>
          <t>94.6</t>
        </is>
      </c>
      <c r="E12" s="1" t="inlineStr">
        <is>
          <t>96.3</t>
        </is>
      </c>
      <c r="F12" s="1" t="inlineStr">
        <is>
          <t>93.2</t>
        </is>
      </c>
      <c r="G12" s="1" t="inlineStr">
        <is>
          <t>83.3</t>
        </is>
      </c>
      <c r="H12" s="1" t="inlineStr">
        <is>
          <t>57.3</t>
        </is>
      </c>
      <c r="I12" s="1" t="inlineStr">
        <is>
          <t>53.8</t>
        </is>
      </c>
      <c r="J12" s="1" t="inlineStr">
        <is>
          <t>55.2</t>
        </is>
      </c>
      <c r="K12" s="1" t="inlineStr">
        <is>
          <t>56.1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75.9</t>
        </is>
      </c>
      <c r="P12" s="465"/>
      <c r="Q12" s="465"/>
    </row>
    <row spans="1:17" outlineLevel="0" r="13">
      <c r="A13" s="1" t="inlineStr">
        <is>
          <t>2026</t>
        </is>
      </c>
      <c r="B13" s="275" t="inlineStr">
        <is>
          <t>12-V</t>
        </is>
      </c>
      <c r="C13" s="1" t="inlineStr">
        <is>
          <t>97.1</t>
        </is>
      </c>
      <c r="D13" s="1" t="inlineStr">
        <is>
          <t>96.4</t>
        </is>
      </c>
      <c r="E13" s="1" t="inlineStr">
        <is>
          <t>95.8</t>
        </is>
      </c>
      <c r="F13" s="1" t="inlineStr">
        <is>
          <t>97.6</t>
        </is>
      </c>
      <c r="G13" s="1" t="inlineStr">
        <is>
          <t>97.1</t>
        </is>
      </c>
      <c r="H13" s="1" t="inlineStr">
        <is>
          <t>96.9</t>
        </is>
      </c>
      <c r="I13" s="1" t="inlineStr">
        <is>
          <t>97.2</t>
        </is>
      </c>
      <c r="J13" s="1" t="inlineStr">
        <is>
          <t>97</t>
        </is>
      </c>
      <c r="K13" s="1" t="inlineStr">
        <is>
          <t>97.9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97</t>
        </is>
      </c>
      <c r="P13" s="465"/>
      <c r="Q13" s="465"/>
    </row>
    <row spans="1:17" outlineLevel="0" r="14">
      <c r="A14" s="1" t="inlineStr">
        <is>
          <t>2026</t>
        </is>
      </c>
      <c r="B14" s="275" t="inlineStr">
        <is>
          <t>13-T</t>
        </is>
      </c>
      <c r="C14" s="1" t="inlineStr">
        <is>
          <t>95.7</t>
        </is>
      </c>
      <c r="D14" s="1" t="inlineStr">
        <is>
          <t>92.9</t>
        </is>
      </c>
      <c r="E14" s="1" t="inlineStr">
        <is>
          <t>94.1</t>
        </is>
      </c>
      <c r="F14" s="1" t="inlineStr">
        <is>
          <t>94.2</t>
        </is>
      </c>
      <c r="G14" s="1" t="inlineStr">
        <is>
          <t>93.9</t>
        </is>
      </c>
      <c r="H14" s="1" t="inlineStr">
        <is>
          <t>96.6</t>
        </is>
      </c>
      <c r="I14" s="1" t="inlineStr">
        <is>
          <t>93.1</t>
        </is>
      </c>
      <c r="J14" s="1" t="inlineStr">
        <is>
          <t>97.5</t>
        </is>
      </c>
      <c r="K14" s="1" t="inlineStr">
        <is>
          <t>96.7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0</t>
        </is>
      </c>
      <c r="O14" s="1" t="inlineStr">
        <is>
          <t>94.9</t>
        </is>
      </c>
      <c r="P14" s="465"/>
      <c r="Q14" s="465"/>
    </row>
    <row spans="1:17" outlineLevel="0" r="15">
      <c r="A15" s="1" t="inlineStr">
        <is>
          <t>2026</t>
        </is>
      </c>
      <c r="B15" s="275" t="inlineStr">
        <is>
          <t>14-P</t>
        </is>
      </c>
      <c r="C15" s="1" t="inlineStr">
        <is>
          <t>0</t>
        </is>
      </c>
      <c r="D15" s="1" t="inlineStr">
        <is>
          <t>0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</t>
        </is>
      </c>
      <c r="H15" s="1" t="inlineStr">
        <is>
          <t>0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0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0</t>
        </is>
      </c>
      <c r="P15" s="465"/>
      <c r="Q15" s="465"/>
    </row>
    <row spans="1:17" outlineLevel="0" r="16">
      <c r="A16" s="1" t="inlineStr">
        <is>
          <t>2026</t>
        </is>
      </c>
      <c r="B16" s="275" t="inlineStr">
        <is>
          <t>16-#</t>
        </is>
      </c>
      <c r="C16" s="1" t="inlineStr">
        <is>
          <t>96.6</t>
        </is>
      </c>
      <c r="D16" s="1" t="inlineStr">
        <is>
          <t>97</t>
        </is>
      </c>
      <c r="E16" s="1" t="inlineStr">
        <is>
          <t>97.1</t>
        </is>
      </c>
      <c r="F16" s="1" t="inlineStr">
        <is>
          <t>97.9</t>
        </is>
      </c>
      <c r="G16" s="1" t="inlineStr">
        <is>
          <t>97.7</t>
        </is>
      </c>
      <c r="H16" s="1" t="inlineStr">
        <is>
          <t>97.2</t>
        </is>
      </c>
      <c r="I16" s="1" t="inlineStr">
        <is>
          <t>97.3</t>
        </is>
      </c>
      <c r="J16" s="1" t="inlineStr">
        <is>
          <t>97.7</t>
        </is>
      </c>
      <c r="K16" s="1" t="inlineStr">
        <is>
          <t>97.6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97.3</t>
        </is>
      </c>
      <c r="P16" s="465"/>
      <c r="Q16" s="465"/>
    </row>
    <row spans="1:17" outlineLevel="0" r="17">
      <c r="A17" s="1" t="inlineStr">
        <is>
          <t>2026</t>
        </is>
      </c>
      <c r="B17" s="275" t="inlineStr">
        <is>
          <t>17-2</t>
        </is>
      </c>
      <c r="C17" s="1" t="inlineStr">
        <is>
          <t>0</t>
        </is>
      </c>
      <c r="D17" s="1" t="inlineStr">
        <is>
          <t>0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0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0</t>
        </is>
      </c>
      <c r="P17" s="465"/>
      <c r="Q17" s="465"/>
    </row>
    <row spans="1:17" outlineLevel="0" r="18">
      <c r="A18" s="1" t="inlineStr">
        <is>
          <t>2026</t>
        </is>
      </c>
      <c r="B18" s="275" t="inlineStr">
        <is>
          <t>18-3</t>
        </is>
      </c>
      <c r="C18" s="1" t="inlineStr">
        <is>
          <t>0</t>
        </is>
      </c>
      <c r="D18" s="1" t="inlineStr">
        <is>
          <t>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0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</t>
        </is>
      </c>
      <c r="P18" s="465"/>
      <c r="Q18" s="465"/>
    </row>
    <row spans="1:17" outlineLevel="0" r="19">
      <c r="A19" s="1" t="inlineStr">
        <is>
          <t>2026</t>
        </is>
      </c>
      <c r="B19" s="275" t="inlineStr">
        <is>
          <t>19-4</t>
        </is>
      </c>
      <c r="C19" s="1" t="inlineStr">
        <is>
          <t>0</t>
        </is>
      </c>
      <c r="D19" s="1" t="inlineStr">
        <is>
          <t>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</t>
        </is>
      </c>
      <c r="P19" s="465"/>
      <c r="Q19" s="465"/>
    </row>
    <row spans="1:17" outlineLevel="0" r="20">
      <c r="A20" s="1" t="inlineStr">
        <is>
          <t>2026</t>
        </is>
      </c>
      <c r="B20" s="275" t="inlineStr">
        <is>
          <t>20-5</t>
        </is>
      </c>
      <c r="C20" s="1" t="inlineStr">
        <is>
          <t>0</t>
        </is>
      </c>
      <c r="D20" s="1" t="inlineStr">
        <is>
          <t>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0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0</t>
        </is>
      </c>
      <c r="O20" s="1" t="inlineStr">
        <is>
          <t>0</t>
        </is>
      </c>
      <c r="P20" s="465"/>
      <c r="Q20" s="465"/>
    </row>
    <row spans="1:17" outlineLevel="0" r="21">
      <c r="A21" s="1" t="inlineStr">
        <is>
          <t>2026</t>
        </is>
      </c>
      <c r="B21" s="275" t="inlineStr">
        <is>
          <t>21-$</t>
        </is>
      </c>
      <c r="C21" s="1" t="inlineStr">
        <is>
          <t>77.4</t>
        </is>
      </c>
      <c r="D21" s="1" t="inlineStr">
        <is>
          <t>97.9</t>
        </is>
      </c>
      <c r="E21" s="1" t="inlineStr">
        <is>
          <t>99.9</t>
        </is>
      </c>
      <c r="F21" s="1" t="inlineStr">
        <is>
          <t>100</t>
        </is>
      </c>
      <c r="G21" s="1" t="inlineStr">
        <is>
          <t>100</t>
        </is>
      </c>
      <c r="H21" s="1" t="inlineStr">
        <is>
          <t>100</t>
        </is>
      </c>
      <c r="I21" s="1" t="inlineStr">
        <is>
          <t>100</t>
        </is>
      </c>
      <c r="J21" s="1" t="inlineStr">
        <is>
          <t>100</t>
        </is>
      </c>
      <c r="K21" s="1" t="inlineStr">
        <is>
          <t>99.9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97.2</t>
        </is>
      </c>
      <c r="P21" s="465"/>
      <c r="Q21" s="465"/>
    </row>
    <row spans="1:17" outlineLevel="0" r="22">
      <c r="A22" s="1" t="inlineStr">
        <is>
          <t>2026</t>
        </is>
      </c>
      <c r="B22" s="275" t="inlineStr">
        <is>
          <t>22-7</t>
        </is>
      </c>
      <c r="C22" s="1" t="inlineStr">
        <is>
          <t>0</t>
        </is>
      </c>
      <c r="D22" s="1" t="inlineStr">
        <is>
          <t>0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</t>
        </is>
      </c>
      <c r="H22" s="1" t="inlineStr">
        <is>
          <t>0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0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0</t>
        </is>
      </c>
      <c r="O22" s="1" t="inlineStr">
        <is>
          <t>0</t>
        </is>
      </c>
      <c r="P22" s="465"/>
    </row>
    <row spans="1:17" outlineLevel="0" r="23">
      <c r="A23" s="1" t="inlineStr">
        <is>
          <t>2026</t>
        </is>
      </c>
      <c r="B23" s="275" t="inlineStr">
        <is>
          <t>23-6</t>
        </is>
      </c>
      <c r="C23" s="1" t="inlineStr">
        <is>
          <t>93.1</t>
        </is>
      </c>
      <c r="D23" s="1" t="inlineStr">
        <is>
          <t>93.9</t>
        </is>
      </c>
      <c r="E23" s="1" t="inlineStr">
        <is>
          <t>91.7</t>
        </is>
      </c>
      <c r="F23" s="1" t="inlineStr">
        <is>
          <t>92.7</t>
        </is>
      </c>
      <c r="G23" s="1" t="inlineStr">
        <is>
          <t>92</t>
        </is>
      </c>
      <c r="H23" s="1" t="inlineStr">
        <is>
          <t>89.5</t>
        </is>
      </c>
      <c r="I23" s="1" t="inlineStr">
        <is>
          <t>89.9</t>
        </is>
      </c>
      <c r="J23" s="1" t="inlineStr">
        <is>
          <t>91.4</t>
        </is>
      </c>
      <c r="K23" s="1" t="inlineStr">
        <is>
          <t>94.1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92</t>
        </is>
      </c>
    </row>
    <row spans="1:17" outlineLevel="0" r="24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spans="1:17" outlineLevel="0" r="25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spans="1:17" outlineLevel="0" r="26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spans="1:17" outlineLevel="0" r="2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spans="1:17" outlineLevel="0" r="28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spans="1:17" outlineLevel="0" r="29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spans="1:17" outlineLevel="0" r="30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spans="1:17" outlineLevel="0" r="31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spans="1:17" outlineLevel="0" r="32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spans="1:15" outlineLevel="0" r="33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spans="1:15" outlineLevel="0" r="34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spans="1:15" outlineLevel="0" r="3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spans="1:15" outlineLevel="0" r="36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spans="1:15" outlineLevel="0" r="37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spans="1:15" outlineLevel="0" r="38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spans="1:15" outlineLevel="0" r="39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spans="1:15" outlineLevel="0" r="40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spans="1:15" outlineLevel="0" r="41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spans="1:15" outlineLevel="0" r="42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spans="1:15" outlineLevel="0" r="43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spans="1:15" outlineLevel="0" r="44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spans="1:15" outlineLevel="0" r="4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spans="1:15" outlineLevel="0" r="46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spans="1:15" outlineLevel="0" r="47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spans="1:15" outlineLevel="0" r="48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spans="1:15" outlineLevel="0" r="49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spans="1:15" outlineLevel="0" r="50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spans="1:15" outlineLevel="0" r="51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spans="1:15" outlineLevel="0" r="52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spans="1:15" outlineLevel="0" r="53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spans="1:15" outlineLevel="0" r="54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spans="1:15" outlineLevel="0" r="5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spans="1:15" outlineLevel="0" r="56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spans="1:15" outlineLevel="0" r="57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spans="1:15" outlineLevel="0" r="58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spans="1:15" outlineLevel="0" r="59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spans="1:15" outlineLevel="0" r="60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spans="1:15" outlineLevel="0" r="61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spans="1:15" outlineLevel="0" r="62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spans="1:15" outlineLevel="0" r="63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spans="1:15" outlineLevel="0" r="64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spans="1:15" outlineLevel="0" r="6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spans="1:15" outlineLevel="0" r="66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spans="1:15" outlineLevel="0" r="67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spans="1:15" outlineLevel="0" r="68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spans="1:15" outlineLevel="0" r="69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spans="1:15" outlineLevel="0" r="70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spans="1:15" outlineLevel="0" r="71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spans="1:15" outlineLevel="0" r="72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spans="1:15" outlineLevel="0" r="73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spans="1:15" outlineLevel="0" r="74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spans="1:15" outlineLevel="0" r="7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spans="1:15" outlineLevel="0" r="76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spans="1:15" outlineLevel="0" r="77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spans="1:15" outlineLevel="0" r="78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spans="1:15" outlineLevel="0" r="79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spans="1:15" outlineLevel="0" r="80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spans="1:15" outlineLevel="0" r="81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spans="1:15" outlineLevel="0" r="82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spans="1:15" outlineLevel="0" r="83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spans="1:15" outlineLevel="0" r="84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spans="1:15" outlineLevel="0" r="8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spans="1:15" outlineLevel="0" r="86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spans="1:15" outlineLevel="0" r="87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spans="1:15" outlineLevel="0" r="88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spans="1:15" outlineLevel="0" r="89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spans="1:15" outlineLevel="0" r="90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spans="1:15" outlineLevel="0" r="91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spans="1:15" outlineLevel="0" r="92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spans="1:15" outlineLevel="0" r="93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spans="1:15" outlineLevel="0" r="94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spans="1:15" outlineLevel="0" r="9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spans="1:15" outlineLevel="0" r="96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spans="1:15" outlineLevel="0" r="97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spans="1:15" outlineLevel="0" r="98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spans="1:15" outlineLevel="0" r="99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spans="1:15" outlineLevel="0" r="100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spans="1:15" outlineLevel="0" r="101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spans="1:15" outlineLevel="0" r="102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spans="1:15" outlineLevel="0" r="103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spans="1:15" outlineLevel="0" r="104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spans="1:15" outlineLevel="0" r="10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spans="1:15" outlineLevel="0" r="106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spans="1:15" outlineLevel="0" r="107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spans="1:15" outlineLevel="0" r="108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spans="1:15" outlineLevel="0" r="109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spans="1:15" outlineLevel="0" r="110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spans="1:15" outlineLevel="0" r="111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spans="1:15" outlineLevel="0" r="112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spans="1:15" outlineLevel="0" r="113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spans="1:15" outlineLevel="0" r="114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spans="1:15" outlineLevel="0" r="11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spans="1:15" outlineLevel="0" r="116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spans="1:15" outlineLevel="0" r="117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spans="1:15" outlineLevel="0" r="118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spans="1:15" outlineLevel="0" r="119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spans="1:15" outlineLevel="0" r="120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spans="1:15" outlineLevel="0" r="121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spans="1:15" outlineLevel="0" r="122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spans="1:15" outlineLevel="0" r="123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spans="1:15" outlineLevel="0" r="124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spans="1:15" outlineLevel="0" r="12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spans="1:15" outlineLevel="0" r="126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spans="1:15" outlineLevel="0" r="127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spans="1:15" outlineLevel="0" r="128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spans="1:15" outlineLevel="0" r="129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spans="1:15" outlineLevel="0" r="130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spans="1:15" outlineLevel="0" r="131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spans="1:15" outlineLevel="0" r="132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spans="1:15" outlineLevel="0" r="133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spans="1:15" outlineLevel="0" r="134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spans="1:15" outlineLevel="0" r="13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spans="1:15" outlineLevel="0" r="136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spans="1:15" outlineLevel="0" r="137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spans="1:15" outlineLevel="0" r="138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spans="1:15" outlineLevel="0" r="139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spans="1:15" outlineLevel="0" r="140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spans="1:15" outlineLevel="0" r="141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spans="1:15" outlineLevel="0" r="142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spans="1:15" outlineLevel="0" r="143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spans="1:15" outlineLevel="0" r="144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spans="1:15" outlineLevel="0" r="14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spans="1:15" outlineLevel="0" r="146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spans="1:15" outlineLevel="0" r="147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spans="1:15" outlineLevel="0" r="148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spans="1:15" outlineLevel="0" r="149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spans="1:15" outlineLevel="0" r="150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spans="1:15" outlineLevel="0" r="151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spans="1:15" outlineLevel="0" r="152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spans="1:15" outlineLevel="0" r="153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spans="1:15" outlineLevel="0" r="154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spans="1:15" outlineLevel="0" r="15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spans="1:15" outlineLevel="0" r="156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spans="1:15" outlineLevel="0" r="157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spans="1:15" outlineLevel="0" r="158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spans="1:15" outlineLevel="0" r="159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spans="1:15" outlineLevel="0" r="160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spans="1:15" outlineLevel="0" r="161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spans="1:15" outlineLevel="0" r="162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spans="1:15" outlineLevel="0" r="163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spans="1:15" outlineLevel="0" r="164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spans="1:15" outlineLevel="0" r="16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spans="1:15" outlineLevel="0" r="166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spans="1:15" outlineLevel="0" r="167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spans="1:15" outlineLevel="0" r="168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spans="1:15" outlineLevel="0" r="169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spans="1:15" outlineLevel="0" r="170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spans="1:15" outlineLevel="0" r="171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spans="1:15" outlineLevel="0" r="172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spans="1:15" outlineLevel="0" r="173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spans="1:15" outlineLevel="0" r="174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spans="1:15" outlineLevel="0" r="17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spans="1:15" outlineLevel="0" r="176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spans="1:15" outlineLevel="0" r="177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spans="1:15" outlineLevel="0" r="178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spans="1:15" outlineLevel="0" r="179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spans="1:15" outlineLevel="0" r="180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spans="1:15" outlineLevel="0" r="181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spans="1:15" outlineLevel="0" r="182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spans="1:15" outlineLevel="0" r="183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spans="1:15" outlineLevel="0" r="184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spans="1:15" outlineLevel="0" r="18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spans="1:15" outlineLevel="0" r="186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spans="1:15" outlineLevel="0" r="187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spans="1:15" outlineLevel="0" r="188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spans="1:15" outlineLevel="0" r="189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spans="1:15" outlineLevel="0" r="190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spans="1:15" outlineLevel="0" r="191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spans="1:15" outlineLevel="0" r="192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spans="1:15" outlineLevel="0" r="193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spans="1:15" outlineLevel="0" r="194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spans="1:15" outlineLevel="0" r="19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spans="1:15" outlineLevel="0" r="196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spans="1:15" outlineLevel="0" r="197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spans="1:15" outlineLevel="0" r="198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spans="1:15" outlineLevel="0" r="199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spans="1:15" outlineLevel="0" r="200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spans="1:15" outlineLevel="0" r="201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spans="1:15" outlineLevel="0" r="202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spans="1:15" outlineLevel="0" r="203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spans="1:15" outlineLevel="0" r="204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spans="1:15" outlineLevel="0" r="20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spans="1:15" outlineLevel="0" r="206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spans="1:15" outlineLevel="0" r="207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spans="1:15" outlineLevel="0" r="208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spans="1:15" outlineLevel="0" r="209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spans="1:15" outlineLevel="0" r="210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spans="1:15" outlineLevel="0" r="211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spans="1:15" outlineLevel="0" r="212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spans="1:15" outlineLevel="0" r="213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spans="1:15" outlineLevel="0" r="214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spans="1:15" outlineLevel="0" r="21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spans="1:15" outlineLevel="0" r="216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spans="1:15" outlineLevel="0" r="217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spans="1:15" outlineLevel="0" r="218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spans="1:15" outlineLevel="0" r="219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spans="1:15" outlineLevel="0" r="220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spans="1:15" outlineLevel="0" r="221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spans="1:15" outlineLevel="0" r="222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spans="1:15" outlineLevel="0" r="223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spans="1:15" outlineLevel="0" r="224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spans="1:15" outlineLevel="0" r="22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spans="1:15" outlineLevel="0" r="226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spans="1:15" outlineLevel="0" r="227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spans="1:15" outlineLevel="0" r="228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spans="1:15" outlineLevel="0" r="229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spans="1:15" outlineLevel="0" r="230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spans="1:15" outlineLevel="0" r="231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spans="1:15" outlineLevel="0" r="232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spans="1:15" outlineLevel="0" r="233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spans="1:15" outlineLevel="0" r="234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spans="1:15" outlineLevel="0" r="23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spans="1:15" outlineLevel="0" r="236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spans="1:15" outlineLevel="0" r="237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spans="1:15" outlineLevel="0" r="238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spans="1:15" outlineLevel="0" r="239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spans="1:15" outlineLevel="0" r="240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spans="1:15" outlineLevel="0" r="241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spans="1:15" outlineLevel="0" r="242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spans="1:15" outlineLevel="0" r="243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spans="1:15" outlineLevel="0" r="244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spans="1:15" outlineLevel="0" r="24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spans="1:15" outlineLevel="0" r="246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spans="1:15" outlineLevel="0" r="247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spans="1:15" outlineLevel="0" r="248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spans="1:15" outlineLevel="0" r="249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spans="1:15" outlineLevel="0" r="250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spans="1:15" outlineLevel="0" r="251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spans="1:15" outlineLevel="0" r="252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spans="1:15" outlineLevel="0" r="253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spans="1:15" outlineLevel="0" r="254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spans="1:15" outlineLevel="0" r="25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spans="1:15" outlineLevel="0" r="256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spans="1:15" outlineLevel="0" r="257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spans="1:15" outlineLevel="0" r="258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spans="1:15" outlineLevel="0" r="259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spans="1:15" outlineLevel="0" r="260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spans="1:15" outlineLevel="0" r="261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spans="1:15" outlineLevel="0" r="262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spans="1:15" outlineLevel="0" r="263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spans="1:15" outlineLevel="0" r="264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spans="1:15" outlineLevel="0" r="26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spans="1:15" outlineLevel="0" r="266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spans="1:15" outlineLevel="0" r="267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spans="1:15" outlineLevel="0" r="268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spans="1:15" outlineLevel="0" r="269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spans="1:15" outlineLevel="0" r="270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spans="1:15" outlineLevel="0" r="271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spans="1:15" outlineLevel="0" r="272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spans="1:15" outlineLevel="0" r="273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spans="1:15" outlineLevel="0" r="274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spans="1:15" outlineLevel="0" r="27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spans="1:15" outlineLevel="0" r="276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spans="1:15" outlineLevel="0" r="277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spans="1:15" outlineLevel="0" r="278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spans="1:15" outlineLevel="0" r="279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spans="1:15" outlineLevel="0" r="280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spans="1:15" outlineLevel="0" r="281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spans="1:15" outlineLevel="0" r="282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spans="1:15" outlineLevel="0" r="283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spans="1:15" outlineLevel="0" r="284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spans="1:15" outlineLevel="0" r="28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spans="1:15" outlineLevel="0" r="286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spans="1:15" outlineLevel="0" r="287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spans="1:15" outlineLevel="0" r="288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spans="1:15" outlineLevel="0" r="289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spans="1:15" outlineLevel="0" r="290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spans="1:15" outlineLevel="0" r="291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spans="1:15" outlineLevel="0" r="292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spans="1:15" outlineLevel="0" r="293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spans="1:15" outlineLevel="0" r="294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spans="1:15" outlineLevel="0" r="29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spans="1:15" outlineLevel="0" r="296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spans="1:15" outlineLevel="0" r="297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spans="1:15" outlineLevel="0" r="298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spans="1:15" outlineLevel="0" r="299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spans="1:15" outlineLevel="0" r="300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spans="1:15" outlineLevel="0" r="301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spans="1:15" outlineLevel="0" r="302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spans="1:15" outlineLevel="0" r="303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spans="1:15" outlineLevel="0" r="304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spans="1:15" outlineLevel="0" r="30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spans="1:15" outlineLevel="0" r="306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spans="1:15" outlineLevel="0" r="307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spans="1:15" outlineLevel="0" r="308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spans="1:15" outlineLevel="0" r="309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spans="1:15" outlineLevel="0" r="310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spans="1:15" outlineLevel="0" r="311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spans="1:15" outlineLevel="0" r="312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spans="1:15" outlineLevel="0" r="313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spans="1:15" outlineLevel="0" r="314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spans="1:15" outlineLevel="0" r="31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spans="1:15" outlineLevel="0" r="316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spans="1:15" outlineLevel="0" r="317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spans="1:15" outlineLevel="0" r="318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spans="1:15" outlineLevel="0" r="319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spans="1:15" outlineLevel="0" r="320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spans="1:15" outlineLevel="0" r="321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spans="1:15" outlineLevel="0" r="322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spans="1:15" outlineLevel="0" r="323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spans="1:15" outlineLevel="0" r="324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spans="1:15" outlineLevel="0" r="32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spans="1:15" outlineLevel="0" r="326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spans="1:15" outlineLevel="0" r="327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spans="1:15" outlineLevel="0" r="328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spans="1:15" outlineLevel="0" r="329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spans="1:15" outlineLevel="0" r="330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spans="1:15" outlineLevel="0" r="331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spans="1:15" outlineLevel="0" r="332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spans="1:15" outlineLevel="0" r="333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spans="1:15" outlineLevel="0" r="334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spans="1:15" outlineLevel="0" r="33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spans="1:15" outlineLevel="0" r="336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spans="1:15" outlineLevel="0" r="337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spans="1:15" outlineLevel="0" r="338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spans="1:15" outlineLevel="0" r="339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spans="1:15" outlineLevel="0" r="340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spans="1:15" outlineLevel="0" r="341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spans="1:15" outlineLevel="0" r="342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spans="1:15" outlineLevel="0" r="343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spans="1:15" outlineLevel="0" r="344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spans="1:15" outlineLevel="0" r="34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spans="1:15" outlineLevel="0" r="346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spans="1:15" outlineLevel="0" r="347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spans="1:15" outlineLevel="0" r="348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spans="1:15" outlineLevel="0" r="349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spans="1:15" outlineLevel="0" r="350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spans="1:15" outlineLevel="0" r="351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spans="1:15" outlineLevel="0" r="352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spans="1:15" outlineLevel="0" r="353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spans="1:15" outlineLevel="0" r="354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spans="1:15" outlineLevel="0" r="35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spans="1:15" outlineLevel="0" r="356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spans="1:15" outlineLevel="0" r="357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spans="1:15" outlineLevel="0" r="358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spans="1:15" outlineLevel="0" r="359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spans="1:15" outlineLevel="0" r="360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spans="1:15" outlineLevel="0" r="361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spans="1:15" outlineLevel="0" r="362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spans="1:15" outlineLevel="0" r="363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spans="1:15" outlineLevel="0" r="364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spans="1:15" outlineLevel="0" r="36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spans="1:15" outlineLevel="0" r="366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spans="1:15" outlineLevel="0" r="367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spans="1:15" outlineLevel="0" r="368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spans="1:15" outlineLevel="0" r="369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spans="1:15" outlineLevel="0" r="370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spans="1:15" outlineLevel="0" r="371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spans="1:15" outlineLevel="0" r="372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spans="1:15" outlineLevel="0" r="373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spans="1:15" outlineLevel="0" r="374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spans="1:15" outlineLevel="0" r="37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spans="1:15" outlineLevel="0" r="376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spans="1:15" outlineLevel="0" r="377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spans="1:15" outlineLevel="0" r="378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spans="1:15" outlineLevel="0" r="379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spans="1:15" outlineLevel="0" r="380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spans="1:15" outlineLevel="0" r="381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spans="1:15" outlineLevel="0" r="382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spans="1:15" outlineLevel="0" r="383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spans="1:15" outlineLevel="0" r="384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spans="1:15" outlineLevel="0" r="38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spans="1:15" outlineLevel="0" r="386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spans="1:15" outlineLevel="0" r="387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spans="1:15" outlineLevel="0" r="388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spans="1:15" outlineLevel="0" r="389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spans="1:15" outlineLevel="0" r="390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spans="1:15" outlineLevel="0" r="391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spans="1:15" outlineLevel="0" r="392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spans="1:15" outlineLevel="0" r="393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spans="1:15" outlineLevel="0" r="394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spans="1:15" outlineLevel="0" r="39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spans="1:15" outlineLevel="0" r="396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spans="1:15" outlineLevel="0" r="397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spans="1:15" outlineLevel="0" r="398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spans="1:15" outlineLevel="0" r="399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spans="1:15" outlineLevel="0" r="400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spans="1:15" outlineLevel="0" r="401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spans="1:15" outlineLevel="0" r="402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spans="1:15" outlineLevel="0" r="403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spans="1:15" outlineLevel="0" r="404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spans="1:15" outlineLevel="0" r="40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spans="1:15" outlineLevel="0" r="406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spans="1:15" outlineLevel="0" r="407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spans="1:15" outlineLevel="0" r="408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spans="1:15" outlineLevel="0" r="409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spans="1:15" outlineLevel="0" r="410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spans="1:15" outlineLevel="0" r="411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spans="1:15" outlineLevel="0" r="412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spans="1:15" outlineLevel="0" r="413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spans="1:15" outlineLevel="0" r="414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spans="1:15" outlineLevel="0" r="41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spans="1:15" outlineLevel="0" r="416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spans="1:15" outlineLevel="0" r="417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spans="1:15" outlineLevel="0" r="418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spans="1:15" outlineLevel="0" r="419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spans="1:15" outlineLevel="0" r="420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spans="1:15" outlineLevel="0" r="421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spans="1:15" outlineLevel="0" r="422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spans="1:15" outlineLevel="0" r="423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spans="1:15" outlineLevel="0" r="424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spans="1:15" outlineLevel="0" r="42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spans="1:15" outlineLevel="0" r="426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spans="1:15" outlineLevel="0" r="427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spans="1:15" outlineLevel="0" r="428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spans="1:15" outlineLevel="0" r="429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spans="1:15" outlineLevel="0" r="430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spans="1:15" outlineLevel="0" r="431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spans="1:15" outlineLevel="0" r="432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spans="1:15" outlineLevel="0" r="433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spans="1:15" outlineLevel="0" r="434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spans="1:15" outlineLevel="0" r="43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spans="1:15" outlineLevel="0" r="436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spans="1:15" outlineLevel="0" r="437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spans="1:15" outlineLevel="0" r="438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spans="1:15" outlineLevel="0" r="439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spans="1:15" outlineLevel="0" r="440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spans="1:15" outlineLevel="0" r="441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spans="1:15" outlineLevel="0" r="442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spans="1:15" outlineLevel="0" r="443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spans="1:15" outlineLevel="0" r="444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spans="1:15" outlineLevel="0" r="44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spans="1:15" outlineLevel="0" r="446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spans="1:15" outlineLevel="0" r="447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spans="1:15" outlineLevel="0" r="448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spans="1:15" outlineLevel="0" r="449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spans="1:15" outlineLevel="0" r="450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spans="1:15" outlineLevel="0" r="451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spans="1:15" outlineLevel="0" r="452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spans="1:15" outlineLevel="0" r="453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spans="1:15" outlineLevel="0" r="454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spans="1:15" outlineLevel="0" r="45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spans="1:15" outlineLevel="0" r="456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spans="1:15" outlineLevel="0" r="457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spans="1:15" outlineLevel="0" r="458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spans="1:15" outlineLevel="0" r="459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spans="1:15" outlineLevel="0" r="460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spans="1:15" outlineLevel="0" r="461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spans="1:15" outlineLevel="0" r="462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spans="1:15" outlineLevel="0" r="463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spans="1:15" outlineLevel="0" r="464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spans="1:15" outlineLevel="0" r="46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spans="1:15" outlineLevel="0" r="466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spans="1:15" outlineLevel="0" r="467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spans="1:15" outlineLevel="0" r="468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spans="1:15" outlineLevel="0" r="469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spans="1:15" outlineLevel="0" r="470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spans="1:15" outlineLevel="0" r="471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spans="1:15" outlineLevel="0" r="472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spans="1:15" outlineLevel="0" r="473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spans="1:15" outlineLevel="0" r="474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spans="1:15" outlineLevel="0" r="47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spans="1:15" outlineLevel="0" r="476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spans="1:15" outlineLevel="0" r="477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spans="1:15" outlineLevel="0" r="478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spans="1:15" outlineLevel="0" r="479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spans="1:15" outlineLevel="0" r="480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spans="1:15" outlineLevel="0" r="481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spans="1:15" outlineLevel="0" r="482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spans="1:15" outlineLevel="0" r="483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spans="1:15" outlineLevel="0" r="484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spans="1:15" outlineLevel="0" r="48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spans="1:15" outlineLevel="0" r="486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spans="1:15" outlineLevel="0" r="487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spans="1:15" outlineLevel="0" r="488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spans="1:15" outlineLevel="0" r="489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spans="1:15" outlineLevel="0" r="490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spans="1:15" outlineLevel="0" r="491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spans="1:15" outlineLevel="0" r="492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spans="1:15" outlineLevel="0" r="493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spans="1:15" outlineLevel="0" r="494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spans="1:15" outlineLevel="0" r="49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spans="1:15" outlineLevel="0" r="496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spans="1:15" outlineLevel="0" r="497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spans="1:15" outlineLevel="0" r="498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spans="1:15" outlineLevel="0" r="499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spans="1:15" outlineLevel="0" r="500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spans="1:15" outlineLevel="0" r="501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spans="1:15" outlineLevel="0" r="502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spans="1:15" outlineLevel="0" r="503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spans="1:15" outlineLevel="0" r="504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spans="1:15" outlineLevel="0" r="50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spans="1:15" outlineLevel="0" r="506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spans="1:15" outlineLevel="0" r="507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spans="1:15" outlineLevel="0" r="508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spans="1:15" outlineLevel="0" r="509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spans="1:15" outlineLevel="0" r="510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spans="1:15" outlineLevel="0" r="511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spans="1:15" outlineLevel="0" r="512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spans="1:15" outlineLevel="0" r="513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spans="1:15" outlineLevel="0" r="514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spans="1:15" outlineLevel="0" r="51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spans="1:15" outlineLevel="0" r="516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spans="1:15" outlineLevel="0" r="517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spans="1:15" outlineLevel="0" r="518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spans="1:15" outlineLevel="0" r="519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spans="1:15" outlineLevel="0" r="520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spans="1:15" outlineLevel="0" r="521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spans="1:15" outlineLevel="0" r="522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spans="1:15" outlineLevel="0" r="523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spans="1:15" outlineLevel="0" r="524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spans="1:15" outlineLevel="0" r="52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spans="1:15" outlineLevel="0" r="526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spans="1:15" outlineLevel="0" r="527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spans="1:15" outlineLevel="0" r="528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spans="1:15" outlineLevel="0" r="529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spans="1:15" outlineLevel="0" r="530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spans="1:15" outlineLevel="0" r="531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spans="1:15" outlineLevel="0" r="532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spans="1:15" outlineLevel="0" r="533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spans="1:15" outlineLevel="0" r="534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spans="1:15" outlineLevel="0" r="53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spans="1:15" outlineLevel="0" r="536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spans="1:15" outlineLevel="0" r="537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spans="1:15" outlineLevel="0" r="538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spans="1:15" outlineLevel="0" r="539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spans="1:15" outlineLevel="0" r="540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spans="1:15" outlineLevel="0" r="541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spans="1:15" outlineLevel="0" r="542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spans="1:15" outlineLevel="0" r="543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spans="1:15" outlineLevel="0" r="544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spans="1:15" outlineLevel="0" r="54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spans="1:15" outlineLevel="0" r="546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spans="1:15" outlineLevel="0" r="547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spans="1:15" outlineLevel="0" r="548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spans="1:15" outlineLevel="0" r="549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spans="1:15" outlineLevel="0" r="550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spans="1:15" outlineLevel="0" r="551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spans="1:15" outlineLevel="0" r="552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spans="1:15" outlineLevel="0" r="553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spans="1:15" outlineLevel="0" r="554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spans="1:15" outlineLevel="0" r="55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spans="1:15" outlineLevel="0" r="556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spans="1:15" outlineLevel="0" r="557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spans="1:15" outlineLevel="0" r="558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spans="1:15" outlineLevel="0" r="559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spans="1:15" outlineLevel="0" r="560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spans="1:15" outlineLevel="0" r="561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spans="1:15" outlineLevel="0" r="562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spans="1:15" outlineLevel="0" r="563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spans="1:15" outlineLevel="0" r="564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spans="1:15" outlineLevel="0" r="56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spans="1:15" outlineLevel="0" r="566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spans="1:15" outlineLevel="0" r="567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spans="1:15" outlineLevel="0" r="568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spans="1:15" outlineLevel="0" r="569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spans="1:15" outlineLevel="0" r="570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spans="1:15" outlineLevel="0" r="571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spans="1:15" outlineLevel="0" r="572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spans="1:15" outlineLevel="0" r="573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spans="1:15" outlineLevel="0" r="574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spans="1:15" outlineLevel="0" r="57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spans="1:15" outlineLevel="0" r="576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spans="1:15" outlineLevel="0" r="577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spans="1:15" outlineLevel="0" r="578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spans="1:15" outlineLevel="0" r="579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spans="1:15" outlineLevel="0" r="580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spans="1:15" outlineLevel="0" r="581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spans="1:15" outlineLevel="0" r="582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spans="1:15" outlineLevel="0" r="583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spans="1:15" outlineLevel="0" r="584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spans="1:15" outlineLevel="0" r="58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spans="1:15" outlineLevel="0" r="586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spans="1:15" outlineLevel="0" r="587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spans="1:15" outlineLevel="0" r="588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spans="1:15" outlineLevel="0" r="589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spans="1:15" outlineLevel="0" r="590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spans="1:15" outlineLevel="0" r="591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spans="1:15" outlineLevel="0" r="592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spans="1:15" outlineLevel="0" r="593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spans="1:15" outlineLevel="0" r="594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spans="1:15" outlineLevel="0" r="59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spans="1:15" outlineLevel="0" r="596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spans="1:15" outlineLevel="0" r="597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spans="1:15" outlineLevel="0" r="598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spans="1:15" outlineLevel="0" r="599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spans="1:15" outlineLevel="0" r="600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spans="1:15" outlineLevel="0" r="601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spans="1:15" outlineLevel="0" r="602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spans="1:15" outlineLevel="0" r="603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spans="1:15" outlineLevel="0" r="604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spans="1:15" outlineLevel="0" r="60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spans="1:15" outlineLevel="0" r="606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spans="1:15" outlineLevel="0" r="607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spans="1:15" outlineLevel="0" r="608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spans="1:15" outlineLevel="0" r="609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spans="1:15" outlineLevel="0" r="610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spans="1:15" outlineLevel="0" r="611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spans="1:15" outlineLevel="0" r="612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spans="1:15" outlineLevel="0" r="613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spans="1:15" outlineLevel="0" r="614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spans="1:15" outlineLevel="0" r="61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spans="1:15" outlineLevel="0" r="616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spans="1:15" outlineLevel="0" r="617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spans="1:15" outlineLevel="0" r="618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spans="1:15" outlineLevel="0" r="619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spans="1:15" outlineLevel="0" r="620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spans="1:15" outlineLevel="0" r="621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spans="1:15" outlineLevel="0" r="622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spans="1:15" outlineLevel="0" r="623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spans="1:15" outlineLevel="0" r="624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spans="1:15" outlineLevel="0" r="62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spans="1:15" outlineLevel="0" r="626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spans="1:15" outlineLevel="0" r="627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spans="1:15" outlineLevel="0" r="628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spans="1:15" outlineLevel="0" r="629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spans="1:15" outlineLevel="0" r="630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spans="1:15" outlineLevel="0" r="631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spans="1:15" outlineLevel="0" r="632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spans="1:15" outlineLevel="0" r="633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spans="1:15" outlineLevel="0" r="634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spans="1:15" outlineLevel="0" r="63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spans="1:15" outlineLevel="0" r="636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spans="1:15" outlineLevel="0" r="637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spans="1:15" outlineLevel="0" r="638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spans="1:15" outlineLevel="0" r="639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spans="1:15" outlineLevel="0" r="640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spans="1:15" outlineLevel="0" r="641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spans="1:15" outlineLevel="0" r="642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spans="1:15" outlineLevel="0" r="643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spans="1:15" outlineLevel="0" r="644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spans="1:15" outlineLevel="0" r="64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spans="1:15" outlineLevel="0" r="646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spans="1:15" outlineLevel="0" r="647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spans="1:15" outlineLevel="0" r="648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spans="1:15" outlineLevel="0" r="649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spans="1:15" outlineLevel="0" r="650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spans="1:15" outlineLevel="0" r="651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spans="1:15" outlineLevel="0" r="652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spans="1:15" outlineLevel="0" r="653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spans="1:15" outlineLevel="0" r="654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spans="1:15" outlineLevel="0" r="65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spans="1:15" outlineLevel="0" r="656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spans="1:15" outlineLevel="0" r="657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spans="1:15" outlineLevel="0" r="658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spans="1:15" outlineLevel="0" r="659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spans="1:15" outlineLevel="0" r="660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spans="1:15" outlineLevel="0" r="661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spans="1:15" outlineLevel="0" r="662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spans="1:15" outlineLevel="0" r="663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spans="1:15" outlineLevel="0" r="664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spans="1:15" outlineLevel="0" r="66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spans="1:15" outlineLevel="0" r="666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spans="1:15" outlineLevel="0" r="667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spans="1:15" outlineLevel="0" r="668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spans="1:15" outlineLevel="0" r="669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spans="1:15" outlineLevel="0" r="670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spans="1:15" outlineLevel="0" r="671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spans="1:15" outlineLevel="0" r="672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spans="1:15" outlineLevel="0" r="673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spans="1:15" outlineLevel="0" r="674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spans="1:15" outlineLevel="0" r="67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spans="1:15" outlineLevel="0" r="676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spans="1:15" outlineLevel="0" r="677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spans="1:15" outlineLevel="0" r="678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spans="1:15" outlineLevel="0" r="679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spans="1:15" outlineLevel="0" r="680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spans="1:15" outlineLevel="0" r="681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spans="1:15" outlineLevel="0" r="682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spans="1:15" outlineLevel="0" r="683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spans="1:15" outlineLevel="0" r="684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spans="1:15" outlineLevel="0" r="68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spans="1:15" outlineLevel="0" r="686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spans="1:15" outlineLevel="0" r="687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spans="1:15" outlineLevel="0" r="688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spans="1:15" outlineLevel="0" r="689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spans="1:15" outlineLevel="0" r="690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spans="1:15" outlineLevel="0" r="691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spans="1:15" outlineLevel="0" r="692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spans="1:15" outlineLevel="0" r="693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spans="1:15" outlineLevel="0" r="694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spans="1:15" outlineLevel="0" r="69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spans="1:15" outlineLevel="0" r="696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spans="1:15" outlineLevel="0" r="697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spans="1:15" outlineLevel="0" r="698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spans="1:15" outlineLevel="0" r="699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spans="1:15" outlineLevel="0" r="700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spans="1:15" outlineLevel="0" r="701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spans="1:15" outlineLevel="0" r="702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spans="1:15" outlineLevel="0" r="703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spans="1:15" outlineLevel="0" r="704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spans="1:15" outlineLevel="0" r="70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spans="1:15" outlineLevel="0" r="706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spans="1:15" outlineLevel="0" r="707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spans="1:15" outlineLevel="0" r="708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spans="1:15" outlineLevel="0" r="709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spans="1:15" outlineLevel="0" r="710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spans="1:15" outlineLevel="0" r="711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spans="1:15" outlineLevel="0" r="712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spans="1:15" outlineLevel="0" r="713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spans="1:15" outlineLevel="0" r="714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spans="1:15" outlineLevel="0" r="71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spans="1:15" outlineLevel="0" r="716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spans="1:15" outlineLevel="0" r="717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spans="1:15" outlineLevel="0" r="718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spans="1:15" outlineLevel="0" r="719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spans="1:15" outlineLevel="0" r="720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spans="1:15" outlineLevel="0" r="721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spans="1:15" outlineLevel="0" r="722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spans="1:15" outlineLevel="0" r="723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spans="1:15" outlineLevel="0" r="724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spans="1:15" outlineLevel="0" r="72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spans="1:15" outlineLevel="0" r="726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spans="1:15" outlineLevel="0" r="727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spans="1:15" outlineLevel="0" r="728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spans="1:15" outlineLevel="0" r="729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spans="1:15" outlineLevel="0" r="730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spans="1:15" outlineLevel="0" r="731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spans="1:15" outlineLevel="0" r="732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spans="1:15" outlineLevel="0" r="733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spans="1:15" outlineLevel="0" r="734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spans="1:15" outlineLevel="0" r="73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spans="1:15" outlineLevel="0" r="736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spans="1:15" outlineLevel="0" r="737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spans="1:15" outlineLevel="0" r="738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spans="1:15" outlineLevel="0" r="739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spans="1:15" outlineLevel="0" r="740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spans="1:15" outlineLevel="0" r="741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spans="1:15" outlineLevel="0" r="742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spans="1:15" outlineLevel="0" r="743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spans="1:15" outlineLevel="0" r="744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spans="1:15" outlineLevel="0" r="74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spans="1:15" outlineLevel="0" r="746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spans="1:15" outlineLevel="0" r="747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spans="1:15" outlineLevel="0" r="748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spans="1:15" outlineLevel="0" r="749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spans="1:15" outlineLevel="0" r="750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spans="1:15" outlineLevel="0" r="751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spans="1:15" outlineLevel="0" r="752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spans="1:15" outlineLevel="0" r="753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spans="1:15" outlineLevel="0" r="754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spans="1:15" outlineLevel="0" r="75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spans="1:15" outlineLevel="0" r="756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spans="1:15" outlineLevel="0" r="757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spans="1:15" outlineLevel="0" r="758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spans="1:15" outlineLevel="0" r="759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spans="1:15" outlineLevel="0" r="760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spans="1:15" outlineLevel="0" r="761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spans="1:15" outlineLevel="0" r="762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spans="1:15" outlineLevel="0" r="763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spans="1:15" outlineLevel="0" r="764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spans="1:15" outlineLevel="0" r="76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spans="1:15" outlineLevel="0" r="766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spans="1:15" outlineLevel="0" r="767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spans="1:15" outlineLevel="0" r="768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spans="1:15" outlineLevel="0" r="769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spans="1:15" outlineLevel="0" r="770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spans="1:15" outlineLevel="0" r="771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spans="1:15" outlineLevel="0" r="772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spans="1:15" outlineLevel="0" r="773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spans="1:15" outlineLevel="0" r="774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spans="1:15" outlineLevel="0" r="77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spans="1:15" outlineLevel="0" r="776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spans="1:15" outlineLevel="0" r="777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spans="1:15" outlineLevel="0" r="778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spans="1:15" outlineLevel="0" r="779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spans="1:15" outlineLevel="0" r="780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spans="1:15" outlineLevel="0" r="781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spans="1:15" outlineLevel="0" r="782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spans="1:15" outlineLevel="0" r="783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spans="1:15" outlineLevel="0" r="784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spans="1:15" outlineLevel="0" r="78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spans="1:15" outlineLevel="0" r="786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spans="1:15" outlineLevel="0" r="787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spans="1:15" outlineLevel="0" r="788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spans="1:15" outlineLevel="0" r="789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spans="1:15" outlineLevel="0" r="790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spans="1:15" outlineLevel="0" r="791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spans="1:15" outlineLevel="0" r="792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spans="1:15" outlineLevel="0" r="793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spans="1:15" outlineLevel="0" r="794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spans="1:15" outlineLevel="0" r="79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spans="1:15" outlineLevel="0" r="796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spans="1:15" outlineLevel="0" r="797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spans="1:15" outlineLevel="0" r="798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spans="1:15" outlineLevel="0" r="799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spans="1:15" outlineLevel="0" r="800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spans="1:15" outlineLevel="0" r="801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spans="1:15" outlineLevel="0" r="802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spans="1:15" outlineLevel="0" r="803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spans="1:15" outlineLevel="0" r="804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spans="1:15" outlineLevel="0" r="80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spans="1:15" outlineLevel="0" r="806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spans="1:15" outlineLevel="0" r="807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spans="1:15" outlineLevel="0" r="808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spans="1:15" outlineLevel="0" r="809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spans="1:15" outlineLevel="0" r="810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spans="1:15" outlineLevel="0" r="811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spans="1:15" outlineLevel="0" r="812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spans="1:15" outlineLevel="0" r="813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spans="1:15" outlineLevel="0" r="814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spans="1:15" outlineLevel="0" r="81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spans="1:15" outlineLevel="0" r="816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spans="1:15" outlineLevel="0" r="817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spans="1:15" outlineLevel="0" r="818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spans="1:15" outlineLevel="0" r="819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spans="1:15" outlineLevel="0" r="820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spans="1:15" outlineLevel="0" r="821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spans="1:15" outlineLevel="0" r="822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spans="1:15" outlineLevel="0" r="823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spans="1:15" outlineLevel="0" r="824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spans="1:15" outlineLevel="0" r="82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spans="1:15" outlineLevel="0" r="826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spans="1:15" outlineLevel="0" r="827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spans="1:15" outlineLevel="0" r="828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spans="1:15" outlineLevel="0" r="829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spans="1:15" outlineLevel="0" r="830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spans="1:15" outlineLevel="0" r="831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spans="1:15" outlineLevel="0" r="832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spans="1:15" outlineLevel="0" r="833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spans="1:15" outlineLevel="0" r="834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spans="1:15" outlineLevel="0" r="83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spans="1:15" outlineLevel="0" r="836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spans="1:15" outlineLevel="0" r="837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spans="1:15" outlineLevel="0" r="838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spans="1:15" outlineLevel="0" r="839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spans="1:15" outlineLevel="0" r="840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spans="1:15" outlineLevel="0" r="841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spans="1:15" outlineLevel="0" r="842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spans="1:15" outlineLevel="0" r="843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spans="1:15" outlineLevel="0" r="844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spans="1:15" outlineLevel="0" r="84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spans="1:15" outlineLevel="0" r="846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spans="1:15" outlineLevel="0" r="847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spans="1:15" outlineLevel="0" r="848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spans="1:15" outlineLevel="0" r="849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spans="1:15" outlineLevel="0" r="850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spans="1:15" outlineLevel="0" r="851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spans="1:15" outlineLevel="0" r="852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spans="1:15" outlineLevel="0" r="853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spans="1:15" outlineLevel="0" r="854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spans="1:15" outlineLevel="0" r="85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spans="1:15" outlineLevel="0" r="856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spans="1:15" outlineLevel="0" r="857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spans="1:15" outlineLevel="0" r="858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spans="1:15" outlineLevel="0" r="859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spans="1:15" outlineLevel="0" r="860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spans="1:15" outlineLevel="0" r="861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spans="1:15" outlineLevel="0" r="862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spans="1:15" outlineLevel="0" r="863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spans="1:15" outlineLevel="0" r="864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spans="1:15" outlineLevel="0" r="86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spans="1:15" outlineLevel="0" r="866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spans="1:15" outlineLevel="0" r="867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spans="1:15" outlineLevel="0" r="868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spans="1:15" outlineLevel="0" r="869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spans="1:15" outlineLevel="0" r="870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spans="1:15" outlineLevel="0" r="871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spans="1:15" outlineLevel="0" r="872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spans="1:15" outlineLevel="0" r="873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spans="1:15" outlineLevel="0" r="874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spans="1:15" outlineLevel="0" r="87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spans="1:15" outlineLevel="0" r="876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spans="1:15" outlineLevel="0" r="877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spans="1:15" outlineLevel="0" r="878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spans="1:15" outlineLevel="0" r="879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spans="1:15" outlineLevel="0" r="880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spans="1:15" outlineLevel="0" r="881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spans="1:15" outlineLevel="0" r="882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spans="1:15" outlineLevel="0" r="883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spans="1:15" outlineLevel="0" r="884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spans="1:15" outlineLevel="0" r="88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spans="1:15" outlineLevel="0" r="886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spans="1:15" outlineLevel="0" r="887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spans="1:15" outlineLevel="0" r="888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spans="1:15" outlineLevel="0" r="889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spans="1:15" outlineLevel="0" r="890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spans="1:15" outlineLevel="0" r="891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spans="1:15" outlineLevel="0" r="892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spans="1:15" outlineLevel="0" r="893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spans="1:15" outlineLevel="0" r="894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spans="1:15" outlineLevel="0" r="89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spans="1:15" outlineLevel="0" r="896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spans="1:15" outlineLevel="0" r="897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spans="1:15" outlineLevel="0" r="898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spans="1:15" outlineLevel="0" r="899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spans="1:15" outlineLevel="0" r="900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spans="1:15" outlineLevel="0" r="901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spans="1:15" outlineLevel="0" r="902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spans="1:15" outlineLevel="0" r="903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spans="1:15" outlineLevel="0" r="904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spans="1:15" outlineLevel="0" r="90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spans="1:15" outlineLevel="0" r="906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spans="1:15" outlineLevel="0" r="907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spans="1:15" outlineLevel="0" r="908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spans="1:15" outlineLevel="0" r="909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spans="1:15" outlineLevel="0" r="910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spans="1:15" outlineLevel="0" r="911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spans="1:15" outlineLevel="0" r="912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spans="1:15" outlineLevel="0" r="913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spans="1:15" outlineLevel="0" r="914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spans="1:15" outlineLevel="0" r="91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spans="1:15" outlineLevel="0" r="916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spans="1:15" outlineLevel="0" r="917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spans="1:15" outlineLevel="0" r="918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spans="1:15" outlineLevel="0" r="919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spans="1:15" outlineLevel="0" r="920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spans="1:15" outlineLevel="0" r="921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spans="1:15" outlineLevel="0" r="922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spans="1:15" outlineLevel="0" r="923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spans="1:15" outlineLevel="0" r="924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spans="1:15" outlineLevel="0" r="92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spans="1:15" outlineLevel="0" r="926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spans="1:15" outlineLevel="0" r="927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spans="1:15" outlineLevel="0" r="928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spans="1:15" outlineLevel="0" r="929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spans="1:15" outlineLevel="0" r="930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spans="1:15" outlineLevel="0" r="931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spans="1:15" outlineLevel="0" r="932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spans="1:15" outlineLevel="0" r="933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spans="1:15" outlineLevel="0" r="934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spans="1:15" outlineLevel="0" r="93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spans="1:15" outlineLevel="0" r="936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spans="1:15" outlineLevel="0" r="937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spans="1:15" outlineLevel="0" r="938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spans="1:15" outlineLevel="0" r="939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spans="1:15" outlineLevel="0" r="940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spans="1:15" outlineLevel="0" r="941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spans="1:15" outlineLevel="0" r="942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spans="1:15" outlineLevel="0" r="943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spans="1:15" outlineLevel="0" r="944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spans="1:15" outlineLevel="0" r="94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spans="1:15" outlineLevel="0" r="946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spans="1:15" outlineLevel="0" r="947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spans="1:15" outlineLevel="0" r="948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spans="1:15" outlineLevel="0" r="949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spans="1:15" outlineLevel="0" r="950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spans="1:15" outlineLevel="0" r="951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spans="1:15" outlineLevel="0" r="952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spans="1:15" outlineLevel="0" r="953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spans="1:15" outlineLevel="0" r="954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spans="1:15" outlineLevel="0" r="95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spans="1:15" outlineLevel="0" r="956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spans="1:15" outlineLevel="0" r="957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spans="1:15" outlineLevel="0" r="958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spans="1:15" outlineLevel="0" r="959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spans="1:15" outlineLevel="0" r="960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spans="1:15" outlineLevel="0" r="961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spans="1:15" outlineLevel="0" r="962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spans="1:15" outlineLevel="0" r="963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spans="1:15" outlineLevel="0" r="964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spans="1:15" outlineLevel="0" r="96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spans="1:15" outlineLevel="0" r="966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spans="1:15" outlineLevel="0" r="967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spans="1:15" outlineLevel="0" r="968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spans="1:15" outlineLevel="0" r="969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spans="1:15" outlineLevel="0" r="970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spans="1:15" outlineLevel="0" r="971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spans="1:15" outlineLevel="0" r="972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spans="1:15" outlineLevel="0" r="973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spans="1:15" outlineLevel="0" r="974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spans="1:15" outlineLevel="0" r="97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spans="1:15" outlineLevel="0" r="976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spans="1:15" outlineLevel="0" r="977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spans="1:15" outlineLevel="0" r="978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spans="1:15" outlineLevel="0" r="979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spans="1:15" outlineLevel="0" r="980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spans="1:15" outlineLevel="0" r="981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spans="1:15" outlineLevel="0" r="982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spans="1:15" outlineLevel="0" r="983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spans="1:15" outlineLevel="0" r="984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spans="1:15" outlineLevel="0" r="98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spans="1:15" outlineLevel="0" r="986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spans="1:15" outlineLevel="0" r="987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spans="1:15" outlineLevel="0" r="988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spans="1:15" outlineLevel="0" r="989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spans="1:15" outlineLevel="0" r="990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spans="1:15" outlineLevel="0" r="991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spans="1:15" outlineLevel="0" r="992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spans="1:15" outlineLevel="0" r="993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spans="1:15" outlineLevel="0" r="994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spans="1:15" outlineLevel="0" r="99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spans="1:15" outlineLevel="0" r="996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spans="1:15" outlineLevel="0" r="997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spans="1:15" outlineLevel="0" r="998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spans="1:15" outlineLevel="0" r="999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spans="1:15" outlineLevel="0" r="1000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spans="1:15" outlineLevel="0" r="1001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spans="1:15" outlineLevel="0" r="1002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spans="1:15" outlineLevel="0" r="1003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spans="1:15" outlineLevel="0" r="1004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spans="1:15" outlineLevel="0" r="1005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spans="1:15" outlineLevel="0" r="1006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spans="1:15" outlineLevel="0" r="1007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spans="1:15" outlineLevel="0" r="1008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spans="1:15" outlineLevel="0" r="1009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spans="1:15" outlineLevel="0" r="1010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spans="1:15" outlineLevel="0" r="1011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spans="1:15" outlineLevel="0" r="1012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spans="1:15" outlineLevel="0" r="1013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spans="1:15" outlineLevel="0" r="1014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spans="1:15" outlineLevel="0" r="1015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spans="1:15" outlineLevel="0" r="1016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spans="1:15" outlineLevel="0" r="1017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spans="1:15" outlineLevel="0" r="1018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spans="1:15" outlineLevel="0" r="1019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spans="1:15" outlineLevel="0" r="1020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spans="1:15" outlineLevel="0" r="1021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spans="1:15" outlineLevel="0" r="1022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spans="1:15" outlineLevel="0" r="1023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spans="1:15" outlineLevel="0" r="1024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spans="1:15" outlineLevel="0" r="1025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spans="1:15" outlineLevel="0" r="1026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spans="1:15" outlineLevel="0" r="1027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spans="1:15" outlineLevel="0" r="1028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spans="1:15" outlineLevel="0" r="1029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spans="1:15" outlineLevel="0" r="1030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spans="1:15" outlineLevel="0" r="1031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spans="1:15" outlineLevel="0" r="1032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spans="1:15" outlineLevel="0" r="1033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spans="1:15" outlineLevel="0" r="1034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spans="1:15" outlineLevel="0" r="1035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spans="1:15" outlineLevel="0" r="1036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spans="1:15" outlineLevel="0" r="1037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spans="1:15" outlineLevel="0" r="1038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spans="1:15" outlineLevel="0" r="1039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spans="1:15" outlineLevel="0" r="1040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spans="1:15" outlineLevel="0" r="1041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spans="1:15" outlineLevel="0" r="1042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spans="1:15" outlineLevel="0" r="1043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spans="1:15" outlineLevel="0" r="1044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spans="1:15" outlineLevel="0" r="1045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spans="1:15" outlineLevel="0" r="1046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spans="1:15" outlineLevel="0" r="1047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spans="1:15" outlineLevel="0" r="1048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spans="1:15" outlineLevel="0" r="1049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spans="1:15" outlineLevel="0" r="1050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spans="1:15" outlineLevel="0" r="1051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1100-000000000000}">
  <dimension ref="A1:Q1001"/>
  <sheetViews>
    <sheetView workbookViewId="0" rightToLeft="false">
      <selection activeCell="D6" sqref="D6"/>
    </sheetView>
  </sheetViews>
  <sheetFormatPr defaultRowHeight="17"/>
  <sheetData>
    <row spans="1:17" outlineLevel="0" r="1">
      <c r="A1" s="1" t="inlineStr">
        <is>
          <t>YY</t>
        </is>
      </c>
      <c r="B1" s="1" t="inlineStr">
        <is>
          <t>FRCD</t>
        </is>
      </c>
      <c r="C1" s="1" t="inlineStr">
        <is>
          <t>IMPCD</t>
        </is>
      </c>
      <c r="D1" s="1" t="inlineStr">
        <is>
          <t>MONTH01</t>
        </is>
      </c>
      <c r="E1" s="1" t="inlineStr">
        <is>
          <t>MONTH02</t>
        </is>
      </c>
      <c r="F1" s="1" t="inlineStr">
        <is>
          <t>MONTH03</t>
        </is>
      </c>
      <c r="G1" s="1" t="inlineStr">
        <is>
          <t>MONTH04</t>
        </is>
      </c>
      <c r="H1" s="1" t="inlineStr">
        <is>
          <t>MONTH05</t>
        </is>
      </c>
      <c r="I1" s="1" t="inlineStr">
        <is>
          <t>MONTH06</t>
        </is>
      </c>
      <c r="J1" s="1" t="inlineStr">
        <is>
          <t>MONTH07</t>
        </is>
      </c>
      <c r="K1" s="1" t="inlineStr">
        <is>
          <t>MONTH08</t>
        </is>
      </c>
      <c r="L1" s="1" t="inlineStr">
        <is>
          <t>MONTH09</t>
        </is>
      </c>
      <c r="M1" s="1" t="inlineStr">
        <is>
          <t>MONTH10</t>
        </is>
      </c>
      <c r="N1" s="1" t="inlineStr">
        <is>
          <t>MONTH11</t>
        </is>
      </c>
      <c r="O1" s="1" t="inlineStr">
        <is>
          <t>MONTH12</t>
        </is>
      </c>
      <c r="P1" s="1" t="inlineStr">
        <is>
          <t>AVGSR</t>
        </is>
      </c>
    </row>
    <row spans="1:17" outlineLevel="0" r="2">
      <c r="A2" s="1" t="inlineStr">
        <is>
          <t>2026</t>
        </is>
      </c>
      <c r="B2" s="275" t="inlineStr">
        <is>
          <t>01-A</t>
        </is>
      </c>
      <c r="C2" s="1" t="inlineStr">
        <is>
          <t>1</t>
        </is>
      </c>
      <c r="D2" s="1" t="inlineStr">
        <is>
          <t>97.8</t>
        </is>
      </c>
      <c r="E2" s="1" t="inlineStr">
        <is>
          <t>98</t>
        </is>
      </c>
      <c r="F2" s="1" t="inlineStr">
        <is>
          <t>97.6</t>
        </is>
      </c>
      <c r="G2" s="1" t="inlineStr">
        <is>
          <t>97.7</t>
        </is>
      </c>
      <c r="H2" s="1" t="inlineStr">
        <is>
          <t>97.3</t>
        </is>
      </c>
      <c r="I2" s="1" t="inlineStr">
        <is>
          <t>97.2</t>
        </is>
      </c>
      <c r="J2" s="1" t="inlineStr">
        <is>
          <t>96.5</t>
        </is>
      </c>
      <c r="K2" s="1" t="inlineStr">
        <is>
          <t>97</t>
        </is>
      </c>
      <c r="L2" s="1" t="inlineStr">
        <is>
          <t>96.5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97.3</t>
        </is>
      </c>
      <c r="Q2" s="465">
        <v>43045.2298830903</v>
      </c>
    </row>
    <row spans="1:17" outlineLevel="0" r="3">
      <c r="A3" s="1" t="inlineStr">
        <is>
          <t>2026</t>
        </is>
      </c>
      <c r="B3" s="275" t="inlineStr">
        <is>
          <t>01-A</t>
        </is>
      </c>
      <c r="C3" s="1" t="inlineStr">
        <is>
          <t>3</t>
        </is>
      </c>
      <c r="D3" s="1" t="inlineStr">
        <is>
          <t>98.2</t>
        </is>
      </c>
      <c r="E3" s="1" t="inlineStr">
        <is>
          <t>98.7</t>
        </is>
      </c>
      <c r="F3" s="1" t="inlineStr">
        <is>
          <t>98.3</t>
        </is>
      </c>
      <c r="G3" s="1" t="inlineStr">
        <is>
          <t>98.2</t>
        </is>
      </c>
      <c r="H3" s="1" t="inlineStr">
        <is>
          <t>97.8</t>
        </is>
      </c>
      <c r="I3" s="1" t="inlineStr">
        <is>
          <t>97.6</t>
        </is>
      </c>
      <c r="J3" s="1" t="inlineStr">
        <is>
          <t>98</t>
        </is>
      </c>
      <c r="K3" s="1" t="inlineStr">
        <is>
          <t>98</t>
        </is>
      </c>
      <c r="L3" s="1" t="inlineStr">
        <is>
          <t>98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0</t>
        </is>
      </c>
      <c r="P3" s="1" t="inlineStr">
        <is>
          <t>98.1</t>
        </is>
      </c>
      <c r="Q3" s="465">
        <v>43045.2298830903</v>
      </c>
    </row>
    <row spans="1:17" outlineLevel="0" r="4">
      <c r="A4" s="1" t="inlineStr">
        <is>
          <t>2026</t>
        </is>
      </c>
      <c r="B4" s="275" t="inlineStr">
        <is>
          <t>01-A</t>
        </is>
      </c>
      <c r="C4" s="1" t="inlineStr">
        <is>
          <t>4</t>
        </is>
      </c>
      <c r="D4" s="1" t="inlineStr">
        <is>
          <t>98.9</t>
        </is>
      </c>
      <c r="E4" s="1" t="inlineStr">
        <is>
          <t>99.4</t>
        </is>
      </c>
      <c r="F4" s="1" t="inlineStr">
        <is>
          <t>98.9</t>
        </is>
      </c>
      <c r="G4" s="1" t="inlineStr">
        <is>
          <t>98.8</t>
        </is>
      </c>
      <c r="H4" s="1" t="inlineStr">
        <is>
          <t>99.1</t>
        </is>
      </c>
      <c r="I4" s="1" t="inlineStr">
        <is>
          <t>98.9</t>
        </is>
      </c>
      <c r="J4" s="1" t="inlineStr">
        <is>
          <t>98.9</t>
        </is>
      </c>
      <c r="K4" s="1" t="inlineStr">
        <is>
          <t>99.2</t>
        </is>
      </c>
      <c r="L4" s="1" t="inlineStr">
        <is>
          <t>99.3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0</t>
        </is>
      </c>
      <c r="P4" s="1" t="inlineStr">
        <is>
          <t>99</t>
        </is>
      </c>
      <c r="Q4" s="465">
        <v>43045.2298830903</v>
      </c>
    </row>
    <row spans="1:17" outlineLevel="0" r="5">
      <c r="A5" s="1" t="inlineStr">
        <is>
          <t>2026</t>
        </is>
      </c>
      <c r="B5" s="275" t="inlineStr">
        <is>
          <t>01-A</t>
        </is>
      </c>
      <c r="C5" s="1" t="inlineStr">
        <is>
          <t>ALL</t>
        </is>
      </c>
      <c r="D5" s="1" t="inlineStr">
        <is>
          <t>98.1</t>
        </is>
      </c>
      <c r="E5" s="1" t="inlineStr">
        <is>
          <t>98.5</t>
        </is>
      </c>
      <c r="F5" s="1" t="inlineStr">
        <is>
          <t>98.1</t>
        </is>
      </c>
      <c r="G5" s="1" t="inlineStr">
        <is>
          <t>98.1</t>
        </is>
      </c>
      <c r="H5" s="1" t="inlineStr">
        <is>
          <t>97.8</t>
        </is>
      </c>
      <c r="I5" s="1" t="inlineStr">
        <is>
          <t>97.6</t>
        </is>
      </c>
      <c r="J5" s="1" t="inlineStr">
        <is>
          <t>97.5</t>
        </is>
      </c>
      <c r="K5" s="1" t="inlineStr">
        <is>
          <t>97.7</t>
        </is>
      </c>
      <c r="L5" s="1" t="inlineStr">
        <is>
          <t>97.5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0</t>
        </is>
      </c>
      <c r="P5" s="1" t="inlineStr">
        <is>
          <t>97.9</t>
        </is>
      </c>
      <c r="Q5" s="465">
        <v>43045.2298830903</v>
      </c>
    </row>
    <row spans="1:17" outlineLevel="0" r="6">
      <c r="A6" s="1" t="inlineStr">
        <is>
          <t>2026</t>
        </is>
      </c>
      <c r="B6" s="275" t="inlineStr">
        <is>
          <t>02-D</t>
        </is>
      </c>
      <c r="C6" s="1" t="inlineStr">
        <is>
          <t>ALL</t>
        </is>
      </c>
      <c r="D6" s="1" t="inlineStr">
        <is>
          <t>97.2</t>
        </is>
      </c>
      <c r="E6" s="1" t="inlineStr">
        <is>
          <t>97.8</t>
        </is>
      </c>
      <c r="F6" s="1" t="inlineStr">
        <is>
          <t>97.9</t>
        </is>
      </c>
      <c r="G6" s="1" t="inlineStr">
        <is>
          <t>98.6</t>
        </is>
      </c>
      <c r="H6" s="1" t="inlineStr">
        <is>
          <t>98.6</t>
        </is>
      </c>
      <c r="I6" s="1" t="inlineStr">
        <is>
          <t>98.1</t>
        </is>
      </c>
      <c r="J6" s="1" t="inlineStr">
        <is>
          <t>98.1</t>
        </is>
      </c>
      <c r="K6" s="1" t="inlineStr">
        <is>
          <t>98.5</t>
        </is>
      </c>
      <c r="L6" s="1" t="inlineStr">
        <is>
          <t>98.2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0</t>
        </is>
      </c>
      <c r="P6" s="1" t="inlineStr">
        <is>
          <t>98.1</t>
        </is>
      </c>
      <c r="Q6" s="465">
        <v>43045.2298830903</v>
      </c>
    </row>
    <row spans="1:17" outlineLevel="0" r="7">
      <c r="A7" s="1" t="inlineStr">
        <is>
          <t>2026</t>
        </is>
      </c>
      <c r="B7" s="275" t="inlineStr">
        <is>
          <t>03-J</t>
        </is>
      </c>
      <c r="C7" s="1" t="inlineStr">
        <is>
          <t>ALL</t>
        </is>
      </c>
      <c r="D7" s="1" t="inlineStr">
        <is>
          <t>99.9</t>
        </is>
      </c>
      <c r="E7" s="1" t="inlineStr">
        <is>
          <t>100</t>
        </is>
      </c>
      <c r="F7" s="1" t="inlineStr">
        <is>
          <t>99.9</t>
        </is>
      </c>
      <c r="G7" s="1" t="inlineStr">
        <is>
          <t>99.8</t>
        </is>
      </c>
      <c r="H7" s="1" t="inlineStr">
        <is>
          <t>99.8</t>
        </is>
      </c>
      <c r="I7" s="1" t="inlineStr">
        <is>
          <t>99.8</t>
        </is>
      </c>
      <c r="J7" s="1" t="inlineStr">
        <is>
          <t>99.9</t>
        </is>
      </c>
      <c r="K7" s="1" t="inlineStr">
        <is>
          <t>97.9</t>
        </is>
      </c>
      <c r="L7" s="1" t="inlineStr">
        <is>
          <t>99.9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0</t>
        </is>
      </c>
      <c r="P7" s="1" t="inlineStr">
        <is>
          <t>99.6</t>
        </is>
      </c>
      <c r="Q7" s="465">
        <v>43045.2298830903</v>
      </c>
    </row>
    <row spans="1:17" outlineLevel="0" r="8">
      <c r="A8" s="1" t="inlineStr">
        <is>
          <t>2026</t>
        </is>
      </c>
      <c r="B8" s="275" t="inlineStr">
        <is>
          <t>04-O</t>
        </is>
      </c>
      <c r="C8" s="1" t="inlineStr">
        <is>
          <t>ALL</t>
        </is>
      </c>
      <c r="D8" s="1" t="inlineStr">
        <is>
          <t>91.1</t>
        </is>
      </c>
      <c r="E8" s="1" t="inlineStr">
        <is>
          <t>94.4</t>
        </is>
      </c>
      <c r="F8" s="1" t="inlineStr">
        <is>
          <t>86</t>
        </is>
      </c>
      <c r="G8" s="1" t="inlineStr">
        <is>
          <t>84.2</t>
        </is>
      </c>
      <c r="H8" s="1" t="inlineStr">
        <is>
          <t>70.7</t>
        </is>
      </c>
      <c r="I8" s="1" t="inlineStr">
        <is>
          <t>84.4</t>
        </is>
      </c>
      <c r="J8" s="1" t="inlineStr">
        <is>
          <t>70.4</t>
        </is>
      </c>
      <c r="K8" s="1" t="inlineStr">
        <is>
          <t>54.5</t>
        </is>
      </c>
      <c r="L8" s="1" t="inlineStr">
        <is>
          <t>56.3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0</t>
        </is>
      </c>
      <c r="P8" s="1" t="inlineStr">
        <is>
          <t>76.9</t>
        </is>
      </c>
      <c r="Q8" s="465">
        <v>43045.2298830903</v>
      </c>
    </row>
    <row spans="1:17" outlineLevel="0" r="9">
      <c r="A9" s="1" t="inlineStr">
        <is>
          <t>2026</t>
        </is>
      </c>
      <c r="B9" s="275" t="inlineStr">
        <is>
          <t>05-N</t>
        </is>
      </c>
      <c r="C9" s="1" t="inlineStr">
        <is>
          <t>ALL</t>
        </is>
      </c>
      <c r="D9" s="1" t="inlineStr">
        <is>
          <t>99.4</t>
        </is>
      </c>
      <c r="E9" s="1" t="inlineStr">
        <is>
          <t>99.3</t>
        </is>
      </c>
      <c r="F9" s="1" t="inlineStr">
        <is>
          <t>99.5</t>
        </is>
      </c>
      <c r="G9" s="1" t="inlineStr">
        <is>
          <t>99.4</t>
        </is>
      </c>
      <c r="H9" s="1" t="inlineStr">
        <is>
          <t>99.6</t>
        </is>
      </c>
      <c r="I9" s="1" t="inlineStr">
        <is>
          <t>99</t>
        </is>
      </c>
      <c r="J9" s="1" t="inlineStr">
        <is>
          <t>99.5</t>
        </is>
      </c>
      <c r="K9" s="1" t="inlineStr">
        <is>
          <t>99.3</t>
        </is>
      </c>
      <c r="L9" s="1" t="inlineStr">
        <is>
          <t>99.4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0</t>
        </is>
      </c>
      <c r="P9" s="1" t="inlineStr">
        <is>
          <t>99.4</t>
        </is>
      </c>
      <c r="Q9" s="465">
        <v>43045.2298830903</v>
      </c>
    </row>
    <row spans="1:17" outlineLevel="0" r="10">
      <c r="A10" s="1" t="inlineStr">
        <is>
          <t>2026</t>
        </is>
      </c>
      <c r="B10" s="275" t="inlineStr">
        <is>
          <t>06-C</t>
        </is>
      </c>
      <c r="C10" s="1" t="inlineStr">
        <is>
          <t>ALL</t>
        </is>
      </c>
      <c r="D10" s="1" t="inlineStr">
        <is>
          <t>0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</t>
        </is>
      </c>
      <c r="H10" s="1" t="inlineStr">
        <is>
          <t>0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0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0</t>
        </is>
      </c>
      <c r="P10" s="1" t="inlineStr">
        <is>
          <t>0</t>
        </is>
      </c>
      <c r="Q10" s="465">
        <v>43045.2298830903</v>
      </c>
    </row>
    <row spans="1:17" outlineLevel="0" r="11">
      <c r="A11" s="1" t="inlineStr">
        <is>
          <t>2026</t>
        </is>
      </c>
      <c r="B11" s="275" t="inlineStr">
        <is>
          <t>07-H</t>
        </is>
      </c>
      <c r="C11" s="1" t="inlineStr">
        <is>
          <t>ALL</t>
        </is>
      </c>
      <c r="D11" s="1" t="inlineStr">
        <is>
          <t>97.7</t>
        </is>
      </c>
      <c r="E11" s="1" t="inlineStr">
        <is>
          <t>98.6</t>
        </is>
      </c>
      <c r="F11" s="1" t="inlineStr">
        <is>
          <t>98.8</t>
        </is>
      </c>
      <c r="G11" s="1" t="inlineStr">
        <is>
          <t>99.2</t>
        </is>
      </c>
      <c r="H11" s="1" t="inlineStr">
        <is>
          <t>99.2</t>
        </is>
      </c>
      <c r="I11" s="1" t="inlineStr">
        <is>
          <t>98.8</t>
        </is>
      </c>
      <c r="J11" s="1" t="inlineStr">
        <is>
          <t>99.4</t>
        </is>
      </c>
      <c r="K11" s="1" t="inlineStr">
        <is>
          <t>99.6</t>
        </is>
      </c>
      <c r="L11" s="1" t="inlineStr">
        <is>
          <t>99.3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0</t>
        </is>
      </c>
      <c r="P11" s="1" t="inlineStr">
        <is>
          <t>99</t>
        </is>
      </c>
      <c r="Q11" s="465">
        <v>43045.2298830903</v>
      </c>
    </row>
    <row spans="1:17" outlineLevel="0" r="12">
      <c r="A12" s="1" t="inlineStr">
        <is>
          <t>2026</t>
        </is>
      </c>
      <c r="B12" s="275" t="inlineStr">
        <is>
          <t>10-M</t>
        </is>
      </c>
      <c r="C12" s="1" t="inlineStr">
        <is>
          <t>ALL</t>
        </is>
      </c>
      <c r="D12" s="1" t="inlineStr">
        <is>
          <t>99.6</t>
        </is>
      </c>
      <c r="E12" s="1" t="inlineStr">
        <is>
          <t>100</t>
        </is>
      </c>
      <c r="F12" s="1" t="inlineStr">
        <is>
          <t>100</t>
        </is>
      </c>
      <c r="G12" s="1" t="inlineStr">
        <is>
          <t>99.7</t>
        </is>
      </c>
      <c r="H12" s="1" t="inlineStr">
        <is>
          <t>100</t>
        </is>
      </c>
      <c r="I12" s="1" t="inlineStr">
        <is>
          <t>100</t>
        </is>
      </c>
      <c r="J12" s="1" t="inlineStr">
        <is>
          <t>100</t>
        </is>
      </c>
      <c r="K12" s="1" t="inlineStr">
        <is>
          <t>98.3</t>
        </is>
      </c>
      <c r="L12" s="1" t="inlineStr">
        <is>
          <t>99.1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0</t>
        </is>
      </c>
      <c r="P12" s="1" t="inlineStr">
        <is>
          <t>99.6</t>
        </is>
      </c>
      <c r="Q12" s="465">
        <v>43045.2298830903</v>
      </c>
    </row>
    <row spans="1:17" outlineLevel="0" r="13">
      <c r="A13" s="1" t="inlineStr">
        <is>
          <t>2026</t>
        </is>
      </c>
      <c r="B13" s="275" t="inlineStr">
        <is>
          <t>11-S</t>
        </is>
      </c>
      <c r="C13" s="1" t="inlineStr">
        <is>
          <t>ALL</t>
        </is>
      </c>
      <c r="D13" s="1" t="inlineStr">
        <is>
          <t>94.9</t>
        </is>
      </c>
      <c r="E13" s="1" t="inlineStr">
        <is>
          <t>95.7</t>
        </is>
      </c>
      <c r="F13" s="1" t="inlineStr">
        <is>
          <t>96.7</t>
        </is>
      </c>
      <c r="G13" s="1" t="inlineStr">
        <is>
          <t>94.6</t>
        </is>
      </c>
      <c r="H13" s="1" t="inlineStr">
        <is>
          <t>83.5</t>
        </is>
      </c>
      <c r="I13" s="1" t="inlineStr">
        <is>
          <t>56.8</t>
        </is>
      </c>
      <c r="J13" s="1" t="inlineStr">
        <is>
          <t>52.1</t>
        </is>
      </c>
      <c r="K13" s="1" t="inlineStr">
        <is>
          <t>53.4</t>
        </is>
      </c>
      <c r="L13" s="1" t="inlineStr">
        <is>
          <t>56.3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0</t>
        </is>
      </c>
      <c r="P13" s="1" t="inlineStr">
        <is>
          <t>76</t>
        </is>
      </c>
      <c r="Q13" s="465">
        <v>43045.2298830903</v>
      </c>
    </row>
    <row spans="1:17" outlineLevel="0" r="14">
      <c r="A14" s="1" t="inlineStr">
        <is>
          <t>2026</t>
        </is>
      </c>
      <c r="B14" s="275" t="inlineStr">
        <is>
          <t>12-V</t>
        </is>
      </c>
      <c r="C14" s="1" t="inlineStr">
        <is>
          <t>ALL</t>
        </is>
      </c>
      <c r="D14" s="1" t="inlineStr">
        <is>
          <t>97.5</t>
        </is>
      </c>
      <c r="E14" s="1" t="inlineStr">
        <is>
          <t>96.7</t>
        </is>
      </c>
      <c r="F14" s="1" t="inlineStr">
        <is>
          <t>96.4</t>
        </is>
      </c>
      <c r="G14" s="1" t="inlineStr">
        <is>
          <t>97.9</t>
        </is>
      </c>
      <c r="H14" s="1" t="inlineStr">
        <is>
          <t>97.6</t>
        </is>
      </c>
      <c r="I14" s="1" t="inlineStr">
        <is>
          <t>97.4</t>
        </is>
      </c>
      <c r="J14" s="1" t="inlineStr">
        <is>
          <t>97.5</t>
        </is>
      </c>
      <c r="K14" s="1" t="inlineStr">
        <is>
          <t>97.3</t>
        </is>
      </c>
      <c r="L14" s="1" t="inlineStr">
        <is>
          <t>98</t>
        </is>
      </c>
      <c r="M14" s="1" t="inlineStr">
        <is>
          <t>0</t>
        </is>
      </c>
      <c r="N14" s="1" t="inlineStr">
        <is>
          <t>0</t>
        </is>
      </c>
      <c r="O14" s="1" t="inlineStr">
        <is>
          <t>0</t>
        </is>
      </c>
      <c r="P14" s="1" t="inlineStr">
        <is>
          <t>97.4</t>
        </is>
      </c>
      <c r="Q14" s="465">
        <v>43045.2298830903</v>
      </c>
    </row>
    <row spans="1:17" outlineLevel="0" r="15">
      <c r="A15" s="1" t="inlineStr">
        <is>
          <t>2026</t>
        </is>
      </c>
      <c r="B15" s="275" t="inlineStr">
        <is>
          <t>13-T</t>
        </is>
      </c>
      <c r="C15" s="1" t="inlineStr">
        <is>
          <t>ALL</t>
        </is>
      </c>
      <c r="D15" s="1" t="inlineStr">
        <is>
          <t>96</t>
        </is>
      </c>
      <c r="E15" s="1" t="inlineStr">
        <is>
          <t>92.9</t>
        </is>
      </c>
      <c r="F15" s="1" t="inlineStr">
        <is>
          <t>94.1</t>
        </is>
      </c>
      <c r="G15" s="1" t="inlineStr">
        <is>
          <t>94.2</t>
        </is>
      </c>
      <c r="H15" s="1" t="inlineStr">
        <is>
          <t>93.9</t>
        </is>
      </c>
      <c r="I15" s="1" t="inlineStr">
        <is>
          <t>97.6</t>
        </is>
      </c>
      <c r="J15" s="1" t="inlineStr">
        <is>
          <t>93.1</t>
        </is>
      </c>
      <c r="K15" s="1" t="inlineStr">
        <is>
          <t>97.5</t>
        </is>
      </c>
      <c r="L15" s="1" t="inlineStr">
        <is>
          <t>96.7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0</t>
        </is>
      </c>
      <c r="P15" s="1" t="inlineStr">
        <is>
          <t>95.1</t>
        </is>
      </c>
      <c r="Q15" s="465">
        <v>43045.2298830903</v>
      </c>
    </row>
    <row spans="1:17" outlineLevel="0" r="16">
      <c r="A16" s="1" t="inlineStr">
        <is>
          <t>2026</t>
        </is>
      </c>
      <c r="B16" s="275" t="inlineStr">
        <is>
          <t>14-P</t>
        </is>
      </c>
      <c r="C16" s="1" t="inlineStr">
        <is>
          <t>ALL</t>
        </is>
      </c>
      <c r="D16" s="1" t="inlineStr">
        <is>
          <t>0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</t>
        </is>
      </c>
      <c r="H16" s="1" t="inlineStr">
        <is>
          <t>0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0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0</t>
        </is>
      </c>
      <c r="P16" s="1" t="inlineStr">
        <is>
          <t>0</t>
        </is>
      </c>
      <c r="Q16" s="465">
        <v>43045.2298830903</v>
      </c>
    </row>
    <row spans="1:17" outlineLevel="0" r="17">
      <c r="A17" s="1" t="inlineStr">
        <is>
          <t>2026</t>
        </is>
      </c>
      <c r="B17" s="275" t="inlineStr">
        <is>
          <t>16-2</t>
        </is>
      </c>
      <c r="C17" s="1" t="inlineStr">
        <is>
          <t>ALL</t>
        </is>
      </c>
      <c r="D17" s="1" t="inlineStr">
        <is>
          <t>0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0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465">
        <v>43045.2298830903</v>
      </c>
    </row>
    <row spans="1:17" outlineLevel="0" r="18">
      <c r="A18" s="1" t="inlineStr">
        <is>
          <t>2026</t>
        </is>
      </c>
      <c r="B18" s="275" t="inlineStr">
        <is>
          <t>17-3</t>
        </is>
      </c>
      <c r="C18" s="1" t="inlineStr">
        <is>
          <t>ALL</t>
        </is>
      </c>
      <c r="D18" s="1" t="inlineStr">
        <is>
          <t>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0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465">
        <v>43045.2298830903</v>
      </c>
    </row>
    <row spans="1:17" outlineLevel="0" r="19">
      <c r="A19" s="1" t="inlineStr">
        <is>
          <t>2026</t>
        </is>
      </c>
      <c r="B19" s="275" t="inlineStr">
        <is>
          <t>18-4</t>
        </is>
      </c>
      <c r="C19" s="1" t="inlineStr">
        <is>
          <t>ALL</t>
        </is>
      </c>
      <c r="D19" s="1" t="inlineStr">
        <is>
          <t>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</t>
        </is>
      </c>
      <c r="P19" s="1" t="inlineStr">
        <is>
          <t>0</t>
        </is>
      </c>
      <c r="Q19" s="465">
        <v>43045.2298830903</v>
      </c>
    </row>
    <row spans="1:17" outlineLevel="0" r="20">
      <c r="A20" s="1" t="inlineStr">
        <is>
          <t>2026</t>
        </is>
      </c>
      <c r="B20" s="275" t="inlineStr">
        <is>
          <t>19-5</t>
        </is>
      </c>
      <c r="C20" s="1" t="inlineStr">
        <is>
          <t>ALL</t>
        </is>
      </c>
      <c r="D20" s="1" t="inlineStr">
        <is>
          <t>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0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465">
        <v>43045.2298830903</v>
      </c>
    </row>
    <row spans="1:17" outlineLevel="0" r="21">
      <c r="A21" s="1" t="inlineStr">
        <is>
          <t>2026</t>
        </is>
      </c>
      <c r="B21" s="275" t="inlineStr">
        <is>
          <t>20-7</t>
        </is>
      </c>
      <c r="C21" s="1" t="inlineStr">
        <is>
          <t>ALL</t>
        </is>
      </c>
      <c r="D21" s="1" t="inlineStr">
        <is>
          <t>0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</t>
        </is>
      </c>
      <c r="H21" s="1" t="inlineStr">
        <is>
          <t>0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0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465">
        <v>43045.2298830903</v>
      </c>
    </row>
    <row spans="1:17" outlineLevel="0" r="22">
      <c r="A22" s="1" t="inlineStr">
        <is>
          <t>2026</t>
        </is>
      </c>
      <c r="B22" s="275" t="inlineStr">
        <is>
          <t>21-6</t>
        </is>
      </c>
      <c r="C22" s="1" t="inlineStr">
        <is>
          <t>ALL</t>
        </is>
      </c>
      <c r="D22" s="1" t="inlineStr">
        <is>
          <t>94.3</t>
        </is>
      </c>
      <c r="E22" s="1" t="inlineStr">
        <is>
          <t>95.1</t>
        </is>
      </c>
      <c r="F22" s="1" t="inlineStr">
        <is>
          <t>93.2</t>
        </is>
      </c>
      <c r="G22" s="1" t="inlineStr">
        <is>
          <t>94.4</t>
        </is>
      </c>
      <c r="H22" s="1" t="inlineStr">
        <is>
          <t>93.1</t>
        </is>
      </c>
      <c r="I22" s="1" t="inlineStr">
        <is>
          <t>91.2</t>
        </is>
      </c>
      <c r="J22" s="1" t="inlineStr">
        <is>
          <t>91.8</t>
        </is>
      </c>
      <c r="K22" s="1" t="inlineStr">
        <is>
          <t>92.9</t>
        </is>
      </c>
      <c r="L22" s="1" t="inlineStr">
        <is>
          <t>95.3</t>
        </is>
      </c>
      <c r="M22" s="1" t="inlineStr">
        <is>
          <t>0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93.5</t>
        </is>
      </c>
    </row>
    <row spans="1:17" outlineLevel="0" r="23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spans="1:17" outlineLevel="0" r="24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spans="1:17" outlineLevel="0" r="25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spans="1:17" outlineLevel="0" r="26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spans="1:17" outlineLevel="0" r="2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spans="1:17" outlineLevel="0" r="28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spans="1:17" outlineLevel="0" r="29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spans="1:17" outlineLevel="0" r="30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spans="1:17" outlineLevel="0" r="31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spans="1:17" outlineLevel="0" r="32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spans="1:16" outlineLevel="0" r="33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spans="1:16" outlineLevel="0" r="34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spans="1:16" outlineLevel="0" r="3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spans="1:16" outlineLevel="0" r="36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spans="1:16" outlineLevel="0" r="37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spans="1:16" outlineLevel="0" r="38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spans="1:16" outlineLevel="0" r="39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spans="1:16" outlineLevel="0" r="40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spans="1:16" outlineLevel="0" r="41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spans="1:16" outlineLevel="0" r="42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spans="1:16" outlineLevel="0" r="43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spans="1:16" outlineLevel="0" r="44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spans="1:16" outlineLevel="0" r="4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spans="1:16" outlineLevel="0" r="46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spans="1:16" outlineLevel="0" r="47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spans="1:16" outlineLevel="0" r="48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spans="1:16" outlineLevel="0" r="49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spans="1:16" outlineLevel="0" r="50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spans="1:16" outlineLevel="0" r="51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spans="1:16" outlineLevel="0" r="52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spans="1:16" outlineLevel="0" r="53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spans="1:16" outlineLevel="0" r="54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spans="1:16" outlineLevel="0" r="5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spans="1:16" outlineLevel="0" r="56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spans="1:16" outlineLevel="0" r="57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spans="1:16" outlineLevel="0" r="58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spans="1:16" outlineLevel="0" r="59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spans="1:16" outlineLevel="0" r="60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spans="1:16" outlineLevel="0" r="61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spans="1:16" outlineLevel="0" r="62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spans="1:16" outlineLevel="0" r="63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spans="1:16" outlineLevel="0" r="64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spans="1:16" outlineLevel="0" r="6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spans="1:16" outlineLevel="0" r="66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spans="1:16" outlineLevel="0" r="67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spans="1:16" outlineLevel="0" r="68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spans="1:16" outlineLevel="0" r="69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spans="1:16" outlineLevel="0" r="70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spans="1:16" outlineLevel="0" r="71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spans="1:16" outlineLevel="0" r="72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spans="1:16" outlineLevel="0" r="73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spans="1:16" outlineLevel="0" r="74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spans="1:16" outlineLevel="0" r="7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spans="1:16" outlineLevel="0" r="76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spans="1:16" outlineLevel="0" r="77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spans="1:16" outlineLevel="0" r="78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spans="1:16" outlineLevel="0" r="79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spans="1:16" outlineLevel="0" r="80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spans="1:16" outlineLevel="0" r="81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spans="1:16" outlineLevel="0" r="82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spans="1:16" outlineLevel="0" r="83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spans="1:16" outlineLevel="0" r="84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spans="1:16" outlineLevel="0" r="8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spans="1:16" outlineLevel="0" r="86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spans="1:16" outlineLevel="0" r="87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spans="1:16" outlineLevel="0" r="88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spans="1:16" outlineLevel="0" r="89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spans="1:16" outlineLevel="0" r="90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spans="1:16" outlineLevel="0" r="91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spans="1:16" outlineLevel="0" r="92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spans="1:16" outlineLevel="0" r="93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spans="1:16" outlineLevel="0" r="94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spans="1:16" outlineLevel="0" r="9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spans="1:16" outlineLevel="0" r="96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spans="1:16" outlineLevel="0" r="97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spans="1:16" outlineLevel="0" r="98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spans="1:16" outlineLevel="0" r="99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spans="1:16" outlineLevel="0" r="100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spans="1:16" outlineLevel="0" r="101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spans="1:16" outlineLevel="0" r="102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spans="1:16" outlineLevel="0" r="103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spans="1:16" outlineLevel="0" r="104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spans="1:16" outlineLevel="0" r="10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spans="1:16" outlineLevel="0" r="106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spans="1:16" outlineLevel="0" r="107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spans="1:16" outlineLevel="0" r="108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spans="1:16" outlineLevel="0" r="109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spans="1:16" outlineLevel="0" r="110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spans="1:16" outlineLevel="0" r="111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spans="1:16" outlineLevel="0" r="112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spans="1:16" outlineLevel="0" r="113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spans="1:16" outlineLevel="0" r="114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spans="1:16" outlineLevel="0" r="11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spans="1:16" outlineLevel="0" r="116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spans="1:16" outlineLevel="0" r="117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spans="1:16" outlineLevel="0" r="118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spans="1:16" outlineLevel="0" r="119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spans="1:16" outlineLevel="0" r="120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spans="1:16" outlineLevel="0" r="121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spans="1:16" outlineLevel="0" r="122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spans="1:16" outlineLevel="0" r="123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spans="1:16" outlineLevel="0" r="124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spans="1:16" outlineLevel="0" r="12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spans="1:16" outlineLevel="0" r="126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spans="1:16" outlineLevel="0" r="127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spans="1:16" outlineLevel="0" r="128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spans="1:16" outlineLevel="0" r="129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spans="1:16" outlineLevel="0" r="130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spans="1:16" outlineLevel="0" r="131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spans="1:16" outlineLevel="0" r="132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spans="1:16" outlineLevel="0" r="133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spans="1:16" outlineLevel="0" r="134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spans="1:16" outlineLevel="0" r="13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spans="1:16" outlineLevel="0" r="136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spans="1:16" outlineLevel="0" r="137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spans="1:16" outlineLevel="0" r="138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spans="1:16" outlineLevel="0" r="139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spans="1:16" outlineLevel="0" r="140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spans="1:16" outlineLevel="0" r="141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spans="1:16" outlineLevel="0" r="142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spans="1:16" outlineLevel="0" r="143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spans="1:16" outlineLevel="0" r="144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spans="1:16" outlineLevel="0" r="14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spans="1:16" outlineLevel="0" r="146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spans="1:16" outlineLevel="0" r="147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spans="1:16" outlineLevel="0" r="148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spans="1:16" outlineLevel="0" r="149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spans="1:16" outlineLevel="0" r="150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spans="1:16" outlineLevel="0" r="151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spans="1:16" outlineLevel="0" r="152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spans="1:16" outlineLevel="0" r="153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spans="1:16" outlineLevel="0" r="154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spans="1:16" outlineLevel="0" r="15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spans="1:16" outlineLevel="0" r="156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spans="1:16" outlineLevel="0" r="157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spans="1:16" outlineLevel="0" r="158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spans="1:16" outlineLevel="0" r="159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spans="1:16" outlineLevel="0" r="160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spans="1:16" outlineLevel="0" r="161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spans="1:16" outlineLevel="0" r="162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spans="1:16" outlineLevel="0" r="163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spans="1:16" outlineLevel="0" r="164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spans="1:16" outlineLevel="0" r="16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spans="1:16" outlineLevel="0" r="166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spans="1:16" outlineLevel="0" r="167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spans="1:16" outlineLevel="0" r="168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spans="1:16" outlineLevel="0" r="169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spans="1:16" outlineLevel="0" r="170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spans="1:16" outlineLevel="0" r="171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spans="1:16" outlineLevel="0" r="172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spans="1:16" outlineLevel="0" r="173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spans="1:16" outlineLevel="0" r="174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spans="1:16" outlineLevel="0" r="17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spans="1:16" outlineLevel="0" r="176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spans="1:16" outlineLevel="0" r="177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spans="1:16" outlineLevel="0" r="178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spans="1:16" outlineLevel="0" r="179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spans="1:16" outlineLevel="0" r="180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spans="1:16" outlineLevel="0" r="181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spans="1:16" outlineLevel="0" r="182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spans="1:16" outlineLevel="0" r="183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spans="1:16" outlineLevel="0" r="184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spans="1:16" outlineLevel="0" r="18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spans="1:16" outlineLevel="0" r="186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spans="1:16" outlineLevel="0" r="187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spans="1:16" outlineLevel="0" r="188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spans="1:16" outlineLevel="0" r="189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spans="1:16" outlineLevel="0" r="190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spans="1:16" outlineLevel="0" r="191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spans="1:16" outlineLevel="0" r="192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spans="1:16" outlineLevel="0" r="193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spans="1:16" outlineLevel="0" r="194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spans="1:16" outlineLevel="0" r="19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spans="1:16" outlineLevel="0" r="196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spans="1:16" outlineLevel="0" r="197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spans="1:16" outlineLevel="0" r="198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spans="1:16" outlineLevel="0" r="199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spans="1:16" outlineLevel="0" r="200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spans="1:16" outlineLevel="0" r="201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spans="1:16" outlineLevel="0" r="202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spans="1:16" outlineLevel="0" r="203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spans="1:16" outlineLevel="0" r="204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spans="1:16" outlineLevel="0" r="20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spans="1:16" outlineLevel="0" r="206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spans="1:16" outlineLevel="0" r="207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spans="1:16" outlineLevel="0" r="208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spans="1:16" outlineLevel="0" r="209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spans="1:16" outlineLevel="0" r="210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spans="1:16" outlineLevel="0" r="211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spans="1:16" outlineLevel="0" r="212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spans="1:16" outlineLevel="0" r="213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spans="1:16" outlineLevel="0" r="214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spans="1:16" outlineLevel="0" r="21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spans="1:16" outlineLevel="0" r="216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spans="1:16" outlineLevel="0" r="217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spans="1:16" outlineLevel="0" r="218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spans="1:16" outlineLevel="0" r="219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spans="1:16" outlineLevel="0" r="220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spans="1:16" outlineLevel="0" r="221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spans="1:16" outlineLevel="0" r="222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spans="1:16" outlineLevel="0" r="223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spans="1:16" outlineLevel="0" r="224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spans="1:16" outlineLevel="0" r="22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spans="1:16" outlineLevel="0" r="226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spans="1:16" outlineLevel="0" r="227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spans="1:16" outlineLevel="0" r="228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spans="1:16" outlineLevel="0" r="229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spans="1:16" outlineLevel="0" r="230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spans="1:16" outlineLevel="0" r="231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spans="1:16" outlineLevel="0" r="232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spans="1:16" outlineLevel="0" r="233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spans="1:16" outlineLevel="0" r="234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spans="1:16" outlineLevel="0" r="23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spans="1:16" outlineLevel="0" r="236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spans="1:16" outlineLevel="0" r="237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spans="1:16" outlineLevel="0" r="238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spans="1:16" outlineLevel="0" r="239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spans="1:16" outlineLevel="0" r="240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spans="1:16" outlineLevel="0" r="241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spans="1:16" outlineLevel="0" r="242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spans="1:16" outlineLevel="0" r="243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spans="1:16" outlineLevel="0" r="244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spans="1:16" outlineLevel="0" r="24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spans="1:16" outlineLevel="0" r="246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spans="1:16" outlineLevel="0" r="247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spans="1:16" outlineLevel="0" r="248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spans="1:16" outlineLevel="0" r="249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spans="1:16" outlineLevel="0" r="250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spans="1:16" outlineLevel="0" r="251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spans="1:16" outlineLevel="0" r="252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spans="1:16" outlineLevel="0" r="253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spans="1:16" outlineLevel="0" r="254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spans="1:16" outlineLevel="0" r="25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spans="1:16" outlineLevel="0" r="256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spans="1:16" outlineLevel="0" r="257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spans="1:16" outlineLevel="0" r="258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spans="1:16" outlineLevel="0" r="259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spans="1:16" outlineLevel="0" r="260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spans="1:16" outlineLevel="0" r="261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spans="1:16" outlineLevel="0" r="262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spans="1:16" outlineLevel="0" r="263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spans="1:16" outlineLevel="0" r="264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spans="1:16" outlineLevel="0" r="26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spans="1:16" outlineLevel="0" r="266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spans="1:16" outlineLevel="0" r="267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spans="1:16" outlineLevel="0" r="268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spans="1:16" outlineLevel="0" r="269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spans="1:16" outlineLevel="0" r="270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spans="1:16" outlineLevel="0" r="271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spans="1:16" outlineLevel="0" r="272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spans="1:16" outlineLevel="0" r="273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spans="1:16" outlineLevel="0" r="274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spans="1:16" outlineLevel="0" r="27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spans="1:16" outlineLevel="0" r="276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spans="1:16" outlineLevel="0" r="277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spans="1:16" outlineLevel="0" r="278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spans="1:16" outlineLevel="0" r="279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spans="1:16" outlineLevel="0" r="280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spans="1:16" outlineLevel="0" r="281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spans="1:16" outlineLevel="0" r="282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spans="1:16" outlineLevel="0" r="283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spans="1:16" outlineLevel="0" r="284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spans="1:16" outlineLevel="0" r="28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spans="1:16" outlineLevel="0" r="286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spans="1:16" outlineLevel="0" r="287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spans="1:16" outlineLevel="0" r="288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spans="1:16" outlineLevel="0" r="289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spans="1:16" outlineLevel="0" r="290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spans="1:16" outlineLevel="0" r="291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spans="1:16" outlineLevel="0" r="292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spans="1:16" outlineLevel="0" r="293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spans="1:16" outlineLevel="0" r="294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spans="1:16" outlineLevel="0" r="29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spans="1:16" outlineLevel="0" r="296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spans="1:16" outlineLevel="0" r="297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spans="1:16" outlineLevel="0" r="298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spans="1:16" outlineLevel="0" r="299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spans="1:16" outlineLevel="0" r="300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spans="1:16" outlineLevel="0" r="301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spans="1:16" outlineLevel="0" r="302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spans="1:16" outlineLevel="0" r="303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spans="1:16" outlineLevel="0" r="304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spans="1:16" outlineLevel="0" r="30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spans="1:16" outlineLevel="0" r="306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spans="1:16" outlineLevel="0" r="307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spans="1:16" outlineLevel="0" r="308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spans="1:16" outlineLevel="0" r="309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spans="1:16" outlineLevel="0" r="310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spans="1:16" outlineLevel="0" r="311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spans="1:16" outlineLevel="0" r="312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spans="1:16" outlineLevel="0" r="313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spans="1:16" outlineLevel="0" r="314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spans="1:16" outlineLevel="0" r="31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spans="1:16" outlineLevel="0" r="316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spans="1:16" outlineLevel="0" r="317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spans="1:16" outlineLevel="0" r="318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spans="1:16" outlineLevel="0" r="319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spans="1:16" outlineLevel="0" r="320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spans="1:16" outlineLevel="0" r="321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spans="1:16" outlineLevel="0" r="322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spans="1:16" outlineLevel="0" r="323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spans="1:16" outlineLevel="0" r="324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spans="1:16" outlineLevel="0" r="32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spans="1:16" outlineLevel="0" r="326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spans="1:16" outlineLevel="0" r="327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spans="1:16" outlineLevel="0" r="328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spans="1:16" outlineLevel="0" r="329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spans="1:16" outlineLevel="0" r="330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spans="1:16" outlineLevel="0" r="331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spans="1:16" outlineLevel="0" r="332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spans="1:16" outlineLevel="0" r="333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spans="1:16" outlineLevel="0" r="334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spans="1:16" outlineLevel="0" r="33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spans="1:16" outlineLevel="0" r="336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spans="1:16" outlineLevel="0" r="337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spans="1:16" outlineLevel="0" r="338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spans="1:16" outlineLevel="0" r="339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spans="1:16" outlineLevel="0" r="340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spans="1:16" outlineLevel="0" r="341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spans="1:16" outlineLevel="0" r="342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spans="1:16" outlineLevel="0" r="343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spans="1:16" outlineLevel="0" r="344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spans="1:16" outlineLevel="0" r="34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spans="1:16" outlineLevel="0" r="346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spans="1:16" outlineLevel="0" r="347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spans="1:16" outlineLevel="0" r="348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spans="1:16" outlineLevel="0" r="349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spans="1:16" outlineLevel="0" r="350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spans="1:16" outlineLevel="0" r="351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spans="1:16" outlineLevel="0" r="352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spans="1:16" outlineLevel="0" r="353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spans="1:16" outlineLevel="0" r="354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spans="1:16" outlineLevel="0" r="35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spans="1:16" outlineLevel="0" r="356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spans="1:16" outlineLevel="0" r="357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spans="1:16" outlineLevel="0" r="358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spans="1:16" outlineLevel="0" r="359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spans="1:16" outlineLevel="0" r="360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spans="1:16" outlineLevel="0" r="361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spans="1:16" outlineLevel="0" r="362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spans="1:16" outlineLevel="0" r="363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spans="1:16" outlineLevel="0" r="364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spans="1:16" outlineLevel="0" r="36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spans="1:16" outlineLevel="0" r="366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spans="1:16" outlineLevel="0" r="367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spans="1:16" outlineLevel="0" r="368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spans="1:16" outlineLevel="0" r="369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spans="1:16" outlineLevel="0" r="370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spans="1:16" outlineLevel="0" r="371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spans="1:16" outlineLevel="0" r="372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spans="1:16" outlineLevel="0" r="373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spans="1:16" outlineLevel="0" r="374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spans="1:16" outlineLevel="0" r="37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spans="1:16" outlineLevel="0" r="376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spans="1:16" outlineLevel="0" r="377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spans="1:16" outlineLevel="0" r="378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spans="1:16" outlineLevel="0" r="379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spans="1:16" outlineLevel="0" r="380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spans="1:16" outlineLevel="0" r="381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spans="1:16" outlineLevel="0" r="382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spans="1:16" outlineLevel="0" r="383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spans="1:16" outlineLevel="0" r="384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spans="1:16" outlineLevel="0" r="38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spans="1:16" outlineLevel="0" r="386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spans="1:16" outlineLevel="0" r="387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spans="1:16" outlineLevel="0" r="388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spans="1:16" outlineLevel="0" r="389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spans="1:16" outlineLevel="0" r="390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spans="1:16" outlineLevel="0" r="391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spans="1:16" outlineLevel="0" r="392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spans="1:16" outlineLevel="0" r="393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spans="1:16" outlineLevel="0" r="394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spans="1:16" outlineLevel="0" r="39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spans="1:16" outlineLevel="0" r="396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spans="1:16" outlineLevel="0" r="397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spans="1:16" outlineLevel="0" r="398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spans="1:16" outlineLevel="0" r="399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spans="1:16" outlineLevel="0" r="400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spans="1:16" outlineLevel="0" r="401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spans="1:16" outlineLevel="0" r="402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spans="1:16" outlineLevel="0" r="403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spans="1:16" outlineLevel="0" r="404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spans="1:16" outlineLevel="0" r="40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spans="1:16" outlineLevel="0" r="406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spans="1:16" outlineLevel="0" r="407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spans="1:16" outlineLevel="0" r="408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spans="1:16" outlineLevel="0" r="409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spans="1:16" outlineLevel="0" r="410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spans="1:16" outlineLevel="0" r="411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spans="1:16" outlineLevel="0" r="412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spans="1:16" outlineLevel="0" r="413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spans="1:16" outlineLevel="0" r="414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spans="1:16" outlineLevel="0" r="41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spans="1:16" outlineLevel="0" r="416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spans="1:16" outlineLevel="0" r="417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spans="1:16" outlineLevel="0" r="418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spans="1:16" outlineLevel="0" r="419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spans="1:16" outlineLevel="0" r="420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spans="1:16" outlineLevel="0" r="421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spans="1:16" outlineLevel="0" r="422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spans="1:16" outlineLevel="0" r="423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spans="1:16" outlineLevel="0" r="424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spans="1:16" outlineLevel="0" r="42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spans="1:16" outlineLevel="0" r="426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spans="1:16" outlineLevel="0" r="427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spans="1:16" outlineLevel="0" r="428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spans="1:16" outlineLevel="0" r="429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spans="1:16" outlineLevel="0" r="430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spans="1:16" outlineLevel="0" r="431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spans="1:16" outlineLevel="0" r="432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spans="1:16" outlineLevel="0" r="433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spans="1:16" outlineLevel="0" r="434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spans="1:16" outlineLevel="0" r="43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spans="1:16" outlineLevel="0" r="436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spans="1:16" outlineLevel="0" r="437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spans="1:16" outlineLevel="0" r="438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spans="1:16" outlineLevel="0" r="439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spans="1:16" outlineLevel="0" r="440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spans="1:16" outlineLevel="0" r="441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spans="1:16" outlineLevel="0" r="442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spans="1:16" outlineLevel="0" r="443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spans="1:16" outlineLevel="0" r="444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spans="1:16" outlineLevel="0" r="44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spans="1:16" outlineLevel="0" r="446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spans="1:16" outlineLevel="0" r="447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spans="1:16" outlineLevel="0" r="448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spans="1:16" outlineLevel="0" r="449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spans="1:16" outlineLevel="0" r="450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spans="1:16" outlineLevel="0" r="451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spans="1:16" outlineLevel="0" r="452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spans="1:16" outlineLevel="0" r="453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spans="1:16" outlineLevel="0" r="454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spans="1:16" outlineLevel="0" r="45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spans="1:16" outlineLevel="0" r="456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spans="1:16" outlineLevel="0" r="457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spans="1:16" outlineLevel="0" r="458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spans="1:16" outlineLevel="0" r="459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spans="1:16" outlineLevel="0" r="460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spans="1:16" outlineLevel="0" r="461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spans="1:16" outlineLevel="0" r="462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spans="1:16" outlineLevel="0" r="463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spans="1:16" outlineLevel="0" r="464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spans="1:16" outlineLevel="0" r="46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spans="1:16" outlineLevel="0" r="466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spans="1:16" outlineLevel="0" r="467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spans="1:16" outlineLevel="0" r="468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spans="1:16" outlineLevel="0" r="469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spans="1:16" outlineLevel="0" r="470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spans="1:16" outlineLevel="0" r="471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spans="1:16" outlineLevel="0" r="472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spans="1:16" outlineLevel="0" r="473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spans="1:16" outlineLevel="0" r="474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spans="1:16" outlineLevel="0" r="47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spans="1:16" outlineLevel="0" r="476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spans="1:16" outlineLevel="0" r="477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spans="1:16" outlineLevel="0" r="478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spans="1:16" outlineLevel="0" r="479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spans="1:16" outlineLevel="0" r="480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spans="1:16" outlineLevel="0" r="481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spans="1:16" outlineLevel="0" r="482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spans="1:16" outlineLevel="0" r="483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spans="1:16" outlineLevel="0" r="484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spans="1:16" outlineLevel="0" r="48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spans="1:16" outlineLevel="0" r="486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spans="1:16" outlineLevel="0" r="487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spans="1:16" outlineLevel="0" r="488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spans="1:16" outlineLevel="0" r="489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spans="1:16" outlineLevel="0" r="490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spans="1:16" outlineLevel="0" r="491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spans="1:16" outlineLevel="0" r="492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spans="1:16" outlineLevel="0" r="493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spans="1:16" outlineLevel="0" r="494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spans="1:16" outlineLevel="0" r="49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spans="1:16" outlineLevel="0" r="496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spans="1:16" outlineLevel="0" r="497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spans="1:16" outlineLevel="0" r="498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spans="1:16" outlineLevel="0" r="499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spans="1:16" outlineLevel="0" r="500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spans="1:16" outlineLevel="0" r="501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spans="1:16" outlineLevel="0" r="502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spans="1:16" outlineLevel="0" r="503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spans="1:16" outlineLevel="0" r="504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spans="1:16" outlineLevel="0" r="50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spans="1:16" outlineLevel="0" r="506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spans="1:16" outlineLevel="0" r="507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spans="1:16" outlineLevel="0" r="508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spans="1:16" outlineLevel="0" r="509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spans="1:16" outlineLevel="0" r="510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spans="1:16" outlineLevel="0" r="511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spans="1:16" outlineLevel="0" r="512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spans="1:16" outlineLevel="0" r="513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spans="1:16" outlineLevel="0" r="514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spans="1:16" outlineLevel="0" r="51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spans="1:16" outlineLevel="0" r="516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spans="1:16" outlineLevel="0" r="517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spans="1:16" outlineLevel="0" r="518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spans="1:16" outlineLevel="0" r="519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spans="1:16" outlineLevel="0" r="520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spans="1:16" outlineLevel="0" r="521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spans="1:16" outlineLevel="0" r="522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spans="1:16" outlineLevel="0" r="523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spans="1:16" outlineLevel="0" r="524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spans="1:16" outlineLevel="0" r="52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spans="1:16" outlineLevel="0" r="526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spans="1:16" outlineLevel="0" r="527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spans="1:16" outlineLevel="0" r="528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spans="1:16" outlineLevel="0" r="529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spans="1:16" outlineLevel="0" r="530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spans="1:16" outlineLevel="0" r="531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spans="1:16" outlineLevel="0" r="532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spans="1:16" outlineLevel="0" r="533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spans="1:16" outlineLevel="0" r="534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spans="1:16" outlineLevel="0" r="53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spans="1:16" outlineLevel="0" r="536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spans="1:16" outlineLevel="0" r="537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spans="1:16" outlineLevel="0" r="538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spans="1:16" outlineLevel="0" r="539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spans="1:16" outlineLevel="0" r="540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spans="1:16" outlineLevel="0" r="541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spans="1:16" outlineLevel="0" r="542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spans="1:16" outlineLevel="0" r="543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spans="1:16" outlineLevel="0" r="544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spans="1:16" outlineLevel="0" r="54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spans="1:16" outlineLevel="0" r="546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spans="1:16" outlineLevel="0" r="547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spans="1:16" outlineLevel="0" r="548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spans="1:16" outlineLevel="0" r="549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spans="1:16" outlineLevel="0" r="550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spans="1:16" outlineLevel="0" r="551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spans="1:16" outlineLevel="0" r="552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spans="1:16" outlineLevel="0" r="553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spans="1:16" outlineLevel="0" r="554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spans="1:16" outlineLevel="0" r="55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spans="1:16" outlineLevel="0" r="556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spans="1:16" outlineLevel="0" r="557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spans="1:16" outlineLevel="0" r="558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spans="1:16" outlineLevel="0" r="559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spans="1:16" outlineLevel="0" r="560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spans="1:16" outlineLevel="0" r="561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spans="1:16" outlineLevel="0" r="562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spans="1:16" outlineLevel="0" r="563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spans="1:16" outlineLevel="0" r="564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spans="1:16" outlineLevel="0" r="56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spans="1:16" outlineLevel="0" r="566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spans="1:16" outlineLevel="0" r="567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spans="1:16" outlineLevel="0" r="568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spans="1:16" outlineLevel="0" r="569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spans="1:16" outlineLevel="0" r="570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spans="1:16" outlineLevel="0" r="571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spans="1:16" outlineLevel="0" r="572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spans="1:16" outlineLevel="0" r="573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spans="1:16" outlineLevel="0" r="574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spans="1:16" outlineLevel="0" r="57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spans="1:16" outlineLevel="0" r="576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spans="1:16" outlineLevel="0" r="577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spans="1:16" outlineLevel="0" r="578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spans="1:16" outlineLevel="0" r="579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spans="1:16" outlineLevel="0" r="580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spans="1:16" outlineLevel="0" r="581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spans="1:16" outlineLevel="0" r="582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spans="1:16" outlineLevel="0" r="583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spans="1:16" outlineLevel="0" r="584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spans="1:16" outlineLevel="0" r="58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spans="1:16" outlineLevel="0" r="586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spans="1:16" outlineLevel="0" r="587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spans="1:16" outlineLevel="0" r="588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spans="1:16" outlineLevel="0" r="589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spans="1:16" outlineLevel="0" r="590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spans="1:16" outlineLevel="0" r="591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spans="1:16" outlineLevel="0" r="592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spans="1:16" outlineLevel="0" r="593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spans="1:16" outlineLevel="0" r="594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spans="1:16" outlineLevel="0" r="59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spans="1:16" outlineLevel="0" r="596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spans="1:16" outlineLevel="0" r="597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spans="1:16" outlineLevel="0" r="598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spans="1:16" outlineLevel="0" r="599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spans="1:16" outlineLevel="0" r="600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spans="1:16" outlineLevel="0" r="601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spans="1:16" outlineLevel="0" r="602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spans="1:16" outlineLevel="0" r="603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spans="1:16" outlineLevel="0" r="604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spans="1:16" outlineLevel="0" r="60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spans="1:16" outlineLevel="0" r="606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spans="1:16" outlineLevel="0" r="607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spans="1:16" outlineLevel="0" r="608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spans="1:16" outlineLevel="0" r="609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spans="1:16" outlineLevel="0" r="610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spans="1:16" outlineLevel="0" r="611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spans="1:16" outlineLevel="0" r="612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spans="1:16" outlineLevel="0" r="613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spans="1:16" outlineLevel="0" r="614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spans="1:16" outlineLevel="0" r="61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spans="1:16" outlineLevel="0" r="616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spans="1:16" outlineLevel="0" r="617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spans="1:16" outlineLevel="0" r="618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spans="1:16" outlineLevel="0" r="619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spans="1:16" outlineLevel="0" r="620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spans="1:16" outlineLevel="0" r="621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spans="1:16" outlineLevel="0" r="622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spans="1:16" outlineLevel="0" r="623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spans="1:16" outlineLevel="0" r="624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spans="1:16" outlineLevel="0" r="62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spans="1:16" outlineLevel="0" r="626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spans="1:16" outlineLevel="0" r="627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spans="1:16" outlineLevel="0" r="628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spans="1:16" outlineLevel="0" r="629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spans="1:16" outlineLevel="0" r="630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spans="1:16" outlineLevel="0" r="631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spans="1:16" outlineLevel="0" r="632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spans="1:16" outlineLevel="0" r="633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spans="1:16" outlineLevel="0" r="634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spans="1:16" outlineLevel="0" r="63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spans="1:16" outlineLevel="0" r="636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spans="1:16" outlineLevel="0" r="637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spans="1:16" outlineLevel="0" r="638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spans="1:16" outlineLevel="0" r="639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spans="1:16" outlineLevel="0" r="640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spans="1:16" outlineLevel="0" r="641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spans="1:16" outlineLevel="0" r="642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spans="1:16" outlineLevel="0" r="643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spans="1:16" outlineLevel="0" r="644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spans="1:16" outlineLevel="0" r="64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spans="1:16" outlineLevel="0" r="646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spans="1:16" outlineLevel="0" r="647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spans="1:16" outlineLevel="0" r="648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spans="1:16" outlineLevel="0" r="649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spans="1:16" outlineLevel="0" r="650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spans="1:16" outlineLevel="0" r="651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spans="1:16" outlineLevel="0" r="652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spans="1:16" outlineLevel="0" r="653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spans="1:16" outlineLevel="0" r="654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spans="1:16" outlineLevel="0" r="65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spans="1:16" outlineLevel="0" r="656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spans="1:16" outlineLevel="0" r="657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spans="1:16" outlineLevel="0" r="658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spans="1:16" outlineLevel="0" r="659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spans="1:16" outlineLevel="0" r="660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spans="1:16" outlineLevel="0" r="661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spans="1:16" outlineLevel="0" r="662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spans="1:16" outlineLevel="0" r="663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spans="1:16" outlineLevel="0" r="664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spans="1:16" outlineLevel="0" r="66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spans="1:16" outlineLevel="0" r="666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spans="1:16" outlineLevel="0" r="667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spans="1:16" outlineLevel="0" r="668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spans="1:16" outlineLevel="0" r="669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spans="1:16" outlineLevel="0" r="670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spans="1:16" outlineLevel="0" r="671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spans="1:16" outlineLevel="0" r="672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spans="1:16" outlineLevel="0" r="673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spans="1:16" outlineLevel="0" r="674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spans="1:16" outlineLevel="0" r="67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spans="1:16" outlineLevel="0" r="676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spans="1:16" outlineLevel="0" r="677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spans="1:16" outlineLevel="0" r="678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spans="1:16" outlineLevel="0" r="679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spans="1:16" outlineLevel="0" r="680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spans="1:16" outlineLevel="0" r="681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spans="1:16" outlineLevel="0" r="682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spans="1:16" outlineLevel="0" r="683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spans="1:16" outlineLevel="0" r="684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spans="1:16" outlineLevel="0" r="68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spans="1:16" outlineLevel="0" r="686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spans="1:16" outlineLevel="0" r="687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spans="1:16" outlineLevel="0" r="688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spans="1:16" outlineLevel="0" r="689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spans="1:16" outlineLevel="0" r="690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spans="1:16" outlineLevel="0" r="691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spans="1:16" outlineLevel="0" r="692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spans="1:16" outlineLevel="0" r="693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spans="1:16" outlineLevel="0" r="694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spans="1:16" outlineLevel="0" r="69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spans="1:16" outlineLevel="0" r="696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spans="1:16" outlineLevel="0" r="697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spans="1:16" outlineLevel="0" r="698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spans="1:16" outlineLevel="0" r="699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spans="1:16" outlineLevel="0" r="700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spans="1:16" outlineLevel="0" r="701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spans="1:16" outlineLevel="0" r="702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spans="1:16" outlineLevel="0" r="703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spans="1:16" outlineLevel="0" r="704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spans="1:16" outlineLevel="0" r="70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spans="1:16" outlineLevel="0" r="706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spans="1:16" outlineLevel="0" r="707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spans="1:16" outlineLevel="0" r="708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spans="1:16" outlineLevel="0" r="709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spans="1:16" outlineLevel="0" r="710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spans="1:16" outlineLevel="0" r="711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spans="1:16" outlineLevel="0" r="712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spans="1:16" outlineLevel="0" r="713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spans="1:16" outlineLevel="0" r="714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spans="1:16" outlineLevel="0" r="71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spans="1:16" outlineLevel="0" r="716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spans="1:16" outlineLevel="0" r="717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spans="1:16" outlineLevel="0" r="718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spans="1:16" outlineLevel="0" r="719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spans="1:16" outlineLevel="0" r="720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spans="1:16" outlineLevel="0" r="721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spans="1:16" outlineLevel="0" r="722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spans="1:16" outlineLevel="0" r="723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spans="1:16" outlineLevel="0" r="724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spans="1:16" outlineLevel="0" r="72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spans="1:16" outlineLevel="0" r="726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spans="1:16" outlineLevel="0" r="727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spans="1:16" outlineLevel="0" r="728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spans="1:16" outlineLevel="0" r="729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spans="1:16" outlineLevel="0" r="730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spans="1:16" outlineLevel="0" r="731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spans="1:16" outlineLevel="0" r="732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spans="1:16" outlineLevel="0" r="733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spans="1:16" outlineLevel="0" r="734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spans="1:16" outlineLevel="0" r="73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spans="1:16" outlineLevel="0" r="736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spans="1:16" outlineLevel="0" r="737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spans="1:16" outlineLevel="0" r="738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spans="1:16" outlineLevel="0" r="739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spans="1:16" outlineLevel="0" r="740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spans="1:16" outlineLevel="0" r="741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spans="1:16" outlineLevel="0" r="742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spans="1:16" outlineLevel="0" r="743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spans="1:16" outlineLevel="0" r="744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spans="1:16" outlineLevel="0" r="74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spans="1:16" outlineLevel="0" r="746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spans="1:16" outlineLevel="0" r="747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spans="1:16" outlineLevel="0" r="748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spans="1:16" outlineLevel="0" r="749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spans="1:16" outlineLevel="0" r="750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spans="1:16" outlineLevel="0" r="751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spans="1:16" outlineLevel="0" r="752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spans="1:16" outlineLevel="0" r="753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spans="1:16" outlineLevel="0" r="754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spans="1:16" outlineLevel="0" r="75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spans="1:16" outlineLevel="0" r="756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spans="1:16" outlineLevel="0" r="757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spans="1:16" outlineLevel="0" r="758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spans="1:16" outlineLevel="0" r="759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spans="1:16" outlineLevel="0" r="760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spans="1:16" outlineLevel="0" r="761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spans="1:16" outlineLevel="0" r="762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spans="1:16" outlineLevel="0" r="763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spans="1:16" outlineLevel="0" r="764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spans="1:16" outlineLevel="0" r="76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spans="1:16" outlineLevel="0" r="766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spans="1:16" outlineLevel="0" r="767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spans="1:16" outlineLevel="0" r="768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spans="1:16" outlineLevel="0" r="769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spans="1:16" outlineLevel="0" r="770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spans="1:16" outlineLevel="0" r="771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spans="1:16" outlineLevel="0" r="772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spans="1:16" outlineLevel="0" r="773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spans="1:16" outlineLevel="0" r="774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spans="1:16" outlineLevel="0" r="77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spans="1:16" outlineLevel="0" r="776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spans="1:16" outlineLevel="0" r="777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spans="1:16" outlineLevel="0" r="778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spans="1:16" outlineLevel="0" r="779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spans="1:16" outlineLevel="0" r="780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spans="1:16" outlineLevel="0" r="781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spans="1:16" outlineLevel="0" r="782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spans="1:16" outlineLevel="0" r="783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spans="1:16" outlineLevel="0" r="784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spans="1:16" outlineLevel="0" r="78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spans="1:16" outlineLevel="0" r="786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spans="1:16" outlineLevel="0" r="787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spans="1:16" outlineLevel="0" r="788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spans="1:16" outlineLevel="0" r="789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spans="1:16" outlineLevel="0" r="790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spans="1:16" outlineLevel="0" r="791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spans="1:16" outlineLevel="0" r="792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spans="1:16" outlineLevel="0" r="793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spans="1:16" outlineLevel="0" r="794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spans="1:16" outlineLevel="0" r="79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spans="1:16" outlineLevel="0" r="796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spans="1:16" outlineLevel="0" r="797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spans="1:16" outlineLevel="0" r="798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spans="1:16" outlineLevel="0" r="799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spans="1:16" outlineLevel="0" r="800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spans="1:16" outlineLevel="0" r="801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spans="1:16" outlineLevel="0" r="802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spans="1:16" outlineLevel="0" r="803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spans="1:16" outlineLevel="0" r="804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spans="1:16" outlineLevel="0" r="80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spans="1:16" outlineLevel="0" r="806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spans="1:16" outlineLevel="0" r="807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spans="1:16" outlineLevel="0" r="808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spans="1:16" outlineLevel="0" r="809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spans="1:16" outlineLevel="0" r="810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spans="1:16" outlineLevel="0" r="811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spans="1:16" outlineLevel="0" r="812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spans="1:16" outlineLevel="0" r="813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spans="1:16" outlineLevel="0" r="814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spans="1:16" outlineLevel="0" r="81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spans="1:16" outlineLevel="0" r="816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spans="1:16" outlineLevel="0" r="817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spans="1:16" outlineLevel="0" r="818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spans="1:16" outlineLevel="0" r="819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spans="1:16" outlineLevel="0" r="820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spans="1:16" outlineLevel="0" r="821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spans="1:16" outlineLevel="0" r="822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spans="1:16" outlineLevel="0" r="823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spans="1:16" outlineLevel="0" r="824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spans="1:16" outlineLevel="0" r="82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spans="1:16" outlineLevel="0" r="826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spans="1:16" outlineLevel="0" r="827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spans="1:16" outlineLevel="0" r="828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spans="1:16" outlineLevel="0" r="829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spans="1:16" outlineLevel="0" r="830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spans="1:16" outlineLevel="0" r="831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spans="1:16" outlineLevel="0" r="832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spans="1:16" outlineLevel="0" r="833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spans="1:16" outlineLevel="0" r="834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spans="1:16" outlineLevel="0" r="83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spans="1:16" outlineLevel="0" r="836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spans="1:16" outlineLevel="0" r="837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spans="1:16" outlineLevel="0" r="838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spans="1:16" outlineLevel="0" r="839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spans="1:16" outlineLevel="0" r="840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spans="1:16" outlineLevel="0" r="841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spans="1:16" outlineLevel="0" r="842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spans="1:16" outlineLevel="0" r="843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spans="1:16" outlineLevel="0" r="844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spans="1:16" outlineLevel="0" r="84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spans="1:16" outlineLevel="0" r="846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spans="1:16" outlineLevel="0" r="847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spans="1:16" outlineLevel="0" r="848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spans="1:16" outlineLevel="0" r="849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spans="1:16" outlineLevel="0" r="850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spans="1:16" outlineLevel="0" r="851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spans="1:16" outlineLevel="0" r="852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spans="1:16" outlineLevel="0" r="853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spans="1:16" outlineLevel="0" r="854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spans="1:16" outlineLevel="0" r="85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spans="1:16" outlineLevel="0" r="856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spans="1:16" outlineLevel="0" r="857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spans="1:16" outlineLevel="0" r="858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spans="1:16" outlineLevel="0" r="859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spans="1:16" outlineLevel="0" r="860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spans="1:16" outlineLevel="0" r="861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spans="1:16" outlineLevel="0" r="862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spans="1:16" outlineLevel="0" r="863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spans="1:16" outlineLevel="0" r="864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spans="1:16" outlineLevel="0" r="86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spans="1:16" outlineLevel="0" r="866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spans="1:16" outlineLevel="0" r="867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spans="1:16" outlineLevel="0" r="868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spans="1:16" outlineLevel="0" r="869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spans="1:16" outlineLevel="0" r="870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spans="1:16" outlineLevel="0" r="871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spans="1:16" outlineLevel="0" r="872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spans="1:16" outlineLevel="0" r="873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spans="1:16" outlineLevel="0" r="874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spans="1:16" outlineLevel="0" r="87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spans="1:16" outlineLevel="0" r="876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spans="1:16" outlineLevel="0" r="877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spans="1:16" outlineLevel="0" r="878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spans="1:16" outlineLevel="0" r="879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spans="1:16" outlineLevel="0" r="880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spans="1:16" outlineLevel="0" r="881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spans="1:16" outlineLevel="0" r="882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spans="1:16" outlineLevel="0" r="883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spans="1:16" outlineLevel="0" r="884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spans="1:16" outlineLevel="0" r="88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spans="1:16" outlineLevel="0" r="886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spans="1:16" outlineLevel="0" r="887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spans="1:16" outlineLevel="0" r="888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spans="1:16" outlineLevel="0" r="889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spans="1:16" outlineLevel="0" r="890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spans="1:16" outlineLevel="0" r="891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spans="1:16" outlineLevel="0" r="892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spans="1:16" outlineLevel="0" r="893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spans="1:16" outlineLevel="0" r="894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spans="1:16" outlineLevel="0" r="89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spans="1:16" outlineLevel="0" r="896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spans="1:16" outlineLevel="0" r="897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spans="1:16" outlineLevel="0" r="898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spans="1:16" outlineLevel="0" r="899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spans="1:16" outlineLevel="0" r="900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spans="1:16" outlineLevel="0" r="901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spans="1:16" outlineLevel="0" r="902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spans="1:16" outlineLevel="0" r="903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spans="1:16" outlineLevel="0" r="904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spans="1:16" outlineLevel="0" r="90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spans="1:16" outlineLevel="0" r="906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spans="1:16" outlineLevel="0" r="907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spans="1:16" outlineLevel="0" r="908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spans="1:16" outlineLevel="0" r="909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spans="1:16" outlineLevel="0" r="910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spans="1:16" outlineLevel="0" r="911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spans="1:16" outlineLevel="0" r="912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spans="1:16" outlineLevel="0" r="913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spans="1:16" outlineLevel="0" r="914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spans="1:16" outlineLevel="0" r="91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spans="1:16" outlineLevel="0" r="916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spans="1:16" outlineLevel="0" r="917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spans="1:16" outlineLevel="0" r="918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spans="1:16" outlineLevel="0" r="919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spans="1:16" outlineLevel="0" r="920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spans="1:16" outlineLevel="0" r="921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spans="1:16" outlineLevel="0" r="922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spans="1:16" outlineLevel="0" r="923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spans="1:16" outlineLevel="0" r="924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spans="1:16" outlineLevel="0" r="92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spans="1:16" outlineLevel="0" r="926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spans="1:16" outlineLevel="0" r="927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spans="1:16" outlineLevel="0" r="928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spans="1:16" outlineLevel="0" r="929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spans="1:16" outlineLevel="0" r="930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spans="1:16" outlineLevel="0" r="931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spans="1:16" outlineLevel="0" r="932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spans="1:16" outlineLevel="0" r="933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spans="1:16" outlineLevel="0" r="934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spans="1:16" outlineLevel="0" r="93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spans="1:16" outlineLevel="0" r="936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spans="1:16" outlineLevel="0" r="937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spans="1:16" outlineLevel="0" r="938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spans="1:16" outlineLevel="0" r="939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spans="1:16" outlineLevel="0" r="940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spans="1:16" outlineLevel="0" r="941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spans="1:16" outlineLevel="0" r="942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spans="1:16" outlineLevel="0" r="943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spans="1:16" outlineLevel="0" r="944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spans="1:16" outlineLevel="0" r="94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spans="1:16" outlineLevel="0" r="946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spans="1:16" outlineLevel="0" r="947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spans="1:16" outlineLevel="0" r="948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spans="1:16" outlineLevel="0" r="949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spans="1:16" outlineLevel="0" r="950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spans="1:16" outlineLevel="0" r="951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spans="1:16" outlineLevel="0" r="952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spans="1:16" outlineLevel="0" r="953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spans="1:16" outlineLevel="0" r="954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spans="1:16" outlineLevel="0" r="95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spans="1:16" outlineLevel="0" r="956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spans="1:16" outlineLevel="0" r="957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spans="1:16" outlineLevel="0" r="958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spans="1:16" outlineLevel="0" r="959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spans="1:16" outlineLevel="0" r="960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spans="1:16" outlineLevel="0" r="961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spans="1:16" outlineLevel="0" r="962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spans="1:16" outlineLevel="0" r="963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spans="1:16" outlineLevel="0" r="964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spans="1:16" outlineLevel="0" r="96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spans="1:16" outlineLevel="0" r="966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spans="1:16" outlineLevel="0" r="967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spans="1:16" outlineLevel="0" r="968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spans="1:16" outlineLevel="0" r="969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spans="1:16" outlineLevel="0" r="970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spans="1:16" outlineLevel="0" r="971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spans="1:16" outlineLevel="0" r="972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spans="1:16" outlineLevel="0" r="973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spans="1:16" outlineLevel="0" r="974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spans="1:16" outlineLevel="0" r="97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spans="1:16" outlineLevel="0" r="976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spans="1:16" outlineLevel="0" r="977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spans="1:16" outlineLevel="0" r="978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spans="1:16" outlineLevel="0" r="979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spans="1:16" outlineLevel="0" r="980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spans="1:16" outlineLevel="0" r="981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spans="1:16" outlineLevel="0" r="982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spans="1:16" outlineLevel="0" r="983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spans="1:16" outlineLevel="0" r="984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spans="1:16" outlineLevel="0" r="98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spans="1:16" outlineLevel="0" r="986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spans="1:16" outlineLevel="0" r="987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spans="1:16" outlineLevel="0" r="988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spans="1:16" outlineLevel="0" r="989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spans="1:16" outlineLevel="0" r="990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spans="1:16" outlineLevel="0" r="991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spans="1:16" outlineLevel="0" r="992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spans="1:16" outlineLevel="0" r="993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spans="1:16" outlineLevel="0" r="994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spans="1:16" outlineLevel="0" r="99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spans="1:16" outlineLevel="0" r="996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spans="1:16" outlineLevel="0" r="997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spans="1:16" outlineLevel="0" r="998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spans="1:16" outlineLevel="0" r="999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spans="1:16" outlineLevel="0" r="1000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spans="1:16" outlineLevel="0" r="1001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1200-000000000000}">
  <dimension ref="A1:O20"/>
  <sheetViews>
    <sheetView workbookViewId="0" rightToLeft="false">
      <selection activeCell="U27" sqref="U27"/>
    </sheetView>
  </sheetViews>
  <sheetFormatPr defaultRowHeight="17"/>
  <sheetData>
    <row spans="1:15" outlineLevel="0" r="1">
      <c r="A1" s="466" t="inlineStr">
        <is>
          <t>YY</t>
        </is>
      </c>
      <c r="B1" s="466" t="inlineStr">
        <is>
          <t>FRCD</t>
        </is>
      </c>
      <c r="C1" s="466" t="inlineStr">
        <is>
          <t>MONTH01</t>
        </is>
      </c>
      <c r="D1" s="466" t="inlineStr">
        <is>
          <t>MONTH02</t>
        </is>
      </c>
      <c r="E1" s="466" t="inlineStr">
        <is>
          <t>MONTH03</t>
        </is>
      </c>
      <c r="F1" s="466" t="inlineStr">
        <is>
          <t>MONTH04</t>
        </is>
      </c>
      <c r="G1" s="466" t="inlineStr">
        <is>
          <t>MONTH05</t>
        </is>
      </c>
      <c r="H1" s="466" t="inlineStr">
        <is>
          <t>MONTH06</t>
        </is>
      </c>
      <c r="I1" s="466" t="inlineStr">
        <is>
          <t>MONTH07</t>
        </is>
      </c>
      <c r="J1" s="466" t="inlineStr">
        <is>
          <t>MONTH08</t>
        </is>
      </c>
      <c r="K1" s="466" t="inlineStr">
        <is>
          <t>MONTH09</t>
        </is>
      </c>
      <c r="L1" s="466" t="inlineStr">
        <is>
          <t>MONTH10</t>
        </is>
      </c>
      <c r="M1" s="466" t="inlineStr">
        <is>
          <t>MONTH11</t>
        </is>
      </c>
      <c r="N1" s="466" t="inlineStr">
        <is>
          <t>MONTH12</t>
        </is>
      </c>
      <c r="O1" s="466" t="inlineStr">
        <is>
          <t>AVGITEMS</t>
        </is>
      </c>
    </row>
    <row spans="1:15" outlineLevel="0" r="2">
      <c r="A2" s="466" t="inlineStr">
        <is>
          <t>2026</t>
        </is>
      </c>
      <c r="B2" s="466" t="inlineStr">
        <is>
          <t>01-A</t>
        </is>
      </c>
      <c r="C2" s="466" t="inlineStr">
        <is>
          <t>6169</t>
        </is>
      </c>
      <c r="D2" s="466" t="inlineStr">
        <is>
          <t>3267</t>
        </is>
      </c>
      <c r="E2" s="466" t="inlineStr">
        <is>
          <t>6159</t>
        </is>
      </c>
      <c r="F2" s="466" t="inlineStr">
        <is>
          <t>5502</t>
        </is>
      </c>
      <c r="G2" s="466" t="inlineStr">
        <is>
          <t>6213</t>
        </is>
      </c>
      <c r="H2" s="466" t="inlineStr">
        <is>
          <t>6980</t>
        </is>
      </c>
      <c r="I2" s="466" t="inlineStr">
        <is>
          <t>7713</t>
        </is>
      </c>
      <c r="J2" s="466" t="inlineStr">
        <is>
          <t>6500</t>
        </is>
      </c>
      <c r="K2" s="466" t="inlineStr">
        <is>
          <t>6939</t>
        </is>
      </c>
      <c r="L2" s="466" t="inlineStr">
        <is>
          <t>0</t>
        </is>
      </c>
      <c r="M2" s="466" t="inlineStr">
        <is>
          <t>0</t>
        </is>
      </c>
      <c r="N2" s="466" t="inlineStr">
        <is>
          <t>0</t>
        </is>
      </c>
      <c r="O2" s="466" t="inlineStr">
        <is>
          <t>6160</t>
        </is>
      </c>
    </row>
    <row spans="1:15" outlineLevel="0" r="3">
      <c r="A3" s="466" t="inlineStr">
        <is>
          <t>2026</t>
        </is>
      </c>
      <c r="B3" s="466" t="inlineStr">
        <is>
          <t>02-D</t>
        </is>
      </c>
      <c r="C3" s="466" t="inlineStr">
        <is>
          <t>1595</t>
        </is>
      </c>
      <c r="D3" s="466" t="inlineStr">
        <is>
          <t>819</t>
        </is>
      </c>
      <c r="E3" s="466" t="inlineStr">
        <is>
          <t>1284</t>
        </is>
      </c>
      <c r="F3" s="466" t="inlineStr">
        <is>
          <t>823</t>
        </is>
      </c>
      <c r="G3" s="466" t="inlineStr">
        <is>
          <t>839</t>
        </is>
      </c>
      <c r="H3" s="466" t="inlineStr">
        <is>
          <t>1117</t>
        </is>
      </c>
      <c r="I3" s="466" t="inlineStr">
        <is>
          <t>1164</t>
        </is>
      </c>
      <c r="J3" s="466" t="inlineStr">
        <is>
          <t>896</t>
        </is>
      </c>
      <c r="K3" s="466" t="inlineStr">
        <is>
          <t>1049</t>
        </is>
      </c>
      <c r="L3" s="466" t="inlineStr">
        <is>
          <t>0</t>
        </is>
      </c>
      <c r="M3" s="466" t="inlineStr">
        <is>
          <t>0</t>
        </is>
      </c>
      <c r="N3" s="466" t="inlineStr">
        <is>
          <t>0</t>
        </is>
      </c>
      <c r="O3" s="466" t="inlineStr">
        <is>
          <t>1065</t>
        </is>
      </c>
    </row>
    <row spans="1:15" outlineLevel="0" r="4">
      <c r="A4" s="466" t="inlineStr">
        <is>
          <t>2026</t>
        </is>
      </c>
      <c r="B4" s="466" t="inlineStr">
        <is>
          <t>03-J</t>
        </is>
      </c>
      <c r="C4" s="466" t="inlineStr">
        <is>
          <t>6</t>
        </is>
      </c>
      <c r="D4" s="466" t="inlineStr">
        <is>
          <t>0</t>
        </is>
      </c>
      <c r="E4" s="466" t="inlineStr">
        <is>
          <t>5</t>
        </is>
      </c>
      <c r="F4" s="466" t="inlineStr">
        <is>
          <t>15</t>
        </is>
      </c>
      <c r="G4" s="466" t="inlineStr">
        <is>
          <t>15</t>
        </is>
      </c>
      <c r="H4" s="466" t="inlineStr">
        <is>
          <t>10</t>
        </is>
      </c>
      <c r="I4" s="466" t="inlineStr">
        <is>
          <t>8</t>
        </is>
      </c>
      <c r="J4" s="466" t="inlineStr">
        <is>
          <t>168</t>
        </is>
      </c>
      <c r="K4" s="466" t="inlineStr">
        <is>
          <t>9</t>
        </is>
      </c>
      <c r="L4" s="466" t="inlineStr">
        <is>
          <t>0</t>
        </is>
      </c>
      <c r="M4" s="466" t="inlineStr">
        <is>
          <t>0</t>
        </is>
      </c>
      <c r="N4" s="466" t="inlineStr">
        <is>
          <t>0</t>
        </is>
      </c>
      <c r="O4" s="466" t="inlineStr">
        <is>
          <t>26</t>
        </is>
      </c>
    </row>
    <row spans="1:15" outlineLevel="0" r="5">
      <c r="A5" s="466" t="inlineStr">
        <is>
          <t>2026</t>
        </is>
      </c>
      <c r="B5" s="466" t="inlineStr">
        <is>
          <t>04-O</t>
        </is>
      </c>
      <c r="C5" s="466" t="inlineStr">
        <is>
          <t>22</t>
        </is>
      </c>
      <c r="D5" s="466" t="inlineStr">
        <is>
          <t>9</t>
        </is>
      </c>
      <c r="E5" s="466" t="inlineStr">
        <is>
          <t>34</t>
        </is>
      </c>
      <c r="F5" s="466" t="inlineStr">
        <is>
          <t>22</t>
        </is>
      </c>
      <c r="G5" s="466" t="inlineStr">
        <is>
          <t>31</t>
        </is>
      </c>
      <c r="H5" s="466" t="inlineStr">
        <is>
          <t>33</t>
        </is>
      </c>
      <c r="I5" s="466" t="inlineStr">
        <is>
          <t>46</t>
        </is>
      </c>
      <c r="J5" s="466" t="inlineStr">
        <is>
          <t>40</t>
        </is>
      </c>
      <c r="K5" s="466" t="inlineStr">
        <is>
          <t>36</t>
        </is>
      </c>
      <c r="L5" s="466" t="inlineStr">
        <is>
          <t>0</t>
        </is>
      </c>
      <c r="M5" s="466" t="inlineStr">
        <is>
          <t>0</t>
        </is>
      </c>
      <c r="N5" s="466" t="inlineStr">
        <is>
          <t>0</t>
        </is>
      </c>
      <c r="O5" s="466" t="inlineStr">
        <is>
          <t>30</t>
        </is>
      </c>
    </row>
    <row spans="1:15" outlineLevel="0" r="6">
      <c r="A6" s="466" t="inlineStr">
        <is>
          <t>2026</t>
        </is>
      </c>
      <c r="B6" s="466" t="inlineStr">
        <is>
          <t>05-N</t>
        </is>
      </c>
      <c r="C6" s="466" t="inlineStr">
        <is>
          <t>462</t>
        </is>
      </c>
      <c r="D6" s="466" t="inlineStr">
        <is>
          <t>258</t>
        </is>
      </c>
      <c r="E6" s="466" t="inlineStr">
        <is>
          <t>309</t>
        </is>
      </c>
      <c r="F6" s="466" t="inlineStr">
        <is>
          <t>285</t>
        </is>
      </c>
      <c r="G6" s="466" t="inlineStr">
        <is>
          <t>189</t>
        </is>
      </c>
      <c r="H6" s="466" t="inlineStr">
        <is>
          <t>525</t>
        </is>
      </c>
      <c r="I6" s="466" t="inlineStr">
        <is>
          <t>275</t>
        </is>
      </c>
      <c r="J6" s="466" t="inlineStr">
        <is>
          <t>383</t>
        </is>
      </c>
      <c r="K6" s="466" t="inlineStr">
        <is>
          <t>299</t>
        </is>
      </c>
      <c r="L6" s="466" t="inlineStr">
        <is>
          <t>0</t>
        </is>
      </c>
      <c r="M6" s="466" t="inlineStr">
        <is>
          <t>0</t>
        </is>
      </c>
      <c r="N6" s="466" t="inlineStr">
        <is>
          <t>0</t>
        </is>
      </c>
      <c r="O6" s="466" t="inlineStr">
        <is>
          <t>332</t>
        </is>
      </c>
    </row>
    <row spans="1:15" outlineLevel="0" r="7">
      <c r="A7" s="466" t="inlineStr">
        <is>
          <t>2026</t>
        </is>
      </c>
      <c r="B7" s="466" t="inlineStr">
        <is>
          <t>06-C</t>
        </is>
      </c>
      <c r="C7" s="466" t="inlineStr">
        <is>
          <t>0</t>
        </is>
      </c>
      <c r="D7" s="466" t="inlineStr">
        <is>
          <t>0</t>
        </is>
      </c>
      <c r="E7" s="466" t="inlineStr">
        <is>
          <t>0</t>
        </is>
      </c>
      <c r="F7" s="466" t="inlineStr">
        <is>
          <t>0</t>
        </is>
      </c>
      <c r="G7" s="466" t="inlineStr">
        <is>
          <t>0</t>
        </is>
      </c>
      <c r="H7" s="466" t="inlineStr">
        <is>
          <t>0</t>
        </is>
      </c>
      <c r="I7" s="466" t="inlineStr">
        <is>
          <t>0</t>
        </is>
      </c>
      <c r="J7" s="466" t="inlineStr">
        <is>
          <t>0</t>
        </is>
      </c>
      <c r="K7" s="466" t="inlineStr">
        <is>
          <t>0</t>
        </is>
      </c>
      <c r="L7" s="466" t="inlineStr">
        <is>
          <t>0</t>
        </is>
      </c>
      <c r="M7" s="466" t="inlineStr">
        <is>
          <t>0</t>
        </is>
      </c>
      <c r="N7" s="466" t="inlineStr">
        <is>
          <t>0</t>
        </is>
      </c>
      <c r="O7" s="466" t="inlineStr">
        <is>
          <t>0</t>
        </is>
      </c>
    </row>
    <row spans="1:15" outlineLevel="0" r="8">
      <c r="A8" s="466" t="inlineStr">
        <is>
          <t>2026</t>
        </is>
      </c>
      <c r="B8" s="466" t="inlineStr">
        <is>
          <t>07-H</t>
        </is>
      </c>
      <c r="C8" s="466" t="inlineStr">
        <is>
          <t>253</t>
        </is>
      </c>
      <c r="D8" s="466" t="inlineStr">
        <is>
          <t>110</t>
        </is>
      </c>
      <c r="E8" s="466" t="inlineStr">
        <is>
          <t>119</t>
        </is>
      </c>
      <c r="F8" s="466" t="inlineStr">
        <is>
          <t>66</t>
        </is>
      </c>
      <c r="G8" s="466" t="inlineStr">
        <is>
          <t>81</t>
        </is>
      </c>
      <c r="H8" s="466" t="inlineStr">
        <is>
          <t>132</t>
        </is>
      </c>
      <c r="I8" s="466" t="inlineStr">
        <is>
          <t>60</t>
        </is>
      </c>
      <c r="J8" s="466" t="inlineStr">
        <is>
          <t>45</t>
        </is>
      </c>
      <c r="K8" s="466" t="inlineStr">
        <is>
          <t>72</t>
        </is>
      </c>
      <c r="L8" s="466" t="inlineStr">
        <is>
          <t>0</t>
        </is>
      </c>
      <c r="M8" s="466" t="inlineStr">
        <is>
          <t>0</t>
        </is>
      </c>
      <c r="N8" s="466" t="inlineStr">
        <is>
          <t>0</t>
        </is>
      </c>
      <c r="O8" s="466" t="inlineStr">
        <is>
          <t>104</t>
        </is>
      </c>
    </row>
    <row spans="1:15" outlineLevel="0" r="9">
      <c r="A9" s="466" t="inlineStr">
        <is>
          <t>2026</t>
        </is>
      </c>
      <c r="B9" s="466" t="inlineStr">
        <is>
          <t>08-Z</t>
        </is>
      </c>
      <c r="C9" s="466" t="inlineStr">
        <is>
          <t>7</t>
        </is>
      </c>
      <c r="D9" s="466" t="inlineStr">
        <is>
          <t>5</t>
        </is>
      </c>
      <c r="E9" s="466" t="inlineStr">
        <is>
          <t>19</t>
        </is>
      </c>
      <c r="F9" s="466" t="inlineStr">
        <is>
          <t>12</t>
        </is>
      </c>
      <c r="G9" s="466" t="inlineStr">
        <is>
          <t>4</t>
        </is>
      </c>
      <c r="H9" s="466" t="inlineStr">
        <is>
          <t>33</t>
        </is>
      </c>
      <c r="I9" s="466" t="inlineStr">
        <is>
          <t>2</t>
        </is>
      </c>
      <c r="J9" s="466" t="inlineStr">
        <is>
          <t>2</t>
        </is>
      </c>
      <c r="K9" s="466" t="inlineStr">
        <is>
          <t>3</t>
        </is>
      </c>
      <c r="L9" s="466" t="inlineStr">
        <is>
          <t>0</t>
        </is>
      </c>
      <c r="M9" s="466" t="inlineStr">
        <is>
          <t>0</t>
        </is>
      </c>
      <c r="N9" s="466" t="inlineStr">
        <is>
          <t>0</t>
        </is>
      </c>
      <c r="O9" s="466" t="inlineStr">
        <is>
          <t>10</t>
        </is>
      </c>
    </row>
    <row spans="1:15" outlineLevel="0" r="10">
      <c r="A10" s="466" t="inlineStr">
        <is>
          <t>2026</t>
        </is>
      </c>
      <c r="B10" s="466" t="inlineStr">
        <is>
          <t>10-M</t>
        </is>
      </c>
      <c r="C10" s="466" t="inlineStr">
        <is>
          <t>2</t>
        </is>
      </c>
      <c r="D10" s="466" t="inlineStr">
        <is>
          <t>0</t>
        </is>
      </c>
      <c r="E10" s="466" t="inlineStr">
        <is>
          <t>0</t>
        </is>
      </c>
      <c r="F10" s="466" t="inlineStr">
        <is>
          <t>1</t>
        </is>
      </c>
      <c r="G10" s="466" t="inlineStr">
        <is>
          <t>0</t>
        </is>
      </c>
      <c r="H10" s="466" t="inlineStr">
        <is>
          <t>0</t>
        </is>
      </c>
      <c r="I10" s="466" t="inlineStr">
        <is>
          <t>0</t>
        </is>
      </c>
      <c r="J10" s="466" t="inlineStr">
        <is>
          <t>9</t>
        </is>
      </c>
      <c r="K10" s="466" t="inlineStr">
        <is>
          <t>5</t>
        </is>
      </c>
      <c r="L10" s="466" t="inlineStr">
        <is>
          <t>0</t>
        </is>
      </c>
      <c r="M10" s="466" t="inlineStr">
        <is>
          <t>0</t>
        </is>
      </c>
      <c r="N10" s="466" t="inlineStr">
        <is>
          <t>0</t>
        </is>
      </c>
      <c r="O10" s="466" t="inlineStr">
        <is>
          <t>2</t>
        </is>
      </c>
    </row>
    <row spans="1:15" outlineLevel="0" r="11">
      <c r="A11" s="466" t="inlineStr">
        <is>
          <t>2026</t>
        </is>
      </c>
      <c r="B11" s="466" t="inlineStr">
        <is>
          <t>11-S</t>
        </is>
      </c>
      <c r="C11" s="466" t="inlineStr">
        <is>
          <t>37</t>
        </is>
      </c>
      <c r="D11" s="466" t="inlineStr">
        <is>
          <t>13</t>
        </is>
      </c>
      <c r="E11" s="466" t="inlineStr">
        <is>
          <t>12</t>
        </is>
      </c>
      <c r="F11" s="466" t="inlineStr">
        <is>
          <t>26</t>
        </is>
      </c>
      <c r="G11" s="466" t="inlineStr">
        <is>
          <t>50</t>
        </is>
      </c>
      <c r="H11" s="466" t="inlineStr">
        <is>
          <t>119</t>
        </is>
      </c>
      <c r="I11" s="466" t="inlineStr">
        <is>
          <t>116</t>
        </is>
      </c>
      <c r="J11" s="466" t="inlineStr">
        <is>
          <t>82</t>
        </is>
      </c>
      <c r="K11" s="466" t="inlineStr">
        <is>
          <t>69</t>
        </is>
      </c>
      <c r="L11" s="466" t="inlineStr">
        <is>
          <t>0</t>
        </is>
      </c>
      <c r="M11" s="466" t="inlineStr">
        <is>
          <t>0</t>
        </is>
      </c>
      <c r="N11" s="466" t="inlineStr">
        <is>
          <t>0</t>
        </is>
      </c>
      <c r="O11" s="466" t="inlineStr">
        <is>
          <t>58</t>
        </is>
      </c>
    </row>
    <row spans="1:15" outlineLevel="0" r="12">
      <c r="A12" s="466" t="inlineStr">
        <is>
          <t>2026</t>
        </is>
      </c>
      <c r="B12" s="466" t="inlineStr">
        <is>
          <t>12-V</t>
        </is>
      </c>
      <c r="C12" s="466" t="inlineStr">
        <is>
          <t>290</t>
        </is>
      </c>
      <c r="D12" s="466" t="inlineStr">
        <is>
          <t>226</t>
        </is>
      </c>
      <c r="E12" s="466" t="inlineStr">
        <is>
          <t>394</t>
        </is>
      </c>
      <c r="F12" s="466" t="inlineStr">
        <is>
          <t>196</t>
        </is>
      </c>
      <c r="G12" s="466" t="inlineStr">
        <is>
          <t>260</t>
        </is>
      </c>
      <c r="H12" s="466" t="inlineStr">
        <is>
          <t>273</t>
        </is>
      </c>
      <c r="I12" s="466" t="inlineStr">
        <is>
          <t>278</t>
        </is>
      </c>
      <c r="J12" s="466" t="inlineStr">
        <is>
          <t>287</t>
        </is>
      </c>
      <c r="K12" s="466" t="inlineStr">
        <is>
          <t>188</t>
        </is>
      </c>
      <c r="L12" s="466" t="inlineStr">
        <is>
          <t>0</t>
        </is>
      </c>
      <c r="M12" s="466" t="inlineStr">
        <is>
          <t>0</t>
        </is>
      </c>
      <c r="N12" s="466" t="inlineStr">
        <is>
          <t>0</t>
        </is>
      </c>
      <c r="O12" s="466" t="inlineStr">
        <is>
          <t>266</t>
        </is>
      </c>
    </row>
    <row spans="1:15" outlineLevel="0" r="13">
      <c r="A13" s="466" t="inlineStr">
        <is>
          <t>2026</t>
        </is>
      </c>
      <c r="B13" s="466" t="inlineStr">
        <is>
          <t>13-T</t>
        </is>
      </c>
      <c r="C13" s="466" t="inlineStr">
        <is>
          <t>74</t>
        </is>
      </c>
      <c r="D13" s="466" t="inlineStr">
        <is>
          <t>88</t>
        </is>
      </c>
      <c r="E13" s="466" t="inlineStr">
        <is>
          <t>96</t>
        </is>
      </c>
      <c r="F13" s="466" t="inlineStr">
        <is>
          <t>85</t>
        </is>
      </c>
      <c r="G13" s="466" t="inlineStr">
        <is>
          <t>98</t>
        </is>
      </c>
      <c r="H13" s="466" t="inlineStr">
        <is>
          <t>56</t>
        </is>
      </c>
      <c r="I13" s="466" t="inlineStr">
        <is>
          <t>112</t>
        </is>
      </c>
      <c r="J13" s="466" t="inlineStr">
        <is>
          <t>40</t>
        </is>
      </c>
      <c r="K13" s="466" t="inlineStr">
        <is>
          <t>54</t>
        </is>
      </c>
      <c r="L13" s="466" t="inlineStr">
        <is>
          <t>0</t>
        </is>
      </c>
      <c r="M13" s="466" t="inlineStr">
        <is>
          <t>0</t>
        </is>
      </c>
      <c r="N13" s="466" t="inlineStr">
        <is>
          <t>0</t>
        </is>
      </c>
      <c r="O13" s="466" t="inlineStr">
        <is>
          <t>78</t>
        </is>
      </c>
    </row>
    <row spans="1:15" outlineLevel="0" r="14">
      <c r="A14" s="466" t="inlineStr">
        <is>
          <t>2026</t>
        </is>
      </c>
      <c r="B14" s="466" t="inlineStr">
        <is>
          <t>14-P</t>
        </is>
      </c>
      <c r="C14" s="466" t="inlineStr">
        <is>
          <t>0</t>
        </is>
      </c>
      <c r="D14" s="466" t="inlineStr">
        <is>
          <t>0</t>
        </is>
      </c>
      <c r="E14" s="466" t="inlineStr">
        <is>
          <t>1</t>
        </is>
      </c>
      <c r="F14" s="466" t="inlineStr">
        <is>
          <t>0</t>
        </is>
      </c>
      <c r="G14" s="466" t="inlineStr">
        <is>
          <t>1</t>
        </is>
      </c>
      <c r="H14" s="466" t="inlineStr">
        <is>
          <t>0</t>
        </is>
      </c>
      <c r="I14" s="466" t="inlineStr">
        <is>
          <t>0</t>
        </is>
      </c>
      <c r="J14" s="466" t="inlineStr">
        <is>
          <t>1</t>
        </is>
      </c>
      <c r="K14" s="466" t="inlineStr">
        <is>
          <t>0</t>
        </is>
      </c>
      <c r="L14" s="466" t="inlineStr">
        <is>
          <t>0</t>
        </is>
      </c>
      <c r="M14" s="466" t="inlineStr">
        <is>
          <t>0</t>
        </is>
      </c>
      <c r="N14" s="466" t="inlineStr">
        <is>
          <t>0</t>
        </is>
      </c>
      <c r="O14" s="466" t="inlineStr">
        <is>
          <t>0</t>
        </is>
      </c>
    </row>
    <row spans="1:15" outlineLevel="0" r="15">
      <c r="A15" s="466" t="inlineStr">
        <is>
          <t>2026</t>
        </is>
      </c>
      <c r="B15" s="466" t="inlineStr">
        <is>
          <t>16-2</t>
        </is>
      </c>
      <c r="C15" s="466" t="inlineStr">
        <is>
          <t>0</t>
        </is>
      </c>
      <c r="D15" s="466" t="inlineStr">
        <is>
          <t>0</t>
        </is>
      </c>
      <c r="E15" s="466" t="inlineStr">
        <is>
          <t>0</t>
        </is>
      </c>
      <c r="F15" s="466" t="inlineStr">
        <is>
          <t>0</t>
        </is>
      </c>
      <c r="G15" s="466" t="inlineStr">
        <is>
          <t>0</t>
        </is>
      </c>
      <c r="H15" s="466" t="inlineStr">
        <is>
          <t>0</t>
        </is>
      </c>
      <c r="I15" s="466" t="inlineStr">
        <is>
          <t>0</t>
        </is>
      </c>
      <c r="J15" s="466" t="inlineStr">
        <is>
          <t>0</t>
        </is>
      </c>
      <c r="K15" s="466" t="inlineStr">
        <is>
          <t>0</t>
        </is>
      </c>
      <c r="L15" s="466" t="inlineStr">
        <is>
          <t>0</t>
        </is>
      </c>
      <c r="M15" s="466" t="inlineStr">
        <is>
          <t>0</t>
        </is>
      </c>
      <c r="N15" s="466" t="inlineStr">
        <is>
          <t>0</t>
        </is>
      </c>
      <c r="O15" s="466" t="inlineStr">
        <is>
          <t>0</t>
        </is>
      </c>
    </row>
    <row spans="1:15" outlineLevel="0" r="16">
      <c r="A16" s="466" t="inlineStr">
        <is>
          <t>2026</t>
        </is>
      </c>
      <c r="B16" s="466" t="inlineStr">
        <is>
          <t>17-3</t>
        </is>
      </c>
      <c r="C16" s="466" t="inlineStr">
        <is>
          <t>0</t>
        </is>
      </c>
      <c r="D16" s="466" t="inlineStr">
        <is>
          <t>0</t>
        </is>
      </c>
      <c r="E16" s="466" t="inlineStr">
        <is>
          <t>0</t>
        </is>
      </c>
      <c r="F16" s="466" t="inlineStr">
        <is>
          <t>0</t>
        </is>
      </c>
      <c r="G16" s="466" t="inlineStr">
        <is>
          <t>0</t>
        </is>
      </c>
      <c r="H16" s="466" t="inlineStr">
        <is>
          <t>0</t>
        </is>
      </c>
      <c r="I16" s="466" t="inlineStr">
        <is>
          <t>0</t>
        </is>
      </c>
      <c r="J16" s="466" t="inlineStr">
        <is>
          <t>0</t>
        </is>
      </c>
      <c r="K16" s="466" t="inlineStr">
        <is>
          <t>0</t>
        </is>
      </c>
      <c r="L16" s="466" t="inlineStr">
        <is>
          <t>0</t>
        </is>
      </c>
      <c r="M16" s="466" t="inlineStr">
        <is>
          <t>0</t>
        </is>
      </c>
      <c r="N16" s="466" t="inlineStr">
        <is>
          <t>0</t>
        </is>
      </c>
      <c r="O16" s="466" t="inlineStr">
        <is>
          <t>0</t>
        </is>
      </c>
    </row>
    <row spans="1:15" outlineLevel="0" r="17">
      <c r="A17" s="466" t="inlineStr">
        <is>
          <t>2026</t>
        </is>
      </c>
      <c r="B17" s="466" t="inlineStr">
        <is>
          <t>18-4</t>
        </is>
      </c>
      <c r="C17" s="466" t="inlineStr">
        <is>
          <t>0</t>
        </is>
      </c>
      <c r="D17" s="466" t="inlineStr">
        <is>
          <t>0</t>
        </is>
      </c>
      <c r="E17" s="466" t="inlineStr">
        <is>
          <t>0</t>
        </is>
      </c>
      <c r="F17" s="466" t="inlineStr">
        <is>
          <t>0</t>
        </is>
      </c>
      <c r="G17" s="466" t="inlineStr">
        <is>
          <t>0</t>
        </is>
      </c>
      <c r="H17" s="466" t="inlineStr">
        <is>
          <t>0</t>
        </is>
      </c>
      <c r="I17" s="466" t="inlineStr">
        <is>
          <t>0</t>
        </is>
      </c>
      <c r="J17" s="466" t="inlineStr">
        <is>
          <t>0</t>
        </is>
      </c>
      <c r="K17" s="466" t="inlineStr">
        <is>
          <t>0</t>
        </is>
      </c>
      <c r="L17" s="466" t="inlineStr">
        <is>
          <t>0</t>
        </is>
      </c>
      <c r="M17" s="466" t="inlineStr">
        <is>
          <t>0</t>
        </is>
      </c>
      <c r="N17" s="466" t="inlineStr">
        <is>
          <t>0</t>
        </is>
      </c>
      <c r="O17" s="466" t="inlineStr">
        <is>
          <t>0</t>
        </is>
      </c>
    </row>
    <row spans="1:15" outlineLevel="0" r="18">
      <c r="A18" s="466" t="inlineStr">
        <is>
          <t>2026</t>
        </is>
      </c>
      <c r="B18" s="466" t="inlineStr">
        <is>
          <t>19-5</t>
        </is>
      </c>
      <c r="C18" s="466" t="inlineStr">
        <is>
          <t>0</t>
        </is>
      </c>
      <c r="D18" s="466" t="inlineStr">
        <is>
          <t>0</t>
        </is>
      </c>
      <c r="E18" s="466" t="inlineStr">
        <is>
          <t>0</t>
        </is>
      </c>
      <c r="F18" s="466" t="inlineStr">
        <is>
          <t>0</t>
        </is>
      </c>
      <c r="G18" s="466" t="inlineStr">
        <is>
          <t>0</t>
        </is>
      </c>
      <c r="H18" s="466" t="inlineStr">
        <is>
          <t>0</t>
        </is>
      </c>
      <c r="I18" s="466" t="inlineStr">
        <is>
          <t>0</t>
        </is>
      </c>
      <c r="J18" s="466" t="inlineStr">
        <is>
          <t>0</t>
        </is>
      </c>
      <c r="K18" s="466" t="inlineStr">
        <is>
          <t>0</t>
        </is>
      </c>
      <c r="L18" s="466" t="inlineStr">
        <is>
          <t>0</t>
        </is>
      </c>
      <c r="M18" s="466" t="inlineStr">
        <is>
          <t>0</t>
        </is>
      </c>
      <c r="N18" s="466" t="inlineStr">
        <is>
          <t>0</t>
        </is>
      </c>
      <c r="O18" s="466" t="inlineStr">
        <is>
          <t>0</t>
        </is>
      </c>
    </row>
    <row spans="1:15" outlineLevel="0" r="19">
      <c r="A19" s="466" t="inlineStr">
        <is>
          <t>2026</t>
        </is>
      </c>
      <c r="B19" s="466" t="inlineStr">
        <is>
          <t>20-7</t>
        </is>
      </c>
      <c r="C19" s="466" t="inlineStr">
        <is>
          <t>0</t>
        </is>
      </c>
      <c r="D19" s="466" t="inlineStr">
        <is>
          <t>0</t>
        </is>
      </c>
      <c r="E19" s="466" t="inlineStr">
        <is>
          <t>0</t>
        </is>
      </c>
      <c r="F19" s="466" t="inlineStr">
        <is>
          <t>0</t>
        </is>
      </c>
      <c r="G19" s="466" t="inlineStr">
        <is>
          <t>0</t>
        </is>
      </c>
      <c r="H19" s="466" t="inlineStr">
        <is>
          <t>0</t>
        </is>
      </c>
      <c r="I19" s="466" t="inlineStr">
        <is>
          <t>0</t>
        </is>
      </c>
      <c r="J19" s="466" t="inlineStr">
        <is>
          <t>0</t>
        </is>
      </c>
      <c r="K19" s="466" t="inlineStr">
        <is>
          <t>0</t>
        </is>
      </c>
      <c r="L19" s="466" t="inlineStr">
        <is>
          <t>0</t>
        </is>
      </c>
      <c r="M19" s="466" t="inlineStr">
        <is>
          <t>0</t>
        </is>
      </c>
      <c r="N19" s="466" t="inlineStr">
        <is>
          <t>0</t>
        </is>
      </c>
      <c r="O19" s="466" t="inlineStr">
        <is>
          <t>0</t>
        </is>
      </c>
    </row>
    <row spans="1:15" outlineLevel="0" r="20">
      <c r="A20" s="466" t="inlineStr">
        <is>
          <t>2026</t>
        </is>
      </c>
      <c r="B20" s="466" t="inlineStr">
        <is>
          <t>21-6</t>
        </is>
      </c>
      <c r="C20" s="466" t="inlineStr">
        <is>
          <t>707</t>
        </is>
      </c>
      <c r="D20" s="466" t="inlineStr">
        <is>
          <t>411</t>
        </is>
      </c>
      <c r="E20" s="466" t="inlineStr">
        <is>
          <t>806</t>
        </is>
      </c>
      <c r="F20" s="466" t="inlineStr">
        <is>
          <t>658</t>
        </is>
      </c>
      <c r="G20" s="466" t="inlineStr">
        <is>
          <t>762</t>
        </is>
      </c>
      <c r="H20" s="466" t="inlineStr">
        <is>
          <t>1032</t>
        </is>
      </c>
      <c r="I20" s="466" t="inlineStr">
        <is>
          <t>971</t>
        </is>
      </c>
      <c r="J20" s="466" t="inlineStr">
        <is>
          <t>844</t>
        </is>
      </c>
      <c r="K20" s="466" t="inlineStr">
        <is>
          <t>514</t>
        </is>
      </c>
      <c r="L20" s="466" t="inlineStr">
        <is>
          <t>0</t>
        </is>
      </c>
      <c r="M20" s="466" t="inlineStr">
        <is>
          <t>0</t>
        </is>
      </c>
      <c r="N20" s="466" t="inlineStr">
        <is>
          <t>0</t>
        </is>
      </c>
      <c r="O20" s="466" t="inlineStr">
        <is>
          <t>745</t>
        </is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7" ma:contentTypeDescription="建立新的文件。" ma:contentTypeScope="" ma:versionID="bd6512a906ac452f4c9dfe9837c2f5a7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ad131db03c5b447eeb9023453ae82b1a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>
  <ds:schemaRefs>
    <ds:schemaRef ds:uri="http://schemas.microsoft.com/office/2006/metadata/properties"/>
    <ds:schemaRef ds:uri="http://schemas.microsoft.com/office/infopath/2007/PartnerControls"/>
    <ds:schemaRef ds:uri="fe44524b-bcf3-47c2-b7f6-4a5bfab68ce7"/>
    <ds:schemaRef ds:uri="5bb1daa6-2aaa-478b-9e26-ccd9af7e4865"/>
  </ds:schemaRefs>
</ds:datastoreItem>
</file>

<file path=customXml/itemProps2.xml><?xml version="1.0" encoding="utf-8"?>
<ds:datastoreItem xmlns:ds="http://schemas.openxmlformats.org/officeDocument/2006/customXml" ds:itemID="{EC39957D-8F25-4C5A-A3A8-28652AEF88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C9CF72-BBB9-417B-801F-49CDE6612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11</vt:i4>
      </vt:variant>
    </vt:vector>
  </HeadingPairs>
  <TitlesOfParts>
    <vt:vector size="30" baseType="lpstr">
      <vt:lpstr>當月份</vt:lpstr>
      <vt:lpstr>附件一(A庫存金額)</vt:lpstr>
      <vt:lpstr>附件二(期貨)</vt:lpstr>
      <vt:lpstr>當年月推移</vt:lpstr>
      <vt:lpstr>去年月推移_old</vt:lpstr>
      <vt:lpstr>去年月推移</vt:lpstr>
      <vt:lpstr>當年目標設定</vt:lpstr>
      <vt:lpstr>A類各進口別庫存金額目標</vt:lpstr>
      <vt:lpstr>日期</vt:lpstr>
      <vt:lpstr>庫存金額</vt:lpstr>
      <vt:lpstr>供應率ALL</vt:lpstr>
      <vt:lpstr>供應率</vt:lpstr>
      <vt:lpstr>點數BO</vt:lpstr>
      <vt:lpstr>庫存金額A類</vt:lpstr>
      <vt:lpstr>期貨金額</vt:lpstr>
      <vt:lpstr>月庫存金額</vt:lpstr>
      <vt:lpstr>月供應率ALL</vt:lpstr>
      <vt:lpstr>月供應率</vt:lpstr>
      <vt:lpstr>月點數BO</vt:lpstr>
      <vt:lpstr>日期</vt:lpstr>
      <vt:lpstr>月供應率</vt:lpstr>
      <vt:lpstr>月供應率ALL</vt:lpstr>
      <vt:lpstr>月庫存金額</vt:lpstr>
      <vt:lpstr>月點數BO</vt:lpstr>
      <vt:lpstr>供應率</vt:lpstr>
      <vt:lpstr>供應率ALL</vt:lpstr>
      <vt:lpstr>庫存金額</vt:lpstr>
      <vt:lpstr>庫存金額A類</vt:lpstr>
      <vt:lpstr>期貨金額</vt:lpstr>
      <vt:lpstr>點數BO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Microsoft Access User</cp:lastModifiedBy>
  <cp:revision/>
  <dcterms:created xsi:type="dcterms:W3CDTF">2010-08-05T03:30:00Z</dcterms:created>
  <dcterms:modified xsi:type="dcterms:W3CDTF">2026-10-30T22:30:18Z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