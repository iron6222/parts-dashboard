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6BA2E1BB-4F27-4F0B-975F-12E02A5411ED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<sst xmlns="http://schemas.openxmlformats.org/spreadsheetml/2006/main" count="7071" uniqueCount="1591">
  <si>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</si>
  <si>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</si>
  <si>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</si>
  <si>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</si>
  <si>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</si>
  <si>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</si>
  <si>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</si>
  <si>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</si>
  <si>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</si>
  <si>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</si>
  <si>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</si>
  <si>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</si>
  <si>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</si>
  <si>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</si>
  <si>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</si>
  <si>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</si>
  <si>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</si>
  <si>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</si>
  <si>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</si>
  <si>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</si>
  <si>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</si>
  <si>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</si>
  <si>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</si>
  <si>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</si>
  <si>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</si>
  <si>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</si>
  <si>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</si>
  <si>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</si>
  <si>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</si>
  <si>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</si>
  <si>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</si>
  <si>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</si>
  <si>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</si>
  <si>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</si>
  <si>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</si>
  <si>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</si>
  <si>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</si>
  <si>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</si>
  <si>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</si>
  <si>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</si>
  <si>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</si>
  <si>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</si>
  <si>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</si>
  <si>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</si>
  <si>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</si>
  <si>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</si>
  <si>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</si>
  <si>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</si>
  <si>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</si>
  <si>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</si>
  <si>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</si>
  <si>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</si>
  <si>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</si>
  <si>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</si>
  <si>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</si>
  <si>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</si>
  <si>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</si>
  <si>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</si>
  <si>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</si>
  <si>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</si>
  <si>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</si>
  <si>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</si>
  <si>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</si>
  <si>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</si>
  <si>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</si>
  <si>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</si>
  <si>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</si>
  <si>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</si>
  <si>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</si>
  <si>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</si>
  <si>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</si>
  <si>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</si>
  <si>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</si>
  <si>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</si>
  <si>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</si>
  <si>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</si>
  <si>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</si>
  <si>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</si>
  <si>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</si>
  <si>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</si>
  <si>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</si>
  <si>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</si>
  <si>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</si>
  <si>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</si>
  <si>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</si>
  <si>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</si>
  <si>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</si>
  <si>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</si>
  <si>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</si>
  <si>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</si>
  <si>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</si>
  <si>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</si>
  <si>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</si>
  <si>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</si>
  <si>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</si>
  <si>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</si>
  <si>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</si>
  <si>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</si>
  <si>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</si>
  <si>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</si>
  <si>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</si>
  <si>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</si>
  <si>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</si>
  <si>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</si>
  <si>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</si>
  <si>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</si>
  <si>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</si>
  <si>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</si>
  <si>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</si>
  <si>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</si>
  <si>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</si>
  <si>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</si>
  <si>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</si>
  <si>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</si>
  <si>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</si>
  <si>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</si>
  <si>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</si>
  <si>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</si>
  <si>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</si>
  <si>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</si>
  <si>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</si>
  <si>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</si>
  <si>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</si>
  <si>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</si>
  <si>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</si>
  <si>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</si>
  <si>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</si>
  <si>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</si>
  <si>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</si>
  <si>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</si>
  <si>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</si>
  <si>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</si>
  <si>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</si>
  <si>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</si>
  <si>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</si>
  <si>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</si>
  <si>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</si>
  <si>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</si>
  <si>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</si>
  <si>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</si>
  <si>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</si>
  <si>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</si>
  <si>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</si>
  <si>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</si>
  <si>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</si>
  <si>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</si>
  <si>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</si>
  <si>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</si>
  <si>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</si>
  <si>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</si>
  <si>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</si>
  <si>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</si>
  <si>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</si>
  <si>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</si>
  <si>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</si>
  <si>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</si>
  <si>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</si>
  <si>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</si>
  <si>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</si>
  <si>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</si>
  <si>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</si>
  <si>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</si>
  <si>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</si>
  <si>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</si>
  <si>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</si>
  <si>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</si>
  <si>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</si>
  <si>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</si>
  <si>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</si>
  <si>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</si>
  <si>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</si>
  <si>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</si>
  <si>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</si>
  <si>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</si>
  <si>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</si>
  <si>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</si>
  <si>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</si>
  <si>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</si>
  <si>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</si>
  <si>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</si>
  <si>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</si>
  <si>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</si>
  <si>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</si>
  <si>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</si>
  <si>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</si>
  <si>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</si>
  <si>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</si>
  <si>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</si>
  <si>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</si>
  <si>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</si>
  <si>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</si>
  <si>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</si>
  <si>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</si>
  <si>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</si>
  <si>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</si>
  <si>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</si>
  <si>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</si>
  <si>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</si>
  <si>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</si>
  <si>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</si>
  <si>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</si>
  <si>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</si>
  <si>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</si>
  <si>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</si>
  <si>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</si>
  <si>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</si>
  <si>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</si>
  <si>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</si>
  <si>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</si>
  <si>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</si>
  <si>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</si>
  <si>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</si>
  <si>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</si>
  <si>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</si>
  <si>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</si>
  <si>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</si>
  <si>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</si>
  <si>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</si>
  <si>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</si>
  <si>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</si>
  <si>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</si>
  <si>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</si>
  <si>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</si>
  <si>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</si>
  <si>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</si>
  <si>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</si>
  <si>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</si>
  <si>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</si>
  <si>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</si>
  <si>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</si>
  <si>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</si>
  <si>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</si>
  <si>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</si>
  <si>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</si>
  <si>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</si>
  <si>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</si>
  <si>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</si>
  <si>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</si>
  <si>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</si>
  <si>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</si>
  <si>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</si>
  <si>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</si>
  <si>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</si>
  <si>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</si>
  <si>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</si>
  <si>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</si>
  <si>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</si>
  <si>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</si>
  <si>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</si>
  <si>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</si>
  <si>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</si>
  <si>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</si>
  <si>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</si>
  <si>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</si>
  <si>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</si>
  <si>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</si>
  <si>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</si>
  <si>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</si>
  <si>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</si>
  <si>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</si>
  <si>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</si>
  <si>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</si>
  <si>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</si>
  <si>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</si>
  <si>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</si>
  <si>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</si>
  <si>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</si>
  <si>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</si>
  <si>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</si>
  <si>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</si>
  <si>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</si>
  <si>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</si>
  <si>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</si>
  <si>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</si>
  <si>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</si>
  <si>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</si>
  <si>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</si>
  <si>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</si>
  <si>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</si>
  <si>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</si>
  <si>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</si>
  <si>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</si>
  <si>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</si>
  <si>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</si>
  <si>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</si>
  <si>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</si>
  <si>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</si>
  <si>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</si>
  <si>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</si>
  <si>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</si>
  <si>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</si>
  <si>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</si>
  <si>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</si>
  <si>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</si>
  <si>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</si>
  <si>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</si>
  <si>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</si>
  <si>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</si>
  <si>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</si>
  <si>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</si>
  <si>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</si>
  <si>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</si>
  <si>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</si>
  <si>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</si>
  <si>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</si>
  <si>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</si>
  <si>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</si>
  <si>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</si>
  <si>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</si>
  <si>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</si>
  <si>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</si>
  <si>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</si>
  <si>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</si>
  <si>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</si>
  <si>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</si>
  <si>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</si>
  <si>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</si>
  <si>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</si>
  <si>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</si>
  <si>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</si>
  <si>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</si>
  <si>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</si>
  <si>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</si>
  <si>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</si>
  <si>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</si>
  <si>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</si>
  <si>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</si>
  <si>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</si>
  <si>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202508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</si>
  <si>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</si>
  <si>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</si>
  <si>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</si>
  <si>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</si>
  <si>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</si>
  <si>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</si>
  <si>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</si>
  <si>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</si>
  <si>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</si>
  <si>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</si>
  <si>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</si>
  <si>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</si>
  <si>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</si>
  <si>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</si>
  <si>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</si>
  <si>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</si>
  <si>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</si>
  <si>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</si>
  <si>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</si>
  <si>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</si>
  <si>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</si>
  <si>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</si>
  <si>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</si>
  <si>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</si>
  <si>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</si>
  <si>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</si>
  <si>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</si>
  <si>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</si>
  <si>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</si>
  <si>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</si>
  <si>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</si>
  <si>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</t>
  </si>
  <si>
    <t>FRCD</t>
  </si>
  <si>
    <t>DIFFAMT</t>
  </si>
  <si>
    <t>AVGAMT</t>
  </si>
  <si>
    <t>01-A</t>
  </si>
  <si>
    <t>272885718.00</t>
  </si>
  <si>
    <t>271052120.00</t>
  </si>
  <si>
    <t>271051730.00</t>
  </si>
  <si>
    <t>273983761.00</t>
  </si>
  <si>
    <t>275046664.00</t>
  </si>
  <si>
    <t>275787886.00</t>
  </si>
  <si>
    <t>279744166.00</t>
  </si>
  <si>
    <t>284276033.00</t>
  </si>
  <si>
    <t>281691626.00</t>
  </si>
  <si>
    <t>281684568.00</t>
  </si>
  <si>
    <t>283876494.00</t>
  </si>
  <si>
    <t>286528754.00</t>
  </si>
  <si>
    <t>293360371.00</t>
  </si>
  <si>
    <t>295911407.00</t>
  </si>
  <si>
    <t>299079139.00</t>
  </si>
  <si>
    <t>297703414.00</t>
  </si>
  <si>
    <t>297693808.00</t>
  </si>
  <si>
    <t>298930536.00</t>
  </si>
  <si>
    <t>298103001.00</t>
  </si>
  <si>
    <t>302115337.00</t>
  </si>
  <si>
    <t>303334335.00</t>
  </si>
  <si>
    <t>302513648.00</t>
  </si>
  <si>
    <t>302507183.00</t>
  </si>
  <si>
    <t>301011556.00</t>
  </si>
  <si>
    <t>293290595.00</t>
  </si>
  <si>
    <t>291537696.00</t>
  </si>
  <si>
    <t>295584879.00</t>
  </si>
  <si>
    <t>296037589.00</t>
  </si>
  <si>
    <t>293531649.00</t>
  </si>
  <si>
    <t>288190218.00</t>
  </si>
  <si>
    <t>288168798.00</t>
  </si>
  <si>
    <t>-21420.00</t>
  </si>
  <si>
    <t>289555312.23</t>
  </si>
  <si>
    <t>02-D</t>
  </si>
  <si>
    <t>205038098.00</t>
  </si>
  <si>
    <t>203410119.00</t>
  </si>
  <si>
    <t>203402334.00</t>
  </si>
  <si>
    <t>203382510.00</t>
  </si>
  <si>
    <t>204516432.00</t>
  </si>
  <si>
    <t>203111355.00</t>
  </si>
  <si>
    <t>204755056.00</t>
  </si>
  <si>
    <t>206504270.00</t>
  </si>
  <si>
    <t>204733045.00</t>
  </si>
  <si>
    <t>204067236.00</t>
  </si>
  <si>
    <t>202140772.00</t>
  </si>
  <si>
    <t>202928208.00</t>
  </si>
  <si>
    <t>200051243.00</t>
  </si>
  <si>
    <t>200130013.00</t>
  </si>
  <si>
    <t>198663687.00</t>
  </si>
  <si>
    <t>198661205.00</t>
  </si>
  <si>
    <t>197532454.00</t>
  </si>
  <si>
    <t>197205433.00</t>
  </si>
  <si>
    <t>196662615.00</t>
  </si>
  <si>
    <t>196993152.00</t>
  </si>
  <si>
    <t>193531346.00</t>
  </si>
  <si>
    <t>193166086.00</t>
  </si>
  <si>
    <t>191545187.00</t>
  </si>
  <si>
    <t>190782601.00</t>
  </si>
  <si>
    <t>192044197.00</t>
  </si>
  <si>
    <t>194732618.00</t>
  </si>
  <si>
    <t>192670880.00</t>
  </si>
  <si>
    <t>189675016.00</t>
  </si>
  <si>
    <t>189668191.00</t>
  </si>
  <si>
    <t>-6825.00</t>
  </si>
  <si>
    <t>198708701.61</t>
  </si>
  <si>
    <t>03-J</t>
  </si>
  <si>
    <t>7884033.00</t>
  </si>
  <si>
    <t>6089634.00</t>
  </si>
  <si>
    <t>5290853.00</t>
  </si>
  <si>
    <t>5522165.00</t>
  </si>
  <si>
    <t>5222326.00</t>
  </si>
  <si>
    <t>5319024.00</t>
  </si>
  <si>
    <t>5745576.00</t>
  </si>
  <si>
    <t>3634089.00</t>
  </si>
  <si>
    <t>5218248.00</t>
  </si>
  <si>
    <t>4671425.00</t>
  </si>
  <si>
    <t>5497493.00</t>
  </si>
  <si>
    <t>5894397.00</t>
  </si>
  <si>
    <t>6606089.00</t>
  </si>
  <si>
    <t>4533625.00</t>
  </si>
  <si>
    <t>4394108.00</t>
  </si>
  <si>
    <t>4683679.00</t>
  </si>
  <si>
    <t>4804789.00</t>
  </si>
  <si>
    <t>4771517.00</t>
  </si>
  <si>
    <t>5583687.00</t>
  </si>
  <si>
    <t>5581959.00</t>
  </si>
  <si>
    <t>4175046.00</t>
  </si>
  <si>
    <t>4634995.00</t>
  </si>
  <si>
    <t>5399838.00</t>
  </si>
  <si>
    <t>5959804.00</t>
  </si>
  <si>
    <t>7278627.00</t>
  </si>
  <si>
    <t>5352452.00</t>
  </si>
  <si>
    <t>.00</t>
  </si>
  <si>
    <t>5320740.81</t>
  </si>
  <si>
    <t>04-O</t>
  </si>
  <si>
    <t>5625302.00</t>
  </si>
  <si>
    <t>5579716.00</t>
  </si>
  <si>
    <t>5488270.00</t>
  </si>
  <si>
    <t>5424138.00</t>
  </si>
  <si>
    <t>5589650.00</t>
  </si>
  <si>
    <t>5778869.00</t>
  </si>
  <si>
    <t>5741117.00</t>
  </si>
  <si>
    <t>5981969.00</t>
  </si>
  <si>
    <t>6060239.00</t>
  </si>
  <si>
    <t>5958858.00</t>
  </si>
  <si>
    <t>5910630.00</t>
  </si>
  <si>
    <t>5962243.00</t>
  </si>
  <si>
    <t>5851526.00</t>
  </si>
  <si>
    <t>5844454.00</t>
  </si>
  <si>
    <t>5794489.00</t>
  </si>
  <si>
    <t>5749238.00</t>
  </si>
  <si>
    <t>5843368.00</t>
  </si>
  <si>
    <t>5958903.00</t>
  </si>
  <si>
    <t>5896923.00</t>
  </si>
  <si>
    <t>5872729.00</t>
  </si>
  <si>
    <t>5834484.00</t>
  </si>
  <si>
    <t>5798091.00</t>
  </si>
  <si>
    <t>6035746.00</t>
  </si>
  <si>
    <t>5997799.00</t>
  </si>
  <si>
    <t>5931673.00</t>
  </si>
  <si>
    <t>5889201.00</t>
  </si>
  <si>
    <t>5825544.77</t>
  </si>
  <si>
    <t>05-N</t>
  </si>
  <si>
    <t>22659810.00</t>
  </si>
  <si>
    <t>20505089.00</t>
  </si>
  <si>
    <t>19107001.00</t>
  </si>
  <si>
    <t>19692360.00</t>
  </si>
  <si>
    <t>19682805.00</t>
  </si>
  <si>
    <t>18999189.00</t>
  </si>
  <si>
    <t>21402765.00</t>
  </si>
  <si>
    <t>19182579.00</t>
  </si>
  <si>
    <t>19181472.00</t>
  </si>
  <si>
    <t>19144116.00</t>
  </si>
  <si>
    <t>19800364.00</t>
  </si>
  <si>
    <t>21239957.00</t>
  </si>
  <si>
    <t>19726058.00</t>
  </si>
  <si>
    <t>22708697.00</t>
  </si>
  <si>
    <t>20491022.00</t>
  </si>
  <si>
    <t>19536270.00</t>
  </si>
  <si>
    <t>19232909.00</t>
  </si>
  <si>
    <t>19602892.00</t>
  </si>
  <si>
    <t>20784335.00</t>
  </si>
  <si>
    <t>19386927.00</t>
  </si>
  <si>
    <t>19378855.00</t>
  </si>
  <si>
    <t>19286292.00</t>
  </si>
  <si>
    <t>18551785.00</t>
  </si>
  <si>
    <t>18436221.00</t>
  </si>
  <si>
    <t>19729434.00</t>
  </si>
  <si>
    <t>20697333.00</t>
  </si>
  <si>
    <t>21807263.00</t>
  </si>
  <si>
    <t>19959865.00</t>
  </si>
  <si>
    <t>20028052.94</t>
  </si>
  <si>
    <t>06-C</t>
  </si>
  <si>
    <t>07-H</t>
  </si>
  <si>
    <t>18991157.00</t>
  </si>
  <si>
    <t>15851480.00</t>
  </si>
  <si>
    <t>11881240.00</t>
  </si>
  <si>
    <t>11243325.00</t>
  </si>
  <si>
    <t>12066126.00</t>
  </si>
  <si>
    <t>12459607.00</t>
  </si>
  <si>
    <t>15063456.00</t>
  </si>
  <si>
    <t>11336926.00</t>
  </si>
  <si>
    <t>10086519.00</t>
  </si>
  <si>
    <t>11314707.00</t>
  </si>
  <si>
    <t>11961553.00</t>
  </si>
  <si>
    <t>12302016.00</t>
  </si>
  <si>
    <t>13458803.00</t>
  </si>
  <si>
    <t>9648361.00</t>
  </si>
  <si>
    <t>8691422.00</t>
  </si>
  <si>
    <t>9676063.00</t>
  </si>
  <si>
    <t>11295140.00</t>
  </si>
  <si>
    <t>11026897.00</t>
  </si>
  <si>
    <t>9947731.00</t>
  </si>
  <si>
    <t>9940532.00</t>
  </si>
  <si>
    <t>9894184.00</t>
  </si>
  <si>
    <t>8733470.00</t>
  </si>
  <si>
    <t>11360420.00</t>
  </si>
  <si>
    <t>12937860.00</t>
  </si>
  <si>
    <t>13655772.00</t>
  </si>
  <si>
    <t>15861462.00</t>
  </si>
  <si>
    <t>12490594.00</t>
  </si>
  <si>
    <t>22112808.00</t>
  </si>
  <si>
    <t>9622214.00</t>
  </si>
  <si>
    <t>12326658.00</t>
  </si>
  <si>
    <t>08-E</t>
  </si>
  <si>
    <t>09-F</t>
  </si>
  <si>
    <t>4668603.00</t>
  </si>
  <si>
    <t>4568413.00</t>
  </si>
  <si>
    <t>4453528.00</t>
  </si>
  <si>
    <t>4380713.00</t>
  </si>
  <si>
    <t>4252493.00</t>
  </si>
  <si>
    <t>4668893.00</t>
  </si>
  <si>
    <t>4567263.00</t>
  </si>
  <si>
    <t>4439223.00</t>
  </si>
  <si>
    <t>4276268.00</t>
  </si>
  <si>
    <t>4032468.00</t>
  </si>
  <si>
    <t>3916233.00</t>
  </si>
  <si>
    <t>3816643.00</t>
  </si>
  <si>
    <t>3704398.00</t>
  </si>
  <si>
    <t>3563373.00</t>
  </si>
  <si>
    <t>3411382.00</t>
  </si>
  <si>
    <t>3323942.00</t>
  </si>
  <si>
    <t>3526922.00</t>
  </si>
  <si>
    <t>3380672.00</t>
  </si>
  <si>
    <t>3274537.00</t>
  </si>
  <si>
    <t>3218117.00</t>
  </si>
  <si>
    <t>2926277.00</t>
  </si>
  <si>
    <t>2852642.00</t>
  </si>
  <si>
    <t>2741412.00</t>
  </si>
  <si>
    <t>2602347.00</t>
  </si>
  <si>
    <t>2502297.00</t>
  </si>
  <si>
    <t>2401962.00</t>
  </si>
  <si>
    <t>3668339.65</t>
  </si>
  <si>
    <t>10-P</t>
  </si>
  <si>
    <t>106839.00</t>
  </si>
  <si>
    <t>97149.00</t>
  </si>
  <si>
    <t>98711.90</t>
  </si>
  <si>
    <t>11-G</t>
  </si>
  <si>
    <t>12-M</t>
  </si>
  <si>
    <t>2141917.00</t>
  </si>
  <si>
    <t>1808371.00</t>
  </si>
  <si>
    <t>1801007.00</t>
  </si>
  <si>
    <t>2340428.00</t>
  </si>
  <si>
    <t>2650126.00</t>
  </si>
  <si>
    <t>2299536.00</t>
  </si>
  <si>
    <t>2302650.00</t>
  </si>
  <si>
    <t>2013002.00</t>
  </si>
  <si>
    <t>2076272.00</t>
  </si>
  <si>
    <t>2156604.00</t>
  </si>
  <si>
    <t>2143526.00</t>
  </si>
  <si>
    <t>1750027.00</t>
  </si>
  <si>
    <t>1937550.00</t>
  </si>
  <si>
    <t>1669363.00</t>
  </si>
  <si>
    <t>1984107.00</t>
  </si>
  <si>
    <t>1717422.00</t>
  </si>
  <si>
    <t>1509482.00</t>
  </si>
  <si>
    <t>1373872.00</t>
  </si>
  <si>
    <t>1379148.00</t>
  </si>
  <si>
    <t>1342055.00</t>
  </si>
  <si>
    <t>1284084.00</t>
  </si>
  <si>
    <t>1385831.00</t>
  </si>
  <si>
    <t>1054618.00</t>
  </si>
  <si>
    <t>2123179.00</t>
  </si>
  <si>
    <t>2076843.00</t>
  </si>
  <si>
    <t>1827319.19</t>
  </si>
  <si>
    <t>13-U</t>
  </si>
  <si>
    <t>239638.00</t>
  </si>
  <si>
    <t>239098.00</t>
  </si>
  <si>
    <t>238558.00</t>
  </si>
  <si>
    <t>234778.00</t>
  </si>
  <si>
    <t>256468.00</t>
  </si>
  <si>
    <t>251448.00</t>
  </si>
  <si>
    <t>249828.00</t>
  </si>
  <si>
    <t>248228.00</t>
  </si>
  <si>
    <t>245138.00</t>
  </si>
  <si>
    <t>298288.00</t>
  </si>
  <si>
    <t>297208.00</t>
  </si>
  <si>
    <t>295048.00</t>
  </si>
  <si>
    <t>287708.00</t>
  </si>
  <si>
    <t>278668.00</t>
  </si>
  <si>
    <t>278128.00</t>
  </si>
  <si>
    <t>272028.00</t>
  </si>
  <si>
    <t>259588.00</t>
  </si>
  <si>
    <t>249428.00</t>
  </si>
  <si>
    <t>243588.00</t>
  </si>
  <si>
    <t>239828.00</t>
  </si>
  <si>
    <t>238768.00</t>
  </si>
  <si>
    <t>238228.00</t>
  </si>
  <si>
    <t>237688.00</t>
  </si>
  <si>
    <t>255456.39</t>
  </si>
  <si>
    <t>14-L</t>
  </si>
  <si>
    <t>3843.00</t>
  </si>
  <si>
    <t>3992.00</t>
  </si>
  <si>
    <t>896.61</t>
  </si>
  <si>
    <t>18-T</t>
  </si>
  <si>
    <t>8072805.00</t>
  </si>
  <si>
    <t>7423117.00</t>
  </si>
  <si>
    <t>6386664.00</t>
  </si>
  <si>
    <t>6406829.00</t>
  </si>
  <si>
    <t>6750197.00</t>
  </si>
  <si>
    <t>6730048.00</t>
  </si>
  <si>
    <t>6915902.00</t>
  </si>
  <si>
    <t>6317681.00</t>
  </si>
  <si>
    <t>6025363.00</t>
  </si>
  <si>
    <t>6316147.00</t>
  </si>
  <si>
    <t>6627601.00</t>
  </si>
  <si>
    <t>6423281.00</t>
  </si>
  <si>
    <t>6221516.00</t>
  </si>
  <si>
    <t>5617320.00</t>
  </si>
  <si>
    <t>5898499.00</t>
  </si>
  <si>
    <t>5833824.00</t>
  </si>
  <si>
    <t>5329937.00</t>
  </si>
  <si>
    <t>5119212.00</t>
  </si>
  <si>
    <t>5186890.00</t>
  </si>
  <si>
    <t>5169385.00</t>
  </si>
  <si>
    <t>5642879.00</t>
  </si>
  <si>
    <t>5735565.00</t>
  </si>
  <si>
    <t>6298850.00</t>
  </si>
  <si>
    <t>11197180.00</t>
  </si>
  <si>
    <t>11317431.00</t>
  </si>
  <si>
    <t>10894210.00</t>
  </si>
  <si>
    <t>12496630.00</t>
  </si>
  <si>
    <t>1602420.00</t>
  </si>
  <si>
    <t>6867741.00</t>
  </si>
  <si>
    <t>19-V</t>
  </si>
  <si>
    <t>10927401.00</t>
  </si>
  <si>
    <t>10232040.00</t>
  </si>
  <si>
    <t>10249640.00</t>
  </si>
  <si>
    <t>9027620.00</t>
  </si>
  <si>
    <t>8916529.00</t>
  </si>
  <si>
    <t>8849890.00</t>
  </si>
  <si>
    <t>10143960.00</t>
  </si>
  <si>
    <t>9441774.00</t>
  </si>
  <si>
    <t>9727602.00</t>
  </si>
  <si>
    <t>9029847.00</t>
  </si>
  <si>
    <t>9807958.00</t>
  </si>
  <si>
    <t>9490103.00</t>
  </si>
  <si>
    <t>10573838.00</t>
  </si>
  <si>
    <t>9828496.00</t>
  </si>
  <si>
    <t>9608556.00</t>
  </si>
  <si>
    <t>9275626.00</t>
  </si>
  <si>
    <t>9705977.00</t>
  </si>
  <si>
    <t>10026919.00</t>
  </si>
  <si>
    <t>9750640.00</t>
  </si>
  <si>
    <t>9746938.00</t>
  </si>
  <si>
    <t>9729943.00</t>
  </si>
  <si>
    <t>10258246.00</t>
  </si>
  <si>
    <t>9780980.00</t>
  </si>
  <si>
    <t>9896409.00</t>
  </si>
  <si>
    <t>10208642.00</t>
  </si>
  <si>
    <t>10846046.00</t>
  </si>
  <si>
    <t>9957082.00</t>
  </si>
  <si>
    <t>9822519.16</t>
  </si>
  <si>
    <t>20-S</t>
  </si>
  <si>
    <t>13028596.00</t>
  </si>
  <si>
    <t>12972922.00</t>
  </si>
  <si>
    <t>13070730.00</t>
  </si>
  <si>
    <t>13152347.00</t>
  </si>
  <si>
    <t>13151415.00</t>
  </si>
  <si>
    <t>13219522.00</t>
  </si>
  <si>
    <t>13132985.00</t>
  </si>
  <si>
    <t>13088632.00</t>
  </si>
  <si>
    <t>13088982.00</t>
  </si>
  <si>
    <t>12990865.00</t>
  </si>
  <si>
    <t>12929882.00</t>
  </si>
  <si>
    <t>12818341.00</t>
  </si>
  <si>
    <t>12666895.00</t>
  </si>
  <si>
    <t>12592328.00</t>
  </si>
  <si>
    <t>12495012.00</t>
  </si>
  <si>
    <t>12401809.00</t>
  </si>
  <si>
    <t>12289577.00</t>
  </si>
  <si>
    <t>12177021.00</t>
  </si>
  <si>
    <t>11915919.00</t>
  </si>
  <si>
    <t>11911119.00</t>
  </si>
  <si>
    <t>11747211.00</t>
  </si>
  <si>
    <t>11671673.00</t>
  </si>
  <si>
    <t>11576635.00</t>
  </si>
  <si>
    <t>11504612.00</t>
  </si>
  <si>
    <t>11431167.00</t>
  </si>
  <si>
    <t>11385802.00</t>
  </si>
  <si>
    <t>12463471.03</t>
  </si>
  <si>
    <t>21-Q</t>
  </si>
  <si>
    <t>162800.00</t>
  </si>
  <si>
    <t>22-2</t>
  </si>
  <si>
    <t>161176.00</t>
  </si>
  <si>
    <t>23-3</t>
  </si>
  <si>
    <t>118257.00</t>
  </si>
  <si>
    <t>99537.00</t>
  </si>
  <si>
    <t>16704.00</t>
  </si>
  <si>
    <t>25704.00</t>
  </si>
  <si>
    <t>115968.00</t>
  </si>
  <si>
    <t>85219.45</t>
  </si>
  <si>
    <t>24-4</t>
  </si>
  <si>
    <t>25-5</t>
  </si>
  <si>
    <t>26-6</t>
  </si>
  <si>
    <t>13056984.00</t>
  </si>
  <si>
    <t>11630939.00</t>
  </si>
  <si>
    <t>11017703.00</t>
  </si>
  <si>
    <t>13766598.00</t>
  </si>
  <si>
    <t>12917955.00</t>
  </si>
  <si>
    <t>11915911.00</t>
  </si>
  <si>
    <t>13881654.00</t>
  </si>
  <si>
    <t>12347639.00</t>
  </si>
  <si>
    <t>11233242.00</t>
  </si>
  <si>
    <t>10896264.00</t>
  </si>
  <si>
    <t>12465590.00</t>
  </si>
  <si>
    <t>11661959.00</t>
  </si>
  <si>
    <t>11107612.00</t>
  </si>
  <si>
    <t>9480652.00</t>
  </si>
  <si>
    <t>9842966.00</t>
  </si>
  <si>
    <t>9492442.00</t>
  </si>
  <si>
    <t>10165521.00</t>
  </si>
  <si>
    <t>8860640.00</t>
  </si>
  <si>
    <t>7843701.00</t>
  </si>
  <si>
    <t>7842071.00</t>
  </si>
  <si>
    <t>7822228.00</t>
  </si>
  <si>
    <t>10900546.00</t>
  </si>
  <si>
    <t>10147651.00</t>
  </si>
  <si>
    <t>10604347.00</t>
  </si>
  <si>
    <t>9407977.00</t>
  </si>
  <si>
    <t>9174720.00</t>
  </si>
  <si>
    <t>7896973.00</t>
  </si>
  <si>
    <t>7897345.00</t>
  </si>
  <si>
    <t>372.00</t>
  </si>
  <si>
    <t>10604485.81</t>
  </si>
  <si>
    <t>27-7</t>
  </si>
  <si>
    <t>7940029.00</t>
  </si>
  <si>
    <t>7844429.00</t>
  </si>
  <si>
    <t>7729974.00</t>
  </si>
  <si>
    <t>7272224.00</t>
  </si>
  <si>
    <t>7328848.00</t>
  </si>
  <si>
    <t>7809120.00</t>
  </si>
  <si>
    <t>7218231.00</t>
  </si>
  <si>
    <t>7113431.00</t>
  </si>
  <si>
    <t>7962751.00</t>
  </si>
  <si>
    <t>7575391.00</t>
  </si>
  <si>
    <t>7664791.00</t>
  </si>
  <si>
    <t>8062551.00</t>
  </si>
  <si>
    <t>7989851.00</t>
  </si>
  <si>
    <t>7883851.00</t>
  </si>
  <si>
    <t>7863703.00</t>
  </si>
  <si>
    <t>7255875.00</t>
  </si>
  <si>
    <t>7170703.00</t>
  </si>
  <si>
    <t>7146300.00</t>
  </si>
  <si>
    <t>7309908.00</t>
  </si>
  <si>
    <t>7188708.00</t>
  </si>
  <si>
    <t>7662755.00</t>
  </si>
  <si>
    <t>7608373.00</t>
  </si>
  <si>
    <t>7775684.00</t>
  </si>
  <si>
    <t>7773944.00</t>
  </si>
  <si>
    <t>7699144.00</t>
  </si>
  <si>
    <t>7581007.75</t>
  </si>
  <si>
    <t>AVGSR</t>
  </si>
  <si>
    <t>97.6</t>
  </si>
  <si>
    <t>97.3</t>
  </si>
  <si>
    <t>0</t>
  </si>
  <si>
    <t>97.5</t>
  </si>
  <si>
    <t>97.4</t>
  </si>
  <si>
    <t>97</t>
  </si>
  <si>
    <t>97.9</t>
  </si>
  <si>
    <t>97.8</t>
  </si>
  <si>
    <t>98.5</t>
  </si>
  <si>
    <t>98.7</t>
  </si>
  <si>
    <t>98.4</t>
  </si>
  <si>
    <t>98.2</t>
  </si>
  <si>
    <t>100</t>
  </si>
  <si>
    <t>98.3</t>
  </si>
  <si>
    <t>98</t>
  </si>
  <si>
    <t>98.1</t>
  </si>
  <si>
    <t>98.8</t>
  </si>
  <si>
    <t>98.9</t>
  </si>
  <si>
    <t>97.7</t>
  </si>
  <si>
    <t>98.6</t>
  </si>
  <si>
    <t>97.1</t>
  </si>
  <si>
    <t>99</t>
  </si>
  <si>
    <t>99.7</t>
  </si>
  <si>
    <t>99.8</t>
  </si>
  <si>
    <t>99.9</t>
  </si>
  <si>
    <t>90.4</t>
  </si>
  <si>
    <t>85.7</t>
  </si>
  <si>
    <t>71.4</t>
  </si>
  <si>
    <t>80</t>
  </si>
  <si>
    <t>86.6</t>
  </si>
  <si>
    <t>88.8</t>
  </si>
  <si>
    <t>84.6</t>
  </si>
  <si>
    <t>83.3</t>
  </si>
  <si>
    <t>93.7</t>
  </si>
  <si>
    <t>76.9</t>
  </si>
  <si>
    <t>87.5</t>
  </si>
  <si>
    <t>95</t>
  </si>
  <si>
    <t>96.2</t>
  </si>
  <si>
    <t>91.1</t>
  </si>
  <si>
    <t>90</t>
  </si>
  <si>
    <t>92.8</t>
  </si>
  <si>
    <t>91.4</t>
  </si>
  <si>
    <t>99.6</t>
  </si>
  <si>
    <t>99.4</t>
  </si>
  <si>
    <t>99.5</t>
  </si>
  <si>
    <t>99.1</t>
  </si>
  <si>
    <t>99.3</t>
  </si>
  <si>
    <t>99.2</t>
  </si>
  <si>
    <t>96.5</t>
  </si>
  <si>
    <t>94.3</t>
  </si>
  <si>
    <t>08-Z</t>
  </si>
  <si>
    <t>94.4</t>
  </si>
  <si>
    <t>89.4</t>
  </si>
  <si>
    <t>95.4</t>
  </si>
  <si>
    <t>88.2</t>
  </si>
  <si>
    <t>95.8</t>
  </si>
  <si>
    <t>09-@</t>
  </si>
  <si>
    <t>97.2</t>
  </si>
  <si>
    <t>10-M</t>
  </si>
  <si>
    <t>11-S</t>
  </si>
  <si>
    <t>82.4</t>
  </si>
  <si>
    <t>96.8</t>
  </si>
  <si>
    <t>12-V</t>
  </si>
  <si>
    <t>96.4</t>
  </si>
  <si>
    <t>96.7</t>
  </si>
  <si>
    <t>96</t>
  </si>
  <si>
    <t>94.7</t>
  </si>
  <si>
    <t>95.3</t>
  </si>
  <si>
    <t>95.7</t>
  </si>
  <si>
    <t>94.6</t>
  </si>
  <si>
    <t>94.5</t>
  </si>
  <si>
    <t>93.2</t>
  </si>
  <si>
    <t>93.6</t>
  </si>
  <si>
    <t>96.1</t>
  </si>
  <si>
    <t>93.3</t>
  </si>
  <si>
    <t>95.6</t>
  </si>
  <si>
    <t>13-T</t>
  </si>
  <si>
    <t>96.9</t>
  </si>
  <si>
    <t>89.3</t>
  </si>
  <si>
    <t>92.6</t>
  </si>
  <si>
    <t>90.3</t>
  </si>
  <si>
    <t>87.6</t>
  </si>
  <si>
    <t>94.2</t>
  </si>
  <si>
    <t>94</t>
  </si>
  <si>
    <t>88.7</t>
  </si>
  <si>
    <t>91.3</t>
  </si>
  <si>
    <t>93.5</t>
  </si>
  <si>
    <t>94.9</t>
  </si>
  <si>
    <t>92.5</t>
  </si>
  <si>
    <t>88.1</t>
  </si>
  <si>
    <t>91.5</t>
  </si>
  <si>
    <t>91</t>
  </si>
  <si>
    <t>93</t>
  </si>
  <si>
    <t>93.8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</si>
  <si>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</si>
  <si>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</si>
  <si>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</si>
  <si>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</si>
  <si>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</si>
  <si>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</si>
  <si>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</si>
  <si>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</si>
  <si>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</si>
  <si>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90.5</t>
  </si>
  <si>
    <t>93.4</t>
  </si>
  <si>
    <t>87.2</t>
  </si>
  <si>
    <t>78.5</t>
  </si>
  <si>
    <t>93.9</t>
  </si>
  <si>
    <t>91.7</t>
  </si>
  <si>
    <t>88.6</t>
  </si>
  <si>
    <t>90.6</t>
  </si>
  <si>
    <t>95.5</t>
  </si>
  <si>
    <t>95.1</t>
  </si>
  <si>
    <t>92.2</t>
  </si>
  <si>
    <t>92.9</t>
  </si>
  <si>
    <t>IMPCD</t>
  </si>
  <si>
    <t>96.6</t>
  </si>
  <si>
    <t>4</t>
  </si>
  <si>
    <t>ALL</t>
  </si>
  <si>
    <t>90.9</t>
  </si>
  <si>
    <t>83.6</t>
  </si>
  <si>
    <t>96.3</t>
  </si>
  <si>
    <t>92</t>
  </si>
  <si>
    <t>16-2</t>
  </si>
  <si>
    <t>17-3</t>
  </si>
  <si>
    <t>18-4</t>
  </si>
  <si>
    <t>19-5</t>
  </si>
  <si>
    <t>20-7</t>
  </si>
  <si>
    <t>21-6</t>
  </si>
  <si>
    <t>91.6</t>
  </si>
  <si>
    <t>89</t>
  </si>
  <si>
    <t>79.4</t>
  </si>
  <si>
    <t>94.8</t>
  </si>
  <si>
    <t>91.2</t>
  </si>
  <si>
    <t>89.9</t>
  </si>
  <si>
    <t>93.1</t>
  </si>
  <si>
    <t>SUMITEMS</t>
  </si>
  <si>
    <t>236.00</t>
  </si>
  <si>
    <t>203.00</t>
  </si>
  <si>
    <t>296.00</t>
  </si>
  <si>
    <t>330.00</t>
  </si>
  <si>
    <t>302.00</t>
  </si>
  <si>
    <t>263.00</t>
  </si>
  <si>
    <t>154.00</t>
  </si>
  <si>
    <t>234.00</t>
  </si>
  <si>
    <t>181.00</t>
  </si>
  <si>
    <t>143.00</t>
  </si>
  <si>
    <t>100.00</t>
  </si>
  <si>
    <t>195.00</t>
  </si>
  <si>
    <t>264.00</t>
  </si>
  <si>
    <t>196.00</t>
  </si>
  <si>
    <t>221.00</t>
  </si>
  <si>
    <t>232.00</t>
  </si>
  <si>
    <t>274.00</t>
  </si>
  <si>
    <t>224.00</t>
  </si>
  <si>
    <t>200.00</t>
  </si>
  <si>
    <t>161.00</t>
  </si>
  <si>
    <t>75.00</t>
  </si>
  <si>
    <t>5537</t>
  </si>
  <si>
    <t>21.00</t>
  </si>
  <si>
    <t>17.00</t>
  </si>
  <si>
    <t>34.00</t>
  </si>
  <si>
    <t>43.00</t>
  </si>
  <si>
    <t>41.00</t>
  </si>
  <si>
    <t>32.00</t>
  </si>
  <si>
    <t>12.00</t>
  </si>
  <si>
    <t>27.00</t>
  </si>
  <si>
    <t>20.00</t>
  </si>
  <si>
    <t>25.00</t>
  </si>
  <si>
    <t>16.00</t>
  </si>
  <si>
    <t>29.00</t>
  </si>
  <si>
    <t>53.00</t>
  </si>
  <si>
    <t>35.00</t>
  </si>
  <si>
    <t>28.00</t>
  </si>
  <si>
    <t>71.00</t>
  </si>
  <si>
    <t>45.00</t>
  </si>
  <si>
    <t>59.00</t>
  </si>
  <si>
    <t>30.00</t>
  </si>
  <si>
    <t>23.00</t>
  </si>
  <si>
    <t>829</t>
  </si>
  <si>
    <t>4.00</t>
  </si>
  <si>
    <t>1.00</t>
  </si>
  <si>
    <t>7</t>
  </si>
  <si>
    <t>2.00</t>
  </si>
  <si>
    <t>3.00</t>
  </si>
  <si>
    <t>40</t>
  </si>
  <si>
    <t>5.00</t>
  </si>
  <si>
    <t>6.00</t>
  </si>
  <si>
    <t>10.00</t>
  </si>
  <si>
    <t>15.00</t>
  </si>
  <si>
    <t>14.00</t>
  </si>
  <si>
    <t>19.00</t>
  </si>
  <si>
    <t>8.00</t>
  </si>
  <si>
    <t>26.00</t>
  </si>
  <si>
    <t>300</t>
  </si>
  <si>
    <t>18.00</t>
  </si>
  <si>
    <t>7.00</t>
  </si>
  <si>
    <t>145</t>
  </si>
  <si>
    <t>8</t>
  </si>
  <si>
    <t>17</t>
  </si>
  <si>
    <t>9.00</t>
  </si>
  <si>
    <t>11.00</t>
  </si>
  <si>
    <t>33.00</t>
  </si>
  <si>
    <t>22.00</t>
  </si>
  <si>
    <t>24.00</t>
  </si>
  <si>
    <t>383</t>
  </si>
  <si>
    <t>38.00</t>
  </si>
  <si>
    <t>31.00</t>
  </si>
  <si>
    <t>68.00</t>
  </si>
  <si>
    <t>105.00</t>
  </si>
  <si>
    <t>40.00</t>
  </si>
  <si>
    <t>828</t>
  </si>
  <si>
    <t>121767120.00</t>
  </si>
  <si>
    <t>119445221.00</t>
  </si>
  <si>
    <t>119445113.00</t>
  </si>
  <si>
    <t>118626643.00</t>
  </si>
  <si>
    <t>119262862.00</t>
  </si>
  <si>
    <t>118564612.00</t>
  </si>
  <si>
    <t>121061389.00</t>
  </si>
  <si>
    <t>124506305.00</t>
  </si>
  <si>
    <t>122251934.00</t>
  </si>
  <si>
    <t>121986016.00</t>
  </si>
  <si>
    <t>122078771.00</t>
  </si>
  <si>
    <t>127018083.00</t>
  </si>
  <si>
    <t>125857145.00</t>
  </si>
  <si>
    <t>126550009.00</t>
  </si>
  <si>
    <t>124460079.00</t>
  </si>
  <si>
    <t>124458394.00</t>
  </si>
  <si>
    <t>124907800.00</t>
  </si>
  <si>
    <t>124589880.00</t>
  </si>
  <si>
    <t>124585774.00</t>
  </si>
  <si>
    <t>126644885.00</t>
  </si>
  <si>
    <t>124683904.00</t>
  </si>
  <si>
    <t>124679639.00</t>
  </si>
  <si>
    <t>124113183.00</t>
  </si>
  <si>
    <t>122123145.00</t>
  </si>
  <si>
    <t>123997263.00</t>
  </si>
  <si>
    <t>128131065.00</t>
  </si>
  <si>
    <t>131694540.00</t>
  </si>
  <si>
    <t>131216930.00</t>
  </si>
  <si>
    <t>129075158.00</t>
  </si>
  <si>
    <t>129063138.00</t>
  </si>
  <si>
    <t>124164449.48</t>
  </si>
  <si>
    <t>116578439.00</t>
  </si>
  <si>
    <t>118009452.00</t>
  </si>
  <si>
    <t>118009170.00</t>
  </si>
  <si>
    <t>121325119.00</t>
  </si>
  <si>
    <t>120944470.00</t>
  </si>
  <si>
    <t>123169955.00</t>
  </si>
  <si>
    <t>124579182.00</t>
  </si>
  <si>
    <t>126858576.00</t>
  </si>
  <si>
    <t>127387895.00</t>
  </si>
  <si>
    <t>130073135.00</t>
  </si>
  <si>
    <t>132234334.00</t>
  </si>
  <si>
    <t>134510015.00</t>
  </si>
  <si>
    <t>135422265.00</t>
  </si>
  <si>
    <t>136550643.00</t>
  </si>
  <si>
    <t>138052066.00</t>
  </si>
  <si>
    <t>138044145.00</t>
  </si>
  <si>
    <t>140036262.00</t>
  </si>
  <si>
    <t>140592935.00</t>
  </si>
  <si>
    <t>144176628.00</t>
  </si>
  <si>
    <t>144347658.00</t>
  </si>
  <si>
    <t>146596596.00</t>
  </si>
  <si>
    <t>146594269.00</t>
  </si>
  <si>
    <t>145695173.00</t>
  </si>
  <si>
    <t>141934357.00</t>
  </si>
  <si>
    <t>139270815.00</t>
  </si>
  <si>
    <t>137361791.00</t>
  </si>
  <si>
    <t>135135820.00</t>
  </si>
  <si>
    <t>131564143.00</t>
  </si>
  <si>
    <t>129148128.00</t>
  </si>
  <si>
    <t>129139116.00</t>
  </si>
  <si>
    <t>132926788.61</t>
  </si>
  <si>
    <t>34540159.00</t>
  </si>
  <si>
    <t>33597447.00</t>
  </si>
  <si>
    <t>34031999.00</t>
  </si>
  <si>
    <t>34839332.00</t>
  </si>
  <si>
    <t>34053319.00</t>
  </si>
  <si>
    <t>34103595.00</t>
  </si>
  <si>
    <t>32911152.00</t>
  </si>
  <si>
    <t>32051797.00</t>
  </si>
  <si>
    <t>32044739.00</t>
  </si>
  <si>
    <t>31817343.00</t>
  </si>
  <si>
    <t>32215649.00</t>
  </si>
  <si>
    <t>31832273.00</t>
  </si>
  <si>
    <t>34631997.00</t>
  </si>
  <si>
    <t>35978487.00</t>
  </si>
  <si>
    <t>35191269.00</t>
  </si>
  <si>
    <t>33986474.00</t>
  </si>
  <si>
    <t>32920186.00</t>
  </si>
  <si>
    <t>33352935.00</t>
  </si>
  <si>
    <t>32341792.00</t>
  </si>
  <si>
    <t>31233148.00</t>
  </si>
  <si>
    <t>31233275.00</t>
  </si>
  <si>
    <t>31203200.00</t>
  </si>
  <si>
    <t>29233093.00</t>
  </si>
  <si>
    <t>28269618.00</t>
  </si>
  <si>
    <t>30092023.00</t>
  </si>
  <si>
    <t>29207229.00</t>
  </si>
  <si>
    <t>30750576.00</t>
  </si>
  <si>
    <t>29966932.00</t>
  </si>
  <si>
    <t>29966544.00</t>
  </si>
  <si>
    <t>32464074.13</t>
  </si>
  <si>
    <t>4925945.00</t>
  </si>
  <si>
    <t>4927827.00</t>
  </si>
  <si>
    <t>5187191.00</t>
  </si>
  <si>
    <t>5053009.00</t>
  </si>
  <si>
    <t>5041766.00</t>
  </si>
  <si>
    <t>5118745.00</t>
  </si>
  <si>
    <t>5323585.00</t>
  </si>
  <si>
    <t>5326437.00</t>
  </si>
  <si>
    <t>6275501.00</t>
  </si>
  <si>
    <t>5888257.00</t>
  </si>
  <si>
    <t>6024560.00</t>
  </si>
  <si>
    <t>5547703.00</t>
  </si>
  <si>
    <t>5736370.00</t>
  </si>
  <si>
    <t>5735341.00</t>
  </si>
  <si>
    <t>5887199.00</t>
  </si>
  <si>
    <t>5608309.00</t>
  </si>
  <si>
    <t>5750878.00</t>
  </si>
  <si>
    <t>5815244.00</t>
  </si>
  <si>
    <t>5537526.00</t>
  </si>
  <si>
    <t>5806035.00</t>
  </si>
  <si>
    <t>5666072.00</t>
  </si>
  <si>
    <t>5497919.00</t>
  </si>
  <si>
    <t>5697366.00</t>
  </si>
  <si>
    <t>5638302.00</t>
  </si>
  <si>
    <t>5676523.00</t>
  </si>
  <si>
    <t>5530154.52</t>
  </si>
  <si>
    <t>4432172.00</t>
  </si>
  <si>
    <t>4441625.00</t>
  </si>
  <si>
    <t>5022451.00</t>
  </si>
  <si>
    <t>4617309.00</t>
  </si>
  <si>
    <t>4411470.00</t>
  </si>
  <si>
    <t>4419656.00</t>
  </si>
  <si>
    <t>4099904.00</t>
  </si>
  <si>
    <t>4188000.00</t>
  </si>
  <si>
    <t>5290559.00</t>
  </si>
  <si>
    <t>5746250.00</t>
  </si>
  <si>
    <t>5776033.00</t>
  </si>
  <si>
    <t>5858466.00</t>
  </si>
  <si>
    <t>6072751.00</t>
  </si>
  <si>
    <t>6216923.00</t>
  </si>
  <si>
    <t>6343577.00</t>
  </si>
  <si>
    <t>6382157.00</t>
  </si>
  <si>
    <t>6195275.00</t>
  </si>
  <si>
    <t>6207042.00</t>
  </si>
  <si>
    <t>6335842.00</t>
  </si>
  <si>
    <t>6373239.00</t>
  </si>
  <si>
    <t>6546335.00</t>
  </si>
  <si>
    <t>6577726.00</t>
  </si>
  <si>
    <t>6446344.00</t>
  </si>
  <si>
    <t>6273729.00</t>
  </si>
  <si>
    <t>5623887.90</t>
  </si>
  <si>
    <t>97990.00</t>
  </si>
  <si>
    <t>101704.00</t>
  </si>
  <si>
    <t>97763.00</t>
  </si>
  <si>
    <t>97759.00</t>
  </si>
  <si>
    <t>100746.00</t>
  </si>
  <si>
    <t>107423.00</t>
  </si>
  <si>
    <t>107354.00</t>
  </si>
  <si>
    <t>108008.00</t>
  </si>
  <si>
    <t>107783.00</t>
  </si>
  <si>
    <t>118215.00</t>
  </si>
  <si>
    <t>116239.00</t>
  </si>
  <si>
    <t>107237.00</t>
  </si>
  <si>
    <t>129783.00</t>
  </si>
  <si>
    <t>129596.00</t>
  </si>
  <si>
    <t>119721.00</t>
  </si>
  <si>
    <t>119666.00</t>
  </si>
  <si>
    <t>93761.00</t>
  </si>
  <si>
    <t>92696.00</t>
  </si>
  <si>
    <t>110665.00</t>
  </si>
  <si>
    <t>111484.00</t>
  </si>
  <si>
    <t>109976.29</t>
  </si>
  <si>
    <t>3035604.00</t>
  </si>
  <si>
    <t>3037670.00</t>
  </si>
  <si>
    <t>3037820.00</t>
  </si>
  <si>
    <t>3027182.00</t>
  </si>
  <si>
    <t>3031908.00</t>
  </si>
  <si>
    <t>2767066.00</t>
  </si>
  <si>
    <t>2767072.00</t>
  </si>
  <si>
    <t>2767165.00</t>
  </si>
  <si>
    <t>2768197.00</t>
  </si>
  <si>
    <t>2772937.00</t>
  </si>
  <si>
    <t>2773097.00</t>
  </si>
  <si>
    <t>2162724.00</t>
  </si>
  <si>
    <t>2162866.00</t>
  </si>
  <si>
    <t>2295593.00</t>
  </si>
  <si>
    <t>2293498.00</t>
  </si>
  <si>
    <t>2284296.00</t>
  </si>
  <si>
    <t>2287803.00</t>
  </si>
  <si>
    <t>2287878.00</t>
  </si>
  <si>
    <t>2301606.00</t>
  </si>
  <si>
    <t>2294958.00</t>
  </si>
  <si>
    <t>2301344.00</t>
  </si>
  <si>
    <t>2306557.00</t>
  </si>
  <si>
    <t>2292880.00</t>
  </si>
  <si>
    <t>2292892.00</t>
  </si>
  <si>
    <t>2555497.00</t>
  </si>
  <si>
    <t>M</t>
  </si>
  <si>
    <t>56976.00</t>
  </si>
  <si>
    <t>56000.00</t>
  </si>
  <si>
    <t>58427.00</t>
  </si>
  <si>
    <t>59833.00</t>
  </si>
  <si>
    <t>56374.00</t>
  </si>
  <si>
    <t>56376.00</t>
  </si>
  <si>
    <t>56980.00</t>
  </si>
  <si>
    <t>56979.00</t>
  </si>
  <si>
    <t>56978.00</t>
  </si>
  <si>
    <t>68215.00</t>
  </si>
  <si>
    <t>58292.00</t>
  </si>
  <si>
    <t>305.00</t>
  </si>
  <si>
    <t>137.74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</si>
  <si>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</si>
  <si>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</si>
  <si>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</si>
  <si>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</si>
  <si>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</si>
  <si>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</si>
  <si>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</si>
  <si>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</si>
  <si>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</si>
  <si>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</si>
  <si>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</si>
  <si>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</si>
  <si>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</si>
  <si>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</si>
  <si>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</si>
  <si>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</si>
  <si>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</si>
  <si>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</si>
  <si>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</si>
  <si>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</si>
  <si>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</si>
  <si>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</si>
  <si>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</si>
  <si>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</si>
  <si>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</si>
  <si>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</si>
  <si>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</si>
  <si>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</si>
  <si>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</si>
  <si>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</si>
  <si>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</si>
  <si>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</si>
  <si>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</si>
  <si>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266232218.23</t>
  </si>
  <si>
    <t>289876788.00</t>
  </si>
  <si>
    <t>301522048.00</t>
  </si>
  <si>
    <t>312011790.00</t>
  </si>
  <si>
    <t>307804297.00</t>
  </si>
  <si>
    <t>311952904.00</t>
  </si>
  <si>
    <t>276368546.00</t>
  </si>
  <si>
    <t>281059326.00</t>
  </si>
  <si>
    <t>268251074.00</t>
  </si>
  <si>
    <t>294138569.00</t>
  </si>
  <si>
    <t>213813987.06</t>
  </si>
  <si>
    <t>216421676.39</t>
  </si>
  <si>
    <t>230735445.39</t>
  </si>
  <si>
    <t>242111303.37</t>
  </si>
  <si>
    <t>244365222.23</t>
  </si>
  <si>
    <t>222947344.07</t>
  </si>
  <si>
    <t>213933395.71</t>
  </si>
  <si>
    <t>226332625.00</t>
  </si>
  <si>
    <t>217348722.00</t>
  </si>
  <si>
    <t>229286452.00</t>
  </si>
  <si>
    <t>234536820.00</t>
  </si>
  <si>
    <t>249410081.00</t>
  </si>
  <si>
    <t>225086945.00</t>
  </si>
  <si>
    <t>223263131.00</t>
  </si>
  <si>
    <t>202720734.00</t>
  </si>
  <si>
    <t>225950412.00</t>
  </si>
  <si>
    <t>6894022.48</t>
  </si>
  <si>
    <t>7273219.50</t>
  </si>
  <si>
    <t>6022622.23</t>
  </si>
  <si>
    <t>6246401.67</t>
  </si>
  <si>
    <t>5731137.97</t>
  </si>
  <si>
    <t>5495270.60</t>
  </si>
  <si>
    <t>5255297.77</t>
  </si>
  <si>
    <t>6131139.00</t>
  </si>
  <si>
    <t>11731801.00</t>
  </si>
  <si>
    <t>6677578.00</t>
  </si>
  <si>
    <t>7953023.00</t>
  </si>
  <si>
    <t>6400194.00</t>
  </si>
  <si>
    <t>7600695.00</t>
  </si>
  <si>
    <t>4236251.00</t>
  </si>
  <si>
    <t>7059809.00</t>
  </si>
  <si>
    <t>7379907.00</t>
  </si>
  <si>
    <t>11103888.48</t>
  </si>
  <si>
    <t>10717600.11</t>
  </si>
  <si>
    <t>7939466.94</t>
  </si>
  <si>
    <t>7405026.60</t>
  </si>
  <si>
    <t>5885981.32</t>
  </si>
  <si>
    <t>4603240.33</t>
  </si>
  <si>
    <t>5240019.45</t>
  </si>
  <si>
    <t>7556460.00</t>
  </si>
  <si>
    <t>11043043.00</t>
  </si>
  <si>
    <t>11016551.00</t>
  </si>
  <si>
    <t>6604155.00</t>
  </si>
  <si>
    <t>6800876.00</t>
  </si>
  <si>
    <t>5117407.00</t>
  </si>
  <si>
    <t>4185914.00</t>
  </si>
  <si>
    <t>5845604.00</t>
  </si>
  <si>
    <t>7230507.00</t>
  </si>
  <si>
    <t>21593172.87</t>
  </si>
  <si>
    <t>19382073.82</t>
  </si>
  <si>
    <t>19671570.68</t>
  </si>
  <si>
    <t>18629028.17</t>
  </si>
  <si>
    <t>19873425.61</t>
  </si>
  <si>
    <t>19417875.87</t>
  </si>
  <si>
    <t>19416991.52</t>
  </si>
  <si>
    <t>19712020.00</t>
  </si>
  <si>
    <t>18962815.00</t>
  </si>
  <si>
    <t>23106428.00</t>
  </si>
  <si>
    <t>21071693.00</t>
  </si>
  <si>
    <t>21065273.00</t>
  </si>
  <si>
    <t>21843172.00</t>
  </si>
  <si>
    <t>18530235.00</t>
  </si>
  <si>
    <t>22828116.00</t>
  </si>
  <si>
    <t>21058247.00</t>
  </si>
  <si>
    <t>9729574.06</t>
  </si>
  <si>
    <t>13250904.71</t>
  </si>
  <si>
    <t>11342667.68</t>
  </si>
  <si>
    <t>11143472.50</t>
  </si>
  <si>
    <t>11593367.87</t>
  </si>
  <si>
    <t>11533089.80</t>
  </si>
  <si>
    <t>10250653.06</t>
  </si>
  <si>
    <t>11263390.00</t>
  </si>
  <si>
    <t>11220240.00</t>
  </si>
  <si>
    <t>19113676.00</t>
  </si>
  <si>
    <t>13631227.00</t>
  </si>
  <si>
    <t>22844347.00</t>
  </si>
  <si>
    <t>19631221.00</t>
  </si>
  <si>
    <t>14640558.00</t>
  </si>
  <si>
    <t>22081624.00</t>
  </si>
  <si>
    <t>17594699.00</t>
  </si>
  <si>
    <t>1710555.94</t>
  </si>
  <si>
    <t>1534112.82</t>
  </si>
  <si>
    <t>1354194.52</t>
  </si>
  <si>
    <t>2181402.27</t>
  </si>
  <si>
    <t>2055329.90</t>
  </si>
  <si>
    <t>3218402.13</t>
  </si>
  <si>
    <t>5031748.87</t>
  </si>
  <si>
    <t>2440821.00</t>
  </si>
  <si>
    <t>1745249.00</t>
  </si>
  <si>
    <t>1677636.00</t>
  </si>
  <si>
    <t>1480486.00</t>
  </si>
  <si>
    <t>2642042.00</t>
  </si>
  <si>
    <t>2010192.00</t>
  </si>
  <si>
    <t>4185406.00</t>
  </si>
  <si>
    <t>4810863.00</t>
  </si>
  <si>
    <t>2650268.00</t>
  </si>
  <si>
    <t>97968.03</t>
  </si>
  <si>
    <t>94797.33</t>
  </si>
  <si>
    <t>91839.00</t>
  </si>
  <si>
    <t>94339.00</t>
  </si>
  <si>
    <t>109258.35</t>
  </si>
  <si>
    <t>100268.00</t>
  </si>
  <si>
    <t>93089.00</t>
  </si>
  <si>
    <t>100589.00</t>
  </si>
  <si>
    <t>2731882.90</t>
  </si>
  <si>
    <t>2401477.71</t>
  </si>
  <si>
    <t>1864895.61</t>
  </si>
  <si>
    <t>1992262.87</t>
  </si>
  <si>
    <t>1542560.16</t>
  </si>
  <si>
    <t>1719172.00</t>
  </si>
  <si>
    <t>1379365.87</t>
  </si>
  <si>
    <t>1947374.00</t>
  </si>
  <si>
    <t>4434328.00</t>
  </si>
  <si>
    <t>2190434.00</t>
  </si>
  <si>
    <t>2572318.00</t>
  </si>
  <si>
    <t>1381676.00</t>
  </si>
  <si>
    <t>2094697.00</t>
  </si>
  <si>
    <t>1710449.00</t>
  </si>
  <si>
    <t>1838782.00</t>
  </si>
  <si>
    <t>2317526.00</t>
  </si>
  <si>
    <t>279829.61</t>
  </si>
  <si>
    <t>312786.57</t>
  </si>
  <si>
    <t>306112.52</t>
  </si>
  <si>
    <t>267643.33</t>
  </si>
  <si>
    <t>226225.10</t>
  </si>
  <si>
    <t>203974.67</t>
  </si>
  <si>
    <t>327227.68</t>
  </si>
  <si>
    <t>274829.00</t>
  </si>
  <si>
    <t>295438.00</t>
  </si>
  <si>
    <t>352938.00</t>
  </si>
  <si>
    <t>271778.00</t>
  </si>
  <si>
    <t>243488.00</t>
  </si>
  <si>
    <t>156098.00</t>
  </si>
  <si>
    <t>391598.00</t>
  </si>
  <si>
    <t>273008.00</t>
  </si>
  <si>
    <t>283478.00</t>
  </si>
  <si>
    <t>1636322.68</t>
  </si>
  <si>
    <t>1606880.50</t>
  </si>
  <si>
    <t>1608277.81</t>
  </si>
  <si>
    <t>1614727.63</t>
  </si>
  <si>
    <t>1617368.23</t>
  </si>
  <si>
    <t>1420197.90</t>
  </si>
  <si>
    <t>1836.71</t>
  </si>
  <si>
    <t>1357945.00</t>
  </si>
  <si>
    <t>1605674.00</t>
  </si>
  <si>
    <t>1609870.00</t>
  </si>
  <si>
    <t>1641175.00</t>
  </si>
  <si>
    <t>3712.00</t>
  </si>
  <si>
    <t>1153111.00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</si>
  <si>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</si>
  <si>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</si>
  <si>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</si>
  <si>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</si>
  <si>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</si>
  <si>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</si>
  <si>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</si>
  <si>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5806256.65</t>
  </si>
  <si>
    <t>6102782.00</t>
  </si>
  <si>
    <t>5742313.00</t>
  </si>
  <si>
    <t>8972166.00</t>
  </si>
  <si>
    <t>8317135.00</t>
  </si>
  <si>
    <t>9516089.00</t>
  </si>
  <si>
    <t>8732706.00</t>
  </si>
  <si>
    <t>9918985.00</t>
  </si>
  <si>
    <t>8631009.00</t>
  </si>
  <si>
    <t>8547200.00</t>
  </si>
  <si>
    <t>12592603.32</t>
  </si>
  <si>
    <t>10668231.32</t>
  </si>
  <si>
    <t>11760706.42</t>
  </si>
  <si>
    <t>10427096.50</t>
  </si>
  <si>
    <t>9849791.71</t>
  </si>
  <si>
    <t>9702018.47</t>
  </si>
  <si>
    <t>9450488.71</t>
  </si>
  <si>
    <t>10635848.00</t>
  </si>
  <si>
    <t>11062673.00</t>
  </si>
  <si>
    <t>12466503.00</t>
  </si>
  <si>
    <t>10840157.00</t>
  </si>
  <si>
    <t>10247940.00</t>
  </si>
  <si>
    <t>10635612.00</t>
  </si>
  <si>
    <t>9607589.00</t>
  </si>
  <si>
    <t>9914938.00</t>
  </si>
  <si>
    <t>10682202.00</t>
  </si>
  <si>
    <t>8170824.77</t>
  </si>
  <si>
    <t>16891475.68</t>
  </si>
  <si>
    <t>24401515.81</t>
  </si>
  <si>
    <t>23605583.47</t>
  </si>
  <si>
    <t>20431667.68</t>
  </si>
  <si>
    <t>17113762.97</t>
  </si>
  <si>
    <t>14204196.16</t>
  </si>
  <si>
    <t>17831290.00</t>
  </si>
  <si>
    <t>8141268.00</t>
  </si>
  <si>
    <t>21387425.00</t>
  </si>
  <si>
    <t>25013368.00</t>
  </si>
  <si>
    <t>22038535.00</t>
  </si>
  <si>
    <t>18904055.00</t>
  </si>
  <si>
    <t>15510521.00</t>
  </si>
  <si>
    <t>12938602.00</t>
  </si>
  <si>
    <t>17704825.00</t>
  </si>
  <si>
    <t>138994.00</t>
  </si>
  <si>
    <t>159046.00</t>
  </si>
  <si>
    <t>188859.81</t>
  </si>
  <si>
    <t>173142.00</t>
  </si>
  <si>
    <t>136660.58</t>
  </si>
  <si>
    <t>143607.07</t>
  </si>
  <si>
    <t>135074.61</t>
  </si>
  <si>
    <t>153626.00</t>
  </si>
  <si>
    <t>201634.00</t>
  </si>
  <si>
    <t>179314.00</t>
  </si>
  <si>
    <t>209338.00</t>
  </si>
  <si>
    <t>115978.00</t>
  </si>
  <si>
    <t>163920.00</t>
  </si>
  <si>
    <t>161062.00</t>
  </si>
  <si>
    <t>9106516.68</t>
  </si>
  <si>
    <t>9492109.11</t>
  </si>
  <si>
    <t>9381405.61</t>
  </si>
  <si>
    <t>8789643.90</t>
  </si>
  <si>
    <t>9506818.16</t>
  </si>
  <si>
    <t>9088702.67</t>
  </si>
  <si>
    <t>9162485.61</t>
  </si>
  <si>
    <t>9218240.00</t>
  </si>
  <si>
    <t>7670141.00</t>
  </si>
  <si>
    <t>10611816.00</t>
  </si>
  <si>
    <t>9016362.00</t>
  </si>
  <si>
    <t>11070523.00</t>
  </si>
  <si>
    <t>11313936.00</t>
  </si>
  <si>
    <t>7153933.00</t>
  </si>
  <si>
    <t>10230303.00</t>
  </si>
  <si>
    <t>9581002.00</t>
  </si>
  <si>
    <t>4444644.09</t>
  </si>
  <si>
    <t>5507793.46</t>
  </si>
  <si>
    <t>5928979.93</t>
  </si>
  <si>
    <t>7326142.47</t>
  </si>
  <si>
    <t>7601834.36</t>
  </si>
  <si>
    <t>9551719.36</t>
  </si>
  <si>
    <t>8043505.32</t>
  </si>
  <si>
    <t>6914945.00</t>
  </si>
  <si>
    <t>4802566.00</t>
  </si>
  <si>
    <t>5405462.00</t>
  </si>
  <si>
    <t>6546163.00</t>
  </si>
  <si>
    <t>7753957.00</t>
  </si>
  <si>
    <t>10222320.00</t>
  </si>
  <si>
    <t>8954402.00</t>
  </si>
  <si>
    <t>7883639.00</t>
  </si>
  <si>
    <t>7366930.00</t>
  </si>
  <si>
    <t>87.1</t>
  </si>
  <si>
    <t>86.5</t>
  </si>
  <si>
    <t>82.2</t>
  </si>
  <si>
    <t>89.6</t>
  </si>
  <si>
    <t>95.9</t>
  </si>
  <si>
    <t>83</t>
  </si>
  <si>
    <t>87.4</t>
  </si>
  <si>
    <t>50</t>
  </si>
  <si>
    <t>21.4</t>
  </si>
  <si>
    <t>85.5</t>
  </si>
  <si>
    <t>80.7</t>
  </si>
  <si>
    <t>90.7</t>
  </si>
  <si>
    <t>90.8</t>
  </si>
  <si>
    <t>84.5</t>
  </si>
  <si>
    <t>85.9</t>
  </si>
  <si>
    <t>87.8</t>
  </si>
  <si>
    <t>83.4</t>
  </si>
  <si>
    <t>88.5</t>
  </si>
  <si>
    <t>95.2</t>
  </si>
  <si>
    <t>82.9</t>
  </si>
  <si>
    <t>AVGITEMS</t>
  </si>
  <si>
    <t>4435</t>
  </si>
  <si>
    <t>5186</t>
  </si>
  <si>
    <t>4253</t>
  </si>
  <si>
    <t>3663</t>
  </si>
  <si>
    <t>4413</t>
  </si>
  <si>
    <t>5568</t>
  </si>
  <si>
    <t>6382</t>
  </si>
  <si>
    <t>4843</t>
  </si>
  <si>
    <t>884</t>
  </si>
  <si>
    <t>782</t>
  </si>
  <si>
    <t>727</t>
  </si>
  <si>
    <t>575</t>
  </si>
  <si>
    <t>594</t>
  </si>
  <si>
    <t>767</t>
  </si>
  <si>
    <t>806</t>
  </si>
  <si>
    <t>734</t>
  </si>
  <si>
    <t>101</t>
  </si>
  <si>
    <t>5</t>
  </si>
  <si>
    <t>44</t>
  </si>
  <si>
    <t>20</t>
  </si>
  <si>
    <t>18</t>
  </si>
  <si>
    <t>37</t>
  </si>
  <si>
    <t>102</t>
  </si>
  <si>
    <t>88</t>
  </si>
  <si>
    <t>56</t>
  </si>
  <si>
    <t>143</t>
  </si>
  <si>
    <t>330</t>
  </si>
  <si>
    <t>239</t>
  </si>
  <si>
    <t>315</t>
  </si>
  <si>
    <t>157</t>
  </si>
  <si>
    <t>259</t>
  </si>
  <si>
    <t>144</t>
  </si>
  <si>
    <t>227</t>
  </si>
  <si>
    <t>127</t>
  </si>
  <si>
    <t>140</t>
  </si>
  <si>
    <t>218</t>
  </si>
  <si>
    <t>197</t>
  </si>
  <si>
    <t>270</t>
  </si>
  <si>
    <t>185</t>
  </si>
  <si>
    <t>9</t>
  </si>
  <si>
    <t>26</t>
  </si>
  <si>
    <t>25</t>
  </si>
  <si>
    <t>12</t>
  </si>
  <si>
    <t>21</t>
  </si>
  <si>
    <t>30</t>
  </si>
  <si>
    <t>27</t>
  </si>
  <si>
    <t>51</t>
  </si>
  <si>
    <t>31</t>
  </si>
  <si>
    <t>36</t>
  </si>
  <si>
    <t>260</t>
  </si>
  <si>
    <t>350</t>
  </si>
  <si>
    <t>394</t>
  </si>
  <si>
    <t>246</t>
  </si>
  <si>
    <t>203</t>
  </si>
  <si>
    <t>251</t>
  </si>
  <si>
    <t>256</t>
  </si>
  <si>
    <t>280</t>
  </si>
  <si>
    <t>230</t>
  </si>
  <si>
    <t>153</t>
  </si>
  <si>
    <t>47</t>
  </si>
  <si>
    <t>68</t>
  </si>
  <si>
    <t>52</t>
  </si>
  <si>
    <t>570</t>
  </si>
  <si>
    <t>546</t>
  </si>
  <si>
    <t>665</t>
  </si>
  <si>
    <t>434</t>
  </si>
  <si>
    <t>640</t>
  </si>
  <si>
    <t>650</t>
  </si>
  <si>
    <t>1136</t>
  </si>
  <si>
    <t>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</si>
</sst>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43" activePane="bottomRight" state="frozen"/>
      <selection pane="bottomRight" activeCell="L19" sqref="L19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1" t="s">
        <v>1</v>
      </c>
      <c r="B3" s="642"/>
      <c r="C3" s="643"/>
      <c r="D3" s="509" t="str">
        <f>YEAR(日期!C2)-1&amp;"/"&amp;MONTH(日期!C2)</f>
        <v>2024/8</v>
      </c>
      <c r="E3" s="509" t="str">
        <f>YEAR(日期!C2)&amp;"/"&amp;MONTH(日期!C2)</f>
        <v>2025/8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2025/08/01</v>
      </c>
      <c r="J3" s="527" t="str">
        <f>日期!D2</f>
        <v>2025/08/02</v>
      </c>
      <c r="K3" s="527" t="str">
        <f>日期!E2</f>
        <v>2025/08/03</v>
      </c>
      <c r="L3" s="527" t="str">
        <f>日期!F2</f>
        <v>2025/08/04</v>
      </c>
      <c r="M3" s="527" t="str">
        <f>日期!G2</f>
        <v>2025/08/05</v>
      </c>
      <c r="N3" s="527" t="str">
        <f>日期!H2</f>
        <v>2025/08/06</v>
      </c>
      <c r="O3" s="527" t="str">
        <f>日期!I2</f>
        <v>2025/08/07</v>
      </c>
      <c r="P3" s="527" t="str">
        <f>日期!J2</f>
        <v>2025/08/08</v>
      </c>
      <c r="Q3" s="527" t="str">
        <f>日期!K2</f>
        <v>2025/08/09</v>
      </c>
      <c r="R3" s="527" t="str">
        <f>日期!L2</f>
        <v>2025/08/10</v>
      </c>
      <c r="S3" s="527" t="str">
        <f>日期!M2</f>
        <v>2025/08/11</v>
      </c>
      <c r="T3" s="527" t="str">
        <f>日期!N2</f>
        <v>2025/08/12</v>
      </c>
      <c r="U3" s="527" t="str">
        <f>日期!O2</f>
        <v>2025/08/13</v>
      </c>
      <c r="V3" s="527" t="str">
        <f>日期!P2</f>
        <v>2025/08/14</v>
      </c>
      <c r="W3" s="527" t="str">
        <f>日期!Q2</f>
        <v>2025/08/15</v>
      </c>
      <c r="X3" s="527" t="str">
        <f>日期!R2</f>
        <v>2025/08/16</v>
      </c>
      <c r="Y3" s="527" t="str">
        <f>日期!S2</f>
        <v>2025/08/17</v>
      </c>
      <c r="Z3" s="527" t="str">
        <f>日期!T2</f>
        <v>2025/08/18</v>
      </c>
      <c r="AA3" s="527" t="str">
        <f>日期!U2</f>
        <v>2025/08/19</v>
      </c>
      <c r="AB3" s="527" t="str">
        <f>日期!V2</f>
        <v>2025/08/20</v>
      </c>
      <c r="AC3" s="527" t="str">
        <f>日期!W2</f>
        <v>2025/08/21</v>
      </c>
      <c r="AD3" s="527" t="str">
        <f>日期!X2</f>
        <v>2025/08/22</v>
      </c>
      <c r="AE3" s="527" t="str">
        <f>日期!Y2</f>
        <v>2025/08/23</v>
      </c>
      <c r="AF3" s="527" t="str">
        <f>日期!Z2</f>
        <v>2025/08/24</v>
      </c>
      <c r="AG3" s="527" t="str">
        <f>日期!AA2</f>
        <v>2025/08/25</v>
      </c>
      <c r="AH3" s="527" t="str">
        <f>日期!AB2</f>
        <v>2025/08/26</v>
      </c>
      <c r="AI3" s="527" t="str">
        <f>日期!AC2</f>
        <v>2025/08/27</v>
      </c>
      <c r="AJ3" s="527" t="str">
        <f>日期!AD2</f>
        <v>2025/08/28</v>
      </c>
      <c r="AK3" s="527" t="str">
        <f>日期!AE2</f>
        <v>2025/08/29</v>
      </c>
      <c r="AL3" s="527" t="str">
        <f>日期!AF2</f>
        <v>2025/08/30</v>
      </c>
      <c r="AM3" s="527" t="str">
        <f>日期!AG2</f>
        <v>2025/08/31</v>
      </c>
      <c r="AN3" s="597" t="s">
        <v>2</v>
      </c>
      <c r="AO3" s="639" t="s">
        <v>3</v>
      </c>
    </row>
    <row r="4" spans="1:44" s="14" customFormat="1" ht="21.4" customHeight="1" thickBot="1">
      <c r="A4" s="644"/>
      <c r="B4" s="645"/>
      <c r="C4" s="64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Fri</v>
      </c>
      <c r="J4" s="12" t="str">
        <f>日期!D3</f>
        <v>Sat</v>
      </c>
      <c r="K4" s="12" t="str">
        <f>日期!E3</f>
        <v>Sun</v>
      </c>
      <c r="L4" s="12" t="str">
        <f>日期!F3</f>
        <v>Mon</v>
      </c>
      <c r="M4" s="12" t="str">
        <f>日期!G3</f>
        <v>Tue</v>
      </c>
      <c r="N4" s="12" t="str">
        <f>日期!H3</f>
        <v>Wed</v>
      </c>
      <c r="O4" s="12" t="str">
        <f>日期!I3</f>
        <v>Thu</v>
      </c>
      <c r="P4" s="12" t="str">
        <f>日期!J3</f>
        <v>Fri</v>
      </c>
      <c r="Q4" s="12" t="str">
        <f>日期!K3</f>
        <v>Sat</v>
      </c>
      <c r="R4" s="12" t="str">
        <f>日期!L3</f>
        <v>Sun</v>
      </c>
      <c r="S4" s="12" t="str">
        <f>日期!M3</f>
        <v>Mon</v>
      </c>
      <c r="T4" s="12" t="str">
        <f>日期!N3</f>
        <v>Tue</v>
      </c>
      <c r="U4" s="12" t="str">
        <f>日期!O3</f>
        <v>Wed</v>
      </c>
      <c r="V4" s="12" t="str">
        <f>日期!P3</f>
        <v>Thu</v>
      </c>
      <c r="W4" s="12" t="str">
        <f>日期!Q3</f>
        <v>Fri</v>
      </c>
      <c r="X4" s="12" t="str">
        <f>日期!R3</f>
        <v>Sat</v>
      </c>
      <c r="Y4" s="12" t="str">
        <f>日期!S3</f>
        <v>Sun</v>
      </c>
      <c r="Z4" s="12" t="str">
        <f>日期!T3</f>
        <v>Mon</v>
      </c>
      <c r="AA4" s="12" t="str">
        <f>日期!U3</f>
        <v>Tue</v>
      </c>
      <c r="AB4" s="12" t="str">
        <f>日期!V3</f>
        <v>Wed</v>
      </c>
      <c r="AC4" s="12" t="str">
        <f>日期!W3</f>
        <v>Thu</v>
      </c>
      <c r="AD4" s="12" t="str">
        <f>日期!X3</f>
        <v>Fri</v>
      </c>
      <c r="AE4" s="12" t="str">
        <f>日期!Y3</f>
        <v>Sat</v>
      </c>
      <c r="AF4" s="12" t="str">
        <f>日期!Z3</f>
        <v>Sun</v>
      </c>
      <c r="AG4" s="12" t="str">
        <f>日期!AA3</f>
        <v>Mon</v>
      </c>
      <c r="AH4" s="12" t="str">
        <f>日期!AB3</f>
        <v>Tue</v>
      </c>
      <c r="AI4" s="12" t="str">
        <f>日期!AC3</f>
        <v>Wed</v>
      </c>
      <c r="AJ4" s="12" t="str">
        <f>日期!AD3</f>
        <v>Thu</v>
      </c>
      <c r="AK4" s="12" t="str">
        <f>日期!AE3</f>
        <v>Fri</v>
      </c>
      <c r="AL4" s="12" t="str">
        <f>日期!AF3</f>
        <v>Sat</v>
      </c>
      <c r="AM4" s="12" t="str">
        <f>日期!AG3</f>
        <v>Sun</v>
      </c>
      <c r="AN4" s="632"/>
      <c r="AO4" s="640"/>
      <c r="AP4" s="13"/>
      <c r="AQ4" s="13"/>
    </row>
    <row r="5" spans="1:44" s="18" customFormat="1" ht="21.95" customHeight="1">
      <c r="A5" s="647" t="s">
        <v>9</v>
      </c>
      <c r="B5" s="648"/>
      <c r="C5" s="649"/>
      <c r="D5" s="301">
        <f>D6+D13+D18+D26</f>
        <v>540042434.69354498</v>
      </c>
      <c r="E5" s="301">
        <f>E6+E13+E18+E26</f>
        <v>621896980.88067305</v>
      </c>
      <c r="F5" s="301">
        <f>F6+F13+F18+F26</f>
        <v>631051386.7179085</v>
      </c>
      <c r="G5" s="15">
        <f>G6+G13+G18+G26</f>
        <v>600077791</v>
      </c>
      <c r="H5" s="15">
        <f>H6+H13+H18+H26</f>
        <v>613841997</v>
      </c>
      <c r="I5" s="15">
        <f t="shared" ref="I5:AM5" si="0">I6+I13+I18+I26</f>
        <v>593709163</v>
      </c>
      <c r="J5" s="15">
        <f t="shared" si="0"/>
        <v>579756559</v>
      </c>
      <c r="K5" s="15">
        <f t="shared" si="0"/>
        <v>579748384</v>
      </c>
      <c r="L5" s="15">
        <f t="shared" si="0"/>
        <v>574630511</v>
      </c>
      <c r="M5" s="15">
        <f t="shared" si="0"/>
        <v>578575693</v>
      </c>
      <c r="N5" s="15">
        <f t="shared" si="0"/>
        <v>578223561</v>
      </c>
      <c r="O5" s="15">
        <f t="shared" si="0"/>
        <v>583339661</v>
      </c>
      <c r="P5" s="15">
        <f t="shared" si="0"/>
        <v>597685072</v>
      </c>
      <c r="Q5" s="15">
        <f t="shared" si="0"/>
        <v>582110826</v>
      </c>
      <c r="R5" s="15">
        <f t="shared" si="0"/>
        <v>582102661</v>
      </c>
      <c r="S5" s="15">
        <f t="shared" si="0"/>
        <v>583630942</v>
      </c>
      <c r="T5" s="15">
        <f t="shared" si="0"/>
        <v>584196986</v>
      </c>
      <c r="U5" s="15">
        <f t="shared" si="0"/>
        <v>597291463</v>
      </c>
      <c r="V5" s="15">
        <f t="shared" si="0"/>
        <v>594688139</v>
      </c>
      <c r="W5" s="15">
        <f t="shared" si="0"/>
        <v>602851637</v>
      </c>
      <c r="X5" s="15">
        <f t="shared" si="0"/>
        <v>588328316</v>
      </c>
      <c r="Y5" s="15">
        <f t="shared" si="0"/>
        <v>588316228</v>
      </c>
      <c r="Z5" s="15">
        <f t="shared" si="0"/>
        <v>586782834</v>
      </c>
      <c r="AA5" s="15">
        <f t="shared" si="0"/>
        <v>584750053</v>
      </c>
      <c r="AB5" s="15">
        <f t="shared" si="0"/>
        <v>590732117</v>
      </c>
      <c r="AC5" s="15">
        <f t="shared" si="0"/>
        <v>591651192</v>
      </c>
      <c r="AD5" s="15">
        <f t="shared" si="0"/>
        <v>584208262</v>
      </c>
      <c r="AE5" s="15">
        <f t="shared" si="0"/>
        <v>584181194</v>
      </c>
      <c r="AF5" s="15">
        <f t="shared" si="0"/>
        <v>582039911</v>
      </c>
      <c r="AG5" s="15">
        <f t="shared" si="0"/>
        <v>572826906</v>
      </c>
      <c r="AH5" s="15">
        <f t="shared" si="0"/>
        <v>572363031</v>
      </c>
      <c r="AI5" s="15">
        <f t="shared" si="0"/>
        <v>582520408</v>
      </c>
      <c r="AJ5" s="15">
        <f t="shared" si="0"/>
        <v>591508572</v>
      </c>
      <c r="AK5" s="15">
        <f t="shared" si="0"/>
        <v>593025659</v>
      </c>
      <c r="AL5" s="15">
        <f t="shared" si="0"/>
        <v>574644143</v>
      </c>
      <c r="AM5" s="15">
        <f t="shared" si="0"/>
        <v>585840904</v>
      </c>
      <c r="AN5" s="524">
        <f>AN6+AN13+AN18+AN26</f>
        <v>11196761</v>
      </c>
      <c r="AO5" s="238">
        <f>AO6+AO13+AO18+AO26</f>
        <v>585363257.69000006</v>
      </c>
      <c r="AP5" s="16">
        <f t="shared" ref="AP5:AP13" si="1">AJ5/10000</f>
        <v>59150.857199999999</v>
      </c>
      <c r="AQ5" s="17">
        <f t="shared" ref="AQ5:AQ13" si="2">AO5/10000</f>
        <v>58536.325769000003</v>
      </c>
    </row>
    <row r="6" spans="1:44" s="14" customFormat="1" ht="21.95" customHeight="1">
      <c r="A6" s="19"/>
      <c r="B6" s="650" t="s">
        <v>10</v>
      </c>
      <c r="C6" s="651"/>
      <c r="D6" s="287">
        <f t="shared" ref="D6:I6" si="3">SUM(D7:D12)</f>
        <v>320284718.29999995</v>
      </c>
      <c r="E6" s="287">
        <f t="shared" si="3"/>
        <v>325002569.27828842</v>
      </c>
      <c r="F6" s="287">
        <f t="shared" si="3"/>
        <v>341288007.56563443</v>
      </c>
      <c r="G6" s="20">
        <f>SUM(G7:G12)</f>
        <v>334539797</v>
      </c>
      <c r="H6" s="20">
        <f t="shared" si="3"/>
        <v>347401929</v>
      </c>
      <c r="I6" s="20">
        <f t="shared" si="3"/>
        <v>328046020</v>
      </c>
      <c r="J6" s="20">
        <f>SUM(J7:J12)</f>
        <v>319078039</v>
      </c>
      <c r="K6" s="20">
        <f>SUM(K7:K12)</f>
        <v>319077649</v>
      </c>
      <c r="L6" s="20">
        <f t="shared" ref="L6:AO6" si="4">SUM(L7:L12)</f>
        <v>315751125</v>
      </c>
      <c r="M6" s="20">
        <f t="shared" si="4"/>
        <v>316928652</v>
      </c>
      <c r="N6" s="20">
        <f t="shared" si="4"/>
        <v>318348793</v>
      </c>
      <c r="O6" s="20">
        <f t="shared" si="4"/>
        <v>322300855</v>
      </c>
      <c r="P6" s="20">
        <f t="shared" si="4"/>
        <v>332228947</v>
      </c>
      <c r="Q6" s="20">
        <f t="shared" si="4"/>
        <v>321827189</v>
      </c>
      <c r="R6" s="20">
        <f t="shared" si="4"/>
        <v>321819024</v>
      </c>
      <c r="S6" s="20">
        <f t="shared" si="4"/>
        <v>324385616</v>
      </c>
      <c r="T6" s="20">
        <f t="shared" si="4"/>
        <v>328274108</v>
      </c>
      <c r="U6" s="20">
        <f t="shared" si="4"/>
        <v>337970004</v>
      </c>
      <c r="V6" s="20">
        <f t="shared" si="4"/>
        <v>339796121</v>
      </c>
      <c r="W6" s="20">
        <f t="shared" si="4"/>
        <v>347704254</v>
      </c>
      <c r="X6" s="20">
        <f t="shared" si="4"/>
        <v>338220876</v>
      </c>
      <c r="Y6" s="20">
        <f t="shared" si="4"/>
        <v>338211270</v>
      </c>
      <c r="Z6" s="20">
        <f t="shared" si="4"/>
        <v>337346825</v>
      </c>
      <c r="AA6" s="20">
        <f t="shared" si="4"/>
        <v>337444890</v>
      </c>
      <c r="AB6" s="20">
        <f t="shared" si="4"/>
        <v>343661526</v>
      </c>
      <c r="AC6" s="20">
        <f t="shared" si="4"/>
        <v>345875987</v>
      </c>
      <c r="AD6" s="20">
        <f t="shared" si="4"/>
        <v>343328916</v>
      </c>
      <c r="AE6" s="20">
        <f t="shared" si="4"/>
        <v>343307180</v>
      </c>
      <c r="AF6" s="20">
        <f t="shared" si="4"/>
        <v>341646720</v>
      </c>
      <c r="AG6" s="20">
        <f t="shared" si="4"/>
        <v>330585380</v>
      </c>
      <c r="AH6" s="20">
        <f t="shared" si="4"/>
        <v>331767423</v>
      </c>
      <c r="AI6" s="20">
        <f t="shared" si="4"/>
        <v>339687757</v>
      </c>
      <c r="AJ6" s="20">
        <f t="shared" si="4"/>
        <v>342348297</v>
      </c>
      <c r="AK6" s="20">
        <f t="shared" si="4"/>
        <v>344410674</v>
      </c>
      <c r="AL6" s="20">
        <f t="shared" si="4"/>
        <v>331882330</v>
      </c>
      <c r="AM6" s="20">
        <f t="shared" si="4"/>
        <v>341483124</v>
      </c>
      <c r="AN6" s="525">
        <f t="shared" si="4"/>
        <v>9600794</v>
      </c>
      <c r="AO6" s="21">
        <f t="shared" si="4"/>
        <v>333056308.75</v>
      </c>
      <c r="AP6" s="16">
        <f t="shared" si="1"/>
        <v>34234.829700000002</v>
      </c>
      <c r="AQ6" s="17">
        <f t="shared" si="2"/>
        <v>33305.630875000003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276129773.57999998</v>
      </c>
      <c r="E7" s="309">
        <f>HLOOKUP(MONTH(日期!$C$2),當年目標設定!$D$1:$O$33,5,TRUE)</f>
        <v>282657851.39576364</v>
      </c>
      <c r="F7" s="308">
        <f>HLOOKUP(MONTH(日期!$C$2),當年目標設定!$R$1:$AC$33,5,TRUE)</f>
        <v>296098032.28830397</v>
      </c>
      <c r="G7" s="308">
        <f>當年月推移!P5</f>
        <v>289876788</v>
      </c>
      <c r="H7" s="308">
        <f>當年月推移!P39</f>
        <v>294138569</v>
      </c>
      <c r="I7" s="27">
        <f>VALUE(庫存金額!C2)</f>
        <v>272885718</v>
      </c>
      <c r="J7" s="27">
        <f>VALUE(庫存金額!D2)</f>
        <v>271052120</v>
      </c>
      <c r="K7" s="27">
        <f>VALUE(庫存金額!E2)</f>
        <v>271051730</v>
      </c>
      <c r="L7" s="27">
        <f>VALUE(庫存金額!F2)</f>
        <v>273983761</v>
      </c>
      <c r="M7" s="27">
        <f>VALUE(庫存金額!G2)</f>
        <v>275046664</v>
      </c>
      <c r="N7" s="27">
        <f>VALUE(庫存金額!H2)</f>
        <v>275787886</v>
      </c>
      <c r="O7" s="27">
        <f>VALUE(庫存金額!I2)</f>
        <v>279744166</v>
      </c>
      <c r="P7" s="27">
        <f>VALUE(庫存金額!J2)</f>
        <v>284276033</v>
      </c>
      <c r="Q7" s="27">
        <f>VALUE(庫存金額!K2)</f>
        <v>281691626</v>
      </c>
      <c r="R7" s="27">
        <f>VALUE(庫存金額!L2)</f>
        <v>281684568</v>
      </c>
      <c r="S7" s="27">
        <f>VALUE(庫存金額!M2)</f>
        <v>283876494</v>
      </c>
      <c r="T7" s="27">
        <f>VALUE(庫存金額!N2)</f>
        <v>286528754</v>
      </c>
      <c r="U7" s="27">
        <f>VALUE(庫存金額!O2)</f>
        <v>293360371</v>
      </c>
      <c r="V7" s="27">
        <f>VALUE(庫存金額!P2)</f>
        <v>295911407</v>
      </c>
      <c r="W7" s="27">
        <f>VALUE(庫存金額!Q2)</f>
        <v>299079139</v>
      </c>
      <c r="X7" s="27">
        <f>VALUE(庫存金額!R2)</f>
        <v>297703414</v>
      </c>
      <c r="Y7" s="27">
        <f>VALUE(庫存金額!S2)</f>
        <v>297693808</v>
      </c>
      <c r="Z7" s="27">
        <f>VALUE(庫存金額!T2)</f>
        <v>298930536</v>
      </c>
      <c r="AA7" s="27">
        <f>VALUE(庫存金額!U2)</f>
        <v>298103001</v>
      </c>
      <c r="AB7" s="27">
        <f>VALUE(庫存金額!V2)</f>
        <v>302115337</v>
      </c>
      <c r="AC7" s="27">
        <f>VALUE(庫存金額!W2)</f>
        <v>303334335</v>
      </c>
      <c r="AD7" s="27">
        <f>VALUE(庫存金額!X2)</f>
        <v>302513648</v>
      </c>
      <c r="AE7" s="27">
        <f>VALUE(庫存金額!Y2)</f>
        <v>302507183</v>
      </c>
      <c r="AF7" s="27">
        <f>VALUE(庫存金額!Z2)</f>
        <v>301011556</v>
      </c>
      <c r="AG7" s="27">
        <f>VALUE(庫存金額!AA2)</f>
        <v>293290595</v>
      </c>
      <c r="AH7" s="27">
        <f>VALUE(庫存金額!AB2)</f>
        <v>291537696</v>
      </c>
      <c r="AI7" s="27">
        <f>VALUE(庫存金額!AC2)</f>
        <v>295584879</v>
      </c>
      <c r="AJ7" s="27">
        <f>VALUE(庫存金額!AD2)</f>
        <v>296037589</v>
      </c>
      <c r="AK7" s="27">
        <f>VALUE(庫存金額!AE2)</f>
        <v>293531649</v>
      </c>
      <c r="AL7" s="27">
        <f>VALUE(庫存金額!AF2)</f>
        <v>288190218</v>
      </c>
      <c r="AM7" s="27">
        <f>VALUE(庫存金額!AG2)</f>
        <v>288168798</v>
      </c>
      <c r="AN7" s="27">
        <f>VALUE(庫存金額!AH2)</f>
        <v>-21420</v>
      </c>
      <c r="AO7" s="27">
        <f>VALUE(庫存金額!AI2)</f>
        <v>289555312.23000002</v>
      </c>
      <c r="AP7" s="16">
        <f t="shared" si="1"/>
        <v>29603.758900000001</v>
      </c>
      <c r="AQ7" s="17">
        <f t="shared" si="2"/>
        <v>28955.531223000002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5374548.71</v>
      </c>
      <c r="E8" s="309">
        <f>HLOOKUP(MONTH(日期!$C$2),當年目標設定!$D$1:$O$33,6,TRUE)</f>
        <v>5319075.5029565003</v>
      </c>
      <c r="F8" s="308">
        <f>HLOOKUP(MONTH(日期!$C$2),當年目標設定!$R$1:$AC$33,6,TRUE)</f>
        <v>6243392.1166547155</v>
      </c>
      <c r="G8" s="308">
        <f>當年月推移!$P6</f>
        <v>6131139</v>
      </c>
      <c r="H8" s="308">
        <f>當年月推移!P40</f>
        <v>7379907</v>
      </c>
      <c r="I8" s="27">
        <f>VALUE(庫存金額!C4)</f>
        <v>7884033</v>
      </c>
      <c r="J8" s="27">
        <f>VALUE(庫存金額!D4)</f>
        <v>6089634</v>
      </c>
      <c r="K8" s="27">
        <f>VALUE(庫存金額!E4)</f>
        <v>6089634</v>
      </c>
      <c r="L8" s="27">
        <f>VALUE(庫存金額!F4)</f>
        <v>5290853</v>
      </c>
      <c r="M8" s="27">
        <f>VALUE(庫存金額!G4)</f>
        <v>5522165</v>
      </c>
      <c r="N8" s="27">
        <f>VALUE(庫存金額!H4)</f>
        <v>5222326</v>
      </c>
      <c r="O8" s="27">
        <f>VALUE(庫存金額!I4)</f>
        <v>5319024</v>
      </c>
      <c r="P8" s="27">
        <f>VALUE(庫存金額!J4)</f>
        <v>5745576</v>
      </c>
      <c r="Q8" s="27">
        <f>VALUE(庫存金額!K4)</f>
        <v>3634089</v>
      </c>
      <c r="R8" s="27">
        <f>VALUE(庫存金額!L4)</f>
        <v>3634089</v>
      </c>
      <c r="S8" s="27">
        <f>VALUE(庫存金額!M4)</f>
        <v>5218248</v>
      </c>
      <c r="T8" s="27">
        <f>VALUE(庫存金額!N4)</f>
        <v>4671425</v>
      </c>
      <c r="U8" s="27">
        <f>VALUE(庫存金額!O4)</f>
        <v>5497493</v>
      </c>
      <c r="V8" s="27">
        <f>VALUE(庫存金額!P4)</f>
        <v>5894397</v>
      </c>
      <c r="W8" s="27">
        <f>VALUE(庫存金額!Q4)</f>
        <v>6606089</v>
      </c>
      <c r="X8" s="27">
        <f>VALUE(庫存金額!R4)</f>
        <v>4533625</v>
      </c>
      <c r="Y8" s="27">
        <f>VALUE(庫存金額!S4)</f>
        <v>4533625</v>
      </c>
      <c r="Z8" s="27">
        <f>VALUE(庫存金額!T4)</f>
        <v>4394108</v>
      </c>
      <c r="AA8" s="27">
        <f>VALUE(庫存金額!U4)</f>
        <v>4683679</v>
      </c>
      <c r="AB8" s="27">
        <f>VALUE(庫存金額!V4)</f>
        <v>4804789</v>
      </c>
      <c r="AC8" s="27">
        <f>VALUE(庫存金額!W4)</f>
        <v>4771517</v>
      </c>
      <c r="AD8" s="27">
        <f>VALUE(庫存金額!X4)</f>
        <v>5583687</v>
      </c>
      <c r="AE8" s="27">
        <f>VALUE(庫存金額!Y4)</f>
        <v>5583687</v>
      </c>
      <c r="AF8" s="27">
        <f>VALUE(庫存金額!Z4)</f>
        <v>5581959</v>
      </c>
      <c r="AG8" s="27">
        <f>VALUE(庫存金額!AA4)</f>
        <v>4175046</v>
      </c>
      <c r="AH8" s="27">
        <f>VALUE(庫存金額!AB4)</f>
        <v>4634995</v>
      </c>
      <c r="AI8" s="27">
        <f>VALUE(庫存金額!AC4)</f>
        <v>5399838</v>
      </c>
      <c r="AJ8" s="27">
        <f>VALUE(庫存金額!AD4)</f>
        <v>5959804</v>
      </c>
      <c r="AK8" s="27">
        <f>VALUE(庫存金額!AE4)</f>
        <v>7278627</v>
      </c>
      <c r="AL8" s="27">
        <f>VALUE(庫存金額!AF4)</f>
        <v>5352452</v>
      </c>
      <c r="AM8" s="27">
        <f>VALUE(庫存金額!AG4)</f>
        <v>5352452</v>
      </c>
      <c r="AN8" s="27">
        <f>VALUE(庫存金額!AH4)</f>
        <v>0</v>
      </c>
      <c r="AO8" s="27">
        <f>VALUE(庫存金額!AI4)</f>
        <v>5320740.8099999996</v>
      </c>
      <c r="AP8" s="16">
        <f t="shared" si="1"/>
        <v>595.98040000000003</v>
      </c>
      <c r="AQ8" s="17">
        <f t="shared" si="2"/>
        <v>532.07408099999998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7488577.2000000002</v>
      </c>
      <c r="E9" s="309">
        <f>HLOOKUP(MONTH(日期!$C$2),當年目標設定!$D$1:$O$33,7,TRUE)</f>
        <v>6845065.0182787497</v>
      </c>
      <c r="F9" s="308">
        <f>HLOOKUP(MONTH(日期!$C$2),當年目標設定!$R$1:$AC$33,7,TRUE)</f>
        <v>8631535.5808951072</v>
      </c>
      <c r="G9" s="308">
        <f>當年月推移!$P7</f>
        <v>7556460</v>
      </c>
      <c r="H9" s="308">
        <f>當年月推移!P41</f>
        <v>7230507</v>
      </c>
      <c r="I9" s="27">
        <f>VALUE(庫存金額!C5)</f>
        <v>5625302</v>
      </c>
      <c r="J9" s="27">
        <f>VALUE(庫存金額!D5)</f>
        <v>5579716</v>
      </c>
      <c r="K9" s="27">
        <f>VALUE(庫存金額!E5)</f>
        <v>5579716</v>
      </c>
      <c r="L9" s="27">
        <f>VALUE(庫存金額!F5)</f>
        <v>5488270</v>
      </c>
      <c r="M9" s="27">
        <f>VALUE(庫存金額!G5)</f>
        <v>5424138</v>
      </c>
      <c r="N9" s="27">
        <f>VALUE(庫存金額!H5)</f>
        <v>5589650</v>
      </c>
      <c r="O9" s="27">
        <f>VALUE(庫存金額!I5)</f>
        <v>5778869</v>
      </c>
      <c r="P9" s="27">
        <f>VALUE(庫存金額!J5)</f>
        <v>5741117</v>
      </c>
      <c r="Q9" s="27">
        <f>VALUE(庫存金額!K5)</f>
        <v>5981969</v>
      </c>
      <c r="R9" s="27">
        <f>VALUE(庫存金額!L5)</f>
        <v>5981969</v>
      </c>
      <c r="S9" s="27">
        <f>VALUE(庫存金額!M5)</f>
        <v>6060239</v>
      </c>
      <c r="T9" s="27">
        <f>VALUE(庫存金額!N5)</f>
        <v>5958858</v>
      </c>
      <c r="U9" s="27">
        <f>VALUE(庫存金額!O5)</f>
        <v>5910630</v>
      </c>
      <c r="V9" s="27">
        <f>VALUE(庫存金額!P5)</f>
        <v>5962243</v>
      </c>
      <c r="W9" s="27">
        <f>VALUE(庫存金額!Q5)</f>
        <v>5851526</v>
      </c>
      <c r="X9" s="27">
        <f>VALUE(庫存金額!R5)</f>
        <v>5844454</v>
      </c>
      <c r="Y9" s="27">
        <f>VALUE(庫存金額!S5)</f>
        <v>5844454</v>
      </c>
      <c r="Z9" s="27">
        <f>VALUE(庫存金額!T5)</f>
        <v>5794489</v>
      </c>
      <c r="AA9" s="27">
        <f>VALUE(庫存金額!U5)</f>
        <v>5749238</v>
      </c>
      <c r="AB9" s="27">
        <f>VALUE(庫存金額!V5)</f>
        <v>5843368</v>
      </c>
      <c r="AC9" s="27">
        <f>VALUE(庫存金額!W5)</f>
        <v>5958903</v>
      </c>
      <c r="AD9" s="27">
        <f>VALUE(庫存金額!X5)</f>
        <v>5896923</v>
      </c>
      <c r="AE9" s="27">
        <f>VALUE(庫存金額!Y5)</f>
        <v>5896923</v>
      </c>
      <c r="AF9" s="27">
        <f>VALUE(庫存金額!Z5)</f>
        <v>5872729</v>
      </c>
      <c r="AG9" s="27">
        <f>VALUE(庫存金額!AA5)</f>
        <v>5834484</v>
      </c>
      <c r="AH9" s="27">
        <f>VALUE(庫存金額!AB5)</f>
        <v>5798091</v>
      </c>
      <c r="AI9" s="27">
        <f>VALUE(庫存金額!AC5)</f>
        <v>6035746</v>
      </c>
      <c r="AJ9" s="27">
        <f>VALUE(庫存金額!AD5)</f>
        <v>5997799</v>
      </c>
      <c r="AK9" s="27">
        <f>VALUE(庫存金額!AE5)</f>
        <v>5931673</v>
      </c>
      <c r="AL9" s="27">
        <f>VALUE(庫存金額!AF5)</f>
        <v>5889201</v>
      </c>
      <c r="AM9" s="27">
        <f>VALUE(庫存金額!AG5)</f>
        <v>5889201</v>
      </c>
      <c r="AN9" s="27">
        <f>VALUE(庫存金額!AH5)</f>
        <v>0</v>
      </c>
      <c r="AO9" s="27">
        <f>VALUE(庫存金額!AI5)</f>
        <v>5825544.7699999996</v>
      </c>
      <c r="AP9" s="16">
        <f t="shared" si="1"/>
        <v>599.7799</v>
      </c>
      <c r="AQ9" s="17">
        <f t="shared" si="2"/>
        <v>582.55447699999991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19611807.23</v>
      </c>
      <c r="E10" s="309">
        <f>HLOOKUP(MONTH(日期!$C$2),當年目標設定!$D$1:$O$33,8,TRUE)</f>
        <v>19029715.354838498</v>
      </c>
      <c r="F10" s="308">
        <f>HLOOKUP(MONTH(日期!$C$2),當年目標設定!$R$1:$AC$33,8,TRUE)</f>
        <v>18554728.397556249</v>
      </c>
      <c r="G10" s="308">
        <f>當年月推移!$P8</f>
        <v>19712020</v>
      </c>
      <c r="H10" s="308">
        <f>當年月推移!P42</f>
        <v>21058247</v>
      </c>
      <c r="I10" s="27">
        <f>VALUE(庫存金額!C6)</f>
        <v>22659810</v>
      </c>
      <c r="J10" s="27">
        <f>VALUE(庫存金額!D6)</f>
        <v>20505089</v>
      </c>
      <c r="K10" s="27">
        <f>VALUE(庫存金額!E6)</f>
        <v>20505089</v>
      </c>
      <c r="L10" s="27">
        <f>VALUE(庫存金額!F6)</f>
        <v>19107001</v>
      </c>
      <c r="M10" s="27">
        <f>VALUE(庫存金額!G6)</f>
        <v>19692360</v>
      </c>
      <c r="N10" s="27">
        <f>VALUE(庫存金額!H6)</f>
        <v>19682805</v>
      </c>
      <c r="O10" s="27">
        <f>VALUE(庫存金額!I6)</f>
        <v>18999189</v>
      </c>
      <c r="P10" s="27">
        <f>VALUE(庫存金額!J6)</f>
        <v>21402765</v>
      </c>
      <c r="Q10" s="27">
        <f>VALUE(庫存金額!K6)</f>
        <v>19182579</v>
      </c>
      <c r="R10" s="27">
        <f>VALUE(庫存金額!L6)</f>
        <v>19181472</v>
      </c>
      <c r="S10" s="27">
        <f>VALUE(庫存金額!M6)</f>
        <v>19144116</v>
      </c>
      <c r="T10" s="27">
        <f>VALUE(庫存金額!N6)</f>
        <v>19800364</v>
      </c>
      <c r="U10" s="27">
        <f>VALUE(庫存金額!O6)</f>
        <v>21239957</v>
      </c>
      <c r="V10" s="27">
        <f>VALUE(庫存金額!P6)</f>
        <v>19726058</v>
      </c>
      <c r="W10" s="27">
        <f>VALUE(庫存金額!Q6)</f>
        <v>22708697</v>
      </c>
      <c r="X10" s="27">
        <f>VALUE(庫存金額!R6)</f>
        <v>20491022</v>
      </c>
      <c r="Y10" s="27">
        <f>VALUE(庫存金額!S6)</f>
        <v>20491022</v>
      </c>
      <c r="Z10" s="27">
        <f>VALUE(庫存金額!T6)</f>
        <v>19536270</v>
      </c>
      <c r="AA10" s="27">
        <f>VALUE(庫存金額!U6)</f>
        <v>19232909</v>
      </c>
      <c r="AB10" s="27">
        <f>VALUE(庫存金額!V6)</f>
        <v>19602892</v>
      </c>
      <c r="AC10" s="27">
        <f>VALUE(庫存金額!W6)</f>
        <v>20784335</v>
      </c>
      <c r="AD10" s="27">
        <f>VALUE(庫存金額!X6)</f>
        <v>19386927</v>
      </c>
      <c r="AE10" s="27">
        <f>VALUE(庫存金額!Y6)</f>
        <v>19378855</v>
      </c>
      <c r="AF10" s="27">
        <f>VALUE(庫存金額!Z6)</f>
        <v>19286292</v>
      </c>
      <c r="AG10" s="27">
        <f>VALUE(庫存金額!AA6)</f>
        <v>18551785</v>
      </c>
      <c r="AH10" s="27">
        <f>VALUE(庫存金額!AB6)</f>
        <v>18436221</v>
      </c>
      <c r="AI10" s="27">
        <f>VALUE(庫存金額!AC6)</f>
        <v>19729434</v>
      </c>
      <c r="AJ10" s="27">
        <f>VALUE(庫存金額!AD6)</f>
        <v>20697333</v>
      </c>
      <c r="AK10" s="27">
        <f>VALUE(庫存金額!AE6)</f>
        <v>21807263</v>
      </c>
      <c r="AL10" s="27">
        <f>VALUE(庫存金額!AF6)</f>
        <v>19959865</v>
      </c>
      <c r="AM10" s="27">
        <f>VALUE(庫存金額!AG6)</f>
        <v>19959865</v>
      </c>
      <c r="AN10" s="27">
        <f>VALUE(庫存金額!AH6)</f>
        <v>0</v>
      </c>
      <c r="AO10" s="27">
        <f>VALUE(庫存金額!AI6)</f>
        <v>20028052.940000001</v>
      </c>
      <c r="AP10" s="16">
        <f t="shared" si="1"/>
        <v>2069.7332999999999</v>
      </c>
      <c r="AQ10" s="17">
        <f t="shared" si="2"/>
        <v>2002.8052940000002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11680011.58</v>
      </c>
      <c r="E12" s="309">
        <f>HLOOKUP(MONTH(日期!$C$2),當年目標設定!$D$1:$O$33,10,TRUE)</f>
        <v>11150862.006451</v>
      </c>
      <c r="F12" s="308">
        <f>HLOOKUP(MONTH(日期!$C$2),當年目標設定!$R$1:$AC$33,10,TRUE)</f>
        <v>11760319.182224391</v>
      </c>
      <c r="G12" s="308">
        <f>當年月推移!$P10</f>
        <v>11263390</v>
      </c>
      <c r="H12" s="308">
        <f>當年月推移!P44</f>
        <v>17594699</v>
      </c>
      <c r="I12" s="27">
        <f>VALUE(庫存金額!C8)</f>
        <v>18991157</v>
      </c>
      <c r="J12" s="27">
        <f>VALUE(庫存金額!D8)</f>
        <v>15851480</v>
      </c>
      <c r="K12" s="27">
        <f>VALUE(庫存金額!E8)</f>
        <v>15851480</v>
      </c>
      <c r="L12" s="27">
        <f>VALUE(庫存金額!F8)</f>
        <v>11881240</v>
      </c>
      <c r="M12" s="27">
        <f>VALUE(庫存金額!G8)</f>
        <v>11243325</v>
      </c>
      <c r="N12" s="27">
        <f>VALUE(庫存金額!H8)</f>
        <v>12066126</v>
      </c>
      <c r="O12" s="27">
        <f>VALUE(庫存金額!I8)</f>
        <v>12459607</v>
      </c>
      <c r="P12" s="27">
        <f>VALUE(庫存金額!J8)</f>
        <v>15063456</v>
      </c>
      <c r="Q12" s="27">
        <f>VALUE(庫存金額!K8)</f>
        <v>11336926</v>
      </c>
      <c r="R12" s="27">
        <f>VALUE(庫存金額!L8)</f>
        <v>11336926</v>
      </c>
      <c r="S12" s="27">
        <f>VALUE(庫存金額!M8)</f>
        <v>10086519</v>
      </c>
      <c r="T12" s="27">
        <f>VALUE(庫存金額!N8)</f>
        <v>11314707</v>
      </c>
      <c r="U12" s="27">
        <f>VALUE(庫存金額!O8)</f>
        <v>11961553</v>
      </c>
      <c r="V12" s="27">
        <f>VALUE(庫存金額!P8)</f>
        <v>12302016</v>
      </c>
      <c r="W12" s="27">
        <f>VALUE(庫存金額!Q8)</f>
        <v>13458803</v>
      </c>
      <c r="X12" s="27">
        <f>VALUE(庫存金額!R8)</f>
        <v>9648361</v>
      </c>
      <c r="Y12" s="27">
        <f>VALUE(庫存金額!S8)</f>
        <v>9648361</v>
      </c>
      <c r="Z12" s="27">
        <f>VALUE(庫存金額!T8)</f>
        <v>8691422</v>
      </c>
      <c r="AA12" s="27">
        <f>VALUE(庫存金額!U8)</f>
        <v>9676063</v>
      </c>
      <c r="AB12" s="27">
        <f>VALUE(庫存金額!V8)</f>
        <v>11295140</v>
      </c>
      <c r="AC12" s="27">
        <f>VALUE(庫存金額!W8)</f>
        <v>11026897</v>
      </c>
      <c r="AD12" s="27">
        <f>VALUE(庫存金額!X8)</f>
        <v>9947731</v>
      </c>
      <c r="AE12" s="27">
        <f>VALUE(庫存金額!Y8)</f>
        <v>9940532</v>
      </c>
      <c r="AF12" s="27">
        <f>VALUE(庫存金額!Z8)</f>
        <v>9894184</v>
      </c>
      <c r="AG12" s="27">
        <f>VALUE(庫存金額!AA8)</f>
        <v>8733470</v>
      </c>
      <c r="AH12" s="27">
        <f>VALUE(庫存金額!AB8)</f>
        <v>11360420</v>
      </c>
      <c r="AI12" s="27">
        <f>VALUE(庫存金額!AC8)</f>
        <v>12937860</v>
      </c>
      <c r="AJ12" s="27">
        <f>VALUE(庫存金額!AD8)</f>
        <v>13655772</v>
      </c>
      <c r="AK12" s="27">
        <f>VALUE(庫存金額!AE8)</f>
        <v>15861462</v>
      </c>
      <c r="AL12" s="27">
        <f>VALUE(庫存金額!AF8)</f>
        <v>12490594</v>
      </c>
      <c r="AM12" s="27">
        <f>VALUE(庫存金額!AG8)</f>
        <v>22112808</v>
      </c>
      <c r="AN12" s="27">
        <f>VALUE(庫存金額!AH8)</f>
        <v>9622214</v>
      </c>
      <c r="AO12" s="27">
        <f>VALUE(庫存金額!AI8)</f>
        <v>12326658</v>
      </c>
      <c r="AP12" s="16">
        <f t="shared" si="1"/>
        <v>1365.5771999999999</v>
      </c>
      <c r="AQ12" s="17">
        <f t="shared" si="2"/>
        <v>1232.6658</v>
      </c>
      <c r="AR12" s="22"/>
    </row>
    <row r="13" spans="1:44" s="14" customFormat="1" ht="21.95" customHeight="1">
      <c r="A13" s="23"/>
      <c r="B13" s="652" t="s">
        <v>17</v>
      </c>
      <c r="C13" s="653"/>
      <c r="D13" s="323">
        <f t="shared" ref="D13:I13" si="5">SUM(D14:D17)</f>
        <v>12798605.200000001</v>
      </c>
      <c r="E13" s="323">
        <f t="shared" si="5"/>
        <v>12912444.016665502</v>
      </c>
      <c r="F13" s="323">
        <f t="shared" si="5"/>
        <v>11533182.832991786</v>
      </c>
      <c r="G13" s="323">
        <f t="shared" si="5"/>
        <v>2715650</v>
      </c>
      <c r="H13" s="323">
        <f t="shared" si="5"/>
        <v>2933746</v>
      </c>
      <c r="I13" s="20">
        <f t="shared" si="5"/>
        <v>17965225</v>
      </c>
      <c r="J13" s="20">
        <f t="shared" ref="J13:AO13" si="6">SUM(J14:J17)</f>
        <v>16438450</v>
      </c>
      <c r="K13" s="20">
        <f t="shared" si="6"/>
        <v>16438450</v>
      </c>
      <c r="L13" s="20">
        <f t="shared" si="6"/>
        <v>15709789</v>
      </c>
      <c r="M13" s="20">
        <f t="shared" si="6"/>
        <v>18382089</v>
      </c>
      <c r="N13" s="20">
        <f t="shared" si="6"/>
        <v>17426916</v>
      </c>
      <c r="O13" s="20">
        <f t="shared" si="6"/>
        <v>16836252</v>
      </c>
      <c r="P13" s="20">
        <f t="shared" si="6"/>
        <v>18698745</v>
      </c>
      <c r="Q13" s="20">
        <f t="shared" si="6"/>
        <v>17036690</v>
      </c>
      <c r="R13" s="20">
        <f t="shared" si="6"/>
        <v>17036690</v>
      </c>
      <c r="S13" s="20">
        <f t="shared" si="6"/>
        <v>15757738</v>
      </c>
      <c r="T13" s="20">
        <f t="shared" si="6"/>
        <v>15173870</v>
      </c>
      <c r="U13" s="20">
        <f t="shared" si="6"/>
        <v>16680111</v>
      </c>
      <c r="V13" s="20">
        <f t="shared" si="6"/>
        <v>15775810</v>
      </c>
      <c r="W13" s="20">
        <f t="shared" si="6"/>
        <v>15107058</v>
      </c>
      <c r="X13" s="20">
        <f t="shared" si="6"/>
        <v>13331733</v>
      </c>
      <c r="Y13" s="20">
        <f t="shared" si="6"/>
        <v>13331733</v>
      </c>
      <c r="Z13" s="20">
        <f t="shared" si="6"/>
        <v>13533016</v>
      </c>
      <c r="AA13" s="20">
        <f t="shared" si="6"/>
        <v>13094512</v>
      </c>
      <c r="AB13" s="20">
        <f t="shared" si="6"/>
        <v>13964471</v>
      </c>
      <c r="AC13" s="20">
        <f t="shared" si="6"/>
        <v>12500900</v>
      </c>
      <c r="AD13" s="20">
        <f t="shared" si="6"/>
        <v>11367666</v>
      </c>
      <c r="AE13" s="20">
        <f t="shared" si="6"/>
        <v>11366036</v>
      </c>
      <c r="AF13" s="20">
        <f t="shared" si="6"/>
        <v>11289773</v>
      </c>
      <c r="AG13" s="20">
        <f t="shared" si="6"/>
        <v>14070411</v>
      </c>
      <c r="AH13" s="20">
        <f t="shared" si="6"/>
        <v>13240121</v>
      </c>
      <c r="AI13" s="20">
        <f t="shared" si="6"/>
        <v>13584527</v>
      </c>
      <c r="AJ13" s="20">
        <f t="shared" si="6"/>
        <v>12249092</v>
      </c>
      <c r="AK13" s="20">
        <f t="shared" si="6"/>
        <v>11915245</v>
      </c>
      <c r="AL13" s="20">
        <f t="shared" si="6"/>
        <v>10536623</v>
      </c>
      <c r="AM13" s="20">
        <f t="shared" si="6"/>
        <v>10536995</v>
      </c>
      <c r="AN13" s="20">
        <f t="shared" si="6"/>
        <v>372</v>
      </c>
      <c r="AO13" s="20">
        <f t="shared" si="6"/>
        <v>14528281.850000001</v>
      </c>
      <c r="AP13" s="16">
        <f t="shared" si="1"/>
        <v>1224.9092000000001</v>
      </c>
      <c r="AQ13" s="17">
        <f t="shared" si="2"/>
        <v>1452.8281850000001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3666724.58</v>
      </c>
      <c r="E15" s="309">
        <f>HLOOKUP(MONTH(日期!$C$2),當年目標設定!$D$1:$O$33,13,TRUE)</f>
        <v>3923210.0658600004</v>
      </c>
      <c r="F15" s="308">
        <f>HLOOKUP(MONTH(日期!$C$2),當年目標設定!$R$1:$AC$33,13,TRUE)</f>
        <v>2378719.6393201067</v>
      </c>
      <c r="G15" s="308">
        <f>當年月推移!P13</f>
        <v>2440821</v>
      </c>
      <c r="H15" s="308">
        <f>當年月推移!P47</f>
        <v>2650268</v>
      </c>
      <c r="I15" s="27">
        <f>VALUE(庫存金額!C10)</f>
        <v>4668603</v>
      </c>
      <c r="J15" s="27">
        <f>VALUE(庫存金額!D10)</f>
        <v>4568413</v>
      </c>
      <c r="K15" s="27">
        <f>VALUE(庫存金額!E10)</f>
        <v>4568413</v>
      </c>
      <c r="L15" s="27">
        <f>VALUE(庫存金額!F10)</f>
        <v>4453528</v>
      </c>
      <c r="M15" s="27">
        <f>VALUE(庫存金額!G10)</f>
        <v>4380713</v>
      </c>
      <c r="N15" s="27">
        <f>VALUE(庫存金額!H10)</f>
        <v>4252493</v>
      </c>
      <c r="O15" s="27">
        <f>VALUE(庫存金額!I10)</f>
        <v>4668893</v>
      </c>
      <c r="P15" s="27">
        <f>VALUE(庫存金額!J10)</f>
        <v>4567263</v>
      </c>
      <c r="Q15" s="27">
        <f>VALUE(庫存金額!K10)</f>
        <v>4439223</v>
      </c>
      <c r="R15" s="27">
        <f>VALUE(庫存金額!L10)</f>
        <v>4439223</v>
      </c>
      <c r="S15" s="27">
        <f>VALUE(庫存金額!M10)</f>
        <v>4276268</v>
      </c>
      <c r="T15" s="27">
        <f>VALUE(庫存金額!N10)</f>
        <v>4032468</v>
      </c>
      <c r="U15" s="27">
        <f>VALUE(庫存金額!O10)</f>
        <v>3916233</v>
      </c>
      <c r="V15" s="27">
        <f>VALUE(庫存金額!P10)</f>
        <v>3816643</v>
      </c>
      <c r="W15" s="27">
        <f>VALUE(庫存金額!Q10)</f>
        <v>3704398</v>
      </c>
      <c r="X15" s="27">
        <f>VALUE(庫存金額!R10)</f>
        <v>3563373</v>
      </c>
      <c r="Y15" s="27">
        <f>VALUE(庫存金額!S10)</f>
        <v>3563373</v>
      </c>
      <c r="Z15" s="27">
        <f>VALUE(庫存金額!T10)</f>
        <v>3411382</v>
      </c>
      <c r="AA15" s="27">
        <f>VALUE(庫存金額!U10)</f>
        <v>3323942</v>
      </c>
      <c r="AB15" s="27">
        <f>VALUE(庫存金額!V10)</f>
        <v>3526922</v>
      </c>
      <c r="AC15" s="27">
        <f>VALUE(庫存金額!W10)</f>
        <v>3380672</v>
      </c>
      <c r="AD15" s="27">
        <f>VALUE(庫存金額!X10)</f>
        <v>3274537</v>
      </c>
      <c r="AE15" s="27">
        <f>VALUE(庫存金額!Y10)</f>
        <v>3274537</v>
      </c>
      <c r="AF15" s="27">
        <f>VALUE(庫存金額!Z10)</f>
        <v>3218117</v>
      </c>
      <c r="AG15" s="27">
        <f>VALUE(庫存金額!AA10)</f>
        <v>2926277</v>
      </c>
      <c r="AH15" s="27">
        <f>VALUE(庫存金額!AB10)</f>
        <v>2852642</v>
      </c>
      <c r="AI15" s="27">
        <f>VALUE(庫存金額!AC10)</f>
        <v>2741412</v>
      </c>
      <c r="AJ15" s="27">
        <f>VALUE(庫存金額!AD10)</f>
        <v>2602347</v>
      </c>
      <c r="AK15" s="27">
        <f>VALUE(庫存金額!AE10)</f>
        <v>2502297</v>
      </c>
      <c r="AL15" s="27">
        <f>VALUE(庫存金額!AF10)</f>
        <v>2401962</v>
      </c>
      <c r="AM15" s="27">
        <f>VALUE(庫存金額!AG10)</f>
        <v>2401962</v>
      </c>
      <c r="AN15" s="27">
        <f>VALUE(庫存金額!AH10)</f>
        <v>0</v>
      </c>
      <c r="AO15" s="27">
        <f>VALUE(庫存金額!AI10)</f>
        <v>3668339.65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336011.23</v>
      </c>
      <c r="E16" s="309">
        <f>HLOOKUP(MONTH(日期!$C$2),當年目標設定!$D$1:$O$33,14,TRUE)</f>
        <v>310255.36021474999</v>
      </c>
      <c r="F16" s="308">
        <f>HLOOKUP(MONTH(日期!$C$2),當年目標設定!$R$1:$AC$33,14,TRUE)</f>
        <v>327529.66284160718</v>
      </c>
      <c r="G16" s="308">
        <f>當年月推移!P15</f>
        <v>274829</v>
      </c>
      <c r="H16" s="308">
        <f>當年月推移!P49</f>
        <v>283478</v>
      </c>
      <c r="I16" s="232">
        <f>VALUE(庫存金額!C14)</f>
        <v>239638</v>
      </c>
      <c r="J16" s="232">
        <f>VALUE(庫存金額!D14)</f>
        <v>239098</v>
      </c>
      <c r="K16" s="232">
        <f>VALUE(庫存金額!E14)</f>
        <v>239098</v>
      </c>
      <c r="L16" s="232">
        <f>VALUE(庫存金額!F14)</f>
        <v>238558</v>
      </c>
      <c r="M16" s="232">
        <f>VALUE(庫存金額!G14)</f>
        <v>234778</v>
      </c>
      <c r="N16" s="232">
        <f>VALUE(庫存金額!H14)</f>
        <v>256468</v>
      </c>
      <c r="O16" s="232">
        <f>VALUE(庫存金額!I14)</f>
        <v>251448</v>
      </c>
      <c r="P16" s="232">
        <f>VALUE(庫存金額!J14)</f>
        <v>249828</v>
      </c>
      <c r="Q16" s="232">
        <f>VALUE(庫存金額!K14)</f>
        <v>249828</v>
      </c>
      <c r="R16" s="232">
        <f>VALUE(庫存金額!L14)</f>
        <v>249828</v>
      </c>
      <c r="S16" s="232">
        <f>VALUE(庫存金額!M14)</f>
        <v>248228</v>
      </c>
      <c r="T16" s="232">
        <f>VALUE(庫存金額!N14)</f>
        <v>245138</v>
      </c>
      <c r="U16" s="232">
        <f>VALUE(庫存金額!O14)</f>
        <v>298288</v>
      </c>
      <c r="V16" s="232">
        <f>VALUE(庫存金額!P14)</f>
        <v>297208</v>
      </c>
      <c r="W16" s="232">
        <f>VALUE(庫存金額!Q14)</f>
        <v>295048</v>
      </c>
      <c r="X16" s="232">
        <f>VALUE(庫存金額!R14)</f>
        <v>287708</v>
      </c>
      <c r="Y16" s="232">
        <f>VALUE(庫存金額!S14)</f>
        <v>287708</v>
      </c>
      <c r="Z16" s="232">
        <f>VALUE(庫存金額!T14)</f>
        <v>278668</v>
      </c>
      <c r="AA16" s="232">
        <f>VALUE(庫存金額!U14)</f>
        <v>278128</v>
      </c>
      <c r="AB16" s="232">
        <f>VALUE(庫存金額!V14)</f>
        <v>272028</v>
      </c>
      <c r="AC16" s="232">
        <f>VALUE(庫存金額!W14)</f>
        <v>259588</v>
      </c>
      <c r="AD16" s="232">
        <f>VALUE(庫存金額!X14)</f>
        <v>249428</v>
      </c>
      <c r="AE16" s="232">
        <f>VALUE(庫存金額!Y14)</f>
        <v>249428</v>
      </c>
      <c r="AF16" s="232">
        <f>VALUE(庫存金額!Z14)</f>
        <v>249428</v>
      </c>
      <c r="AG16" s="232">
        <f>VALUE(庫存金額!AA14)</f>
        <v>243588</v>
      </c>
      <c r="AH16" s="232">
        <f>VALUE(庫存金額!AB14)</f>
        <v>239828</v>
      </c>
      <c r="AI16" s="232">
        <f>VALUE(庫存金額!AC14)</f>
        <v>238768</v>
      </c>
      <c r="AJ16" s="232">
        <f>VALUE(庫存金額!AD14)</f>
        <v>238768</v>
      </c>
      <c r="AK16" s="232">
        <f>VALUE(庫存金額!AE14)</f>
        <v>238228</v>
      </c>
      <c r="AL16" s="232">
        <f>VALUE(庫存金額!AF14)</f>
        <v>237688</v>
      </c>
      <c r="AM16" s="232">
        <f>VALUE(庫存金額!AG14)</f>
        <v>237688</v>
      </c>
      <c r="AN16" s="232">
        <f>VALUE(庫存金額!AH14)</f>
        <v>0</v>
      </c>
      <c r="AO16" s="232">
        <f>VALUE(庫存金額!AI14)</f>
        <v>255456.39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8795869.3900000006</v>
      </c>
      <c r="E17" s="309">
        <f>HLOOKUP(MONTH(日期!$C$2),當年目標設定!$D$1:$O$33,15,TRUE)</f>
        <v>8678978.5905907508</v>
      </c>
      <c r="F17" s="308">
        <f>HLOOKUP(MONTH(日期!$C$2),當年目標設定!$R$1:$AC$33,15,TRUE)</f>
        <v>8826933.5308300722</v>
      </c>
      <c r="G17" s="308">
        <f>當年月推移!P33</f>
        <v>0</v>
      </c>
      <c r="H17" s="308">
        <f>當年月推移!P67</f>
        <v>0</v>
      </c>
      <c r="I17" s="232">
        <f>VALUE(庫存金額!C24)</f>
        <v>13056984</v>
      </c>
      <c r="J17" s="232">
        <f>VALUE(庫存金額!D24)</f>
        <v>11630939</v>
      </c>
      <c r="K17" s="232">
        <f>VALUE(庫存金額!E24)</f>
        <v>11630939</v>
      </c>
      <c r="L17" s="232">
        <f>VALUE(庫存金額!F24)</f>
        <v>11017703</v>
      </c>
      <c r="M17" s="232">
        <f>VALUE(庫存金額!G24)</f>
        <v>13766598</v>
      </c>
      <c r="N17" s="232">
        <f>VALUE(庫存金額!H24)</f>
        <v>12917955</v>
      </c>
      <c r="O17" s="232">
        <f>VALUE(庫存金額!I24)</f>
        <v>11915911</v>
      </c>
      <c r="P17" s="232">
        <f>VALUE(庫存金額!J24)</f>
        <v>13881654</v>
      </c>
      <c r="Q17" s="232">
        <f>VALUE(庫存金額!K24)</f>
        <v>12347639</v>
      </c>
      <c r="R17" s="232">
        <f>VALUE(庫存金額!L24)</f>
        <v>12347639</v>
      </c>
      <c r="S17" s="232">
        <f>VALUE(庫存金額!M24)</f>
        <v>11233242</v>
      </c>
      <c r="T17" s="232">
        <f>VALUE(庫存金額!N24)</f>
        <v>10896264</v>
      </c>
      <c r="U17" s="232">
        <f>VALUE(庫存金額!O24)</f>
        <v>12465590</v>
      </c>
      <c r="V17" s="232">
        <f>VALUE(庫存金額!P24)</f>
        <v>11661959</v>
      </c>
      <c r="W17" s="232">
        <f>VALUE(庫存金額!Q24)</f>
        <v>11107612</v>
      </c>
      <c r="X17" s="232">
        <f>VALUE(庫存金額!R24)</f>
        <v>9480652</v>
      </c>
      <c r="Y17" s="232">
        <f>VALUE(庫存金額!S24)</f>
        <v>9480652</v>
      </c>
      <c r="Z17" s="232">
        <f>VALUE(庫存金額!T24)</f>
        <v>9842966</v>
      </c>
      <c r="AA17" s="232">
        <f>VALUE(庫存金額!U24)</f>
        <v>9492442</v>
      </c>
      <c r="AB17" s="232">
        <f>VALUE(庫存金額!V24)</f>
        <v>10165521</v>
      </c>
      <c r="AC17" s="232">
        <f>VALUE(庫存金額!W24)</f>
        <v>8860640</v>
      </c>
      <c r="AD17" s="232">
        <f>VALUE(庫存金額!X24)</f>
        <v>7843701</v>
      </c>
      <c r="AE17" s="232">
        <f>VALUE(庫存金額!Y24)</f>
        <v>7842071</v>
      </c>
      <c r="AF17" s="232">
        <f>VALUE(庫存金額!Z24)</f>
        <v>7822228</v>
      </c>
      <c r="AG17" s="232">
        <f>VALUE(庫存金額!AA24)</f>
        <v>10900546</v>
      </c>
      <c r="AH17" s="232">
        <f>VALUE(庫存金額!AB24)</f>
        <v>10147651</v>
      </c>
      <c r="AI17" s="232">
        <f>VALUE(庫存金額!AC24)</f>
        <v>10604347</v>
      </c>
      <c r="AJ17" s="232">
        <f>VALUE(庫存金額!AD24)</f>
        <v>9407977</v>
      </c>
      <c r="AK17" s="232">
        <f>VALUE(庫存金額!AE24)</f>
        <v>9174720</v>
      </c>
      <c r="AL17" s="232">
        <f>VALUE(庫存金額!AF24)</f>
        <v>7896973</v>
      </c>
      <c r="AM17" s="232">
        <f>VALUE(庫存金額!AG24)</f>
        <v>7897345</v>
      </c>
      <c r="AN17" s="232">
        <f>VALUE(庫存金額!AH24)</f>
        <v>372</v>
      </c>
      <c r="AO17" s="232">
        <f>VALUE(庫存金額!AI24)</f>
        <v>10604485.810000001</v>
      </c>
    </row>
    <row r="18" spans="1:44" s="14" customFormat="1" ht="21.95" customHeight="1">
      <c r="A18" s="23"/>
      <c r="B18" s="660" t="s">
        <v>22</v>
      </c>
      <c r="C18" s="661"/>
      <c r="D18" s="324">
        <f t="shared" ref="D18:I18" si="7">SUM(D19:D25)</f>
        <v>205489396.64515901</v>
      </c>
      <c r="E18" s="554">
        <f t="shared" si="7"/>
        <v>283981967.58571911</v>
      </c>
      <c r="F18" s="324">
        <f t="shared" si="7"/>
        <v>278230196.31928229</v>
      </c>
      <c r="G18" s="317">
        <f t="shared" si="7"/>
        <v>246689159</v>
      </c>
      <c r="H18" s="317">
        <f t="shared" si="7"/>
        <v>246558390</v>
      </c>
      <c r="I18" s="237">
        <f t="shared" si="7"/>
        <v>239478456</v>
      </c>
      <c r="J18" s="237">
        <f t="shared" ref="J18:AO18" si="8">SUM(J19:J25)</f>
        <v>236116208</v>
      </c>
      <c r="K18" s="237">
        <f t="shared" si="8"/>
        <v>236108423</v>
      </c>
      <c r="L18" s="237">
        <f t="shared" si="8"/>
        <v>235160190</v>
      </c>
      <c r="M18" s="237">
        <f t="shared" si="8"/>
        <v>235713295</v>
      </c>
      <c r="N18" s="237">
        <f t="shared" si="8"/>
        <v>234839571</v>
      </c>
      <c r="O18" s="237">
        <f t="shared" si="8"/>
        <v>236114001</v>
      </c>
      <c r="P18" s="237">
        <f t="shared" si="8"/>
        <v>239259716</v>
      </c>
      <c r="Q18" s="237">
        <f t="shared" si="8"/>
        <v>235854083</v>
      </c>
      <c r="R18" s="237">
        <f t="shared" si="8"/>
        <v>235854083</v>
      </c>
      <c r="S18" s="237">
        <f t="shared" si="8"/>
        <v>235245404</v>
      </c>
      <c r="T18" s="237">
        <f t="shared" si="8"/>
        <v>232894184</v>
      </c>
      <c r="U18" s="237">
        <f t="shared" si="8"/>
        <v>234697124</v>
      </c>
      <c r="V18" s="237">
        <f t="shared" si="8"/>
        <v>230792944</v>
      </c>
      <c r="W18" s="237">
        <f t="shared" si="8"/>
        <v>231789761</v>
      </c>
      <c r="X18" s="237">
        <f t="shared" si="8"/>
        <v>228631143</v>
      </c>
      <c r="Y18" s="237">
        <f t="shared" si="8"/>
        <v>228628661</v>
      </c>
      <c r="Z18" s="237">
        <f t="shared" si="8"/>
        <v>227778577</v>
      </c>
      <c r="AA18" s="237">
        <f t="shared" si="8"/>
        <v>226694063</v>
      </c>
      <c r="AB18" s="237">
        <f t="shared" si="8"/>
        <v>225757537</v>
      </c>
      <c r="AC18" s="237">
        <f t="shared" si="8"/>
        <v>225950125</v>
      </c>
      <c r="AD18" s="237">
        <f t="shared" si="8"/>
        <v>222023892</v>
      </c>
      <c r="AE18" s="237">
        <f t="shared" si="8"/>
        <v>222020190</v>
      </c>
      <c r="AF18" s="237">
        <f t="shared" si="8"/>
        <v>221615630</v>
      </c>
      <c r="AG18" s="237">
        <f t="shared" si="8"/>
        <v>220795527</v>
      </c>
      <c r="AH18" s="237">
        <f t="shared" si="8"/>
        <v>219514852</v>
      </c>
      <c r="AI18" s="237">
        <f t="shared" si="8"/>
        <v>221461871</v>
      </c>
      <c r="AJ18" s="237">
        <f t="shared" si="8"/>
        <v>228957619</v>
      </c>
      <c r="AK18" s="237">
        <f t="shared" si="8"/>
        <v>228648652</v>
      </c>
      <c r="AL18" s="237">
        <f t="shared" si="8"/>
        <v>224248902</v>
      </c>
      <c r="AM18" s="237">
        <f t="shared" si="8"/>
        <v>225844497</v>
      </c>
      <c r="AN18" s="237">
        <f t="shared" si="8"/>
        <v>1595595</v>
      </c>
      <c r="AO18" s="237">
        <f t="shared" si="8"/>
        <v>229951263.89000002</v>
      </c>
      <c r="AP18" s="16">
        <f>AJ18/10000</f>
        <v>22895.761900000001</v>
      </c>
      <c r="AQ18" s="17">
        <f>AO18/10000</f>
        <v>22995.126389000001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177270240.54838699</v>
      </c>
      <c r="E19" s="555">
        <f>HLOOKUP(MONTH(日期!$C$2),當年目標設定!$D$1:$O$33,17,TRUE)</f>
        <v>256540943.71770126</v>
      </c>
      <c r="F19" s="309">
        <f>HLOOKUP(MONTH(日期!$C$2),當年目標設定!$R$1:$AC$33,17,TRUE)</f>
        <v>252873525.77406859</v>
      </c>
      <c r="G19" s="308">
        <f>當年月推移!P17</f>
        <v>226332625</v>
      </c>
      <c r="H19" s="308">
        <f>當年月推移!P51</f>
        <v>225950412</v>
      </c>
      <c r="I19" s="27">
        <f>VALUE(庫存金額!C3)</f>
        <v>205038098</v>
      </c>
      <c r="J19" s="27">
        <f>VALUE(庫存金額!D3)</f>
        <v>203410119</v>
      </c>
      <c r="K19" s="27">
        <f>VALUE(庫存金額!E3)</f>
        <v>203402334</v>
      </c>
      <c r="L19" s="27">
        <f>VALUE(庫存金額!F3)</f>
        <v>203382510</v>
      </c>
      <c r="M19" s="27">
        <f>VALUE(庫存金額!G3)</f>
        <v>204516432</v>
      </c>
      <c r="N19" s="27">
        <f>VALUE(庫存金額!H3)</f>
        <v>203111355</v>
      </c>
      <c r="O19" s="27">
        <f>VALUE(庫存金額!I3)</f>
        <v>204755056</v>
      </c>
      <c r="P19" s="27">
        <f>VALUE(庫存金額!J3)</f>
        <v>206504270</v>
      </c>
      <c r="Q19" s="27">
        <f>VALUE(庫存金額!K3)</f>
        <v>204733045</v>
      </c>
      <c r="R19" s="27">
        <f>VALUE(庫存金額!L3)</f>
        <v>204733045</v>
      </c>
      <c r="S19" s="27">
        <f>VALUE(庫存金額!M3)</f>
        <v>204067236</v>
      </c>
      <c r="T19" s="27">
        <f>VALUE(庫存金額!N3)</f>
        <v>202140772</v>
      </c>
      <c r="U19" s="27">
        <f>VALUE(庫存金額!O3)</f>
        <v>202928208</v>
      </c>
      <c r="V19" s="27">
        <f>VALUE(庫存金額!P3)</f>
        <v>200051243</v>
      </c>
      <c r="W19" s="27">
        <f>VALUE(庫存金額!Q3)</f>
        <v>200130013</v>
      </c>
      <c r="X19" s="27">
        <f>VALUE(庫存金額!R3)</f>
        <v>198663687</v>
      </c>
      <c r="Y19" s="27">
        <f>VALUE(庫存金額!S3)</f>
        <v>198661205</v>
      </c>
      <c r="Z19" s="27">
        <f>VALUE(庫存金額!T3)</f>
        <v>197532454</v>
      </c>
      <c r="AA19" s="27">
        <f>VALUE(庫存金額!U3)</f>
        <v>197205433</v>
      </c>
      <c r="AB19" s="27">
        <f>VALUE(庫存金額!V3)</f>
        <v>196662615</v>
      </c>
      <c r="AC19" s="27">
        <f>VALUE(庫存金額!W3)</f>
        <v>196993152</v>
      </c>
      <c r="AD19" s="27">
        <f>VALUE(庫存金額!X3)</f>
        <v>193531346</v>
      </c>
      <c r="AE19" s="27">
        <f>VALUE(庫存金額!Y3)</f>
        <v>193531346</v>
      </c>
      <c r="AF19" s="27">
        <f>VALUE(庫存金額!Z3)</f>
        <v>193166086</v>
      </c>
      <c r="AG19" s="27">
        <f>VALUE(庫存金額!AA3)</f>
        <v>191545187</v>
      </c>
      <c r="AH19" s="27">
        <f>VALUE(庫存金額!AB3)</f>
        <v>190782601</v>
      </c>
      <c r="AI19" s="27">
        <f>VALUE(庫存金額!AC3)</f>
        <v>192044197</v>
      </c>
      <c r="AJ19" s="27">
        <f>VALUE(庫存金額!AD3)</f>
        <v>194732618</v>
      </c>
      <c r="AK19" s="27">
        <f>VALUE(庫存金額!AE3)</f>
        <v>192670880</v>
      </c>
      <c r="AL19" s="27">
        <f>VALUE(庫存金額!AF3)</f>
        <v>189675016</v>
      </c>
      <c r="AM19" s="27">
        <f>VALUE(庫存金額!AG3)</f>
        <v>189668191</v>
      </c>
      <c r="AN19" s="27">
        <f>VALUE(庫存金額!AH3)</f>
        <v>-6825</v>
      </c>
      <c r="AO19" s="27">
        <f>VALUE(庫存金額!AI3)</f>
        <v>198708701.61000001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2065437.16129</v>
      </c>
      <c r="E20" s="555">
        <f>HLOOKUP(MONTH(日期!$C$2),當年目標設定!$D$1:$O$33,18,TRUE)</f>
        <v>2268487.9705136237</v>
      </c>
      <c r="F20" s="309">
        <f>HLOOKUP(MONTH(日期!$C$2),當年目標設定!$R$1:$AC$33,18,TRUE)</f>
        <v>2071315.961060385</v>
      </c>
      <c r="G20" s="308">
        <f>當年月推移!P18</f>
        <v>1947374</v>
      </c>
      <c r="H20" s="308">
        <f>當年月推移!P52</f>
        <v>2317526</v>
      </c>
      <c r="I20" s="232">
        <f>VALUE(庫存金額!C13)</f>
        <v>2141917</v>
      </c>
      <c r="J20" s="232">
        <f>VALUE(庫存金額!D13)</f>
        <v>1808371</v>
      </c>
      <c r="K20" s="232">
        <f>VALUE(庫存金額!E13)</f>
        <v>1808371</v>
      </c>
      <c r="L20" s="232">
        <f>VALUE(庫存金額!F13)</f>
        <v>1801007</v>
      </c>
      <c r="M20" s="232">
        <f>VALUE(庫存金額!G13)</f>
        <v>2340428</v>
      </c>
      <c r="N20" s="232">
        <f>VALUE(庫存金額!H13)</f>
        <v>2650126</v>
      </c>
      <c r="O20" s="232">
        <f>VALUE(庫存金額!I13)</f>
        <v>2299536</v>
      </c>
      <c r="P20" s="232">
        <f>VALUE(庫存金額!J13)</f>
        <v>2302650</v>
      </c>
      <c r="Q20" s="232">
        <f>VALUE(庫存金額!K13)</f>
        <v>2013002</v>
      </c>
      <c r="R20" s="232">
        <f>VALUE(庫存金額!L13)</f>
        <v>2013002</v>
      </c>
      <c r="S20" s="232">
        <f>VALUE(庫存金額!M13)</f>
        <v>2076272</v>
      </c>
      <c r="T20" s="232">
        <f>VALUE(庫存金額!N13)</f>
        <v>2156604</v>
      </c>
      <c r="U20" s="232">
        <f>VALUE(庫存金額!O13)</f>
        <v>2143526</v>
      </c>
      <c r="V20" s="232">
        <f>VALUE(庫存金額!P13)</f>
        <v>1750027</v>
      </c>
      <c r="W20" s="232">
        <f>VALUE(庫存金額!Q13)</f>
        <v>1937550</v>
      </c>
      <c r="X20" s="232">
        <f>VALUE(庫存金額!R13)</f>
        <v>1669363</v>
      </c>
      <c r="Y20" s="232">
        <f>VALUE(庫存金額!S13)</f>
        <v>1669363</v>
      </c>
      <c r="Z20" s="232">
        <f>VALUE(庫存金額!T13)</f>
        <v>1984107</v>
      </c>
      <c r="AA20" s="232">
        <f>VALUE(庫存金額!U13)</f>
        <v>1717422</v>
      </c>
      <c r="AB20" s="232">
        <f>VALUE(庫存金額!V13)</f>
        <v>1509482</v>
      </c>
      <c r="AC20" s="232">
        <f>VALUE(庫存金額!W13)</f>
        <v>1373872</v>
      </c>
      <c r="AD20" s="232">
        <f>VALUE(庫存金額!X13)</f>
        <v>1379148</v>
      </c>
      <c r="AE20" s="232">
        <f>VALUE(庫存金額!Y13)</f>
        <v>1379148</v>
      </c>
      <c r="AF20" s="232">
        <f>VALUE(庫存金額!Z13)</f>
        <v>1379148</v>
      </c>
      <c r="AG20" s="232">
        <f>VALUE(庫存金額!AA13)</f>
        <v>1342055</v>
      </c>
      <c r="AH20" s="232">
        <f>VALUE(庫存金額!AB13)</f>
        <v>1284084</v>
      </c>
      <c r="AI20" s="232">
        <f>VALUE(庫存金額!AC13)</f>
        <v>1385831</v>
      </c>
      <c r="AJ20" s="232">
        <f>VALUE(庫存金額!AD13)</f>
        <v>1054618</v>
      </c>
      <c r="AK20" s="232">
        <f>VALUE(庫存金額!AE13)</f>
        <v>2123179</v>
      </c>
      <c r="AL20" s="232">
        <f>VALUE(庫存金額!AF13)</f>
        <v>2076843</v>
      </c>
      <c r="AM20" s="232">
        <f>VALUE(庫存金額!AG13)</f>
        <v>2076843</v>
      </c>
      <c r="AN20" s="232">
        <f>VALUE(庫存金額!AH13)</f>
        <v>0</v>
      </c>
      <c r="AO20" s="232">
        <f>VALUE(庫存金額!AI13)</f>
        <v>1827319.19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9385709.6774189994</v>
      </c>
      <c r="E21" s="555">
        <f>HLOOKUP(MONTH(日期!$C$2),當年目標設定!$D$1:$O$33,19,TRUE)</f>
        <v>6695582.8072023187</v>
      </c>
      <c r="F21" s="309">
        <f>HLOOKUP(MONTH(日期!$C$2),當年目標設定!$R$1:$AC$33,19,TRUE)</f>
        <v>6372397.1176061826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13028596</v>
      </c>
      <c r="J21" s="232">
        <f>VALUE(庫存金額!D18)</f>
        <v>12972922</v>
      </c>
      <c r="K21" s="232">
        <f>VALUE(庫存金額!E18)</f>
        <v>12972922</v>
      </c>
      <c r="L21" s="232">
        <f>VALUE(庫存金額!F18)</f>
        <v>13070730</v>
      </c>
      <c r="M21" s="232">
        <f>VALUE(庫存金額!G18)</f>
        <v>13152347</v>
      </c>
      <c r="N21" s="232">
        <f>VALUE(庫存金額!H18)</f>
        <v>13151415</v>
      </c>
      <c r="O21" s="232">
        <f>VALUE(庫存金額!I18)</f>
        <v>13219522</v>
      </c>
      <c r="P21" s="232">
        <f>VALUE(庫存金額!J18)</f>
        <v>13132985</v>
      </c>
      <c r="Q21" s="232">
        <f>VALUE(庫存金額!K18)</f>
        <v>13088632</v>
      </c>
      <c r="R21" s="232">
        <f>VALUE(庫存金額!L18)</f>
        <v>13088632</v>
      </c>
      <c r="S21" s="232">
        <f>VALUE(庫存金額!M18)</f>
        <v>13088982</v>
      </c>
      <c r="T21" s="232">
        <f>VALUE(庫存金額!N18)</f>
        <v>12990865</v>
      </c>
      <c r="U21" s="232">
        <f>VALUE(庫存金額!O18)</f>
        <v>12929882</v>
      </c>
      <c r="V21" s="232">
        <f>VALUE(庫存金額!P18)</f>
        <v>12818341</v>
      </c>
      <c r="W21" s="232">
        <f>VALUE(庫存金額!Q18)</f>
        <v>12666895</v>
      </c>
      <c r="X21" s="232">
        <f>VALUE(庫存金額!R18)</f>
        <v>12592328</v>
      </c>
      <c r="Y21" s="232">
        <f>VALUE(庫存金額!S18)</f>
        <v>12592328</v>
      </c>
      <c r="Z21" s="232">
        <f>VALUE(庫存金額!T18)</f>
        <v>12495012</v>
      </c>
      <c r="AA21" s="232">
        <f>VALUE(庫存金額!U18)</f>
        <v>12401809</v>
      </c>
      <c r="AB21" s="232">
        <f>VALUE(庫存金額!V18)</f>
        <v>12289577</v>
      </c>
      <c r="AC21" s="232">
        <f>VALUE(庫存金額!W18)</f>
        <v>12177021</v>
      </c>
      <c r="AD21" s="232">
        <f>VALUE(庫存金額!X18)</f>
        <v>11915919</v>
      </c>
      <c r="AE21" s="232">
        <f>VALUE(庫存金額!Y18)</f>
        <v>11915919</v>
      </c>
      <c r="AF21" s="232">
        <f>VALUE(庫存金額!Z18)</f>
        <v>11911119</v>
      </c>
      <c r="AG21" s="232">
        <f>VALUE(庫存金額!AA18)</f>
        <v>11747211</v>
      </c>
      <c r="AH21" s="232">
        <f>VALUE(庫存金額!AB18)</f>
        <v>11671673</v>
      </c>
      <c r="AI21" s="232">
        <f>VALUE(庫存金額!AC18)</f>
        <v>11576635</v>
      </c>
      <c r="AJ21" s="232">
        <f>VALUE(庫存金額!AD18)</f>
        <v>11504612</v>
      </c>
      <c r="AK21" s="232">
        <f>VALUE(庫存金額!AE18)</f>
        <v>11431167</v>
      </c>
      <c r="AL21" s="232">
        <f>VALUE(庫存金額!AF18)</f>
        <v>11385802</v>
      </c>
      <c r="AM21" s="232">
        <f>VALUE(庫存金額!AG18)</f>
        <v>11385802</v>
      </c>
      <c r="AN21" s="232">
        <f>VALUE(庫存金額!AH18)</f>
        <v>0</v>
      </c>
      <c r="AO21" s="232">
        <f>VALUE(庫存金額!AI18)</f>
        <v>12463471.029999999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11395313.096774001</v>
      </c>
      <c r="E22" s="555">
        <f>HLOOKUP(MONTH(日期!$C$2),當年目標設定!$D$1:$O$33,20,TRUE)</f>
        <v>11357944.219239075</v>
      </c>
      <c r="F22" s="309">
        <f>HLOOKUP(MONTH(日期!$C$2),當年目標設定!$R$1:$AC$33,20,TRUE)</f>
        <v>10456829.359997928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10927401</v>
      </c>
      <c r="J22" s="232">
        <f>VALUE(庫存金額!D17)</f>
        <v>10232040</v>
      </c>
      <c r="K22" s="232">
        <f>VALUE(庫存金額!E17)</f>
        <v>10232040</v>
      </c>
      <c r="L22" s="232">
        <f>VALUE(庫存金額!F17)</f>
        <v>10249640</v>
      </c>
      <c r="M22" s="232">
        <f>VALUE(庫存金額!G17)</f>
        <v>9027620</v>
      </c>
      <c r="N22" s="232">
        <f>VALUE(庫存金額!H17)</f>
        <v>8916529</v>
      </c>
      <c r="O22" s="232">
        <f>VALUE(庫存金額!I17)</f>
        <v>8849890</v>
      </c>
      <c r="P22" s="232">
        <f>VALUE(庫存金額!J17)</f>
        <v>10143960</v>
      </c>
      <c r="Q22" s="232">
        <f>VALUE(庫存金額!K17)</f>
        <v>9441774</v>
      </c>
      <c r="R22" s="232">
        <f>VALUE(庫存金額!L17)</f>
        <v>9441774</v>
      </c>
      <c r="S22" s="232">
        <f>VALUE(庫存金額!M17)</f>
        <v>9727602</v>
      </c>
      <c r="T22" s="232">
        <f>VALUE(庫存金額!N17)</f>
        <v>9029847</v>
      </c>
      <c r="U22" s="232">
        <f>VALUE(庫存金額!O17)</f>
        <v>9807958</v>
      </c>
      <c r="V22" s="232">
        <f>VALUE(庫存金額!P17)</f>
        <v>9490103</v>
      </c>
      <c r="W22" s="232">
        <f>VALUE(庫存金額!Q17)</f>
        <v>10573838</v>
      </c>
      <c r="X22" s="232">
        <f>VALUE(庫存金額!R17)</f>
        <v>9828496</v>
      </c>
      <c r="Y22" s="232">
        <f>VALUE(庫存金額!S17)</f>
        <v>9828496</v>
      </c>
      <c r="Z22" s="232">
        <f>VALUE(庫存金額!T17)</f>
        <v>9608556</v>
      </c>
      <c r="AA22" s="232">
        <f>VALUE(庫存金額!U17)</f>
        <v>9275626</v>
      </c>
      <c r="AB22" s="232">
        <f>VALUE(庫存金額!V17)</f>
        <v>9705977</v>
      </c>
      <c r="AC22" s="232">
        <f>VALUE(庫存金額!W17)</f>
        <v>10026919</v>
      </c>
      <c r="AD22" s="232">
        <f>VALUE(庫存金額!X17)</f>
        <v>9750640</v>
      </c>
      <c r="AE22" s="232">
        <f>VALUE(庫存金額!Y17)</f>
        <v>9746938</v>
      </c>
      <c r="AF22" s="232">
        <f>VALUE(庫存金額!Z17)</f>
        <v>9729943</v>
      </c>
      <c r="AG22" s="232">
        <f>VALUE(庫存金額!AA17)</f>
        <v>10258246</v>
      </c>
      <c r="AH22" s="232">
        <f>VALUE(庫存金額!AB17)</f>
        <v>9780980</v>
      </c>
      <c r="AI22" s="232">
        <f>VALUE(庫存金額!AC17)</f>
        <v>9896409</v>
      </c>
      <c r="AJ22" s="232">
        <f>VALUE(庫存金額!AD17)</f>
        <v>10208642</v>
      </c>
      <c r="AK22" s="232">
        <f>VALUE(庫存金額!AE17)</f>
        <v>10846046</v>
      </c>
      <c r="AL22" s="232">
        <f>VALUE(庫存金額!AF17)</f>
        <v>9957082</v>
      </c>
      <c r="AM22" s="232">
        <f>VALUE(庫存金額!AG17)</f>
        <v>9957082</v>
      </c>
      <c r="AN22" s="232">
        <f>VALUE(庫存金額!AH17)</f>
        <v>0</v>
      </c>
      <c r="AO22" s="232">
        <f>VALUE(庫存金額!AI17)</f>
        <v>9822519.1600000001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5113218.4516120004</v>
      </c>
      <c r="E23" s="555">
        <f>HLOOKUP(MONTH(日期!$C$2),當年目標設定!$D$1:$O$33,21,TRUE)</f>
        <v>6914280.1030716505</v>
      </c>
      <c r="F23" s="309">
        <f>HLOOKUP(MONTH(日期!$C$2),當年目標設定!$R$1:$AC$33,21,TRUE)</f>
        <v>6272178.6059203129</v>
      </c>
      <c r="G23" s="308">
        <f>當年月推移!P21</f>
        <v>17831290</v>
      </c>
      <c r="H23" s="308">
        <f>當年月推移!P55</f>
        <v>17704825</v>
      </c>
      <c r="I23" s="232">
        <f>VALUE(庫存金額!C16)</f>
        <v>8072805</v>
      </c>
      <c r="J23" s="232">
        <f>VALUE(庫存金額!D16)</f>
        <v>7423117</v>
      </c>
      <c r="K23" s="232">
        <f>VALUE(庫存金額!E16)</f>
        <v>7423117</v>
      </c>
      <c r="L23" s="232">
        <f>VALUE(庫存金額!F16)</f>
        <v>6386664</v>
      </c>
      <c r="M23" s="232">
        <f>VALUE(庫存金額!G16)</f>
        <v>6406829</v>
      </c>
      <c r="N23" s="232">
        <f>VALUE(庫存金額!H16)</f>
        <v>6750197</v>
      </c>
      <c r="O23" s="232">
        <f>VALUE(庫存金額!I16)</f>
        <v>6730048</v>
      </c>
      <c r="P23" s="232">
        <f>VALUE(庫存金額!J16)</f>
        <v>6915902</v>
      </c>
      <c r="Q23" s="232">
        <f>VALUE(庫存金額!K16)</f>
        <v>6317681</v>
      </c>
      <c r="R23" s="232">
        <f>VALUE(庫存金額!L16)</f>
        <v>6317681</v>
      </c>
      <c r="S23" s="232">
        <f>VALUE(庫存金額!M16)</f>
        <v>6025363</v>
      </c>
      <c r="T23" s="232">
        <f>VALUE(庫存金額!N16)</f>
        <v>6316147</v>
      </c>
      <c r="U23" s="232">
        <f>VALUE(庫存金額!O16)</f>
        <v>6627601</v>
      </c>
      <c r="V23" s="232">
        <f>VALUE(庫存金額!P16)</f>
        <v>6423281</v>
      </c>
      <c r="W23" s="232">
        <f>VALUE(庫存金額!Q16)</f>
        <v>6221516</v>
      </c>
      <c r="X23" s="232">
        <f>VALUE(庫存金額!R16)</f>
        <v>5617320</v>
      </c>
      <c r="Y23" s="232">
        <f>VALUE(庫存金額!S16)</f>
        <v>5617320</v>
      </c>
      <c r="Z23" s="232">
        <f>VALUE(庫存金額!T16)</f>
        <v>5898499</v>
      </c>
      <c r="AA23" s="232">
        <f>VALUE(庫存金額!U16)</f>
        <v>5833824</v>
      </c>
      <c r="AB23" s="232">
        <f>VALUE(庫存金額!V16)</f>
        <v>5329937</v>
      </c>
      <c r="AC23" s="232">
        <f>VALUE(庫存金額!W16)</f>
        <v>5119212</v>
      </c>
      <c r="AD23" s="232">
        <f>VALUE(庫存金額!X16)</f>
        <v>5186890</v>
      </c>
      <c r="AE23" s="232">
        <f>VALUE(庫存金額!Y16)</f>
        <v>5186890</v>
      </c>
      <c r="AF23" s="232">
        <f>VALUE(庫存金額!Z16)</f>
        <v>5169385</v>
      </c>
      <c r="AG23" s="232">
        <f>VALUE(庫存金額!AA16)</f>
        <v>5642879</v>
      </c>
      <c r="AH23" s="232">
        <f>VALUE(庫存金額!AB16)</f>
        <v>5735565</v>
      </c>
      <c r="AI23" s="232">
        <f>VALUE(庫存金額!AC16)</f>
        <v>6298850</v>
      </c>
      <c r="AJ23" s="232">
        <f>VALUE(庫存金額!AD16)</f>
        <v>11197180</v>
      </c>
      <c r="AK23" s="232">
        <f>VALUE(庫存金額!AE16)</f>
        <v>11317431</v>
      </c>
      <c r="AL23" s="232">
        <f>VALUE(庫存金額!AF16)</f>
        <v>10894210</v>
      </c>
      <c r="AM23" s="232">
        <f>VALUE(庫存金額!AG16)</f>
        <v>12496630</v>
      </c>
      <c r="AN23" s="232">
        <f>VALUE(庫存金額!AH16)</f>
        <v>1602420</v>
      </c>
      <c r="AO23" s="232">
        <f>VALUE(庫存金額!AI16)</f>
        <v>6867741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96677.709677000006</v>
      </c>
      <c r="E24" s="555">
        <f>HLOOKUP(MONTH(日期!$C$2),當年目標設定!$D$1:$O$33,22,TRUE)</f>
        <v>204728.76799125149</v>
      </c>
      <c r="F24" s="309">
        <f>HLOOKUP(MONTH(日期!$C$2),當年目標設定!$R$1:$AC$33,22,TRUE)</f>
        <v>183949.50062890461</v>
      </c>
      <c r="G24" s="308">
        <f>當年月推移!P22</f>
        <v>100268</v>
      </c>
      <c r="H24" s="308">
        <f>當年月推移!P56</f>
        <v>100589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97149</v>
      </c>
      <c r="O24" s="232">
        <f>VALUE(庫存金額!I11)</f>
        <v>97149</v>
      </c>
      <c r="P24" s="232">
        <f>VALUE(庫存金額!J11)</f>
        <v>97149</v>
      </c>
      <c r="Q24" s="232">
        <f>VALUE(庫存金額!K11)</f>
        <v>97149</v>
      </c>
      <c r="R24" s="232">
        <f>VALUE(庫存金額!L11)</f>
        <v>97149</v>
      </c>
      <c r="S24" s="232">
        <f>VALUE(庫存金額!M11)</f>
        <v>97149</v>
      </c>
      <c r="T24" s="232">
        <f>VALUE(庫存金額!N11)</f>
        <v>97149</v>
      </c>
      <c r="U24" s="232">
        <f>VALUE(庫存金額!O11)</f>
        <v>97149</v>
      </c>
      <c r="V24" s="232">
        <f>VALUE(庫存金額!P11)</f>
        <v>97149</v>
      </c>
      <c r="W24" s="232">
        <f>VALUE(庫存金額!Q11)</f>
        <v>97149</v>
      </c>
      <c r="X24" s="232">
        <f>VALUE(庫存金額!R11)</f>
        <v>97149</v>
      </c>
      <c r="Y24" s="232">
        <f>VALUE(庫存金額!S11)</f>
        <v>97149</v>
      </c>
      <c r="Z24" s="232">
        <f>VALUE(庫存金額!T11)</f>
        <v>97149</v>
      </c>
      <c r="AA24" s="232">
        <f>VALUE(庫存金額!U11)</f>
        <v>97149</v>
      </c>
      <c r="AB24" s="232">
        <f>VALUE(庫存金額!V11)</f>
        <v>97149</v>
      </c>
      <c r="AC24" s="232">
        <f>VALUE(庫存金額!W11)</f>
        <v>97149</v>
      </c>
      <c r="AD24" s="232">
        <f>VALUE(庫存金額!X11)</f>
        <v>97149</v>
      </c>
      <c r="AE24" s="232">
        <f>VALUE(庫存金額!Y11)</f>
        <v>97149</v>
      </c>
      <c r="AF24" s="232">
        <f>VALUE(庫存金額!Z11)</f>
        <v>97149</v>
      </c>
      <c r="AG24" s="232">
        <f>VALUE(庫存金額!AA11)</f>
        <v>97149</v>
      </c>
      <c r="AH24" s="232">
        <f>VALUE(庫存金額!AB11)</f>
        <v>97149</v>
      </c>
      <c r="AI24" s="232">
        <f>VALUE(庫存金額!AC11)</f>
        <v>97149</v>
      </c>
      <c r="AJ24" s="232">
        <f>VALUE(庫存金額!AD11)</f>
        <v>97149</v>
      </c>
      <c r="AK24" s="232">
        <f>VALUE(庫存金額!AE11)</f>
        <v>97149</v>
      </c>
      <c r="AL24" s="232">
        <f>VALUE(庫存金額!AF11)</f>
        <v>97149</v>
      </c>
      <c r="AM24" s="232">
        <f>VALUE(庫存金額!AG11)</f>
        <v>97149</v>
      </c>
      <c r="AN24" s="232">
        <f>VALUE(庫存金額!AH11)</f>
        <v>0</v>
      </c>
      <c r="AO24" s="232">
        <f>VALUE(庫存金額!AI11)</f>
        <v>98711.9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153626</v>
      </c>
      <c r="H25" s="308">
        <f>當年月推移!P57</f>
        <v>161062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1469714.5483860001</v>
      </c>
      <c r="E26" s="325">
        <f t="shared" si="9"/>
        <v>0</v>
      </c>
      <c r="F26" s="318">
        <f t="shared" si="9"/>
        <v>0</v>
      </c>
      <c r="G26" s="318">
        <f t="shared" si="9"/>
        <v>16133185</v>
      </c>
      <c r="H26" s="318">
        <f t="shared" si="9"/>
        <v>16947932</v>
      </c>
      <c r="I26" s="237">
        <f t="shared" si="9"/>
        <v>8219462</v>
      </c>
      <c r="J26" s="237">
        <f t="shared" ref="J26:AO26" si="10">SUM(J27:J31)</f>
        <v>8123862</v>
      </c>
      <c r="K26" s="237">
        <f t="shared" si="10"/>
        <v>8123862</v>
      </c>
      <c r="L26" s="237">
        <f t="shared" si="10"/>
        <v>8009407</v>
      </c>
      <c r="M26" s="237">
        <f t="shared" si="10"/>
        <v>7551657</v>
      </c>
      <c r="N26" s="237">
        <f t="shared" si="10"/>
        <v>7608281</v>
      </c>
      <c r="O26" s="237">
        <f t="shared" si="10"/>
        <v>8088553</v>
      </c>
      <c r="P26" s="237">
        <f t="shared" si="10"/>
        <v>7497664</v>
      </c>
      <c r="Q26" s="237">
        <f t="shared" si="10"/>
        <v>7392864</v>
      </c>
      <c r="R26" s="237">
        <f t="shared" si="10"/>
        <v>7392864</v>
      </c>
      <c r="S26" s="237">
        <f t="shared" si="10"/>
        <v>8242184</v>
      </c>
      <c r="T26" s="237">
        <f t="shared" si="10"/>
        <v>7854824</v>
      </c>
      <c r="U26" s="237">
        <f t="shared" si="10"/>
        <v>7944224</v>
      </c>
      <c r="V26" s="237">
        <f t="shared" si="10"/>
        <v>8323264</v>
      </c>
      <c r="W26" s="237">
        <f t="shared" si="10"/>
        <v>8250564</v>
      </c>
      <c r="X26" s="237">
        <f t="shared" si="10"/>
        <v>8144564</v>
      </c>
      <c r="Y26" s="237">
        <f t="shared" si="10"/>
        <v>8144564</v>
      </c>
      <c r="Z26" s="237">
        <f t="shared" si="10"/>
        <v>8124416</v>
      </c>
      <c r="AA26" s="237">
        <f t="shared" si="10"/>
        <v>7516588</v>
      </c>
      <c r="AB26" s="237">
        <f t="shared" si="10"/>
        <v>7348583</v>
      </c>
      <c r="AC26" s="237">
        <f t="shared" si="10"/>
        <v>7324180</v>
      </c>
      <c r="AD26" s="237">
        <f t="shared" si="10"/>
        <v>7487788</v>
      </c>
      <c r="AE26" s="237">
        <f t="shared" si="10"/>
        <v>7487788</v>
      </c>
      <c r="AF26" s="237">
        <f t="shared" si="10"/>
        <v>7487788</v>
      </c>
      <c r="AG26" s="237">
        <f t="shared" si="10"/>
        <v>7375588</v>
      </c>
      <c r="AH26" s="237">
        <f t="shared" si="10"/>
        <v>7840635</v>
      </c>
      <c r="AI26" s="237">
        <f t="shared" si="10"/>
        <v>7786253</v>
      </c>
      <c r="AJ26" s="237">
        <f t="shared" si="10"/>
        <v>7953564</v>
      </c>
      <c r="AK26" s="237">
        <f t="shared" si="10"/>
        <v>8051088</v>
      </c>
      <c r="AL26" s="237">
        <f t="shared" si="10"/>
        <v>7976288</v>
      </c>
      <c r="AM26" s="237">
        <f t="shared" si="10"/>
        <v>7976288</v>
      </c>
      <c r="AN26" s="237">
        <f t="shared" si="10"/>
        <v>0</v>
      </c>
      <c r="AO26" s="237">
        <f t="shared" si="10"/>
        <v>7827403.2000000002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104188.58064499999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118257</v>
      </c>
      <c r="J28" s="27">
        <f>VALUE(庫存金額!D21)</f>
        <v>118257</v>
      </c>
      <c r="K28" s="27">
        <f>VALUE(庫存金額!E21)</f>
        <v>118257</v>
      </c>
      <c r="L28" s="27">
        <f>VALUE(庫存金額!F21)</f>
        <v>118257</v>
      </c>
      <c r="M28" s="27">
        <f>VALUE(庫存金額!G21)</f>
        <v>118257</v>
      </c>
      <c r="N28" s="27">
        <f>VALUE(庫存金額!H21)</f>
        <v>118257</v>
      </c>
      <c r="O28" s="27">
        <f>VALUE(庫存金額!I21)</f>
        <v>118257</v>
      </c>
      <c r="P28" s="27">
        <f>VALUE(庫存金額!J21)</f>
        <v>118257</v>
      </c>
      <c r="Q28" s="27">
        <f>VALUE(庫存金額!K21)</f>
        <v>118257</v>
      </c>
      <c r="R28" s="27">
        <f>VALUE(庫存金額!L21)</f>
        <v>118257</v>
      </c>
      <c r="S28" s="27">
        <f>VALUE(庫存金額!M21)</f>
        <v>118257</v>
      </c>
      <c r="T28" s="27">
        <f>VALUE(庫存金額!N21)</f>
        <v>118257</v>
      </c>
      <c r="U28" s="27">
        <f>VALUE(庫存金額!O21)</f>
        <v>118257</v>
      </c>
      <c r="V28" s="27">
        <f>VALUE(庫存金額!P21)</f>
        <v>99537</v>
      </c>
      <c r="W28" s="27">
        <f>VALUE(庫存金額!Q21)</f>
        <v>99537</v>
      </c>
      <c r="X28" s="27">
        <f>VALUE(庫存金額!R21)</f>
        <v>99537</v>
      </c>
      <c r="Y28" s="27">
        <f>VALUE(庫存金額!S21)</f>
        <v>99537</v>
      </c>
      <c r="Z28" s="27">
        <f>VALUE(庫存金額!T21)</f>
        <v>99537</v>
      </c>
      <c r="AA28" s="27">
        <f>VALUE(庫存金額!U21)</f>
        <v>99537</v>
      </c>
      <c r="AB28" s="27">
        <f>VALUE(庫存金額!V21)</f>
        <v>16704</v>
      </c>
      <c r="AC28" s="27">
        <f>VALUE(庫存金額!W21)</f>
        <v>16704</v>
      </c>
      <c r="AD28" s="27">
        <f>VALUE(庫存金額!X21)</f>
        <v>16704</v>
      </c>
      <c r="AE28" s="27">
        <f>VALUE(庫存金額!Y21)</f>
        <v>16704</v>
      </c>
      <c r="AF28" s="27">
        <f>VALUE(庫存金額!Z21)</f>
        <v>16704</v>
      </c>
      <c r="AG28" s="27">
        <f>VALUE(庫存金額!AA21)</f>
        <v>25704</v>
      </c>
      <c r="AH28" s="27">
        <f>VALUE(庫存金額!AB21)</f>
        <v>16704</v>
      </c>
      <c r="AI28" s="27">
        <f>VALUE(庫存金額!AC21)</f>
        <v>16704</v>
      </c>
      <c r="AJ28" s="27">
        <f>VALUE(庫存金額!AD21)</f>
        <v>16704</v>
      </c>
      <c r="AK28" s="27">
        <f>VALUE(庫存金額!AE21)</f>
        <v>115968</v>
      </c>
      <c r="AL28" s="27">
        <f>VALUE(庫存金額!AF21)</f>
        <v>115968</v>
      </c>
      <c r="AM28" s="27">
        <f>VALUE(庫存金額!AG21)</f>
        <v>115968</v>
      </c>
      <c r="AN28" s="27">
        <f>VALUE(庫存金額!AH21)</f>
        <v>0</v>
      </c>
      <c r="AO28" s="27">
        <f>VALUE(庫存金額!AI21)</f>
        <v>85219.45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9218240</v>
      </c>
      <c r="H29" s="308">
        <f>當年月推移!P61</f>
        <v>9581002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6914945</v>
      </c>
      <c r="H30" s="308">
        <f>當年月推移!P62</f>
        <v>7366930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1204349.967741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7940029</v>
      </c>
      <c r="J31" s="111">
        <f>VALUE(庫存金額!D25)</f>
        <v>7844429</v>
      </c>
      <c r="K31" s="111">
        <f>VALUE(庫存金額!E25)</f>
        <v>7844429</v>
      </c>
      <c r="L31" s="111">
        <f>VALUE(庫存金額!F25)</f>
        <v>7729974</v>
      </c>
      <c r="M31" s="111">
        <f>VALUE(庫存金額!G25)</f>
        <v>7272224</v>
      </c>
      <c r="N31" s="111">
        <f>VALUE(庫存金額!H25)</f>
        <v>7328848</v>
      </c>
      <c r="O31" s="111">
        <f>VALUE(庫存金額!I25)</f>
        <v>7809120</v>
      </c>
      <c r="P31" s="111">
        <f>VALUE(庫存金額!J25)</f>
        <v>7218231</v>
      </c>
      <c r="Q31" s="111">
        <f>VALUE(庫存金額!K25)</f>
        <v>7113431</v>
      </c>
      <c r="R31" s="111">
        <f>VALUE(庫存金額!L25)</f>
        <v>7113431</v>
      </c>
      <c r="S31" s="111">
        <f>VALUE(庫存金額!M25)</f>
        <v>7962751</v>
      </c>
      <c r="T31" s="111">
        <f>VALUE(庫存金額!N25)</f>
        <v>7575391</v>
      </c>
      <c r="U31" s="111">
        <f>VALUE(庫存金額!O25)</f>
        <v>7664791</v>
      </c>
      <c r="V31" s="111">
        <f>VALUE(庫存金額!P25)</f>
        <v>8062551</v>
      </c>
      <c r="W31" s="111">
        <f>VALUE(庫存金額!Q25)</f>
        <v>7989851</v>
      </c>
      <c r="X31" s="111">
        <f>VALUE(庫存金額!R25)</f>
        <v>7883851</v>
      </c>
      <c r="Y31" s="111">
        <f>VALUE(庫存金額!S25)</f>
        <v>7883851</v>
      </c>
      <c r="Z31" s="111">
        <f>VALUE(庫存金額!T25)</f>
        <v>7863703</v>
      </c>
      <c r="AA31" s="111">
        <f>VALUE(庫存金額!U25)</f>
        <v>7255875</v>
      </c>
      <c r="AB31" s="111">
        <f>VALUE(庫存金額!V25)</f>
        <v>7170703</v>
      </c>
      <c r="AC31" s="111">
        <f>VALUE(庫存金額!W25)</f>
        <v>7146300</v>
      </c>
      <c r="AD31" s="111">
        <f>VALUE(庫存金額!X25)</f>
        <v>7309908</v>
      </c>
      <c r="AE31" s="111">
        <f>VALUE(庫存金額!Y25)</f>
        <v>7309908</v>
      </c>
      <c r="AF31" s="111">
        <f>VALUE(庫存金額!Z25)</f>
        <v>7309908</v>
      </c>
      <c r="AG31" s="111">
        <f>VALUE(庫存金額!AA25)</f>
        <v>7188708</v>
      </c>
      <c r="AH31" s="111">
        <f>VALUE(庫存金額!AB25)</f>
        <v>7662755</v>
      </c>
      <c r="AI31" s="111">
        <f>VALUE(庫存金額!AC25)</f>
        <v>7608373</v>
      </c>
      <c r="AJ31" s="111">
        <f>VALUE(庫存金額!AD25)</f>
        <v>7775684</v>
      </c>
      <c r="AK31" s="111">
        <f>VALUE(庫存金額!AE25)</f>
        <v>7773944</v>
      </c>
      <c r="AL31" s="111">
        <f>VALUE(庫存金額!AF25)</f>
        <v>7699144</v>
      </c>
      <c r="AM31" s="111">
        <f>VALUE(庫存金額!AG25)</f>
        <v>7699144</v>
      </c>
      <c r="AN31" s="111">
        <f>VALUE(庫存金額!AH25)</f>
        <v>0</v>
      </c>
      <c r="AO31" s="111">
        <f>VALUE(庫存金額!AI25)</f>
        <v>7581007.75</v>
      </c>
    </row>
    <row r="32" spans="1:44" s="32" customFormat="1" ht="21.95" customHeight="1">
      <c r="A32" s="654" t="s">
        <v>36</v>
      </c>
      <c r="B32" s="655"/>
      <c r="C32" s="31" t="s">
        <v>37</v>
      </c>
      <c r="D32" s="327">
        <f>HLOOKUP(MONTH(日期!$C$2),去年月推移!$D$1:$O$33,30,TRUE)</f>
        <v>2588106.6800000002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1357945</v>
      </c>
      <c r="H32" s="328">
        <f>當年月推移!P63</f>
        <v>1153111</v>
      </c>
      <c r="I32" s="110">
        <f>VALUE(庫存金額!C15)</f>
        <v>3843</v>
      </c>
      <c r="J32" s="110">
        <f>VALUE(庫存金額!D15)</f>
        <v>0</v>
      </c>
      <c r="K32" s="110">
        <f>VALUE(庫存金額!E15)</f>
        <v>0</v>
      </c>
      <c r="L32" s="110">
        <f>VALUE(庫存金額!F15)</f>
        <v>0</v>
      </c>
      <c r="M32" s="110">
        <f>VALUE(庫存金額!G15)</f>
        <v>0</v>
      </c>
      <c r="N32" s="110">
        <f>VALUE(庫存金額!H15)</f>
        <v>0</v>
      </c>
      <c r="O32" s="110">
        <f>VALUE(庫存金額!I15)</f>
        <v>0</v>
      </c>
      <c r="P32" s="110">
        <f>VALUE(庫存金額!J15)</f>
        <v>0</v>
      </c>
      <c r="Q32" s="110">
        <f>VALUE(庫存金額!K15)</f>
        <v>0</v>
      </c>
      <c r="R32" s="110">
        <f>VALUE(庫存金額!L15)</f>
        <v>0</v>
      </c>
      <c r="S32" s="110">
        <f>VALUE(庫存金額!M15)</f>
        <v>0</v>
      </c>
      <c r="T32" s="110">
        <f>VALUE(庫存金額!N15)</f>
        <v>0</v>
      </c>
      <c r="U32" s="110">
        <f>VALUE(庫存金額!O15)</f>
        <v>0</v>
      </c>
      <c r="V32" s="110">
        <f>VALUE(庫存金額!P15)</f>
        <v>0</v>
      </c>
      <c r="W32" s="110">
        <f>VALUE(庫存金額!Q15)</f>
        <v>0</v>
      </c>
      <c r="X32" s="110">
        <f>VALUE(庫存金額!R15)</f>
        <v>0</v>
      </c>
      <c r="Y32" s="110">
        <f>VALUE(庫存金額!S15)</f>
        <v>0</v>
      </c>
      <c r="Z32" s="110">
        <f>VALUE(庫存金額!T15)</f>
        <v>0</v>
      </c>
      <c r="AA32" s="110">
        <f>VALUE(庫存金額!U15)</f>
        <v>0</v>
      </c>
      <c r="AB32" s="110">
        <f>VALUE(庫存金額!V15)</f>
        <v>3992</v>
      </c>
      <c r="AC32" s="110">
        <f>VALUE(庫存金額!W15)</f>
        <v>3992</v>
      </c>
      <c r="AD32" s="110">
        <f>VALUE(庫存金額!X15)</f>
        <v>3992</v>
      </c>
      <c r="AE32" s="110">
        <f>VALUE(庫存金額!Y15)</f>
        <v>3992</v>
      </c>
      <c r="AF32" s="110">
        <f>VALUE(庫存金額!Z15)</f>
        <v>3992</v>
      </c>
      <c r="AG32" s="110">
        <f>VALUE(庫存金額!AA15)</f>
        <v>3992</v>
      </c>
      <c r="AH32" s="110">
        <f>VALUE(庫存金額!AB15)</f>
        <v>0</v>
      </c>
      <c r="AI32" s="110">
        <f>VALUE(庫存金額!AC15)</f>
        <v>0</v>
      </c>
      <c r="AJ32" s="110">
        <f>VALUE(庫存金額!AD15)</f>
        <v>0</v>
      </c>
      <c r="AK32" s="110">
        <f>VALUE(庫存金額!AE15)</f>
        <v>0</v>
      </c>
      <c r="AL32" s="110">
        <f>VALUE(庫存金額!AF15)</f>
        <v>0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896.61</v>
      </c>
    </row>
    <row r="33" spans="1:41" s="32" customFormat="1" ht="21.95" customHeight="1">
      <c r="A33" s="656"/>
      <c r="B33" s="65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6"/>
      <c r="B34" s="65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6102782</v>
      </c>
      <c r="H34" s="328">
        <f>當年月推移!P65</f>
        <v>8547200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8"/>
      <c r="B35" s="65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10635848</v>
      </c>
      <c r="H35" s="508">
        <f>當年月推移!P66</f>
        <v>10682202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6" t="s">
        <v>1</v>
      </c>
      <c r="B38" s="597"/>
      <c r="C38" s="597"/>
      <c r="D38" s="600" t="str">
        <f>D3</f>
        <v>2024/8</v>
      </c>
      <c r="E38" s="633" t="str">
        <f>E3</f>
        <v>2025/8</v>
      </c>
      <c r="F38" s="332"/>
      <c r="G38" s="662">
        <f>YEAR(日期!C2)</f>
        <v>2025</v>
      </c>
      <c r="H38" s="663"/>
      <c r="I38" s="527" t="str">
        <f>日期!C2</f>
        <v>2025/08/01</v>
      </c>
      <c r="J38" s="527" t="str">
        <f>日期!D2</f>
        <v>2025/08/02</v>
      </c>
      <c r="K38" s="527" t="str">
        <f>日期!E2</f>
        <v>2025/08/03</v>
      </c>
      <c r="L38" s="527" t="str">
        <f>日期!F2</f>
        <v>2025/08/04</v>
      </c>
      <c r="M38" s="527" t="str">
        <f>日期!G2</f>
        <v>2025/08/05</v>
      </c>
      <c r="N38" s="527" t="str">
        <f>日期!H2</f>
        <v>2025/08/06</v>
      </c>
      <c r="O38" s="527" t="str">
        <f>日期!I2</f>
        <v>2025/08/07</v>
      </c>
      <c r="P38" s="527" t="str">
        <f>日期!J2</f>
        <v>2025/08/08</v>
      </c>
      <c r="Q38" s="527" t="str">
        <f>日期!K2</f>
        <v>2025/08/09</v>
      </c>
      <c r="R38" s="527" t="str">
        <f>日期!L2</f>
        <v>2025/08/10</v>
      </c>
      <c r="S38" s="527" t="str">
        <f>日期!M2</f>
        <v>2025/08/11</v>
      </c>
      <c r="T38" s="527" t="str">
        <f>日期!N2</f>
        <v>2025/08/12</v>
      </c>
      <c r="U38" s="527" t="str">
        <f>日期!O2</f>
        <v>2025/08/13</v>
      </c>
      <c r="V38" s="527" t="str">
        <f>日期!P2</f>
        <v>2025/08/14</v>
      </c>
      <c r="W38" s="527" t="str">
        <f>日期!Q2</f>
        <v>2025/08/15</v>
      </c>
      <c r="X38" s="527" t="str">
        <f>日期!R2</f>
        <v>2025/08/16</v>
      </c>
      <c r="Y38" s="527" t="str">
        <f>日期!S2</f>
        <v>2025/08/17</v>
      </c>
      <c r="Z38" s="527" t="str">
        <f>日期!T2</f>
        <v>2025/08/18</v>
      </c>
      <c r="AA38" s="527" t="str">
        <f>日期!U2</f>
        <v>2025/08/19</v>
      </c>
      <c r="AB38" s="527" t="str">
        <f>日期!V2</f>
        <v>2025/08/20</v>
      </c>
      <c r="AC38" s="527" t="str">
        <f>日期!W2</f>
        <v>2025/08/21</v>
      </c>
      <c r="AD38" s="527" t="str">
        <f>日期!X2</f>
        <v>2025/08/22</v>
      </c>
      <c r="AE38" s="527" t="str">
        <f>日期!Y2</f>
        <v>2025/08/23</v>
      </c>
      <c r="AF38" s="527" t="str">
        <f>日期!Z2</f>
        <v>2025/08/24</v>
      </c>
      <c r="AG38" s="527" t="str">
        <f>日期!AA2</f>
        <v>2025/08/25</v>
      </c>
      <c r="AH38" s="527" t="str">
        <f>日期!AB2</f>
        <v>2025/08/26</v>
      </c>
      <c r="AI38" s="527" t="str">
        <f>日期!AC2</f>
        <v>2025/08/27</v>
      </c>
      <c r="AJ38" s="527" t="str">
        <f>日期!AD2</f>
        <v>2025/08/28</v>
      </c>
      <c r="AK38" s="527" t="str">
        <f>日期!AE2</f>
        <v>2025/08/29</v>
      </c>
      <c r="AL38" s="527" t="str">
        <f>日期!AF2</f>
        <v>2025/08/30</v>
      </c>
      <c r="AM38" s="527" t="str">
        <f>日期!AG2</f>
        <v>2025/08/31</v>
      </c>
      <c r="AN38" s="592" t="s">
        <v>42</v>
      </c>
    </row>
    <row r="39" spans="1:41" s="14" customFormat="1" ht="24" customHeight="1" thickBot="1">
      <c r="A39" s="631"/>
      <c r="B39" s="632"/>
      <c r="C39" s="632"/>
      <c r="D39" s="601"/>
      <c r="E39" s="634"/>
      <c r="F39" s="333"/>
      <c r="G39" s="664" t="s">
        <v>43</v>
      </c>
      <c r="H39" s="665"/>
      <c r="I39" s="12" t="str">
        <f>日期!C3</f>
        <v>Fri</v>
      </c>
      <c r="J39" s="12" t="str">
        <f>日期!D3</f>
        <v>Sat</v>
      </c>
      <c r="K39" s="12" t="str">
        <f>日期!E3</f>
        <v>Sun</v>
      </c>
      <c r="L39" s="12" t="str">
        <f>日期!F3</f>
        <v>Mon</v>
      </c>
      <c r="M39" s="12" t="str">
        <f>日期!G3</f>
        <v>Tue</v>
      </c>
      <c r="N39" s="12" t="str">
        <f>日期!H3</f>
        <v>Wed</v>
      </c>
      <c r="O39" s="12" t="str">
        <f>日期!I3</f>
        <v>Thu</v>
      </c>
      <c r="P39" s="12" t="str">
        <f>日期!J3</f>
        <v>Fri</v>
      </c>
      <c r="Q39" s="12" t="str">
        <f>日期!K3</f>
        <v>Sat</v>
      </c>
      <c r="R39" s="12" t="str">
        <f>日期!L3</f>
        <v>Sun</v>
      </c>
      <c r="S39" s="12" t="str">
        <f>日期!M3</f>
        <v>Mon</v>
      </c>
      <c r="T39" s="12" t="str">
        <f>日期!N3</f>
        <v>Tue</v>
      </c>
      <c r="U39" s="12" t="str">
        <f>日期!O3</f>
        <v>Wed</v>
      </c>
      <c r="V39" s="12" t="str">
        <f>日期!P3</f>
        <v>Thu</v>
      </c>
      <c r="W39" s="12" t="str">
        <f>日期!Q3</f>
        <v>Fri</v>
      </c>
      <c r="X39" s="12" t="str">
        <f>日期!R3</f>
        <v>Sat</v>
      </c>
      <c r="Y39" s="12" t="str">
        <f>日期!S3</f>
        <v>Sun</v>
      </c>
      <c r="Z39" s="12" t="str">
        <f>日期!T3</f>
        <v>Mon</v>
      </c>
      <c r="AA39" s="12" t="str">
        <f>日期!U3</f>
        <v>Tue</v>
      </c>
      <c r="AB39" s="12" t="str">
        <f>日期!V3</f>
        <v>Wed</v>
      </c>
      <c r="AC39" s="12" t="str">
        <f>日期!W3</f>
        <v>Thu</v>
      </c>
      <c r="AD39" s="12" t="str">
        <f>日期!X3</f>
        <v>Fri</v>
      </c>
      <c r="AE39" s="12" t="str">
        <f>日期!Y3</f>
        <v>Sat</v>
      </c>
      <c r="AF39" s="12" t="str">
        <f>日期!Z3</f>
        <v>Sun</v>
      </c>
      <c r="AG39" s="12" t="str">
        <f>日期!AA3</f>
        <v>Mon</v>
      </c>
      <c r="AH39" s="12" t="str">
        <f>日期!AB3</f>
        <v>Tue</v>
      </c>
      <c r="AI39" s="12" t="str">
        <f>日期!AC3</f>
        <v>Wed</v>
      </c>
      <c r="AJ39" s="12" t="str">
        <f>日期!AD3</f>
        <v>Thu</v>
      </c>
      <c r="AK39" s="12" t="str">
        <f>日期!AE3</f>
        <v>Fri</v>
      </c>
      <c r="AL39" s="12" t="str">
        <f>日期!AF3</f>
        <v>Sat</v>
      </c>
      <c r="AM39" s="12" t="str">
        <f>日期!AG3</f>
        <v>Sun</v>
      </c>
      <c r="AN39" s="593"/>
    </row>
    <row r="40" spans="1:41" s="14" customFormat="1" ht="21.95" customHeight="1">
      <c r="A40" s="666" t="s">
        <v>44</v>
      </c>
      <c r="B40" s="667"/>
      <c r="C40" s="667"/>
      <c r="D40" s="272">
        <f>HLOOKUP(MONTH(日期!$C$2),去年月推移!$D$1:$O$200,98,TRUE)</f>
        <v>97.948582999999999</v>
      </c>
      <c r="E40" s="45">
        <v>97.8</v>
      </c>
      <c r="F40" s="46" t="s">
        <v>45</v>
      </c>
      <c r="G40" s="621">
        <f>ROUND(當年月推移!P99,1)</f>
        <v>98.1</v>
      </c>
      <c r="H40" s="622"/>
      <c r="I40" s="245">
        <f>ROUND(供應率ALL!C2,1)</f>
        <v>97.6</v>
      </c>
      <c r="J40" s="245">
        <f>ROUND(供應率ALL!D2,1)</f>
        <v>97.3</v>
      </c>
      <c r="K40" s="245">
        <f>ROUND(供應率ALL!E2,1)</f>
        <v>0</v>
      </c>
      <c r="L40" s="245">
        <f>ROUND(供應率ALL!F2,1)</f>
        <v>97.5</v>
      </c>
      <c r="M40" s="245">
        <f>ROUND(供應率ALL!G2,1)</f>
        <v>97.4</v>
      </c>
      <c r="N40" s="245">
        <f>ROUND(供應率ALL!H2,1)</f>
        <v>97.4</v>
      </c>
      <c r="O40" s="245">
        <f>ROUND(供應率ALL!I2,1)</f>
        <v>97</v>
      </c>
      <c r="P40" s="245">
        <f>ROUND(供應率ALL!J2,1)</f>
        <v>97.3</v>
      </c>
      <c r="Q40" s="245">
        <f>ROUND(供應率ALL!K2,1)</f>
        <v>97.9</v>
      </c>
      <c r="R40" s="245">
        <f>ROUND(供應率ALL!L2,1)</f>
        <v>0</v>
      </c>
      <c r="S40" s="245">
        <f>ROUND(供應率ALL!M2,1)</f>
        <v>97.3</v>
      </c>
      <c r="T40" s="245">
        <f>ROUND(供應率ALL!N2,1)</f>
        <v>97.9</v>
      </c>
      <c r="U40" s="245">
        <f>ROUND(供應率ALL!O2,1)</f>
        <v>97.6</v>
      </c>
      <c r="V40" s="245">
        <f>ROUND(供應率ALL!P2,1)</f>
        <v>97.8</v>
      </c>
      <c r="W40" s="245">
        <f>ROUND(供應率ALL!Q2,1)</f>
        <v>98.5</v>
      </c>
      <c r="X40" s="245">
        <f>ROUND(供應率ALL!R2,1)</f>
        <v>98.7</v>
      </c>
      <c r="Y40" s="245">
        <f>ROUND(供應率ALL!S2,1)</f>
        <v>0</v>
      </c>
      <c r="Z40" s="245">
        <f>ROUND(供應率ALL!T2,1)</f>
        <v>98.4</v>
      </c>
      <c r="AA40" s="245">
        <f>ROUND(供應率ALL!U2,1)</f>
        <v>97.8</v>
      </c>
      <c r="AB40" s="245">
        <f>ROUND(供應率ALL!V2,1)</f>
        <v>98.2</v>
      </c>
      <c r="AC40" s="245">
        <f>ROUND(供應率ALL!W2,1)</f>
        <v>97.8</v>
      </c>
      <c r="AD40" s="245">
        <f>ROUND(供應率ALL!X2,1)</f>
        <v>97.9</v>
      </c>
      <c r="AE40" s="245">
        <f>ROUND(供應率ALL!Y2,1)</f>
        <v>100</v>
      </c>
      <c r="AF40" s="245">
        <f>ROUND(供應率ALL!Z2,1)</f>
        <v>0</v>
      </c>
      <c r="AG40" s="245">
        <f>ROUND(供應率ALL!AA2,1)</f>
        <v>98.3</v>
      </c>
      <c r="AH40" s="245">
        <f>ROUND(供應率ALL!AB2,1)</f>
        <v>98</v>
      </c>
      <c r="AI40" s="245">
        <f>ROUND(供應率ALL!AC2,1)</f>
        <v>98.1</v>
      </c>
      <c r="AJ40" s="245">
        <f>ROUND(供應率ALL!AD2,1)</f>
        <v>97.9</v>
      </c>
      <c r="AK40" s="245">
        <f>ROUND(供應率ALL!AE2,1)</f>
        <v>98.2</v>
      </c>
      <c r="AL40" s="245">
        <f>ROUND(供應率ALL!AF2,1)</f>
        <v>98.8</v>
      </c>
      <c r="AM40" s="245">
        <f>ROUND(供應率ALL!AG2,1)</f>
        <v>0</v>
      </c>
      <c r="AN40" s="213">
        <f>ROUND(供應率ALL!AH2,1)</f>
        <v>97.9</v>
      </c>
      <c r="AO40" s="48"/>
    </row>
    <row r="41" spans="1:41" s="14" customFormat="1" ht="21.95" customHeight="1">
      <c r="A41" s="668" t="s">
        <v>46</v>
      </c>
      <c r="B41" s="669"/>
      <c r="C41" s="669"/>
      <c r="D41" s="44">
        <f>HLOOKUP(MONTH(日期!$C$2),去年月推移!$D$1:$O$200,99,TRUE)</f>
        <v>99.923046999999997</v>
      </c>
      <c r="E41" s="50">
        <v>99</v>
      </c>
      <c r="F41" s="51" t="s">
        <v>45</v>
      </c>
      <c r="G41" s="590">
        <f>ROUND(當年月推移!P100,1)</f>
        <v>99.8</v>
      </c>
      <c r="H41" s="591"/>
      <c r="I41" s="47">
        <f>ROUND(供應率ALL!C4,1)</f>
        <v>100</v>
      </c>
      <c r="J41" s="47">
        <f>ROUND(供應率ALL!D4,1)</f>
        <v>100</v>
      </c>
      <c r="K41" s="47">
        <f>ROUND(供應率ALL!E4,1)</f>
        <v>0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99</v>
      </c>
      <c r="R41" s="47">
        <f>ROUND(供應率ALL!L4,1)</f>
        <v>0</v>
      </c>
      <c r="S41" s="47">
        <f>ROUND(供應率ALL!M4,1)</f>
        <v>100</v>
      </c>
      <c r="T41" s="47">
        <f>ROUND(供應率ALL!N4,1)</f>
        <v>99.7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0</v>
      </c>
      <c r="AF41" s="47">
        <f>ROUND(供應率ALL!Z4,1)</f>
        <v>0</v>
      </c>
      <c r="AG41" s="47">
        <f>ROUND(供應率ALL!AA4,1)</f>
        <v>99.8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99.7</v>
      </c>
      <c r="AM41" s="47">
        <f>ROUND(供應率ALL!AG4,1)</f>
        <v>0</v>
      </c>
      <c r="AN41" s="214">
        <f>ROUND(供應率ALL!AH4,1)</f>
        <v>99.9</v>
      </c>
      <c r="AO41" s="48"/>
    </row>
    <row r="42" spans="1:41" s="14" customFormat="1" ht="21.95" customHeight="1">
      <c r="A42" s="668" t="s">
        <v>13</v>
      </c>
      <c r="B42" s="669"/>
      <c r="C42" s="669"/>
      <c r="D42" s="44">
        <f>HLOOKUP(MONTH(日期!$C$2),去年月推移!$D$1:$O$200,100,TRUE)</f>
        <v>89.022756999999999</v>
      </c>
      <c r="E42" s="50">
        <v>75</v>
      </c>
      <c r="F42" s="51" t="s">
        <v>45</v>
      </c>
      <c r="G42" s="590">
        <f>ROUND(當年月推移!P101,1)</f>
        <v>89.6</v>
      </c>
      <c r="H42" s="591"/>
      <c r="I42" s="47">
        <f>ROUND(供應率ALL!C5,1)</f>
        <v>90.4</v>
      </c>
      <c r="J42" s="47">
        <f>ROUND(供應率ALL!D5,1)</f>
        <v>100</v>
      </c>
      <c r="K42" s="47">
        <f>ROUND(供應率ALL!E5,1)</f>
        <v>0</v>
      </c>
      <c r="L42" s="47">
        <f>ROUND(供應率ALL!F5,1)</f>
        <v>85.7</v>
      </c>
      <c r="M42" s="47">
        <f>ROUND(供應率ALL!G5,1)</f>
        <v>71.400000000000006</v>
      </c>
      <c r="N42" s="47">
        <f>ROUND(供應率ALL!H5,1)</f>
        <v>85.7</v>
      </c>
      <c r="O42" s="47">
        <f>ROUND(供應率ALL!I5,1)</f>
        <v>85.7</v>
      </c>
      <c r="P42" s="47">
        <f>ROUND(供應率ALL!J5,1)</f>
        <v>80</v>
      </c>
      <c r="Q42" s="47">
        <f>ROUND(供應率ALL!K5,1)</f>
        <v>100</v>
      </c>
      <c r="R42" s="47">
        <f>ROUND(供應率ALL!L5,1)</f>
        <v>0</v>
      </c>
      <c r="S42" s="47">
        <f>ROUND(供應率ALL!M5,1)</f>
        <v>86.6</v>
      </c>
      <c r="T42" s="47">
        <f>ROUND(供應率ALL!N5,1)</f>
        <v>88.8</v>
      </c>
      <c r="U42" s="47">
        <f>ROUND(供應率ALL!O5,1)</f>
        <v>84.6</v>
      </c>
      <c r="V42" s="47">
        <f>ROUND(供應率ALL!P5,1)</f>
        <v>100</v>
      </c>
      <c r="W42" s="47">
        <f>ROUND(供應率ALL!Q5,1)</f>
        <v>83.3</v>
      </c>
      <c r="X42" s="47">
        <f>ROUND(供應率ALL!R5,1)</f>
        <v>100</v>
      </c>
      <c r="Y42" s="47">
        <f>ROUND(供應率ALL!S5,1)</f>
        <v>0</v>
      </c>
      <c r="Z42" s="47">
        <f>ROUND(供應率ALL!T5,1)</f>
        <v>100</v>
      </c>
      <c r="AA42" s="47">
        <f>ROUND(供應率ALL!U5,1)</f>
        <v>93.7</v>
      </c>
      <c r="AB42" s="47">
        <f>ROUND(供應率ALL!V5,1)</f>
        <v>85.7</v>
      </c>
      <c r="AC42" s="47">
        <f>ROUND(供應率ALL!W5,1)</f>
        <v>76.900000000000006</v>
      </c>
      <c r="AD42" s="47">
        <f>ROUND(供應率ALL!X5,1)</f>
        <v>87.5</v>
      </c>
      <c r="AE42" s="47">
        <f>ROUND(供應率ALL!Y5,1)</f>
        <v>0</v>
      </c>
      <c r="AF42" s="47">
        <f>ROUND(供應率ALL!Z5,1)</f>
        <v>0</v>
      </c>
      <c r="AG42" s="47">
        <f>ROUND(供應率ALL!AA5,1)</f>
        <v>95</v>
      </c>
      <c r="AH42" s="47">
        <f>ROUND(供應率ALL!AB5,1)</f>
        <v>96.2</v>
      </c>
      <c r="AI42" s="47">
        <f>ROUND(供應率ALL!AC5,1)</f>
        <v>91.1</v>
      </c>
      <c r="AJ42" s="47">
        <f>ROUND(供應率ALL!AD5,1)</f>
        <v>100</v>
      </c>
      <c r="AK42" s="47">
        <f>ROUND(供應率ALL!AE5,1)</f>
        <v>90</v>
      </c>
      <c r="AL42" s="47">
        <f>ROUND(供應率ALL!AF5,1)</f>
        <v>92.8</v>
      </c>
      <c r="AM42" s="47">
        <f>ROUND(供應率ALL!AG5,1)</f>
        <v>0</v>
      </c>
      <c r="AN42" s="214">
        <f>ROUND(供應率ALL!AH5,1)</f>
        <v>91.4</v>
      </c>
      <c r="AO42" s="48"/>
    </row>
    <row r="43" spans="1:41" s="14" customFormat="1" ht="21.95" customHeight="1">
      <c r="A43" s="668" t="s">
        <v>14</v>
      </c>
      <c r="B43" s="669"/>
      <c r="C43" s="669"/>
      <c r="D43" s="44">
        <f>HLOOKUP(MONTH(日期!$C$2),去年月推移!$D$1:$O$200,101,TRUE)</f>
        <v>99.488767999999993</v>
      </c>
      <c r="E43" s="50">
        <v>99</v>
      </c>
      <c r="F43" s="51" t="s">
        <v>45</v>
      </c>
      <c r="G43" s="590">
        <f>ROUND(當年月推移!P102,1)</f>
        <v>99.5</v>
      </c>
      <c r="H43" s="591"/>
      <c r="I43" s="47">
        <f>ROUND(供應率ALL!C6,1)</f>
        <v>99.7</v>
      </c>
      <c r="J43" s="47">
        <f>ROUND(供應率ALL!D6,1)</f>
        <v>99.6</v>
      </c>
      <c r="K43" s="47">
        <f>ROUND(供應率ALL!E6,1)</f>
        <v>0</v>
      </c>
      <c r="L43" s="47">
        <f>ROUND(供應率ALL!F6,1)</f>
        <v>99.4</v>
      </c>
      <c r="M43" s="47">
        <f>ROUND(供應率ALL!G6,1)</f>
        <v>99.5</v>
      </c>
      <c r="N43" s="47">
        <f>ROUND(供應率ALL!H6,1)</f>
        <v>98.9</v>
      </c>
      <c r="O43" s="47">
        <f>ROUND(供應率ALL!I6,1)</f>
        <v>98.4</v>
      </c>
      <c r="P43" s="47">
        <f>ROUND(供應率ALL!J6,1)</f>
        <v>98.7</v>
      </c>
      <c r="Q43" s="47">
        <f>ROUND(供應率ALL!K6,1)</f>
        <v>99.1</v>
      </c>
      <c r="R43" s="47">
        <f>ROUND(供應率ALL!L6,1)</f>
        <v>0</v>
      </c>
      <c r="S43" s="47">
        <f>ROUND(供應率ALL!M6,1)</f>
        <v>99.3</v>
      </c>
      <c r="T43" s="47">
        <f>ROUND(供應率ALL!N6,1)</f>
        <v>98.9</v>
      </c>
      <c r="U43" s="47">
        <f>ROUND(供應率ALL!O6,1)</f>
        <v>99.3</v>
      </c>
      <c r="V43" s="47">
        <f>ROUND(供應率ALL!P6,1)</f>
        <v>99.5</v>
      </c>
      <c r="W43" s="47">
        <f>ROUND(供應率ALL!Q6,1)</f>
        <v>99.6</v>
      </c>
      <c r="X43" s="47">
        <f>ROUND(供應率ALL!R6,1)</f>
        <v>99.4</v>
      </c>
      <c r="Y43" s="47">
        <f>ROUND(供應率ALL!S6,1)</f>
        <v>0</v>
      </c>
      <c r="Z43" s="47">
        <f>ROUND(供應率ALL!T6,1)</f>
        <v>99.4</v>
      </c>
      <c r="AA43" s="47">
        <f>ROUND(供應率ALL!U6,1)</f>
        <v>99.5</v>
      </c>
      <c r="AB43" s="47">
        <f>ROUND(供應率ALL!V6,1)</f>
        <v>99.2</v>
      </c>
      <c r="AC43" s="47">
        <f>ROUND(供應率ALL!W6,1)</f>
        <v>99.2</v>
      </c>
      <c r="AD43" s="47">
        <f>ROUND(供應率ALL!X6,1)</f>
        <v>98.8</v>
      </c>
      <c r="AE43" s="47">
        <f>ROUND(供應率ALL!Y6,1)</f>
        <v>100</v>
      </c>
      <c r="AF43" s="47">
        <f>ROUND(供應率ALL!Z6,1)</f>
        <v>0</v>
      </c>
      <c r="AG43" s="47">
        <f>ROUND(供應率ALL!AA6,1)</f>
        <v>99.5</v>
      </c>
      <c r="AH43" s="47">
        <f>ROUND(供應率ALL!AB6,1)</f>
        <v>99.7</v>
      </c>
      <c r="AI43" s="47">
        <f>ROUND(供應率ALL!AC6,1)</f>
        <v>99.6</v>
      </c>
      <c r="AJ43" s="47">
        <f>ROUND(供應率ALL!AD6,1)</f>
        <v>99.5</v>
      </c>
      <c r="AK43" s="47">
        <f>ROUND(供應率ALL!AE6,1)</f>
        <v>100</v>
      </c>
      <c r="AL43" s="47">
        <f>ROUND(供應率ALL!AF6,1)</f>
        <v>99.8</v>
      </c>
      <c r="AM43" s="47">
        <f>ROUND(供應率ALL!AG6,1)</f>
        <v>0</v>
      </c>
      <c r="AN43" s="214">
        <f>ROUND(供應率ALL!AH6,1)</f>
        <v>99.4</v>
      </c>
      <c r="AO43" s="48"/>
    </row>
    <row r="44" spans="1:41" s="14" customFormat="1" ht="21.95" customHeight="1">
      <c r="A44" s="668" t="s">
        <v>47</v>
      </c>
      <c r="B44" s="669"/>
      <c r="C44" s="669"/>
      <c r="D44" s="44">
        <f>HLOOKUP(MONTH(日期!$C$2),去年月推移!$D$1:$O$200,102,TRUE)</f>
        <v>92.592591999999996</v>
      </c>
      <c r="E44" s="50">
        <v>92</v>
      </c>
      <c r="F44" s="51" t="s">
        <v>45</v>
      </c>
      <c r="G44" s="590">
        <f>ROUND(當年月推移!P103,1)</f>
        <v>94.2</v>
      </c>
      <c r="H44" s="591"/>
      <c r="I44" s="47">
        <f>ROUND(供應率ALL!C23,1)</f>
        <v>90.5</v>
      </c>
      <c r="J44" s="47">
        <f>ROUND(供應率ALL!D23,1)</f>
        <v>93.4</v>
      </c>
      <c r="K44" s="47">
        <f>ROUND(供應率ALL!E23,1)</f>
        <v>0</v>
      </c>
      <c r="L44" s="47">
        <f>ROUND(供應率ALL!F23,1)</f>
        <v>87.2</v>
      </c>
      <c r="M44" s="47">
        <f>ROUND(供應率ALL!G23,1)</f>
        <v>78.5</v>
      </c>
      <c r="N44" s="47">
        <f>ROUND(供應率ALL!H23,1)</f>
        <v>93.5</v>
      </c>
      <c r="O44" s="47">
        <f>ROUND(供應率ALL!I23,1)</f>
        <v>93.9</v>
      </c>
      <c r="P44" s="47">
        <f>ROUND(供應率ALL!J23,1)</f>
        <v>93.8</v>
      </c>
      <c r="Q44" s="47">
        <f>ROUND(供應率ALL!K23,1)</f>
        <v>94.7</v>
      </c>
      <c r="R44" s="47">
        <f>ROUND(供應率ALL!L23,1)</f>
        <v>0</v>
      </c>
      <c r="S44" s="47">
        <f>ROUND(供應率ALL!M23,1)</f>
        <v>91.7</v>
      </c>
      <c r="T44" s="47">
        <f>ROUND(供應率ALL!N23,1)</f>
        <v>90.5</v>
      </c>
      <c r="U44" s="47">
        <f>ROUND(供應率ALL!O23,1)</f>
        <v>88.6</v>
      </c>
      <c r="V44" s="47">
        <f>ROUND(供應率ALL!P23,1)</f>
        <v>90.6</v>
      </c>
      <c r="W44" s="47">
        <f>ROUND(供應率ALL!Q23,1)</f>
        <v>95.8</v>
      </c>
      <c r="X44" s="47">
        <f>ROUND(供應率ALL!R23,1)</f>
        <v>93.6</v>
      </c>
      <c r="Y44" s="47">
        <f>ROUND(供應率ALL!S23,1)</f>
        <v>0</v>
      </c>
      <c r="Z44" s="47">
        <f>ROUND(供應率ALL!T23,1)</f>
        <v>91.7</v>
      </c>
      <c r="AA44" s="47">
        <f>ROUND(供應率ALL!U23,1)</f>
        <v>93.8</v>
      </c>
      <c r="AB44" s="47">
        <f>ROUND(供應率ALL!V23,1)</f>
        <v>95.6</v>
      </c>
      <c r="AC44" s="47">
        <f>ROUND(供應率ALL!W23,1)</f>
        <v>95.5</v>
      </c>
      <c r="AD44" s="47">
        <f>ROUND(供應率ALL!X23,1)</f>
        <v>94.6</v>
      </c>
      <c r="AE44" s="47">
        <f>ROUND(供應率ALL!Y23,1)</f>
        <v>100</v>
      </c>
      <c r="AF44" s="47">
        <f>ROUND(供應率ALL!Z23,1)</f>
        <v>0</v>
      </c>
      <c r="AG44" s="47">
        <f>ROUND(供應率ALL!AA23,1)</f>
        <v>95.1</v>
      </c>
      <c r="AH44" s="47">
        <f>ROUND(供應率ALL!AB23,1)</f>
        <v>92.2</v>
      </c>
      <c r="AI44" s="47">
        <f>ROUND(供應率ALL!AC23,1)</f>
        <v>92.9</v>
      </c>
      <c r="AJ44" s="47">
        <f>ROUND(供應率ALL!AD23,1)</f>
        <v>92.9</v>
      </c>
      <c r="AK44" s="47">
        <f>ROUND(供應率ALL!AE23,1)</f>
        <v>96.2</v>
      </c>
      <c r="AL44" s="47">
        <f>ROUND(供應率ALL!AF23,1)</f>
        <v>97.7</v>
      </c>
      <c r="AM44" s="47">
        <f>ROUND(供應率ALL!AG23,1)</f>
        <v>0</v>
      </c>
      <c r="AN44" s="214">
        <f>ROUND(供應率ALL!AH23,1)</f>
        <v>92.6</v>
      </c>
      <c r="AO44" s="48"/>
    </row>
    <row r="45" spans="1:41" s="14" customFormat="1" ht="21.95" customHeight="1">
      <c r="A45" s="668" t="s">
        <v>48</v>
      </c>
      <c r="B45" s="669"/>
      <c r="C45" s="669"/>
      <c r="D45" s="44">
        <f>HLOOKUP(MONTH(日期!$C$2),去年月推移!$D$1:$O$200,103,TRUE)</f>
        <v>99.038623000000001</v>
      </c>
      <c r="E45" s="50">
        <v>95</v>
      </c>
      <c r="F45" s="51" t="s">
        <v>45</v>
      </c>
      <c r="G45" s="590">
        <f>ROUND(當年月推移!P104,1)</f>
        <v>98.3</v>
      </c>
      <c r="H45" s="591"/>
      <c r="I45" s="47">
        <f>ROUND(供應率ALL!C8,1)</f>
        <v>98.8</v>
      </c>
      <c r="J45" s="47">
        <f>ROUND(供應率ALL!D8,1)</f>
        <v>100</v>
      </c>
      <c r="K45" s="47">
        <f>ROUND(供應率ALL!E8,1)</f>
        <v>0</v>
      </c>
      <c r="L45" s="47">
        <f>ROUND(供應率ALL!F8,1)</f>
        <v>99.5</v>
      </c>
      <c r="M45" s="47">
        <f>ROUND(供應率ALL!G8,1)</f>
        <v>98.9</v>
      </c>
      <c r="N45" s="47">
        <f>ROUND(供應率ALL!H8,1)</f>
        <v>99</v>
      </c>
      <c r="O45" s="47">
        <f>ROUND(供應率ALL!I8,1)</f>
        <v>99.5</v>
      </c>
      <c r="P45" s="47">
        <f>ROUND(供應率ALL!J8,1)</f>
        <v>98.7</v>
      </c>
      <c r="Q45" s="47">
        <f>ROUND(供應率ALL!K8,1)</f>
        <v>98.6</v>
      </c>
      <c r="R45" s="47">
        <f>ROUND(供應率ALL!L8,1)</f>
        <v>0</v>
      </c>
      <c r="S45" s="47">
        <f>ROUND(供應率ALL!M8,1)</f>
        <v>99.1</v>
      </c>
      <c r="T45" s="47">
        <f>ROUND(供應率ALL!N8,1)</f>
        <v>98.8</v>
      </c>
      <c r="U45" s="47">
        <f>ROUND(供應率ALL!O8,1)</f>
        <v>96.5</v>
      </c>
      <c r="V45" s="47">
        <f>ROUND(供應率ALL!P8,1)</f>
        <v>98.5</v>
      </c>
      <c r="W45" s="47">
        <f>ROUND(供應率ALL!Q8,1)</f>
        <v>99.5</v>
      </c>
      <c r="X45" s="47">
        <f>ROUND(供應率ALL!R8,1)</f>
        <v>94.3</v>
      </c>
      <c r="Y45" s="47">
        <f>ROUND(供應率ALL!S8,1)</f>
        <v>0</v>
      </c>
      <c r="Z45" s="47">
        <f>ROUND(供應率ALL!T8,1)</f>
        <v>96.2</v>
      </c>
      <c r="AA45" s="47">
        <f>ROUND(供應率ALL!U8,1)</f>
        <v>97.3</v>
      </c>
      <c r="AB45" s="47">
        <f>ROUND(供應率ALL!V8,1)</f>
        <v>99</v>
      </c>
      <c r="AC45" s="47">
        <f>ROUND(供應率ALL!W8,1)</f>
        <v>99</v>
      </c>
      <c r="AD45" s="47">
        <f>ROUND(供應率ALL!X8,1)</f>
        <v>98.2</v>
      </c>
      <c r="AE45" s="47">
        <f>ROUND(供應率ALL!Y8,1)</f>
        <v>100</v>
      </c>
      <c r="AF45" s="47">
        <f>ROUND(供應率ALL!Z8,1)</f>
        <v>0</v>
      </c>
      <c r="AG45" s="47">
        <f>ROUND(供應率ALL!AA8,1)</f>
        <v>98.1</v>
      </c>
      <c r="AH45" s="47">
        <f>ROUND(供應率ALL!AB8,1)</f>
        <v>98.4</v>
      </c>
      <c r="AI45" s="47">
        <f>ROUND(供應率ALL!AC8,1)</f>
        <v>99.4</v>
      </c>
      <c r="AJ45" s="47">
        <f>ROUND(供應率ALL!AD8,1)</f>
        <v>100</v>
      </c>
      <c r="AK45" s="47">
        <f>ROUND(供應率ALL!AE8,1)</f>
        <v>99.7</v>
      </c>
      <c r="AL45" s="47">
        <f>ROUND(供應率ALL!AF8,1)</f>
        <v>99.7</v>
      </c>
      <c r="AM45" s="47">
        <f>ROUND(供應率ALL!AG8,1)</f>
        <v>0</v>
      </c>
      <c r="AN45" s="214">
        <f>ROUND(供應率ALL!AH8,1)</f>
        <v>98.6</v>
      </c>
      <c r="AO45" s="48"/>
    </row>
    <row r="46" spans="1:41" s="14" customFormat="1" ht="21.95" customHeight="1">
      <c r="A46" s="668" t="s">
        <v>17</v>
      </c>
      <c r="B46" s="669"/>
      <c r="C46" s="669"/>
      <c r="D46" s="44">
        <f>HLOOKUP(MONTH(日期!$C$2),去年月推移!$D$1:$O$200,104,TRUE)</f>
        <v>97.695035000000004</v>
      </c>
      <c r="E46" s="50">
        <v>95</v>
      </c>
      <c r="F46" s="51" t="s">
        <v>45</v>
      </c>
      <c r="G46" s="590">
        <f>ROUND(當年月推移!P105,1)</f>
        <v>96.6</v>
      </c>
      <c r="H46" s="591"/>
      <c r="I46" s="47">
        <f>ROUND(供應率ALL!C9,1)</f>
        <v>100</v>
      </c>
      <c r="J46" s="47">
        <f>ROUND(供應率ALL!D9,1)</f>
        <v>100</v>
      </c>
      <c r="K46" s="47">
        <f>ROUND(供應率ALL!E9,1)</f>
        <v>0</v>
      </c>
      <c r="L46" s="47">
        <f>ROUND(供應率ALL!F9,1)</f>
        <v>100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94.4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89.4</v>
      </c>
      <c r="Y46" s="47">
        <f>ROUND(供應率ALL!S9,1)</f>
        <v>0</v>
      </c>
      <c r="Z46" s="47">
        <f>ROUND(供應率ALL!T9,1)</f>
        <v>95.4</v>
      </c>
      <c r="AA46" s="47">
        <f>ROUND(供應率ALL!U9,1)</f>
        <v>88.2</v>
      </c>
      <c r="AB46" s="47">
        <f>ROUND(供應率ALL!V9,1)</f>
        <v>95.8</v>
      </c>
      <c r="AC46" s="47">
        <f>ROUND(供應率ALL!W9,1)</f>
        <v>95.4</v>
      </c>
      <c r="AD46" s="47">
        <f>ROUND(供應率ALL!X9,1)</f>
        <v>100</v>
      </c>
      <c r="AE46" s="47">
        <f>ROUND(供應率ALL!Y9,1)</f>
        <v>0</v>
      </c>
      <c r="AF46" s="47">
        <f>ROUND(供應率ALL!Z9,1)</f>
        <v>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98.3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>
        <f>HLOOKUP(MONTH(日期!$C$2),去年月推移!$D$1:$O$200,105,TRUE)</f>
        <v>98.056971000000004</v>
      </c>
      <c r="E47" s="52">
        <v>97.8</v>
      </c>
      <c r="F47" s="53"/>
      <c r="G47" s="629">
        <f>ROUND(當年月推移!P106,1)</f>
        <v>98.2</v>
      </c>
      <c r="H47" s="630"/>
      <c r="I47" s="242">
        <f>ROUND(供應率ALL!C10,1)</f>
        <v>97.8</v>
      </c>
      <c r="J47" s="242">
        <f>ROUND(供應率ALL!D10,1)</f>
        <v>97.7</v>
      </c>
      <c r="K47" s="242">
        <f>ROUND(供應率ALL!E10,1)</f>
        <v>0</v>
      </c>
      <c r="L47" s="242">
        <f>ROUND(供應率ALL!F10,1)</f>
        <v>97.6</v>
      </c>
      <c r="M47" s="242">
        <f>ROUND(供應率ALL!G10,1)</f>
        <v>97.2</v>
      </c>
      <c r="N47" s="242">
        <f>ROUND(供應率ALL!H10,1)</f>
        <v>97.6</v>
      </c>
      <c r="O47" s="242">
        <f>ROUND(供應率ALL!I10,1)</f>
        <v>97.2</v>
      </c>
      <c r="P47" s="242">
        <f>ROUND(供應率ALL!J10,1)</f>
        <v>97.5</v>
      </c>
      <c r="Q47" s="242">
        <f>ROUND(供應率ALL!K10,1)</f>
        <v>98.1</v>
      </c>
      <c r="R47" s="242">
        <f>ROUND(供應率ALL!L10,1)</f>
        <v>0</v>
      </c>
      <c r="S47" s="242">
        <f>ROUND(供應率ALL!M10,1)</f>
        <v>97.6</v>
      </c>
      <c r="T47" s="242">
        <f>ROUND(供應率ALL!N10,1)</f>
        <v>97.9</v>
      </c>
      <c r="U47" s="242">
        <f>ROUND(供應率ALL!O10,1)</f>
        <v>97.6</v>
      </c>
      <c r="V47" s="242">
        <f>ROUND(供應率ALL!P10,1)</f>
        <v>97.9</v>
      </c>
      <c r="W47" s="242">
        <f>ROUND(供應率ALL!Q10,1)</f>
        <v>98.6</v>
      </c>
      <c r="X47" s="242">
        <f>ROUND(供應率ALL!R10,1)</f>
        <v>98.4</v>
      </c>
      <c r="Y47" s="242">
        <f>ROUND(供應率ALL!S10,1)</f>
        <v>0</v>
      </c>
      <c r="Z47" s="242">
        <f>ROUND(供應率ALL!T10,1)</f>
        <v>98.3</v>
      </c>
      <c r="AA47" s="242">
        <f>ROUND(供應率ALL!U10,1)</f>
        <v>97.9</v>
      </c>
      <c r="AB47" s="242">
        <f>ROUND(供應率ALL!V10,1)</f>
        <v>98.3</v>
      </c>
      <c r="AC47" s="242">
        <f>ROUND(供應率ALL!W10,1)</f>
        <v>98</v>
      </c>
      <c r="AD47" s="242">
        <f>ROUND(供應率ALL!X10,1)</f>
        <v>98</v>
      </c>
      <c r="AE47" s="242">
        <f>ROUND(供應率ALL!Y10,1)</f>
        <v>100</v>
      </c>
      <c r="AF47" s="242">
        <f>ROUND(供應率ALL!Z10,1)</f>
        <v>0</v>
      </c>
      <c r="AG47" s="242">
        <f>ROUND(供應率ALL!AA10,1)</f>
        <v>98.4</v>
      </c>
      <c r="AH47" s="242">
        <f>ROUND(供應率ALL!AB10,1)</f>
        <v>98.1</v>
      </c>
      <c r="AI47" s="242">
        <f>ROUND(供應率ALL!AC10,1)</f>
        <v>98.2</v>
      </c>
      <c r="AJ47" s="242">
        <f>ROUND(供應率ALL!AD10,1)</f>
        <v>98.1</v>
      </c>
      <c r="AK47" s="242">
        <f>ROUND(供應率ALL!AE10,1)</f>
        <v>98.5</v>
      </c>
      <c r="AL47" s="242">
        <f>ROUND(供應率ALL!AF10,1)</f>
        <v>99</v>
      </c>
      <c r="AM47" s="242">
        <f>ROUND(供應率ALL!AG10,1)</f>
        <v>0</v>
      </c>
      <c r="AN47" s="271">
        <f>ROUND(供應率ALL!AH10,1)</f>
        <v>98</v>
      </c>
      <c r="AO47" s="48"/>
    </row>
    <row r="48" spans="1:41" s="14" customFormat="1" ht="21.95" customHeight="1">
      <c r="A48" s="670" t="s">
        <v>23</v>
      </c>
      <c r="B48" s="671"/>
      <c r="C48" s="671"/>
      <c r="D48" s="44">
        <f>HLOOKUP(MONTH(日期!$C$2),去年月推移!$D$1:$O$200,106,TRUE)</f>
        <v>96.561702999999994</v>
      </c>
      <c r="E48" s="269">
        <v>97.8</v>
      </c>
      <c r="F48" s="270" t="s">
        <v>45</v>
      </c>
      <c r="G48" s="590">
        <f>ROUND(當年月推移!P107,1)</f>
        <v>98.2</v>
      </c>
      <c r="H48" s="591"/>
      <c r="I48" s="47">
        <f>ROUND(供應率ALL!C3,1)</f>
        <v>98.5</v>
      </c>
      <c r="J48" s="47">
        <f>ROUND(供應率ALL!D3,1)</f>
        <v>98.2</v>
      </c>
      <c r="K48" s="47">
        <f>ROUND(供應率ALL!E3,1)</f>
        <v>0</v>
      </c>
      <c r="L48" s="47">
        <f>ROUND(供應率ALL!F3,1)</f>
        <v>98</v>
      </c>
      <c r="M48" s="47">
        <f>ROUND(供應率ALL!G3,1)</f>
        <v>97.8</v>
      </c>
      <c r="N48" s="47">
        <f>ROUND(供應率ALL!H3,1)</f>
        <v>97.8</v>
      </c>
      <c r="O48" s="47">
        <f>ROUND(供應率ALL!I3,1)</f>
        <v>98.1</v>
      </c>
      <c r="P48" s="47">
        <f>ROUND(供應率ALL!J3,1)</f>
        <v>98.1</v>
      </c>
      <c r="Q48" s="47">
        <f>ROUND(供應率ALL!K3,1)</f>
        <v>98.9</v>
      </c>
      <c r="R48" s="47">
        <f>ROUND(供應率ALL!L3,1)</f>
        <v>0</v>
      </c>
      <c r="S48" s="47">
        <f>ROUND(供應率ALL!M3,1)</f>
        <v>98</v>
      </c>
      <c r="T48" s="47">
        <f>ROUND(供應率ALL!N3,1)</f>
        <v>98.7</v>
      </c>
      <c r="U48" s="47">
        <f>ROUND(供應率ALL!O3,1)</f>
        <v>98.5</v>
      </c>
      <c r="V48" s="47">
        <f>ROUND(供應率ALL!P3,1)</f>
        <v>98.4</v>
      </c>
      <c r="W48" s="47">
        <f>ROUND(供應率ALL!Q3,1)</f>
        <v>98.3</v>
      </c>
      <c r="X48" s="47">
        <f>ROUND(供應率ALL!R3,1)</f>
        <v>98.5</v>
      </c>
      <c r="Y48" s="47">
        <f>ROUND(供應率ALL!S3,1)</f>
        <v>0</v>
      </c>
      <c r="Z48" s="47">
        <f>ROUND(供應率ALL!T3,1)</f>
        <v>98.4</v>
      </c>
      <c r="AA48" s="47">
        <f>ROUND(供應率ALL!U3,1)</f>
        <v>97.7</v>
      </c>
      <c r="AB48" s="47">
        <f>ROUND(供應率ALL!V3,1)</f>
        <v>98.2</v>
      </c>
      <c r="AC48" s="47">
        <f>ROUND(供應率ALL!W3,1)</f>
        <v>97.4</v>
      </c>
      <c r="AD48" s="47">
        <f>ROUND(供應率ALL!X3,1)</f>
        <v>98.6</v>
      </c>
      <c r="AE48" s="47">
        <f>ROUND(供應率ALL!Y3,1)</f>
        <v>0</v>
      </c>
      <c r="AF48" s="47">
        <f>ROUND(供應率ALL!Z3,1)</f>
        <v>0</v>
      </c>
      <c r="AG48" s="47">
        <f>ROUND(供應率ALL!AA3,1)</f>
        <v>97.1</v>
      </c>
      <c r="AH48" s="47">
        <f>ROUND(供應率ALL!AB3,1)</f>
        <v>97.6</v>
      </c>
      <c r="AI48" s="47">
        <f>ROUND(供應率ALL!AC3,1)</f>
        <v>97.1</v>
      </c>
      <c r="AJ48" s="47">
        <f>ROUND(供應率ALL!AD3,1)</f>
        <v>98.3</v>
      </c>
      <c r="AK48" s="47">
        <f>ROUND(供應率ALL!AE3,1)</f>
        <v>97.5</v>
      </c>
      <c r="AL48" s="47">
        <f>ROUND(供應率ALL!AF3,1)</f>
        <v>97.5</v>
      </c>
      <c r="AM48" s="47">
        <f>ROUND(供應率ALL!AG3,1)</f>
        <v>0</v>
      </c>
      <c r="AN48" s="214">
        <f>ROUND(供應率ALL!AH3,1)</f>
        <v>98.1</v>
      </c>
      <c r="AO48" s="48"/>
    </row>
    <row r="49" spans="1:41" s="14" customFormat="1" ht="21.95" customHeight="1">
      <c r="A49" s="626" t="s">
        <v>24</v>
      </c>
      <c r="B49" s="627"/>
      <c r="C49" s="628"/>
      <c r="D49" s="44">
        <f>HLOOKUP(MONTH(日期!$C$2),去年月推移!$D$1:$O$200,107,TRUE)</f>
        <v>99.708878999999996</v>
      </c>
      <c r="E49" s="50">
        <v>99</v>
      </c>
      <c r="F49" s="51"/>
      <c r="G49" s="637">
        <f>ROUND(當年月推移!P108,1)</f>
        <v>99.2</v>
      </c>
      <c r="H49" s="638"/>
      <c r="I49" s="47">
        <f>ROUND(供應率ALL!C11,1)</f>
        <v>100</v>
      </c>
      <c r="J49" s="47">
        <f>ROUND(供應率ALL!D11,1)</f>
        <v>100</v>
      </c>
      <c r="K49" s="47">
        <f>ROUND(供應率ALL!E11,1)</f>
        <v>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0</v>
      </c>
      <c r="AF49" s="47">
        <f>ROUND(供應率ALL!Z11,1)</f>
        <v>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626" t="s">
        <v>25</v>
      </c>
      <c r="B50" s="627"/>
      <c r="C50" s="628"/>
      <c r="D50" s="44">
        <f>HLOOKUP(MONTH(日期!$C$2),去年月推移!$D$1:$O$200,108,TRUE)</f>
        <v>93.688361999999998</v>
      </c>
      <c r="E50" s="50">
        <v>75</v>
      </c>
      <c r="F50" s="51"/>
      <c r="G50" s="637">
        <f>ROUND(當年月推移!P109,1)</f>
        <v>96.5</v>
      </c>
      <c r="H50" s="638"/>
      <c r="I50" s="47">
        <f>ROUND(供應率ALL!C12,1)</f>
        <v>100</v>
      </c>
      <c r="J50" s="47">
        <f>ROUND(供應率ALL!D12,1)</f>
        <v>97.1</v>
      </c>
      <c r="K50" s="47">
        <f>ROUND(供應率ALL!E12,1)</f>
        <v>0</v>
      </c>
      <c r="L50" s="47">
        <f>ROUND(供應率ALL!F12,1)</f>
        <v>100</v>
      </c>
      <c r="M50" s="47">
        <f>ROUND(供應率ALL!G12,1)</f>
        <v>100</v>
      </c>
      <c r="N50" s="47">
        <f>ROUND(供應率ALL!H12,1)</f>
        <v>82.4</v>
      </c>
      <c r="O50" s="47">
        <f>ROUND(供應率ALL!I12,1)</f>
        <v>100</v>
      </c>
      <c r="P50" s="47">
        <f>ROUND(供應率ALL!J12,1)</f>
        <v>100</v>
      </c>
      <c r="Q50" s="47">
        <f>ROUND(供應率ALL!K12,1)</f>
        <v>96.8</v>
      </c>
      <c r="R50" s="47">
        <f>ROUND(供應率ALL!L12,1)</f>
        <v>0</v>
      </c>
      <c r="S50" s="47">
        <f>ROUND(供應率ALL!M12,1)</f>
        <v>100</v>
      </c>
      <c r="T50" s="47">
        <f>ROUND(供應率ALL!N12,1)</f>
        <v>100</v>
      </c>
      <c r="U50" s="47">
        <f>ROUND(供應率ALL!O12,1)</f>
        <v>98</v>
      </c>
      <c r="V50" s="47">
        <f>ROUND(供應率ALL!P12,1)</f>
        <v>100</v>
      </c>
      <c r="W50" s="47">
        <f>ROUND(供應率ALL!Q12,1)</f>
        <v>100</v>
      </c>
      <c r="X50" s="47">
        <f>ROUND(供應率ALL!R12,1)</f>
        <v>100</v>
      </c>
      <c r="Y50" s="47">
        <f>ROUND(供應率ALL!S12,1)</f>
        <v>0</v>
      </c>
      <c r="Z50" s="47">
        <f>ROUND(供應率ALL!T12,1)</f>
        <v>98</v>
      </c>
      <c r="AA50" s="47">
        <f>ROUND(供應率ALL!U12,1)</f>
        <v>100</v>
      </c>
      <c r="AB50" s="47">
        <f>ROUND(供應率ALL!V12,1)</f>
        <v>98.3</v>
      </c>
      <c r="AC50" s="47">
        <f>ROUND(供應率ALL!W12,1)</f>
        <v>100</v>
      </c>
      <c r="AD50" s="47">
        <f>ROUND(供應率ALL!X12,1)</f>
        <v>98</v>
      </c>
      <c r="AE50" s="47">
        <f>ROUND(供應率ALL!Y12,1)</f>
        <v>0</v>
      </c>
      <c r="AF50" s="47">
        <f>ROUND(供應率ALL!Z12,1)</f>
        <v>0</v>
      </c>
      <c r="AG50" s="47">
        <f>ROUND(供應率ALL!AA12,1)</f>
        <v>100</v>
      </c>
      <c r="AH50" s="47">
        <f>ROUND(供應率ALL!AB12,1)</f>
        <v>98.1</v>
      </c>
      <c r="AI50" s="47">
        <f>ROUND(供應率ALL!AC12,1)</f>
        <v>100</v>
      </c>
      <c r="AJ50" s="47">
        <f>ROUND(供應率ALL!AD12,1)</f>
        <v>100</v>
      </c>
      <c r="AK50" s="47">
        <f>ROUND(供應率ALL!AE12,1)</f>
        <v>100</v>
      </c>
      <c r="AL50" s="47">
        <f>ROUND(供應率ALL!AF12,1)</f>
        <v>100</v>
      </c>
      <c r="AM50" s="47">
        <f>ROUND(供應率ALL!AG12,1)</f>
        <v>0</v>
      </c>
      <c r="AN50" s="214">
        <f>ROUND(供應率ALL!AH12,1)</f>
        <v>98.7</v>
      </c>
      <c r="AO50" s="48"/>
    </row>
    <row r="51" spans="1:41" s="14" customFormat="1" ht="21.95" customHeight="1">
      <c r="A51" s="626" t="s">
        <v>26</v>
      </c>
      <c r="B51" s="627"/>
      <c r="C51" s="628"/>
      <c r="D51" s="44">
        <f>HLOOKUP(MONTH(日期!$C$2),去年月推移!$D$1:$O$200,109,TRUE)</f>
        <v>97.394621000000001</v>
      </c>
      <c r="E51" s="50">
        <v>98.7</v>
      </c>
      <c r="F51" s="51"/>
      <c r="G51" s="637">
        <f>ROUND(當年月推移!P110,1)</f>
        <v>96.5</v>
      </c>
      <c r="H51" s="638"/>
      <c r="I51" s="47">
        <f>ROUND(供應率ALL!C13,1)</f>
        <v>97.8</v>
      </c>
      <c r="J51" s="47">
        <f>ROUND(供應率ALL!D13,1)</f>
        <v>98.1</v>
      </c>
      <c r="K51" s="47">
        <f>ROUND(供應率ALL!E13,1)</f>
        <v>0</v>
      </c>
      <c r="L51" s="47">
        <f>ROUND(供應率ALL!F13,1)</f>
        <v>97.2</v>
      </c>
      <c r="M51" s="47">
        <f>ROUND(供應率ALL!G13,1)</f>
        <v>96.4</v>
      </c>
      <c r="N51" s="47">
        <f>ROUND(供應率ALL!H13,1)</f>
        <v>94.3</v>
      </c>
      <c r="O51" s="47">
        <f>ROUND(供應率ALL!I13,1)</f>
        <v>96.7</v>
      </c>
      <c r="P51" s="47">
        <f>ROUND(供應率ALL!J13,1)</f>
        <v>97.3</v>
      </c>
      <c r="Q51" s="47">
        <f>ROUND(供應率ALL!K13,1)</f>
        <v>97</v>
      </c>
      <c r="R51" s="47">
        <f>ROUND(供應率ALL!L13,1)</f>
        <v>0</v>
      </c>
      <c r="S51" s="47">
        <f>ROUND(供應率ALL!M13,1)</f>
        <v>96</v>
      </c>
      <c r="T51" s="47">
        <f>ROUND(供應率ALL!N13,1)</f>
        <v>97.9</v>
      </c>
      <c r="U51" s="47">
        <f>ROUND(供應率ALL!O13,1)</f>
        <v>95.8</v>
      </c>
      <c r="V51" s="47">
        <f>ROUND(供應率ALL!P13,1)</f>
        <v>94.7</v>
      </c>
      <c r="W51" s="47">
        <f>ROUND(供應率ALL!Q13,1)</f>
        <v>95</v>
      </c>
      <c r="X51" s="47">
        <f>ROUND(供應率ALL!R13,1)</f>
        <v>95.3</v>
      </c>
      <c r="Y51" s="47">
        <f>ROUND(供應率ALL!S13,1)</f>
        <v>0</v>
      </c>
      <c r="Z51" s="47">
        <f>ROUND(供應率ALL!T13,1)</f>
        <v>95.7</v>
      </c>
      <c r="AA51" s="47">
        <f>ROUND(供應率ALL!U13,1)</f>
        <v>94.6</v>
      </c>
      <c r="AB51" s="47">
        <f>ROUND(供應率ALL!V13,1)</f>
        <v>95</v>
      </c>
      <c r="AC51" s="47">
        <f>ROUND(供應率ALL!W13,1)</f>
        <v>97.1</v>
      </c>
      <c r="AD51" s="47">
        <f>ROUND(供應率ALL!X13,1)</f>
        <v>94.5</v>
      </c>
      <c r="AE51" s="47">
        <f>ROUND(供應率ALL!Y13,1)</f>
        <v>0</v>
      </c>
      <c r="AF51" s="47">
        <f>ROUND(供應率ALL!Z13,1)</f>
        <v>0</v>
      </c>
      <c r="AG51" s="47">
        <f>ROUND(供應率ALL!AA13,1)</f>
        <v>93.2</v>
      </c>
      <c r="AH51" s="47">
        <f>ROUND(供應率ALL!AB13,1)</f>
        <v>93.6</v>
      </c>
      <c r="AI51" s="47">
        <f>ROUND(供應率ALL!AC13,1)</f>
        <v>94.5</v>
      </c>
      <c r="AJ51" s="47">
        <f>ROUND(供應率ALL!AD13,1)</f>
        <v>96.1</v>
      </c>
      <c r="AK51" s="47">
        <f>ROUND(供應率ALL!AE13,1)</f>
        <v>93.3</v>
      </c>
      <c r="AL51" s="47">
        <f>ROUND(供應率ALL!AF13,1)</f>
        <v>94.3</v>
      </c>
      <c r="AM51" s="47">
        <f>ROUND(供應率ALL!AG13,1)</f>
        <v>0</v>
      </c>
      <c r="AN51" s="214">
        <f>ROUND(供應率ALL!AH13,1)</f>
        <v>95.6</v>
      </c>
      <c r="AO51" s="48"/>
    </row>
    <row r="52" spans="1:41" s="14" customFormat="1" ht="21.95" customHeight="1">
      <c r="A52" s="626" t="s">
        <v>27</v>
      </c>
      <c r="B52" s="627"/>
      <c r="C52" s="628"/>
      <c r="D52" s="44">
        <f>HLOOKUP(MONTH(日期!$C$2),去年月推移!$D$1:$O$200,110,TRUE)</f>
        <v>96.433989999999994</v>
      </c>
      <c r="E52" s="50">
        <v>95</v>
      </c>
      <c r="F52" s="51"/>
      <c r="G52" s="637">
        <f>ROUND(當年月推移!P111,1)</f>
        <v>93</v>
      </c>
      <c r="H52" s="638"/>
      <c r="I52" s="47">
        <f>ROUND(供應率ALL!C14,1)</f>
        <v>96.4</v>
      </c>
      <c r="J52" s="47">
        <f>ROUND(供應率ALL!D14,1)</f>
        <v>96.9</v>
      </c>
      <c r="K52" s="47">
        <f>ROUND(供應率ALL!E14,1)</f>
        <v>0</v>
      </c>
      <c r="L52" s="47">
        <f>ROUND(供應率ALL!F14,1)</f>
        <v>89.3</v>
      </c>
      <c r="M52" s="47">
        <f>ROUND(供應率ALL!G14,1)</f>
        <v>92.6</v>
      </c>
      <c r="N52" s="47">
        <f>ROUND(供應率ALL!H14,1)</f>
        <v>90.3</v>
      </c>
      <c r="O52" s="47">
        <f>ROUND(供應率ALL!I14,1)</f>
        <v>87.6</v>
      </c>
      <c r="P52" s="47">
        <f>ROUND(供應率ALL!J14,1)</f>
        <v>100</v>
      </c>
      <c r="Q52" s="47">
        <f>ROUND(供應率ALL!K14,1)</f>
        <v>100</v>
      </c>
      <c r="R52" s="47">
        <f>ROUND(供應率ALL!L14,1)</f>
        <v>0</v>
      </c>
      <c r="S52" s="47">
        <f>ROUND(供應率ALL!M14,1)</f>
        <v>100</v>
      </c>
      <c r="T52" s="47">
        <f>ROUND(供應率ALL!N14,1)</f>
        <v>94.2</v>
      </c>
      <c r="U52" s="47">
        <f>ROUND(供應率ALL!O14,1)</f>
        <v>94</v>
      </c>
      <c r="V52" s="47">
        <f>ROUND(供應率ALL!P14,1)</f>
        <v>88.7</v>
      </c>
      <c r="W52" s="47">
        <f>ROUND(供應率ALL!Q14,1)</f>
        <v>91.3</v>
      </c>
      <c r="X52" s="47">
        <f>ROUND(供應率ALL!R14,1)</f>
        <v>93.5</v>
      </c>
      <c r="Y52" s="47">
        <f>ROUND(供應率ALL!S14,1)</f>
        <v>0</v>
      </c>
      <c r="Z52" s="47">
        <f>ROUND(供應率ALL!T14,1)</f>
        <v>98.2</v>
      </c>
      <c r="AA52" s="47">
        <f>ROUND(供應率ALL!U14,1)</f>
        <v>94.9</v>
      </c>
      <c r="AB52" s="47">
        <f>ROUND(供應率ALL!V14,1)</f>
        <v>98.6</v>
      </c>
      <c r="AC52" s="47">
        <f>ROUND(供應率ALL!W14,1)</f>
        <v>92.5</v>
      </c>
      <c r="AD52" s="47">
        <f>ROUND(供應率ALL!X14,1)</f>
        <v>88.1</v>
      </c>
      <c r="AE52" s="47">
        <f>ROUND(供應率ALL!Y14,1)</f>
        <v>0</v>
      </c>
      <c r="AF52" s="47">
        <f>ROUND(供應率ALL!Z14,1)</f>
        <v>0</v>
      </c>
      <c r="AG52" s="47">
        <f>ROUND(供應率ALL!AA14,1)</f>
        <v>91.1</v>
      </c>
      <c r="AH52" s="47">
        <f>ROUND(供應率ALL!AB14,1)</f>
        <v>94.4</v>
      </c>
      <c r="AI52" s="47">
        <f>ROUND(供應率ALL!AC14,1)</f>
        <v>98.3</v>
      </c>
      <c r="AJ52" s="47">
        <f>ROUND(供應率ALL!AD14,1)</f>
        <v>91.5</v>
      </c>
      <c r="AK52" s="47">
        <f>ROUND(供應率ALL!AE14,1)</f>
        <v>91</v>
      </c>
      <c r="AL52" s="47">
        <f>ROUND(供應率ALL!AF14,1)</f>
        <v>93</v>
      </c>
      <c r="AM52" s="47">
        <f>ROUND(供應率ALL!AG14,1)</f>
        <v>0</v>
      </c>
      <c r="AN52" s="214">
        <f>ROUND(供應率ALL!AH14,1)</f>
        <v>93.8</v>
      </c>
      <c r="AO52" s="48"/>
    </row>
    <row r="53" spans="1:41" s="14" customFormat="1" ht="21.95" customHeight="1">
      <c r="A53" s="626" t="s">
        <v>28</v>
      </c>
      <c r="B53" s="627"/>
      <c r="C53" s="628"/>
      <c r="D53" s="44">
        <f>HLOOKUP(MONTH(日期!$C$2),去年月推移!$D$1:$O$200,111,TRUE)</f>
        <v>33.333333000000003</v>
      </c>
      <c r="E53" s="50"/>
      <c r="F53" s="51"/>
      <c r="G53" s="637">
        <f>ROUND(當年月推移!P112,1)</f>
        <v>21.4</v>
      </c>
      <c r="H53" s="638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100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100</v>
      </c>
      <c r="AO53" s="48"/>
    </row>
    <row r="54" spans="1:41" s="42" customFormat="1" ht="21.95" customHeight="1" thickBot="1">
      <c r="A54" s="579" t="s">
        <v>50</v>
      </c>
      <c r="B54" s="580"/>
      <c r="C54" s="580"/>
      <c r="D54" s="231">
        <f>HLOOKUP(MONTH(日期!$C$2),去年月推移!$D$1:$O$200,112,TRUE)</f>
        <v>96.650969000000003</v>
      </c>
      <c r="E54" s="52"/>
      <c r="F54" s="53" t="s">
        <v>45</v>
      </c>
      <c r="G54" s="629">
        <f>ROUND(當年月推移!P113,1)</f>
        <v>97.7</v>
      </c>
      <c r="H54" s="630"/>
      <c r="I54" s="242">
        <f>ROUND(供應率ALL!C16,1)</f>
        <v>98.4</v>
      </c>
      <c r="J54" s="242">
        <f>ROUND(供應率ALL!D16,1)</f>
        <v>98.1</v>
      </c>
      <c r="K54" s="242">
        <f>ROUND(供應率ALL!E16,1)</f>
        <v>0</v>
      </c>
      <c r="L54" s="242">
        <f>ROUND(供應率ALL!F16,1)</f>
        <v>97.7</v>
      </c>
      <c r="M54" s="242">
        <f>ROUND(供應率ALL!G16,1)</f>
        <v>97.5</v>
      </c>
      <c r="N54" s="242">
        <f>ROUND(供應率ALL!H16,1)</f>
        <v>96.8</v>
      </c>
      <c r="O54" s="242">
        <f>ROUND(供應率ALL!I16,1)</f>
        <v>97.7</v>
      </c>
      <c r="P54" s="242">
        <f>ROUND(供應率ALL!J16,1)</f>
        <v>98.1</v>
      </c>
      <c r="Q54" s="242">
        <f>ROUND(供應率ALL!K16,1)</f>
        <v>98.5</v>
      </c>
      <c r="R54" s="242">
        <f>ROUND(供應率ALL!L16,1)</f>
        <v>0</v>
      </c>
      <c r="S54" s="242">
        <f>ROUND(供應率ALL!M16,1)</f>
        <v>97.9</v>
      </c>
      <c r="T54" s="242">
        <f>ROUND(供應率ALL!N16,1)</f>
        <v>98.6</v>
      </c>
      <c r="U54" s="242">
        <f>ROUND(供應率ALL!O16,1)</f>
        <v>98</v>
      </c>
      <c r="V54" s="242">
        <f>ROUND(供應率ALL!P16,1)</f>
        <v>97.5</v>
      </c>
      <c r="W54" s="242">
        <f>ROUND(供應率ALL!Q16,1)</f>
        <v>97.6</v>
      </c>
      <c r="X54" s="242">
        <f>ROUND(供應率ALL!R16,1)</f>
        <v>97.7</v>
      </c>
      <c r="Y54" s="242">
        <f>ROUND(供應率ALL!S16,1)</f>
        <v>0</v>
      </c>
      <c r="Z54" s="242">
        <f>ROUND(供應率ALL!T16,1)</f>
        <v>98</v>
      </c>
      <c r="AA54" s="242">
        <f>ROUND(供應率ALL!U16,1)</f>
        <v>97.3</v>
      </c>
      <c r="AB54" s="242">
        <f>ROUND(供應率ALL!V16,1)</f>
        <v>97.8</v>
      </c>
      <c r="AC54" s="242">
        <f>ROUND(供應率ALL!W16,1)</f>
        <v>97.4</v>
      </c>
      <c r="AD54" s="242">
        <f>ROUND(供應率ALL!X16,1)</f>
        <v>97.7</v>
      </c>
      <c r="AE54" s="242">
        <f>ROUND(供應率ALL!Y16,1)</f>
        <v>0</v>
      </c>
      <c r="AF54" s="242">
        <f>ROUND(供應率ALL!Z16,1)</f>
        <v>0</v>
      </c>
      <c r="AG54" s="242">
        <f>ROUND(供應率ALL!AA16,1)</f>
        <v>96.5</v>
      </c>
      <c r="AH54" s="242">
        <f>ROUND(供應率ALL!AB16,1)</f>
        <v>97</v>
      </c>
      <c r="AI54" s="242">
        <f>ROUND(供應率ALL!AC16,1)</f>
        <v>96.9</v>
      </c>
      <c r="AJ54" s="242">
        <f>ROUND(供應率ALL!AD16,1)</f>
        <v>97.9</v>
      </c>
      <c r="AK54" s="242">
        <f>ROUND(供應率ALL!AE16,1)</f>
        <v>96.7</v>
      </c>
      <c r="AL54" s="242">
        <f>ROUND(供應率ALL!AF16,1)</f>
        <v>96.9</v>
      </c>
      <c r="AM54" s="242">
        <f>ROUND(供應率ALL!AG16,1)</f>
        <v>0</v>
      </c>
      <c r="AN54" s="215">
        <f>ROUND(供應率ALL!AH16,1)</f>
        <v>97.6</v>
      </c>
      <c r="AO54" s="54"/>
    </row>
    <row r="55" spans="1:41" s="42" customFormat="1" ht="21.95" customHeight="1">
      <c r="A55" s="623" t="s">
        <v>31</v>
      </c>
      <c r="B55" s="624"/>
      <c r="C55" s="625"/>
      <c r="D55" s="272">
        <f>HLOOKUP(MONTH(日期!$C$2),去年月推移!$D$1:$O$200,113,TRUE)</f>
        <v>0</v>
      </c>
      <c r="E55" s="267"/>
      <c r="F55" s="267"/>
      <c r="G55" s="590">
        <f>ROUND(當年月推移!P114,1)</f>
        <v>0</v>
      </c>
      <c r="H55" s="591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6" t="s">
        <v>32</v>
      </c>
      <c r="B56" s="627"/>
      <c r="C56" s="628"/>
      <c r="D56" s="49">
        <f>HLOOKUP(MONTH(日期!$C$2),去年月推移!$D$1:$O$200,114,TRUE)</f>
        <v>0</v>
      </c>
      <c r="E56" s="268"/>
      <c r="F56" s="268"/>
      <c r="G56" s="590">
        <f>ROUND(當年月推移!P115,1)</f>
        <v>0</v>
      </c>
      <c r="H56" s="591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6" t="s">
        <v>33</v>
      </c>
      <c r="B57" s="627"/>
      <c r="C57" s="628"/>
      <c r="D57" s="49">
        <f>HLOOKUP(MONTH(日期!$C$2),去年月推移!$D$1:$O$200,115,TRUE)</f>
        <v>0</v>
      </c>
      <c r="E57" s="268"/>
      <c r="F57" s="268"/>
      <c r="G57" s="590">
        <f>ROUND(當年月推移!P116,1)</f>
        <v>0</v>
      </c>
      <c r="H57" s="591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6" t="s">
        <v>34</v>
      </c>
      <c r="B58" s="627"/>
      <c r="C58" s="628"/>
      <c r="D58" s="49">
        <f>HLOOKUP(MONTH(日期!$C$2),去年月推移!$D$1:$O$200,116,TRUE)</f>
        <v>0</v>
      </c>
      <c r="E58" s="268"/>
      <c r="F58" s="268"/>
      <c r="G58" s="590">
        <f>ROUND(當年月推移!P117,1)</f>
        <v>0</v>
      </c>
      <c r="H58" s="591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6" t="s">
        <v>35</v>
      </c>
      <c r="B59" s="627"/>
      <c r="C59" s="628"/>
      <c r="D59" s="243">
        <f>HLOOKUP(MONTH(日期!$C$2),去年月推移!$D$1:$O$200,117,TRUE)</f>
        <v>0</v>
      </c>
      <c r="E59" s="297"/>
      <c r="F59" s="297"/>
      <c r="G59" s="590">
        <f>ROUND(當年月推移!P118,1)</f>
        <v>0</v>
      </c>
      <c r="H59" s="591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523">
        <f>HLOOKUP(MONTH(日期!$C$2),去年月推移!$D$1:$O$200,118,TRUE)</f>
        <v>0</v>
      </c>
      <c r="E60" s="231"/>
      <c r="F60" s="231"/>
      <c r="G60" s="629">
        <f>ROUND(當年月推移!P119,1)</f>
        <v>93.8</v>
      </c>
      <c r="H60" s="630"/>
      <c r="I60" s="242">
        <f>ROUND(供應率ALL!C21,1)</f>
        <v>100</v>
      </c>
      <c r="J60" s="242">
        <f>ROUND(供應率ALL!D21,1)</f>
        <v>100</v>
      </c>
      <c r="K60" s="242">
        <f>ROUND(供應率ALL!E21,1)</f>
        <v>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0</v>
      </c>
      <c r="AF60" s="242">
        <f>ROUND(供應率ALL!Z21,1)</f>
        <v>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6" t="s">
        <v>1</v>
      </c>
      <c r="B63" s="597"/>
      <c r="C63" s="597"/>
      <c r="D63" s="600" t="str">
        <f>D3</f>
        <v>2024/8</v>
      </c>
      <c r="E63" s="633" t="str">
        <f>E3</f>
        <v>2025/8</v>
      </c>
      <c r="F63" s="635"/>
      <c r="G63" s="662">
        <f>YEAR(日期!C2)</f>
        <v>2025</v>
      </c>
      <c r="H63" s="663"/>
      <c r="I63" s="527" t="str">
        <f>日期!C2</f>
        <v>2025/08/01</v>
      </c>
      <c r="J63" s="527" t="str">
        <f>日期!D2</f>
        <v>2025/08/02</v>
      </c>
      <c r="K63" s="527" t="str">
        <f>日期!E2</f>
        <v>2025/08/03</v>
      </c>
      <c r="L63" s="527" t="str">
        <f>日期!F2</f>
        <v>2025/08/04</v>
      </c>
      <c r="M63" s="527" t="str">
        <f>日期!G2</f>
        <v>2025/08/05</v>
      </c>
      <c r="N63" s="527" t="str">
        <f>日期!H2</f>
        <v>2025/08/06</v>
      </c>
      <c r="O63" s="527" t="str">
        <f>日期!I2</f>
        <v>2025/08/07</v>
      </c>
      <c r="P63" s="527" t="str">
        <f>日期!J2</f>
        <v>2025/08/08</v>
      </c>
      <c r="Q63" s="527" t="str">
        <f>日期!K2</f>
        <v>2025/08/09</v>
      </c>
      <c r="R63" s="527" t="str">
        <f>日期!L2</f>
        <v>2025/08/10</v>
      </c>
      <c r="S63" s="527" t="str">
        <f>日期!M2</f>
        <v>2025/08/11</v>
      </c>
      <c r="T63" s="527" t="str">
        <f>日期!N2</f>
        <v>2025/08/12</v>
      </c>
      <c r="U63" s="527" t="str">
        <f>日期!O2</f>
        <v>2025/08/13</v>
      </c>
      <c r="V63" s="527" t="str">
        <f>日期!P2</f>
        <v>2025/08/14</v>
      </c>
      <c r="W63" s="527" t="str">
        <f>日期!Q2</f>
        <v>2025/08/15</v>
      </c>
      <c r="X63" s="527" t="str">
        <f>日期!R2</f>
        <v>2025/08/16</v>
      </c>
      <c r="Y63" s="527" t="str">
        <f>日期!S2</f>
        <v>2025/08/17</v>
      </c>
      <c r="Z63" s="527" t="str">
        <f>日期!T2</f>
        <v>2025/08/18</v>
      </c>
      <c r="AA63" s="527" t="str">
        <f>日期!U2</f>
        <v>2025/08/19</v>
      </c>
      <c r="AB63" s="527" t="str">
        <f>日期!V2</f>
        <v>2025/08/20</v>
      </c>
      <c r="AC63" s="527" t="str">
        <f>日期!W2</f>
        <v>2025/08/21</v>
      </c>
      <c r="AD63" s="527" t="str">
        <f>日期!X2</f>
        <v>2025/08/22</v>
      </c>
      <c r="AE63" s="527" t="str">
        <f>日期!Y2</f>
        <v>2025/08/23</v>
      </c>
      <c r="AF63" s="527" t="str">
        <f>日期!Z2</f>
        <v>2025/08/24</v>
      </c>
      <c r="AG63" s="527" t="str">
        <f>日期!AA2</f>
        <v>2025/08/25</v>
      </c>
      <c r="AH63" s="527" t="str">
        <f>日期!AB2</f>
        <v>2025/08/26</v>
      </c>
      <c r="AI63" s="527" t="str">
        <f>日期!AC2</f>
        <v>2025/08/27</v>
      </c>
      <c r="AJ63" s="527" t="str">
        <f>日期!AD2</f>
        <v>2025/08/28</v>
      </c>
      <c r="AK63" s="527" t="str">
        <f>日期!AE2</f>
        <v>2025/08/29</v>
      </c>
      <c r="AL63" s="527" t="str">
        <f>日期!AF2</f>
        <v>2025/08/30</v>
      </c>
      <c r="AM63" s="527" t="str">
        <f>日期!AG2</f>
        <v>2025/08/31</v>
      </c>
      <c r="AN63" s="592" t="s">
        <v>42</v>
      </c>
    </row>
    <row r="64" spans="1:41" s="14" customFormat="1" ht="22.7" customHeight="1" thickBot="1">
      <c r="A64" s="631"/>
      <c r="B64" s="632"/>
      <c r="C64" s="632"/>
      <c r="D64" s="601"/>
      <c r="E64" s="634"/>
      <c r="F64" s="636"/>
      <c r="G64" s="664" t="s">
        <v>43</v>
      </c>
      <c r="H64" s="665"/>
      <c r="I64" s="12" t="str">
        <f>日期!C3</f>
        <v>Fri</v>
      </c>
      <c r="J64" s="12" t="str">
        <f>日期!D3</f>
        <v>Sat</v>
      </c>
      <c r="K64" s="12" t="str">
        <f>日期!E3</f>
        <v>Sun</v>
      </c>
      <c r="L64" s="12" t="str">
        <f>日期!F3</f>
        <v>Mon</v>
      </c>
      <c r="M64" s="12" t="str">
        <f>日期!G3</f>
        <v>Tue</v>
      </c>
      <c r="N64" s="12" t="str">
        <f>日期!H3</f>
        <v>Wed</v>
      </c>
      <c r="O64" s="12" t="str">
        <f>日期!I3</f>
        <v>Thu</v>
      </c>
      <c r="P64" s="12" t="str">
        <f>日期!J3</f>
        <v>Fri</v>
      </c>
      <c r="Q64" s="12" t="str">
        <f>日期!K3</f>
        <v>Sat</v>
      </c>
      <c r="R64" s="12" t="str">
        <f>日期!L3</f>
        <v>Sun</v>
      </c>
      <c r="S64" s="12" t="str">
        <f>日期!M3</f>
        <v>Mon</v>
      </c>
      <c r="T64" s="12" t="str">
        <f>日期!N3</f>
        <v>Tue</v>
      </c>
      <c r="U64" s="12" t="str">
        <f>日期!O3</f>
        <v>Wed</v>
      </c>
      <c r="V64" s="12" t="str">
        <f>日期!P3</f>
        <v>Thu</v>
      </c>
      <c r="W64" s="12" t="str">
        <f>日期!Q3</f>
        <v>Fri</v>
      </c>
      <c r="X64" s="12" t="str">
        <f>日期!R3</f>
        <v>Sat</v>
      </c>
      <c r="Y64" s="12" t="str">
        <f>日期!S3</f>
        <v>Sun</v>
      </c>
      <c r="Z64" s="12" t="str">
        <f>日期!T3</f>
        <v>Mon</v>
      </c>
      <c r="AA64" s="12" t="str">
        <f>日期!U3</f>
        <v>Tue</v>
      </c>
      <c r="AB64" s="12" t="str">
        <f>日期!V3</f>
        <v>Wed</v>
      </c>
      <c r="AC64" s="12" t="str">
        <f>日期!W3</f>
        <v>Thu</v>
      </c>
      <c r="AD64" s="12" t="str">
        <f>日期!X3</f>
        <v>Fri</v>
      </c>
      <c r="AE64" s="12" t="str">
        <f>日期!Y3</f>
        <v>Sat</v>
      </c>
      <c r="AF64" s="12" t="str">
        <f>日期!Z3</f>
        <v>Sun</v>
      </c>
      <c r="AG64" s="12" t="str">
        <f>日期!AA3</f>
        <v>Mon</v>
      </c>
      <c r="AH64" s="12" t="str">
        <f>日期!AB3</f>
        <v>Tue</v>
      </c>
      <c r="AI64" s="12" t="str">
        <f>日期!AC3</f>
        <v>Wed</v>
      </c>
      <c r="AJ64" s="12" t="str">
        <f>日期!AD3</f>
        <v>Thu</v>
      </c>
      <c r="AK64" s="12" t="str">
        <f>日期!AE3</f>
        <v>Fri</v>
      </c>
      <c r="AL64" s="12" t="str">
        <f>日期!AF3</f>
        <v>Sat</v>
      </c>
      <c r="AM64" s="12" t="str">
        <f>日期!AG3</f>
        <v>Sun</v>
      </c>
      <c r="AN64" s="593"/>
    </row>
    <row r="65" spans="1:41" s="11" customFormat="1" ht="21.95" customHeight="1">
      <c r="A65" s="619" t="s">
        <v>52</v>
      </c>
      <c r="B65" s="620"/>
      <c r="C65" s="620"/>
      <c r="D65" s="313">
        <f>HLOOKUP(MONTH(日期!$C$2),去年月推移!$D$1:$O$200,122,TRUE)</f>
        <v>97.408913999999996</v>
      </c>
      <c r="E65" s="272">
        <v>98</v>
      </c>
      <c r="F65" s="272" t="s">
        <v>45</v>
      </c>
      <c r="G65" s="621">
        <f>ROUND(當年月推移!P124,1)</f>
        <v>98.2</v>
      </c>
      <c r="H65" s="622"/>
      <c r="I65" s="245">
        <f>ROUND(供應率!D2,1)</f>
        <v>97.7</v>
      </c>
      <c r="J65" s="245">
        <f>ROUND(供應率!E2,1)</f>
        <v>97</v>
      </c>
      <c r="K65" s="245">
        <f>ROUND(供應率!F2,1)</f>
        <v>0</v>
      </c>
      <c r="L65" s="245">
        <f>ROUND(供應率!G2,1)</f>
        <v>97.3</v>
      </c>
      <c r="M65" s="245">
        <f>ROUND(供應率!H2,1)</f>
        <v>97.3</v>
      </c>
      <c r="N65" s="245">
        <f>ROUND(供應率!I2,1)</f>
        <v>97.1</v>
      </c>
      <c r="O65" s="245">
        <f>ROUND(供應率!J2,1)</f>
        <v>96.6</v>
      </c>
      <c r="P65" s="245">
        <f>ROUND(供應率!K2,1)</f>
        <v>97.5</v>
      </c>
      <c r="Q65" s="245">
        <f>ROUND(供應率!L2,1)</f>
        <v>97.9</v>
      </c>
      <c r="R65" s="245">
        <f>ROUND(供應率!M2,1)</f>
        <v>0</v>
      </c>
      <c r="S65" s="245">
        <f>ROUND(供應率!N2,1)</f>
        <v>97.2</v>
      </c>
      <c r="T65" s="245">
        <f>ROUND(供應率!O2,1)</f>
        <v>97.9</v>
      </c>
      <c r="U65" s="245">
        <f>ROUND(供應率!P2,1)</f>
        <v>97.2</v>
      </c>
      <c r="V65" s="245">
        <f>ROUND(供應率!Q2,1)</f>
        <v>97.5</v>
      </c>
      <c r="W65" s="245">
        <f>ROUND(供應率!R2,1)</f>
        <v>98.4</v>
      </c>
      <c r="X65" s="245">
        <f>ROUND(供應率!S2,1)</f>
        <v>98.6</v>
      </c>
      <c r="Y65" s="245">
        <f>ROUND(供應率!T2,1)</f>
        <v>0</v>
      </c>
      <c r="Z65" s="245">
        <f>ROUND(供應率!U2,1)</f>
        <v>98</v>
      </c>
      <c r="AA65" s="245">
        <f>ROUND(供應率!V2,1)</f>
        <v>97.6</v>
      </c>
      <c r="AB65" s="245">
        <f>ROUND(供應率!W2,1)</f>
        <v>97.9</v>
      </c>
      <c r="AC65" s="245">
        <f>ROUND(供應率!X2,1)</f>
        <v>97.7</v>
      </c>
      <c r="AD65" s="245">
        <f>ROUND(供應率!Y2,1)</f>
        <v>98</v>
      </c>
      <c r="AE65" s="245">
        <f>ROUND(供應率!Z2,1)</f>
        <v>100</v>
      </c>
      <c r="AF65" s="245">
        <f>ROUND(供應率!AA2,1)</f>
        <v>0</v>
      </c>
      <c r="AG65" s="245">
        <f>ROUND(供應率!AB2,1)</f>
        <v>98</v>
      </c>
      <c r="AH65" s="245">
        <f>ROUND(供應率!AC2,1)</f>
        <v>98.1</v>
      </c>
      <c r="AI65" s="245">
        <f>ROUND(供應率!AD2,1)</f>
        <v>98</v>
      </c>
      <c r="AJ65" s="245">
        <f>ROUND(供應率!AE2,1)</f>
        <v>97.8</v>
      </c>
      <c r="AK65" s="245">
        <f>ROUND(供應率!AF2,1)</f>
        <v>98.6</v>
      </c>
      <c r="AL65" s="245">
        <f>ROUND(供應率!AG2,1)</f>
        <v>98.9</v>
      </c>
      <c r="AM65" s="245">
        <f>ROUND(供應率!AH2,1)</f>
        <v>0</v>
      </c>
      <c r="AN65" s="213">
        <f>ROUND(供應率!AI2,1)</f>
        <v>97.7</v>
      </c>
      <c r="AO65" s="55"/>
    </row>
    <row r="66" spans="1:41" s="11" customFormat="1" ht="21.95" customHeight="1">
      <c r="A66" s="572" t="s">
        <v>53</v>
      </c>
      <c r="B66" s="573"/>
      <c r="C66" s="573"/>
      <c r="D66" s="311">
        <f>HLOOKUP(MONTH(日期!$C$2),去年月推移!$D$1:$O$200,123,TRUE)</f>
        <v>98.790301999999997</v>
      </c>
      <c r="E66" s="49">
        <v>98</v>
      </c>
      <c r="F66" s="49" t="s">
        <v>45</v>
      </c>
      <c r="G66" s="590">
        <f>ROUND(當年月推移!P125,1)</f>
        <v>98.3</v>
      </c>
      <c r="H66" s="591"/>
      <c r="I66" s="47">
        <f>ROUND(供應率!D3,1)</f>
        <v>97.6</v>
      </c>
      <c r="J66" s="47">
        <f>ROUND(供應率!E3,1)</f>
        <v>98</v>
      </c>
      <c r="K66" s="47">
        <f>ROUND(供應率!F3,1)</f>
        <v>0</v>
      </c>
      <c r="L66" s="47">
        <f>ROUND(供應率!G3,1)</f>
        <v>98.4</v>
      </c>
      <c r="M66" s="47">
        <f>ROUND(供應率!H3,1)</f>
        <v>97.8</v>
      </c>
      <c r="N66" s="47">
        <f>ROUND(供應率!I3,1)</f>
        <v>97.9</v>
      </c>
      <c r="O66" s="47">
        <f>ROUND(供應率!J3,1)</f>
        <v>97.6</v>
      </c>
      <c r="P66" s="47">
        <f>ROUND(供應率!K3,1)</f>
        <v>97.6</v>
      </c>
      <c r="Q66" s="47">
        <f>ROUND(供應率!L3,1)</f>
        <v>98.2</v>
      </c>
      <c r="R66" s="47">
        <f>ROUND(供應率!M3,1)</f>
        <v>0</v>
      </c>
      <c r="S66" s="47">
        <f>ROUND(供應率!N3,1)</f>
        <v>97.7</v>
      </c>
      <c r="T66" s="47">
        <f>ROUND(供應率!O3,1)</f>
        <v>98</v>
      </c>
      <c r="U66" s="47">
        <f>ROUND(供應率!P3,1)</f>
        <v>98.3</v>
      </c>
      <c r="V66" s="47">
        <f>ROUND(供應率!Q3,1)</f>
        <v>98.5</v>
      </c>
      <c r="W66" s="47">
        <f>ROUND(供應率!R3,1)</f>
        <v>98.8</v>
      </c>
      <c r="X66" s="47">
        <f>ROUND(供應率!S3,1)</f>
        <v>98.9</v>
      </c>
      <c r="Y66" s="47">
        <f>ROUND(供應率!T3,1)</f>
        <v>0</v>
      </c>
      <c r="Z66" s="47">
        <f>ROUND(供應率!U3,1)</f>
        <v>98.9</v>
      </c>
      <c r="AA66" s="47">
        <f>ROUND(供應率!V3,1)</f>
        <v>98.3</v>
      </c>
      <c r="AB66" s="47">
        <f>ROUND(供應率!W3,1)</f>
        <v>98.8</v>
      </c>
      <c r="AC66" s="47">
        <f>ROUND(供應率!X3,1)</f>
        <v>98.4</v>
      </c>
      <c r="AD66" s="47">
        <f>ROUND(供應率!Y3,1)</f>
        <v>98.4</v>
      </c>
      <c r="AE66" s="47">
        <f>ROUND(供應率!Z3,1)</f>
        <v>100</v>
      </c>
      <c r="AF66" s="47">
        <f>ROUND(供應率!AA3,1)</f>
        <v>0</v>
      </c>
      <c r="AG66" s="47">
        <f>ROUND(供應率!AB3,1)</f>
        <v>98.6</v>
      </c>
      <c r="AH66" s="47">
        <f>ROUND(供應率!AC3,1)</f>
        <v>98.2</v>
      </c>
      <c r="AI66" s="47">
        <f>ROUND(供應率!AD3,1)</f>
        <v>98.7</v>
      </c>
      <c r="AJ66" s="47">
        <f>ROUND(供應率!AE3,1)</f>
        <v>98.6</v>
      </c>
      <c r="AK66" s="47">
        <f>ROUND(供應率!AF3,1)</f>
        <v>98.3</v>
      </c>
      <c r="AL66" s="47">
        <f>ROUND(供應率!AG3,1)</f>
        <v>98.8</v>
      </c>
      <c r="AM66" s="47">
        <f>ROUND(供應率!AH3,1)</f>
        <v>0</v>
      </c>
      <c r="AN66" s="214">
        <f>ROUND(供應率!AI3,1)</f>
        <v>98.3</v>
      </c>
      <c r="AO66" s="55"/>
    </row>
    <row r="67" spans="1:41" s="11" customFormat="1" ht="21.95" customHeight="1">
      <c r="A67" s="572" t="s">
        <v>54</v>
      </c>
      <c r="B67" s="573"/>
      <c r="C67" s="573"/>
      <c r="D67" s="311">
        <f>HLOOKUP(MONTH(日期!$C$2),去年月推移!$D$1:$O$200,124,TRUE)</f>
        <v>99.229211000000006</v>
      </c>
      <c r="E67" s="49">
        <v>99.2</v>
      </c>
      <c r="F67" s="49" t="s">
        <v>45</v>
      </c>
      <c r="G67" s="590">
        <f>ROUND(當年月推移!P126,1)</f>
        <v>99.3</v>
      </c>
      <c r="H67" s="591"/>
      <c r="I67" s="47">
        <f>ROUND(供應率!D4,1)</f>
        <v>98.8</v>
      </c>
      <c r="J67" s="47">
        <f>ROUND(供應率!E4,1)</f>
        <v>99.2</v>
      </c>
      <c r="K67" s="47">
        <f>ROUND(供應率!F4,1)</f>
        <v>0</v>
      </c>
      <c r="L67" s="47">
        <f>ROUND(供應率!G4,1)</f>
        <v>98.5</v>
      </c>
      <c r="M67" s="47">
        <f>ROUND(供應率!H4,1)</f>
        <v>98.7</v>
      </c>
      <c r="N67" s="47">
        <f>ROUND(供應率!I4,1)</f>
        <v>98.2</v>
      </c>
      <c r="O67" s="47">
        <f>ROUND(供應率!J4,1)</f>
        <v>99.1</v>
      </c>
      <c r="P67" s="47">
        <f>ROUND(供應率!K4,1)</f>
        <v>99.5</v>
      </c>
      <c r="Q67" s="47">
        <f>ROUND(供應率!L4,1)</f>
        <v>99.4</v>
      </c>
      <c r="R67" s="47">
        <f>ROUND(供應率!M4,1)</f>
        <v>0</v>
      </c>
      <c r="S67" s="47">
        <f>ROUND(供應率!N4,1)</f>
        <v>99.2</v>
      </c>
      <c r="T67" s="47">
        <f>ROUND(供應率!O4,1)</f>
        <v>98.8</v>
      </c>
      <c r="U67" s="47">
        <f>ROUND(供應率!P4,1)</f>
        <v>98.3</v>
      </c>
      <c r="V67" s="47">
        <f>ROUND(供應率!Q4,1)</f>
        <v>99.5</v>
      </c>
      <c r="W67" s="47">
        <f>ROUND(供應率!R4,1)</f>
        <v>99.2</v>
      </c>
      <c r="X67" s="47">
        <f>ROUND(供應率!S4,1)</f>
        <v>99.5</v>
      </c>
      <c r="Y67" s="47">
        <f>ROUND(供應率!T4,1)</f>
        <v>0</v>
      </c>
      <c r="Z67" s="47">
        <f>ROUND(供應率!U4,1)</f>
        <v>99.5</v>
      </c>
      <c r="AA67" s="47">
        <f>ROUND(供應率!V4,1)</f>
        <v>99.7</v>
      </c>
      <c r="AB67" s="47">
        <f>ROUND(供應率!W4,1)</f>
        <v>99.2</v>
      </c>
      <c r="AC67" s="47">
        <f>ROUND(供應率!X4,1)</f>
        <v>99.6</v>
      </c>
      <c r="AD67" s="47">
        <f>ROUND(供應率!Y4,1)</f>
        <v>99.2</v>
      </c>
      <c r="AE67" s="47">
        <f>ROUND(供應率!Z4,1)</f>
        <v>100</v>
      </c>
      <c r="AF67" s="47">
        <f>ROUND(供應率!AA4,1)</f>
        <v>0</v>
      </c>
      <c r="AG67" s="47">
        <f>ROUND(供應率!AB4,1)</f>
        <v>99.3</v>
      </c>
      <c r="AH67" s="47">
        <f>ROUND(供應率!AC4,1)</f>
        <v>99</v>
      </c>
      <c r="AI67" s="47">
        <f>ROUND(供應率!AD4,1)</f>
        <v>98.5</v>
      </c>
      <c r="AJ67" s="47">
        <f>ROUND(供應率!AE4,1)</f>
        <v>98.6</v>
      </c>
      <c r="AK67" s="47">
        <f>ROUND(供應率!AF4,1)</f>
        <v>99.2</v>
      </c>
      <c r="AL67" s="47">
        <f>ROUND(供應率!AG4,1)</f>
        <v>99.6</v>
      </c>
      <c r="AM67" s="47">
        <f>ROUND(供應率!AH4,1)</f>
        <v>0</v>
      </c>
      <c r="AN67" s="214">
        <f>ROUND(供應率!AI4,1)</f>
        <v>99.1</v>
      </c>
      <c r="AO67" s="55"/>
    </row>
    <row r="68" spans="1:41" s="11" customFormat="1" ht="21.95" customHeight="1">
      <c r="A68" s="607" t="s">
        <v>55</v>
      </c>
      <c r="B68" s="608"/>
      <c r="C68" s="609"/>
      <c r="D68" s="319">
        <f>HLOOKUP(MONTH(日期!$C$2),去年月推移!$D$1:$O$200,125,TRUE)</f>
        <v>98.241435999999993</v>
      </c>
      <c r="E68" s="56">
        <v>98.1</v>
      </c>
      <c r="F68" s="56" t="s">
        <v>45</v>
      </c>
      <c r="G68" s="610">
        <f>ROUND(當年月推移!P127,1)</f>
        <v>98.4</v>
      </c>
      <c r="H68" s="611"/>
      <c r="I68" s="57">
        <f>ROUND(供應率!D5,1)</f>
        <v>97.8</v>
      </c>
      <c r="J68" s="57">
        <f>ROUND(供應率!E5,1)</f>
        <v>97.7</v>
      </c>
      <c r="K68" s="57">
        <f>ROUND(供應率!F5,1)</f>
        <v>0</v>
      </c>
      <c r="L68" s="57">
        <f>ROUND(供應率!G5,1)</f>
        <v>97.9</v>
      </c>
      <c r="M68" s="57">
        <f>ROUND(供應率!H5,1)</f>
        <v>97.7</v>
      </c>
      <c r="N68" s="57">
        <f>ROUND(供應率!I5,1)</f>
        <v>97.6</v>
      </c>
      <c r="O68" s="57">
        <f>ROUND(供應率!J5,1)</f>
        <v>97.4</v>
      </c>
      <c r="P68" s="57">
        <f>ROUND(供應率!K5,1)</f>
        <v>97.8</v>
      </c>
      <c r="Q68" s="57">
        <f>ROUND(供應率!L5,1)</f>
        <v>98.2</v>
      </c>
      <c r="R68" s="57">
        <f>ROUND(供應率!M5,1)</f>
        <v>0</v>
      </c>
      <c r="S68" s="57">
        <f>ROUND(供應率!N5,1)</f>
        <v>97.7</v>
      </c>
      <c r="T68" s="57">
        <f>ROUND(供應率!O5,1)</f>
        <v>98.1</v>
      </c>
      <c r="U68" s="57">
        <f>ROUND(供應率!P5,1)</f>
        <v>97.8</v>
      </c>
      <c r="V68" s="57">
        <f>ROUND(供應率!Q5,1)</f>
        <v>98.2</v>
      </c>
      <c r="W68" s="57">
        <f>ROUND(供應率!R5,1)</f>
        <v>98.7</v>
      </c>
      <c r="X68" s="57">
        <f>ROUND(供應率!S5,1)</f>
        <v>98.8</v>
      </c>
      <c r="Y68" s="57">
        <f>ROUND(供應率!T5,1)</f>
        <v>0</v>
      </c>
      <c r="Z68" s="57">
        <f>ROUND(供應率!U5,1)</f>
        <v>98.6</v>
      </c>
      <c r="AA68" s="57">
        <f>ROUND(供應率!V5,1)</f>
        <v>98.1</v>
      </c>
      <c r="AB68" s="57">
        <f>ROUND(供應率!W5,1)</f>
        <v>98.4</v>
      </c>
      <c r="AC68" s="57">
        <f>ROUND(供應率!X5,1)</f>
        <v>98.2</v>
      </c>
      <c r="AD68" s="57">
        <f>ROUND(供應率!Y5,1)</f>
        <v>98.3</v>
      </c>
      <c r="AE68" s="57">
        <f>ROUND(供應率!Z5,1)</f>
        <v>100</v>
      </c>
      <c r="AF68" s="57">
        <f>ROUND(供應率!AA5,1)</f>
        <v>0</v>
      </c>
      <c r="AG68" s="57">
        <f>ROUND(供應率!AB5,1)</f>
        <v>98.4</v>
      </c>
      <c r="AH68" s="57">
        <f>ROUND(供應率!AC5,1)</f>
        <v>98.2</v>
      </c>
      <c r="AI68" s="57">
        <f>ROUND(供應率!AD5,1)</f>
        <v>98.4</v>
      </c>
      <c r="AJ68" s="57">
        <f>ROUND(供應率!AE5,1)</f>
        <v>98.2</v>
      </c>
      <c r="AK68" s="57">
        <f>ROUND(供應率!AF5,1)</f>
        <v>98.5</v>
      </c>
      <c r="AL68" s="57">
        <f>ROUND(供應率!AG5,1)</f>
        <v>99</v>
      </c>
      <c r="AM68" s="57">
        <f>ROUND(供應率!AH5,1)</f>
        <v>0</v>
      </c>
      <c r="AN68" s="216">
        <f>ROUND(供應率!AI5,1)</f>
        <v>98.1</v>
      </c>
      <c r="AO68" s="55"/>
    </row>
    <row r="69" spans="1:41" s="11" customFormat="1" ht="21.95" customHeight="1">
      <c r="A69" s="572" t="s">
        <v>12</v>
      </c>
      <c r="B69" s="573"/>
      <c r="C69" s="573"/>
      <c r="D69" s="311">
        <f>HLOOKUP(MONTH(日期!$C$2),去年月推移!$D$1:$O$200,126,TRUE)</f>
        <v>99.923046999999997</v>
      </c>
      <c r="E69" s="49">
        <v>99</v>
      </c>
      <c r="F69" s="49" t="s">
        <v>45</v>
      </c>
      <c r="G69" s="590">
        <f>ROUND(當年月推移!P128,1)</f>
        <v>99.8</v>
      </c>
      <c r="H69" s="591"/>
      <c r="I69" s="47">
        <f>ROUND(供應率!D7,1)</f>
        <v>100</v>
      </c>
      <c r="J69" s="47">
        <f>ROUND(供應率!E7,1)</f>
        <v>100</v>
      </c>
      <c r="K69" s="47">
        <f>ROUND(供應率!F7,1)</f>
        <v>0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99</v>
      </c>
      <c r="R69" s="47">
        <f>ROUND(供應率!M7,1)</f>
        <v>0</v>
      </c>
      <c r="S69" s="47">
        <f>ROUND(供應率!N7,1)</f>
        <v>100</v>
      </c>
      <c r="T69" s="47">
        <f>ROUND(供應率!O7,1)</f>
        <v>99.7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100</v>
      </c>
      <c r="AE69" s="47">
        <f>ROUND(供應率!Z7,1)</f>
        <v>0</v>
      </c>
      <c r="AF69" s="47">
        <f>ROUND(供應率!AA7,1)</f>
        <v>0</v>
      </c>
      <c r="AG69" s="47">
        <f>ROUND(供應率!AB7,1)</f>
        <v>99.8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99.7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572" t="s">
        <v>13</v>
      </c>
      <c r="B70" s="573"/>
      <c r="C70" s="573"/>
      <c r="D70" s="311">
        <f>HLOOKUP(MONTH(日期!$C$2),去年月推移!$D$1:$O$200,127,TRUE)</f>
        <v>89.722222000000002</v>
      </c>
      <c r="E70" s="49">
        <v>70</v>
      </c>
      <c r="F70" s="49" t="s">
        <v>45</v>
      </c>
      <c r="G70" s="590">
        <f>ROUND(當年月推移!P129,1)</f>
        <v>88.5</v>
      </c>
      <c r="H70" s="591"/>
      <c r="I70" s="47">
        <f>ROUND(供應率!D8,1)</f>
        <v>90</v>
      </c>
      <c r="J70" s="47">
        <f>ROUND(供應率!E8,1)</f>
        <v>100</v>
      </c>
      <c r="K70" s="47">
        <f>ROUND(供應率!F8,1)</f>
        <v>0</v>
      </c>
      <c r="L70" s="47">
        <f>ROUND(供應率!G8,1)</f>
        <v>85.7</v>
      </c>
      <c r="M70" s="47">
        <f>ROUND(供應率!H8,1)</f>
        <v>71.400000000000006</v>
      </c>
      <c r="N70" s="47">
        <f>ROUND(供應率!I8,1)</f>
        <v>85.7</v>
      </c>
      <c r="O70" s="47">
        <f>ROUND(供應率!J8,1)</f>
        <v>85.7</v>
      </c>
      <c r="P70" s="47">
        <f>ROUND(供應率!K8,1)</f>
        <v>80</v>
      </c>
      <c r="Q70" s="47">
        <f>ROUND(供應率!L8,1)</f>
        <v>100</v>
      </c>
      <c r="R70" s="47">
        <f>ROUND(供應率!M8,1)</f>
        <v>0</v>
      </c>
      <c r="S70" s="47">
        <f>ROUND(供應率!N8,1)</f>
        <v>86.6</v>
      </c>
      <c r="T70" s="47">
        <f>ROUND(供應率!O8,1)</f>
        <v>88.8</v>
      </c>
      <c r="U70" s="47">
        <f>ROUND(供應率!P8,1)</f>
        <v>84.6</v>
      </c>
      <c r="V70" s="47">
        <f>ROUND(供應率!Q8,1)</f>
        <v>100</v>
      </c>
      <c r="W70" s="47">
        <f>ROUND(供應率!R8,1)</f>
        <v>83.3</v>
      </c>
      <c r="X70" s="47">
        <f>ROUND(供應率!S8,1)</f>
        <v>100</v>
      </c>
      <c r="Y70" s="47">
        <f>ROUND(供應率!T8,1)</f>
        <v>0</v>
      </c>
      <c r="Z70" s="47">
        <f>ROUND(供應率!U8,1)</f>
        <v>100</v>
      </c>
      <c r="AA70" s="47">
        <f>ROUND(供應率!V8,1)</f>
        <v>100</v>
      </c>
      <c r="AB70" s="47">
        <f>ROUND(供應率!W8,1)</f>
        <v>85.7</v>
      </c>
      <c r="AC70" s="47">
        <f>ROUND(供應率!X8,1)</f>
        <v>83.3</v>
      </c>
      <c r="AD70" s="47">
        <f>ROUND(供應率!Y8,1)</f>
        <v>86.6</v>
      </c>
      <c r="AE70" s="47">
        <f>ROUND(供應率!Z8,1)</f>
        <v>0</v>
      </c>
      <c r="AF70" s="47">
        <f>ROUND(供應率!AA8,1)</f>
        <v>0</v>
      </c>
      <c r="AG70" s="47">
        <f>ROUND(供應率!AB8,1)</f>
        <v>95</v>
      </c>
      <c r="AH70" s="47">
        <f>ROUND(供應率!AC8,1)</f>
        <v>96.2</v>
      </c>
      <c r="AI70" s="47">
        <f>ROUND(供應率!AD8,1)</f>
        <v>90.9</v>
      </c>
      <c r="AJ70" s="47">
        <f>ROUND(供應率!AE8,1)</f>
        <v>100</v>
      </c>
      <c r="AK70" s="47">
        <f>ROUND(供應率!AF8,1)</f>
        <v>90</v>
      </c>
      <c r="AL70" s="47">
        <f>ROUND(供應率!AG8,1)</f>
        <v>92.8</v>
      </c>
      <c r="AM70" s="47">
        <f>ROUND(供應率!AH8,1)</f>
        <v>0</v>
      </c>
      <c r="AN70" s="214">
        <f>ROUND(供應率!AI8,1)</f>
        <v>91.7</v>
      </c>
      <c r="AO70" s="55"/>
    </row>
    <row r="71" spans="1:41" s="11" customFormat="1" ht="21.75" customHeight="1">
      <c r="A71" s="572" t="s">
        <v>14</v>
      </c>
      <c r="B71" s="573"/>
      <c r="C71" s="573"/>
      <c r="D71" s="311">
        <f>HLOOKUP(MONTH(日期!$C$2),去年月推移!$D$1:$O$200,128,TRUE)</f>
        <v>99.534937999999997</v>
      </c>
      <c r="E71" s="49">
        <v>99.1</v>
      </c>
      <c r="F71" s="49" t="s">
        <v>45</v>
      </c>
      <c r="G71" s="590">
        <f>ROUND(當年月推移!P130,1)</f>
        <v>99.5</v>
      </c>
      <c r="H71" s="591"/>
      <c r="I71" s="47">
        <f>ROUND(供應率!D9,1)</f>
        <v>99.7</v>
      </c>
      <c r="J71" s="47">
        <f>ROUND(供應率!E9,1)</f>
        <v>99.6</v>
      </c>
      <c r="K71" s="47">
        <f>ROUND(供應率!F9,1)</f>
        <v>0</v>
      </c>
      <c r="L71" s="47">
        <f>ROUND(供應率!G9,1)</f>
        <v>99.6</v>
      </c>
      <c r="M71" s="47">
        <f>ROUND(供應率!H9,1)</f>
        <v>99.5</v>
      </c>
      <c r="N71" s="47">
        <f>ROUND(供應率!I9,1)</f>
        <v>98.9</v>
      </c>
      <c r="O71" s="47">
        <f>ROUND(供應率!J9,1)</f>
        <v>98.6</v>
      </c>
      <c r="P71" s="47">
        <f>ROUND(供應率!K9,1)</f>
        <v>98.7</v>
      </c>
      <c r="Q71" s="47">
        <f>ROUND(供應率!L9,1)</f>
        <v>99.1</v>
      </c>
      <c r="R71" s="47">
        <f>ROUND(供應率!M9,1)</f>
        <v>0</v>
      </c>
      <c r="S71" s="47">
        <f>ROUND(供應率!N9,1)</f>
        <v>99.3</v>
      </c>
      <c r="T71" s="47">
        <f>ROUND(供應率!O9,1)</f>
        <v>99</v>
      </c>
      <c r="U71" s="47">
        <f>ROUND(供應率!P9,1)</f>
        <v>99.3</v>
      </c>
      <c r="V71" s="47">
        <f>ROUND(供應率!Q9,1)</f>
        <v>99.6</v>
      </c>
      <c r="W71" s="47">
        <f>ROUND(供應率!R9,1)</f>
        <v>99.7</v>
      </c>
      <c r="X71" s="47">
        <f>ROUND(供應率!S9,1)</f>
        <v>99.5</v>
      </c>
      <c r="Y71" s="47">
        <f>ROUND(供應率!T9,1)</f>
        <v>0</v>
      </c>
      <c r="Z71" s="47">
        <f>ROUND(供應率!U9,1)</f>
        <v>99.5</v>
      </c>
      <c r="AA71" s="47">
        <f>ROUND(供應率!V9,1)</f>
        <v>99.7</v>
      </c>
      <c r="AB71" s="47">
        <f>ROUND(供應率!W9,1)</f>
        <v>99.5</v>
      </c>
      <c r="AC71" s="47">
        <f>ROUND(供應率!X9,1)</f>
        <v>99.3</v>
      </c>
      <c r="AD71" s="47">
        <f>ROUND(供應率!Y9,1)</f>
        <v>98.8</v>
      </c>
      <c r="AE71" s="47">
        <f>ROUND(供應率!Z9,1)</f>
        <v>100</v>
      </c>
      <c r="AF71" s="47">
        <f>ROUND(供應率!AA9,1)</f>
        <v>0</v>
      </c>
      <c r="AG71" s="47">
        <f>ROUND(供應率!AB9,1)</f>
        <v>99.5</v>
      </c>
      <c r="AH71" s="47">
        <f>ROUND(供應率!AC9,1)</f>
        <v>99.8</v>
      </c>
      <c r="AI71" s="47">
        <f>ROUND(供應率!AD9,1)</f>
        <v>99.7</v>
      </c>
      <c r="AJ71" s="47">
        <f>ROUND(供應率!AE9,1)</f>
        <v>99.7</v>
      </c>
      <c r="AK71" s="47">
        <f>ROUND(供應率!AF9,1)</f>
        <v>100</v>
      </c>
      <c r="AL71" s="47">
        <f>ROUND(供應率!AG9,1)</f>
        <v>99.8</v>
      </c>
      <c r="AM71" s="47">
        <f>ROUND(供應率!AH9,1)</f>
        <v>0</v>
      </c>
      <c r="AN71" s="214">
        <f>ROUND(供應率!AI9,1)</f>
        <v>99.4</v>
      </c>
      <c r="AO71" s="55"/>
    </row>
    <row r="72" spans="1:41" s="11" customFormat="1" ht="21.95" customHeight="1">
      <c r="A72" s="572" t="s">
        <v>56</v>
      </c>
      <c r="B72" s="573"/>
      <c r="C72" s="573"/>
      <c r="D72" s="311">
        <f>HLOOKUP(MONTH(日期!$C$2),[2]去年月推移!$D$1:$O$200,129,TRUE)</f>
        <v>0</v>
      </c>
      <c r="E72" s="49">
        <v>92.3</v>
      </c>
      <c r="F72" s="49" t="s">
        <v>45</v>
      </c>
      <c r="G72" s="590">
        <f>ROUND(當年月推移!P131,1)</f>
        <v>95.4</v>
      </c>
      <c r="H72" s="591"/>
      <c r="I72" s="47">
        <f>ROUND(供應率!D22,1)</f>
        <v>91.6</v>
      </c>
      <c r="J72" s="47">
        <f>ROUND(供應率!E22,1)</f>
        <v>94</v>
      </c>
      <c r="K72" s="47">
        <f>ROUND(供應率!F22,1)</f>
        <v>0</v>
      </c>
      <c r="L72" s="47">
        <f>ROUND(供應率!G22,1)</f>
        <v>89</v>
      </c>
      <c r="M72" s="47">
        <f>ROUND(供應率!H22,1)</f>
        <v>79.400000000000006</v>
      </c>
      <c r="N72" s="47">
        <f>ROUND(供應率!I22,1)</f>
        <v>94.4</v>
      </c>
      <c r="O72" s="47">
        <f>ROUND(供應率!J22,1)</f>
        <v>94.9</v>
      </c>
      <c r="P72" s="47">
        <f>ROUND(供應率!K22,1)</f>
        <v>93.9</v>
      </c>
      <c r="Q72" s="47">
        <f>ROUND(供應率!L22,1)</f>
        <v>94.8</v>
      </c>
      <c r="R72" s="47">
        <f>ROUND(供應率!M22,1)</f>
        <v>0</v>
      </c>
      <c r="S72" s="47">
        <f>ROUND(供應率!N22,1)</f>
        <v>92.6</v>
      </c>
      <c r="T72" s="47">
        <f>ROUND(供應率!O22,1)</f>
        <v>91.2</v>
      </c>
      <c r="U72" s="47">
        <f>ROUND(供應率!P22,1)</f>
        <v>89.9</v>
      </c>
      <c r="V72" s="47">
        <f>ROUND(供應率!Q22,1)</f>
        <v>92.9</v>
      </c>
      <c r="W72" s="47">
        <f>ROUND(供應率!R22,1)</f>
        <v>97.4</v>
      </c>
      <c r="X72" s="47">
        <f>ROUND(供應率!S22,1)</f>
        <v>95.5</v>
      </c>
      <c r="Y72" s="47">
        <f>ROUND(供應率!T22,1)</f>
        <v>0</v>
      </c>
      <c r="Z72" s="47">
        <f>ROUND(供應率!U22,1)</f>
        <v>93</v>
      </c>
      <c r="AA72" s="47">
        <f>ROUND(供應率!V22,1)</f>
        <v>94.7</v>
      </c>
      <c r="AB72" s="47">
        <f>ROUND(供應率!W22,1)</f>
        <v>96.3</v>
      </c>
      <c r="AC72" s="47">
        <f>ROUND(供應率!X22,1)</f>
        <v>96.6</v>
      </c>
      <c r="AD72" s="47">
        <f>ROUND(供應率!Y22,1)</f>
        <v>97.2</v>
      </c>
      <c r="AE72" s="47">
        <f>ROUND(供應率!Z22,1)</f>
        <v>100</v>
      </c>
      <c r="AF72" s="47">
        <f>ROUND(供應率!AA22,1)</f>
        <v>0</v>
      </c>
      <c r="AG72" s="47">
        <f>ROUND(供應率!AB22,1)</f>
        <v>95.8</v>
      </c>
      <c r="AH72" s="47">
        <f>ROUND(供應率!AC22,1)</f>
        <v>93.1</v>
      </c>
      <c r="AI72" s="47">
        <f>ROUND(供應率!AD22,1)</f>
        <v>94.4</v>
      </c>
      <c r="AJ72" s="47">
        <f>ROUND(供應率!AE22,1)</f>
        <v>93.8</v>
      </c>
      <c r="AK72" s="47">
        <f>ROUND(供應率!AF22,1)</f>
        <v>96.9</v>
      </c>
      <c r="AL72" s="47">
        <f>ROUND(供應率!AG22,1)</f>
        <v>98.4</v>
      </c>
      <c r="AM72" s="47">
        <f>ROUND(供應率!AH22,1)</f>
        <v>0</v>
      </c>
      <c r="AN72" s="214">
        <f>ROUND(供應率!AI22,1)</f>
        <v>93.7</v>
      </c>
      <c r="AO72" s="55"/>
    </row>
    <row r="73" spans="1:41" s="11" customFormat="1" ht="21.95" customHeight="1" thickBot="1">
      <c r="A73" s="617" t="s">
        <v>16</v>
      </c>
      <c r="B73" s="618"/>
      <c r="C73" s="618"/>
      <c r="D73" s="320">
        <f>HLOOKUP(MONTH(日期!$C$2),去年月推移!$D$1:$O$200,130,TRUE)</f>
        <v>99.105485000000002</v>
      </c>
      <c r="E73" s="58">
        <v>95</v>
      </c>
      <c r="F73" s="58" t="s">
        <v>45</v>
      </c>
      <c r="G73" s="586">
        <f>ROUND(當年月推移!P132,1)</f>
        <v>98.3</v>
      </c>
      <c r="H73" s="587"/>
      <c r="I73" s="59">
        <f>ROUND(供應率!D11,1)</f>
        <v>98.8</v>
      </c>
      <c r="J73" s="59">
        <f>ROUND(供應率!E11,1)</f>
        <v>100</v>
      </c>
      <c r="K73" s="59">
        <f>ROUND(供應率!F11,1)</f>
        <v>0</v>
      </c>
      <c r="L73" s="59">
        <f>ROUND(供應率!G11,1)</f>
        <v>99.5</v>
      </c>
      <c r="M73" s="59">
        <f>ROUND(供應率!H11,1)</f>
        <v>99.1</v>
      </c>
      <c r="N73" s="59">
        <f>ROUND(供應率!I11,1)</f>
        <v>99</v>
      </c>
      <c r="O73" s="59">
        <f>ROUND(供應率!J11,1)</f>
        <v>99.5</v>
      </c>
      <c r="P73" s="59">
        <f>ROUND(供應率!K11,1)</f>
        <v>99</v>
      </c>
      <c r="Q73" s="59">
        <f>ROUND(供應率!L11,1)</f>
        <v>98.8</v>
      </c>
      <c r="R73" s="59">
        <f>ROUND(供應率!M11,1)</f>
        <v>0</v>
      </c>
      <c r="S73" s="59">
        <f>ROUND(供應率!N11,1)</f>
        <v>99.1</v>
      </c>
      <c r="T73" s="59">
        <f>ROUND(供應率!O11,1)</f>
        <v>99.1</v>
      </c>
      <c r="U73" s="59">
        <f>ROUND(供應率!P11,1)</f>
        <v>96.5</v>
      </c>
      <c r="V73" s="59">
        <f>ROUND(供應率!Q11,1)</f>
        <v>98.8</v>
      </c>
      <c r="W73" s="59">
        <f>ROUND(供應率!R11,1)</f>
        <v>99.5</v>
      </c>
      <c r="X73" s="59">
        <f>ROUND(供應率!S11,1)</f>
        <v>94.3</v>
      </c>
      <c r="Y73" s="59">
        <f>ROUND(供應率!T11,1)</f>
        <v>0</v>
      </c>
      <c r="Z73" s="59">
        <f>ROUND(供應率!U11,1)</f>
        <v>96.2</v>
      </c>
      <c r="AA73" s="59">
        <f>ROUND(供應率!V11,1)</f>
        <v>97.5</v>
      </c>
      <c r="AB73" s="59">
        <f>ROUND(供應率!W11,1)</f>
        <v>99</v>
      </c>
      <c r="AC73" s="59">
        <f>ROUND(供應率!X11,1)</f>
        <v>99</v>
      </c>
      <c r="AD73" s="59">
        <f>ROUND(供應率!Y11,1)</f>
        <v>98.2</v>
      </c>
      <c r="AE73" s="59">
        <f>ROUND(供應率!Z11,1)</f>
        <v>100</v>
      </c>
      <c r="AF73" s="59">
        <f>ROUND(供應率!AA11,1)</f>
        <v>0</v>
      </c>
      <c r="AG73" s="59">
        <f>ROUND(供應率!AB11,1)</f>
        <v>98.1</v>
      </c>
      <c r="AH73" s="59">
        <f>ROUND(供應率!AC11,1)</f>
        <v>98.4</v>
      </c>
      <c r="AI73" s="59">
        <f>ROUND(供應率!AD11,1)</f>
        <v>99.4</v>
      </c>
      <c r="AJ73" s="59">
        <f>ROUND(供應率!AE11,1)</f>
        <v>100</v>
      </c>
      <c r="AK73" s="59">
        <f>ROUND(供應率!AF11,1)</f>
        <v>99.7</v>
      </c>
      <c r="AL73" s="59">
        <f>ROUND(供應率!AG11,1)</f>
        <v>99.7</v>
      </c>
      <c r="AM73" s="59">
        <f>ROUND(供應率!AH11,1)</f>
        <v>0</v>
      </c>
      <c r="AN73" s="217">
        <f>ROUND(供應率!AI11,1)</f>
        <v>98.6</v>
      </c>
      <c r="AO73" s="55"/>
    </row>
    <row r="74" spans="1:41" s="11" customFormat="1" ht="21.95" customHeight="1">
      <c r="A74" s="572" t="s">
        <v>23</v>
      </c>
      <c r="B74" s="573"/>
      <c r="C74" s="573"/>
      <c r="D74" s="313">
        <f>HLOOKUP(MONTH(日期!$C$2),去年月推移!$D$1:$O$200,131,TRUE)</f>
        <v>97.258475000000004</v>
      </c>
      <c r="E74" s="49">
        <v>98.559727106188546</v>
      </c>
      <c r="F74" s="49" t="s">
        <v>45</v>
      </c>
      <c r="G74" s="590">
        <f>ROUND(當年月推移!P133,1)</f>
        <v>98.9</v>
      </c>
      <c r="H74" s="591"/>
      <c r="I74" s="47">
        <f>ROUND(供應率!D6,1)</f>
        <v>99.2</v>
      </c>
      <c r="J74" s="47">
        <f>ROUND(供應率!E6,1)</f>
        <v>98.8</v>
      </c>
      <c r="K74" s="47">
        <f>ROUND(供應率!F6,1)</f>
        <v>0</v>
      </c>
      <c r="L74" s="47">
        <f>ROUND(供應率!G6,1)</f>
        <v>98.7</v>
      </c>
      <c r="M74" s="47">
        <f>ROUND(供應率!H6,1)</f>
        <v>98.8</v>
      </c>
      <c r="N74" s="47">
        <f>ROUND(供應率!I6,1)</f>
        <v>98.5</v>
      </c>
      <c r="O74" s="47">
        <f>ROUND(供應率!J6,1)</f>
        <v>99.1</v>
      </c>
      <c r="P74" s="47">
        <f>ROUND(供應率!K6,1)</f>
        <v>98.9</v>
      </c>
      <c r="Q74" s="47">
        <f>ROUND(供應率!L6,1)</f>
        <v>99.4</v>
      </c>
      <c r="R74" s="47">
        <f>ROUND(供應率!M6,1)</f>
        <v>0</v>
      </c>
      <c r="S74" s="47">
        <f>ROUND(供應率!N6,1)</f>
        <v>98.8</v>
      </c>
      <c r="T74" s="47">
        <f>ROUND(供應率!O6,1)</f>
        <v>99.1</v>
      </c>
      <c r="U74" s="47">
        <f>ROUND(供應率!P6,1)</f>
        <v>99.2</v>
      </c>
      <c r="V74" s="47">
        <f>ROUND(供應率!Q6,1)</f>
        <v>99.1</v>
      </c>
      <c r="W74" s="47">
        <f>ROUND(供應率!R6,1)</f>
        <v>99.4</v>
      </c>
      <c r="X74" s="47">
        <f>ROUND(供應率!S6,1)</f>
        <v>98.9</v>
      </c>
      <c r="Y74" s="47">
        <f>ROUND(供應率!T6,1)</f>
        <v>0</v>
      </c>
      <c r="Z74" s="47">
        <f>ROUND(供應率!U6,1)</f>
        <v>99.1</v>
      </c>
      <c r="AA74" s="47">
        <f>ROUND(供應率!V6,1)</f>
        <v>98.8</v>
      </c>
      <c r="AB74" s="47">
        <f>ROUND(供應率!W6,1)</f>
        <v>98.9</v>
      </c>
      <c r="AC74" s="47">
        <f>ROUND(供應率!X6,1)</f>
        <v>98.4</v>
      </c>
      <c r="AD74" s="47">
        <f>ROUND(供應率!Y6,1)</f>
        <v>99.1</v>
      </c>
      <c r="AE74" s="47">
        <f>ROUND(供應率!Z6,1)</f>
        <v>0</v>
      </c>
      <c r="AF74" s="47">
        <f>ROUND(供應率!AA6,1)</f>
        <v>0</v>
      </c>
      <c r="AG74" s="47">
        <f>ROUND(供應率!AB6,1)</f>
        <v>98.3</v>
      </c>
      <c r="AH74" s="47">
        <f>ROUND(供應率!AC6,1)</f>
        <v>98.6</v>
      </c>
      <c r="AI74" s="47">
        <f>ROUND(供應率!AD6,1)</f>
        <v>98.3</v>
      </c>
      <c r="AJ74" s="47">
        <f>ROUND(供應率!AE6,1)</f>
        <v>98.9</v>
      </c>
      <c r="AK74" s="47">
        <f>ROUND(供應率!AF6,1)</f>
        <v>98.4</v>
      </c>
      <c r="AL74" s="47">
        <f>ROUND(供應率!AG6,1)</f>
        <v>98.4</v>
      </c>
      <c r="AM74" s="47">
        <f>ROUND(供應率!AH6,1)</f>
        <v>0</v>
      </c>
      <c r="AN74" s="214">
        <f>ROUND(供應率!AI6,1)</f>
        <v>98.8</v>
      </c>
      <c r="AO74" s="55"/>
    </row>
    <row r="75" spans="1:41" s="11" customFormat="1" ht="21.95" customHeight="1">
      <c r="A75" s="574" t="s">
        <v>24</v>
      </c>
      <c r="B75" s="575"/>
      <c r="C75" s="576"/>
      <c r="D75" s="310">
        <f>HLOOKUP(MONTH(日期!$C$2),去年月推移!$D$1:$O$200,132,TRUE)</f>
        <v>99.708454000000003</v>
      </c>
      <c r="E75" s="243"/>
      <c r="F75" s="243"/>
      <c r="G75" s="590">
        <f>ROUND(當年月推移!P134,1)</f>
        <v>99.2</v>
      </c>
      <c r="H75" s="591"/>
      <c r="I75" s="244">
        <f>ROUND(供應率!D12,1)</f>
        <v>100</v>
      </c>
      <c r="J75" s="244">
        <f>ROUND(供應率!E12,1)</f>
        <v>100</v>
      </c>
      <c r="K75" s="244">
        <f>ROUND(供應率!F12,1)</f>
        <v>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0</v>
      </c>
      <c r="AF75" s="244">
        <f>ROUND(供應率!AA12,1)</f>
        <v>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574" t="s">
        <v>25</v>
      </c>
      <c r="B76" s="575"/>
      <c r="C76" s="576"/>
      <c r="D76" s="310">
        <f>HLOOKUP(MONTH(日期!$C$2),去年月推移!$D$1:$O$200,133,TRUE)</f>
        <v>93.753147999999996</v>
      </c>
      <c r="E76" s="243"/>
      <c r="F76" s="243"/>
      <c r="G76" s="590">
        <f>ROUND(當年月推移!P135,1)</f>
        <v>96.9</v>
      </c>
      <c r="H76" s="591"/>
      <c r="I76" s="244">
        <f>ROUND(供應率!D13,1)</f>
        <v>100</v>
      </c>
      <c r="J76" s="244">
        <f>ROUND(供應率!E13,1)</f>
        <v>97.1</v>
      </c>
      <c r="K76" s="244">
        <f>ROUND(供應率!F13,1)</f>
        <v>0</v>
      </c>
      <c r="L76" s="244">
        <f>ROUND(供應率!G13,1)</f>
        <v>100</v>
      </c>
      <c r="M76" s="244">
        <f>ROUND(供應率!H13,1)</f>
        <v>100</v>
      </c>
      <c r="N76" s="244">
        <f>ROUND(供應率!I13,1)</f>
        <v>83.6</v>
      </c>
      <c r="O76" s="244">
        <f>ROUND(供應率!J13,1)</f>
        <v>100</v>
      </c>
      <c r="P76" s="244">
        <f>ROUND(供應率!K13,1)</f>
        <v>100</v>
      </c>
      <c r="Q76" s="244">
        <f>ROUND(供應率!L13,1)</f>
        <v>96.8</v>
      </c>
      <c r="R76" s="244">
        <f>ROUND(供應率!M13,1)</f>
        <v>0</v>
      </c>
      <c r="S76" s="244">
        <f>ROUND(供應率!N13,1)</f>
        <v>100</v>
      </c>
      <c r="T76" s="244">
        <f>ROUND(供應率!O13,1)</f>
        <v>100</v>
      </c>
      <c r="U76" s="244">
        <f>ROUND(供應率!P13,1)</f>
        <v>98</v>
      </c>
      <c r="V76" s="244">
        <f>ROUND(供應率!Q13,1)</f>
        <v>100</v>
      </c>
      <c r="W76" s="244">
        <f>ROUND(供應率!R13,1)</f>
        <v>100</v>
      </c>
      <c r="X76" s="244">
        <f>ROUND(供應率!S13,1)</f>
        <v>100</v>
      </c>
      <c r="Y76" s="244">
        <f>ROUND(供應率!T13,1)</f>
        <v>0</v>
      </c>
      <c r="Z76" s="244">
        <f>ROUND(供應率!U13,1)</f>
        <v>100</v>
      </c>
      <c r="AA76" s="244">
        <f>ROUND(供應率!V13,1)</f>
        <v>100</v>
      </c>
      <c r="AB76" s="244">
        <f>ROUND(供應率!W13,1)</f>
        <v>98.3</v>
      </c>
      <c r="AC76" s="244">
        <f>ROUND(供應率!X13,1)</f>
        <v>100</v>
      </c>
      <c r="AD76" s="244">
        <f>ROUND(供應率!Y13,1)</f>
        <v>98</v>
      </c>
      <c r="AE76" s="244">
        <f>ROUND(供應率!Z13,1)</f>
        <v>0</v>
      </c>
      <c r="AF76" s="244">
        <f>ROUND(供應率!AA13,1)</f>
        <v>0</v>
      </c>
      <c r="AG76" s="244">
        <f>ROUND(供應率!AB13,1)</f>
        <v>100</v>
      </c>
      <c r="AH76" s="244">
        <f>ROUND(供應率!AC13,1)</f>
        <v>98.1</v>
      </c>
      <c r="AI76" s="244">
        <f>ROUND(供應率!AD13,1)</f>
        <v>100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100</v>
      </c>
      <c r="AM76" s="244">
        <f>ROUND(供應率!AH13,1)</f>
        <v>0</v>
      </c>
      <c r="AN76" s="246">
        <f>ROUND(供應率!AI13,1)</f>
        <v>98.8</v>
      </c>
      <c r="AO76" s="55"/>
    </row>
    <row r="77" spans="1:41" s="11" customFormat="1" ht="21.95" customHeight="1">
      <c r="A77" s="574" t="s">
        <v>26</v>
      </c>
      <c r="B77" s="575"/>
      <c r="C77" s="576"/>
      <c r="D77" s="310">
        <f>HLOOKUP(MONTH(日期!$C$2),去年月推移!$D$1:$O$200,134,TRUE)</f>
        <v>97.4</v>
      </c>
      <c r="E77" s="243"/>
      <c r="F77" s="243"/>
      <c r="G77" s="590">
        <f>ROUND(當年月推移!P136,1)</f>
        <v>96.9</v>
      </c>
      <c r="H77" s="591"/>
      <c r="I77" s="244">
        <f>ROUND(供應率!D14,1)</f>
        <v>98.1</v>
      </c>
      <c r="J77" s="244">
        <f>ROUND(供應率!E14,1)</f>
        <v>98.4</v>
      </c>
      <c r="K77" s="244">
        <f>ROUND(供應率!F14,1)</f>
        <v>0</v>
      </c>
      <c r="L77" s="244">
        <f>ROUND(供應率!G14,1)</f>
        <v>97.8</v>
      </c>
      <c r="M77" s="244">
        <f>ROUND(供應率!H14,1)</f>
        <v>97.5</v>
      </c>
      <c r="N77" s="244">
        <f>ROUND(供應率!I14,1)</f>
        <v>96.5</v>
      </c>
      <c r="O77" s="244">
        <f>ROUND(供應率!J14,1)</f>
        <v>98.1</v>
      </c>
      <c r="P77" s="244">
        <f>ROUND(供應率!K14,1)</f>
        <v>98.4</v>
      </c>
      <c r="Q77" s="244">
        <f>ROUND(供應率!L14,1)</f>
        <v>97</v>
      </c>
      <c r="R77" s="244">
        <f>ROUND(供應率!M14,1)</f>
        <v>0</v>
      </c>
      <c r="S77" s="244">
        <f>ROUND(供應率!N14,1)</f>
        <v>96</v>
      </c>
      <c r="T77" s="244">
        <f>ROUND(供應率!O14,1)</f>
        <v>98.2</v>
      </c>
      <c r="U77" s="244">
        <f>ROUND(供應率!P14,1)</f>
        <v>96.5</v>
      </c>
      <c r="V77" s="244">
        <f>ROUND(供應率!Q14,1)</f>
        <v>96.2</v>
      </c>
      <c r="W77" s="244">
        <f>ROUND(供應率!R14,1)</f>
        <v>99.4</v>
      </c>
      <c r="X77" s="244">
        <f>ROUND(供應率!S14,1)</f>
        <v>98.3</v>
      </c>
      <c r="Y77" s="244">
        <f>ROUND(供應率!T14,1)</f>
        <v>0</v>
      </c>
      <c r="Z77" s="244">
        <f>ROUND(供應率!U14,1)</f>
        <v>98.8</v>
      </c>
      <c r="AA77" s="244">
        <f>ROUND(供應率!V14,1)</f>
        <v>98</v>
      </c>
      <c r="AB77" s="244">
        <f>ROUND(供應率!W14,1)</f>
        <v>98.3</v>
      </c>
      <c r="AC77" s="244">
        <f>ROUND(供應率!X14,1)</f>
        <v>99.4</v>
      </c>
      <c r="AD77" s="244">
        <f>ROUND(供應率!Y14,1)</f>
        <v>97.5</v>
      </c>
      <c r="AE77" s="244">
        <f>ROUND(供應率!Z14,1)</f>
        <v>0</v>
      </c>
      <c r="AF77" s="244">
        <f>ROUND(供應率!AA14,1)</f>
        <v>0</v>
      </c>
      <c r="AG77" s="244">
        <f>ROUND(供應率!AB14,1)</f>
        <v>95.5</v>
      </c>
      <c r="AH77" s="244">
        <f>ROUND(供應率!AC14,1)</f>
        <v>96.9</v>
      </c>
      <c r="AI77" s="244">
        <f>ROUND(供應率!AD14,1)</f>
        <v>96.4</v>
      </c>
      <c r="AJ77" s="244">
        <f>ROUND(供應率!AE14,1)</f>
        <v>97.6</v>
      </c>
      <c r="AK77" s="244">
        <f>ROUND(供應率!AF14,1)</f>
        <v>97.6</v>
      </c>
      <c r="AL77" s="244">
        <f>ROUND(供應率!AG14,1)</f>
        <v>96.3</v>
      </c>
      <c r="AM77" s="244">
        <f>ROUND(供應率!AH14,1)</f>
        <v>0</v>
      </c>
      <c r="AN77" s="246">
        <f>ROUND(供應率!AI14,1)</f>
        <v>97.5</v>
      </c>
      <c r="AO77" s="55"/>
    </row>
    <row r="78" spans="1:41" s="11" customFormat="1" ht="21.95" customHeight="1">
      <c r="A78" s="574" t="s">
        <v>27</v>
      </c>
      <c r="B78" s="575"/>
      <c r="C78" s="576"/>
      <c r="D78" s="310">
        <f>HLOOKUP(MONTH(日期!$C$2),去年月推移!$D$1:$O$200,135,TRUE)</f>
        <v>96.504559</v>
      </c>
      <c r="E78" s="243"/>
      <c r="F78" s="243"/>
      <c r="G78" s="590">
        <f>ROUND(當年月推移!P137,1)</f>
        <v>93.2</v>
      </c>
      <c r="H78" s="591"/>
      <c r="I78" s="244">
        <f>ROUND(供應率!D15,1)</f>
        <v>96.4</v>
      </c>
      <c r="J78" s="244">
        <f>ROUND(供應率!E15,1)</f>
        <v>96.9</v>
      </c>
      <c r="K78" s="244">
        <f>ROUND(供應率!F15,1)</f>
        <v>0</v>
      </c>
      <c r="L78" s="244">
        <f>ROUND(供應率!G15,1)</f>
        <v>89.3</v>
      </c>
      <c r="M78" s="244">
        <f>ROUND(供應率!H15,1)</f>
        <v>92.6</v>
      </c>
      <c r="N78" s="244">
        <f>ROUND(供應率!I15,1)</f>
        <v>90.3</v>
      </c>
      <c r="O78" s="244">
        <f>ROUND(供應率!J15,1)</f>
        <v>87.6</v>
      </c>
      <c r="P78" s="244">
        <f>ROUND(供應率!K15,1)</f>
        <v>100</v>
      </c>
      <c r="Q78" s="244">
        <f>ROUND(供應率!L15,1)</f>
        <v>100</v>
      </c>
      <c r="R78" s="244">
        <f>ROUND(供應率!M15,1)</f>
        <v>0</v>
      </c>
      <c r="S78" s="244">
        <f>ROUND(供應率!N15,1)</f>
        <v>100</v>
      </c>
      <c r="T78" s="244">
        <f>ROUND(供應率!O15,1)</f>
        <v>94.2</v>
      </c>
      <c r="U78" s="244">
        <f>ROUND(供應率!P15,1)</f>
        <v>94</v>
      </c>
      <c r="V78" s="244">
        <f>ROUND(供應率!Q15,1)</f>
        <v>88.7</v>
      </c>
      <c r="W78" s="244">
        <f>ROUND(供應率!R15,1)</f>
        <v>92.6</v>
      </c>
      <c r="X78" s="244">
        <f>ROUND(供應率!S15,1)</f>
        <v>93.5</v>
      </c>
      <c r="Y78" s="244">
        <f>ROUND(供應率!T15,1)</f>
        <v>0</v>
      </c>
      <c r="Z78" s="244">
        <f>ROUND(供應率!U15,1)</f>
        <v>98.2</v>
      </c>
      <c r="AA78" s="244">
        <f>ROUND(供應率!V15,1)</f>
        <v>94.9</v>
      </c>
      <c r="AB78" s="244">
        <f>ROUND(供應率!W15,1)</f>
        <v>98.6</v>
      </c>
      <c r="AC78" s="244">
        <f>ROUND(供應率!X15,1)</f>
        <v>92.5</v>
      </c>
      <c r="AD78" s="244">
        <f>ROUND(供應率!Y15,1)</f>
        <v>88.1</v>
      </c>
      <c r="AE78" s="244">
        <f>ROUND(供應率!Z15,1)</f>
        <v>0</v>
      </c>
      <c r="AF78" s="244">
        <f>ROUND(供應率!AA15,1)</f>
        <v>0</v>
      </c>
      <c r="AG78" s="244">
        <f>ROUND(供應率!AB15,1)</f>
        <v>92</v>
      </c>
      <c r="AH78" s="244">
        <f>ROUND(供應率!AC15,1)</f>
        <v>94.4</v>
      </c>
      <c r="AI78" s="244">
        <f>ROUND(供應率!AD15,1)</f>
        <v>98.3</v>
      </c>
      <c r="AJ78" s="244">
        <f>ROUND(供應率!AE15,1)</f>
        <v>91.5</v>
      </c>
      <c r="AK78" s="244">
        <f>ROUND(供應率!AF15,1)</f>
        <v>91</v>
      </c>
      <c r="AL78" s="244">
        <f>ROUND(供應率!AG15,1)</f>
        <v>93</v>
      </c>
      <c r="AM78" s="244">
        <f>ROUND(供應率!AH15,1)</f>
        <v>0</v>
      </c>
      <c r="AN78" s="246">
        <f>ROUND(供應率!AI15,1)</f>
        <v>93.9</v>
      </c>
      <c r="AO78" s="55"/>
    </row>
    <row r="79" spans="1:41" s="11" customFormat="1" ht="21.95" customHeight="1" thickBot="1">
      <c r="A79" s="612" t="s">
        <v>28</v>
      </c>
      <c r="B79" s="613"/>
      <c r="C79" s="614"/>
      <c r="D79" s="320">
        <f>HLOOKUP(MONTH(日期!$C$2),去年月推移!$D$1:$O$200,136,TRUE)</f>
        <v>33.333333000000003</v>
      </c>
      <c r="E79" s="243"/>
      <c r="F79" s="243"/>
      <c r="G79" s="586">
        <f>ROUND(當年月推移!P138,1)</f>
        <v>0</v>
      </c>
      <c r="H79" s="587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5" t="s">
        <v>31</v>
      </c>
      <c r="B80" s="606"/>
      <c r="C80" s="606"/>
      <c r="D80" s="313">
        <f>HLOOKUP(MONTH(日期!$C$2),去年月推移!$D$1:$O$200,137,TRUE)</f>
        <v>0</v>
      </c>
      <c r="E80" s="272"/>
      <c r="F80" s="272"/>
      <c r="G80" s="590">
        <f>ROUND(當年月推移!P139,1)</f>
        <v>0</v>
      </c>
      <c r="H80" s="591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1" t="s">
        <v>32</v>
      </c>
      <c r="B81" s="582"/>
      <c r="C81" s="582"/>
      <c r="D81" s="310">
        <f>HLOOKUP(MONTH(日期!$C$2),去年月推移!$D$1:$O$200,138,TRUE)</f>
        <v>0</v>
      </c>
      <c r="E81" s="49"/>
      <c r="F81" s="49"/>
      <c r="G81" s="590">
        <f>ROUND(當年月推移!P140,1)</f>
        <v>0</v>
      </c>
      <c r="H81" s="591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1" t="s">
        <v>33</v>
      </c>
      <c r="B82" s="582"/>
      <c r="C82" s="582"/>
      <c r="D82" s="310">
        <f>HLOOKUP(MONTH(日期!$C$2),去年月推移!$D$1:$O$200,139,TRUE)</f>
        <v>0</v>
      </c>
      <c r="E82" s="49"/>
      <c r="F82" s="49"/>
      <c r="G82" s="590">
        <f>ROUND(當年月推移!P141,1)</f>
        <v>0</v>
      </c>
      <c r="H82" s="591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1" t="s">
        <v>34</v>
      </c>
      <c r="B83" s="582"/>
      <c r="C83" s="582"/>
      <c r="D83" s="310">
        <f>HLOOKUP(MONTH(日期!$C$2),去年月推移!$D$1:$O$200,140,TRUE)</f>
        <v>0</v>
      </c>
      <c r="E83" s="49"/>
      <c r="F83" s="49"/>
      <c r="G83" s="590">
        <f>ROUND(當年月推移!P142,1)</f>
        <v>0</v>
      </c>
      <c r="H83" s="591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8" t="s">
        <v>35</v>
      </c>
      <c r="B84" s="589"/>
      <c r="C84" s="589"/>
      <c r="D84" s="312">
        <f>HLOOKUP(MONTH(日期!$C$2),去年月推移!$D$1:$O$200,141,TRUE)</f>
        <v>0</v>
      </c>
      <c r="E84" s="58"/>
      <c r="F84" s="58"/>
      <c r="G84" s="586">
        <f>ROUND(當年月推移!P143,1)</f>
        <v>0</v>
      </c>
      <c r="H84" s="587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6" t="s">
        <v>1</v>
      </c>
      <c r="B87" s="597"/>
      <c r="C87" s="597"/>
      <c r="D87" s="600" t="str">
        <f>D3</f>
        <v>2024/8</v>
      </c>
      <c r="E87" s="600" t="str">
        <f>E3</f>
        <v>2025/8</v>
      </c>
      <c r="F87" s="335">
        <f>YEAR(日期!C2)-1</f>
        <v>2024</v>
      </c>
      <c r="G87" s="615">
        <f>YEAR(日期!C2)</f>
        <v>2025</v>
      </c>
      <c r="H87" s="616"/>
      <c r="I87" s="527" t="str">
        <f>日期!C2</f>
        <v>2025/08/01</v>
      </c>
      <c r="J87" s="527" t="str">
        <f>日期!D2</f>
        <v>2025/08/02</v>
      </c>
      <c r="K87" s="527" t="str">
        <f>日期!E2</f>
        <v>2025/08/03</v>
      </c>
      <c r="L87" s="527" t="str">
        <f>日期!F2</f>
        <v>2025/08/04</v>
      </c>
      <c r="M87" s="527" t="str">
        <f>日期!G2</f>
        <v>2025/08/05</v>
      </c>
      <c r="N87" s="527" t="str">
        <f>日期!H2</f>
        <v>2025/08/06</v>
      </c>
      <c r="O87" s="527" t="str">
        <f>日期!I2</f>
        <v>2025/08/07</v>
      </c>
      <c r="P87" s="527" t="str">
        <f>日期!J2</f>
        <v>2025/08/08</v>
      </c>
      <c r="Q87" s="527" t="str">
        <f>日期!K2</f>
        <v>2025/08/09</v>
      </c>
      <c r="R87" s="527" t="str">
        <f>日期!L2</f>
        <v>2025/08/10</v>
      </c>
      <c r="S87" s="527" t="str">
        <f>日期!M2</f>
        <v>2025/08/11</v>
      </c>
      <c r="T87" s="527" t="str">
        <f>日期!N2</f>
        <v>2025/08/12</v>
      </c>
      <c r="U87" s="527" t="str">
        <f>日期!O2</f>
        <v>2025/08/13</v>
      </c>
      <c r="V87" s="527" t="str">
        <f>日期!P2</f>
        <v>2025/08/14</v>
      </c>
      <c r="W87" s="527" t="str">
        <f>日期!Q2</f>
        <v>2025/08/15</v>
      </c>
      <c r="X87" s="527" t="str">
        <f>日期!R2</f>
        <v>2025/08/16</v>
      </c>
      <c r="Y87" s="527" t="str">
        <f>日期!S2</f>
        <v>2025/08/17</v>
      </c>
      <c r="Z87" s="527" t="str">
        <f>日期!T2</f>
        <v>2025/08/18</v>
      </c>
      <c r="AA87" s="527" t="str">
        <f>日期!U2</f>
        <v>2025/08/19</v>
      </c>
      <c r="AB87" s="527" t="str">
        <f>日期!V2</f>
        <v>2025/08/20</v>
      </c>
      <c r="AC87" s="527" t="str">
        <f>日期!W2</f>
        <v>2025/08/21</v>
      </c>
      <c r="AD87" s="527" t="str">
        <f>日期!X2</f>
        <v>2025/08/22</v>
      </c>
      <c r="AE87" s="527" t="str">
        <f>日期!Y2</f>
        <v>2025/08/23</v>
      </c>
      <c r="AF87" s="527" t="str">
        <f>日期!Z2</f>
        <v>2025/08/24</v>
      </c>
      <c r="AG87" s="527" t="str">
        <f>日期!AA2</f>
        <v>2025/08/25</v>
      </c>
      <c r="AH87" s="527" t="str">
        <f>日期!AB2</f>
        <v>2025/08/26</v>
      </c>
      <c r="AI87" s="527" t="str">
        <f>日期!AC2</f>
        <v>2025/08/27</v>
      </c>
      <c r="AJ87" s="527" t="str">
        <f>日期!AD2</f>
        <v>2025/08/28</v>
      </c>
      <c r="AK87" s="527" t="str">
        <f>日期!AE2</f>
        <v>2025/08/29</v>
      </c>
      <c r="AL87" s="527" t="str">
        <f>日期!AF2</f>
        <v>2025/08/30</v>
      </c>
      <c r="AM87" s="527" t="str">
        <f>日期!AG2</f>
        <v>2025/08/31</v>
      </c>
      <c r="AN87" s="592" t="s">
        <v>42</v>
      </c>
    </row>
    <row r="88" spans="1:41" s="35" customFormat="1" ht="24" customHeight="1" thickBot="1">
      <c r="A88" s="598"/>
      <c r="B88" s="599"/>
      <c r="C88" s="599"/>
      <c r="D88" s="601"/>
      <c r="E88" s="602"/>
      <c r="F88" s="334" t="s">
        <v>58</v>
      </c>
      <c r="G88" s="603" t="s">
        <v>59</v>
      </c>
      <c r="H88" s="604"/>
      <c r="I88" s="12" t="str">
        <f>日期!C3</f>
        <v>Fri</v>
      </c>
      <c r="J88" s="12" t="str">
        <f>日期!D3</f>
        <v>Sat</v>
      </c>
      <c r="K88" s="12" t="str">
        <f>日期!E3</f>
        <v>Sun</v>
      </c>
      <c r="L88" s="12" t="str">
        <f>日期!F3</f>
        <v>Mon</v>
      </c>
      <c r="M88" s="12" t="str">
        <f>日期!G3</f>
        <v>Tue</v>
      </c>
      <c r="N88" s="12" t="str">
        <f>日期!H3</f>
        <v>Wed</v>
      </c>
      <c r="O88" s="12" t="str">
        <f>日期!I3</f>
        <v>Thu</v>
      </c>
      <c r="P88" s="12" t="str">
        <f>日期!J3</f>
        <v>Fri</v>
      </c>
      <c r="Q88" s="12" t="str">
        <f>日期!K3</f>
        <v>Sat</v>
      </c>
      <c r="R88" s="12" t="str">
        <f>日期!L3</f>
        <v>Sun</v>
      </c>
      <c r="S88" s="12" t="str">
        <f>日期!M3</f>
        <v>Mon</v>
      </c>
      <c r="T88" s="12" t="str">
        <f>日期!N3</f>
        <v>Tue</v>
      </c>
      <c r="U88" s="12" t="str">
        <f>日期!O3</f>
        <v>Wed</v>
      </c>
      <c r="V88" s="12" t="str">
        <f>日期!P3</f>
        <v>Thu</v>
      </c>
      <c r="W88" s="12" t="str">
        <f>日期!Q3</f>
        <v>Fri</v>
      </c>
      <c r="X88" s="12" t="str">
        <f>日期!R3</f>
        <v>Sat</v>
      </c>
      <c r="Y88" s="12" t="str">
        <f>日期!S3</f>
        <v>Sun</v>
      </c>
      <c r="Z88" s="12" t="str">
        <f>日期!T3</f>
        <v>Mon</v>
      </c>
      <c r="AA88" s="12" t="str">
        <f>日期!U3</f>
        <v>Tue</v>
      </c>
      <c r="AB88" s="12" t="str">
        <f>日期!V3</f>
        <v>Wed</v>
      </c>
      <c r="AC88" s="12" t="str">
        <f>日期!W3</f>
        <v>Thu</v>
      </c>
      <c r="AD88" s="12" t="str">
        <f>日期!X3</f>
        <v>Fri</v>
      </c>
      <c r="AE88" s="12" t="str">
        <f>日期!Y3</f>
        <v>Sat</v>
      </c>
      <c r="AF88" s="12" t="str">
        <f>日期!Z3</f>
        <v>Sun</v>
      </c>
      <c r="AG88" s="12" t="str">
        <f>日期!AA3</f>
        <v>Mon</v>
      </c>
      <c r="AH88" s="12" t="str">
        <f>日期!AB3</f>
        <v>Tue</v>
      </c>
      <c r="AI88" s="12" t="str">
        <f>日期!AC3</f>
        <v>Wed</v>
      </c>
      <c r="AJ88" s="12" t="str">
        <f>日期!AD3</f>
        <v>Thu</v>
      </c>
      <c r="AK88" s="12" t="str">
        <f>日期!AE3</f>
        <v>Fri</v>
      </c>
      <c r="AL88" s="12" t="str">
        <f>日期!AF3</f>
        <v>Sat</v>
      </c>
      <c r="AM88" s="12" t="str">
        <f>日期!AG3</f>
        <v>Sun</v>
      </c>
      <c r="AN88" s="593"/>
    </row>
    <row r="89" spans="1:41" s="35" customFormat="1" ht="21.95" customHeight="1">
      <c r="A89" s="594" t="s">
        <v>11</v>
      </c>
      <c r="B89" s="595"/>
      <c r="C89" s="595"/>
      <c r="D89" s="314">
        <f>HLOOKUP(MONTH(日期!$C$2),去年月推移!$D$1:$O$200,145,TRUE)</f>
        <v>6040</v>
      </c>
      <c r="E89" s="62" t="s">
        <v>45</v>
      </c>
      <c r="F89" s="62" t="s">
        <v>45</v>
      </c>
      <c r="G89" s="560">
        <f>當年月推移!P147</f>
        <v>4843</v>
      </c>
      <c r="H89" s="561"/>
      <c r="I89" s="63">
        <f>VALUE(點數BO!C2)</f>
        <v>236</v>
      </c>
      <c r="J89" s="63">
        <f>VALUE(點數BO!D2)</f>
        <v>203</v>
      </c>
      <c r="K89" s="63">
        <f>VALUE(點數BO!E2)</f>
        <v>0</v>
      </c>
      <c r="L89" s="63">
        <f>VALUE(點數BO!F2)</f>
        <v>296</v>
      </c>
      <c r="M89" s="63">
        <f>VALUE(點數BO!G2)</f>
        <v>330</v>
      </c>
      <c r="N89" s="63">
        <f>VALUE(點數BO!H2)</f>
        <v>302</v>
      </c>
      <c r="O89" s="63">
        <f>VALUE(點數BO!I2)</f>
        <v>0</v>
      </c>
      <c r="P89" s="63">
        <f>VALUE(點數BO!J2)</f>
        <v>263</v>
      </c>
      <c r="Q89" s="63">
        <f>VALUE(點數BO!K2)</f>
        <v>154</v>
      </c>
      <c r="R89" s="63">
        <f>VALUE(點數BO!L2)</f>
        <v>0</v>
      </c>
      <c r="S89" s="63">
        <f>VALUE(點數BO!M2)</f>
        <v>302</v>
      </c>
      <c r="T89" s="63">
        <f>VALUE(點數BO!N2)</f>
        <v>234</v>
      </c>
      <c r="U89" s="63">
        <f>VALUE(點數BO!O2)</f>
        <v>181</v>
      </c>
      <c r="V89" s="63">
        <f>VALUE(點數BO!P2)</f>
        <v>236</v>
      </c>
      <c r="W89" s="63">
        <f>VALUE(點數BO!Q2)</f>
        <v>143</v>
      </c>
      <c r="X89" s="63">
        <f>VALUE(點數BO!R2)</f>
        <v>100</v>
      </c>
      <c r="Y89" s="63">
        <f>VALUE(點數BO!S2)</f>
        <v>0</v>
      </c>
      <c r="Z89" s="63">
        <f>VALUE(點數BO!T2)</f>
        <v>195</v>
      </c>
      <c r="AA89" s="63">
        <f>VALUE(點數BO!U2)</f>
        <v>264</v>
      </c>
      <c r="AB89" s="63">
        <f>VALUE(點數BO!V2)</f>
        <v>196</v>
      </c>
      <c r="AC89" s="63">
        <f>VALUE(點數BO!W2)</f>
        <v>221</v>
      </c>
      <c r="AD89" s="63">
        <f>VALUE(點數BO!X2)</f>
        <v>232</v>
      </c>
      <c r="AE89" s="63">
        <f>VALUE(點數BO!Y2)</f>
        <v>0</v>
      </c>
      <c r="AF89" s="63">
        <f>VALUE(點數BO!Z2)</f>
        <v>0</v>
      </c>
      <c r="AG89" s="63">
        <f>VALUE(點數BO!AA2)</f>
        <v>274</v>
      </c>
      <c r="AH89" s="63">
        <f>VALUE(點數BO!AB2)</f>
        <v>224</v>
      </c>
      <c r="AI89" s="63">
        <f>VALUE(點數BO!AC2)</f>
        <v>200</v>
      </c>
      <c r="AJ89" s="63">
        <f>VALUE(點數BO!AD2)</f>
        <v>200</v>
      </c>
      <c r="AK89" s="63">
        <f>VALUE(點數BO!AE2)</f>
        <v>161</v>
      </c>
      <c r="AL89" s="63">
        <f>VALUE(點數BO!AF2)</f>
        <v>75</v>
      </c>
      <c r="AM89" s="63">
        <f>VALUE(點數BO!AG2)</f>
        <v>0</v>
      </c>
      <c r="AN89" s="516">
        <f>VALUE(點數BO!AH2)</f>
        <v>5537</v>
      </c>
    </row>
    <row r="90" spans="1:41" s="35" customFormat="1" ht="21.95" customHeight="1">
      <c r="A90" s="572" t="s">
        <v>12</v>
      </c>
      <c r="B90" s="573"/>
      <c r="C90" s="573"/>
      <c r="D90" s="314">
        <f>HLOOKUP(MONTH(日期!$C$2),去年月推移!$D$1:$O$200,146,TRUE)</f>
        <v>0</v>
      </c>
      <c r="E90" s="64" t="s">
        <v>45</v>
      </c>
      <c r="F90" s="64" t="s">
        <v>45</v>
      </c>
      <c r="G90" s="562">
        <f>當年月推移!P148</f>
        <v>17</v>
      </c>
      <c r="H90" s="563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4</v>
      </c>
      <c r="R90" s="63">
        <f>VALUE(點數BO!L4)</f>
        <v>0</v>
      </c>
      <c r="S90" s="63">
        <f>VALUE(點數BO!M4)</f>
        <v>0</v>
      </c>
      <c r="T90" s="63">
        <f>VALUE(點數BO!N4)</f>
        <v>1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1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1</v>
      </c>
      <c r="AM90" s="63">
        <f>VALUE(點數BO!AG4)</f>
        <v>0</v>
      </c>
      <c r="AN90" s="517">
        <f>VALUE(點數BO!AH4)</f>
        <v>7</v>
      </c>
    </row>
    <row r="91" spans="1:41" s="35" customFormat="1" ht="21.95" customHeight="1">
      <c r="A91" s="572" t="s">
        <v>13</v>
      </c>
      <c r="B91" s="573"/>
      <c r="C91" s="573"/>
      <c r="D91" s="314">
        <f>HLOOKUP(MONTH(日期!$C$2),去年月推移!$D$1:$O$200,147,TRUE)</f>
        <v>82</v>
      </c>
      <c r="E91" s="64" t="s">
        <v>45</v>
      </c>
      <c r="F91" s="64" t="s">
        <v>45</v>
      </c>
      <c r="G91" s="562">
        <f>當年月推移!P149</f>
        <v>56</v>
      </c>
      <c r="H91" s="563"/>
      <c r="I91" s="63">
        <f>VALUE(點數BO!C5)</f>
        <v>2</v>
      </c>
      <c r="J91" s="63">
        <f>VALUE(點數BO!D5)</f>
        <v>0</v>
      </c>
      <c r="K91" s="63">
        <f>VALUE(點數BO!E5)</f>
        <v>0</v>
      </c>
      <c r="L91" s="63">
        <f>VALUE(點數BO!F5)</f>
        <v>2</v>
      </c>
      <c r="M91" s="63">
        <f>VALUE(點數BO!G5)</f>
        <v>4</v>
      </c>
      <c r="N91" s="63">
        <f>VALUE(點數BO!H5)</f>
        <v>2</v>
      </c>
      <c r="O91" s="63">
        <f>VALUE(點數BO!I5)</f>
        <v>0</v>
      </c>
      <c r="P91" s="63">
        <f>VALUE(點數BO!J5)</f>
        <v>3</v>
      </c>
      <c r="Q91" s="63">
        <f>VALUE(點數BO!K5)</f>
        <v>0</v>
      </c>
      <c r="R91" s="63">
        <f>VALUE(點數BO!L5)</f>
        <v>0</v>
      </c>
      <c r="S91" s="63">
        <f>VALUE(點數BO!M5)</f>
        <v>2</v>
      </c>
      <c r="T91" s="63">
        <f>VALUE(點數BO!N5)</f>
        <v>1</v>
      </c>
      <c r="U91" s="63">
        <f>VALUE(點數BO!O5)</f>
        <v>2</v>
      </c>
      <c r="V91" s="63">
        <f>VALUE(點數BO!P5)</f>
        <v>0</v>
      </c>
      <c r="W91" s="63">
        <f>VALUE(點數BO!Q5)</f>
        <v>2</v>
      </c>
      <c r="X91" s="63">
        <f>VALUE(點數BO!R5)</f>
        <v>0</v>
      </c>
      <c r="Y91" s="63">
        <f>VALUE(點數BO!S5)</f>
        <v>0</v>
      </c>
      <c r="Z91" s="63">
        <f>VALUE(點數BO!T5)</f>
        <v>0</v>
      </c>
      <c r="AA91" s="63">
        <f>VALUE(點數BO!U5)</f>
        <v>1</v>
      </c>
      <c r="AB91" s="63">
        <f>VALUE(點數BO!V5)</f>
        <v>2</v>
      </c>
      <c r="AC91" s="63">
        <f>VALUE(點數BO!W5)</f>
        <v>3</v>
      </c>
      <c r="AD91" s="63">
        <f>VALUE(點數BO!X5)</f>
        <v>2</v>
      </c>
      <c r="AE91" s="63">
        <f>VALUE(點數BO!Y5)</f>
        <v>0</v>
      </c>
      <c r="AF91" s="63">
        <f>VALUE(點數BO!Z5)</f>
        <v>0</v>
      </c>
      <c r="AG91" s="63">
        <f>VALUE(點數BO!AA5)</f>
        <v>1</v>
      </c>
      <c r="AH91" s="63">
        <f>VALUE(點數BO!AB5)</f>
        <v>4</v>
      </c>
      <c r="AI91" s="63">
        <f>VALUE(點數BO!AC5)</f>
        <v>3</v>
      </c>
      <c r="AJ91" s="63">
        <f>VALUE(點數BO!AD5)</f>
        <v>0</v>
      </c>
      <c r="AK91" s="63">
        <f>VALUE(點數BO!AE5)</f>
        <v>1</v>
      </c>
      <c r="AL91" s="63">
        <f>VALUE(點數BO!AF5)</f>
        <v>1</v>
      </c>
      <c r="AM91" s="63">
        <f>VALUE(點數BO!AG5)</f>
        <v>0</v>
      </c>
      <c r="AN91" s="517">
        <f>VALUE(點數BO!AH5)</f>
        <v>40</v>
      </c>
    </row>
    <row r="92" spans="1:41" s="35" customFormat="1" ht="21.95" customHeight="1">
      <c r="A92" s="572" t="s">
        <v>14</v>
      </c>
      <c r="B92" s="573"/>
      <c r="C92" s="573"/>
      <c r="D92" s="314">
        <f>HLOOKUP(MONTH(日期!$C$2),去年月推移!$D$1:$O$200,148,TRUE)</f>
        <v>263</v>
      </c>
      <c r="E92" s="64" t="s">
        <v>45</v>
      </c>
      <c r="F92" s="64" t="s">
        <v>45</v>
      </c>
      <c r="G92" s="562">
        <f>當年月推移!P150</f>
        <v>227</v>
      </c>
      <c r="H92" s="563"/>
      <c r="I92" s="63">
        <f>VALUE(點數BO!C6)</f>
        <v>5</v>
      </c>
      <c r="J92" s="63">
        <f>VALUE(點數BO!D6)</f>
        <v>6</v>
      </c>
      <c r="K92" s="63">
        <f>VALUE(點數BO!E6)</f>
        <v>0</v>
      </c>
      <c r="L92" s="63">
        <f>VALUE(點數BO!F6)</f>
        <v>12</v>
      </c>
      <c r="M92" s="63">
        <f>VALUE(點數BO!G6)</f>
        <v>10</v>
      </c>
      <c r="N92" s="63">
        <f>VALUE(點數BO!H6)</f>
        <v>21</v>
      </c>
      <c r="O92" s="63">
        <f>VALUE(點數BO!I6)</f>
        <v>0</v>
      </c>
      <c r="P92" s="63">
        <f>VALUE(點數BO!J6)</f>
        <v>23</v>
      </c>
      <c r="Q92" s="63">
        <f>VALUE(點數BO!K6)</f>
        <v>15</v>
      </c>
      <c r="R92" s="63">
        <f>VALUE(點數BO!L6)</f>
        <v>0</v>
      </c>
      <c r="S92" s="63">
        <f>VALUE(點數BO!M6)</f>
        <v>14</v>
      </c>
      <c r="T92" s="63">
        <f>VALUE(點數BO!N6)</f>
        <v>19</v>
      </c>
      <c r="U92" s="63">
        <f>VALUE(點數BO!O6)</f>
        <v>8</v>
      </c>
      <c r="V92" s="63">
        <f>VALUE(點數BO!P6)</f>
        <v>8</v>
      </c>
      <c r="W92" s="63">
        <f>VALUE(點數BO!Q6)</f>
        <v>6</v>
      </c>
      <c r="X92" s="63">
        <f>VALUE(點數BO!R6)</f>
        <v>10</v>
      </c>
      <c r="Y92" s="63">
        <f>VALUE(點數BO!S6)</f>
        <v>0</v>
      </c>
      <c r="Z92" s="63">
        <f>VALUE(點數BO!T6)</f>
        <v>12</v>
      </c>
      <c r="AA92" s="63">
        <f>VALUE(點數BO!U6)</f>
        <v>10</v>
      </c>
      <c r="AB92" s="63">
        <f>VALUE(點數BO!V6)</f>
        <v>15</v>
      </c>
      <c r="AC92" s="63">
        <f>VALUE(點數BO!W6)</f>
        <v>15</v>
      </c>
      <c r="AD92" s="63">
        <f>VALUE(點數BO!X6)</f>
        <v>26</v>
      </c>
      <c r="AE92" s="63">
        <f>VALUE(點數BO!Y6)</f>
        <v>0</v>
      </c>
      <c r="AF92" s="63">
        <f>VALUE(點數BO!Z6)</f>
        <v>0</v>
      </c>
      <c r="AG92" s="63">
        <f>VALUE(點數BO!AA6)</f>
        <v>15</v>
      </c>
      <c r="AH92" s="63">
        <f>VALUE(點數BO!AB6)</f>
        <v>4</v>
      </c>
      <c r="AI92" s="63">
        <f>VALUE(點數BO!AC6)</f>
        <v>6</v>
      </c>
      <c r="AJ92" s="63">
        <f>VALUE(點數BO!AD6)</f>
        <v>8</v>
      </c>
      <c r="AK92" s="63">
        <f>VALUE(點數BO!AE6)</f>
        <v>0</v>
      </c>
      <c r="AL92" s="63">
        <f>VALUE(點數BO!AF6)</f>
        <v>3</v>
      </c>
      <c r="AM92" s="63">
        <f>VALUE(點數BO!AG6)</f>
        <v>0</v>
      </c>
      <c r="AN92" s="517">
        <f>VALUE(點數BO!AH6)</f>
        <v>300</v>
      </c>
    </row>
    <row r="93" spans="1:41" s="35" customFormat="1" ht="21.95" customHeight="1">
      <c r="A93" s="572" t="s">
        <v>56</v>
      </c>
      <c r="B93" s="573"/>
      <c r="C93" s="573"/>
      <c r="D93" s="314">
        <f>HLOOKUP(MONTH(日期!$C$2),去年月推移!$D$1:$O$200,149,TRUE)</f>
        <v>894</v>
      </c>
      <c r="E93" s="64" t="s">
        <v>45</v>
      </c>
      <c r="F93" s="64" t="s">
        <v>45</v>
      </c>
      <c r="G93" s="562">
        <f>當年月推移!P151</f>
        <v>663</v>
      </c>
      <c r="H93" s="563"/>
      <c r="I93" s="63">
        <f>VALUE(點數BO!C20)</f>
        <v>38</v>
      </c>
      <c r="J93" s="63">
        <f>VALUE(點數BO!D20)</f>
        <v>31</v>
      </c>
      <c r="K93" s="63">
        <f>VALUE(點數BO!E20)</f>
        <v>0</v>
      </c>
      <c r="L93" s="63">
        <f>VALUE(點數BO!F20)</f>
        <v>68</v>
      </c>
      <c r="M93" s="63">
        <f>VALUE(點數BO!G20)</f>
        <v>105</v>
      </c>
      <c r="N93" s="63">
        <f>VALUE(點數BO!H20)</f>
        <v>29</v>
      </c>
      <c r="O93" s="63">
        <f>VALUE(點數BO!I20)</f>
        <v>0</v>
      </c>
      <c r="P93" s="63">
        <f>VALUE(點數BO!J20)</f>
        <v>26</v>
      </c>
      <c r="Q93" s="63">
        <f>VALUE(點數BO!K20)</f>
        <v>24</v>
      </c>
      <c r="R93" s="63">
        <f>VALUE(點數BO!L20)</f>
        <v>0</v>
      </c>
      <c r="S93" s="63">
        <f>VALUE(點數BO!M20)</f>
        <v>40</v>
      </c>
      <c r="T93" s="63">
        <f>VALUE(點數BO!N20)</f>
        <v>38</v>
      </c>
      <c r="U93" s="63">
        <f>VALUE(點數BO!O20)</f>
        <v>31</v>
      </c>
      <c r="V93" s="63">
        <f>VALUE(點數BO!P20)</f>
        <v>41</v>
      </c>
      <c r="W93" s="63">
        <f>VALUE(點數BO!Q20)</f>
        <v>18</v>
      </c>
      <c r="X93" s="63">
        <f>VALUE(點數BO!R20)</f>
        <v>32</v>
      </c>
      <c r="Y93" s="63">
        <f>VALUE(點數BO!S20)</f>
        <v>0</v>
      </c>
      <c r="Z93" s="63">
        <f>VALUE(點數BO!T20)</f>
        <v>45</v>
      </c>
      <c r="AA93" s="63">
        <f>VALUE(點數BO!U20)</f>
        <v>27</v>
      </c>
      <c r="AB93" s="63">
        <f>VALUE(點數BO!V20)</f>
        <v>19</v>
      </c>
      <c r="AC93" s="63">
        <f>VALUE(點數BO!W20)</f>
        <v>19</v>
      </c>
      <c r="AD93" s="63">
        <f>VALUE(點數BO!X20)</f>
        <v>26</v>
      </c>
      <c r="AE93" s="63">
        <f>VALUE(點數BO!Y20)</f>
        <v>0</v>
      </c>
      <c r="AF93" s="63">
        <f>VALUE(點數BO!Z20)</f>
        <v>0</v>
      </c>
      <c r="AG93" s="63">
        <f>VALUE(點數BO!AA20)</f>
        <v>35</v>
      </c>
      <c r="AH93" s="63">
        <f>VALUE(點數BO!AB20)</f>
        <v>30</v>
      </c>
      <c r="AI93" s="63">
        <f>VALUE(點數BO!AC20)</f>
        <v>27</v>
      </c>
      <c r="AJ93" s="63">
        <f>VALUE(點數BO!AD20)</f>
        <v>30</v>
      </c>
      <c r="AK93" s="63">
        <f>VALUE(點數BO!AE20)</f>
        <v>14</v>
      </c>
      <c r="AL93" s="63">
        <f>VALUE(點數BO!AF20)</f>
        <v>9</v>
      </c>
      <c r="AM93" s="63">
        <f>VALUE(點數BO!AG20)</f>
        <v>0</v>
      </c>
      <c r="AN93" s="517">
        <f>VALUE(點數BO!AH20)</f>
        <v>828</v>
      </c>
    </row>
    <row r="94" spans="1:41" s="35" customFormat="1" ht="21.95" customHeight="1">
      <c r="A94" s="572" t="s">
        <v>16</v>
      </c>
      <c r="B94" s="573"/>
      <c r="C94" s="573"/>
      <c r="D94" s="314">
        <f>HLOOKUP(MONTH(日期!$C$2),去年月推移!$D$1:$O$200,150,TRUE)</f>
        <v>114</v>
      </c>
      <c r="E94" s="64" t="s">
        <v>45</v>
      </c>
      <c r="F94" s="64" t="s">
        <v>45</v>
      </c>
      <c r="G94" s="562">
        <f>當年月推移!P152</f>
        <v>185</v>
      </c>
      <c r="H94" s="563"/>
      <c r="I94" s="63">
        <f>VALUE(點數BO!C8)</f>
        <v>4</v>
      </c>
      <c r="J94" s="63">
        <f>VALUE(點數BO!D8)</f>
        <v>0</v>
      </c>
      <c r="K94" s="63">
        <f>VALUE(點數BO!E8)</f>
        <v>0</v>
      </c>
      <c r="L94" s="63">
        <f>VALUE(點數BO!F8)</f>
        <v>2</v>
      </c>
      <c r="M94" s="63">
        <f>VALUE(點數BO!G8)</f>
        <v>4</v>
      </c>
      <c r="N94" s="63">
        <f>VALUE(點數BO!H8)</f>
        <v>4</v>
      </c>
      <c r="O94" s="63">
        <f>VALUE(點數BO!I8)</f>
        <v>0</v>
      </c>
      <c r="P94" s="63">
        <f>VALUE(點數BO!J8)</f>
        <v>5</v>
      </c>
      <c r="Q94" s="63">
        <f>VALUE(點數BO!K8)</f>
        <v>6</v>
      </c>
      <c r="R94" s="63">
        <f>VALUE(點數BO!L8)</f>
        <v>0</v>
      </c>
      <c r="S94" s="63">
        <f>VALUE(點數BO!M8)</f>
        <v>4</v>
      </c>
      <c r="T94" s="63">
        <f>VALUE(點數BO!N8)</f>
        <v>4</v>
      </c>
      <c r="U94" s="63">
        <f>VALUE(點數BO!O8)</f>
        <v>8</v>
      </c>
      <c r="V94" s="63">
        <f>VALUE(點數BO!P8)</f>
        <v>6</v>
      </c>
      <c r="W94" s="63">
        <f>VALUE(點數BO!Q8)</f>
        <v>2</v>
      </c>
      <c r="X94" s="63">
        <f>VALUE(點數BO!R8)</f>
        <v>25</v>
      </c>
      <c r="Y94" s="63">
        <f>VALUE(點數BO!S8)</f>
        <v>0</v>
      </c>
      <c r="Z94" s="63">
        <f>VALUE(點數BO!T8)</f>
        <v>18</v>
      </c>
      <c r="AA94" s="63">
        <f>VALUE(點數BO!U8)</f>
        <v>10</v>
      </c>
      <c r="AB94" s="63">
        <f>VALUE(點數BO!V8)</f>
        <v>4</v>
      </c>
      <c r="AC94" s="63">
        <f>VALUE(點數BO!W8)</f>
        <v>4</v>
      </c>
      <c r="AD94" s="63">
        <f>VALUE(點數BO!X8)</f>
        <v>8</v>
      </c>
      <c r="AE94" s="63">
        <f>VALUE(點數BO!Y8)</f>
        <v>0</v>
      </c>
      <c r="AF94" s="63">
        <f>VALUE(點數BO!Z8)</f>
        <v>0</v>
      </c>
      <c r="AG94" s="63">
        <f>VALUE(點數BO!AA8)</f>
        <v>14</v>
      </c>
      <c r="AH94" s="63">
        <f>VALUE(點數BO!AB8)</f>
        <v>7</v>
      </c>
      <c r="AI94" s="63">
        <f>VALUE(點數BO!AC8)</f>
        <v>2</v>
      </c>
      <c r="AJ94" s="63">
        <f>VALUE(點數BO!AD8)</f>
        <v>0</v>
      </c>
      <c r="AK94" s="63">
        <f>VALUE(點數BO!AE8)</f>
        <v>1</v>
      </c>
      <c r="AL94" s="63">
        <f>VALUE(點數BO!AF8)</f>
        <v>1</v>
      </c>
      <c r="AM94" s="63">
        <f>VALUE(點數BO!AG8)</f>
        <v>0</v>
      </c>
      <c r="AN94" s="517">
        <f>VALUE(點數BO!AH8)</f>
        <v>145</v>
      </c>
    </row>
    <row r="95" spans="1:41" s="35" customFormat="1" ht="21.95" customHeight="1">
      <c r="A95" s="581" t="s">
        <v>17</v>
      </c>
      <c r="B95" s="582"/>
      <c r="C95" s="582"/>
      <c r="D95" s="314">
        <f>HLOOKUP(MONTH(日期!$C$2),去年月推移!$D$1:$O$200,151,TRUE)</f>
        <v>13</v>
      </c>
      <c r="E95" s="65" t="s">
        <v>45</v>
      </c>
      <c r="F95" s="65" t="s">
        <v>45</v>
      </c>
      <c r="G95" s="562">
        <f>當年月推移!P153</f>
        <v>12</v>
      </c>
      <c r="H95" s="563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2</v>
      </c>
      <c r="Y95" s="63">
        <f>VALUE(點數BO!S9)</f>
        <v>0</v>
      </c>
      <c r="Z95" s="63">
        <f>VALUE(點數BO!T9)</f>
        <v>1</v>
      </c>
      <c r="AA95" s="63">
        <f>VALUE(點數BO!U9)</f>
        <v>2</v>
      </c>
      <c r="AB95" s="63">
        <f>VALUE(點數BO!V9)</f>
        <v>1</v>
      </c>
      <c r="AC95" s="63">
        <f>VALUE(點數BO!W9)</f>
        <v>1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8</v>
      </c>
    </row>
    <row r="96" spans="1:41" s="35" customFormat="1" ht="21.95" customHeight="1">
      <c r="A96" s="583" t="s">
        <v>49</v>
      </c>
      <c r="B96" s="584"/>
      <c r="C96" s="585"/>
      <c r="D96" s="321">
        <f>HLOOKUP(MONTH(日期!$C$2),去年月推移!$D$1:$O$200,152,TRUE)</f>
        <v>7406</v>
      </c>
      <c r="E96" s="248"/>
      <c r="F96" s="248"/>
      <c r="G96" s="577">
        <f>當年月推移!P154</f>
        <v>6003</v>
      </c>
      <c r="H96" s="578"/>
      <c r="I96" s="249">
        <f>SUM(I89:I95)</f>
        <v>285</v>
      </c>
      <c r="J96" s="249">
        <f>SUM(J89:J95)</f>
        <v>240</v>
      </c>
      <c r="K96" s="249">
        <f>SUM(K89:K95)</f>
        <v>0</v>
      </c>
      <c r="L96" s="249">
        <f t="shared" ref="L96:AN96" si="11">SUM(L89:L95)</f>
        <v>380</v>
      </c>
      <c r="M96" s="249">
        <f t="shared" si="11"/>
        <v>453</v>
      </c>
      <c r="N96" s="249">
        <f t="shared" si="11"/>
        <v>358</v>
      </c>
      <c r="O96" s="249">
        <f t="shared" si="11"/>
        <v>0</v>
      </c>
      <c r="P96" s="249">
        <f t="shared" si="11"/>
        <v>320</v>
      </c>
      <c r="Q96" s="249">
        <f t="shared" si="11"/>
        <v>203</v>
      </c>
      <c r="R96" s="249">
        <f t="shared" si="11"/>
        <v>0</v>
      </c>
      <c r="S96" s="249">
        <f t="shared" si="11"/>
        <v>362</v>
      </c>
      <c r="T96" s="249">
        <f t="shared" si="11"/>
        <v>297</v>
      </c>
      <c r="U96" s="249">
        <f t="shared" si="11"/>
        <v>230</v>
      </c>
      <c r="V96" s="249">
        <f t="shared" si="11"/>
        <v>291</v>
      </c>
      <c r="W96" s="249">
        <f t="shared" si="11"/>
        <v>171</v>
      </c>
      <c r="X96" s="249">
        <f t="shared" si="11"/>
        <v>169</v>
      </c>
      <c r="Y96" s="249">
        <f t="shared" si="11"/>
        <v>0</v>
      </c>
      <c r="Z96" s="249">
        <f t="shared" si="11"/>
        <v>271</v>
      </c>
      <c r="AA96" s="249">
        <f t="shared" si="11"/>
        <v>314</v>
      </c>
      <c r="AB96" s="249">
        <f t="shared" si="11"/>
        <v>237</v>
      </c>
      <c r="AC96" s="249">
        <f t="shared" si="11"/>
        <v>263</v>
      </c>
      <c r="AD96" s="249">
        <f t="shared" si="11"/>
        <v>294</v>
      </c>
      <c r="AE96" s="249">
        <f t="shared" si="11"/>
        <v>0</v>
      </c>
      <c r="AF96" s="249">
        <f t="shared" si="11"/>
        <v>0</v>
      </c>
      <c r="AG96" s="249">
        <f t="shared" si="11"/>
        <v>340</v>
      </c>
      <c r="AH96" s="249">
        <f t="shared" si="11"/>
        <v>269</v>
      </c>
      <c r="AI96" s="249">
        <f t="shared" si="11"/>
        <v>238</v>
      </c>
      <c r="AJ96" s="249">
        <f t="shared" si="11"/>
        <v>238</v>
      </c>
      <c r="AK96" s="249">
        <f t="shared" si="11"/>
        <v>177</v>
      </c>
      <c r="AL96" s="249">
        <f t="shared" si="11"/>
        <v>90</v>
      </c>
      <c r="AM96" s="249">
        <f t="shared" si="11"/>
        <v>0</v>
      </c>
      <c r="AN96" s="250">
        <f t="shared" si="11"/>
        <v>6865</v>
      </c>
    </row>
    <row r="97" spans="1:41" s="35" customFormat="1" ht="21.95" customHeight="1">
      <c r="A97" s="572" t="s">
        <v>23</v>
      </c>
      <c r="B97" s="573"/>
      <c r="C97" s="573"/>
      <c r="D97" s="316">
        <f>HLOOKUP(MONTH(日期!$C$2),去年月推移!$D$1:$O$200,153,TRUE)</f>
        <v>1390</v>
      </c>
      <c r="E97" s="64" t="s">
        <v>45</v>
      </c>
      <c r="F97" s="64" t="s">
        <v>45</v>
      </c>
      <c r="G97" s="562">
        <f>當年月推移!P155</f>
        <v>734</v>
      </c>
      <c r="H97" s="563"/>
      <c r="I97" s="63">
        <f>VALUE(點數BO!C3)</f>
        <v>21</v>
      </c>
      <c r="J97" s="63">
        <f>VALUE(點數BO!D3)</f>
        <v>17</v>
      </c>
      <c r="K97" s="63">
        <f>VALUE(點數BO!E3)</f>
        <v>0</v>
      </c>
      <c r="L97" s="63">
        <f>VALUE(點數BO!F3)</f>
        <v>34</v>
      </c>
      <c r="M97" s="63">
        <f>VALUE(點數BO!G3)</f>
        <v>43</v>
      </c>
      <c r="N97" s="63">
        <f>VALUE(點數BO!H3)</f>
        <v>41</v>
      </c>
      <c r="O97" s="63">
        <f>VALUE(點數BO!I3)</f>
        <v>0</v>
      </c>
      <c r="P97" s="63">
        <f>VALUE(點數BO!J3)</f>
        <v>32</v>
      </c>
      <c r="Q97" s="63">
        <f>VALUE(點數BO!K3)</f>
        <v>12</v>
      </c>
      <c r="R97" s="63">
        <f>VALUE(點數BO!L3)</f>
        <v>0</v>
      </c>
      <c r="S97" s="63">
        <f>VALUE(點數BO!M3)</f>
        <v>32</v>
      </c>
      <c r="T97" s="63">
        <f>VALUE(點數BO!N3)</f>
        <v>27</v>
      </c>
      <c r="U97" s="63">
        <f>VALUE(點數BO!O3)</f>
        <v>20</v>
      </c>
      <c r="V97" s="63">
        <f>VALUE(點數BO!P3)</f>
        <v>25</v>
      </c>
      <c r="W97" s="63">
        <f>VALUE(點數BO!Q3)</f>
        <v>27</v>
      </c>
      <c r="X97" s="63">
        <f>VALUE(點數BO!R3)</f>
        <v>16</v>
      </c>
      <c r="Y97" s="63">
        <f>VALUE(點數BO!S3)</f>
        <v>0</v>
      </c>
      <c r="Z97" s="63">
        <f>VALUE(點數BO!T3)</f>
        <v>29</v>
      </c>
      <c r="AA97" s="63">
        <f>VALUE(點數BO!U3)</f>
        <v>53</v>
      </c>
      <c r="AB97" s="63">
        <f>VALUE(點數BO!V3)</f>
        <v>35</v>
      </c>
      <c r="AC97" s="63">
        <f>VALUE(點數BO!W3)</f>
        <v>41</v>
      </c>
      <c r="AD97" s="63">
        <f>VALUE(點數BO!X3)</f>
        <v>28</v>
      </c>
      <c r="AE97" s="63">
        <f>VALUE(點數BO!Y3)</f>
        <v>0</v>
      </c>
      <c r="AF97" s="63">
        <f>VALUE(點數BO!Z3)</f>
        <v>0</v>
      </c>
      <c r="AG97" s="63">
        <f>VALUE(點數BO!AA3)</f>
        <v>71</v>
      </c>
      <c r="AH97" s="63">
        <f>VALUE(點數BO!AB3)</f>
        <v>45</v>
      </c>
      <c r="AI97" s="63">
        <f>VALUE(點數BO!AC3)</f>
        <v>59</v>
      </c>
      <c r="AJ97" s="63">
        <f>VALUE(點數BO!AD3)</f>
        <v>30</v>
      </c>
      <c r="AK97" s="63">
        <f>VALUE(點數BO!AE3)</f>
        <v>35</v>
      </c>
      <c r="AL97" s="63">
        <f>VALUE(點數BO!AF3)</f>
        <v>23</v>
      </c>
      <c r="AM97" s="63">
        <f>VALUE(點數BO!AG3)</f>
        <v>0</v>
      </c>
      <c r="AN97" s="517">
        <f>VALUE(點數BO!AH3)</f>
        <v>829</v>
      </c>
    </row>
    <row r="98" spans="1:41" s="35" customFormat="1" ht="21.95" customHeight="1">
      <c r="A98" s="574" t="s">
        <v>24</v>
      </c>
      <c r="B98" s="575"/>
      <c r="C98" s="576"/>
      <c r="D98" s="314">
        <f>HLOOKUP(MONTH(日期!$C$2),去年月推移!$D$1:$O$200,154,TRUE)</f>
        <v>2</v>
      </c>
      <c r="E98" s="65"/>
      <c r="F98" s="65"/>
      <c r="G98" s="562">
        <f>當年月推移!P156</f>
        <v>4</v>
      </c>
      <c r="H98" s="563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574" t="s">
        <v>25</v>
      </c>
      <c r="B99" s="575"/>
      <c r="C99" s="576"/>
      <c r="D99" s="314">
        <f>HLOOKUP(MONTH(日期!$C$2),去年月推移!$D$1:$O$200,155,TRUE)</f>
        <v>128</v>
      </c>
      <c r="E99" s="65"/>
      <c r="F99" s="65"/>
      <c r="G99" s="562">
        <f>當年月推移!P157</f>
        <v>30</v>
      </c>
      <c r="H99" s="563"/>
      <c r="I99" s="63">
        <f>VALUE(點數BO!C11)</f>
        <v>0</v>
      </c>
      <c r="J99" s="63">
        <f>VALUE(點數BO!D11)</f>
        <v>1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10</v>
      </c>
      <c r="O99" s="63">
        <f>VALUE(點數BO!I11)</f>
        <v>0</v>
      </c>
      <c r="P99" s="63">
        <f>VALUE(點數BO!J11)</f>
        <v>0</v>
      </c>
      <c r="Q99" s="63">
        <f>VALUE(點數BO!K11)</f>
        <v>1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1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0</v>
      </c>
      <c r="Z99" s="63">
        <f>VALUE(點數BO!T11)</f>
        <v>1</v>
      </c>
      <c r="AA99" s="63">
        <f>VALUE(點數BO!U11)</f>
        <v>0</v>
      </c>
      <c r="AB99" s="63">
        <f>VALUE(點數BO!V11)</f>
        <v>1</v>
      </c>
      <c r="AC99" s="63">
        <f>VALUE(點數BO!W11)</f>
        <v>0</v>
      </c>
      <c r="AD99" s="63">
        <f>VALUE(點數BO!X11)</f>
        <v>1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1</v>
      </c>
      <c r="AI99" s="63">
        <f>VALUE(點數BO!AC11)</f>
        <v>0</v>
      </c>
      <c r="AJ99" s="63">
        <f>VALUE(點數BO!AD11)</f>
        <v>0</v>
      </c>
      <c r="AK99" s="63">
        <f>VALUE(點數BO!AE11)</f>
        <v>0</v>
      </c>
      <c r="AL99" s="63">
        <f>VALUE(點數BO!AF11)</f>
        <v>0</v>
      </c>
      <c r="AM99" s="63">
        <f>VALUE(點數BO!AG11)</f>
        <v>0</v>
      </c>
      <c r="AN99" s="517">
        <f>VALUE(點數BO!AH11)</f>
        <v>17</v>
      </c>
    </row>
    <row r="100" spans="1:41" s="35" customFormat="1" ht="21.95" customHeight="1">
      <c r="A100" s="574" t="s">
        <v>26</v>
      </c>
      <c r="B100" s="575"/>
      <c r="C100" s="576"/>
      <c r="D100" s="314">
        <f>HLOOKUP(MONTH(日期!$C$2),去年月推移!$D$1:$O$200,156,TRUE)</f>
        <v>279</v>
      </c>
      <c r="E100" s="65"/>
      <c r="F100" s="65"/>
      <c r="G100" s="562">
        <f>當年月推移!P158</f>
        <v>280</v>
      </c>
      <c r="H100" s="563"/>
      <c r="I100" s="63">
        <f>VALUE(點數BO!C12)</f>
        <v>7</v>
      </c>
      <c r="J100" s="63">
        <f>VALUE(點數BO!D12)</f>
        <v>5</v>
      </c>
      <c r="K100" s="63">
        <f>VALUE(點數BO!E12)</f>
        <v>0</v>
      </c>
      <c r="L100" s="63">
        <f>VALUE(點數BO!F12)</f>
        <v>9</v>
      </c>
      <c r="M100" s="63">
        <f>VALUE(點數BO!G12)</f>
        <v>12</v>
      </c>
      <c r="N100" s="63">
        <f>VALUE(點數BO!H12)</f>
        <v>20</v>
      </c>
      <c r="O100" s="63">
        <f>VALUE(點數BO!I12)</f>
        <v>0</v>
      </c>
      <c r="P100" s="63">
        <f>VALUE(點數BO!J12)</f>
        <v>9</v>
      </c>
      <c r="Q100" s="63">
        <f>VALUE(點數BO!K12)</f>
        <v>9</v>
      </c>
      <c r="R100" s="63">
        <f>VALUE(點數BO!L12)</f>
        <v>0</v>
      </c>
      <c r="S100" s="63">
        <f>VALUE(點數BO!M12)</f>
        <v>14</v>
      </c>
      <c r="T100" s="63">
        <f>VALUE(點數BO!N12)</f>
        <v>7</v>
      </c>
      <c r="U100" s="63">
        <f>VALUE(點數BO!O12)</f>
        <v>11</v>
      </c>
      <c r="V100" s="63">
        <f>VALUE(點數BO!P12)</f>
        <v>20</v>
      </c>
      <c r="W100" s="63">
        <f>VALUE(點數BO!Q12)</f>
        <v>19</v>
      </c>
      <c r="X100" s="63">
        <f>VALUE(點數BO!R12)</f>
        <v>15</v>
      </c>
      <c r="Y100" s="63">
        <f>VALUE(點數BO!S12)</f>
        <v>0</v>
      </c>
      <c r="Z100" s="63">
        <f>VALUE(點數BO!T12)</f>
        <v>15</v>
      </c>
      <c r="AA100" s="63">
        <f>VALUE(點數BO!U12)</f>
        <v>21</v>
      </c>
      <c r="AB100" s="63">
        <f>VALUE(點數BO!V12)</f>
        <v>19</v>
      </c>
      <c r="AC100" s="63">
        <f>VALUE(點數BO!W12)</f>
        <v>10</v>
      </c>
      <c r="AD100" s="63">
        <f>VALUE(點數BO!X12)</f>
        <v>23</v>
      </c>
      <c r="AE100" s="63">
        <f>VALUE(點數BO!Y12)</f>
        <v>0</v>
      </c>
      <c r="AF100" s="63">
        <f>VALUE(點數BO!Z12)</f>
        <v>0</v>
      </c>
      <c r="AG100" s="63">
        <f>VALUE(點數BO!AA12)</f>
        <v>33</v>
      </c>
      <c r="AH100" s="63">
        <f>VALUE(點數BO!AB12)</f>
        <v>20</v>
      </c>
      <c r="AI100" s="63">
        <f>VALUE(點數BO!AC12)</f>
        <v>22</v>
      </c>
      <c r="AJ100" s="63">
        <f>VALUE(點數BO!AD12)</f>
        <v>12</v>
      </c>
      <c r="AK100" s="63">
        <f>VALUE(點數BO!AE12)</f>
        <v>24</v>
      </c>
      <c r="AL100" s="63">
        <f>VALUE(點數BO!AF12)</f>
        <v>16</v>
      </c>
      <c r="AM100" s="63">
        <f>VALUE(點數BO!AG12)</f>
        <v>0</v>
      </c>
      <c r="AN100" s="517">
        <f>VALUE(點數BO!AH12)</f>
        <v>383</v>
      </c>
    </row>
    <row r="101" spans="1:41" s="35" customFormat="1" ht="21.95" customHeight="1">
      <c r="A101" s="574" t="s">
        <v>27</v>
      </c>
      <c r="B101" s="575"/>
      <c r="C101" s="576"/>
      <c r="D101" s="314">
        <f>HLOOKUP(MONTH(日期!$C$2),去年月推移!$D$1:$O$200,157,TRUE)</f>
        <v>47</v>
      </c>
      <c r="E101" s="65" t="s">
        <v>45</v>
      </c>
      <c r="F101" s="65" t="s">
        <v>45</v>
      </c>
      <c r="G101" s="562">
        <f>當年月推移!P159</f>
        <v>96</v>
      </c>
      <c r="H101" s="563"/>
      <c r="I101" s="63">
        <f>VALUE(點數BO!C13)</f>
        <v>2</v>
      </c>
      <c r="J101" s="63">
        <f>VALUE(點數BO!D13)</f>
        <v>2</v>
      </c>
      <c r="K101" s="63">
        <f>VALUE(點數BO!E13)</f>
        <v>0</v>
      </c>
      <c r="L101" s="63">
        <f>VALUE(點數BO!F13)</f>
        <v>8</v>
      </c>
      <c r="M101" s="63">
        <f>VALUE(點數BO!G13)</f>
        <v>5</v>
      </c>
      <c r="N101" s="63">
        <f>VALUE(點數BO!H13)</f>
        <v>6</v>
      </c>
      <c r="O101" s="63">
        <f>VALUE(點數BO!I13)</f>
        <v>0</v>
      </c>
      <c r="P101" s="63">
        <f>VALUE(點數BO!J13)</f>
        <v>0</v>
      </c>
      <c r="Q101" s="63">
        <f>VALUE(點數BO!K13)</f>
        <v>0</v>
      </c>
      <c r="R101" s="63">
        <f>VALUE(點數BO!L13)</f>
        <v>0</v>
      </c>
      <c r="S101" s="63">
        <f>VALUE(點數BO!M13)</f>
        <v>0</v>
      </c>
      <c r="T101" s="63">
        <f>VALUE(點數BO!N13)</f>
        <v>3</v>
      </c>
      <c r="U101" s="63">
        <f>VALUE(點數BO!O13)</f>
        <v>3</v>
      </c>
      <c r="V101" s="63">
        <f>VALUE(點數BO!P13)</f>
        <v>7</v>
      </c>
      <c r="W101" s="63">
        <f>VALUE(點數BO!Q13)</f>
        <v>6</v>
      </c>
      <c r="X101" s="63">
        <f>VALUE(點數BO!R13)</f>
        <v>4</v>
      </c>
      <c r="Y101" s="63">
        <f>VALUE(點數BO!S13)</f>
        <v>0</v>
      </c>
      <c r="Z101" s="63">
        <f>VALUE(點數BO!T13)</f>
        <v>1</v>
      </c>
      <c r="AA101" s="63">
        <f>VALUE(點數BO!U13)</f>
        <v>3</v>
      </c>
      <c r="AB101" s="63">
        <f>VALUE(點數BO!V13)</f>
        <v>1</v>
      </c>
      <c r="AC101" s="63">
        <f>VALUE(點數BO!W13)</f>
        <v>4</v>
      </c>
      <c r="AD101" s="63">
        <f>VALUE(點數BO!X13)</f>
        <v>7</v>
      </c>
      <c r="AE101" s="63">
        <f>VALUE(點數BO!Y13)</f>
        <v>0</v>
      </c>
      <c r="AF101" s="63">
        <f>VALUE(點數BO!Z13)</f>
        <v>0</v>
      </c>
      <c r="AG101" s="63">
        <f>VALUE(點數BO!AA13)</f>
        <v>9</v>
      </c>
      <c r="AH101" s="63">
        <f>VALUE(點數BO!AB13)</f>
        <v>3</v>
      </c>
      <c r="AI101" s="63">
        <f>VALUE(點數BO!AC13)</f>
        <v>1</v>
      </c>
      <c r="AJ101" s="63">
        <f>VALUE(點數BO!AD13)</f>
        <v>5</v>
      </c>
      <c r="AK101" s="63">
        <f>VALUE(點數BO!AE13)</f>
        <v>5</v>
      </c>
      <c r="AL101" s="63">
        <f>VALUE(點數BO!AF13)</f>
        <v>3</v>
      </c>
      <c r="AM101" s="63">
        <f>VALUE(點數BO!AG13)</f>
        <v>0</v>
      </c>
      <c r="AN101" s="517">
        <f>VALUE(點數BO!AH13)</f>
        <v>96</v>
      </c>
    </row>
    <row r="102" spans="1:41" s="35" customFormat="1" ht="21.95" customHeight="1">
      <c r="A102" s="574" t="s">
        <v>28</v>
      </c>
      <c r="B102" s="575"/>
      <c r="C102" s="576"/>
      <c r="D102" s="315">
        <f>HLOOKUP(MONTH(日期!$C$2),去年月推移!$D$1:$O$200,158,TRUE)</f>
        <v>2</v>
      </c>
      <c r="E102" s="65"/>
      <c r="F102" s="65"/>
      <c r="G102" s="562">
        <f>當年月推移!P160</f>
        <v>1</v>
      </c>
      <c r="H102" s="563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579" t="s">
        <v>50</v>
      </c>
      <c r="B103" s="580"/>
      <c r="C103" s="580"/>
      <c r="D103" s="66">
        <f>HLOOKUP(MONTH(日期!$C$2),去年月推移!$D$1:$O$200,159,TRUE)</f>
        <v>1848</v>
      </c>
      <c r="E103" s="66" t="s">
        <v>45</v>
      </c>
      <c r="F103" s="66" t="s">
        <v>45</v>
      </c>
      <c r="G103" s="564">
        <f>當年月推移!P161</f>
        <v>1145</v>
      </c>
      <c r="H103" s="565"/>
      <c r="I103" s="66">
        <f>SUM(I97:I102)</f>
        <v>30</v>
      </c>
      <c r="J103" s="66">
        <f>SUM(J97:J102)</f>
        <v>25</v>
      </c>
      <c r="K103" s="66">
        <f t="shared" ref="K103:AN103" si="12">SUM(K97:K102)</f>
        <v>0</v>
      </c>
      <c r="L103" s="66">
        <f t="shared" si="12"/>
        <v>51</v>
      </c>
      <c r="M103" s="66">
        <f t="shared" si="12"/>
        <v>60</v>
      </c>
      <c r="N103" s="66">
        <f t="shared" si="12"/>
        <v>77</v>
      </c>
      <c r="O103" s="66">
        <f t="shared" si="12"/>
        <v>0</v>
      </c>
      <c r="P103" s="66">
        <f t="shared" si="12"/>
        <v>41</v>
      </c>
      <c r="Q103" s="66">
        <f t="shared" si="12"/>
        <v>22</v>
      </c>
      <c r="R103" s="66">
        <f t="shared" si="12"/>
        <v>0</v>
      </c>
      <c r="S103" s="66">
        <f t="shared" si="12"/>
        <v>46</v>
      </c>
      <c r="T103" s="66">
        <f t="shared" si="12"/>
        <v>37</v>
      </c>
      <c r="U103" s="66">
        <f t="shared" si="12"/>
        <v>35</v>
      </c>
      <c r="V103" s="66">
        <f t="shared" si="12"/>
        <v>52</v>
      </c>
      <c r="W103" s="66">
        <f t="shared" si="12"/>
        <v>52</v>
      </c>
      <c r="X103" s="66">
        <f t="shared" si="12"/>
        <v>35</v>
      </c>
      <c r="Y103" s="66">
        <f t="shared" si="12"/>
        <v>0</v>
      </c>
      <c r="Z103" s="66">
        <f t="shared" si="12"/>
        <v>46</v>
      </c>
      <c r="AA103" s="66">
        <f t="shared" si="12"/>
        <v>77</v>
      </c>
      <c r="AB103" s="66">
        <f t="shared" si="12"/>
        <v>56</v>
      </c>
      <c r="AC103" s="66">
        <f t="shared" si="12"/>
        <v>55</v>
      </c>
      <c r="AD103" s="66">
        <f t="shared" si="12"/>
        <v>59</v>
      </c>
      <c r="AE103" s="66">
        <f t="shared" si="12"/>
        <v>0</v>
      </c>
      <c r="AF103" s="66">
        <f t="shared" si="12"/>
        <v>0</v>
      </c>
      <c r="AG103" s="66">
        <f t="shared" si="12"/>
        <v>113</v>
      </c>
      <c r="AH103" s="66">
        <f t="shared" si="12"/>
        <v>69</v>
      </c>
      <c r="AI103" s="66">
        <f t="shared" si="12"/>
        <v>82</v>
      </c>
      <c r="AJ103" s="66">
        <f t="shared" si="12"/>
        <v>47</v>
      </c>
      <c r="AK103" s="66">
        <f t="shared" si="12"/>
        <v>64</v>
      </c>
      <c r="AL103" s="66">
        <f t="shared" si="12"/>
        <v>42</v>
      </c>
      <c r="AM103" s="66">
        <f t="shared" si="12"/>
        <v>0</v>
      </c>
      <c r="AN103" s="218">
        <f t="shared" si="12"/>
        <v>1325</v>
      </c>
      <c r="AO103" s="16">
        <f>SUM(I103:AM103)</f>
        <v>1273</v>
      </c>
    </row>
    <row r="104" spans="1:41" s="67" customFormat="1" ht="21.95" customHeight="1">
      <c r="A104" s="566" t="s">
        <v>31</v>
      </c>
      <c r="B104" s="567"/>
      <c r="C104" s="568"/>
      <c r="D104" s="316">
        <f>HLOOKUP(MONTH(日期!$C$2),去年月推移!$D$1:$O$200,160,TRUE)</f>
        <v>0</v>
      </c>
      <c r="E104" s="273"/>
      <c r="F104" s="273"/>
      <c r="G104" s="560">
        <f>當年月推移!P162</f>
        <v>0</v>
      </c>
      <c r="H104" s="561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569" t="s">
        <v>32</v>
      </c>
      <c r="B105" s="570"/>
      <c r="C105" s="571"/>
      <c r="D105" s="316">
        <f>HLOOKUP(MONTH(日期!$C$2),去年月推移!$D$1:$O$200,161,TRUE)</f>
        <v>0</v>
      </c>
      <c r="E105" s="274"/>
      <c r="F105" s="274"/>
      <c r="G105" s="562">
        <f>當年月推移!P163</f>
        <v>0</v>
      </c>
      <c r="H105" s="563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569" t="s">
        <v>33</v>
      </c>
      <c r="B106" s="570"/>
      <c r="C106" s="571"/>
      <c r="D106" s="316">
        <f>HLOOKUP(MONTH(日期!$C$2),去年月推移!$D$1:$O$200,162,TRUE)</f>
        <v>0</v>
      </c>
      <c r="E106" s="274"/>
      <c r="F106" s="274"/>
      <c r="G106" s="562">
        <f>當年月推移!P164</f>
        <v>0</v>
      </c>
      <c r="H106" s="563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569" t="s">
        <v>34</v>
      </c>
      <c r="B107" s="570"/>
      <c r="C107" s="571"/>
      <c r="D107" s="316">
        <f>HLOOKUP(MONTH(日期!$C$2),去年月推移!$D$1:$O$200,163,TRUE)</f>
        <v>0</v>
      </c>
      <c r="E107" s="274"/>
      <c r="F107" s="274"/>
      <c r="G107" s="562">
        <f>當年月推移!P165</f>
        <v>0</v>
      </c>
      <c r="H107" s="563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569" t="s">
        <v>35</v>
      </c>
      <c r="B108" s="570"/>
      <c r="C108" s="571"/>
      <c r="D108" s="316">
        <f>HLOOKUP(MONTH(日期!$C$2),去年月推移!$D$1:$O$200,164,TRUE)</f>
        <v>0</v>
      </c>
      <c r="E108" s="298"/>
      <c r="F108" s="298"/>
      <c r="G108" s="562">
        <f>當年月推移!P166</f>
        <v>0</v>
      </c>
      <c r="H108" s="563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564">
        <f>當年月推移!P167</f>
        <v>0</v>
      </c>
      <c r="H109" s="565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2025年8月</v>
      </c>
      <c r="D4" s="545" t="str">
        <f>日期!C2</f>
        <v>2025/08/01</v>
      </c>
      <c r="E4" s="545" t="str">
        <f>日期!D2</f>
        <v>2025/08/02</v>
      </c>
      <c r="F4" s="545" t="str">
        <f>日期!E2</f>
        <v>2025/08/03</v>
      </c>
      <c r="G4" s="545" t="str">
        <f>日期!F2</f>
        <v>2025/08/04</v>
      </c>
      <c r="H4" s="545" t="str">
        <f>日期!G2</f>
        <v>2025/08/05</v>
      </c>
      <c r="I4" s="545" t="str">
        <f>日期!H2</f>
        <v>2025/08/06</v>
      </c>
      <c r="J4" s="545" t="str">
        <f>日期!I2</f>
        <v>2025/08/07</v>
      </c>
      <c r="K4" s="545" t="str">
        <f>日期!J2</f>
        <v>2025/08/08</v>
      </c>
      <c r="L4" s="545" t="str">
        <f>日期!K2</f>
        <v>2025/08/09</v>
      </c>
      <c r="M4" s="545" t="str">
        <f>日期!L2</f>
        <v>2025/08/10</v>
      </c>
      <c r="N4" s="545" t="str">
        <f>日期!M2</f>
        <v>2025/08/11</v>
      </c>
      <c r="O4" s="545" t="str">
        <f>日期!N2</f>
        <v>2025/08/12</v>
      </c>
      <c r="P4" s="545" t="str">
        <f>日期!O2</f>
        <v>2025/08/13</v>
      </c>
      <c r="Q4" s="545" t="str">
        <f>日期!P2</f>
        <v>2025/08/14</v>
      </c>
      <c r="R4" s="545" t="str">
        <f>日期!Q2</f>
        <v>2025/08/15</v>
      </c>
      <c r="S4" s="545" t="str">
        <f>日期!R2</f>
        <v>2025/08/16</v>
      </c>
      <c r="T4" s="545" t="str">
        <f>日期!S2</f>
        <v>2025/08/17</v>
      </c>
      <c r="U4" s="545" t="str">
        <f>日期!T2</f>
        <v>2025/08/18</v>
      </c>
      <c r="V4" s="545" t="str">
        <f>日期!U2</f>
        <v>2025/08/19</v>
      </c>
      <c r="W4" s="545" t="str">
        <f>日期!V2</f>
        <v>2025/08/20</v>
      </c>
      <c r="X4" s="545" t="str">
        <f>日期!W2</f>
        <v>2025/08/21</v>
      </c>
      <c r="Y4" s="545" t="str">
        <f>日期!X2</f>
        <v>2025/08/22</v>
      </c>
      <c r="Z4" s="545" t="str">
        <f>日期!Y2</f>
        <v>2025/08/23</v>
      </c>
      <c r="AA4" s="545" t="str">
        <f>日期!Z2</f>
        <v>2025/08/24</v>
      </c>
      <c r="AB4" s="545" t="str">
        <f>日期!AA2</f>
        <v>2025/08/25</v>
      </c>
      <c r="AC4" s="545" t="str">
        <f>日期!AB2</f>
        <v>2025/08/26</v>
      </c>
      <c r="AD4" s="545" t="str">
        <f>日期!AC2</f>
        <v>2025/08/27</v>
      </c>
      <c r="AE4" s="545" t="str">
        <f>日期!AD2</f>
        <v>2025/08/28</v>
      </c>
      <c r="AF4" s="545" t="str">
        <f>日期!AE2</f>
        <v>2025/08/29</v>
      </c>
      <c r="AG4" s="545" t="str">
        <f>日期!AF2</f>
        <v>2025/08/30</v>
      </c>
      <c r="AH4" s="545" t="str">
        <f>日期!AG2</f>
        <v>2025/08/31</v>
      </c>
      <c r="AI4" s="674" t="s">
        <v>68</v>
      </c>
      <c r="AJ4" s="674" t="s">
        <v>69</v>
      </c>
      <c r="AK4" s="544" t="str">
        <f>YEAR(日期!C2)&amp;"年"&amp;MONTH(日期!C2)+1&amp;"月"</f>
        <v>2025年9月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Fri</v>
      </c>
      <c r="E5" s="547" t="str">
        <f>日期!D3</f>
        <v>Sat</v>
      </c>
      <c r="F5" s="547" t="str">
        <f>日期!E3</f>
        <v>Sun</v>
      </c>
      <c r="G5" s="547" t="str">
        <f>日期!F3</f>
        <v>Mon</v>
      </c>
      <c r="H5" s="547" t="str">
        <f>日期!G3</f>
        <v>Tue</v>
      </c>
      <c r="I5" s="547" t="str">
        <f>日期!H3</f>
        <v>Wed</v>
      </c>
      <c r="J5" s="547" t="str">
        <f>日期!I3</f>
        <v>Thu</v>
      </c>
      <c r="K5" s="547" t="str">
        <f>日期!J3</f>
        <v>Fri</v>
      </c>
      <c r="L5" s="547" t="str">
        <f>日期!K3</f>
        <v>Sat</v>
      </c>
      <c r="M5" s="547" t="str">
        <f>日期!L3</f>
        <v>Sun</v>
      </c>
      <c r="N5" s="547" t="str">
        <f>日期!M3</f>
        <v>Mon</v>
      </c>
      <c r="O5" s="547" t="str">
        <f>日期!N3</f>
        <v>Tue</v>
      </c>
      <c r="P5" s="547" t="str">
        <f>日期!O3</f>
        <v>Wed</v>
      </c>
      <c r="Q5" s="547" t="str">
        <f>日期!P3</f>
        <v>Thu</v>
      </c>
      <c r="R5" s="547" t="str">
        <f>日期!Q3</f>
        <v>Fri</v>
      </c>
      <c r="S5" s="547" t="str">
        <f>日期!R3</f>
        <v>Sat</v>
      </c>
      <c r="T5" s="547" t="str">
        <f>日期!S3</f>
        <v>Sun</v>
      </c>
      <c r="U5" s="547" t="str">
        <f>日期!T3</f>
        <v>Mon</v>
      </c>
      <c r="V5" s="547" t="str">
        <f>日期!U3</f>
        <v>Tue</v>
      </c>
      <c r="W5" s="547" t="str">
        <f>日期!V3</f>
        <v>Wed</v>
      </c>
      <c r="X5" s="547" t="str">
        <f>日期!W3</f>
        <v>Thu</v>
      </c>
      <c r="Y5" s="547" t="str">
        <f>日期!X3</f>
        <v>Fri</v>
      </c>
      <c r="Z5" s="547" t="str">
        <f>日期!Y3</f>
        <v>Sat</v>
      </c>
      <c r="AA5" s="547" t="str">
        <f>日期!Z3</f>
        <v>Sun</v>
      </c>
      <c r="AB5" s="547" t="str">
        <f>日期!AA3</f>
        <v>Mon</v>
      </c>
      <c r="AC5" s="547" t="str">
        <f>日期!AB3</f>
        <v>Tue</v>
      </c>
      <c r="AD5" s="547" t="str">
        <f>日期!AC3</f>
        <v>Wed</v>
      </c>
      <c r="AE5" s="547" t="str">
        <f>日期!AD3</f>
        <v>Thu</v>
      </c>
      <c r="AF5" s="547" t="str">
        <f>日期!AE3</f>
        <v>Fri</v>
      </c>
      <c r="AG5" s="547" t="str">
        <f>日期!AF3</f>
        <v>Sat</v>
      </c>
      <c r="AH5" s="547" t="str">
        <f>日期!AG3</f>
        <v>Sun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127681347.52927002</v>
      </c>
      <c r="D6" s="88">
        <f>VALUE(庫存金額A類!C2)</f>
        <v>121767120</v>
      </c>
      <c r="E6" s="88">
        <f>VALUE(庫存金額A類!D2)</f>
        <v>119445221</v>
      </c>
      <c r="F6" s="88">
        <f>VALUE(庫存金額A類!E2)</f>
        <v>119445113</v>
      </c>
      <c r="G6" s="88">
        <f>VALUE(庫存金額A類!F2)</f>
        <v>118626643</v>
      </c>
      <c r="H6" s="88">
        <f>VALUE(庫存金額A類!G2)</f>
        <v>119262862</v>
      </c>
      <c r="I6" s="88">
        <f>VALUE(庫存金額A類!H2)</f>
        <v>118564612</v>
      </c>
      <c r="J6" s="88">
        <f>VALUE(庫存金額A類!I2)</f>
        <v>121061389</v>
      </c>
      <c r="K6" s="88">
        <f>VALUE(庫存金額A類!J2)</f>
        <v>124506305</v>
      </c>
      <c r="L6" s="88">
        <f>VALUE(庫存金額A類!K2)</f>
        <v>122251934</v>
      </c>
      <c r="M6" s="88">
        <f>VALUE(庫存金額A類!L2)</f>
        <v>122251934</v>
      </c>
      <c r="N6" s="88">
        <f>VALUE(庫存金額A類!M2)</f>
        <v>121986016</v>
      </c>
      <c r="O6" s="88">
        <f>VALUE(庫存金額A類!N2)</f>
        <v>122078771</v>
      </c>
      <c r="P6" s="88">
        <f>VALUE(庫存金額A類!O2)</f>
        <v>127018083</v>
      </c>
      <c r="Q6" s="88">
        <f>VALUE(庫存金額A類!P2)</f>
        <v>125857145</v>
      </c>
      <c r="R6" s="88">
        <f>VALUE(庫存金額A類!Q2)</f>
        <v>126550009</v>
      </c>
      <c r="S6" s="88">
        <f>VALUE(庫存金額A類!R2)</f>
        <v>124460079</v>
      </c>
      <c r="T6" s="88">
        <f>VALUE(庫存金額A類!S2)</f>
        <v>124458394</v>
      </c>
      <c r="U6" s="88">
        <f>VALUE(庫存金額A類!T2)</f>
        <v>124907800</v>
      </c>
      <c r="V6" s="88">
        <f>VALUE(庫存金額A類!U2)</f>
        <v>124589880</v>
      </c>
      <c r="W6" s="88">
        <f>VALUE(庫存金額A類!V2)</f>
        <v>124585774</v>
      </c>
      <c r="X6" s="88">
        <f>VALUE(庫存金額A類!W2)</f>
        <v>126644885</v>
      </c>
      <c r="Y6" s="88">
        <f>VALUE(庫存金額A類!X2)</f>
        <v>124683904</v>
      </c>
      <c r="Z6" s="88">
        <f>VALUE(庫存金額A類!Y2)</f>
        <v>124679639</v>
      </c>
      <c r="AA6" s="88">
        <f>VALUE(庫存金額A類!Z2)</f>
        <v>124113183</v>
      </c>
      <c r="AB6" s="88">
        <f>VALUE(庫存金額A類!AA2)</f>
        <v>122123145</v>
      </c>
      <c r="AC6" s="88">
        <f>VALUE(庫存金額A類!AB2)</f>
        <v>123997263</v>
      </c>
      <c r="AD6" s="88">
        <f>VALUE(庫存金額A類!AC2)</f>
        <v>128131065</v>
      </c>
      <c r="AE6" s="88">
        <f>VALUE(庫存金額A類!AD2)</f>
        <v>131694540</v>
      </c>
      <c r="AF6" s="88">
        <f>VALUE(庫存金額A類!AE2)</f>
        <v>131216930</v>
      </c>
      <c r="AG6" s="88">
        <f>VALUE(庫存金額A類!AF2)</f>
        <v>129075158</v>
      </c>
      <c r="AH6" s="88">
        <f>VALUE(庫存金額A類!AG2)</f>
        <v>129063138</v>
      </c>
      <c r="AI6" s="88">
        <f>VALUE(庫存金額A類!AH2)</f>
        <v>124164449.48</v>
      </c>
      <c r="AJ6" s="549">
        <f>AI6/AI9</f>
        <v>0.42881081520501207</v>
      </c>
      <c r="AK6" s="82">
        <f>HLOOKUP(MONTH(日期!$C$2)+1,A類各進口別庫存金額目標!$B$2:$M$7,4,TRUE)</f>
        <v>123504570.69437857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120572727.09457186</v>
      </c>
      <c r="D7" s="88">
        <f>VALUE(庫存金額A類!C3)</f>
        <v>116578439</v>
      </c>
      <c r="E7" s="88">
        <f>VALUE(庫存金額A類!D3)</f>
        <v>118009452</v>
      </c>
      <c r="F7" s="88">
        <f>VALUE(庫存金額A類!E3)</f>
        <v>118009170</v>
      </c>
      <c r="G7" s="88">
        <f>VALUE(庫存金額A類!F3)</f>
        <v>121325119</v>
      </c>
      <c r="H7" s="88">
        <f>VALUE(庫存金額A類!G3)</f>
        <v>120944470</v>
      </c>
      <c r="I7" s="88">
        <f>VALUE(庫存金額A類!H3)</f>
        <v>123169955</v>
      </c>
      <c r="J7" s="88">
        <f>VALUE(庫存金額A類!I3)</f>
        <v>124579182</v>
      </c>
      <c r="K7" s="88">
        <f>VALUE(庫存金額A類!J3)</f>
        <v>126858576</v>
      </c>
      <c r="L7" s="88">
        <f>VALUE(庫存金額A類!K3)</f>
        <v>127387895</v>
      </c>
      <c r="M7" s="88">
        <f>VALUE(庫存金額A類!L3)</f>
        <v>127387895</v>
      </c>
      <c r="N7" s="88">
        <f>VALUE(庫存金額A類!M3)</f>
        <v>130073135</v>
      </c>
      <c r="O7" s="88">
        <f>VALUE(庫存金額A類!N3)</f>
        <v>132234334</v>
      </c>
      <c r="P7" s="88">
        <f>VALUE(庫存金額A類!O3)</f>
        <v>134510015</v>
      </c>
      <c r="Q7" s="88">
        <f>VALUE(庫存金額A類!P3)</f>
        <v>135422265</v>
      </c>
      <c r="R7" s="88">
        <f>VALUE(庫存金額A類!Q3)</f>
        <v>136550643</v>
      </c>
      <c r="S7" s="88">
        <f>VALUE(庫存金額A類!R3)</f>
        <v>138052066</v>
      </c>
      <c r="T7" s="88">
        <f>VALUE(庫存金額A類!S3)</f>
        <v>138044145</v>
      </c>
      <c r="U7" s="88">
        <f>VALUE(庫存金額A類!T3)</f>
        <v>140036262</v>
      </c>
      <c r="V7" s="88">
        <f>VALUE(庫存金額A類!U3)</f>
        <v>140592935</v>
      </c>
      <c r="W7" s="88">
        <f>VALUE(庫存金額A類!V3)</f>
        <v>144176628</v>
      </c>
      <c r="X7" s="88">
        <f>VALUE(庫存金額A類!W3)</f>
        <v>144347658</v>
      </c>
      <c r="Y7" s="88">
        <f>VALUE(庫存金額A類!X3)</f>
        <v>146596596</v>
      </c>
      <c r="Z7" s="88">
        <f>VALUE(庫存金額A類!Y3)</f>
        <v>146594269</v>
      </c>
      <c r="AA7" s="88">
        <f>VALUE(庫存金額A類!Z3)</f>
        <v>145695173</v>
      </c>
      <c r="AB7" s="88">
        <f>VALUE(庫存金額A類!AA3)</f>
        <v>141934357</v>
      </c>
      <c r="AC7" s="88">
        <f>VALUE(庫存金額A類!AB3)</f>
        <v>139270815</v>
      </c>
      <c r="AD7" s="88">
        <f>VALUE(庫存金額A類!AC3)</f>
        <v>137361791</v>
      </c>
      <c r="AE7" s="88">
        <f>VALUE(庫存金額A類!AD3)</f>
        <v>135135820</v>
      </c>
      <c r="AF7" s="88">
        <f>VALUE(庫存金額A類!AE3)</f>
        <v>131564143</v>
      </c>
      <c r="AG7" s="88">
        <f>VALUE(庫存金額A類!AF3)</f>
        <v>129148128</v>
      </c>
      <c r="AH7" s="88">
        <f>VALUE(庫存金額A類!AG3)</f>
        <v>129139116</v>
      </c>
      <c r="AI7" s="88">
        <f>VALUE(庫存金額A類!AH3)</f>
        <v>132926788.61</v>
      </c>
      <c r="AJ7" s="549">
        <f>AI7/AI9</f>
        <v>0.45907218068582389</v>
      </c>
      <c r="AK7" s="82">
        <f>HLOOKUP(MONTH(日期!$C$2)+1,A類各進口別庫存金額目標!$B$2:$M$7,5,TRUE)</f>
        <v>114241833.31391549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34403776.771921746</v>
      </c>
      <c r="D8" s="88">
        <f>VALUE(庫存金額A類!C4)</f>
        <v>34540159</v>
      </c>
      <c r="E8" s="88">
        <f>VALUE(庫存金額A類!D4)</f>
        <v>33597447</v>
      </c>
      <c r="F8" s="88">
        <f>VALUE(庫存金額A類!E4)</f>
        <v>33597447</v>
      </c>
      <c r="G8" s="88">
        <f>VALUE(庫存金額A類!F4)</f>
        <v>34031999</v>
      </c>
      <c r="H8" s="88">
        <f>VALUE(庫存金額A類!G4)</f>
        <v>34839332</v>
      </c>
      <c r="I8" s="88">
        <f>VALUE(庫存金額A類!H4)</f>
        <v>34053319</v>
      </c>
      <c r="J8" s="88">
        <f>VALUE(庫存金額A類!I4)</f>
        <v>34103595</v>
      </c>
      <c r="K8" s="88">
        <f>VALUE(庫存金額A類!J4)</f>
        <v>32911152</v>
      </c>
      <c r="L8" s="88">
        <f>VALUE(庫存金額A類!K4)</f>
        <v>32051797</v>
      </c>
      <c r="M8" s="88">
        <f>VALUE(庫存金額A類!L4)</f>
        <v>32044739</v>
      </c>
      <c r="N8" s="88">
        <f>VALUE(庫存金額A類!M4)</f>
        <v>31817343</v>
      </c>
      <c r="O8" s="88">
        <f>VALUE(庫存金額A類!N4)</f>
        <v>32215649</v>
      </c>
      <c r="P8" s="88">
        <f>VALUE(庫存金額A類!O4)</f>
        <v>31832273</v>
      </c>
      <c r="Q8" s="88">
        <f>VALUE(庫存金額A類!P4)</f>
        <v>34631997</v>
      </c>
      <c r="R8" s="88">
        <f>VALUE(庫存金額A類!Q4)</f>
        <v>35978487</v>
      </c>
      <c r="S8" s="88">
        <f>VALUE(庫存金額A類!R4)</f>
        <v>35191269</v>
      </c>
      <c r="T8" s="88">
        <f>VALUE(庫存金額A類!S4)</f>
        <v>35191269</v>
      </c>
      <c r="U8" s="88">
        <f>VALUE(庫存金額A類!T4)</f>
        <v>33986474</v>
      </c>
      <c r="V8" s="88">
        <f>VALUE(庫存金額A類!U4)</f>
        <v>32920186</v>
      </c>
      <c r="W8" s="88">
        <f>VALUE(庫存金額A類!V4)</f>
        <v>33352935</v>
      </c>
      <c r="X8" s="88">
        <f>VALUE(庫存金額A類!W4)</f>
        <v>32341792</v>
      </c>
      <c r="Y8" s="88">
        <f>VALUE(庫存金額A類!X4)</f>
        <v>31233148</v>
      </c>
      <c r="Z8" s="88">
        <f>VALUE(庫存金額A類!Y4)</f>
        <v>31233275</v>
      </c>
      <c r="AA8" s="88">
        <f>VALUE(庫存金額A類!Z4)</f>
        <v>31203200</v>
      </c>
      <c r="AB8" s="88">
        <f>VALUE(庫存金額A類!AA4)</f>
        <v>29233093</v>
      </c>
      <c r="AC8" s="88">
        <f>VALUE(庫存金額A類!AB4)</f>
        <v>28269618</v>
      </c>
      <c r="AD8" s="88">
        <f>VALUE(庫存金額A類!AC4)</f>
        <v>30092023</v>
      </c>
      <c r="AE8" s="88">
        <f>VALUE(庫存金額A類!AD4)</f>
        <v>29207229</v>
      </c>
      <c r="AF8" s="88">
        <f>VALUE(庫存金額A類!AE4)</f>
        <v>30750576</v>
      </c>
      <c r="AG8" s="88">
        <f>VALUE(庫存金額A類!AF4)</f>
        <v>29966932</v>
      </c>
      <c r="AH8" s="88">
        <f>VALUE(庫存金額A類!AG4)</f>
        <v>29966544</v>
      </c>
      <c r="AI8" s="88">
        <f>VALUE(庫存金額A類!AH4)</f>
        <v>32464074.129999999</v>
      </c>
      <c r="AJ8" s="549">
        <f>AI8/AI9</f>
        <v>0.11211700410916396</v>
      </c>
      <c r="AK8" s="82">
        <f>HLOOKUP(MONTH(日期!$C$2)+1,A類各進口別庫存金額目標!$B$2:$M$7,6,TRUE)</f>
        <v>34800146.533720247</v>
      </c>
    </row>
    <row r="9" spans="1:37" ht="19.5">
      <c r="A9" s="684" t="s">
        <v>73</v>
      </c>
      <c r="B9" s="684"/>
      <c r="C9" s="83">
        <f>SUM(C6:C8)</f>
        <v>282657851.39576364</v>
      </c>
      <c r="D9" s="84">
        <f t="shared" ref="D9:AH9" si="0">SUM(D6:D8)</f>
        <v>272885718</v>
      </c>
      <c r="E9" s="84">
        <f t="shared" si="0"/>
        <v>271052120</v>
      </c>
      <c r="F9" s="84">
        <f t="shared" si="0"/>
        <v>271051730</v>
      </c>
      <c r="G9" s="84">
        <f t="shared" si="0"/>
        <v>273983761</v>
      </c>
      <c r="H9" s="84">
        <f t="shared" si="0"/>
        <v>275046664</v>
      </c>
      <c r="I9" s="84">
        <f t="shared" si="0"/>
        <v>275787886</v>
      </c>
      <c r="J9" s="84">
        <f t="shared" si="0"/>
        <v>279744166</v>
      </c>
      <c r="K9" s="84">
        <f t="shared" si="0"/>
        <v>284276033</v>
      </c>
      <c r="L9" s="84">
        <f t="shared" si="0"/>
        <v>281691626</v>
      </c>
      <c r="M9" s="84">
        <f t="shared" si="0"/>
        <v>281684568</v>
      </c>
      <c r="N9" s="84">
        <f t="shared" si="0"/>
        <v>283876494</v>
      </c>
      <c r="O9" s="84">
        <f t="shared" si="0"/>
        <v>286528754</v>
      </c>
      <c r="P9" s="84">
        <f t="shared" si="0"/>
        <v>293360371</v>
      </c>
      <c r="Q9" s="84">
        <f>SUM(Q6:Q8)</f>
        <v>295911407</v>
      </c>
      <c r="R9" s="84">
        <f t="shared" si="0"/>
        <v>299079139</v>
      </c>
      <c r="S9" s="84">
        <f t="shared" si="0"/>
        <v>297703414</v>
      </c>
      <c r="T9" s="84">
        <f t="shared" si="0"/>
        <v>297693808</v>
      </c>
      <c r="U9" s="84">
        <f t="shared" si="0"/>
        <v>298930536</v>
      </c>
      <c r="V9" s="84">
        <f t="shared" si="0"/>
        <v>298103001</v>
      </c>
      <c r="W9" s="84">
        <f t="shared" si="0"/>
        <v>302115337</v>
      </c>
      <c r="X9" s="84">
        <f t="shared" si="0"/>
        <v>303334335</v>
      </c>
      <c r="Y9" s="84">
        <f t="shared" si="0"/>
        <v>302513648</v>
      </c>
      <c r="Z9" s="84">
        <f t="shared" si="0"/>
        <v>302507183</v>
      </c>
      <c r="AA9" s="84">
        <f t="shared" si="0"/>
        <v>301011556</v>
      </c>
      <c r="AB9" s="84">
        <f>SUM(AB6:AB8)</f>
        <v>293290595</v>
      </c>
      <c r="AC9" s="84">
        <f t="shared" si="0"/>
        <v>291537696</v>
      </c>
      <c r="AD9" s="84">
        <f t="shared" si="0"/>
        <v>295584879</v>
      </c>
      <c r="AE9" s="84">
        <f t="shared" si="0"/>
        <v>296037589</v>
      </c>
      <c r="AF9" s="84">
        <f t="shared" si="0"/>
        <v>293531649</v>
      </c>
      <c r="AG9" s="84">
        <f t="shared" si="0"/>
        <v>288190218</v>
      </c>
      <c r="AH9" s="84">
        <f t="shared" si="0"/>
        <v>288168798</v>
      </c>
      <c r="AI9" s="84">
        <f>SUM(AI6:AI8)</f>
        <v>289555312.22000003</v>
      </c>
      <c r="AJ9" s="550">
        <f>AI9/AI$9</f>
        <v>1</v>
      </c>
      <c r="AK9" s="83">
        <f>SUM(AK6:AK8)</f>
        <v>272546550.5420143</v>
      </c>
    </row>
    <row r="10" spans="1:37">
      <c r="AI10" s="98">
        <f>AI9-C9</f>
        <v>6897460.824236393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2" t="s">
        <v>68</v>
      </c>
      <c r="AJ14" s="672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3"/>
      <c r="AJ15" s="673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2" t="s">
        <v>68</v>
      </c>
      <c r="AJ24" s="672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3"/>
      <c r="AJ25" s="673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2025/08/01</v>
      </c>
      <c r="D4" s="528" t="str">
        <f>日期!D2</f>
        <v>2025/08/02</v>
      </c>
      <c r="E4" s="528" t="str">
        <f>日期!E2</f>
        <v>2025/08/03</v>
      </c>
      <c r="F4" s="528" t="str">
        <f>日期!F2</f>
        <v>2025/08/04</v>
      </c>
      <c r="G4" s="528" t="str">
        <f>日期!G2</f>
        <v>2025/08/05</v>
      </c>
      <c r="H4" s="528" t="str">
        <f>日期!H2</f>
        <v>2025/08/06</v>
      </c>
      <c r="I4" s="528" t="str">
        <f>日期!I2</f>
        <v>2025/08/07</v>
      </c>
      <c r="J4" s="528" t="str">
        <f>日期!J2</f>
        <v>2025/08/08</v>
      </c>
      <c r="K4" s="528" t="str">
        <f>日期!K2</f>
        <v>2025/08/09</v>
      </c>
      <c r="L4" s="528" t="str">
        <f>日期!L2</f>
        <v>2025/08/10</v>
      </c>
      <c r="M4" s="528" t="str">
        <f>日期!M2</f>
        <v>2025/08/11</v>
      </c>
      <c r="N4" s="528" t="str">
        <f>日期!N2</f>
        <v>2025/08/12</v>
      </c>
      <c r="O4" s="528" t="str">
        <f>日期!O2</f>
        <v>2025/08/13</v>
      </c>
      <c r="P4" s="528" t="str">
        <f>日期!P2</f>
        <v>2025/08/14</v>
      </c>
      <c r="Q4" s="528" t="str">
        <f>日期!Q2</f>
        <v>2025/08/15</v>
      </c>
      <c r="R4" s="528" t="str">
        <f>日期!R2</f>
        <v>2025/08/16</v>
      </c>
      <c r="S4" s="528" t="str">
        <f>日期!S2</f>
        <v>2025/08/17</v>
      </c>
      <c r="T4" s="528" t="str">
        <f>日期!T2</f>
        <v>2025/08/18</v>
      </c>
      <c r="U4" s="528" t="str">
        <f>日期!U2</f>
        <v>2025/08/19</v>
      </c>
      <c r="V4" s="528" t="str">
        <f>日期!V2</f>
        <v>2025/08/20</v>
      </c>
      <c r="W4" s="528" t="str">
        <f>日期!W2</f>
        <v>2025/08/21</v>
      </c>
      <c r="X4" s="528" t="str">
        <f>日期!X2</f>
        <v>2025/08/22</v>
      </c>
      <c r="Y4" s="528" t="str">
        <f>日期!Y2</f>
        <v>2025/08/23</v>
      </c>
      <c r="Z4" s="528" t="str">
        <f>日期!Z2</f>
        <v>2025/08/24</v>
      </c>
      <c r="AA4" s="528" t="str">
        <f>日期!AA2</f>
        <v>2025/08/25</v>
      </c>
      <c r="AB4" s="528" t="str">
        <f>日期!AB2</f>
        <v>2025/08/26</v>
      </c>
      <c r="AC4" s="528" t="str">
        <f>日期!AC2</f>
        <v>2025/08/27</v>
      </c>
      <c r="AD4" s="528" t="str">
        <f>日期!AD2</f>
        <v>2025/08/28</v>
      </c>
      <c r="AE4" s="528" t="str">
        <f>日期!AE2</f>
        <v>2025/08/29</v>
      </c>
      <c r="AF4" s="528" t="str">
        <f>日期!AF2</f>
        <v>2025/08/30</v>
      </c>
      <c r="AG4" s="528" t="str">
        <f>日期!AG2</f>
        <v>2025/08/31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Fri</v>
      </c>
      <c r="D5" s="522" t="str">
        <f>日期!D3</f>
        <v>Sat</v>
      </c>
      <c r="E5" s="522" t="str">
        <f>日期!E3</f>
        <v>Sun</v>
      </c>
      <c r="F5" s="522" t="str">
        <f>日期!F3</f>
        <v>Mon</v>
      </c>
      <c r="G5" s="522" t="str">
        <f>日期!G3</f>
        <v>Tue</v>
      </c>
      <c r="H5" s="522" t="str">
        <f>日期!H3</f>
        <v>Wed</v>
      </c>
      <c r="I5" s="522" t="str">
        <f>日期!I3</f>
        <v>Thu</v>
      </c>
      <c r="J5" s="522" t="str">
        <f>日期!J3</f>
        <v>Fri</v>
      </c>
      <c r="K5" s="522" t="str">
        <f>日期!K3</f>
        <v>Sat</v>
      </c>
      <c r="L5" s="522" t="str">
        <f>日期!L3</f>
        <v>Sun</v>
      </c>
      <c r="M5" s="522" t="str">
        <f>日期!M3</f>
        <v>Mon</v>
      </c>
      <c r="N5" s="522" t="str">
        <f>日期!N3</f>
        <v>Tue</v>
      </c>
      <c r="O5" s="522" t="str">
        <f>日期!O3</f>
        <v>Wed</v>
      </c>
      <c r="P5" s="522" t="str">
        <f>日期!P3</f>
        <v>Thu</v>
      </c>
      <c r="Q5" s="522" t="str">
        <f>日期!Q3</f>
        <v>Fri</v>
      </c>
      <c r="R5" s="522" t="str">
        <f>日期!R3</f>
        <v>Sat</v>
      </c>
      <c r="S5" s="522" t="str">
        <f>日期!S3</f>
        <v>Sun</v>
      </c>
      <c r="T5" s="522" t="str">
        <f>日期!T3</f>
        <v>Mon</v>
      </c>
      <c r="U5" s="522" t="str">
        <f>日期!U3</f>
        <v>Tue</v>
      </c>
      <c r="V5" s="522" t="str">
        <f>日期!V3</f>
        <v>Wed</v>
      </c>
      <c r="W5" s="522" t="str">
        <f>日期!W3</f>
        <v>Thu</v>
      </c>
      <c r="X5" s="522" t="str">
        <f>日期!X3</f>
        <v>Fri</v>
      </c>
      <c r="Y5" s="522" t="str">
        <f>日期!Y3</f>
        <v>Sat</v>
      </c>
      <c r="Z5" s="522" t="str">
        <f>日期!Z3</f>
        <v>Sun</v>
      </c>
      <c r="AA5" s="522" t="str">
        <f>日期!AA3</f>
        <v>Mon</v>
      </c>
      <c r="AB5" s="522" t="str">
        <f>日期!AB3</f>
        <v>Tue</v>
      </c>
      <c r="AC5" s="522" t="str">
        <f>日期!AC3</f>
        <v>Wed</v>
      </c>
      <c r="AD5" s="522" t="str">
        <f>日期!AD3</f>
        <v>Thu</v>
      </c>
      <c r="AE5" s="522" t="str">
        <f>日期!AE3</f>
        <v>Fri</v>
      </c>
      <c r="AF5" s="522" t="str">
        <f>日期!AF3</f>
        <v>Sat</v>
      </c>
      <c r="AG5" s="522" t="str">
        <f>日期!AG3</f>
        <v>Sun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4925945</v>
      </c>
      <c r="D6" s="103">
        <f>VALUE(期貨金額!E2)</f>
        <v>4927827</v>
      </c>
      <c r="E6" s="103">
        <f>VALUE(期貨金額!F2)</f>
        <v>4927827</v>
      </c>
      <c r="F6" s="103">
        <f>VALUE(期貨金額!G2)</f>
        <v>5187191</v>
      </c>
      <c r="G6" s="103">
        <f>VALUE(期貨金額!H2)</f>
        <v>5053009</v>
      </c>
      <c r="H6" s="103">
        <f>VALUE(期貨金額!I2)</f>
        <v>5041766</v>
      </c>
      <c r="I6" s="103">
        <f>VALUE(期貨金額!J2)</f>
        <v>5118745</v>
      </c>
      <c r="J6" s="103">
        <f>VALUE(期貨金額!K2)</f>
        <v>5323585</v>
      </c>
      <c r="K6" s="103">
        <f>VALUE(期貨金額!L2)</f>
        <v>5326437</v>
      </c>
      <c r="L6" s="103">
        <f>VALUE(期貨金額!M2)</f>
        <v>5326437</v>
      </c>
      <c r="M6" s="103">
        <f>VALUE(期貨金額!N2)</f>
        <v>6275501</v>
      </c>
      <c r="N6" s="103">
        <f>VALUE(期貨金額!O2)</f>
        <v>5888257</v>
      </c>
      <c r="O6" s="103">
        <f>VALUE(期貨金額!P2)</f>
        <v>6024560</v>
      </c>
      <c r="P6" s="103">
        <f>VALUE(期貨金額!Q2)</f>
        <v>5547703</v>
      </c>
      <c r="Q6" s="103">
        <f>VALUE(期貨金額!R2)</f>
        <v>5736370</v>
      </c>
      <c r="R6" s="103">
        <f>VALUE(期貨金額!S2)</f>
        <v>5735341</v>
      </c>
      <c r="S6" s="103">
        <f>VALUE(期貨金額!T2)</f>
        <v>5735341</v>
      </c>
      <c r="T6" s="103">
        <f>VALUE(期貨金額!U2)</f>
        <v>5887199</v>
      </c>
      <c r="U6" s="103">
        <f>VALUE(期貨金額!V2)</f>
        <v>5608309</v>
      </c>
      <c r="V6" s="103">
        <f>VALUE(期貨金額!W2)</f>
        <v>5750878</v>
      </c>
      <c r="W6" s="103">
        <f>VALUE(期貨金額!X2)</f>
        <v>5815244</v>
      </c>
      <c r="X6" s="103">
        <f>VALUE(期貨金額!Y2)</f>
        <v>5537526</v>
      </c>
      <c r="Y6" s="103">
        <f>VALUE(期貨金額!Z2)</f>
        <v>5537526</v>
      </c>
      <c r="Z6" s="103">
        <f>VALUE(期貨金額!AA2)</f>
        <v>5537526</v>
      </c>
      <c r="AA6" s="103">
        <f>VALUE(期貨金額!AB2)</f>
        <v>5806035</v>
      </c>
      <c r="AB6" s="103">
        <f>VALUE(期貨金額!AC2)</f>
        <v>5666072</v>
      </c>
      <c r="AC6" s="103">
        <f>VALUE(期貨金額!AD2)</f>
        <v>5497919</v>
      </c>
      <c r="AD6" s="103">
        <f>VALUE(期貨金額!AE2)</f>
        <v>5697366</v>
      </c>
      <c r="AE6" s="103">
        <f>VALUE(期貨金額!AF2)</f>
        <v>5638302</v>
      </c>
      <c r="AF6" s="103">
        <f>VALUE(期貨金額!AG2)</f>
        <v>5676523</v>
      </c>
      <c r="AG6" s="103">
        <f>VALUE(期貨金額!AH2)</f>
        <v>5676523</v>
      </c>
      <c r="AH6" s="103">
        <f>VALUE(期貨金額!AI2)</f>
        <v>5530154.5199999996</v>
      </c>
      <c r="AI6" s="504">
        <f>AH6/$AH$19</f>
        <v>0.4884298498464365</v>
      </c>
    </row>
    <row r="7" spans="1:35" ht="17.45">
      <c r="A7" s="105" t="s">
        <v>72</v>
      </c>
      <c r="B7" s="106" t="s">
        <v>237</v>
      </c>
      <c r="C7" s="103">
        <f>VALUE(期貨金額!D3)</f>
        <v>4432172</v>
      </c>
      <c r="D7" s="103">
        <f>VALUE(期貨金額!E3)</f>
        <v>4441625</v>
      </c>
      <c r="E7" s="103">
        <f>VALUE(期貨金額!F3)</f>
        <v>4441625</v>
      </c>
      <c r="F7" s="103">
        <f>VALUE(期貨金額!G3)</f>
        <v>5022451</v>
      </c>
      <c r="G7" s="103">
        <f>VALUE(期貨金額!H3)</f>
        <v>4617309</v>
      </c>
      <c r="H7" s="103">
        <f>VALUE(期貨金額!I3)</f>
        <v>4411470</v>
      </c>
      <c r="I7" s="103">
        <f>VALUE(期貨金額!J3)</f>
        <v>4419656</v>
      </c>
      <c r="J7" s="103">
        <f>VALUE(期貨金額!K3)</f>
        <v>4099904</v>
      </c>
      <c r="K7" s="103">
        <f>VALUE(期貨金額!L3)</f>
        <v>4188000</v>
      </c>
      <c r="L7" s="103">
        <f>VALUE(期貨金額!M3)</f>
        <v>4188000</v>
      </c>
      <c r="M7" s="103">
        <f>VALUE(期貨金額!N3)</f>
        <v>5290559</v>
      </c>
      <c r="N7" s="103">
        <f>VALUE(期貨金額!O3)</f>
        <v>5746250</v>
      </c>
      <c r="O7" s="103">
        <f>VALUE(期貨金額!P3)</f>
        <v>5776033</v>
      </c>
      <c r="P7" s="103">
        <f>VALUE(期貨金額!Q3)</f>
        <v>5858466</v>
      </c>
      <c r="Q7" s="103">
        <f>VALUE(期貨金額!R3)</f>
        <v>6072751</v>
      </c>
      <c r="R7" s="103">
        <f>VALUE(期貨金額!S3)</f>
        <v>6216923</v>
      </c>
      <c r="S7" s="103">
        <f>VALUE(期貨金額!T3)</f>
        <v>6216923</v>
      </c>
      <c r="T7" s="103">
        <f>VALUE(期貨金額!U3)</f>
        <v>6343577</v>
      </c>
      <c r="U7" s="103">
        <f>VALUE(期貨金額!V3)</f>
        <v>6382157</v>
      </c>
      <c r="V7" s="103">
        <f>VALUE(期貨金額!W3)</f>
        <v>6195275</v>
      </c>
      <c r="W7" s="103">
        <f>VALUE(期貨金額!X3)</f>
        <v>6207042</v>
      </c>
      <c r="X7" s="103">
        <f>VALUE(期貨金額!Y3)</f>
        <v>6335842</v>
      </c>
      <c r="Y7" s="103">
        <f>VALUE(期貨金額!Z3)</f>
        <v>6335842</v>
      </c>
      <c r="Z7" s="103">
        <f>VALUE(期貨金額!AA3)</f>
        <v>6335842</v>
      </c>
      <c r="AA7" s="103">
        <f>VALUE(期貨金額!AB3)</f>
        <v>6373239</v>
      </c>
      <c r="AB7" s="103">
        <f>VALUE(期貨金額!AC3)</f>
        <v>6546335</v>
      </c>
      <c r="AC7" s="103">
        <f>VALUE(期貨金額!AD3)</f>
        <v>6577726</v>
      </c>
      <c r="AD7" s="103">
        <f>VALUE(期貨金額!AE3)</f>
        <v>6446344</v>
      </c>
      <c r="AE7" s="103">
        <f>VALUE(期貨金額!AF3)</f>
        <v>6273729</v>
      </c>
      <c r="AF7" s="103">
        <f>VALUE(期貨金額!AG3)</f>
        <v>6273729</v>
      </c>
      <c r="AG7" s="103">
        <f>VALUE(期貨金額!AH3)</f>
        <v>6273729</v>
      </c>
      <c r="AH7" s="103">
        <f>VALUE(期貨金額!AI3)</f>
        <v>5623887.9000000004</v>
      </c>
      <c r="AI7" s="504">
        <f t="shared" ref="AI7:AI17" si="0">AH7/$AH$19</f>
        <v>0.49670849387951488</v>
      </c>
    </row>
    <row r="8" spans="1:35" ht="17.45">
      <c r="A8" s="105" t="s">
        <v>72</v>
      </c>
      <c r="B8" s="106">
        <v>4</v>
      </c>
      <c r="C8" s="103">
        <f>VALUE(期貨金額!D4)</f>
        <v>97990</v>
      </c>
      <c r="D8" s="103">
        <f>VALUE(期貨金額!E4)</f>
        <v>97990</v>
      </c>
      <c r="E8" s="103">
        <f>VALUE(期貨金額!F4)</f>
        <v>97990</v>
      </c>
      <c r="F8" s="103">
        <f>VALUE(期貨金額!G4)</f>
        <v>101704</v>
      </c>
      <c r="G8" s="103">
        <f>VALUE(期貨金額!H4)</f>
        <v>97763</v>
      </c>
      <c r="H8" s="103">
        <f>VALUE(期貨金額!I4)</f>
        <v>97759</v>
      </c>
      <c r="I8" s="103">
        <f>VALUE(期貨金額!J4)</f>
        <v>100746</v>
      </c>
      <c r="J8" s="103">
        <f>VALUE(期貨金額!K4)</f>
        <v>107423</v>
      </c>
      <c r="K8" s="103">
        <f>VALUE(期貨金額!L4)</f>
        <v>107423</v>
      </c>
      <c r="L8" s="103">
        <f>VALUE(期貨金額!M4)</f>
        <v>107423</v>
      </c>
      <c r="M8" s="103">
        <f>VALUE(期貨金額!N4)</f>
        <v>107354</v>
      </c>
      <c r="N8" s="103">
        <f>VALUE(期貨金額!O4)</f>
        <v>108008</v>
      </c>
      <c r="O8" s="103">
        <f>VALUE(期貨金額!P4)</f>
        <v>107783</v>
      </c>
      <c r="P8" s="103">
        <f>VALUE(期貨金額!Q4)</f>
        <v>118215</v>
      </c>
      <c r="Q8" s="103">
        <f>VALUE(期貨金額!R4)</f>
        <v>116239</v>
      </c>
      <c r="R8" s="103">
        <f>VALUE(期貨金額!S4)</f>
        <v>116239</v>
      </c>
      <c r="S8" s="103">
        <f>VALUE(期貨金額!T4)</f>
        <v>116239</v>
      </c>
      <c r="T8" s="103">
        <f>VALUE(期貨金額!U4)</f>
        <v>107237</v>
      </c>
      <c r="U8" s="103">
        <f>VALUE(期貨金額!V4)</f>
        <v>129783</v>
      </c>
      <c r="V8" s="103">
        <f>VALUE(期貨金額!W4)</f>
        <v>129596</v>
      </c>
      <c r="W8" s="103">
        <f>VALUE(期貨金額!X4)</f>
        <v>119721</v>
      </c>
      <c r="X8" s="103">
        <f>VALUE(期貨金額!Y4)</f>
        <v>119721</v>
      </c>
      <c r="Y8" s="103">
        <f>VALUE(期貨金額!Z4)</f>
        <v>119721</v>
      </c>
      <c r="Z8" s="103">
        <f>VALUE(期貨金額!AA4)</f>
        <v>119721</v>
      </c>
      <c r="AA8" s="103">
        <f>VALUE(期貨金額!AB4)</f>
        <v>119721</v>
      </c>
      <c r="AB8" s="103">
        <f>VALUE(期貨金額!AC4)</f>
        <v>119666</v>
      </c>
      <c r="AC8" s="103">
        <f>VALUE(期貨金額!AD4)</f>
        <v>93761</v>
      </c>
      <c r="AD8" s="103">
        <f>VALUE(期貨金額!AE4)</f>
        <v>92696</v>
      </c>
      <c r="AE8" s="103">
        <f>VALUE(期貨金額!AF4)</f>
        <v>110665</v>
      </c>
      <c r="AF8" s="103">
        <f>VALUE(期貨金額!AG4)</f>
        <v>111484</v>
      </c>
      <c r="AG8" s="103">
        <f>VALUE(期貨金額!AH4)</f>
        <v>111484</v>
      </c>
      <c r="AH8" s="103">
        <f>VALUE(期貨金額!AI4)</f>
        <v>109976.29</v>
      </c>
      <c r="AI8" s="504">
        <f t="shared" si="0"/>
        <v>9.7132372372423625E-3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56976</v>
      </c>
      <c r="D17" s="103">
        <f>VALUE(期貨金額!E15)</f>
        <v>56976</v>
      </c>
      <c r="E17" s="103">
        <f>VALUE(期貨金額!F15)</f>
        <v>56976</v>
      </c>
      <c r="F17" s="103">
        <f>VALUE(期貨金額!G15)</f>
        <v>56000</v>
      </c>
      <c r="G17" s="103">
        <f>VALUE(期貨金額!H15)</f>
        <v>56000</v>
      </c>
      <c r="H17" s="103">
        <f>VALUE(期貨金額!I15)</f>
        <v>56000</v>
      </c>
      <c r="I17" s="103">
        <f>VALUE(期貨金額!J15)</f>
        <v>56000</v>
      </c>
      <c r="J17" s="103">
        <f>VALUE(期貨金額!K15)</f>
        <v>56000</v>
      </c>
      <c r="K17" s="103">
        <f>VALUE(期貨金額!L15)</f>
        <v>56000</v>
      </c>
      <c r="L17" s="103">
        <f>VALUE(期貨金額!M15)</f>
        <v>56000</v>
      </c>
      <c r="M17" s="103">
        <f>VALUE(期貨金額!N15)</f>
        <v>56000</v>
      </c>
      <c r="N17" s="103">
        <f>VALUE(期貨金額!O15)</f>
        <v>58427</v>
      </c>
      <c r="O17" s="103">
        <f>VALUE(期貨金額!P15)</f>
        <v>58427</v>
      </c>
      <c r="P17" s="103">
        <f>VALUE(期貨金額!Q15)</f>
        <v>58427</v>
      </c>
      <c r="Q17" s="103">
        <f>VALUE(期貨金額!R15)</f>
        <v>58427</v>
      </c>
      <c r="R17" s="103">
        <f>VALUE(期貨金額!S15)</f>
        <v>58427</v>
      </c>
      <c r="S17" s="103">
        <f>VALUE(期貨金額!T15)</f>
        <v>58427</v>
      </c>
      <c r="T17" s="103">
        <f>VALUE(期貨金額!U15)</f>
        <v>59833</v>
      </c>
      <c r="U17" s="103">
        <f>VALUE(期貨金額!V15)</f>
        <v>59833</v>
      </c>
      <c r="V17" s="103">
        <f>VALUE(期貨金額!W15)</f>
        <v>59833</v>
      </c>
      <c r="W17" s="103">
        <f>VALUE(期貨金額!X15)</f>
        <v>56374</v>
      </c>
      <c r="X17" s="103">
        <f>VALUE(期貨金額!Y15)</f>
        <v>56376</v>
      </c>
      <c r="Y17" s="103">
        <f>VALUE(期貨金額!Z15)</f>
        <v>56376</v>
      </c>
      <c r="Z17" s="103">
        <f>VALUE(期貨金額!AA15)</f>
        <v>56376</v>
      </c>
      <c r="AA17" s="103">
        <f>VALUE(期貨金額!AB15)</f>
        <v>56980</v>
      </c>
      <c r="AB17" s="103">
        <f>VALUE(期貨金額!AC15)</f>
        <v>56979</v>
      </c>
      <c r="AC17" s="103">
        <f>VALUE(期貨金額!AD15)</f>
        <v>56979</v>
      </c>
      <c r="AD17" s="103">
        <f>VALUE(期貨金額!AE15)</f>
        <v>56978</v>
      </c>
      <c r="AE17" s="103">
        <f>VALUE(期貨金額!AF15)</f>
        <v>68215</v>
      </c>
      <c r="AF17" s="103">
        <f>VALUE(期貨金額!AG15)</f>
        <v>68215</v>
      </c>
      <c r="AG17" s="103">
        <f>VALUE(期貨金額!AH15)</f>
        <v>68215</v>
      </c>
      <c r="AH17" s="103">
        <f>VALUE(期貨金額!AI15)</f>
        <v>58292</v>
      </c>
      <c r="AI17" s="504">
        <f t="shared" si="0"/>
        <v>5.1484190368063136E-3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9513083</v>
      </c>
      <c r="D19" s="107">
        <f t="shared" si="1"/>
        <v>9524418</v>
      </c>
      <c r="E19" s="107">
        <f t="shared" si="1"/>
        <v>9524418</v>
      </c>
      <c r="F19" s="107">
        <f t="shared" si="1"/>
        <v>10367346</v>
      </c>
      <c r="G19" s="107">
        <f t="shared" si="1"/>
        <v>9824081</v>
      </c>
      <c r="H19" s="107">
        <f t="shared" si="1"/>
        <v>9606995</v>
      </c>
      <c r="I19" s="107">
        <f t="shared" si="1"/>
        <v>9695147</v>
      </c>
      <c r="J19" s="107">
        <f t="shared" si="1"/>
        <v>9586912</v>
      </c>
      <c r="K19" s="107">
        <f t="shared" si="1"/>
        <v>9677860</v>
      </c>
      <c r="L19" s="107">
        <f t="shared" si="1"/>
        <v>9677860</v>
      </c>
      <c r="M19" s="107">
        <f t="shared" si="1"/>
        <v>11729414</v>
      </c>
      <c r="N19" s="107">
        <f t="shared" si="1"/>
        <v>11800942</v>
      </c>
      <c r="O19" s="107">
        <f t="shared" si="1"/>
        <v>11966803</v>
      </c>
      <c r="P19" s="107">
        <f t="shared" si="1"/>
        <v>11582811</v>
      </c>
      <c r="Q19" s="107">
        <f t="shared" si="1"/>
        <v>11983787</v>
      </c>
      <c r="R19" s="107">
        <f t="shared" si="1"/>
        <v>12126930</v>
      </c>
      <c r="S19" s="107">
        <f t="shared" si="1"/>
        <v>12126930</v>
      </c>
      <c r="T19" s="107">
        <f t="shared" si="1"/>
        <v>12397846</v>
      </c>
      <c r="U19" s="107">
        <f t="shared" si="1"/>
        <v>12180082</v>
      </c>
      <c r="V19" s="107">
        <f t="shared" si="1"/>
        <v>12135582</v>
      </c>
      <c r="W19" s="107">
        <f t="shared" si="1"/>
        <v>12198381</v>
      </c>
      <c r="X19" s="107">
        <f>SUM(X6:X18)</f>
        <v>12049465</v>
      </c>
      <c r="Y19" s="107">
        <f t="shared" si="1"/>
        <v>12049465</v>
      </c>
      <c r="Z19" s="107">
        <f t="shared" si="1"/>
        <v>12049465</v>
      </c>
      <c r="AA19" s="107">
        <f t="shared" si="1"/>
        <v>12355975</v>
      </c>
      <c r="AB19" s="107">
        <f t="shared" si="1"/>
        <v>12389052</v>
      </c>
      <c r="AC19" s="107">
        <f t="shared" si="1"/>
        <v>12226385</v>
      </c>
      <c r="AD19" s="107">
        <f t="shared" si="1"/>
        <v>12293384</v>
      </c>
      <c r="AE19" s="107">
        <f t="shared" si="1"/>
        <v>12090911</v>
      </c>
      <c r="AF19" s="107">
        <f t="shared" si="1"/>
        <v>12129951</v>
      </c>
      <c r="AG19" s="107">
        <f t="shared" si="1"/>
        <v>12129951</v>
      </c>
      <c r="AH19" s="107">
        <f t="shared" si="1"/>
        <v>11322310.709999999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3035604</v>
      </c>
      <c r="D20" s="103">
        <f>VALUE(期貨金額!E7)</f>
        <v>3035604</v>
      </c>
      <c r="E20" s="103">
        <f>VALUE(期貨金額!F7)</f>
        <v>3035604</v>
      </c>
      <c r="F20" s="103">
        <f>VALUE(期貨金額!G7)</f>
        <v>3037670</v>
      </c>
      <c r="G20" s="103">
        <f>VALUE(期貨金額!H7)</f>
        <v>3037820</v>
      </c>
      <c r="H20" s="103">
        <f>VALUE(期貨金額!I7)</f>
        <v>3027182</v>
      </c>
      <c r="I20" s="103">
        <f>VALUE(期貨金額!J7)</f>
        <v>3031908</v>
      </c>
      <c r="J20" s="103">
        <f>VALUE(期貨金額!K7)</f>
        <v>2767066</v>
      </c>
      <c r="K20" s="103">
        <f>VALUE(期貨金額!L7)</f>
        <v>2767072</v>
      </c>
      <c r="L20" s="103">
        <f>VALUE(期貨金額!M7)</f>
        <v>2767072</v>
      </c>
      <c r="M20" s="103">
        <f>VALUE(期貨金額!N7)</f>
        <v>2767165</v>
      </c>
      <c r="N20" s="103">
        <f>VALUE(期貨金額!O7)</f>
        <v>2768197</v>
      </c>
      <c r="O20" s="103">
        <f>VALUE(期貨金額!P7)</f>
        <v>2772937</v>
      </c>
      <c r="P20" s="103">
        <f>VALUE(期貨金額!Q7)</f>
        <v>2773097</v>
      </c>
      <c r="Q20" s="103">
        <f>VALUE(期貨金額!R7)</f>
        <v>2162724</v>
      </c>
      <c r="R20" s="103">
        <f>VALUE(期貨金額!S7)</f>
        <v>2162866</v>
      </c>
      <c r="S20" s="103">
        <f>VALUE(期貨金額!T7)</f>
        <v>2162866</v>
      </c>
      <c r="T20" s="103">
        <f>VALUE(期貨金額!U7)</f>
        <v>2295593</v>
      </c>
      <c r="U20" s="103">
        <f>VALUE(期貨金額!V7)</f>
        <v>2293498</v>
      </c>
      <c r="V20" s="103">
        <f>VALUE(期貨金額!W7)</f>
        <v>2284296</v>
      </c>
      <c r="W20" s="103">
        <f>VALUE(期貨金額!X7)</f>
        <v>2287803</v>
      </c>
      <c r="X20" s="103">
        <f>VALUE(期貨金額!Y7)</f>
        <v>2287878</v>
      </c>
      <c r="Y20" s="103">
        <f>VALUE(期貨金額!Z7)</f>
        <v>2287878</v>
      </c>
      <c r="Z20" s="103">
        <f>VALUE(期貨金額!AA7)</f>
        <v>2287878</v>
      </c>
      <c r="AA20" s="103">
        <f>VALUE(期貨金額!AB7)</f>
        <v>2301606</v>
      </c>
      <c r="AB20" s="103">
        <f>VALUE(期貨金額!AC7)</f>
        <v>2294958</v>
      </c>
      <c r="AC20" s="103">
        <f>VALUE(期貨金額!AD7)</f>
        <v>2301344</v>
      </c>
      <c r="AD20" s="103">
        <f>VALUE(期貨金額!AE7)</f>
        <v>2306557</v>
      </c>
      <c r="AE20" s="103">
        <f>VALUE(期貨金額!AF7)</f>
        <v>2292880</v>
      </c>
      <c r="AF20" s="103">
        <f>VALUE(期貨金額!AG7)</f>
        <v>2292892</v>
      </c>
      <c r="AG20" s="103">
        <f>VALUE(期貨金額!AH7)</f>
        <v>2292892</v>
      </c>
      <c r="AH20" s="103">
        <f>VALUE(期貨金額!AI7)</f>
        <v>2555497</v>
      </c>
      <c r="AI20" s="504">
        <f>AH20/$AH$26</f>
        <v>0.99994610340912793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305</v>
      </c>
      <c r="D22" s="103">
        <f>VALUE(期貨金額!E21)</f>
        <v>305</v>
      </c>
      <c r="E22" s="103">
        <f>VALUE(期貨金額!F21)</f>
        <v>305</v>
      </c>
      <c r="F22" s="103">
        <f>VALUE(期貨金額!G21)</f>
        <v>305</v>
      </c>
      <c r="G22" s="103">
        <f>VALUE(期貨金額!H21)</f>
        <v>305</v>
      </c>
      <c r="H22" s="103">
        <f>VALUE(期貨金額!I21)</f>
        <v>305</v>
      </c>
      <c r="I22" s="103">
        <f>VALUE(期貨金額!J21)</f>
        <v>305</v>
      </c>
      <c r="J22" s="103">
        <f>VALUE(期貨金額!K21)</f>
        <v>305</v>
      </c>
      <c r="K22" s="103">
        <f>VALUE(期貨金額!L21)</f>
        <v>305</v>
      </c>
      <c r="L22" s="103">
        <f>VALUE(期貨金額!M21)</f>
        <v>305</v>
      </c>
      <c r="M22" s="103">
        <f>VALUE(期貨金額!N21)</f>
        <v>305</v>
      </c>
      <c r="N22" s="103">
        <f>VALUE(期貨金額!O21)</f>
        <v>305</v>
      </c>
      <c r="O22" s="103">
        <f>VALUE(期貨金額!P21)</f>
        <v>305</v>
      </c>
      <c r="P22" s="103">
        <f>VALUE(期貨金額!Q21)</f>
        <v>305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137.74</v>
      </c>
      <c r="AI22" s="504">
        <f t="shared" si="2"/>
        <v>5.38965908719804E-5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3035909</v>
      </c>
      <c r="D26" s="107">
        <f>SUM(D20:D25)</f>
        <v>3035909</v>
      </c>
      <c r="E26" s="107">
        <f>SUM(E20:E25)</f>
        <v>3035909</v>
      </c>
      <c r="F26" s="107">
        <f t="shared" ref="F26:AH26" si="3">SUM(F20:F25)</f>
        <v>3037975</v>
      </c>
      <c r="G26" s="107">
        <f t="shared" si="3"/>
        <v>3038125</v>
      </c>
      <c r="H26" s="107">
        <f t="shared" si="3"/>
        <v>3027487</v>
      </c>
      <c r="I26" s="107">
        <f t="shared" si="3"/>
        <v>3032213</v>
      </c>
      <c r="J26" s="107">
        <f t="shared" si="3"/>
        <v>2767371</v>
      </c>
      <c r="K26" s="107">
        <f t="shared" si="3"/>
        <v>2767377</v>
      </c>
      <c r="L26" s="107">
        <f t="shared" si="3"/>
        <v>2767377</v>
      </c>
      <c r="M26" s="107">
        <f t="shared" si="3"/>
        <v>2767470</v>
      </c>
      <c r="N26" s="107">
        <f t="shared" si="3"/>
        <v>2768502</v>
      </c>
      <c r="O26" s="107">
        <f t="shared" si="3"/>
        <v>2773242</v>
      </c>
      <c r="P26" s="107">
        <f t="shared" si="3"/>
        <v>2773402</v>
      </c>
      <c r="Q26" s="107">
        <f t="shared" si="3"/>
        <v>2162724</v>
      </c>
      <c r="R26" s="107">
        <f t="shared" si="3"/>
        <v>2162866</v>
      </c>
      <c r="S26" s="107">
        <f t="shared" si="3"/>
        <v>2162866</v>
      </c>
      <c r="T26" s="107">
        <f t="shared" si="3"/>
        <v>2295593</v>
      </c>
      <c r="U26" s="107">
        <f t="shared" si="3"/>
        <v>2293498</v>
      </c>
      <c r="V26" s="107">
        <f t="shared" si="3"/>
        <v>2284296</v>
      </c>
      <c r="W26" s="107">
        <f t="shared" si="3"/>
        <v>2287803</v>
      </c>
      <c r="X26" s="107">
        <f t="shared" si="3"/>
        <v>2287878</v>
      </c>
      <c r="Y26" s="107">
        <f t="shared" si="3"/>
        <v>2287878</v>
      </c>
      <c r="Z26" s="107">
        <f t="shared" si="3"/>
        <v>2287878</v>
      </c>
      <c r="AA26" s="107">
        <f t="shared" si="3"/>
        <v>2301606</v>
      </c>
      <c r="AB26" s="107">
        <f t="shared" si="3"/>
        <v>2294958</v>
      </c>
      <c r="AC26" s="107">
        <f t="shared" si="3"/>
        <v>2301344</v>
      </c>
      <c r="AD26" s="107">
        <f t="shared" si="3"/>
        <v>2306557</v>
      </c>
      <c r="AE26" s="107">
        <f t="shared" si="3"/>
        <v>2292880</v>
      </c>
      <c r="AF26" s="107">
        <f t="shared" si="3"/>
        <v>2292892</v>
      </c>
      <c r="AG26" s="107">
        <f t="shared" si="3"/>
        <v>2292892</v>
      </c>
      <c r="AH26" s="107">
        <f t="shared" si="3"/>
        <v>2555634.7400000002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05" t="s">
        <v>9</v>
      </c>
      <c r="B3" s="706"/>
      <c r="C3" s="70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541839423.27999997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583944606</v>
      </c>
      <c r="Q3" s="529">
        <v>464677576.2836622</v>
      </c>
    </row>
    <row r="4" spans="1:17" ht="13.5">
      <c r="A4" s="123"/>
      <c r="B4" s="701" t="s">
        <v>10</v>
      </c>
      <c r="C4" s="702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306395180.02999997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334539797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266232218.22999999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289876788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5255297.7699999996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6131139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5240019.45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7556460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19416991.52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19712020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10250653.060000001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11263390</v>
      </c>
      <c r="Q10" s="531">
        <v>7409428.2792333327</v>
      </c>
    </row>
    <row r="11" spans="1:17" ht="13.5">
      <c r="A11" s="126"/>
      <c r="B11" s="708" t="s">
        <v>17</v>
      </c>
      <c r="C11" s="709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5358976.55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2715650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5031748.87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2440821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327227.68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274829</v>
      </c>
      <c r="Q15" s="531">
        <v>410834.40910555562</v>
      </c>
    </row>
    <row r="16" spans="1:17" ht="14.25" customHeight="1">
      <c r="A16" s="126"/>
      <c r="B16" s="701" t="s">
        <v>22</v>
      </c>
      <c r="C16" s="702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230085266.70000002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246689159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213933395.71000001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226332625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1379365.87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1947374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14204196.16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17831290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109258.35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100268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135074.60999999999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153626</v>
      </c>
      <c r="Q23" s="531">
        <v>446571.5</v>
      </c>
    </row>
    <row r="24" spans="1:17" ht="14.25" customHeight="1">
      <c r="A24" s="126"/>
      <c r="B24" s="701" t="s">
        <v>30</v>
      </c>
      <c r="C24" s="702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17205990.93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16133185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9162485.6099999994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9218240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8043505.3200000003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6914945</v>
      </c>
      <c r="Q28" s="531"/>
    </row>
    <row r="29" spans="1:17" ht="13.5">
      <c r="A29" s="691" t="s">
        <v>36</v>
      </c>
      <c r="B29" s="692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1836.71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1357945</v>
      </c>
      <c r="Q29" s="533"/>
    </row>
    <row r="30" spans="1:17" ht="13.5">
      <c r="A30" s="693"/>
      <c r="B30" s="69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693"/>
      <c r="B31" s="694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5806256.6500000004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6102782</v>
      </c>
      <c r="Q31" s="534"/>
    </row>
    <row r="32" spans="1:17" ht="14.1" thickBot="1">
      <c r="A32" s="695"/>
      <c r="B32" s="696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9450488.7100000009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10635848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3" t="s">
        <v>1</v>
      </c>
      <c r="B36" s="704"/>
      <c r="C36" s="704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5" t="s">
        <v>9</v>
      </c>
      <c r="B37" s="706"/>
      <c r="C37" s="70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596894065</v>
      </c>
      <c r="Q37" s="121"/>
    </row>
    <row r="38" spans="1:17" ht="13.5">
      <c r="A38" s="123"/>
      <c r="B38" s="701" t="s">
        <v>10</v>
      </c>
      <c r="C38" s="702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326066227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347401929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268251074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294138569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7059809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7379907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5845604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7230507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22828116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21058247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22081624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17594699</v>
      </c>
      <c r="Q44" s="121"/>
    </row>
    <row r="45" spans="1:17" ht="13.5">
      <c r="A45" s="126"/>
      <c r="B45" s="708" t="s">
        <v>17</v>
      </c>
      <c r="C45" s="709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5083871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2933746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4810863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2650268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273008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283478</v>
      </c>
      <c r="Q49" s="121"/>
    </row>
    <row r="50" spans="1:17" ht="16.5" customHeight="1">
      <c r="A50" s="126"/>
      <c r="B50" s="708" t="s">
        <v>22</v>
      </c>
      <c r="C50" s="709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218047190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246558390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202720734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225950412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1838782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2317526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12938602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17704825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100589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118257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161062</v>
      </c>
      <c r="Q57" s="121"/>
    </row>
    <row r="58" spans="1:17" ht="14.25" customHeight="1">
      <c r="A58" s="126"/>
      <c r="B58" s="701" t="s">
        <v>30</v>
      </c>
      <c r="C58" s="702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18113942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16947932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10230303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9581002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7883639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7366930</v>
      </c>
      <c r="Q62" s="121"/>
    </row>
    <row r="63" spans="1:17" ht="13.5">
      <c r="A63" s="691" t="s">
        <v>36</v>
      </c>
      <c r="B63" s="692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1153111</v>
      </c>
      <c r="Q63" s="121"/>
    </row>
    <row r="64" spans="1:17" ht="14.25" customHeight="1">
      <c r="A64" s="693"/>
      <c r="B64" s="69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3"/>
      <c r="B65" s="694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8631009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8547200</v>
      </c>
      <c r="Q65" s="121"/>
    </row>
    <row r="66" spans="1:17" ht="14.1" thickBot="1">
      <c r="A66" s="695"/>
      <c r="B66" s="696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9914938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10682202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3" t="s">
        <v>1</v>
      </c>
      <c r="B70" s="704"/>
      <c r="C70" s="704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5" t="s">
        <v>9</v>
      </c>
      <c r="B71" s="706"/>
      <c r="C71" s="70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1" t="s">
        <v>10</v>
      </c>
      <c r="C72" s="702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8" t="s">
        <v>17</v>
      </c>
      <c r="C79" s="710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1" t="s">
        <v>22</v>
      </c>
      <c r="C84" s="702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1" t="s">
        <v>36</v>
      </c>
      <c r="B92" s="69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3"/>
      <c r="B93" s="69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3"/>
      <c r="B94" s="69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5"/>
      <c r="B95" s="69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3" t="s">
        <v>1</v>
      </c>
      <c r="B98" s="704"/>
      <c r="C98" s="704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1" t="s">
        <v>11</v>
      </c>
      <c r="B99" s="712"/>
      <c r="C99" s="712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97.7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98.1</v>
      </c>
      <c r="Q99" s="537">
        <v>97.9</v>
      </c>
      <c r="R99" s="713"/>
      <c r="S99" s="714"/>
    </row>
    <row r="100" spans="1:19" ht="13.5">
      <c r="A100" s="699" t="s">
        <v>12</v>
      </c>
      <c r="B100" s="700"/>
      <c r="C100" s="700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100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13"/>
      <c r="S100" s="714"/>
    </row>
    <row r="101" spans="1:19" ht="13.5">
      <c r="A101" s="699" t="s">
        <v>13</v>
      </c>
      <c r="B101" s="700"/>
      <c r="C101" s="700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82.2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89.6</v>
      </c>
      <c r="Q101" s="537">
        <v>75</v>
      </c>
      <c r="R101" s="713"/>
      <c r="S101" s="714"/>
    </row>
    <row r="102" spans="1:19" ht="13.5">
      <c r="A102" s="699" t="s">
        <v>14</v>
      </c>
      <c r="B102" s="700"/>
      <c r="C102" s="700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99.7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99.5</v>
      </c>
      <c r="Q102" s="537">
        <v>99</v>
      </c>
      <c r="R102" s="713"/>
      <c r="S102" s="714"/>
    </row>
    <row r="103" spans="1:19" ht="13.5">
      <c r="A103" s="699" t="s">
        <v>21</v>
      </c>
      <c r="B103" s="700"/>
      <c r="C103" s="700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90.8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94.2</v>
      </c>
      <c r="Q103" s="537">
        <v>92</v>
      </c>
      <c r="R103" s="713"/>
      <c r="S103" s="714"/>
    </row>
    <row r="104" spans="1:19" ht="13.5">
      <c r="A104" s="699" t="s">
        <v>16</v>
      </c>
      <c r="B104" s="700"/>
      <c r="C104" s="700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97.7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98.3</v>
      </c>
      <c r="Q104" s="537">
        <v>95</v>
      </c>
      <c r="R104" s="713"/>
      <c r="S104" s="714"/>
    </row>
    <row r="105" spans="1:19" ht="13.5">
      <c r="A105" s="697" t="s">
        <v>17</v>
      </c>
      <c r="B105" s="698"/>
      <c r="C105" s="698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100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96.6</v>
      </c>
      <c r="Q105" s="537">
        <v>95</v>
      </c>
      <c r="R105" s="713"/>
      <c r="S105" s="714"/>
    </row>
    <row r="106" spans="1:19" ht="13.5">
      <c r="A106" s="722" t="s">
        <v>49</v>
      </c>
      <c r="B106" s="723"/>
      <c r="C106" s="724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97.8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98.2</v>
      </c>
      <c r="Q106" s="538">
        <v>97.8</v>
      </c>
      <c r="R106" s="240"/>
      <c r="S106" s="241"/>
    </row>
    <row r="107" spans="1:19" ht="13.5">
      <c r="A107" s="699" t="s">
        <v>276</v>
      </c>
      <c r="B107" s="700"/>
      <c r="C107" s="700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98.2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98.2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99.8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99.2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97.3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96.5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97.2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96.5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98.2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93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21.4</v>
      </c>
      <c r="Q112" s="539"/>
      <c r="R112" s="240"/>
      <c r="S112" s="241"/>
    </row>
    <row r="113" spans="1:21" ht="14.1" thickBot="1">
      <c r="A113" s="725" t="s">
        <v>50</v>
      </c>
      <c r="B113" s="726"/>
      <c r="C113" s="726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98.1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97.7</v>
      </c>
      <c r="Q113" s="540"/>
      <c r="R113" s="713"/>
      <c r="S113" s="714"/>
    </row>
    <row r="114" spans="1:21" ht="16.5" customHeight="1">
      <c r="A114" s="727" t="s">
        <v>31</v>
      </c>
      <c r="B114" s="728"/>
      <c r="C114" s="729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19" t="s">
        <v>32</v>
      </c>
      <c r="B115" s="720"/>
      <c r="C115" s="721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19" t="s">
        <v>33</v>
      </c>
      <c r="B116" s="720"/>
      <c r="C116" s="721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19" t="s">
        <v>34</v>
      </c>
      <c r="B117" s="720"/>
      <c r="C117" s="721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6" t="s">
        <v>30</v>
      </c>
      <c r="B119" s="737"/>
      <c r="C119" s="738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93.8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3" t="s">
        <v>1</v>
      </c>
      <c r="B123" s="704"/>
      <c r="C123" s="704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3"/>
      <c r="S123" s="714"/>
    </row>
    <row r="124" spans="1:21" s="198" customFormat="1">
      <c r="A124" s="717" t="s">
        <v>52</v>
      </c>
      <c r="B124" s="718"/>
      <c r="C124" s="718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97.8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98.2</v>
      </c>
      <c r="Q124" s="197"/>
      <c r="R124" s="713"/>
      <c r="S124" s="714"/>
      <c r="T124" s="114"/>
      <c r="U124" s="114"/>
    </row>
    <row r="125" spans="1:21" s="198" customFormat="1">
      <c r="A125" s="715" t="s">
        <v>53</v>
      </c>
      <c r="B125" s="716"/>
      <c r="C125" s="716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97.8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98.3</v>
      </c>
      <c r="Q125" s="197"/>
      <c r="R125" s="713"/>
      <c r="S125" s="714"/>
      <c r="T125" s="114"/>
      <c r="U125" s="114"/>
    </row>
    <row r="126" spans="1:21" s="198" customFormat="1">
      <c r="A126" s="715" t="s">
        <v>54</v>
      </c>
      <c r="B126" s="716"/>
      <c r="C126" s="716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99.3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13"/>
      <c r="S126" s="714"/>
      <c r="T126" s="114"/>
      <c r="U126" s="114"/>
    </row>
    <row r="127" spans="1:21" s="198" customFormat="1">
      <c r="A127" s="741" t="s">
        <v>55</v>
      </c>
      <c r="B127" s="742"/>
      <c r="C127" s="743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98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98.4</v>
      </c>
      <c r="Q127" s="197"/>
      <c r="R127" s="713"/>
      <c r="S127" s="714"/>
      <c r="T127" s="114"/>
      <c r="U127" s="114"/>
    </row>
    <row r="128" spans="1:21" s="198" customFormat="1">
      <c r="A128" s="715" t="s">
        <v>12</v>
      </c>
      <c r="B128" s="716"/>
      <c r="C128" s="716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100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13"/>
      <c r="S128" s="714"/>
      <c r="T128" s="114"/>
      <c r="U128" s="114"/>
    </row>
    <row r="129" spans="1:21" s="198" customFormat="1">
      <c r="A129" s="715" t="s">
        <v>13</v>
      </c>
      <c r="B129" s="716"/>
      <c r="C129" s="716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83.4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88.5</v>
      </c>
      <c r="Q129" s="197"/>
      <c r="R129" s="713"/>
      <c r="S129" s="714"/>
      <c r="T129" s="114"/>
      <c r="U129" s="114"/>
    </row>
    <row r="130" spans="1:21" s="198" customFormat="1">
      <c r="A130" s="715" t="s">
        <v>14</v>
      </c>
      <c r="B130" s="716"/>
      <c r="C130" s="716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99.7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13"/>
      <c r="S130" s="714"/>
      <c r="T130" s="114"/>
      <c r="U130" s="114"/>
    </row>
    <row r="131" spans="1:21" s="198" customFormat="1">
      <c r="A131" s="715" t="s">
        <v>21</v>
      </c>
      <c r="B131" s="716"/>
      <c r="C131" s="716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91.7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95.4</v>
      </c>
      <c r="Q131" s="197"/>
      <c r="R131" s="713"/>
      <c r="S131" s="714"/>
      <c r="T131" s="114"/>
      <c r="U131" s="114"/>
    </row>
    <row r="132" spans="1:21" s="198" customFormat="1" ht="12.95" thickBot="1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97.6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98.3</v>
      </c>
      <c r="Q132" s="197"/>
      <c r="R132" s="240"/>
      <c r="S132" s="241"/>
      <c r="T132" s="114"/>
      <c r="U132" s="114"/>
    </row>
    <row r="133" spans="1:21" s="198" customFormat="1">
      <c r="A133" s="715" t="s">
        <v>23</v>
      </c>
      <c r="B133" s="716"/>
      <c r="C133" s="716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98.9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98.9</v>
      </c>
      <c r="Q133" s="197"/>
      <c r="R133" s="240"/>
      <c r="S133" s="241"/>
      <c r="T133" s="114"/>
      <c r="U133" s="114"/>
    </row>
    <row r="134" spans="1:21" s="198" customFormat="1">
      <c r="A134" s="744" t="s">
        <v>24</v>
      </c>
      <c r="B134" s="745"/>
      <c r="C134" s="746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99.8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99.2</v>
      </c>
      <c r="Q134" s="197"/>
      <c r="R134" s="240"/>
      <c r="S134" s="241"/>
      <c r="T134" s="114"/>
      <c r="U134" s="114"/>
    </row>
    <row r="135" spans="1:21" s="198" customFormat="1">
      <c r="A135" s="744" t="s">
        <v>25</v>
      </c>
      <c r="B135" s="745"/>
      <c r="C135" s="746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97.7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96.9</v>
      </c>
      <c r="Q135" s="197"/>
      <c r="R135" s="240"/>
      <c r="S135" s="241"/>
      <c r="T135" s="114"/>
      <c r="U135" s="114"/>
    </row>
    <row r="136" spans="1:21" s="198" customFormat="1">
      <c r="A136" s="744" t="s">
        <v>26</v>
      </c>
      <c r="B136" s="745"/>
      <c r="C136" s="746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97.5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96.9</v>
      </c>
      <c r="Q136" s="197"/>
      <c r="R136" s="240"/>
      <c r="S136" s="241"/>
      <c r="T136" s="114"/>
      <c r="U136" s="114"/>
    </row>
    <row r="137" spans="1:21" s="198" customFormat="1">
      <c r="A137" s="744" t="s">
        <v>27</v>
      </c>
      <c r="B137" s="745"/>
      <c r="C137" s="746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98.1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93.2</v>
      </c>
      <c r="Q137" s="197"/>
      <c r="R137" s="240"/>
      <c r="S137" s="241"/>
      <c r="T137" s="114"/>
      <c r="U137" s="114"/>
    </row>
    <row r="138" spans="1:21" s="198" customFormat="1" ht="12.95" thickBot="1">
      <c r="A138" s="749" t="s">
        <v>28</v>
      </c>
      <c r="B138" s="750"/>
      <c r="C138" s="751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2" t="s">
        <v>31</v>
      </c>
      <c r="B139" s="753"/>
      <c r="C139" s="753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30" t="s">
        <v>32</v>
      </c>
      <c r="B140" s="731"/>
      <c r="C140" s="731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30" t="s">
        <v>33</v>
      </c>
      <c r="B141" s="731"/>
      <c r="C141" s="731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30" t="s">
        <v>34</v>
      </c>
      <c r="B142" s="731"/>
      <c r="C142" s="731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3" t="s">
        <v>1</v>
      </c>
      <c r="B146" s="704"/>
      <c r="C146" s="704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3"/>
      <c r="S146" s="714"/>
    </row>
    <row r="147" spans="1:19">
      <c r="A147" s="747" t="s">
        <v>11</v>
      </c>
      <c r="B147" s="748"/>
      <c r="C147" s="748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6382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4843</v>
      </c>
      <c r="Q147" s="206"/>
      <c r="R147" s="713"/>
      <c r="S147" s="714"/>
    </row>
    <row r="148" spans="1:19">
      <c r="A148" s="739" t="s">
        <v>12</v>
      </c>
      <c r="B148" s="740"/>
      <c r="C148" s="740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17</v>
      </c>
      <c r="R148" s="713"/>
      <c r="S148" s="714"/>
    </row>
    <row r="149" spans="1:19">
      <c r="A149" s="739" t="s">
        <v>13</v>
      </c>
      <c r="B149" s="740"/>
      <c r="C149" s="740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83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56</v>
      </c>
      <c r="R149" s="713"/>
      <c r="S149" s="714"/>
    </row>
    <row r="150" spans="1:19">
      <c r="A150" s="739" t="s">
        <v>14</v>
      </c>
      <c r="B150" s="740"/>
      <c r="C150" s="740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144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227</v>
      </c>
      <c r="R150" s="713"/>
      <c r="S150" s="714"/>
    </row>
    <row r="151" spans="1:19">
      <c r="A151" s="739" t="s">
        <v>21</v>
      </c>
      <c r="B151" s="740"/>
      <c r="C151" s="740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1136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663</v>
      </c>
      <c r="R151" s="713"/>
      <c r="S151" s="714"/>
    </row>
    <row r="152" spans="1:19">
      <c r="A152" s="769" t="s">
        <v>16</v>
      </c>
      <c r="B152" s="770"/>
      <c r="C152" s="770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270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185</v>
      </c>
      <c r="R152" s="713"/>
      <c r="S152" s="714"/>
    </row>
    <row r="153" spans="1:19" ht="13.5">
      <c r="A153" s="697" t="s">
        <v>17</v>
      </c>
      <c r="B153" s="698"/>
      <c r="C153" s="698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12</v>
      </c>
      <c r="R153" s="713"/>
      <c r="S153" s="714"/>
    </row>
    <row r="154" spans="1:19" ht="13.5">
      <c r="A154" s="766" t="s">
        <v>49</v>
      </c>
      <c r="B154" s="767"/>
      <c r="C154" s="768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8015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6003</v>
      </c>
      <c r="R154" s="240"/>
      <c r="S154" s="241"/>
    </row>
    <row r="155" spans="1:19">
      <c r="A155" s="715" t="s">
        <v>23</v>
      </c>
      <c r="B155" s="716"/>
      <c r="C155" s="716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806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734</v>
      </c>
      <c r="R155" s="240"/>
      <c r="S155" s="241"/>
    </row>
    <row r="156" spans="1:19">
      <c r="A156" s="744" t="s">
        <v>24</v>
      </c>
      <c r="B156" s="745"/>
      <c r="C156" s="746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1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4</v>
      </c>
      <c r="R156" s="240"/>
      <c r="S156" s="241"/>
    </row>
    <row r="157" spans="1:19">
      <c r="A157" s="744" t="s">
        <v>25</v>
      </c>
      <c r="B157" s="745"/>
      <c r="C157" s="746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36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30</v>
      </c>
      <c r="R157" s="240"/>
      <c r="S157" s="241"/>
    </row>
    <row r="158" spans="1:19">
      <c r="A158" s="744" t="s">
        <v>26</v>
      </c>
      <c r="B158" s="745"/>
      <c r="C158" s="746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256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280</v>
      </c>
      <c r="R158" s="240"/>
      <c r="S158" s="241"/>
    </row>
    <row r="159" spans="1:19">
      <c r="A159" s="744" t="s">
        <v>27</v>
      </c>
      <c r="B159" s="745"/>
      <c r="C159" s="746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31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96</v>
      </c>
      <c r="R159" s="240"/>
      <c r="S159" s="241"/>
    </row>
    <row r="160" spans="1:19">
      <c r="A160" s="744" t="s">
        <v>28</v>
      </c>
      <c r="B160" s="745"/>
      <c r="C160" s="746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1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760" t="s">
        <v>50</v>
      </c>
      <c r="B161" s="761"/>
      <c r="C161" s="762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1131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1145</v>
      </c>
      <c r="R161" s="713"/>
      <c r="S161" s="714"/>
    </row>
    <row r="162" spans="1:19" ht="16.5" customHeight="1" thickBot="1">
      <c r="A162" s="763" t="s">
        <v>31</v>
      </c>
      <c r="B162" s="764"/>
      <c r="C162" s="76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7" t="s">
        <v>32</v>
      </c>
      <c r="B163" s="758"/>
      <c r="C163" s="759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7" t="s">
        <v>33</v>
      </c>
      <c r="B164" s="758"/>
      <c r="C164" s="759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7" t="s">
        <v>34</v>
      </c>
      <c r="B165" s="758"/>
      <c r="C165" s="759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4" t="s">
        <v>30</v>
      </c>
      <c r="B167" s="755"/>
      <c r="C167" s="756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5" t="s">
        <v>9</v>
      </c>
      <c r="B3" s="706"/>
      <c r="C3" s="70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1" t="s">
        <v>10</v>
      </c>
      <c r="C4" s="702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8" t="s">
        <v>17</v>
      </c>
      <c r="C12" s="70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1" t="s">
        <v>36</v>
      </c>
      <c r="B19" s="69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3"/>
      <c r="B20" s="69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5"/>
      <c r="B21" s="69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3" t="s">
        <v>1</v>
      </c>
      <c r="B24" s="704"/>
      <c r="C24" s="704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5" t="s">
        <v>9</v>
      </c>
      <c r="B25" s="706"/>
      <c r="C25" s="70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1" t="s">
        <v>10</v>
      </c>
      <c r="C26" s="702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8" t="s">
        <v>17</v>
      </c>
      <c r="C34" s="70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1" t="s">
        <v>36</v>
      </c>
      <c r="B41" s="69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3"/>
      <c r="B42" s="69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5"/>
      <c r="B43" s="69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3" t="s">
        <v>1</v>
      </c>
      <c r="B46" s="704"/>
      <c r="C46" s="704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5" t="s">
        <v>9</v>
      </c>
      <c r="B47" s="706"/>
      <c r="C47" s="70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1" t="s">
        <v>10</v>
      </c>
      <c r="C48" s="702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1" t="s">
        <v>17</v>
      </c>
      <c r="C56" s="710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1" t="s">
        <v>36</v>
      </c>
      <c r="B63" s="69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3"/>
      <c r="B64" s="69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5"/>
      <c r="B65" s="69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3" t="s">
        <v>1</v>
      </c>
      <c r="B68" s="704"/>
      <c r="C68" s="704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1" t="s">
        <v>11</v>
      </c>
      <c r="B69" s="712"/>
      <c r="C69" s="712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3"/>
      <c r="S69" s="714"/>
    </row>
    <row r="70" spans="1:19" ht="13.5">
      <c r="A70" s="699" t="s">
        <v>276</v>
      </c>
      <c r="B70" s="700"/>
      <c r="C70" s="700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3"/>
      <c r="S70" s="714"/>
    </row>
    <row r="71" spans="1:19" ht="13.5">
      <c r="A71" s="699" t="s">
        <v>12</v>
      </c>
      <c r="B71" s="700"/>
      <c r="C71" s="700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3"/>
      <c r="S71" s="714"/>
    </row>
    <row r="72" spans="1:19" ht="13.5">
      <c r="A72" s="699" t="s">
        <v>13</v>
      </c>
      <c r="B72" s="700"/>
      <c r="C72" s="700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3"/>
      <c r="S72" s="714"/>
    </row>
    <row r="73" spans="1:19" ht="13.5">
      <c r="A73" s="699" t="s">
        <v>14</v>
      </c>
      <c r="B73" s="700"/>
      <c r="C73" s="700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3"/>
      <c r="S73" s="714"/>
    </row>
    <row r="74" spans="1:19" ht="13.5">
      <c r="A74" s="699" t="s">
        <v>15</v>
      </c>
      <c r="B74" s="700"/>
      <c r="C74" s="700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3"/>
      <c r="S74" s="714"/>
    </row>
    <row r="75" spans="1:19" ht="13.5">
      <c r="A75" s="699" t="s">
        <v>16</v>
      </c>
      <c r="B75" s="700"/>
      <c r="C75" s="700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3"/>
      <c r="S75" s="714"/>
    </row>
    <row r="76" spans="1:19" ht="13.5">
      <c r="A76" s="697" t="s">
        <v>17</v>
      </c>
      <c r="B76" s="698"/>
      <c r="C76" s="69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3"/>
      <c r="S76" s="714"/>
    </row>
    <row r="77" spans="1:19" ht="14.1" thickBot="1">
      <c r="A77" s="725" t="s">
        <v>284</v>
      </c>
      <c r="B77" s="726"/>
      <c r="C77" s="726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3"/>
      <c r="S77" s="71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3" t="s">
        <v>1</v>
      </c>
      <c r="B81" s="704"/>
      <c r="C81" s="704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3"/>
      <c r="S81" s="714"/>
    </row>
    <row r="82" spans="1:21" s="198" customFormat="1">
      <c r="A82" s="717" t="s">
        <v>52</v>
      </c>
      <c r="B82" s="718"/>
      <c r="C82" s="718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3"/>
      <c r="S82" s="714"/>
      <c r="T82" s="114"/>
      <c r="U82" s="114"/>
    </row>
    <row r="83" spans="1:21" s="198" customFormat="1">
      <c r="A83" s="715" t="s">
        <v>53</v>
      </c>
      <c r="B83" s="716"/>
      <c r="C83" s="716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3"/>
      <c r="S83" s="714"/>
      <c r="T83" s="114"/>
      <c r="U83" s="114"/>
    </row>
    <row r="84" spans="1:21" s="198" customFormat="1">
      <c r="A84" s="715" t="s">
        <v>54</v>
      </c>
      <c r="B84" s="716"/>
      <c r="C84" s="716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3"/>
      <c r="S84" s="714"/>
      <c r="T84" s="114"/>
      <c r="U84" s="114"/>
    </row>
    <row r="85" spans="1:21" s="198" customFormat="1">
      <c r="A85" s="741" t="s">
        <v>55</v>
      </c>
      <c r="B85" s="742"/>
      <c r="C85" s="743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3"/>
      <c r="S85" s="714"/>
      <c r="T85" s="114"/>
      <c r="U85" s="114"/>
    </row>
    <row r="86" spans="1:21" s="198" customFormat="1">
      <c r="A86" s="715" t="s">
        <v>276</v>
      </c>
      <c r="B86" s="716"/>
      <c r="C86" s="716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3"/>
      <c r="S86" s="714"/>
      <c r="T86" s="114"/>
      <c r="U86" s="114"/>
    </row>
    <row r="87" spans="1:21" s="198" customFormat="1">
      <c r="A87" s="715" t="s">
        <v>12</v>
      </c>
      <c r="B87" s="716"/>
      <c r="C87" s="716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3"/>
      <c r="S87" s="714"/>
      <c r="T87" s="114"/>
      <c r="U87" s="114"/>
    </row>
    <row r="88" spans="1:21" s="198" customFormat="1">
      <c r="A88" s="715" t="s">
        <v>13</v>
      </c>
      <c r="B88" s="716"/>
      <c r="C88" s="716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3"/>
      <c r="S88" s="714"/>
      <c r="T88" s="114"/>
      <c r="U88" s="114"/>
    </row>
    <row r="89" spans="1:21" s="198" customFormat="1">
      <c r="A89" s="715" t="s">
        <v>14</v>
      </c>
      <c r="B89" s="716"/>
      <c r="C89" s="716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3"/>
      <c r="S89" s="714"/>
      <c r="T89" s="114"/>
      <c r="U89" s="114"/>
    </row>
    <row r="90" spans="1:21" s="198" customFormat="1">
      <c r="A90" s="715" t="s">
        <v>15</v>
      </c>
      <c r="B90" s="716"/>
      <c r="C90" s="716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3"/>
      <c r="S90" s="714"/>
      <c r="T90" s="114"/>
      <c r="U90" s="114"/>
    </row>
    <row r="91" spans="1:21" s="197" customFormat="1" ht="12.95" thickBot="1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3"/>
      <c r="S91" s="71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3" t="s">
        <v>1</v>
      </c>
      <c r="B94" s="704"/>
      <c r="C94" s="704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3"/>
      <c r="S94" s="714"/>
    </row>
    <row r="95" spans="1:21">
      <c r="A95" s="747" t="s">
        <v>11</v>
      </c>
      <c r="B95" s="748"/>
      <c r="C95" s="748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3"/>
      <c r="S95" s="714"/>
    </row>
    <row r="96" spans="1:21">
      <c r="A96" s="739" t="s">
        <v>276</v>
      </c>
      <c r="B96" s="740"/>
      <c r="C96" s="74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3"/>
      <c r="S96" s="714"/>
    </row>
    <row r="97" spans="1:19">
      <c r="A97" s="739" t="s">
        <v>12</v>
      </c>
      <c r="B97" s="740"/>
      <c r="C97" s="74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3"/>
      <c r="S97" s="714"/>
    </row>
    <row r="98" spans="1:19">
      <c r="A98" s="739" t="s">
        <v>13</v>
      </c>
      <c r="B98" s="740"/>
      <c r="C98" s="74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3"/>
      <c r="S98" s="714"/>
    </row>
    <row r="99" spans="1:19">
      <c r="A99" s="739" t="s">
        <v>14</v>
      </c>
      <c r="B99" s="740"/>
      <c r="C99" s="74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3"/>
      <c r="S99" s="714"/>
    </row>
    <row r="100" spans="1:19">
      <c r="A100" s="739" t="s">
        <v>15</v>
      </c>
      <c r="B100" s="740"/>
      <c r="C100" s="74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3"/>
      <c r="S100" s="714"/>
    </row>
    <row r="101" spans="1:19">
      <c r="A101" s="769" t="s">
        <v>16</v>
      </c>
      <c r="B101" s="770"/>
      <c r="C101" s="770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3"/>
      <c r="S101" s="714"/>
    </row>
    <row r="102" spans="1:19" ht="13.5">
      <c r="A102" s="697" t="s">
        <v>17</v>
      </c>
      <c r="B102" s="698"/>
      <c r="C102" s="69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3"/>
      <c r="S102" s="714"/>
    </row>
    <row r="103" spans="1:19" ht="14.1" thickBot="1">
      <c r="A103" s="772" t="s">
        <v>284</v>
      </c>
      <c r="B103" s="773"/>
      <c r="C103" s="774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3"/>
      <c r="S103" s="714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5" t="s">
        <v>9</v>
      </c>
      <c r="B3" s="706"/>
      <c r="C3" s="70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1" t="s">
        <v>10</v>
      </c>
      <c r="C4" s="702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8" t="s">
        <v>17</v>
      </c>
      <c r="C11" s="709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1" t="s">
        <v>22</v>
      </c>
      <c r="C16" s="702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1" t="s">
        <v>36</v>
      </c>
      <c r="B30" s="69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3"/>
      <c r="B31" s="69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3"/>
      <c r="B32" s="69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5"/>
      <c r="B33" s="69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3" t="s">
        <v>1</v>
      </c>
      <c r="B36" s="704"/>
      <c r="C36" s="704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5" t="s">
        <v>9</v>
      </c>
      <c r="B37" s="706"/>
      <c r="C37" s="70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1" t="s">
        <v>10</v>
      </c>
      <c r="C38" s="702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8" t="s">
        <v>17</v>
      </c>
      <c r="C45" s="709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8" t="s">
        <v>22</v>
      </c>
      <c r="C50" s="709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1" t="s">
        <v>36</v>
      </c>
      <c r="B64" s="69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3"/>
      <c r="B65" s="69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3"/>
      <c r="B66" s="69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5"/>
      <c r="B67" s="69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3" t="s">
        <v>1</v>
      </c>
      <c r="B70" s="704"/>
      <c r="C70" s="704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5" t="s">
        <v>9</v>
      </c>
      <c r="B71" s="706"/>
      <c r="C71" s="70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1" t="s">
        <v>10</v>
      </c>
      <c r="C72" s="702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8" t="s">
        <v>17</v>
      </c>
      <c r="C79" s="71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1" t="s">
        <v>22</v>
      </c>
      <c r="C83" s="702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1" t="s">
        <v>36</v>
      </c>
      <c r="B91" s="69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3"/>
      <c r="B92" s="69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3"/>
      <c r="B93" s="69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5"/>
      <c r="B94" s="69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3" t="s">
        <v>1</v>
      </c>
      <c r="B97" s="704"/>
      <c r="C97" s="704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1" t="s">
        <v>11</v>
      </c>
      <c r="B98" s="712"/>
      <c r="C98" s="712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9" t="s">
        <v>12</v>
      </c>
      <c r="B99" s="700"/>
      <c r="C99" s="700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9" t="s">
        <v>13</v>
      </c>
      <c r="B100" s="700"/>
      <c r="C100" s="700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9" t="s">
        <v>14</v>
      </c>
      <c r="B101" s="700"/>
      <c r="C101" s="700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9" t="s">
        <v>21</v>
      </c>
      <c r="B102" s="700"/>
      <c r="C102" s="700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9" t="s">
        <v>16</v>
      </c>
      <c r="B103" s="700"/>
      <c r="C103" s="700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7" t="s">
        <v>17</v>
      </c>
      <c r="B104" s="698"/>
      <c r="C104" s="69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2" t="s">
        <v>49</v>
      </c>
      <c r="B105" s="723"/>
      <c r="C105" s="724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9" t="s">
        <v>276</v>
      </c>
      <c r="B106" s="700"/>
      <c r="C106" s="700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75" t="s">
        <v>50</v>
      </c>
      <c r="B112" s="776"/>
      <c r="C112" s="77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00" t="s">
        <v>31</v>
      </c>
      <c r="B113" s="700"/>
      <c r="C113" s="700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00" t="s">
        <v>32</v>
      </c>
      <c r="B114" s="700"/>
      <c r="C114" s="700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00" t="s">
        <v>33</v>
      </c>
      <c r="B115" s="700"/>
      <c r="C115" s="700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00" t="s">
        <v>34</v>
      </c>
      <c r="B116" s="700"/>
      <c r="C116" s="700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00" t="s">
        <v>35</v>
      </c>
      <c r="B117" s="700"/>
      <c r="C117" s="700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7" t="s">
        <v>30</v>
      </c>
      <c r="B118" s="777"/>
      <c r="C118" s="77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3" t="s">
        <v>1</v>
      </c>
      <c r="B121" s="704"/>
      <c r="C121" s="704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5" t="s">
        <v>52</v>
      </c>
      <c r="B122" s="716"/>
      <c r="C122" s="716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5" t="s">
        <v>53</v>
      </c>
      <c r="B123" s="716"/>
      <c r="C123" s="716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5" t="s">
        <v>54</v>
      </c>
      <c r="B124" s="716"/>
      <c r="C124" s="716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1" t="s">
        <v>55</v>
      </c>
      <c r="B125" s="742"/>
      <c r="C125" s="743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5" t="s">
        <v>12</v>
      </c>
      <c r="B126" s="716"/>
      <c r="C126" s="716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5" t="s">
        <v>13</v>
      </c>
      <c r="B127" s="716"/>
      <c r="C127" s="716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5" t="s">
        <v>14</v>
      </c>
      <c r="B128" s="716"/>
      <c r="C128" s="716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5" t="s">
        <v>21</v>
      </c>
      <c r="B129" s="716"/>
      <c r="C129" s="716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5" t="s">
        <v>23</v>
      </c>
      <c r="B131" s="716"/>
      <c r="C131" s="716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4" t="s">
        <v>24</v>
      </c>
      <c r="B132" s="745"/>
      <c r="C132" s="746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4" t="s">
        <v>25</v>
      </c>
      <c r="B133" s="745"/>
      <c r="C133" s="746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4" t="s">
        <v>26</v>
      </c>
      <c r="B134" s="745"/>
      <c r="C134" s="746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4" t="s">
        <v>27</v>
      </c>
      <c r="B135" s="745"/>
      <c r="C135" s="746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8" t="s">
        <v>28</v>
      </c>
      <c r="B136" s="779"/>
      <c r="C136" s="780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1" t="s">
        <v>31</v>
      </c>
      <c r="B137" s="782"/>
      <c r="C137" s="783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4" t="s">
        <v>32</v>
      </c>
      <c r="B138" s="745"/>
      <c r="C138" s="746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4" t="s">
        <v>33</v>
      </c>
      <c r="B139" s="745"/>
      <c r="C139" s="746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4" t="s">
        <v>34</v>
      </c>
      <c r="B140" s="745"/>
      <c r="C140" s="746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5" t="s">
        <v>35</v>
      </c>
      <c r="B141" s="779"/>
      <c r="C141" s="780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3" t="s">
        <v>1</v>
      </c>
      <c r="B144" s="704"/>
      <c r="C144" s="704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7" t="s">
        <v>11</v>
      </c>
      <c r="B145" s="748"/>
      <c r="C145" s="748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9" t="s">
        <v>12</v>
      </c>
      <c r="B146" s="740"/>
      <c r="C146" s="74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9" t="s">
        <v>13</v>
      </c>
      <c r="B147" s="740"/>
      <c r="C147" s="74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9" t="s">
        <v>14</v>
      </c>
      <c r="B148" s="740"/>
      <c r="C148" s="74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9" t="s">
        <v>21</v>
      </c>
      <c r="B149" s="740"/>
      <c r="C149" s="74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9" t="s">
        <v>16</v>
      </c>
      <c r="B150" s="770"/>
      <c r="C150" s="770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7" t="s">
        <v>17</v>
      </c>
      <c r="B151" s="698"/>
      <c r="C151" s="69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6" t="s">
        <v>49</v>
      </c>
      <c r="B152" s="767"/>
      <c r="C152" s="768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5" t="s">
        <v>23</v>
      </c>
      <c r="B153" s="716"/>
      <c r="C153" s="716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4" t="s">
        <v>24</v>
      </c>
      <c r="B154" s="745"/>
      <c r="C154" s="746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4" t="s">
        <v>25</v>
      </c>
      <c r="B155" s="745"/>
      <c r="C155" s="746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4" t="s">
        <v>26</v>
      </c>
      <c r="B156" s="745"/>
      <c r="C156" s="746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4" t="s">
        <v>27</v>
      </c>
      <c r="B157" s="745"/>
      <c r="C157" s="746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4" t="s">
        <v>28</v>
      </c>
      <c r="B158" s="745"/>
      <c r="C158" s="746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60" t="s">
        <v>50</v>
      </c>
      <c r="B159" s="761"/>
      <c r="C159" s="762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6" t="s">
        <v>31</v>
      </c>
      <c r="B160" s="787"/>
      <c r="C160" s="787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9" t="s">
        <v>32</v>
      </c>
      <c r="B161" s="740"/>
      <c r="C161" s="74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9" t="s">
        <v>33</v>
      </c>
      <c r="B162" s="740"/>
      <c r="C162" s="74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9" t="s">
        <v>35</v>
      </c>
      <c r="B164" s="770"/>
      <c r="C164" s="770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2" t="s">
        <v>30</v>
      </c>
      <c r="B165" s="773"/>
      <c r="C165" s="774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5" t="s">
        <v>9</v>
      </c>
      <c r="B3" s="706"/>
      <c r="C3" s="70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1" t="s">
        <v>10</v>
      </c>
      <c r="C4" s="702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8" t="s">
        <v>17</v>
      </c>
      <c r="C11" s="709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1" t="s">
        <v>22</v>
      </c>
      <c r="C16" s="702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3"/>
      <c r="B31" s="69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3"/>
      <c r="B32" s="69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5"/>
      <c r="B33" s="69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111</v>
      </c>
      <c r="D3" s="503" t="s">
        <v>112</v>
      </c>
      <c r="E3" s="503" t="s">
        <v>106</v>
      </c>
      <c r="F3" s="503" t="s">
        <v>107</v>
      </c>
      <c r="G3" s="503" t="s">
        <v>108</v>
      </c>
      <c r="H3" s="503" t="s">
        <v>109</v>
      </c>
      <c r="I3" s="503" t="s">
        <v>110</v>
      </c>
      <c r="J3" s="503" t="s">
        <v>111</v>
      </c>
      <c r="K3" s="503" t="s">
        <v>112</v>
      </c>
      <c r="L3" s="503" t="s">
        <v>106</v>
      </c>
      <c r="M3" s="503" t="s">
        <v>107</v>
      </c>
      <c r="N3" s="503" t="s">
        <v>108</v>
      </c>
      <c r="O3" s="503" t="s">
        <v>109</v>
      </c>
      <c r="P3" s="503" t="s">
        <v>110</v>
      </c>
      <c r="Q3" s="503" t="s">
        <v>111</v>
      </c>
      <c r="R3" s="503" t="s">
        <v>112</v>
      </c>
      <c r="S3" s="503" t="s">
        <v>106</v>
      </c>
      <c r="T3" s="503" t="s">
        <v>107</v>
      </c>
      <c r="U3" s="503" t="s">
        <v>108</v>
      </c>
      <c r="V3" s="503" t="s">
        <v>109</v>
      </c>
      <c r="W3" s="503" t="s">
        <v>110</v>
      </c>
      <c r="X3" s="503" t="s">
        <v>111</v>
      </c>
      <c r="Y3" s="503" t="s">
        <v>112</v>
      </c>
      <c r="Z3" s="503" t="s">
        <v>106</v>
      </c>
      <c r="AA3" s="503" t="s">
        <v>107</v>
      </c>
      <c r="AB3" s="503" t="s">
        <v>108</v>
      </c>
      <c r="AC3" s="503" t="s">
        <v>109</v>
      </c>
      <c r="AD3" s="503" t="s">
        <v>110</v>
      </c>
      <c r="AE3" s="503" t="s">
        <v>111</v>
      </c>
      <c r="AF3" s="503" t="s">
        <v>112</v>
      </c>
      <c r="AG3" s="503" t="s">
        <v>106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395</v>
      </c>
      <c r="AH2" s="1" t="s">
        <v>396</v>
      </c>
      <c r="AI2" s="1" t="s">
        <v>397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398</v>
      </c>
      <c r="C3" s="1" t="s">
        <v>399</v>
      </c>
      <c r="D3" s="1" t="s">
        <v>400</v>
      </c>
      <c r="E3" s="1" t="s">
        <v>401</v>
      </c>
      <c r="F3" s="1" t="s">
        <v>402</v>
      </c>
      <c r="G3" s="1" t="s">
        <v>403</v>
      </c>
      <c r="H3" s="1" t="s">
        <v>404</v>
      </c>
      <c r="I3" s="1" t="s">
        <v>405</v>
      </c>
      <c r="J3" s="1" t="s">
        <v>406</v>
      </c>
      <c r="K3" s="1" t="s">
        <v>407</v>
      </c>
      <c r="L3" s="1" t="s">
        <v>407</v>
      </c>
      <c r="M3" s="1" t="s">
        <v>408</v>
      </c>
      <c r="N3" s="1" t="s">
        <v>409</v>
      </c>
      <c r="O3" s="1" t="s">
        <v>410</v>
      </c>
      <c r="P3" s="1" t="s">
        <v>411</v>
      </c>
      <c r="Q3" s="1" t="s">
        <v>412</v>
      </c>
      <c r="R3" s="1" t="s">
        <v>413</v>
      </c>
      <c r="S3" s="1" t="s">
        <v>414</v>
      </c>
      <c r="T3" s="1" t="s">
        <v>415</v>
      </c>
      <c r="U3" s="1" t="s">
        <v>416</v>
      </c>
      <c r="V3" s="1" t="s">
        <v>417</v>
      </c>
      <c r="W3" s="1" t="s">
        <v>418</v>
      </c>
      <c r="X3" s="1" t="s">
        <v>419</v>
      </c>
      <c r="Y3" s="1" t="s">
        <v>419</v>
      </c>
      <c r="Z3" s="1" t="s">
        <v>420</v>
      </c>
      <c r="AA3" s="1" t="s">
        <v>421</v>
      </c>
      <c r="AB3" s="1" t="s">
        <v>422</v>
      </c>
      <c r="AC3" s="1" t="s">
        <v>423</v>
      </c>
      <c r="AD3" s="1" t="s">
        <v>424</v>
      </c>
      <c r="AE3" s="1" t="s">
        <v>425</v>
      </c>
      <c r="AF3" s="1" t="s">
        <v>426</v>
      </c>
      <c r="AG3" s="1" t="s">
        <v>427</v>
      </c>
      <c r="AH3" s="1" t="s">
        <v>428</v>
      </c>
      <c r="AI3" s="1" t="s">
        <v>429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430</v>
      </c>
      <c r="C4" s="1" t="s">
        <v>431</v>
      </c>
      <c r="D4" s="1" t="s">
        <v>432</v>
      </c>
      <c r="E4" s="1" t="s">
        <v>432</v>
      </c>
      <c r="F4" s="1" t="s">
        <v>433</v>
      </c>
      <c r="G4" s="1" t="s">
        <v>434</v>
      </c>
      <c r="H4" s="1" t="s">
        <v>435</v>
      </c>
      <c r="I4" s="1" t="s">
        <v>436</v>
      </c>
      <c r="J4" s="1" t="s">
        <v>437</v>
      </c>
      <c r="K4" s="1" t="s">
        <v>438</v>
      </c>
      <c r="L4" s="1" t="s">
        <v>438</v>
      </c>
      <c r="M4" s="1" t="s">
        <v>439</v>
      </c>
      <c r="N4" s="1" t="s">
        <v>440</v>
      </c>
      <c r="O4" s="1" t="s">
        <v>441</v>
      </c>
      <c r="P4" s="1" t="s">
        <v>442</v>
      </c>
      <c r="Q4" s="1" t="s">
        <v>443</v>
      </c>
      <c r="R4" s="1" t="s">
        <v>444</v>
      </c>
      <c r="S4" s="1" t="s">
        <v>444</v>
      </c>
      <c r="T4" s="1" t="s">
        <v>445</v>
      </c>
      <c r="U4" s="1" t="s">
        <v>446</v>
      </c>
      <c r="V4" s="1" t="s">
        <v>447</v>
      </c>
      <c r="W4" s="1" t="s">
        <v>448</v>
      </c>
      <c r="X4" s="1" t="s">
        <v>449</v>
      </c>
      <c r="Y4" s="1" t="s">
        <v>449</v>
      </c>
      <c r="Z4" s="1" t="s">
        <v>450</v>
      </c>
      <c r="AA4" s="1" t="s">
        <v>451</v>
      </c>
      <c r="AB4" s="1" t="s">
        <v>452</v>
      </c>
      <c r="AC4" s="1" t="s">
        <v>453</v>
      </c>
      <c r="AD4" s="1" t="s">
        <v>454</v>
      </c>
      <c r="AE4" s="1" t="s">
        <v>455</v>
      </c>
      <c r="AF4" s="1" t="s">
        <v>456</v>
      </c>
      <c r="AG4" s="1" t="s">
        <v>456</v>
      </c>
      <c r="AH4" s="1" t="s">
        <v>457</v>
      </c>
      <c r="AI4" s="1" t="s">
        <v>458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459</v>
      </c>
      <c r="C5" s="1" t="s">
        <v>460</v>
      </c>
      <c r="D5" s="1" t="s">
        <v>461</v>
      </c>
      <c r="E5" s="1" t="s">
        <v>461</v>
      </c>
      <c r="F5" s="1" t="s">
        <v>462</v>
      </c>
      <c r="G5" s="1" t="s">
        <v>463</v>
      </c>
      <c r="H5" s="1" t="s">
        <v>464</v>
      </c>
      <c r="I5" s="1" t="s">
        <v>465</v>
      </c>
      <c r="J5" s="1" t="s">
        <v>466</v>
      </c>
      <c r="K5" s="1" t="s">
        <v>467</v>
      </c>
      <c r="L5" s="1" t="s">
        <v>467</v>
      </c>
      <c r="M5" s="1" t="s">
        <v>468</v>
      </c>
      <c r="N5" s="1" t="s">
        <v>469</v>
      </c>
      <c r="O5" s="1" t="s">
        <v>470</v>
      </c>
      <c r="P5" s="1" t="s">
        <v>471</v>
      </c>
      <c r="Q5" s="1" t="s">
        <v>472</v>
      </c>
      <c r="R5" s="1" t="s">
        <v>473</v>
      </c>
      <c r="S5" s="1" t="s">
        <v>473</v>
      </c>
      <c r="T5" s="1" t="s">
        <v>474</v>
      </c>
      <c r="U5" s="1" t="s">
        <v>475</v>
      </c>
      <c r="V5" s="1" t="s">
        <v>476</v>
      </c>
      <c r="W5" s="1" t="s">
        <v>477</v>
      </c>
      <c r="X5" s="1" t="s">
        <v>478</v>
      </c>
      <c r="Y5" s="1" t="s">
        <v>478</v>
      </c>
      <c r="Z5" s="1" t="s">
        <v>479</v>
      </c>
      <c r="AA5" s="1" t="s">
        <v>480</v>
      </c>
      <c r="AB5" s="1" t="s">
        <v>481</v>
      </c>
      <c r="AC5" s="1" t="s">
        <v>482</v>
      </c>
      <c r="AD5" s="1" t="s">
        <v>483</v>
      </c>
      <c r="AE5" s="1" t="s">
        <v>484</v>
      </c>
      <c r="AF5" s="1" t="s">
        <v>485</v>
      </c>
      <c r="AG5" s="1" t="s">
        <v>485</v>
      </c>
      <c r="AH5" s="1" t="s">
        <v>457</v>
      </c>
      <c r="AI5" s="1" t="s">
        <v>486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487</v>
      </c>
      <c r="C6" s="1" t="s">
        <v>488</v>
      </c>
      <c r="D6" s="1" t="s">
        <v>489</v>
      </c>
      <c r="E6" s="1" t="s">
        <v>489</v>
      </c>
      <c r="F6" s="1" t="s">
        <v>490</v>
      </c>
      <c r="G6" s="1" t="s">
        <v>491</v>
      </c>
      <c r="H6" s="1" t="s">
        <v>492</v>
      </c>
      <c r="I6" s="1" t="s">
        <v>493</v>
      </c>
      <c r="J6" s="1" t="s">
        <v>494</v>
      </c>
      <c r="K6" s="1" t="s">
        <v>495</v>
      </c>
      <c r="L6" s="1" t="s">
        <v>496</v>
      </c>
      <c r="M6" s="1" t="s">
        <v>497</v>
      </c>
      <c r="N6" s="1" t="s">
        <v>498</v>
      </c>
      <c r="O6" s="1" t="s">
        <v>499</v>
      </c>
      <c r="P6" s="1" t="s">
        <v>500</v>
      </c>
      <c r="Q6" s="1" t="s">
        <v>501</v>
      </c>
      <c r="R6" s="1" t="s">
        <v>502</v>
      </c>
      <c r="S6" s="1" t="s">
        <v>502</v>
      </c>
      <c r="T6" s="1" t="s">
        <v>503</v>
      </c>
      <c r="U6" s="1" t="s">
        <v>504</v>
      </c>
      <c r="V6" s="1" t="s">
        <v>505</v>
      </c>
      <c r="W6" s="1" t="s">
        <v>506</v>
      </c>
      <c r="X6" s="1" t="s">
        <v>507</v>
      </c>
      <c r="Y6" s="1" t="s">
        <v>508</v>
      </c>
      <c r="Z6" s="1" t="s">
        <v>509</v>
      </c>
      <c r="AA6" s="1" t="s">
        <v>510</v>
      </c>
      <c r="AB6" s="1" t="s">
        <v>511</v>
      </c>
      <c r="AC6" s="1" t="s">
        <v>512</v>
      </c>
      <c r="AD6" s="1" t="s">
        <v>513</v>
      </c>
      <c r="AE6" s="1" t="s">
        <v>514</v>
      </c>
      <c r="AF6" s="1" t="s">
        <v>515</v>
      </c>
      <c r="AG6" s="1" t="s">
        <v>515</v>
      </c>
      <c r="AH6" s="1" t="s">
        <v>457</v>
      </c>
      <c r="AI6" s="1" t="s">
        <v>516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517</v>
      </c>
      <c r="C7" s="1" t="s">
        <v>457</v>
      </c>
      <c r="D7" s="1" t="s">
        <v>457</v>
      </c>
      <c r="E7" s="1" t="s">
        <v>457</v>
      </c>
      <c r="F7" s="1" t="s">
        <v>457</v>
      </c>
      <c r="G7" s="1" t="s">
        <v>457</v>
      </c>
      <c r="H7" s="1" t="s">
        <v>457</v>
      </c>
      <c r="I7" s="1" t="s">
        <v>457</v>
      </c>
      <c r="J7" s="1" t="s">
        <v>457</v>
      </c>
      <c r="K7" s="1" t="s">
        <v>457</v>
      </c>
      <c r="L7" s="1" t="s">
        <v>457</v>
      </c>
      <c r="M7" s="1" t="s">
        <v>457</v>
      </c>
      <c r="N7" s="1" t="s">
        <v>457</v>
      </c>
      <c r="O7" s="1" t="s">
        <v>457</v>
      </c>
      <c r="P7" s="1" t="s">
        <v>457</v>
      </c>
      <c r="Q7" s="1" t="s">
        <v>457</v>
      </c>
      <c r="R7" s="1" t="s">
        <v>457</v>
      </c>
      <c r="S7" s="1" t="s">
        <v>457</v>
      </c>
      <c r="T7" s="1" t="s">
        <v>457</v>
      </c>
      <c r="U7" s="1" t="s">
        <v>457</v>
      </c>
      <c r="V7" s="1" t="s">
        <v>457</v>
      </c>
      <c r="W7" s="1" t="s">
        <v>457</v>
      </c>
      <c r="X7" s="1" t="s">
        <v>457</v>
      </c>
      <c r="Y7" s="1" t="s">
        <v>457</v>
      </c>
      <c r="Z7" s="1" t="s">
        <v>457</v>
      </c>
      <c r="AA7" s="1" t="s">
        <v>457</v>
      </c>
      <c r="AB7" s="1" t="s">
        <v>457</v>
      </c>
      <c r="AC7" s="1" t="s">
        <v>457</v>
      </c>
      <c r="AD7" s="1" t="s">
        <v>457</v>
      </c>
      <c r="AE7" s="1" t="s">
        <v>457</v>
      </c>
      <c r="AF7" s="1" t="s">
        <v>457</v>
      </c>
      <c r="AG7" s="1" t="s">
        <v>457</v>
      </c>
      <c r="AH7" s="1" t="s">
        <v>457</v>
      </c>
      <c r="AI7" s="1" t="s">
        <v>457</v>
      </c>
      <c r="AJ7">
        <v>0</v>
      </c>
      <c r="AK7" s="502">
        <v>43056.229202361101</v>
      </c>
    </row>
    <row r="8" spans="1:37">
      <c r="A8" s="1" t="s">
        <v>328</v>
      </c>
      <c r="B8" s="1" t="s">
        <v>518</v>
      </c>
      <c r="C8" s="1" t="s">
        <v>519</v>
      </c>
      <c r="D8" s="1" t="s">
        <v>520</v>
      </c>
      <c r="E8" s="1" t="s">
        <v>520</v>
      </c>
      <c r="F8" s="1" t="s">
        <v>521</v>
      </c>
      <c r="G8" s="1" t="s">
        <v>522</v>
      </c>
      <c r="H8" s="1" t="s">
        <v>523</v>
      </c>
      <c r="I8" s="1" t="s">
        <v>524</v>
      </c>
      <c r="J8" s="1" t="s">
        <v>525</v>
      </c>
      <c r="K8" s="1" t="s">
        <v>526</v>
      </c>
      <c r="L8" s="1" t="s">
        <v>526</v>
      </c>
      <c r="M8" s="1" t="s">
        <v>527</v>
      </c>
      <c r="N8" s="1" t="s">
        <v>528</v>
      </c>
      <c r="O8" s="1" t="s">
        <v>529</v>
      </c>
      <c r="P8" s="1" t="s">
        <v>530</v>
      </c>
      <c r="Q8" s="1" t="s">
        <v>531</v>
      </c>
      <c r="R8" s="1" t="s">
        <v>532</v>
      </c>
      <c r="S8" s="1" t="s">
        <v>532</v>
      </c>
      <c r="T8" s="1" t="s">
        <v>533</v>
      </c>
      <c r="U8" s="1" t="s">
        <v>534</v>
      </c>
      <c r="V8" s="1" t="s">
        <v>535</v>
      </c>
      <c r="W8" s="1" t="s">
        <v>536</v>
      </c>
      <c r="X8" s="1" t="s">
        <v>537</v>
      </c>
      <c r="Y8" s="1" t="s">
        <v>538</v>
      </c>
      <c r="Z8" s="1" t="s">
        <v>539</v>
      </c>
      <c r="AA8" s="1" t="s">
        <v>540</v>
      </c>
      <c r="AB8" s="1" t="s">
        <v>541</v>
      </c>
      <c r="AC8" s="1" t="s">
        <v>542</v>
      </c>
      <c r="AD8" s="1" t="s">
        <v>543</v>
      </c>
      <c r="AE8" s="1" t="s">
        <v>544</v>
      </c>
      <c r="AF8" s="1" t="s">
        <v>545</v>
      </c>
      <c r="AG8" s="1" t="s">
        <v>546</v>
      </c>
      <c r="AH8" s="1" t="s">
        <v>547</v>
      </c>
      <c r="AI8" s="1" t="s">
        <v>548</v>
      </c>
      <c r="AJ8">
        <v>7768697</v>
      </c>
      <c r="AK8" s="502">
        <v>43056.229202361101</v>
      </c>
    </row>
    <row r="9" spans="1:37">
      <c r="A9" s="1" t="s">
        <v>328</v>
      </c>
      <c r="B9" s="1" t="s">
        <v>549</v>
      </c>
      <c r="C9" s="1" t="s">
        <v>457</v>
      </c>
      <c r="D9" s="1" t="s">
        <v>457</v>
      </c>
      <c r="E9" s="1" t="s">
        <v>457</v>
      </c>
      <c r="F9" s="1" t="s">
        <v>457</v>
      </c>
      <c r="G9" s="1" t="s">
        <v>457</v>
      </c>
      <c r="H9" s="1" t="s">
        <v>457</v>
      </c>
      <c r="I9" s="1" t="s">
        <v>457</v>
      </c>
      <c r="J9" s="1" t="s">
        <v>457</v>
      </c>
      <c r="K9" s="1" t="s">
        <v>457</v>
      </c>
      <c r="L9" s="1" t="s">
        <v>457</v>
      </c>
      <c r="M9" s="1" t="s">
        <v>457</v>
      </c>
      <c r="N9" s="1" t="s">
        <v>457</v>
      </c>
      <c r="O9" s="1" t="s">
        <v>457</v>
      </c>
      <c r="P9" s="1" t="s">
        <v>457</v>
      </c>
      <c r="Q9" s="1" t="s">
        <v>457</v>
      </c>
      <c r="R9" s="1" t="s">
        <v>457</v>
      </c>
      <c r="S9" s="1" t="s">
        <v>457</v>
      </c>
      <c r="T9" s="1" t="s">
        <v>457</v>
      </c>
      <c r="U9" s="1" t="s">
        <v>457</v>
      </c>
      <c r="V9" s="1" t="s">
        <v>457</v>
      </c>
      <c r="W9" s="1" t="s">
        <v>457</v>
      </c>
      <c r="X9" s="1" t="s">
        <v>457</v>
      </c>
      <c r="Y9" s="1" t="s">
        <v>457</v>
      </c>
      <c r="Z9" s="1" t="s">
        <v>457</v>
      </c>
      <c r="AA9" s="1" t="s">
        <v>457</v>
      </c>
      <c r="AB9" s="1" t="s">
        <v>457</v>
      </c>
      <c r="AC9" s="1" t="s">
        <v>457</v>
      </c>
      <c r="AD9" s="1" t="s">
        <v>457</v>
      </c>
      <c r="AE9" s="1" t="s">
        <v>457</v>
      </c>
      <c r="AF9" s="1" t="s">
        <v>457</v>
      </c>
      <c r="AG9" s="1" t="s">
        <v>457</v>
      </c>
      <c r="AH9" s="1" t="s">
        <v>457</v>
      </c>
      <c r="AI9" s="1" t="s">
        <v>457</v>
      </c>
      <c r="AJ9">
        <v>0</v>
      </c>
      <c r="AK9" s="502">
        <v>43056.229202361101</v>
      </c>
    </row>
    <row r="10" spans="1:37">
      <c r="A10" s="1" t="s">
        <v>328</v>
      </c>
      <c r="B10" s="1" t="s">
        <v>550</v>
      </c>
      <c r="C10" s="1" t="s">
        <v>551</v>
      </c>
      <c r="D10" s="1" t="s">
        <v>552</v>
      </c>
      <c r="E10" s="1" t="s">
        <v>552</v>
      </c>
      <c r="F10" s="1" t="s">
        <v>553</v>
      </c>
      <c r="G10" s="1" t="s">
        <v>554</v>
      </c>
      <c r="H10" s="1" t="s">
        <v>555</v>
      </c>
      <c r="I10" s="1" t="s">
        <v>556</v>
      </c>
      <c r="J10" s="1" t="s">
        <v>557</v>
      </c>
      <c r="K10" s="1" t="s">
        <v>558</v>
      </c>
      <c r="L10" s="1" t="s">
        <v>558</v>
      </c>
      <c r="M10" s="1" t="s">
        <v>559</v>
      </c>
      <c r="N10" s="1" t="s">
        <v>560</v>
      </c>
      <c r="O10" s="1" t="s">
        <v>561</v>
      </c>
      <c r="P10" s="1" t="s">
        <v>562</v>
      </c>
      <c r="Q10" s="1" t="s">
        <v>563</v>
      </c>
      <c r="R10" s="1" t="s">
        <v>564</v>
      </c>
      <c r="S10" s="1" t="s">
        <v>564</v>
      </c>
      <c r="T10" s="1" t="s">
        <v>565</v>
      </c>
      <c r="U10" s="1" t="s">
        <v>566</v>
      </c>
      <c r="V10" s="1" t="s">
        <v>567</v>
      </c>
      <c r="W10" s="1" t="s">
        <v>568</v>
      </c>
      <c r="X10" s="1" t="s">
        <v>569</v>
      </c>
      <c r="Y10" s="1" t="s">
        <v>569</v>
      </c>
      <c r="Z10" s="1" t="s">
        <v>570</v>
      </c>
      <c r="AA10" s="1" t="s">
        <v>571</v>
      </c>
      <c r="AB10" s="1" t="s">
        <v>572</v>
      </c>
      <c r="AC10" s="1" t="s">
        <v>573</v>
      </c>
      <c r="AD10" s="1" t="s">
        <v>574</v>
      </c>
      <c r="AE10" s="1" t="s">
        <v>575</v>
      </c>
      <c r="AF10" s="1" t="s">
        <v>576</v>
      </c>
      <c r="AG10" s="1" t="s">
        <v>576</v>
      </c>
      <c r="AH10" s="1" t="s">
        <v>457</v>
      </c>
      <c r="AI10" s="1" t="s">
        <v>577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578</v>
      </c>
      <c r="C11" s="1" t="s">
        <v>579</v>
      </c>
      <c r="D11" s="1" t="s">
        <v>579</v>
      </c>
      <c r="E11" s="1" t="s">
        <v>579</v>
      </c>
      <c r="F11" s="1" t="s">
        <v>579</v>
      </c>
      <c r="G11" s="1" t="s">
        <v>579</v>
      </c>
      <c r="H11" s="1" t="s">
        <v>580</v>
      </c>
      <c r="I11" s="1" t="s">
        <v>580</v>
      </c>
      <c r="J11" s="1" t="s">
        <v>580</v>
      </c>
      <c r="K11" s="1" t="s">
        <v>580</v>
      </c>
      <c r="L11" s="1" t="s">
        <v>580</v>
      </c>
      <c r="M11" s="1" t="s">
        <v>580</v>
      </c>
      <c r="N11" s="1" t="s">
        <v>580</v>
      </c>
      <c r="O11" s="1" t="s">
        <v>580</v>
      </c>
      <c r="P11" s="1" t="s">
        <v>580</v>
      </c>
      <c r="Q11" s="1" t="s">
        <v>580</v>
      </c>
      <c r="R11" s="1" t="s">
        <v>580</v>
      </c>
      <c r="S11" s="1" t="s">
        <v>580</v>
      </c>
      <c r="T11" s="1" t="s">
        <v>580</v>
      </c>
      <c r="U11" s="1" t="s">
        <v>580</v>
      </c>
      <c r="V11" s="1" t="s">
        <v>580</v>
      </c>
      <c r="W11" s="1" t="s">
        <v>580</v>
      </c>
      <c r="X11" s="1" t="s">
        <v>580</v>
      </c>
      <c r="Y11" s="1" t="s">
        <v>580</v>
      </c>
      <c r="Z11" s="1" t="s">
        <v>580</v>
      </c>
      <c r="AA11" s="1" t="s">
        <v>580</v>
      </c>
      <c r="AB11" s="1" t="s">
        <v>580</v>
      </c>
      <c r="AC11" s="1" t="s">
        <v>580</v>
      </c>
      <c r="AD11" s="1" t="s">
        <v>580</v>
      </c>
      <c r="AE11" s="1" t="s">
        <v>580</v>
      </c>
      <c r="AF11" s="1" t="s">
        <v>580</v>
      </c>
      <c r="AG11" s="1" t="s">
        <v>580</v>
      </c>
      <c r="AH11" s="1" t="s">
        <v>457</v>
      </c>
      <c r="AI11" s="1" t="s">
        <v>581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582</v>
      </c>
      <c r="C12" s="1" t="s">
        <v>457</v>
      </c>
      <c r="D12" s="1" t="s">
        <v>457</v>
      </c>
      <c r="E12" s="1" t="s">
        <v>457</v>
      </c>
      <c r="F12" s="1" t="s">
        <v>457</v>
      </c>
      <c r="G12" s="1" t="s">
        <v>457</v>
      </c>
      <c r="H12" s="1" t="s">
        <v>457</v>
      </c>
      <c r="I12" s="1" t="s">
        <v>457</v>
      </c>
      <c r="J12" s="1" t="s">
        <v>457</v>
      </c>
      <c r="K12" s="1" t="s">
        <v>457</v>
      </c>
      <c r="L12" s="1" t="s">
        <v>457</v>
      </c>
      <c r="M12" s="1" t="s">
        <v>457</v>
      </c>
      <c r="N12" s="1" t="s">
        <v>457</v>
      </c>
      <c r="O12" s="1" t="s">
        <v>457</v>
      </c>
      <c r="P12" s="1" t="s">
        <v>457</v>
      </c>
      <c r="Q12" s="1" t="s">
        <v>457</v>
      </c>
      <c r="R12" s="1" t="s">
        <v>457</v>
      </c>
      <c r="S12" s="1" t="s">
        <v>457</v>
      </c>
      <c r="T12" s="1" t="s">
        <v>457</v>
      </c>
      <c r="U12" s="1" t="s">
        <v>457</v>
      </c>
      <c r="V12" s="1" t="s">
        <v>457</v>
      </c>
      <c r="W12" s="1" t="s">
        <v>457</v>
      </c>
      <c r="X12" s="1" t="s">
        <v>457</v>
      </c>
      <c r="Y12" s="1" t="s">
        <v>457</v>
      </c>
      <c r="Z12" s="1" t="s">
        <v>457</v>
      </c>
      <c r="AA12" s="1" t="s">
        <v>457</v>
      </c>
      <c r="AB12" s="1" t="s">
        <v>457</v>
      </c>
      <c r="AC12" s="1" t="s">
        <v>457</v>
      </c>
      <c r="AD12" s="1" t="s">
        <v>457</v>
      </c>
      <c r="AE12" s="1" t="s">
        <v>457</v>
      </c>
      <c r="AF12" s="1" t="s">
        <v>457</v>
      </c>
      <c r="AG12" s="1" t="s">
        <v>457</v>
      </c>
      <c r="AH12" s="1" t="s">
        <v>457</v>
      </c>
      <c r="AI12" s="1" t="s">
        <v>457</v>
      </c>
      <c r="AJ12">
        <v>0</v>
      </c>
      <c r="AK12" s="502">
        <v>43056.229202361101</v>
      </c>
    </row>
    <row r="13" spans="1:37">
      <c r="A13" s="1" t="s">
        <v>328</v>
      </c>
      <c r="B13" s="1" t="s">
        <v>583</v>
      </c>
      <c r="C13" s="1" t="s">
        <v>584</v>
      </c>
      <c r="D13" s="1" t="s">
        <v>585</v>
      </c>
      <c r="E13" s="1" t="s">
        <v>585</v>
      </c>
      <c r="F13" s="1" t="s">
        <v>586</v>
      </c>
      <c r="G13" s="1" t="s">
        <v>587</v>
      </c>
      <c r="H13" s="1" t="s">
        <v>588</v>
      </c>
      <c r="I13" s="1" t="s">
        <v>589</v>
      </c>
      <c r="J13" s="1" t="s">
        <v>590</v>
      </c>
      <c r="K13" s="1" t="s">
        <v>591</v>
      </c>
      <c r="L13" s="1" t="s">
        <v>591</v>
      </c>
      <c r="M13" s="1" t="s">
        <v>592</v>
      </c>
      <c r="N13" s="1" t="s">
        <v>593</v>
      </c>
      <c r="O13" s="1" t="s">
        <v>594</v>
      </c>
      <c r="P13" s="1" t="s">
        <v>595</v>
      </c>
      <c r="Q13" s="1" t="s">
        <v>596</v>
      </c>
      <c r="R13" s="1" t="s">
        <v>597</v>
      </c>
      <c r="S13" s="1" t="s">
        <v>597</v>
      </c>
      <c r="T13" s="1" t="s">
        <v>598</v>
      </c>
      <c r="U13" s="1" t="s">
        <v>599</v>
      </c>
      <c r="V13" s="1" t="s">
        <v>600</v>
      </c>
      <c r="W13" s="1" t="s">
        <v>601</v>
      </c>
      <c r="X13" s="1" t="s">
        <v>602</v>
      </c>
      <c r="Y13" s="1" t="s">
        <v>602</v>
      </c>
      <c r="Z13" s="1" t="s">
        <v>602</v>
      </c>
      <c r="AA13" s="1" t="s">
        <v>603</v>
      </c>
      <c r="AB13" s="1" t="s">
        <v>604</v>
      </c>
      <c r="AC13" s="1" t="s">
        <v>605</v>
      </c>
      <c r="AD13" s="1" t="s">
        <v>606</v>
      </c>
      <c r="AE13" s="1" t="s">
        <v>607</v>
      </c>
      <c r="AF13" s="1" t="s">
        <v>608</v>
      </c>
      <c r="AG13" s="1" t="s">
        <v>608</v>
      </c>
      <c r="AH13" s="1" t="s">
        <v>457</v>
      </c>
      <c r="AI13" s="1" t="s">
        <v>609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610</v>
      </c>
      <c r="C14" s="1" t="s">
        <v>611</v>
      </c>
      <c r="D14" s="1" t="s">
        <v>612</v>
      </c>
      <c r="E14" s="1" t="s">
        <v>612</v>
      </c>
      <c r="F14" s="1" t="s">
        <v>613</v>
      </c>
      <c r="G14" s="1" t="s">
        <v>614</v>
      </c>
      <c r="H14" s="1" t="s">
        <v>615</v>
      </c>
      <c r="I14" s="1" t="s">
        <v>616</v>
      </c>
      <c r="J14" s="1" t="s">
        <v>617</v>
      </c>
      <c r="K14" s="1" t="s">
        <v>617</v>
      </c>
      <c r="L14" s="1" t="s">
        <v>617</v>
      </c>
      <c r="M14" s="1" t="s">
        <v>618</v>
      </c>
      <c r="N14" s="1" t="s">
        <v>619</v>
      </c>
      <c r="O14" s="1" t="s">
        <v>620</v>
      </c>
      <c r="P14" s="1" t="s">
        <v>621</v>
      </c>
      <c r="Q14" s="1" t="s">
        <v>622</v>
      </c>
      <c r="R14" s="1" t="s">
        <v>623</v>
      </c>
      <c r="S14" s="1" t="s">
        <v>623</v>
      </c>
      <c r="T14" s="1" t="s">
        <v>624</v>
      </c>
      <c r="U14" s="1" t="s">
        <v>625</v>
      </c>
      <c r="V14" s="1" t="s">
        <v>626</v>
      </c>
      <c r="W14" s="1" t="s">
        <v>627</v>
      </c>
      <c r="X14" s="1" t="s">
        <v>628</v>
      </c>
      <c r="Y14" s="1" t="s">
        <v>628</v>
      </c>
      <c r="Z14" s="1" t="s">
        <v>628</v>
      </c>
      <c r="AA14" s="1" t="s">
        <v>629</v>
      </c>
      <c r="AB14" s="1" t="s">
        <v>630</v>
      </c>
      <c r="AC14" s="1" t="s">
        <v>631</v>
      </c>
      <c r="AD14" s="1" t="s">
        <v>631</v>
      </c>
      <c r="AE14" s="1" t="s">
        <v>632</v>
      </c>
      <c r="AF14" s="1" t="s">
        <v>633</v>
      </c>
      <c r="AG14" s="1" t="s">
        <v>633</v>
      </c>
      <c r="AH14" s="1" t="s">
        <v>457</v>
      </c>
      <c r="AI14" s="1" t="s">
        <v>634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635</v>
      </c>
      <c r="C15" s="1" t="s">
        <v>636</v>
      </c>
      <c r="D15" s="1" t="s">
        <v>457</v>
      </c>
      <c r="E15" s="1" t="s">
        <v>457</v>
      </c>
      <c r="F15" s="1" t="s">
        <v>457</v>
      </c>
      <c r="G15" s="1" t="s">
        <v>457</v>
      </c>
      <c r="H15" s="1" t="s">
        <v>457</v>
      </c>
      <c r="I15" s="1" t="s">
        <v>457</v>
      </c>
      <c r="J15" s="1" t="s">
        <v>457</v>
      </c>
      <c r="K15" s="1" t="s">
        <v>457</v>
      </c>
      <c r="L15" s="1" t="s">
        <v>457</v>
      </c>
      <c r="M15" s="1" t="s">
        <v>457</v>
      </c>
      <c r="N15" s="1" t="s">
        <v>457</v>
      </c>
      <c r="O15" s="1" t="s">
        <v>457</v>
      </c>
      <c r="P15" s="1" t="s">
        <v>457</v>
      </c>
      <c r="Q15" s="1" t="s">
        <v>457</v>
      </c>
      <c r="R15" s="1" t="s">
        <v>457</v>
      </c>
      <c r="S15" s="1" t="s">
        <v>457</v>
      </c>
      <c r="T15" s="1" t="s">
        <v>457</v>
      </c>
      <c r="U15" s="1" t="s">
        <v>457</v>
      </c>
      <c r="V15" s="1" t="s">
        <v>637</v>
      </c>
      <c r="W15" s="1" t="s">
        <v>637</v>
      </c>
      <c r="X15" s="1" t="s">
        <v>637</v>
      </c>
      <c r="Y15" s="1" t="s">
        <v>637</v>
      </c>
      <c r="Z15" s="1" t="s">
        <v>637</v>
      </c>
      <c r="AA15" s="1" t="s">
        <v>637</v>
      </c>
      <c r="AB15" s="1" t="s">
        <v>457</v>
      </c>
      <c r="AC15" s="1" t="s">
        <v>457</v>
      </c>
      <c r="AD15" s="1" t="s">
        <v>457</v>
      </c>
      <c r="AE15" s="1" t="s">
        <v>457</v>
      </c>
      <c r="AF15" s="1" t="s">
        <v>457</v>
      </c>
      <c r="AG15" s="1" t="s">
        <v>457</v>
      </c>
      <c r="AH15" s="1" t="s">
        <v>457</v>
      </c>
      <c r="AI15" s="1" t="s">
        <v>638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639</v>
      </c>
      <c r="C16" s="1" t="s">
        <v>640</v>
      </c>
      <c r="D16" s="1" t="s">
        <v>641</v>
      </c>
      <c r="E16" s="1" t="s">
        <v>641</v>
      </c>
      <c r="F16" s="1" t="s">
        <v>642</v>
      </c>
      <c r="G16" s="1" t="s">
        <v>643</v>
      </c>
      <c r="H16" s="1" t="s">
        <v>644</v>
      </c>
      <c r="I16" s="1" t="s">
        <v>645</v>
      </c>
      <c r="J16" s="1" t="s">
        <v>646</v>
      </c>
      <c r="K16" s="1" t="s">
        <v>647</v>
      </c>
      <c r="L16" s="1" t="s">
        <v>647</v>
      </c>
      <c r="M16" s="1" t="s">
        <v>648</v>
      </c>
      <c r="N16" s="1" t="s">
        <v>649</v>
      </c>
      <c r="O16" s="1" t="s">
        <v>650</v>
      </c>
      <c r="P16" s="1" t="s">
        <v>651</v>
      </c>
      <c r="Q16" s="1" t="s">
        <v>652</v>
      </c>
      <c r="R16" s="1" t="s">
        <v>653</v>
      </c>
      <c r="S16" s="1" t="s">
        <v>653</v>
      </c>
      <c r="T16" s="1" t="s">
        <v>654</v>
      </c>
      <c r="U16" s="1" t="s">
        <v>655</v>
      </c>
      <c r="V16" s="1" t="s">
        <v>656</v>
      </c>
      <c r="W16" s="1" t="s">
        <v>657</v>
      </c>
      <c r="X16" s="1" t="s">
        <v>658</v>
      </c>
      <c r="Y16" s="1" t="s">
        <v>658</v>
      </c>
      <c r="Z16" s="1" t="s">
        <v>659</v>
      </c>
      <c r="AA16" s="1" t="s">
        <v>660</v>
      </c>
      <c r="AB16" s="1" t="s">
        <v>661</v>
      </c>
      <c r="AC16" s="1" t="s">
        <v>662</v>
      </c>
      <c r="AD16" s="1" t="s">
        <v>663</v>
      </c>
      <c r="AE16" s="1" t="s">
        <v>664</v>
      </c>
      <c r="AF16" s="1" t="s">
        <v>665</v>
      </c>
      <c r="AG16" s="1" t="s">
        <v>666</v>
      </c>
      <c r="AH16" s="1" t="s">
        <v>667</v>
      </c>
      <c r="AI16" s="1" t="s">
        <v>668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669</v>
      </c>
      <c r="C17" s="1" t="s">
        <v>670</v>
      </c>
      <c r="D17" s="1" t="s">
        <v>671</v>
      </c>
      <c r="E17" s="1" t="s">
        <v>671</v>
      </c>
      <c r="F17" s="1" t="s">
        <v>672</v>
      </c>
      <c r="G17" s="1" t="s">
        <v>673</v>
      </c>
      <c r="H17" s="1" t="s">
        <v>674</v>
      </c>
      <c r="I17" s="1" t="s">
        <v>675</v>
      </c>
      <c r="J17" s="1" t="s">
        <v>676</v>
      </c>
      <c r="K17" s="1" t="s">
        <v>677</v>
      </c>
      <c r="L17" s="1" t="s">
        <v>677</v>
      </c>
      <c r="M17" s="1" t="s">
        <v>678</v>
      </c>
      <c r="N17" s="1" t="s">
        <v>679</v>
      </c>
      <c r="O17" s="1" t="s">
        <v>680</v>
      </c>
      <c r="P17" s="1" t="s">
        <v>681</v>
      </c>
      <c r="Q17" s="1" t="s">
        <v>682</v>
      </c>
      <c r="R17" s="1" t="s">
        <v>683</v>
      </c>
      <c r="S17" s="1" t="s">
        <v>683</v>
      </c>
      <c r="T17" s="1" t="s">
        <v>684</v>
      </c>
      <c r="U17" s="1" t="s">
        <v>685</v>
      </c>
      <c r="V17" s="1" t="s">
        <v>686</v>
      </c>
      <c r="W17" s="1" t="s">
        <v>687</v>
      </c>
      <c r="X17" s="1" t="s">
        <v>688</v>
      </c>
      <c r="Y17" s="1" t="s">
        <v>689</v>
      </c>
      <c r="Z17" s="1" t="s">
        <v>690</v>
      </c>
      <c r="AA17" s="1" t="s">
        <v>691</v>
      </c>
      <c r="AB17" s="1" t="s">
        <v>692</v>
      </c>
      <c r="AC17" s="1" t="s">
        <v>693</v>
      </c>
      <c r="AD17" s="1" t="s">
        <v>694</v>
      </c>
      <c r="AE17" s="1" t="s">
        <v>695</v>
      </c>
      <c r="AF17" s="1" t="s">
        <v>696</v>
      </c>
      <c r="AG17" s="1" t="s">
        <v>696</v>
      </c>
      <c r="AH17" s="1" t="s">
        <v>457</v>
      </c>
      <c r="AI17" s="1" t="s">
        <v>697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698</v>
      </c>
      <c r="C18" s="1" t="s">
        <v>699</v>
      </c>
      <c r="D18" s="1" t="s">
        <v>700</v>
      </c>
      <c r="E18" s="1" t="s">
        <v>700</v>
      </c>
      <c r="F18" s="1" t="s">
        <v>701</v>
      </c>
      <c r="G18" s="1" t="s">
        <v>702</v>
      </c>
      <c r="H18" s="1" t="s">
        <v>703</v>
      </c>
      <c r="I18" s="1" t="s">
        <v>704</v>
      </c>
      <c r="J18" s="1" t="s">
        <v>705</v>
      </c>
      <c r="K18" s="1" t="s">
        <v>706</v>
      </c>
      <c r="L18" s="1" t="s">
        <v>706</v>
      </c>
      <c r="M18" s="1" t="s">
        <v>707</v>
      </c>
      <c r="N18" s="1" t="s">
        <v>708</v>
      </c>
      <c r="O18" s="1" t="s">
        <v>709</v>
      </c>
      <c r="P18" s="1" t="s">
        <v>710</v>
      </c>
      <c r="Q18" s="1" t="s">
        <v>711</v>
      </c>
      <c r="R18" s="1" t="s">
        <v>712</v>
      </c>
      <c r="S18" s="1" t="s">
        <v>712</v>
      </c>
      <c r="T18" s="1" t="s">
        <v>713</v>
      </c>
      <c r="U18" s="1" t="s">
        <v>714</v>
      </c>
      <c r="V18" s="1" t="s">
        <v>715</v>
      </c>
      <c r="W18" s="1" t="s">
        <v>716</v>
      </c>
      <c r="X18" s="1" t="s">
        <v>717</v>
      </c>
      <c r="Y18" s="1" t="s">
        <v>717</v>
      </c>
      <c r="Z18" s="1" t="s">
        <v>718</v>
      </c>
      <c r="AA18" s="1" t="s">
        <v>719</v>
      </c>
      <c r="AB18" s="1" t="s">
        <v>720</v>
      </c>
      <c r="AC18" s="1" t="s">
        <v>721</v>
      </c>
      <c r="AD18" s="1" t="s">
        <v>722</v>
      </c>
      <c r="AE18" s="1" t="s">
        <v>723</v>
      </c>
      <c r="AF18" s="1" t="s">
        <v>724</v>
      </c>
      <c r="AG18" s="1" t="s">
        <v>724</v>
      </c>
      <c r="AH18" s="1" t="s">
        <v>457</v>
      </c>
      <c r="AI18" s="1" t="s">
        <v>725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726</v>
      </c>
      <c r="C19" s="1" t="s">
        <v>727</v>
      </c>
      <c r="D19" s="1" t="s">
        <v>727</v>
      </c>
      <c r="E19" s="1" t="s">
        <v>727</v>
      </c>
      <c r="F19" s="1" t="s">
        <v>727</v>
      </c>
      <c r="G19" s="1" t="s">
        <v>727</v>
      </c>
      <c r="H19" s="1" t="s">
        <v>727</v>
      </c>
      <c r="I19" s="1" t="s">
        <v>727</v>
      </c>
      <c r="J19" s="1" t="s">
        <v>727</v>
      </c>
      <c r="K19" s="1" t="s">
        <v>727</v>
      </c>
      <c r="L19" s="1" t="s">
        <v>727</v>
      </c>
      <c r="M19" s="1" t="s">
        <v>727</v>
      </c>
      <c r="N19" s="1" t="s">
        <v>727</v>
      </c>
      <c r="O19" s="1" t="s">
        <v>727</v>
      </c>
      <c r="P19" s="1" t="s">
        <v>727</v>
      </c>
      <c r="Q19" s="1" t="s">
        <v>727</v>
      </c>
      <c r="R19" s="1" t="s">
        <v>727</v>
      </c>
      <c r="S19" s="1" t="s">
        <v>727</v>
      </c>
      <c r="T19" s="1" t="s">
        <v>727</v>
      </c>
      <c r="U19" s="1" t="s">
        <v>727</v>
      </c>
      <c r="V19" s="1" t="s">
        <v>727</v>
      </c>
      <c r="W19" s="1" t="s">
        <v>727</v>
      </c>
      <c r="X19" s="1" t="s">
        <v>727</v>
      </c>
      <c r="Y19" s="1" t="s">
        <v>727</v>
      </c>
      <c r="Z19" s="1" t="s">
        <v>727</v>
      </c>
      <c r="AA19" s="1" t="s">
        <v>727</v>
      </c>
      <c r="AB19" s="1" t="s">
        <v>727</v>
      </c>
      <c r="AC19" s="1" t="s">
        <v>727</v>
      </c>
      <c r="AD19" s="1" t="s">
        <v>727</v>
      </c>
      <c r="AE19" s="1" t="s">
        <v>727</v>
      </c>
      <c r="AF19" s="1" t="s">
        <v>727</v>
      </c>
      <c r="AG19" s="1" t="s">
        <v>727</v>
      </c>
      <c r="AH19" s="1" t="s">
        <v>457</v>
      </c>
      <c r="AI19" s="1" t="s">
        <v>727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728</v>
      </c>
      <c r="C20" s="1" t="s">
        <v>729</v>
      </c>
      <c r="D20" s="1" t="s">
        <v>729</v>
      </c>
      <c r="E20" s="1" t="s">
        <v>729</v>
      </c>
      <c r="F20" s="1" t="s">
        <v>729</v>
      </c>
      <c r="G20" s="1" t="s">
        <v>729</v>
      </c>
      <c r="H20" s="1" t="s">
        <v>729</v>
      </c>
      <c r="I20" s="1" t="s">
        <v>729</v>
      </c>
      <c r="J20" s="1" t="s">
        <v>729</v>
      </c>
      <c r="K20" s="1" t="s">
        <v>729</v>
      </c>
      <c r="L20" s="1" t="s">
        <v>729</v>
      </c>
      <c r="M20" s="1" t="s">
        <v>729</v>
      </c>
      <c r="N20" s="1" t="s">
        <v>729</v>
      </c>
      <c r="O20" s="1" t="s">
        <v>729</v>
      </c>
      <c r="P20" s="1" t="s">
        <v>729</v>
      </c>
      <c r="Q20" s="1" t="s">
        <v>729</v>
      </c>
      <c r="R20" s="1" t="s">
        <v>729</v>
      </c>
      <c r="S20" s="1" t="s">
        <v>729</v>
      </c>
      <c r="T20" s="1" t="s">
        <v>729</v>
      </c>
      <c r="U20" s="1" t="s">
        <v>729</v>
      </c>
      <c r="V20" s="1" t="s">
        <v>729</v>
      </c>
      <c r="W20" s="1" t="s">
        <v>729</v>
      </c>
      <c r="X20" s="1" t="s">
        <v>729</v>
      </c>
      <c r="Y20" s="1" t="s">
        <v>729</v>
      </c>
      <c r="Z20" s="1" t="s">
        <v>729</v>
      </c>
      <c r="AA20" s="1" t="s">
        <v>729</v>
      </c>
      <c r="AB20" s="1" t="s">
        <v>729</v>
      </c>
      <c r="AC20" s="1" t="s">
        <v>729</v>
      </c>
      <c r="AD20" s="1" t="s">
        <v>729</v>
      </c>
      <c r="AE20" s="1" t="s">
        <v>729</v>
      </c>
      <c r="AF20" s="1" t="s">
        <v>729</v>
      </c>
      <c r="AG20" s="1" t="s">
        <v>729</v>
      </c>
      <c r="AH20" s="1" t="s">
        <v>457</v>
      </c>
      <c r="AI20" s="1" t="s">
        <v>729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730</v>
      </c>
      <c r="C21" s="1" t="s">
        <v>731</v>
      </c>
      <c r="D21" s="1" t="s">
        <v>731</v>
      </c>
      <c r="E21" s="1" t="s">
        <v>731</v>
      </c>
      <c r="F21" s="1" t="s">
        <v>731</v>
      </c>
      <c r="G21" s="1" t="s">
        <v>731</v>
      </c>
      <c r="H21" s="1" t="s">
        <v>731</v>
      </c>
      <c r="I21" s="1" t="s">
        <v>731</v>
      </c>
      <c r="J21" s="1" t="s">
        <v>731</v>
      </c>
      <c r="K21" s="1" t="s">
        <v>731</v>
      </c>
      <c r="L21" s="1" t="s">
        <v>731</v>
      </c>
      <c r="M21" s="1" t="s">
        <v>731</v>
      </c>
      <c r="N21" s="1" t="s">
        <v>731</v>
      </c>
      <c r="O21" s="1" t="s">
        <v>731</v>
      </c>
      <c r="P21" s="1" t="s">
        <v>732</v>
      </c>
      <c r="Q21" s="1" t="s">
        <v>732</v>
      </c>
      <c r="R21" s="1" t="s">
        <v>732</v>
      </c>
      <c r="S21" s="1" t="s">
        <v>732</v>
      </c>
      <c r="T21" s="1" t="s">
        <v>732</v>
      </c>
      <c r="U21" s="1" t="s">
        <v>732</v>
      </c>
      <c r="V21" s="1" t="s">
        <v>733</v>
      </c>
      <c r="W21" s="1" t="s">
        <v>733</v>
      </c>
      <c r="X21" s="1" t="s">
        <v>733</v>
      </c>
      <c r="Y21" s="1" t="s">
        <v>733</v>
      </c>
      <c r="Z21" s="1" t="s">
        <v>733</v>
      </c>
      <c r="AA21" s="1" t="s">
        <v>734</v>
      </c>
      <c r="AB21" s="1" t="s">
        <v>733</v>
      </c>
      <c r="AC21" s="1" t="s">
        <v>733</v>
      </c>
      <c r="AD21" s="1" t="s">
        <v>733</v>
      </c>
      <c r="AE21" s="1" t="s">
        <v>735</v>
      </c>
      <c r="AF21" s="1" t="s">
        <v>735</v>
      </c>
      <c r="AG21" s="1" t="s">
        <v>735</v>
      </c>
      <c r="AH21" s="1" t="s">
        <v>457</v>
      </c>
      <c r="AI21" s="1" t="s">
        <v>736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737</v>
      </c>
      <c r="C22" s="1" t="s">
        <v>457</v>
      </c>
      <c r="D22" s="1" t="s">
        <v>457</v>
      </c>
      <c r="E22" s="1" t="s">
        <v>457</v>
      </c>
      <c r="F22" s="1" t="s">
        <v>457</v>
      </c>
      <c r="G22" s="1" t="s">
        <v>457</v>
      </c>
      <c r="H22" s="1" t="s">
        <v>457</v>
      </c>
      <c r="I22" s="1" t="s">
        <v>457</v>
      </c>
      <c r="J22" s="1" t="s">
        <v>457</v>
      </c>
      <c r="K22" s="1" t="s">
        <v>457</v>
      </c>
      <c r="L22" s="1" t="s">
        <v>457</v>
      </c>
      <c r="M22" s="1" t="s">
        <v>457</v>
      </c>
      <c r="N22" s="1" t="s">
        <v>457</v>
      </c>
      <c r="O22" s="1" t="s">
        <v>457</v>
      </c>
      <c r="P22" s="1" t="s">
        <v>457</v>
      </c>
      <c r="Q22" s="1" t="s">
        <v>457</v>
      </c>
      <c r="R22" s="1" t="s">
        <v>457</v>
      </c>
      <c r="S22" s="1" t="s">
        <v>457</v>
      </c>
      <c r="T22" s="1" t="s">
        <v>457</v>
      </c>
      <c r="U22" s="1" t="s">
        <v>457</v>
      </c>
      <c r="V22" s="1" t="s">
        <v>457</v>
      </c>
      <c r="W22" s="1" t="s">
        <v>457</v>
      </c>
      <c r="X22" s="1" t="s">
        <v>457</v>
      </c>
      <c r="Y22" s="1" t="s">
        <v>457</v>
      </c>
      <c r="Z22" s="1" t="s">
        <v>457</v>
      </c>
      <c r="AA22" s="1" t="s">
        <v>457</v>
      </c>
      <c r="AB22" s="1" t="s">
        <v>457</v>
      </c>
      <c r="AC22" s="1" t="s">
        <v>457</v>
      </c>
      <c r="AD22" s="1" t="s">
        <v>457</v>
      </c>
      <c r="AE22" s="1" t="s">
        <v>457</v>
      </c>
      <c r="AF22" s="1" t="s">
        <v>457</v>
      </c>
      <c r="AG22" s="1" t="s">
        <v>457</v>
      </c>
      <c r="AH22" s="1" t="s">
        <v>457</v>
      </c>
      <c r="AI22" s="1" t="s">
        <v>457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738</v>
      </c>
      <c r="C23" s="1" t="s">
        <v>457</v>
      </c>
      <c r="D23" s="1" t="s">
        <v>457</v>
      </c>
      <c r="E23" s="1" t="s">
        <v>457</v>
      </c>
      <c r="F23" s="1" t="s">
        <v>457</v>
      </c>
      <c r="G23" s="1" t="s">
        <v>457</v>
      </c>
      <c r="H23" s="1" t="s">
        <v>457</v>
      </c>
      <c r="I23" s="1" t="s">
        <v>457</v>
      </c>
      <c r="J23" s="1" t="s">
        <v>457</v>
      </c>
      <c r="K23" s="1" t="s">
        <v>457</v>
      </c>
      <c r="L23" s="1" t="s">
        <v>457</v>
      </c>
      <c r="M23" s="1" t="s">
        <v>457</v>
      </c>
      <c r="N23" s="1" t="s">
        <v>457</v>
      </c>
      <c r="O23" s="1" t="s">
        <v>457</v>
      </c>
      <c r="P23" s="1" t="s">
        <v>457</v>
      </c>
      <c r="Q23" s="1" t="s">
        <v>457</v>
      </c>
      <c r="R23" s="1" t="s">
        <v>457</v>
      </c>
      <c r="S23" s="1" t="s">
        <v>457</v>
      </c>
      <c r="T23" s="1" t="s">
        <v>457</v>
      </c>
      <c r="U23" s="1" t="s">
        <v>457</v>
      </c>
      <c r="V23" s="1" t="s">
        <v>457</v>
      </c>
      <c r="W23" s="1" t="s">
        <v>457</v>
      </c>
      <c r="X23" s="1" t="s">
        <v>457</v>
      </c>
      <c r="Y23" s="1" t="s">
        <v>457</v>
      </c>
      <c r="Z23" s="1" t="s">
        <v>457</v>
      </c>
      <c r="AA23" s="1" t="s">
        <v>457</v>
      </c>
      <c r="AB23" s="1" t="s">
        <v>457</v>
      </c>
      <c r="AC23" s="1" t="s">
        <v>457</v>
      </c>
      <c r="AD23" s="1" t="s">
        <v>457</v>
      </c>
      <c r="AE23" s="1" t="s">
        <v>457</v>
      </c>
      <c r="AF23" s="1" t="s">
        <v>457</v>
      </c>
      <c r="AG23" s="1" t="s">
        <v>457</v>
      </c>
      <c r="AH23" s="1" t="s">
        <v>457</v>
      </c>
      <c r="AI23" s="1" t="s">
        <v>457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739</v>
      </c>
      <c r="C24" s="1" t="s">
        <v>740</v>
      </c>
      <c r="D24" s="1" t="s">
        <v>741</v>
      </c>
      <c r="E24" s="1" t="s">
        <v>741</v>
      </c>
      <c r="F24" s="1" t="s">
        <v>742</v>
      </c>
      <c r="G24" s="1" t="s">
        <v>743</v>
      </c>
      <c r="H24" s="1" t="s">
        <v>744</v>
      </c>
      <c r="I24" s="1" t="s">
        <v>745</v>
      </c>
      <c r="J24" s="1" t="s">
        <v>746</v>
      </c>
      <c r="K24" s="1" t="s">
        <v>747</v>
      </c>
      <c r="L24" s="1" t="s">
        <v>747</v>
      </c>
      <c r="M24" s="1" t="s">
        <v>748</v>
      </c>
      <c r="N24" s="1" t="s">
        <v>749</v>
      </c>
      <c r="O24" s="1" t="s">
        <v>750</v>
      </c>
      <c r="P24" s="1" t="s">
        <v>751</v>
      </c>
      <c r="Q24" s="1" t="s">
        <v>752</v>
      </c>
      <c r="R24" s="1" t="s">
        <v>753</v>
      </c>
      <c r="S24" s="1" t="s">
        <v>753</v>
      </c>
      <c r="T24" s="1" t="s">
        <v>754</v>
      </c>
      <c r="U24" s="1" t="s">
        <v>755</v>
      </c>
      <c r="V24" s="1" t="s">
        <v>756</v>
      </c>
      <c r="W24" s="1" t="s">
        <v>757</v>
      </c>
      <c r="X24" s="1" t="s">
        <v>758</v>
      </c>
      <c r="Y24" s="1" t="s">
        <v>759</v>
      </c>
      <c r="Z24" s="1" t="s">
        <v>760</v>
      </c>
      <c r="AA24" s="1" t="s">
        <v>761</v>
      </c>
      <c r="AB24" s="1" t="s">
        <v>762</v>
      </c>
      <c r="AC24" s="1" t="s">
        <v>763</v>
      </c>
      <c r="AD24" s="1" t="s">
        <v>764</v>
      </c>
      <c r="AE24" s="1" t="s">
        <v>765</v>
      </c>
      <c r="AF24" s="1" t="s">
        <v>766</v>
      </c>
      <c r="AG24" s="1" t="s">
        <v>767</v>
      </c>
      <c r="AH24" s="1" t="s">
        <v>768</v>
      </c>
      <c r="AI24" s="1" t="s">
        <v>769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770</v>
      </c>
      <c r="C25" s="1" t="s">
        <v>771</v>
      </c>
      <c r="D25" s="1" t="s">
        <v>772</v>
      </c>
      <c r="E25" s="1" t="s">
        <v>772</v>
      </c>
      <c r="F25" s="1" t="s">
        <v>773</v>
      </c>
      <c r="G25" s="1" t="s">
        <v>774</v>
      </c>
      <c r="H25" s="1" t="s">
        <v>775</v>
      </c>
      <c r="I25" s="1" t="s">
        <v>776</v>
      </c>
      <c r="J25" s="1" t="s">
        <v>777</v>
      </c>
      <c r="K25" s="1" t="s">
        <v>778</v>
      </c>
      <c r="L25" s="1" t="s">
        <v>778</v>
      </c>
      <c r="M25" s="1" t="s">
        <v>779</v>
      </c>
      <c r="N25" s="1" t="s">
        <v>780</v>
      </c>
      <c r="O25" s="1" t="s">
        <v>781</v>
      </c>
      <c r="P25" s="1" t="s">
        <v>782</v>
      </c>
      <c r="Q25" s="1" t="s">
        <v>783</v>
      </c>
      <c r="R25" s="1" t="s">
        <v>784</v>
      </c>
      <c r="S25" s="1" t="s">
        <v>784</v>
      </c>
      <c r="T25" s="1" t="s">
        <v>785</v>
      </c>
      <c r="U25" s="1" t="s">
        <v>786</v>
      </c>
      <c r="V25" s="1" t="s">
        <v>787</v>
      </c>
      <c r="W25" s="1" t="s">
        <v>788</v>
      </c>
      <c r="X25" s="1" t="s">
        <v>789</v>
      </c>
      <c r="Y25" s="1" t="s">
        <v>789</v>
      </c>
      <c r="Z25" s="1" t="s">
        <v>789</v>
      </c>
      <c r="AA25" s="1" t="s">
        <v>790</v>
      </c>
      <c r="AB25" s="1" t="s">
        <v>791</v>
      </c>
      <c r="AC25" s="1" t="s">
        <v>792</v>
      </c>
      <c r="AD25" s="1" t="s">
        <v>793</v>
      </c>
      <c r="AE25" s="1" t="s">
        <v>794</v>
      </c>
      <c r="AF25" s="1" t="s">
        <v>795</v>
      </c>
      <c r="AG25" s="1" t="s">
        <v>795</v>
      </c>
      <c r="AH25" s="1" t="s">
        <v>457</v>
      </c>
      <c r="AI25" s="1" t="s">
        <v>796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797</v>
      </c>
    </row>
    <row r="2" spans="1:35">
      <c r="A2" s="1" t="s">
        <v>328</v>
      </c>
      <c r="B2" s="285" t="s">
        <v>364</v>
      </c>
      <c r="C2" s="1" t="s">
        <v>798</v>
      </c>
      <c r="D2" s="1" t="s">
        <v>799</v>
      </c>
      <c r="E2" s="1" t="s">
        <v>800</v>
      </c>
      <c r="F2" s="1" t="s">
        <v>801</v>
      </c>
      <c r="G2" s="1" t="s">
        <v>802</v>
      </c>
      <c r="H2" s="1" t="s">
        <v>802</v>
      </c>
      <c r="I2" s="1" t="s">
        <v>803</v>
      </c>
      <c r="J2" s="1" t="s">
        <v>799</v>
      </c>
      <c r="K2" s="1" t="s">
        <v>804</v>
      </c>
      <c r="L2" s="1" t="s">
        <v>800</v>
      </c>
      <c r="M2" s="1" t="s">
        <v>799</v>
      </c>
      <c r="N2" s="1" t="s">
        <v>804</v>
      </c>
      <c r="O2" s="1" t="s">
        <v>798</v>
      </c>
      <c r="P2" s="1" t="s">
        <v>805</v>
      </c>
      <c r="Q2" s="1" t="s">
        <v>806</v>
      </c>
      <c r="R2" s="1" t="s">
        <v>807</v>
      </c>
      <c r="S2" s="1" t="s">
        <v>800</v>
      </c>
      <c r="T2" s="1" t="s">
        <v>808</v>
      </c>
      <c r="U2" s="1" t="s">
        <v>805</v>
      </c>
      <c r="V2" s="1" t="s">
        <v>809</v>
      </c>
      <c r="W2" s="1" t="s">
        <v>805</v>
      </c>
      <c r="X2" s="1" t="s">
        <v>804</v>
      </c>
      <c r="Y2" s="1" t="s">
        <v>810</v>
      </c>
      <c r="Z2" s="1" t="s">
        <v>800</v>
      </c>
      <c r="AA2" s="1" t="s">
        <v>811</v>
      </c>
      <c r="AB2" s="1" t="s">
        <v>812</v>
      </c>
      <c r="AC2" s="1" t="s">
        <v>813</v>
      </c>
      <c r="AD2" s="1" t="s">
        <v>804</v>
      </c>
      <c r="AE2" s="1" t="s">
        <v>809</v>
      </c>
      <c r="AF2" s="1" t="s">
        <v>814</v>
      </c>
      <c r="AG2" s="1" t="s">
        <v>800</v>
      </c>
      <c r="AH2" s="1" t="s">
        <v>804</v>
      </c>
      <c r="AI2" s="502">
        <v>44412.229194178202</v>
      </c>
    </row>
    <row r="3" spans="1:35">
      <c r="A3" s="1" t="s">
        <v>328</v>
      </c>
      <c r="B3" s="285" t="s">
        <v>398</v>
      </c>
      <c r="C3" s="1" t="s">
        <v>806</v>
      </c>
      <c r="D3" s="1" t="s">
        <v>809</v>
      </c>
      <c r="E3" s="1" t="s">
        <v>800</v>
      </c>
      <c r="F3" s="1" t="s">
        <v>812</v>
      </c>
      <c r="G3" s="1" t="s">
        <v>805</v>
      </c>
      <c r="H3" s="1" t="s">
        <v>805</v>
      </c>
      <c r="I3" s="1" t="s">
        <v>813</v>
      </c>
      <c r="J3" s="1" t="s">
        <v>813</v>
      </c>
      <c r="K3" s="1" t="s">
        <v>815</v>
      </c>
      <c r="L3" s="1" t="s">
        <v>800</v>
      </c>
      <c r="M3" s="1" t="s">
        <v>812</v>
      </c>
      <c r="N3" s="1" t="s">
        <v>807</v>
      </c>
      <c r="O3" s="1" t="s">
        <v>806</v>
      </c>
      <c r="P3" s="1" t="s">
        <v>808</v>
      </c>
      <c r="Q3" s="1" t="s">
        <v>811</v>
      </c>
      <c r="R3" s="1" t="s">
        <v>806</v>
      </c>
      <c r="S3" s="1" t="s">
        <v>800</v>
      </c>
      <c r="T3" s="1" t="s">
        <v>808</v>
      </c>
      <c r="U3" s="1" t="s">
        <v>816</v>
      </c>
      <c r="V3" s="1" t="s">
        <v>809</v>
      </c>
      <c r="W3" s="1" t="s">
        <v>802</v>
      </c>
      <c r="X3" s="1" t="s">
        <v>817</v>
      </c>
      <c r="Y3" s="1" t="s">
        <v>800</v>
      </c>
      <c r="Z3" s="1" t="s">
        <v>800</v>
      </c>
      <c r="AA3" s="1" t="s">
        <v>818</v>
      </c>
      <c r="AB3" s="1" t="s">
        <v>798</v>
      </c>
      <c r="AC3" s="1" t="s">
        <v>818</v>
      </c>
      <c r="AD3" s="1" t="s">
        <v>811</v>
      </c>
      <c r="AE3" s="1" t="s">
        <v>801</v>
      </c>
      <c r="AF3" s="1" t="s">
        <v>801</v>
      </c>
      <c r="AG3" s="1" t="s">
        <v>800</v>
      </c>
      <c r="AH3" s="1" t="s">
        <v>813</v>
      </c>
      <c r="AI3" s="502">
        <v>44412.229194178202</v>
      </c>
    </row>
    <row r="4" spans="1:35">
      <c r="A4" s="1" t="s">
        <v>328</v>
      </c>
      <c r="B4" s="285" t="s">
        <v>430</v>
      </c>
      <c r="C4" s="1" t="s">
        <v>810</v>
      </c>
      <c r="D4" s="1" t="s">
        <v>810</v>
      </c>
      <c r="E4" s="1" t="s">
        <v>800</v>
      </c>
      <c r="F4" s="1" t="s">
        <v>810</v>
      </c>
      <c r="G4" s="1" t="s">
        <v>810</v>
      </c>
      <c r="H4" s="1" t="s">
        <v>810</v>
      </c>
      <c r="I4" s="1" t="s">
        <v>810</v>
      </c>
      <c r="J4" s="1" t="s">
        <v>810</v>
      </c>
      <c r="K4" s="1" t="s">
        <v>819</v>
      </c>
      <c r="L4" s="1" t="s">
        <v>800</v>
      </c>
      <c r="M4" s="1" t="s">
        <v>810</v>
      </c>
      <c r="N4" s="1" t="s">
        <v>820</v>
      </c>
      <c r="O4" s="1" t="s">
        <v>810</v>
      </c>
      <c r="P4" s="1" t="s">
        <v>810</v>
      </c>
      <c r="Q4" s="1" t="s">
        <v>810</v>
      </c>
      <c r="R4" s="1" t="s">
        <v>810</v>
      </c>
      <c r="S4" s="1" t="s">
        <v>800</v>
      </c>
      <c r="T4" s="1" t="s">
        <v>810</v>
      </c>
      <c r="U4" s="1" t="s">
        <v>810</v>
      </c>
      <c r="V4" s="1" t="s">
        <v>810</v>
      </c>
      <c r="W4" s="1" t="s">
        <v>810</v>
      </c>
      <c r="X4" s="1" t="s">
        <v>810</v>
      </c>
      <c r="Y4" s="1" t="s">
        <v>800</v>
      </c>
      <c r="Z4" s="1" t="s">
        <v>800</v>
      </c>
      <c r="AA4" s="1" t="s">
        <v>821</v>
      </c>
      <c r="AB4" s="1" t="s">
        <v>810</v>
      </c>
      <c r="AC4" s="1" t="s">
        <v>810</v>
      </c>
      <c r="AD4" s="1" t="s">
        <v>810</v>
      </c>
      <c r="AE4" s="1" t="s">
        <v>810</v>
      </c>
      <c r="AF4" s="1" t="s">
        <v>820</v>
      </c>
      <c r="AG4" s="1" t="s">
        <v>800</v>
      </c>
      <c r="AH4" s="1" t="s">
        <v>822</v>
      </c>
      <c r="AI4" s="502">
        <v>44412.229194178202</v>
      </c>
    </row>
    <row r="5" spans="1:35">
      <c r="A5" s="1" t="s">
        <v>328</v>
      </c>
      <c r="B5" s="285" t="s">
        <v>459</v>
      </c>
      <c r="C5" s="1" t="s">
        <v>823</v>
      </c>
      <c r="D5" s="1" t="s">
        <v>810</v>
      </c>
      <c r="E5" s="1" t="s">
        <v>800</v>
      </c>
      <c r="F5" s="1" t="s">
        <v>824</v>
      </c>
      <c r="G5" s="1" t="s">
        <v>825</v>
      </c>
      <c r="H5" s="1" t="s">
        <v>824</v>
      </c>
      <c r="I5" s="1" t="s">
        <v>824</v>
      </c>
      <c r="J5" s="1" t="s">
        <v>826</v>
      </c>
      <c r="K5" s="1" t="s">
        <v>810</v>
      </c>
      <c r="L5" s="1" t="s">
        <v>800</v>
      </c>
      <c r="M5" s="1" t="s">
        <v>827</v>
      </c>
      <c r="N5" s="1" t="s">
        <v>828</v>
      </c>
      <c r="O5" s="1" t="s">
        <v>829</v>
      </c>
      <c r="P5" s="1" t="s">
        <v>810</v>
      </c>
      <c r="Q5" s="1" t="s">
        <v>830</v>
      </c>
      <c r="R5" s="1" t="s">
        <v>810</v>
      </c>
      <c r="S5" s="1" t="s">
        <v>800</v>
      </c>
      <c r="T5" s="1" t="s">
        <v>810</v>
      </c>
      <c r="U5" s="1" t="s">
        <v>831</v>
      </c>
      <c r="V5" s="1" t="s">
        <v>824</v>
      </c>
      <c r="W5" s="1" t="s">
        <v>832</v>
      </c>
      <c r="X5" s="1" t="s">
        <v>833</v>
      </c>
      <c r="Y5" s="1" t="s">
        <v>800</v>
      </c>
      <c r="Z5" s="1" t="s">
        <v>800</v>
      </c>
      <c r="AA5" s="1" t="s">
        <v>834</v>
      </c>
      <c r="AB5" s="1" t="s">
        <v>835</v>
      </c>
      <c r="AC5" s="1" t="s">
        <v>836</v>
      </c>
      <c r="AD5" s="1" t="s">
        <v>810</v>
      </c>
      <c r="AE5" s="1" t="s">
        <v>837</v>
      </c>
      <c r="AF5" s="1" t="s">
        <v>838</v>
      </c>
      <c r="AG5" s="1" t="s">
        <v>800</v>
      </c>
      <c r="AH5" s="1" t="s">
        <v>839</v>
      </c>
      <c r="AI5" s="502">
        <v>44412.229194178202</v>
      </c>
    </row>
    <row r="6" spans="1:35">
      <c r="A6" s="1" t="s">
        <v>328</v>
      </c>
      <c r="B6" s="285" t="s">
        <v>487</v>
      </c>
      <c r="C6" s="1" t="s">
        <v>820</v>
      </c>
      <c r="D6" s="1" t="s">
        <v>840</v>
      </c>
      <c r="E6" s="1" t="s">
        <v>800</v>
      </c>
      <c r="F6" s="1" t="s">
        <v>841</v>
      </c>
      <c r="G6" s="1" t="s">
        <v>842</v>
      </c>
      <c r="H6" s="1" t="s">
        <v>815</v>
      </c>
      <c r="I6" s="1" t="s">
        <v>808</v>
      </c>
      <c r="J6" s="1" t="s">
        <v>807</v>
      </c>
      <c r="K6" s="1" t="s">
        <v>843</v>
      </c>
      <c r="L6" s="1" t="s">
        <v>800</v>
      </c>
      <c r="M6" s="1" t="s">
        <v>844</v>
      </c>
      <c r="N6" s="1" t="s">
        <v>815</v>
      </c>
      <c r="O6" s="1" t="s">
        <v>844</v>
      </c>
      <c r="P6" s="1" t="s">
        <v>842</v>
      </c>
      <c r="Q6" s="1" t="s">
        <v>840</v>
      </c>
      <c r="R6" s="1" t="s">
        <v>841</v>
      </c>
      <c r="S6" s="1" t="s">
        <v>800</v>
      </c>
      <c r="T6" s="1" t="s">
        <v>841</v>
      </c>
      <c r="U6" s="1" t="s">
        <v>842</v>
      </c>
      <c r="V6" s="1" t="s">
        <v>845</v>
      </c>
      <c r="W6" s="1" t="s">
        <v>845</v>
      </c>
      <c r="X6" s="1" t="s">
        <v>814</v>
      </c>
      <c r="Y6" s="1" t="s">
        <v>810</v>
      </c>
      <c r="Z6" s="1" t="s">
        <v>800</v>
      </c>
      <c r="AA6" s="1" t="s">
        <v>842</v>
      </c>
      <c r="AB6" s="1" t="s">
        <v>820</v>
      </c>
      <c r="AC6" s="1" t="s">
        <v>840</v>
      </c>
      <c r="AD6" s="1" t="s">
        <v>842</v>
      </c>
      <c r="AE6" s="1" t="s">
        <v>810</v>
      </c>
      <c r="AF6" s="1" t="s">
        <v>821</v>
      </c>
      <c r="AG6" s="1" t="s">
        <v>800</v>
      </c>
      <c r="AH6" s="1" t="s">
        <v>841</v>
      </c>
      <c r="AI6" s="502">
        <v>44412.229194178202</v>
      </c>
    </row>
    <row r="7" spans="1:35">
      <c r="A7" s="1" t="s">
        <v>328</v>
      </c>
      <c r="B7" s="285" t="s">
        <v>517</v>
      </c>
      <c r="C7" s="1" t="s">
        <v>800</v>
      </c>
      <c r="D7" s="1" t="s">
        <v>800</v>
      </c>
      <c r="E7" s="1" t="s">
        <v>800</v>
      </c>
      <c r="F7" s="1" t="s">
        <v>800</v>
      </c>
      <c r="G7" s="1" t="s">
        <v>800</v>
      </c>
      <c r="H7" s="1" t="s">
        <v>800</v>
      </c>
      <c r="I7" s="1" t="s">
        <v>800</v>
      </c>
      <c r="J7" s="1" t="s">
        <v>800</v>
      </c>
      <c r="K7" s="1" t="s">
        <v>800</v>
      </c>
      <c r="L7" s="1" t="s">
        <v>800</v>
      </c>
      <c r="M7" s="1" t="s">
        <v>800</v>
      </c>
      <c r="N7" s="1" t="s">
        <v>800</v>
      </c>
      <c r="O7" s="1" t="s">
        <v>800</v>
      </c>
      <c r="P7" s="1" t="s">
        <v>800</v>
      </c>
      <c r="Q7" s="1" t="s">
        <v>800</v>
      </c>
      <c r="R7" s="1" t="s">
        <v>800</v>
      </c>
      <c r="S7" s="1" t="s">
        <v>800</v>
      </c>
      <c r="T7" s="1" t="s">
        <v>800</v>
      </c>
      <c r="U7" s="1" t="s">
        <v>800</v>
      </c>
      <c r="V7" s="1" t="s">
        <v>800</v>
      </c>
      <c r="W7" s="1" t="s">
        <v>800</v>
      </c>
      <c r="X7" s="1" t="s">
        <v>800</v>
      </c>
      <c r="Y7" s="1" t="s">
        <v>800</v>
      </c>
      <c r="Z7" s="1" t="s">
        <v>800</v>
      </c>
      <c r="AA7" s="1" t="s">
        <v>800</v>
      </c>
      <c r="AB7" s="1" t="s">
        <v>800</v>
      </c>
      <c r="AC7" s="1" t="s">
        <v>800</v>
      </c>
      <c r="AD7" s="1" t="s">
        <v>800</v>
      </c>
      <c r="AE7" s="1" t="s">
        <v>800</v>
      </c>
      <c r="AF7" s="1" t="s">
        <v>800</v>
      </c>
      <c r="AG7" s="1" t="s">
        <v>800</v>
      </c>
      <c r="AH7" s="1" t="s">
        <v>800</v>
      </c>
      <c r="AI7" s="502">
        <v>44412.229194178202</v>
      </c>
    </row>
    <row r="8" spans="1:35">
      <c r="A8" s="1" t="s">
        <v>328</v>
      </c>
      <c r="B8" s="285" t="s">
        <v>518</v>
      </c>
      <c r="C8" s="1" t="s">
        <v>814</v>
      </c>
      <c r="D8" s="1" t="s">
        <v>810</v>
      </c>
      <c r="E8" s="1" t="s">
        <v>800</v>
      </c>
      <c r="F8" s="1" t="s">
        <v>842</v>
      </c>
      <c r="G8" s="1" t="s">
        <v>815</v>
      </c>
      <c r="H8" s="1" t="s">
        <v>819</v>
      </c>
      <c r="I8" s="1" t="s">
        <v>842</v>
      </c>
      <c r="J8" s="1" t="s">
        <v>807</v>
      </c>
      <c r="K8" s="1" t="s">
        <v>817</v>
      </c>
      <c r="L8" s="1" t="s">
        <v>800</v>
      </c>
      <c r="M8" s="1" t="s">
        <v>843</v>
      </c>
      <c r="N8" s="1" t="s">
        <v>814</v>
      </c>
      <c r="O8" s="1" t="s">
        <v>846</v>
      </c>
      <c r="P8" s="1" t="s">
        <v>806</v>
      </c>
      <c r="Q8" s="1" t="s">
        <v>842</v>
      </c>
      <c r="R8" s="1" t="s">
        <v>847</v>
      </c>
      <c r="S8" s="1" t="s">
        <v>800</v>
      </c>
      <c r="T8" s="1" t="s">
        <v>835</v>
      </c>
      <c r="U8" s="1" t="s">
        <v>799</v>
      </c>
      <c r="V8" s="1" t="s">
        <v>819</v>
      </c>
      <c r="W8" s="1" t="s">
        <v>819</v>
      </c>
      <c r="X8" s="1" t="s">
        <v>809</v>
      </c>
      <c r="Y8" s="1" t="s">
        <v>810</v>
      </c>
      <c r="Z8" s="1" t="s">
        <v>800</v>
      </c>
      <c r="AA8" s="1" t="s">
        <v>813</v>
      </c>
      <c r="AB8" s="1" t="s">
        <v>808</v>
      </c>
      <c r="AC8" s="1" t="s">
        <v>841</v>
      </c>
      <c r="AD8" s="1" t="s">
        <v>810</v>
      </c>
      <c r="AE8" s="1" t="s">
        <v>820</v>
      </c>
      <c r="AF8" s="1" t="s">
        <v>820</v>
      </c>
      <c r="AG8" s="1" t="s">
        <v>800</v>
      </c>
      <c r="AH8" s="1" t="s">
        <v>817</v>
      </c>
      <c r="AI8" s="502">
        <v>44412.229194178202</v>
      </c>
    </row>
    <row r="9" spans="1:35">
      <c r="A9" s="1" t="s">
        <v>328</v>
      </c>
      <c r="B9" s="285" t="s">
        <v>848</v>
      </c>
      <c r="C9" s="1" t="s">
        <v>810</v>
      </c>
      <c r="D9" s="1" t="s">
        <v>810</v>
      </c>
      <c r="E9" s="1" t="s">
        <v>800</v>
      </c>
      <c r="F9" s="1" t="s">
        <v>810</v>
      </c>
      <c r="G9" s="1" t="s">
        <v>810</v>
      </c>
      <c r="H9" s="1" t="s">
        <v>810</v>
      </c>
      <c r="I9" s="1" t="s">
        <v>849</v>
      </c>
      <c r="J9" s="1" t="s">
        <v>810</v>
      </c>
      <c r="K9" s="1" t="s">
        <v>810</v>
      </c>
      <c r="L9" s="1" t="s">
        <v>800</v>
      </c>
      <c r="M9" s="1" t="s">
        <v>810</v>
      </c>
      <c r="N9" s="1" t="s">
        <v>810</v>
      </c>
      <c r="O9" s="1" t="s">
        <v>810</v>
      </c>
      <c r="P9" s="1" t="s">
        <v>810</v>
      </c>
      <c r="Q9" s="1" t="s">
        <v>810</v>
      </c>
      <c r="R9" s="1" t="s">
        <v>850</v>
      </c>
      <c r="S9" s="1" t="s">
        <v>800</v>
      </c>
      <c r="T9" s="1" t="s">
        <v>851</v>
      </c>
      <c r="U9" s="1" t="s">
        <v>852</v>
      </c>
      <c r="V9" s="1" t="s">
        <v>853</v>
      </c>
      <c r="W9" s="1" t="s">
        <v>851</v>
      </c>
      <c r="X9" s="1" t="s">
        <v>810</v>
      </c>
      <c r="Y9" s="1" t="s">
        <v>800</v>
      </c>
      <c r="Z9" s="1" t="s">
        <v>800</v>
      </c>
      <c r="AA9" s="1" t="s">
        <v>810</v>
      </c>
      <c r="AB9" s="1" t="s">
        <v>810</v>
      </c>
      <c r="AC9" s="1" t="s">
        <v>810</v>
      </c>
      <c r="AD9" s="1" t="s">
        <v>810</v>
      </c>
      <c r="AE9" s="1" t="s">
        <v>810</v>
      </c>
      <c r="AF9" s="1" t="s">
        <v>810</v>
      </c>
      <c r="AG9" s="1" t="s">
        <v>800</v>
      </c>
      <c r="AH9" s="1" t="s">
        <v>811</v>
      </c>
      <c r="AI9" s="502">
        <v>44412.229194178202</v>
      </c>
    </row>
    <row r="10" spans="1:35">
      <c r="A10" s="1" t="s">
        <v>328</v>
      </c>
      <c r="B10" s="285" t="s">
        <v>854</v>
      </c>
      <c r="C10" s="1" t="s">
        <v>805</v>
      </c>
      <c r="D10" s="1" t="s">
        <v>816</v>
      </c>
      <c r="E10" s="1" t="s">
        <v>800</v>
      </c>
      <c r="F10" s="1" t="s">
        <v>798</v>
      </c>
      <c r="G10" s="1" t="s">
        <v>855</v>
      </c>
      <c r="H10" s="1" t="s">
        <v>798</v>
      </c>
      <c r="I10" s="1" t="s">
        <v>855</v>
      </c>
      <c r="J10" s="1" t="s">
        <v>801</v>
      </c>
      <c r="K10" s="1" t="s">
        <v>813</v>
      </c>
      <c r="L10" s="1" t="s">
        <v>800</v>
      </c>
      <c r="M10" s="1" t="s">
        <v>798</v>
      </c>
      <c r="N10" s="1" t="s">
        <v>804</v>
      </c>
      <c r="O10" s="1" t="s">
        <v>798</v>
      </c>
      <c r="P10" s="1" t="s">
        <v>804</v>
      </c>
      <c r="Q10" s="1" t="s">
        <v>817</v>
      </c>
      <c r="R10" s="1" t="s">
        <v>808</v>
      </c>
      <c r="S10" s="1" t="s">
        <v>800</v>
      </c>
      <c r="T10" s="1" t="s">
        <v>811</v>
      </c>
      <c r="U10" s="1" t="s">
        <v>804</v>
      </c>
      <c r="V10" s="1" t="s">
        <v>811</v>
      </c>
      <c r="W10" s="1" t="s">
        <v>812</v>
      </c>
      <c r="X10" s="1" t="s">
        <v>812</v>
      </c>
      <c r="Y10" s="1" t="s">
        <v>810</v>
      </c>
      <c r="Z10" s="1" t="s">
        <v>800</v>
      </c>
      <c r="AA10" s="1" t="s">
        <v>808</v>
      </c>
      <c r="AB10" s="1" t="s">
        <v>813</v>
      </c>
      <c r="AC10" s="1" t="s">
        <v>809</v>
      </c>
      <c r="AD10" s="1" t="s">
        <v>813</v>
      </c>
      <c r="AE10" s="1" t="s">
        <v>806</v>
      </c>
      <c r="AF10" s="1" t="s">
        <v>819</v>
      </c>
      <c r="AG10" s="1" t="s">
        <v>800</v>
      </c>
      <c r="AH10" s="1" t="s">
        <v>812</v>
      </c>
      <c r="AI10" s="502">
        <v>44412.229194178202</v>
      </c>
    </row>
    <row r="11" spans="1:35">
      <c r="A11" s="1" t="s">
        <v>328</v>
      </c>
      <c r="B11" s="285" t="s">
        <v>856</v>
      </c>
      <c r="C11" s="1" t="s">
        <v>810</v>
      </c>
      <c r="D11" s="1" t="s">
        <v>810</v>
      </c>
      <c r="E11" s="1" t="s">
        <v>800</v>
      </c>
      <c r="F11" s="1" t="s">
        <v>810</v>
      </c>
      <c r="G11" s="1" t="s">
        <v>810</v>
      </c>
      <c r="H11" s="1" t="s">
        <v>810</v>
      </c>
      <c r="I11" s="1" t="s">
        <v>810</v>
      </c>
      <c r="J11" s="1" t="s">
        <v>810</v>
      </c>
      <c r="K11" s="1" t="s">
        <v>810</v>
      </c>
      <c r="L11" s="1" t="s">
        <v>800</v>
      </c>
      <c r="M11" s="1" t="s">
        <v>810</v>
      </c>
      <c r="N11" s="1" t="s">
        <v>810</v>
      </c>
      <c r="O11" s="1" t="s">
        <v>810</v>
      </c>
      <c r="P11" s="1" t="s">
        <v>810</v>
      </c>
      <c r="Q11" s="1" t="s">
        <v>810</v>
      </c>
      <c r="R11" s="1" t="s">
        <v>810</v>
      </c>
      <c r="S11" s="1" t="s">
        <v>800</v>
      </c>
      <c r="T11" s="1" t="s">
        <v>810</v>
      </c>
      <c r="U11" s="1" t="s">
        <v>810</v>
      </c>
      <c r="V11" s="1" t="s">
        <v>810</v>
      </c>
      <c r="W11" s="1" t="s">
        <v>810</v>
      </c>
      <c r="X11" s="1" t="s">
        <v>810</v>
      </c>
      <c r="Y11" s="1" t="s">
        <v>800</v>
      </c>
      <c r="Z11" s="1" t="s">
        <v>800</v>
      </c>
      <c r="AA11" s="1" t="s">
        <v>810</v>
      </c>
      <c r="AB11" s="1" t="s">
        <v>810</v>
      </c>
      <c r="AC11" s="1" t="s">
        <v>810</v>
      </c>
      <c r="AD11" s="1" t="s">
        <v>810</v>
      </c>
      <c r="AE11" s="1" t="s">
        <v>810</v>
      </c>
      <c r="AF11" s="1" t="s">
        <v>810</v>
      </c>
      <c r="AG11" s="1" t="s">
        <v>800</v>
      </c>
      <c r="AH11" s="1" t="s">
        <v>810</v>
      </c>
      <c r="AI11" s="502">
        <v>44412.229194178202</v>
      </c>
    </row>
    <row r="12" spans="1:35">
      <c r="A12" s="1" t="s">
        <v>328</v>
      </c>
      <c r="B12" s="285" t="s">
        <v>857</v>
      </c>
      <c r="C12" s="1" t="s">
        <v>810</v>
      </c>
      <c r="D12" s="1" t="s">
        <v>818</v>
      </c>
      <c r="E12" s="1" t="s">
        <v>800</v>
      </c>
      <c r="F12" s="1" t="s">
        <v>810</v>
      </c>
      <c r="G12" s="1" t="s">
        <v>810</v>
      </c>
      <c r="H12" s="1" t="s">
        <v>858</v>
      </c>
      <c r="I12" s="1" t="s">
        <v>810</v>
      </c>
      <c r="J12" s="1" t="s">
        <v>810</v>
      </c>
      <c r="K12" s="1" t="s">
        <v>859</v>
      </c>
      <c r="L12" s="1" t="s">
        <v>800</v>
      </c>
      <c r="M12" s="1" t="s">
        <v>810</v>
      </c>
      <c r="N12" s="1" t="s">
        <v>810</v>
      </c>
      <c r="O12" s="1" t="s">
        <v>812</v>
      </c>
      <c r="P12" s="1" t="s">
        <v>810</v>
      </c>
      <c r="Q12" s="1" t="s">
        <v>810</v>
      </c>
      <c r="R12" s="1" t="s">
        <v>810</v>
      </c>
      <c r="S12" s="1" t="s">
        <v>800</v>
      </c>
      <c r="T12" s="1" t="s">
        <v>812</v>
      </c>
      <c r="U12" s="1" t="s">
        <v>810</v>
      </c>
      <c r="V12" s="1" t="s">
        <v>811</v>
      </c>
      <c r="W12" s="1" t="s">
        <v>810</v>
      </c>
      <c r="X12" s="1" t="s">
        <v>812</v>
      </c>
      <c r="Y12" s="1" t="s">
        <v>800</v>
      </c>
      <c r="Z12" s="1" t="s">
        <v>800</v>
      </c>
      <c r="AA12" s="1" t="s">
        <v>810</v>
      </c>
      <c r="AB12" s="1" t="s">
        <v>813</v>
      </c>
      <c r="AC12" s="1" t="s">
        <v>810</v>
      </c>
      <c r="AD12" s="1" t="s">
        <v>810</v>
      </c>
      <c r="AE12" s="1" t="s">
        <v>810</v>
      </c>
      <c r="AF12" s="1" t="s">
        <v>810</v>
      </c>
      <c r="AG12" s="1" t="s">
        <v>800</v>
      </c>
      <c r="AH12" s="1" t="s">
        <v>807</v>
      </c>
      <c r="AI12" s="502">
        <v>44412.229194178202</v>
      </c>
    </row>
    <row r="13" spans="1:35">
      <c r="A13" s="1" t="s">
        <v>328</v>
      </c>
      <c r="B13" s="285" t="s">
        <v>860</v>
      </c>
      <c r="C13" s="1" t="s">
        <v>805</v>
      </c>
      <c r="D13" s="1" t="s">
        <v>813</v>
      </c>
      <c r="E13" s="1" t="s">
        <v>800</v>
      </c>
      <c r="F13" s="1" t="s">
        <v>855</v>
      </c>
      <c r="G13" s="1" t="s">
        <v>861</v>
      </c>
      <c r="H13" s="1" t="s">
        <v>847</v>
      </c>
      <c r="I13" s="1" t="s">
        <v>862</v>
      </c>
      <c r="J13" s="1" t="s">
        <v>799</v>
      </c>
      <c r="K13" s="1" t="s">
        <v>803</v>
      </c>
      <c r="L13" s="1" t="s">
        <v>800</v>
      </c>
      <c r="M13" s="1" t="s">
        <v>863</v>
      </c>
      <c r="N13" s="1" t="s">
        <v>804</v>
      </c>
      <c r="O13" s="1" t="s">
        <v>853</v>
      </c>
      <c r="P13" s="1" t="s">
        <v>864</v>
      </c>
      <c r="Q13" s="1" t="s">
        <v>834</v>
      </c>
      <c r="R13" s="1" t="s">
        <v>865</v>
      </c>
      <c r="S13" s="1" t="s">
        <v>800</v>
      </c>
      <c r="T13" s="1" t="s">
        <v>866</v>
      </c>
      <c r="U13" s="1" t="s">
        <v>867</v>
      </c>
      <c r="V13" s="1" t="s">
        <v>834</v>
      </c>
      <c r="W13" s="1" t="s">
        <v>818</v>
      </c>
      <c r="X13" s="1" t="s">
        <v>868</v>
      </c>
      <c r="Y13" s="1" t="s">
        <v>800</v>
      </c>
      <c r="Z13" s="1" t="s">
        <v>800</v>
      </c>
      <c r="AA13" s="1" t="s">
        <v>869</v>
      </c>
      <c r="AB13" s="1" t="s">
        <v>870</v>
      </c>
      <c r="AC13" s="1" t="s">
        <v>868</v>
      </c>
      <c r="AD13" s="1" t="s">
        <v>871</v>
      </c>
      <c r="AE13" s="1" t="s">
        <v>872</v>
      </c>
      <c r="AF13" s="1" t="s">
        <v>847</v>
      </c>
      <c r="AG13" s="1" t="s">
        <v>800</v>
      </c>
      <c r="AH13" s="1" t="s">
        <v>873</v>
      </c>
      <c r="AI13" s="502">
        <v>44412.229194178202</v>
      </c>
    </row>
    <row r="14" spans="1:35">
      <c r="A14" s="1" t="s">
        <v>328</v>
      </c>
      <c r="B14" s="285" t="s">
        <v>874</v>
      </c>
      <c r="C14" s="1" t="s">
        <v>861</v>
      </c>
      <c r="D14" s="1" t="s">
        <v>875</v>
      </c>
      <c r="E14" s="1" t="s">
        <v>800</v>
      </c>
      <c r="F14" s="1" t="s">
        <v>876</v>
      </c>
      <c r="G14" s="1" t="s">
        <v>877</v>
      </c>
      <c r="H14" s="1" t="s">
        <v>878</v>
      </c>
      <c r="I14" s="1" t="s">
        <v>879</v>
      </c>
      <c r="J14" s="1" t="s">
        <v>810</v>
      </c>
      <c r="K14" s="1" t="s">
        <v>810</v>
      </c>
      <c r="L14" s="1" t="s">
        <v>800</v>
      </c>
      <c r="M14" s="1" t="s">
        <v>810</v>
      </c>
      <c r="N14" s="1" t="s">
        <v>880</v>
      </c>
      <c r="O14" s="1" t="s">
        <v>881</v>
      </c>
      <c r="P14" s="1" t="s">
        <v>882</v>
      </c>
      <c r="Q14" s="1" t="s">
        <v>883</v>
      </c>
      <c r="R14" s="1" t="s">
        <v>884</v>
      </c>
      <c r="S14" s="1" t="s">
        <v>800</v>
      </c>
      <c r="T14" s="1" t="s">
        <v>809</v>
      </c>
      <c r="U14" s="1" t="s">
        <v>885</v>
      </c>
      <c r="V14" s="1" t="s">
        <v>817</v>
      </c>
      <c r="W14" s="1" t="s">
        <v>886</v>
      </c>
      <c r="X14" s="1" t="s">
        <v>887</v>
      </c>
      <c r="Y14" s="1" t="s">
        <v>800</v>
      </c>
      <c r="Z14" s="1" t="s">
        <v>800</v>
      </c>
      <c r="AA14" s="1" t="s">
        <v>836</v>
      </c>
      <c r="AB14" s="1" t="s">
        <v>849</v>
      </c>
      <c r="AC14" s="1" t="s">
        <v>811</v>
      </c>
      <c r="AD14" s="1" t="s">
        <v>888</v>
      </c>
      <c r="AE14" s="1" t="s">
        <v>889</v>
      </c>
      <c r="AF14" s="1" t="s">
        <v>890</v>
      </c>
      <c r="AG14" s="1" t="s">
        <v>800</v>
      </c>
      <c r="AH14" s="1" t="s">
        <v>891</v>
      </c>
      <c r="AI14" s="502">
        <v>44412.229194178202</v>
      </c>
    </row>
    <row r="15" spans="1:35">
      <c r="A15" s="1" t="s">
        <v>328</v>
      </c>
      <c r="B15" s="285" t="s">
        <v>892</v>
      </c>
      <c r="C15" s="1" t="s">
        <v>800</v>
      </c>
      <c r="D15" s="1" t="s">
        <v>800</v>
      </c>
      <c r="E15" s="1" t="s">
        <v>800</v>
      </c>
      <c r="F15" s="1" t="s">
        <v>800</v>
      </c>
      <c r="G15" s="1" t="s">
        <v>800</v>
      </c>
      <c r="H15" s="1" t="s">
        <v>810</v>
      </c>
      <c r="I15" s="1" t="s">
        <v>800</v>
      </c>
      <c r="J15" s="1" t="s">
        <v>800</v>
      </c>
      <c r="K15" s="1" t="s">
        <v>800</v>
      </c>
      <c r="L15" s="1" t="s">
        <v>800</v>
      </c>
      <c r="M15" s="1" t="s">
        <v>800</v>
      </c>
      <c r="N15" s="1" t="s">
        <v>800</v>
      </c>
      <c r="O15" s="1" t="s">
        <v>800</v>
      </c>
      <c r="P15" s="1" t="s">
        <v>800</v>
      </c>
      <c r="Q15" s="1" t="s">
        <v>800</v>
      </c>
      <c r="R15" s="1" t="s">
        <v>800</v>
      </c>
      <c r="S15" s="1" t="s">
        <v>800</v>
      </c>
      <c r="T15" s="1" t="s">
        <v>800</v>
      </c>
      <c r="U15" s="1" t="s">
        <v>800</v>
      </c>
      <c r="V15" s="1" t="s">
        <v>800</v>
      </c>
      <c r="W15" s="1" t="s">
        <v>800</v>
      </c>
      <c r="X15" s="1" t="s">
        <v>800</v>
      </c>
      <c r="Y15" s="1" t="s">
        <v>800</v>
      </c>
      <c r="Z15" s="1" t="s">
        <v>800</v>
      </c>
      <c r="AA15" s="1" t="s">
        <v>800</v>
      </c>
      <c r="AB15" s="1" t="s">
        <v>800</v>
      </c>
      <c r="AC15" s="1" t="s">
        <v>800</v>
      </c>
      <c r="AD15" s="1" t="s">
        <v>800</v>
      </c>
      <c r="AE15" s="1" t="s">
        <v>800</v>
      </c>
      <c r="AF15" s="1" t="s">
        <v>800</v>
      </c>
      <c r="AG15" s="1" t="s">
        <v>800</v>
      </c>
      <c r="AH15" s="1" t="s">
        <v>810</v>
      </c>
      <c r="AI15" s="502">
        <v>44412.229194178202</v>
      </c>
    </row>
    <row r="16" spans="1:35">
      <c r="A16" s="1" t="s">
        <v>328</v>
      </c>
      <c r="B16" s="285" t="s">
        <v>893</v>
      </c>
      <c r="C16" s="1" t="s">
        <v>808</v>
      </c>
      <c r="D16" s="1" t="s">
        <v>813</v>
      </c>
      <c r="E16" s="1" t="s">
        <v>800</v>
      </c>
      <c r="F16" s="1" t="s">
        <v>816</v>
      </c>
      <c r="G16" s="1" t="s">
        <v>801</v>
      </c>
      <c r="H16" s="1" t="s">
        <v>859</v>
      </c>
      <c r="I16" s="1" t="s">
        <v>816</v>
      </c>
      <c r="J16" s="1" t="s">
        <v>813</v>
      </c>
      <c r="K16" s="1" t="s">
        <v>806</v>
      </c>
      <c r="L16" s="1" t="s">
        <v>800</v>
      </c>
      <c r="M16" s="1" t="s">
        <v>804</v>
      </c>
      <c r="N16" s="1" t="s">
        <v>817</v>
      </c>
      <c r="O16" s="1" t="s">
        <v>812</v>
      </c>
      <c r="P16" s="1" t="s">
        <v>801</v>
      </c>
      <c r="Q16" s="1" t="s">
        <v>798</v>
      </c>
      <c r="R16" s="1" t="s">
        <v>816</v>
      </c>
      <c r="S16" s="1" t="s">
        <v>800</v>
      </c>
      <c r="T16" s="1" t="s">
        <v>812</v>
      </c>
      <c r="U16" s="1" t="s">
        <v>799</v>
      </c>
      <c r="V16" s="1" t="s">
        <v>805</v>
      </c>
      <c r="W16" s="1" t="s">
        <v>802</v>
      </c>
      <c r="X16" s="1" t="s">
        <v>816</v>
      </c>
      <c r="Y16" s="1" t="s">
        <v>800</v>
      </c>
      <c r="Z16" s="1" t="s">
        <v>800</v>
      </c>
      <c r="AA16" s="1" t="s">
        <v>846</v>
      </c>
      <c r="AB16" s="1" t="s">
        <v>803</v>
      </c>
      <c r="AC16" s="1" t="s">
        <v>875</v>
      </c>
      <c r="AD16" s="1" t="s">
        <v>804</v>
      </c>
      <c r="AE16" s="1" t="s">
        <v>862</v>
      </c>
      <c r="AF16" s="1" t="s">
        <v>875</v>
      </c>
      <c r="AG16" s="1" t="s">
        <v>800</v>
      </c>
      <c r="AH16" s="1" t="s">
        <v>798</v>
      </c>
      <c r="AI16" s="502">
        <v>44412.229194178202</v>
      </c>
    </row>
    <row r="17" spans="1:35">
      <c r="A17" s="1" t="s">
        <v>328</v>
      </c>
      <c r="B17" s="275" t="s">
        <v>894</v>
      </c>
      <c r="C17" s="1" t="s">
        <v>800</v>
      </c>
      <c r="D17" s="1" t="s">
        <v>800</v>
      </c>
      <c r="E17" s="1" t="s">
        <v>800</v>
      </c>
      <c r="F17" s="1" t="s">
        <v>800</v>
      </c>
      <c r="G17" s="1" t="s">
        <v>800</v>
      </c>
      <c r="H17" s="1" t="s">
        <v>800</v>
      </c>
      <c r="I17" s="1" t="s">
        <v>800</v>
      </c>
      <c r="J17" s="1" t="s">
        <v>800</v>
      </c>
      <c r="K17" s="1" t="s">
        <v>800</v>
      </c>
      <c r="L17" s="1" t="s">
        <v>800</v>
      </c>
      <c r="M17" s="1" t="s">
        <v>800</v>
      </c>
      <c r="N17" s="1" t="s">
        <v>800</v>
      </c>
      <c r="O17" s="1" t="s">
        <v>800</v>
      </c>
      <c r="P17" s="1" t="s">
        <v>800</v>
      </c>
      <c r="Q17" s="1" t="s">
        <v>800</v>
      </c>
      <c r="R17" s="1" t="s">
        <v>800</v>
      </c>
      <c r="S17" s="1" t="s">
        <v>800</v>
      </c>
      <c r="T17" s="1" t="s">
        <v>800</v>
      </c>
      <c r="U17" s="1" t="s">
        <v>800</v>
      </c>
      <c r="V17" s="1" t="s">
        <v>800</v>
      </c>
      <c r="W17" s="1" t="s">
        <v>800</v>
      </c>
      <c r="X17" s="1" t="s">
        <v>800</v>
      </c>
      <c r="Y17" s="1" t="s">
        <v>800</v>
      </c>
      <c r="Z17" s="1" t="s">
        <v>800</v>
      </c>
      <c r="AA17" s="1" t="s">
        <v>800</v>
      </c>
      <c r="AB17" s="1" t="s">
        <v>800</v>
      </c>
      <c r="AC17" s="1" t="s">
        <v>800</v>
      </c>
      <c r="AD17" s="1" t="s">
        <v>800</v>
      </c>
      <c r="AE17" s="1" t="s">
        <v>800</v>
      </c>
      <c r="AF17" s="1" t="s">
        <v>800</v>
      </c>
      <c r="AG17" s="1" t="s">
        <v>800</v>
      </c>
      <c r="AH17" s="1" t="s">
        <v>800</v>
      </c>
      <c r="AI17" s="502">
        <v>44412.229194178202</v>
      </c>
    </row>
    <row r="18" spans="1:35">
      <c r="A18" s="1" t="s">
        <v>328</v>
      </c>
      <c r="B18" s="275" t="s">
        <v>895</v>
      </c>
      <c r="C18" s="1" t="s">
        <v>800</v>
      </c>
      <c r="D18" s="1" t="s">
        <v>800</v>
      </c>
      <c r="E18" s="1" t="s">
        <v>800</v>
      </c>
      <c r="F18" s="1" t="s">
        <v>800</v>
      </c>
      <c r="G18" s="1" t="s">
        <v>800</v>
      </c>
      <c r="H18" s="1" t="s">
        <v>800</v>
      </c>
      <c r="I18" s="1" t="s">
        <v>800</v>
      </c>
      <c r="J18" s="1" t="s">
        <v>800</v>
      </c>
      <c r="K18" s="1" t="s">
        <v>800</v>
      </c>
      <c r="L18" s="1" t="s">
        <v>800</v>
      </c>
      <c r="M18" s="1" t="s">
        <v>800</v>
      </c>
      <c r="N18" s="1" t="s">
        <v>800</v>
      </c>
      <c r="O18" s="1" t="s">
        <v>800</v>
      </c>
      <c r="P18" s="1" t="s">
        <v>800</v>
      </c>
      <c r="Q18" s="1" t="s">
        <v>800</v>
      </c>
      <c r="R18" s="1" t="s">
        <v>800</v>
      </c>
      <c r="S18" s="1" t="s">
        <v>800</v>
      </c>
      <c r="T18" s="1" t="s">
        <v>800</v>
      </c>
      <c r="U18" s="1" t="s">
        <v>800</v>
      </c>
      <c r="V18" s="1" t="s">
        <v>800</v>
      </c>
      <c r="W18" s="1" t="s">
        <v>800</v>
      </c>
      <c r="X18" s="1" t="s">
        <v>800</v>
      </c>
      <c r="Y18" s="1" t="s">
        <v>800</v>
      </c>
      <c r="Z18" s="1" t="s">
        <v>800</v>
      </c>
      <c r="AA18" s="1" t="s">
        <v>800</v>
      </c>
      <c r="AB18" s="1" t="s">
        <v>800</v>
      </c>
      <c r="AC18" s="1" t="s">
        <v>800</v>
      </c>
      <c r="AD18" s="1" t="s">
        <v>800</v>
      </c>
      <c r="AE18" s="1" t="s">
        <v>800</v>
      </c>
      <c r="AF18" s="1" t="s">
        <v>800</v>
      </c>
      <c r="AG18" s="1" t="s">
        <v>800</v>
      </c>
      <c r="AH18" s="1" t="s">
        <v>800</v>
      </c>
      <c r="AI18" s="502">
        <v>44412.229194178202</v>
      </c>
    </row>
    <row r="19" spans="1:35">
      <c r="A19" s="1" t="s">
        <v>328</v>
      </c>
      <c r="B19" s="275" t="s">
        <v>896</v>
      </c>
      <c r="C19" s="1" t="s">
        <v>800</v>
      </c>
      <c r="D19" s="1" t="s">
        <v>800</v>
      </c>
      <c r="E19" s="1" t="s">
        <v>800</v>
      </c>
      <c r="F19" s="1" t="s">
        <v>800</v>
      </c>
      <c r="G19" s="1" t="s">
        <v>800</v>
      </c>
      <c r="H19" s="1" t="s">
        <v>800</v>
      </c>
      <c r="I19" s="1" t="s">
        <v>800</v>
      </c>
      <c r="J19" s="1" t="s">
        <v>800</v>
      </c>
      <c r="K19" s="1" t="s">
        <v>800</v>
      </c>
      <c r="L19" s="1" t="s">
        <v>800</v>
      </c>
      <c r="M19" s="1" t="s">
        <v>800</v>
      </c>
      <c r="N19" s="1" t="s">
        <v>800</v>
      </c>
      <c r="O19" s="1" t="s">
        <v>800</v>
      </c>
      <c r="P19" s="1" t="s">
        <v>800</v>
      </c>
      <c r="Q19" s="1" t="s">
        <v>800</v>
      </c>
      <c r="R19" s="1" t="s">
        <v>800</v>
      </c>
      <c r="S19" s="1" t="s">
        <v>800</v>
      </c>
      <c r="T19" s="1" t="s">
        <v>800</v>
      </c>
      <c r="U19" s="1" t="s">
        <v>800</v>
      </c>
      <c r="V19" s="1" t="s">
        <v>800</v>
      </c>
      <c r="W19" s="1" t="s">
        <v>800</v>
      </c>
      <c r="X19" s="1" t="s">
        <v>800</v>
      </c>
      <c r="Y19" s="1" t="s">
        <v>800</v>
      </c>
      <c r="Z19" s="1" t="s">
        <v>800</v>
      </c>
      <c r="AA19" s="1" t="s">
        <v>800</v>
      </c>
      <c r="AB19" s="1" t="s">
        <v>800</v>
      </c>
      <c r="AC19" s="1" t="s">
        <v>800</v>
      </c>
      <c r="AD19" s="1" t="s">
        <v>800</v>
      </c>
      <c r="AE19" s="1" t="s">
        <v>800</v>
      </c>
      <c r="AF19" s="1" t="s">
        <v>800</v>
      </c>
      <c r="AG19" s="1" t="s">
        <v>800</v>
      </c>
      <c r="AH19" s="1" t="s">
        <v>800</v>
      </c>
      <c r="AI19" s="502">
        <v>44412.229194178202</v>
      </c>
    </row>
    <row r="20" spans="1:35">
      <c r="A20" s="1" t="s">
        <v>328</v>
      </c>
      <c r="B20" s="275" t="s">
        <v>897</v>
      </c>
      <c r="C20" s="1" t="s">
        <v>800</v>
      </c>
      <c r="D20" s="1" t="s">
        <v>800</v>
      </c>
      <c r="E20" s="1" t="s">
        <v>800</v>
      </c>
      <c r="F20" s="1" t="s">
        <v>800</v>
      </c>
      <c r="G20" s="1" t="s">
        <v>800</v>
      </c>
      <c r="H20" s="1" t="s">
        <v>800</v>
      </c>
      <c r="I20" s="1" t="s">
        <v>800</v>
      </c>
      <c r="J20" s="1" t="s">
        <v>800</v>
      </c>
      <c r="K20" s="1" t="s">
        <v>800</v>
      </c>
      <c r="L20" s="1" t="s">
        <v>800</v>
      </c>
      <c r="M20" s="1" t="s">
        <v>800</v>
      </c>
      <c r="N20" s="1" t="s">
        <v>800</v>
      </c>
      <c r="O20" s="1" t="s">
        <v>800</v>
      </c>
      <c r="P20" s="1" t="s">
        <v>800</v>
      </c>
      <c r="Q20" s="1" t="s">
        <v>800</v>
      </c>
      <c r="R20" s="1" t="s">
        <v>800</v>
      </c>
      <c r="S20" s="1" t="s">
        <v>800</v>
      </c>
      <c r="T20" s="1" t="s">
        <v>800</v>
      </c>
      <c r="U20" s="1" t="s">
        <v>800</v>
      </c>
      <c r="V20" s="1" t="s">
        <v>800</v>
      </c>
      <c r="W20" s="1" t="s">
        <v>800</v>
      </c>
      <c r="X20" s="1" t="s">
        <v>800</v>
      </c>
      <c r="Y20" s="1" t="s">
        <v>800</v>
      </c>
      <c r="Z20" s="1" t="s">
        <v>800</v>
      </c>
      <c r="AA20" s="1" t="s">
        <v>800</v>
      </c>
      <c r="AB20" s="1" t="s">
        <v>800</v>
      </c>
      <c r="AC20" s="1" t="s">
        <v>800</v>
      </c>
      <c r="AD20" s="1" t="s">
        <v>800</v>
      </c>
      <c r="AE20" s="1" t="s">
        <v>800</v>
      </c>
      <c r="AF20" s="1" t="s">
        <v>800</v>
      </c>
      <c r="AG20" s="1" t="s">
        <v>800</v>
      </c>
      <c r="AH20" s="1" t="s">
        <v>800</v>
      </c>
      <c r="AI20" s="502">
        <v>44412.229194178202</v>
      </c>
    </row>
    <row r="21" spans="1:35">
      <c r="A21" s="1" t="s">
        <v>328</v>
      </c>
      <c r="B21" s="275" t="s">
        <v>898</v>
      </c>
      <c r="C21" s="1" t="s">
        <v>810</v>
      </c>
      <c r="D21" s="1" t="s">
        <v>810</v>
      </c>
      <c r="E21" s="1" t="s">
        <v>800</v>
      </c>
      <c r="F21" s="1" t="s">
        <v>810</v>
      </c>
      <c r="G21" s="1" t="s">
        <v>810</v>
      </c>
      <c r="H21" s="1" t="s">
        <v>810</v>
      </c>
      <c r="I21" s="1" t="s">
        <v>810</v>
      </c>
      <c r="J21" s="1" t="s">
        <v>810</v>
      </c>
      <c r="K21" s="1" t="s">
        <v>810</v>
      </c>
      <c r="L21" s="1" t="s">
        <v>800</v>
      </c>
      <c r="M21" s="1" t="s">
        <v>810</v>
      </c>
      <c r="N21" s="1" t="s">
        <v>810</v>
      </c>
      <c r="O21" s="1" t="s">
        <v>810</v>
      </c>
      <c r="P21" s="1" t="s">
        <v>810</v>
      </c>
      <c r="Q21" s="1" t="s">
        <v>810</v>
      </c>
      <c r="R21" s="1" t="s">
        <v>810</v>
      </c>
      <c r="S21" s="1" t="s">
        <v>800</v>
      </c>
      <c r="T21" s="1" t="s">
        <v>810</v>
      </c>
      <c r="U21" s="1" t="s">
        <v>810</v>
      </c>
      <c r="V21" s="1" t="s">
        <v>810</v>
      </c>
      <c r="W21" s="1" t="s">
        <v>810</v>
      </c>
      <c r="X21" s="1" t="s">
        <v>810</v>
      </c>
      <c r="Y21" s="1" t="s">
        <v>800</v>
      </c>
      <c r="Z21" s="1" t="s">
        <v>800</v>
      </c>
      <c r="AA21" s="1" t="s">
        <v>810</v>
      </c>
      <c r="AB21" s="1" t="s">
        <v>810</v>
      </c>
      <c r="AC21" s="1" t="s">
        <v>810</v>
      </c>
      <c r="AD21" s="1" t="s">
        <v>810</v>
      </c>
      <c r="AE21" s="1" t="s">
        <v>810</v>
      </c>
      <c r="AF21" s="1" t="s">
        <v>810</v>
      </c>
      <c r="AG21" s="1" t="s">
        <v>800</v>
      </c>
      <c r="AH21" s="1" t="s">
        <v>810</v>
      </c>
      <c r="AI21" s="502">
        <v>44412.229194178202</v>
      </c>
    </row>
    <row r="22" spans="1:35">
      <c r="A22" s="1" t="s">
        <v>328</v>
      </c>
      <c r="B22" s="275" t="s">
        <v>899</v>
      </c>
      <c r="C22" s="1" t="s">
        <v>800</v>
      </c>
      <c r="D22" s="1" t="s">
        <v>800</v>
      </c>
      <c r="E22" s="1" t="s">
        <v>800</v>
      </c>
      <c r="F22" s="1" t="s">
        <v>800</v>
      </c>
      <c r="G22" s="1" t="s">
        <v>800</v>
      </c>
      <c r="H22" s="1" t="s">
        <v>800</v>
      </c>
      <c r="I22" s="1" t="s">
        <v>800</v>
      </c>
      <c r="J22" s="1" t="s">
        <v>800</v>
      </c>
      <c r="K22" s="1" t="s">
        <v>800</v>
      </c>
      <c r="L22" s="1" t="s">
        <v>800</v>
      </c>
      <c r="M22" s="1" t="s">
        <v>800</v>
      </c>
      <c r="N22" s="1" t="s">
        <v>800</v>
      </c>
      <c r="O22" s="1" t="s">
        <v>800</v>
      </c>
      <c r="P22" s="1" t="s">
        <v>800</v>
      </c>
      <c r="Q22" s="1" t="s">
        <v>800</v>
      </c>
      <c r="R22" s="1" t="s">
        <v>800</v>
      </c>
      <c r="S22" s="1" t="s">
        <v>800</v>
      </c>
      <c r="T22" s="1" t="s">
        <v>800</v>
      </c>
      <c r="U22" s="1" t="s">
        <v>800</v>
      </c>
      <c r="V22" s="1" t="s">
        <v>800</v>
      </c>
      <c r="W22" s="1" t="s">
        <v>800</v>
      </c>
      <c r="X22" s="1" t="s">
        <v>800</v>
      </c>
      <c r="Y22" s="1" t="s">
        <v>800</v>
      </c>
      <c r="Z22" s="1" t="s">
        <v>800</v>
      </c>
      <c r="AA22" s="1" t="s">
        <v>800</v>
      </c>
      <c r="AB22" s="1" t="s">
        <v>800</v>
      </c>
      <c r="AC22" s="1" t="s">
        <v>800</v>
      </c>
      <c r="AD22" s="1" t="s">
        <v>800</v>
      </c>
      <c r="AE22" s="1" t="s">
        <v>800</v>
      </c>
      <c r="AF22" s="1" t="s">
        <v>800</v>
      </c>
      <c r="AG22" s="1" t="s">
        <v>800</v>
      </c>
      <c r="AH22" s="1" t="s">
        <v>800</v>
      </c>
      <c r="AI22" s="502">
        <v>44412.229194178202</v>
      </c>
    </row>
    <row r="23" spans="1:35">
      <c r="A23" s="503" t="s">
        <v>328</v>
      </c>
      <c r="B23" s="275" t="s">
        <v>900</v>
      </c>
      <c r="C23" s="503" t="s">
        <v>901</v>
      </c>
      <c r="D23" s="503" t="s">
        <v>902</v>
      </c>
      <c r="E23" s="503" t="s">
        <v>800</v>
      </c>
      <c r="F23" s="503" t="s">
        <v>903</v>
      </c>
      <c r="G23" s="503" t="s">
        <v>904</v>
      </c>
      <c r="H23" s="503" t="s">
        <v>884</v>
      </c>
      <c r="I23" s="503" t="s">
        <v>905</v>
      </c>
      <c r="J23" s="503" t="s">
        <v>891</v>
      </c>
      <c r="K23" s="503" t="s">
        <v>864</v>
      </c>
      <c r="L23" s="503" t="s">
        <v>800</v>
      </c>
      <c r="M23" s="503" t="s">
        <v>906</v>
      </c>
      <c r="N23" s="503" t="s">
        <v>901</v>
      </c>
      <c r="O23" s="503" t="s">
        <v>907</v>
      </c>
      <c r="P23" s="503" t="s">
        <v>908</v>
      </c>
      <c r="Q23" s="503" t="s">
        <v>853</v>
      </c>
      <c r="R23" s="503" t="s">
        <v>870</v>
      </c>
      <c r="S23" s="503" t="s">
        <v>800</v>
      </c>
      <c r="T23" s="503" t="s">
        <v>906</v>
      </c>
      <c r="U23" s="503" t="s">
        <v>891</v>
      </c>
      <c r="V23" s="503" t="s">
        <v>873</v>
      </c>
      <c r="W23" s="503" t="s">
        <v>909</v>
      </c>
      <c r="X23" s="503" t="s">
        <v>867</v>
      </c>
      <c r="Y23" s="503" t="s">
        <v>810</v>
      </c>
      <c r="Z23" s="503" t="s">
        <v>800</v>
      </c>
      <c r="AA23" s="503" t="s">
        <v>910</v>
      </c>
      <c r="AB23" s="503" t="s">
        <v>911</v>
      </c>
      <c r="AC23" s="503" t="s">
        <v>912</v>
      </c>
      <c r="AD23" s="503" t="s">
        <v>912</v>
      </c>
      <c r="AE23" s="503" t="s">
        <v>835</v>
      </c>
      <c r="AF23" s="503" t="s">
        <v>816</v>
      </c>
      <c r="AG23" s="503" t="s">
        <v>800</v>
      </c>
      <c r="AH23" s="503" t="s">
        <v>877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913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797</v>
      </c>
    </row>
    <row r="2" spans="1:36">
      <c r="A2" s="1" t="s">
        <v>328</v>
      </c>
      <c r="B2" s="275" t="s">
        <v>364</v>
      </c>
      <c r="C2" s="1" t="s">
        <v>236</v>
      </c>
      <c r="D2" s="1" t="s">
        <v>816</v>
      </c>
      <c r="E2" s="1" t="s">
        <v>803</v>
      </c>
      <c r="F2" s="1" t="s">
        <v>800</v>
      </c>
      <c r="G2" s="1" t="s">
        <v>799</v>
      </c>
      <c r="H2" s="1" t="s">
        <v>799</v>
      </c>
      <c r="I2" s="1" t="s">
        <v>818</v>
      </c>
      <c r="J2" s="1" t="s">
        <v>914</v>
      </c>
      <c r="K2" s="1" t="s">
        <v>801</v>
      </c>
      <c r="L2" s="1" t="s">
        <v>804</v>
      </c>
      <c r="M2" s="1" t="s">
        <v>800</v>
      </c>
      <c r="N2" s="1" t="s">
        <v>855</v>
      </c>
      <c r="O2" s="1" t="s">
        <v>804</v>
      </c>
      <c r="P2" s="1" t="s">
        <v>855</v>
      </c>
      <c r="Q2" s="1" t="s">
        <v>801</v>
      </c>
      <c r="R2" s="1" t="s">
        <v>808</v>
      </c>
      <c r="S2" s="1" t="s">
        <v>817</v>
      </c>
      <c r="T2" s="1" t="s">
        <v>800</v>
      </c>
      <c r="U2" s="1" t="s">
        <v>812</v>
      </c>
      <c r="V2" s="1" t="s">
        <v>798</v>
      </c>
      <c r="W2" s="1" t="s">
        <v>804</v>
      </c>
      <c r="X2" s="1" t="s">
        <v>816</v>
      </c>
      <c r="Y2" s="1" t="s">
        <v>812</v>
      </c>
      <c r="Z2" s="1" t="s">
        <v>810</v>
      </c>
      <c r="AA2" s="1" t="s">
        <v>800</v>
      </c>
      <c r="AB2" s="1" t="s">
        <v>812</v>
      </c>
      <c r="AC2" s="1" t="s">
        <v>813</v>
      </c>
      <c r="AD2" s="1" t="s">
        <v>812</v>
      </c>
      <c r="AE2" s="1" t="s">
        <v>805</v>
      </c>
      <c r="AF2" s="1" t="s">
        <v>817</v>
      </c>
      <c r="AG2" s="1" t="s">
        <v>815</v>
      </c>
      <c r="AH2" s="1" t="s">
        <v>800</v>
      </c>
      <c r="AI2" s="1" t="s">
        <v>816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798</v>
      </c>
      <c r="E3" s="1" t="s">
        <v>812</v>
      </c>
      <c r="F3" s="1" t="s">
        <v>800</v>
      </c>
      <c r="G3" s="1" t="s">
        <v>808</v>
      </c>
      <c r="H3" s="1" t="s">
        <v>805</v>
      </c>
      <c r="I3" s="1" t="s">
        <v>804</v>
      </c>
      <c r="J3" s="1" t="s">
        <v>798</v>
      </c>
      <c r="K3" s="1" t="s">
        <v>798</v>
      </c>
      <c r="L3" s="1" t="s">
        <v>809</v>
      </c>
      <c r="M3" s="1" t="s">
        <v>800</v>
      </c>
      <c r="N3" s="1" t="s">
        <v>816</v>
      </c>
      <c r="O3" s="1" t="s">
        <v>812</v>
      </c>
      <c r="P3" s="1" t="s">
        <v>811</v>
      </c>
      <c r="Q3" s="1" t="s">
        <v>806</v>
      </c>
      <c r="R3" s="1" t="s">
        <v>814</v>
      </c>
      <c r="S3" s="1" t="s">
        <v>815</v>
      </c>
      <c r="T3" s="1" t="s">
        <v>800</v>
      </c>
      <c r="U3" s="1" t="s">
        <v>815</v>
      </c>
      <c r="V3" s="1" t="s">
        <v>811</v>
      </c>
      <c r="W3" s="1" t="s">
        <v>814</v>
      </c>
      <c r="X3" s="1" t="s">
        <v>808</v>
      </c>
      <c r="Y3" s="1" t="s">
        <v>808</v>
      </c>
      <c r="Z3" s="1" t="s">
        <v>810</v>
      </c>
      <c r="AA3" s="1" t="s">
        <v>800</v>
      </c>
      <c r="AB3" s="1" t="s">
        <v>817</v>
      </c>
      <c r="AC3" s="1" t="s">
        <v>809</v>
      </c>
      <c r="AD3" s="1" t="s">
        <v>807</v>
      </c>
      <c r="AE3" s="1" t="s">
        <v>817</v>
      </c>
      <c r="AF3" s="1" t="s">
        <v>811</v>
      </c>
      <c r="AG3" s="1" t="s">
        <v>814</v>
      </c>
      <c r="AH3" s="1" t="s">
        <v>800</v>
      </c>
      <c r="AI3" s="1" t="s">
        <v>811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915</v>
      </c>
      <c r="D4" s="1" t="s">
        <v>814</v>
      </c>
      <c r="E4" s="1" t="s">
        <v>845</v>
      </c>
      <c r="F4" s="1" t="s">
        <v>800</v>
      </c>
      <c r="G4" s="1" t="s">
        <v>806</v>
      </c>
      <c r="H4" s="1" t="s">
        <v>807</v>
      </c>
      <c r="I4" s="1" t="s">
        <v>809</v>
      </c>
      <c r="J4" s="1" t="s">
        <v>843</v>
      </c>
      <c r="K4" s="1" t="s">
        <v>842</v>
      </c>
      <c r="L4" s="1" t="s">
        <v>841</v>
      </c>
      <c r="M4" s="1" t="s">
        <v>800</v>
      </c>
      <c r="N4" s="1" t="s">
        <v>845</v>
      </c>
      <c r="O4" s="1" t="s">
        <v>814</v>
      </c>
      <c r="P4" s="1" t="s">
        <v>811</v>
      </c>
      <c r="Q4" s="1" t="s">
        <v>842</v>
      </c>
      <c r="R4" s="1" t="s">
        <v>845</v>
      </c>
      <c r="S4" s="1" t="s">
        <v>842</v>
      </c>
      <c r="T4" s="1" t="s">
        <v>800</v>
      </c>
      <c r="U4" s="1" t="s">
        <v>842</v>
      </c>
      <c r="V4" s="1" t="s">
        <v>820</v>
      </c>
      <c r="W4" s="1" t="s">
        <v>845</v>
      </c>
      <c r="X4" s="1" t="s">
        <v>840</v>
      </c>
      <c r="Y4" s="1" t="s">
        <v>845</v>
      </c>
      <c r="Z4" s="1" t="s">
        <v>810</v>
      </c>
      <c r="AA4" s="1" t="s">
        <v>800</v>
      </c>
      <c r="AB4" s="1" t="s">
        <v>844</v>
      </c>
      <c r="AC4" s="1" t="s">
        <v>819</v>
      </c>
      <c r="AD4" s="1" t="s">
        <v>806</v>
      </c>
      <c r="AE4" s="1" t="s">
        <v>817</v>
      </c>
      <c r="AF4" s="1" t="s">
        <v>845</v>
      </c>
      <c r="AG4" s="1" t="s">
        <v>840</v>
      </c>
      <c r="AH4" s="1" t="s">
        <v>800</v>
      </c>
      <c r="AI4" s="1" t="s">
        <v>843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916</v>
      </c>
      <c r="D5" s="1" t="s">
        <v>805</v>
      </c>
      <c r="E5" s="1" t="s">
        <v>816</v>
      </c>
      <c r="F5" s="1" t="s">
        <v>800</v>
      </c>
      <c r="G5" s="1" t="s">
        <v>804</v>
      </c>
      <c r="H5" s="1" t="s">
        <v>816</v>
      </c>
      <c r="I5" s="1" t="s">
        <v>798</v>
      </c>
      <c r="J5" s="1" t="s">
        <v>802</v>
      </c>
      <c r="K5" s="1" t="s">
        <v>805</v>
      </c>
      <c r="L5" s="1" t="s">
        <v>809</v>
      </c>
      <c r="M5" s="1" t="s">
        <v>800</v>
      </c>
      <c r="N5" s="1" t="s">
        <v>816</v>
      </c>
      <c r="O5" s="1" t="s">
        <v>813</v>
      </c>
      <c r="P5" s="1" t="s">
        <v>805</v>
      </c>
      <c r="Q5" s="1" t="s">
        <v>809</v>
      </c>
      <c r="R5" s="1" t="s">
        <v>807</v>
      </c>
      <c r="S5" s="1" t="s">
        <v>814</v>
      </c>
      <c r="T5" s="1" t="s">
        <v>800</v>
      </c>
      <c r="U5" s="1" t="s">
        <v>817</v>
      </c>
      <c r="V5" s="1" t="s">
        <v>813</v>
      </c>
      <c r="W5" s="1" t="s">
        <v>808</v>
      </c>
      <c r="X5" s="1" t="s">
        <v>809</v>
      </c>
      <c r="Y5" s="1" t="s">
        <v>811</v>
      </c>
      <c r="Z5" s="1" t="s">
        <v>810</v>
      </c>
      <c r="AA5" s="1" t="s">
        <v>800</v>
      </c>
      <c r="AB5" s="1" t="s">
        <v>808</v>
      </c>
      <c r="AC5" s="1" t="s">
        <v>809</v>
      </c>
      <c r="AD5" s="1" t="s">
        <v>808</v>
      </c>
      <c r="AE5" s="1" t="s">
        <v>809</v>
      </c>
      <c r="AF5" s="1" t="s">
        <v>806</v>
      </c>
      <c r="AG5" s="1" t="s">
        <v>819</v>
      </c>
      <c r="AH5" s="1" t="s">
        <v>800</v>
      </c>
      <c r="AI5" s="1" t="s">
        <v>813</v>
      </c>
      <c r="AJ5" s="502">
        <v>43056.229596249999</v>
      </c>
    </row>
    <row r="6" spans="1:36">
      <c r="A6" s="1" t="s">
        <v>328</v>
      </c>
      <c r="B6" s="275" t="s">
        <v>398</v>
      </c>
      <c r="C6" s="1" t="s">
        <v>916</v>
      </c>
      <c r="D6" s="1" t="s">
        <v>845</v>
      </c>
      <c r="E6" s="1" t="s">
        <v>814</v>
      </c>
      <c r="F6" s="1" t="s">
        <v>800</v>
      </c>
      <c r="G6" s="1" t="s">
        <v>807</v>
      </c>
      <c r="H6" s="1" t="s">
        <v>814</v>
      </c>
      <c r="I6" s="1" t="s">
        <v>806</v>
      </c>
      <c r="J6" s="1" t="s">
        <v>843</v>
      </c>
      <c r="K6" s="1" t="s">
        <v>815</v>
      </c>
      <c r="L6" s="1" t="s">
        <v>841</v>
      </c>
      <c r="M6" s="1" t="s">
        <v>800</v>
      </c>
      <c r="N6" s="1" t="s">
        <v>814</v>
      </c>
      <c r="O6" s="1" t="s">
        <v>843</v>
      </c>
      <c r="P6" s="1" t="s">
        <v>845</v>
      </c>
      <c r="Q6" s="1" t="s">
        <v>843</v>
      </c>
      <c r="R6" s="1" t="s">
        <v>841</v>
      </c>
      <c r="S6" s="1" t="s">
        <v>815</v>
      </c>
      <c r="T6" s="1" t="s">
        <v>800</v>
      </c>
      <c r="U6" s="1" t="s">
        <v>843</v>
      </c>
      <c r="V6" s="1" t="s">
        <v>814</v>
      </c>
      <c r="W6" s="1" t="s">
        <v>815</v>
      </c>
      <c r="X6" s="1" t="s">
        <v>808</v>
      </c>
      <c r="Y6" s="1" t="s">
        <v>843</v>
      </c>
      <c r="Z6" s="1" t="s">
        <v>800</v>
      </c>
      <c r="AA6" s="1" t="s">
        <v>800</v>
      </c>
      <c r="AB6" s="1" t="s">
        <v>811</v>
      </c>
      <c r="AC6" s="1" t="s">
        <v>817</v>
      </c>
      <c r="AD6" s="1" t="s">
        <v>811</v>
      </c>
      <c r="AE6" s="1" t="s">
        <v>815</v>
      </c>
      <c r="AF6" s="1" t="s">
        <v>808</v>
      </c>
      <c r="AG6" s="1" t="s">
        <v>808</v>
      </c>
      <c r="AH6" s="1" t="s">
        <v>800</v>
      </c>
      <c r="AI6" s="1" t="s">
        <v>814</v>
      </c>
      <c r="AJ6" s="502">
        <v>43056.229596249999</v>
      </c>
    </row>
    <row r="7" spans="1:36">
      <c r="A7" s="1" t="s">
        <v>328</v>
      </c>
      <c r="B7" s="275" t="s">
        <v>430</v>
      </c>
      <c r="C7" s="1" t="s">
        <v>916</v>
      </c>
      <c r="D7" s="1" t="s">
        <v>810</v>
      </c>
      <c r="E7" s="1" t="s">
        <v>810</v>
      </c>
      <c r="F7" s="1" t="s">
        <v>800</v>
      </c>
      <c r="G7" s="1" t="s">
        <v>810</v>
      </c>
      <c r="H7" s="1" t="s">
        <v>810</v>
      </c>
      <c r="I7" s="1" t="s">
        <v>810</v>
      </c>
      <c r="J7" s="1" t="s">
        <v>810</v>
      </c>
      <c r="K7" s="1" t="s">
        <v>810</v>
      </c>
      <c r="L7" s="1" t="s">
        <v>819</v>
      </c>
      <c r="M7" s="1" t="s">
        <v>800</v>
      </c>
      <c r="N7" s="1" t="s">
        <v>810</v>
      </c>
      <c r="O7" s="1" t="s">
        <v>820</v>
      </c>
      <c r="P7" s="1" t="s">
        <v>810</v>
      </c>
      <c r="Q7" s="1" t="s">
        <v>810</v>
      </c>
      <c r="R7" s="1" t="s">
        <v>810</v>
      </c>
      <c r="S7" s="1" t="s">
        <v>810</v>
      </c>
      <c r="T7" s="1" t="s">
        <v>800</v>
      </c>
      <c r="U7" s="1" t="s">
        <v>810</v>
      </c>
      <c r="V7" s="1" t="s">
        <v>810</v>
      </c>
      <c r="W7" s="1" t="s">
        <v>810</v>
      </c>
      <c r="X7" s="1" t="s">
        <v>810</v>
      </c>
      <c r="Y7" s="1" t="s">
        <v>810</v>
      </c>
      <c r="Z7" s="1" t="s">
        <v>800</v>
      </c>
      <c r="AA7" s="1" t="s">
        <v>800</v>
      </c>
      <c r="AB7" s="1" t="s">
        <v>821</v>
      </c>
      <c r="AC7" s="1" t="s">
        <v>810</v>
      </c>
      <c r="AD7" s="1" t="s">
        <v>810</v>
      </c>
      <c r="AE7" s="1" t="s">
        <v>810</v>
      </c>
      <c r="AF7" s="1" t="s">
        <v>810</v>
      </c>
      <c r="AG7" s="1" t="s">
        <v>820</v>
      </c>
      <c r="AH7" s="1" t="s">
        <v>800</v>
      </c>
      <c r="AI7" s="1" t="s">
        <v>822</v>
      </c>
      <c r="AJ7" s="502">
        <v>43056.229596249999</v>
      </c>
    </row>
    <row r="8" spans="1:36">
      <c r="A8" s="1" t="s">
        <v>328</v>
      </c>
      <c r="B8" s="275" t="s">
        <v>459</v>
      </c>
      <c r="C8" s="1" t="s">
        <v>916</v>
      </c>
      <c r="D8" s="1" t="s">
        <v>837</v>
      </c>
      <c r="E8" s="1" t="s">
        <v>810</v>
      </c>
      <c r="F8" s="1" t="s">
        <v>800</v>
      </c>
      <c r="G8" s="1" t="s">
        <v>824</v>
      </c>
      <c r="H8" s="1" t="s">
        <v>825</v>
      </c>
      <c r="I8" s="1" t="s">
        <v>824</v>
      </c>
      <c r="J8" s="1" t="s">
        <v>824</v>
      </c>
      <c r="K8" s="1" t="s">
        <v>826</v>
      </c>
      <c r="L8" s="1" t="s">
        <v>810</v>
      </c>
      <c r="M8" s="1" t="s">
        <v>800</v>
      </c>
      <c r="N8" s="1" t="s">
        <v>827</v>
      </c>
      <c r="O8" s="1" t="s">
        <v>828</v>
      </c>
      <c r="P8" s="1" t="s">
        <v>829</v>
      </c>
      <c r="Q8" s="1" t="s">
        <v>810</v>
      </c>
      <c r="R8" s="1" t="s">
        <v>830</v>
      </c>
      <c r="S8" s="1" t="s">
        <v>810</v>
      </c>
      <c r="T8" s="1" t="s">
        <v>800</v>
      </c>
      <c r="U8" s="1" t="s">
        <v>810</v>
      </c>
      <c r="V8" s="1" t="s">
        <v>810</v>
      </c>
      <c r="W8" s="1" t="s">
        <v>824</v>
      </c>
      <c r="X8" s="1" t="s">
        <v>830</v>
      </c>
      <c r="Y8" s="1" t="s">
        <v>827</v>
      </c>
      <c r="Z8" s="1" t="s">
        <v>800</v>
      </c>
      <c r="AA8" s="1" t="s">
        <v>800</v>
      </c>
      <c r="AB8" s="1" t="s">
        <v>834</v>
      </c>
      <c r="AC8" s="1" t="s">
        <v>835</v>
      </c>
      <c r="AD8" s="1" t="s">
        <v>917</v>
      </c>
      <c r="AE8" s="1" t="s">
        <v>810</v>
      </c>
      <c r="AF8" s="1" t="s">
        <v>837</v>
      </c>
      <c r="AG8" s="1" t="s">
        <v>838</v>
      </c>
      <c r="AH8" s="1" t="s">
        <v>800</v>
      </c>
      <c r="AI8" s="1" t="s">
        <v>906</v>
      </c>
      <c r="AJ8" s="502">
        <v>43056.229596249999</v>
      </c>
    </row>
    <row r="9" spans="1:36">
      <c r="A9" s="1" t="s">
        <v>328</v>
      </c>
      <c r="B9" s="275" t="s">
        <v>487</v>
      </c>
      <c r="C9" s="1" t="s">
        <v>916</v>
      </c>
      <c r="D9" s="1" t="s">
        <v>820</v>
      </c>
      <c r="E9" s="1" t="s">
        <v>840</v>
      </c>
      <c r="F9" s="1" t="s">
        <v>800</v>
      </c>
      <c r="G9" s="1" t="s">
        <v>840</v>
      </c>
      <c r="H9" s="1" t="s">
        <v>842</v>
      </c>
      <c r="I9" s="1" t="s">
        <v>815</v>
      </c>
      <c r="J9" s="1" t="s">
        <v>817</v>
      </c>
      <c r="K9" s="1" t="s">
        <v>807</v>
      </c>
      <c r="L9" s="1" t="s">
        <v>843</v>
      </c>
      <c r="M9" s="1" t="s">
        <v>800</v>
      </c>
      <c r="N9" s="1" t="s">
        <v>844</v>
      </c>
      <c r="O9" s="1" t="s">
        <v>819</v>
      </c>
      <c r="P9" s="1" t="s">
        <v>844</v>
      </c>
      <c r="Q9" s="1" t="s">
        <v>840</v>
      </c>
      <c r="R9" s="1" t="s">
        <v>820</v>
      </c>
      <c r="S9" s="1" t="s">
        <v>842</v>
      </c>
      <c r="T9" s="1" t="s">
        <v>800</v>
      </c>
      <c r="U9" s="1" t="s">
        <v>842</v>
      </c>
      <c r="V9" s="1" t="s">
        <v>820</v>
      </c>
      <c r="W9" s="1" t="s">
        <v>842</v>
      </c>
      <c r="X9" s="1" t="s">
        <v>844</v>
      </c>
      <c r="Y9" s="1" t="s">
        <v>814</v>
      </c>
      <c r="Z9" s="1" t="s">
        <v>810</v>
      </c>
      <c r="AA9" s="1" t="s">
        <v>800</v>
      </c>
      <c r="AB9" s="1" t="s">
        <v>842</v>
      </c>
      <c r="AC9" s="1" t="s">
        <v>821</v>
      </c>
      <c r="AD9" s="1" t="s">
        <v>820</v>
      </c>
      <c r="AE9" s="1" t="s">
        <v>820</v>
      </c>
      <c r="AF9" s="1" t="s">
        <v>810</v>
      </c>
      <c r="AG9" s="1" t="s">
        <v>821</v>
      </c>
      <c r="AH9" s="1" t="s">
        <v>800</v>
      </c>
      <c r="AI9" s="1" t="s">
        <v>841</v>
      </c>
      <c r="AJ9" s="502">
        <v>43056.229596249999</v>
      </c>
    </row>
    <row r="10" spans="1:36">
      <c r="A10" s="1" t="s">
        <v>328</v>
      </c>
      <c r="B10" s="275" t="s">
        <v>517</v>
      </c>
      <c r="C10" s="1" t="s">
        <v>916</v>
      </c>
      <c r="D10" s="1" t="s">
        <v>800</v>
      </c>
      <c r="E10" s="1" t="s">
        <v>800</v>
      </c>
      <c r="F10" s="1" t="s">
        <v>800</v>
      </c>
      <c r="G10" s="1" t="s">
        <v>800</v>
      </c>
      <c r="H10" s="1" t="s">
        <v>800</v>
      </c>
      <c r="I10" s="1" t="s">
        <v>800</v>
      </c>
      <c r="J10" s="1" t="s">
        <v>800</v>
      </c>
      <c r="K10" s="1" t="s">
        <v>800</v>
      </c>
      <c r="L10" s="1" t="s">
        <v>800</v>
      </c>
      <c r="M10" s="1" t="s">
        <v>800</v>
      </c>
      <c r="N10" s="1" t="s">
        <v>800</v>
      </c>
      <c r="O10" s="1" t="s">
        <v>800</v>
      </c>
      <c r="P10" s="1" t="s">
        <v>800</v>
      </c>
      <c r="Q10" s="1" t="s">
        <v>800</v>
      </c>
      <c r="R10" s="1" t="s">
        <v>800</v>
      </c>
      <c r="S10" s="1" t="s">
        <v>800</v>
      </c>
      <c r="T10" s="1" t="s">
        <v>800</v>
      </c>
      <c r="U10" s="1" t="s">
        <v>800</v>
      </c>
      <c r="V10" s="1" t="s">
        <v>800</v>
      </c>
      <c r="W10" s="1" t="s">
        <v>800</v>
      </c>
      <c r="X10" s="1" t="s">
        <v>800</v>
      </c>
      <c r="Y10" s="1" t="s">
        <v>800</v>
      </c>
      <c r="Z10" s="1" t="s">
        <v>800</v>
      </c>
      <c r="AA10" s="1" t="s">
        <v>800</v>
      </c>
      <c r="AB10" s="1" t="s">
        <v>800</v>
      </c>
      <c r="AC10" s="1" t="s">
        <v>800</v>
      </c>
      <c r="AD10" s="1" t="s">
        <v>800</v>
      </c>
      <c r="AE10" s="1" t="s">
        <v>800</v>
      </c>
      <c r="AF10" s="1" t="s">
        <v>800</v>
      </c>
      <c r="AG10" s="1" t="s">
        <v>800</v>
      </c>
      <c r="AH10" s="1" t="s">
        <v>800</v>
      </c>
      <c r="AI10" s="1" t="s">
        <v>800</v>
      </c>
      <c r="AJ10" s="502">
        <v>43056.229596249999</v>
      </c>
    </row>
    <row r="11" spans="1:36">
      <c r="A11" s="1" t="s">
        <v>328</v>
      </c>
      <c r="B11" s="275" t="s">
        <v>518</v>
      </c>
      <c r="C11" s="1" t="s">
        <v>916</v>
      </c>
      <c r="D11" s="1" t="s">
        <v>814</v>
      </c>
      <c r="E11" s="1" t="s">
        <v>810</v>
      </c>
      <c r="F11" s="1" t="s">
        <v>800</v>
      </c>
      <c r="G11" s="1" t="s">
        <v>842</v>
      </c>
      <c r="H11" s="1" t="s">
        <v>843</v>
      </c>
      <c r="I11" s="1" t="s">
        <v>819</v>
      </c>
      <c r="J11" s="1" t="s">
        <v>842</v>
      </c>
      <c r="K11" s="1" t="s">
        <v>819</v>
      </c>
      <c r="L11" s="1" t="s">
        <v>814</v>
      </c>
      <c r="M11" s="1" t="s">
        <v>800</v>
      </c>
      <c r="N11" s="1" t="s">
        <v>843</v>
      </c>
      <c r="O11" s="1" t="s">
        <v>843</v>
      </c>
      <c r="P11" s="1" t="s">
        <v>846</v>
      </c>
      <c r="Q11" s="1" t="s">
        <v>814</v>
      </c>
      <c r="R11" s="1" t="s">
        <v>842</v>
      </c>
      <c r="S11" s="1" t="s">
        <v>847</v>
      </c>
      <c r="T11" s="1" t="s">
        <v>800</v>
      </c>
      <c r="U11" s="1" t="s">
        <v>835</v>
      </c>
      <c r="V11" s="1" t="s">
        <v>801</v>
      </c>
      <c r="W11" s="1" t="s">
        <v>819</v>
      </c>
      <c r="X11" s="1" t="s">
        <v>819</v>
      </c>
      <c r="Y11" s="1" t="s">
        <v>809</v>
      </c>
      <c r="Z11" s="1" t="s">
        <v>810</v>
      </c>
      <c r="AA11" s="1" t="s">
        <v>800</v>
      </c>
      <c r="AB11" s="1" t="s">
        <v>813</v>
      </c>
      <c r="AC11" s="1" t="s">
        <v>808</v>
      </c>
      <c r="AD11" s="1" t="s">
        <v>841</v>
      </c>
      <c r="AE11" s="1" t="s">
        <v>810</v>
      </c>
      <c r="AF11" s="1" t="s">
        <v>820</v>
      </c>
      <c r="AG11" s="1" t="s">
        <v>820</v>
      </c>
      <c r="AH11" s="1" t="s">
        <v>800</v>
      </c>
      <c r="AI11" s="1" t="s">
        <v>817</v>
      </c>
      <c r="AJ11" s="502">
        <v>43056.229596249999</v>
      </c>
    </row>
    <row r="12" spans="1:36">
      <c r="A12" s="1" t="s">
        <v>328</v>
      </c>
      <c r="B12" s="275" t="s">
        <v>856</v>
      </c>
      <c r="C12" s="1" t="s">
        <v>916</v>
      </c>
      <c r="D12" s="1" t="s">
        <v>810</v>
      </c>
      <c r="E12" s="1" t="s">
        <v>810</v>
      </c>
      <c r="F12" s="1" t="s">
        <v>800</v>
      </c>
      <c r="G12" s="1" t="s">
        <v>810</v>
      </c>
      <c r="H12" s="1" t="s">
        <v>810</v>
      </c>
      <c r="I12" s="1" t="s">
        <v>810</v>
      </c>
      <c r="J12" s="1" t="s">
        <v>810</v>
      </c>
      <c r="K12" s="1" t="s">
        <v>810</v>
      </c>
      <c r="L12" s="1" t="s">
        <v>810</v>
      </c>
      <c r="M12" s="1" t="s">
        <v>800</v>
      </c>
      <c r="N12" s="1" t="s">
        <v>810</v>
      </c>
      <c r="O12" s="1" t="s">
        <v>810</v>
      </c>
      <c r="P12" s="1" t="s">
        <v>810</v>
      </c>
      <c r="Q12" s="1" t="s">
        <v>810</v>
      </c>
      <c r="R12" s="1" t="s">
        <v>810</v>
      </c>
      <c r="S12" s="1" t="s">
        <v>810</v>
      </c>
      <c r="T12" s="1" t="s">
        <v>800</v>
      </c>
      <c r="U12" s="1" t="s">
        <v>810</v>
      </c>
      <c r="V12" s="1" t="s">
        <v>810</v>
      </c>
      <c r="W12" s="1" t="s">
        <v>810</v>
      </c>
      <c r="X12" s="1" t="s">
        <v>810</v>
      </c>
      <c r="Y12" s="1" t="s">
        <v>810</v>
      </c>
      <c r="Z12" s="1" t="s">
        <v>800</v>
      </c>
      <c r="AA12" s="1" t="s">
        <v>800</v>
      </c>
      <c r="AB12" s="1" t="s">
        <v>810</v>
      </c>
      <c r="AC12" s="1" t="s">
        <v>810</v>
      </c>
      <c r="AD12" s="1" t="s">
        <v>810</v>
      </c>
      <c r="AE12" s="1" t="s">
        <v>810</v>
      </c>
      <c r="AF12" s="1" t="s">
        <v>810</v>
      </c>
      <c r="AG12" s="1" t="s">
        <v>810</v>
      </c>
      <c r="AH12" s="1" t="s">
        <v>800</v>
      </c>
      <c r="AI12" s="1" t="s">
        <v>810</v>
      </c>
      <c r="AJ12" s="502">
        <v>43056.229596249999</v>
      </c>
    </row>
    <row r="13" spans="1:36">
      <c r="A13" s="1" t="s">
        <v>328</v>
      </c>
      <c r="B13" s="275" t="s">
        <v>857</v>
      </c>
      <c r="C13" s="1" t="s">
        <v>916</v>
      </c>
      <c r="D13" s="1" t="s">
        <v>810</v>
      </c>
      <c r="E13" s="1" t="s">
        <v>818</v>
      </c>
      <c r="F13" s="1" t="s">
        <v>800</v>
      </c>
      <c r="G13" s="1" t="s">
        <v>810</v>
      </c>
      <c r="H13" s="1" t="s">
        <v>810</v>
      </c>
      <c r="I13" s="1" t="s">
        <v>918</v>
      </c>
      <c r="J13" s="1" t="s">
        <v>810</v>
      </c>
      <c r="K13" s="1" t="s">
        <v>810</v>
      </c>
      <c r="L13" s="1" t="s">
        <v>859</v>
      </c>
      <c r="M13" s="1" t="s">
        <v>800</v>
      </c>
      <c r="N13" s="1" t="s">
        <v>810</v>
      </c>
      <c r="O13" s="1" t="s">
        <v>810</v>
      </c>
      <c r="P13" s="1" t="s">
        <v>812</v>
      </c>
      <c r="Q13" s="1" t="s">
        <v>810</v>
      </c>
      <c r="R13" s="1" t="s">
        <v>810</v>
      </c>
      <c r="S13" s="1" t="s">
        <v>810</v>
      </c>
      <c r="T13" s="1" t="s">
        <v>800</v>
      </c>
      <c r="U13" s="1" t="s">
        <v>810</v>
      </c>
      <c r="V13" s="1" t="s">
        <v>810</v>
      </c>
      <c r="W13" s="1" t="s">
        <v>811</v>
      </c>
      <c r="X13" s="1" t="s">
        <v>810</v>
      </c>
      <c r="Y13" s="1" t="s">
        <v>812</v>
      </c>
      <c r="Z13" s="1" t="s">
        <v>800</v>
      </c>
      <c r="AA13" s="1" t="s">
        <v>800</v>
      </c>
      <c r="AB13" s="1" t="s">
        <v>810</v>
      </c>
      <c r="AC13" s="1" t="s">
        <v>813</v>
      </c>
      <c r="AD13" s="1" t="s">
        <v>810</v>
      </c>
      <c r="AE13" s="1" t="s">
        <v>810</v>
      </c>
      <c r="AF13" s="1" t="s">
        <v>810</v>
      </c>
      <c r="AG13" s="1" t="s">
        <v>810</v>
      </c>
      <c r="AH13" s="1" t="s">
        <v>800</v>
      </c>
      <c r="AI13" s="1" t="s">
        <v>814</v>
      </c>
      <c r="AJ13" s="502">
        <v>43056.229596249999</v>
      </c>
    </row>
    <row r="14" spans="1:36">
      <c r="A14" s="1" t="s">
        <v>328</v>
      </c>
      <c r="B14" s="275" t="s">
        <v>860</v>
      </c>
      <c r="C14" s="1" t="s">
        <v>916</v>
      </c>
      <c r="D14" s="1" t="s">
        <v>813</v>
      </c>
      <c r="E14" s="1" t="s">
        <v>808</v>
      </c>
      <c r="F14" s="1" t="s">
        <v>800</v>
      </c>
      <c r="G14" s="1" t="s">
        <v>805</v>
      </c>
      <c r="H14" s="1" t="s">
        <v>801</v>
      </c>
      <c r="I14" s="1" t="s">
        <v>846</v>
      </c>
      <c r="J14" s="1" t="s">
        <v>813</v>
      </c>
      <c r="K14" s="1" t="s">
        <v>808</v>
      </c>
      <c r="L14" s="1" t="s">
        <v>803</v>
      </c>
      <c r="M14" s="1" t="s">
        <v>800</v>
      </c>
      <c r="N14" s="1" t="s">
        <v>863</v>
      </c>
      <c r="O14" s="1" t="s">
        <v>809</v>
      </c>
      <c r="P14" s="1" t="s">
        <v>846</v>
      </c>
      <c r="Q14" s="1" t="s">
        <v>835</v>
      </c>
      <c r="R14" s="1" t="s">
        <v>841</v>
      </c>
      <c r="S14" s="1" t="s">
        <v>811</v>
      </c>
      <c r="T14" s="1" t="s">
        <v>800</v>
      </c>
      <c r="U14" s="1" t="s">
        <v>814</v>
      </c>
      <c r="V14" s="1" t="s">
        <v>812</v>
      </c>
      <c r="W14" s="1" t="s">
        <v>811</v>
      </c>
      <c r="X14" s="1" t="s">
        <v>841</v>
      </c>
      <c r="Y14" s="1" t="s">
        <v>801</v>
      </c>
      <c r="Z14" s="1" t="s">
        <v>800</v>
      </c>
      <c r="AA14" s="1" t="s">
        <v>800</v>
      </c>
      <c r="AB14" s="1" t="s">
        <v>909</v>
      </c>
      <c r="AC14" s="1" t="s">
        <v>875</v>
      </c>
      <c r="AD14" s="1" t="s">
        <v>861</v>
      </c>
      <c r="AE14" s="1" t="s">
        <v>798</v>
      </c>
      <c r="AF14" s="1" t="s">
        <v>798</v>
      </c>
      <c r="AG14" s="1" t="s">
        <v>919</v>
      </c>
      <c r="AH14" s="1" t="s">
        <v>800</v>
      </c>
      <c r="AI14" s="1" t="s">
        <v>801</v>
      </c>
      <c r="AJ14" s="502">
        <v>43056.229596249999</v>
      </c>
    </row>
    <row r="15" spans="1:36">
      <c r="A15" s="1" t="s">
        <v>328</v>
      </c>
      <c r="B15" s="275" t="s">
        <v>874</v>
      </c>
      <c r="C15" s="1" t="s">
        <v>916</v>
      </c>
      <c r="D15" s="1" t="s">
        <v>861</v>
      </c>
      <c r="E15" s="1" t="s">
        <v>875</v>
      </c>
      <c r="F15" s="1" t="s">
        <v>800</v>
      </c>
      <c r="G15" s="1" t="s">
        <v>876</v>
      </c>
      <c r="H15" s="1" t="s">
        <v>877</v>
      </c>
      <c r="I15" s="1" t="s">
        <v>878</v>
      </c>
      <c r="J15" s="1" t="s">
        <v>879</v>
      </c>
      <c r="K15" s="1" t="s">
        <v>810</v>
      </c>
      <c r="L15" s="1" t="s">
        <v>810</v>
      </c>
      <c r="M15" s="1" t="s">
        <v>800</v>
      </c>
      <c r="N15" s="1" t="s">
        <v>810</v>
      </c>
      <c r="O15" s="1" t="s">
        <v>880</v>
      </c>
      <c r="P15" s="1" t="s">
        <v>881</v>
      </c>
      <c r="Q15" s="1" t="s">
        <v>882</v>
      </c>
      <c r="R15" s="1" t="s">
        <v>877</v>
      </c>
      <c r="S15" s="1" t="s">
        <v>884</v>
      </c>
      <c r="T15" s="1" t="s">
        <v>800</v>
      </c>
      <c r="U15" s="1" t="s">
        <v>809</v>
      </c>
      <c r="V15" s="1" t="s">
        <v>885</v>
      </c>
      <c r="W15" s="1" t="s">
        <v>817</v>
      </c>
      <c r="X15" s="1" t="s">
        <v>886</v>
      </c>
      <c r="Y15" s="1" t="s">
        <v>887</v>
      </c>
      <c r="Z15" s="1" t="s">
        <v>800</v>
      </c>
      <c r="AA15" s="1" t="s">
        <v>800</v>
      </c>
      <c r="AB15" s="1" t="s">
        <v>920</v>
      </c>
      <c r="AC15" s="1" t="s">
        <v>849</v>
      </c>
      <c r="AD15" s="1" t="s">
        <v>811</v>
      </c>
      <c r="AE15" s="1" t="s">
        <v>888</v>
      </c>
      <c r="AF15" s="1" t="s">
        <v>889</v>
      </c>
      <c r="AG15" s="1" t="s">
        <v>890</v>
      </c>
      <c r="AH15" s="1" t="s">
        <v>800</v>
      </c>
      <c r="AI15" s="1" t="s">
        <v>905</v>
      </c>
      <c r="AJ15" s="502">
        <v>43056.229596249999</v>
      </c>
    </row>
    <row r="16" spans="1:36">
      <c r="A16" s="1" t="s">
        <v>328</v>
      </c>
      <c r="B16" s="275" t="s">
        <v>892</v>
      </c>
      <c r="C16" s="1" t="s">
        <v>916</v>
      </c>
      <c r="D16" s="1" t="s">
        <v>800</v>
      </c>
      <c r="E16" s="1" t="s">
        <v>800</v>
      </c>
      <c r="F16" s="1" t="s">
        <v>800</v>
      </c>
      <c r="G16" s="1" t="s">
        <v>800</v>
      </c>
      <c r="H16" s="1" t="s">
        <v>800</v>
      </c>
      <c r="I16" s="1" t="s">
        <v>800</v>
      </c>
      <c r="J16" s="1" t="s">
        <v>800</v>
      </c>
      <c r="K16" s="1" t="s">
        <v>800</v>
      </c>
      <c r="L16" s="1" t="s">
        <v>800</v>
      </c>
      <c r="M16" s="1" t="s">
        <v>800</v>
      </c>
      <c r="N16" s="1" t="s">
        <v>800</v>
      </c>
      <c r="O16" s="1" t="s">
        <v>800</v>
      </c>
      <c r="P16" s="1" t="s">
        <v>800</v>
      </c>
      <c r="Q16" s="1" t="s">
        <v>800</v>
      </c>
      <c r="R16" s="1" t="s">
        <v>800</v>
      </c>
      <c r="S16" s="1" t="s">
        <v>800</v>
      </c>
      <c r="T16" s="1" t="s">
        <v>800</v>
      </c>
      <c r="U16" s="1" t="s">
        <v>800</v>
      </c>
      <c r="V16" s="1" t="s">
        <v>800</v>
      </c>
      <c r="W16" s="1" t="s">
        <v>800</v>
      </c>
      <c r="X16" s="1" t="s">
        <v>800</v>
      </c>
      <c r="Y16" s="1" t="s">
        <v>800</v>
      </c>
      <c r="Z16" s="1" t="s">
        <v>800</v>
      </c>
      <c r="AA16" s="1" t="s">
        <v>800</v>
      </c>
      <c r="AB16" s="1" t="s">
        <v>800</v>
      </c>
      <c r="AC16" s="1" t="s">
        <v>800</v>
      </c>
      <c r="AD16" s="1" t="s">
        <v>800</v>
      </c>
      <c r="AE16" s="1" t="s">
        <v>800</v>
      </c>
      <c r="AF16" s="1" t="s">
        <v>800</v>
      </c>
      <c r="AG16" s="1" t="s">
        <v>800</v>
      </c>
      <c r="AH16" s="1" t="s">
        <v>800</v>
      </c>
      <c r="AI16" s="1" t="s">
        <v>800</v>
      </c>
      <c r="AJ16" s="502">
        <v>43056.229596249999</v>
      </c>
    </row>
    <row r="17" spans="1:36">
      <c r="A17" s="1" t="s">
        <v>328</v>
      </c>
      <c r="B17" s="275" t="s">
        <v>921</v>
      </c>
      <c r="C17" s="1" t="s">
        <v>916</v>
      </c>
      <c r="D17" s="1" t="s">
        <v>800</v>
      </c>
      <c r="E17" s="1" t="s">
        <v>800</v>
      </c>
      <c r="F17" s="1" t="s">
        <v>800</v>
      </c>
      <c r="G17" s="1" t="s">
        <v>800</v>
      </c>
      <c r="H17" s="1" t="s">
        <v>800</v>
      </c>
      <c r="I17" s="1" t="s">
        <v>800</v>
      </c>
      <c r="J17" s="1" t="s">
        <v>800</v>
      </c>
      <c r="K17" s="1" t="s">
        <v>800</v>
      </c>
      <c r="L17" s="1" t="s">
        <v>800</v>
      </c>
      <c r="M17" s="1" t="s">
        <v>800</v>
      </c>
      <c r="N17" s="1" t="s">
        <v>800</v>
      </c>
      <c r="O17" s="1" t="s">
        <v>800</v>
      </c>
      <c r="P17" s="1" t="s">
        <v>800</v>
      </c>
      <c r="Q17" s="1" t="s">
        <v>800</v>
      </c>
      <c r="R17" s="1" t="s">
        <v>800</v>
      </c>
      <c r="S17" s="1" t="s">
        <v>800</v>
      </c>
      <c r="T17" s="1" t="s">
        <v>800</v>
      </c>
      <c r="U17" s="1" t="s">
        <v>800</v>
      </c>
      <c r="V17" s="1" t="s">
        <v>800</v>
      </c>
      <c r="W17" s="1" t="s">
        <v>800</v>
      </c>
      <c r="X17" s="1" t="s">
        <v>800</v>
      </c>
      <c r="Y17" s="1" t="s">
        <v>800</v>
      </c>
      <c r="Z17" s="1" t="s">
        <v>800</v>
      </c>
      <c r="AA17" s="1" t="s">
        <v>800</v>
      </c>
      <c r="AB17" s="1" t="s">
        <v>800</v>
      </c>
      <c r="AC17" s="1" t="s">
        <v>800</v>
      </c>
      <c r="AD17" s="1" t="s">
        <v>800</v>
      </c>
      <c r="AE17" s="1" t="s">
        <v>800</v>
      </c>
      <c r="AF17" s="1" t="s">
        <v>800</v>
      </c>
      <c r="AG17" s="1" t="s">
        <v>800</v>
      </c>
      <c r="AH17" s="1" t="s">
        <v>800</v>
      </c>
      <c r="AI17" s="1" t="s">
        <v>800</v>
      </c>
      <c r="AJ17" s="502">
        <v>43056.229596249999</v>
      </c>
    </row>
    <row r="18" spans="1:36">
      <c r="A18" s="1" t="s">
        <v>328</v>
      </c>
      <c r="B18" s="275" t="s">
        <v>922</v>
      </c>
      <c r="C18" s="1" t="s">
        <v>916</v>
      </c>
      <c r="D18" s="1" t="s">
        <v>800</v>
      </c>
      <c r="E18" s="1" t="s">
        <v>800</v>
      </c>
      <c r="F18" s="1" t="s">
        <v>800</v>
      </c>
      <c r="G18" s="1" t="s">
        <v>800</v>
      </c>
      <c r="H18" s="1" t="s">
        <v>800</v>
      </c>
      <c r="I18" s="1" t="s">
        <v>800</v>
      </c>
      <c r="J18" s="1" t="s">
        <v>800</v>
      </c>
      <c r="K18" s="1" t="s">
        <v>800</v>
      </c>
      <c r="L18" s="1" t="s">
        <v>800</v>
      </c>
      <c r="M18" s="1" t="s">
        <v>800</v>
      </c>
      <c r="N18" s="1" t="s">
        <v>800</v>
      </c>
      <c r="O18" s="1" t="s">
        <v>800</v>
      </c>
      <c r="P18" s="1" t="s">
        <v>800</v>
      </c>
      <c r="Q18" s="1" t="s">
        <v>800</v>
      </c>
      <c r="R18" s="1" t="s">
        <v>800</v>
      </c>
      <c r="S18" s="1" t="s">
        <v>800</v>
      </c>
      <c r="T18" s="1" t="s">
        <v>800</v>
      </c>
      <c r="U18" s="1" t="s">
        <v>800</v>
      </c>
      <c r="V18" s="1" t="s">
        <v>800</v>
      </c>
      <c r="W18" s="1" t="s">
        <v>800</v>
      </c>
      <c r="X18" s="1" t="s">
        <v>800</v>
      </c>
      <c r="Y18" s="1" t="s">
        <v>800</v>
      </c>
      <c r="Z18" s="1" t="s">
        <v>800</v>
      </c>
      <c r="AA18" s="1" t="s">
        <v>800</v>
      </c>
      <c r="AB18" s="1" t="s">
        <v>800</v>
      </c>
      <c r="AC18" s="1" t="s">
        <v>800</v>
      </c>
      <c r="AD18" s="1" t="s">
        <v>800</v>
      </c>
      <c r="AE18" s="1" t="s">
        <v>800</v>
      </c>
      <c r="AF18" s="1" t="s">
        <v>800</v>
      </c>
      <c r="AG18" s="1" t="s">
        <v>800</v>
      </c>
      <c r="AH18" s="1" t="s">
        <v>800</v>
      </c>
      <c r="AI18" s="1" t="s">
        <v>800</v>
      </c>
      <c r="AJ18" s="502">
        <v>43056.229596249999</v>
      </c>
    </row>
    <row r="19" spans="1:36">
      <c r="A19" s="1" t="s">
        <v>328</v>
      </c>
      <c r="B19" s="275" t="s">
        <v>923</v>
      </c>
      <c r="C19" s="1" t="s">
        <v>916</v>
      </c>
      <c r="D19" s="1" t="s">
        <v>800</v>
      </c>
      <c r="E19" s="1" t="s">
        <v>800</v>
      </c>
      <c r="F19" s="1" t="s">
        <v>800</v>
      </c>
      <c r="G19" s="1" t="s">
        <v>800</v>
      </c>
      <c r="H19" s="1" t="s">
        <v>800</v>
      </c>
      <c r="I19" s="1" t="s">
        <v>800</v>
      </c>
      <c r="J19" s="1" t="s">
        <v>800</v>
      </c>
      <c r="K19" s="1" t="s">
        <v>800</v>
      </c>
      <c r="L19" s="1" t="s">
        <v>800</v>
      </c>
      <c r="M19" s="1" t="s">
        <v>800</v>
      </c>
      <c r="N19" s="1" t="s">
        <v>800</v>
      </c>
      <c r="O19" s="1" t="s">
        <v>800</v>
      </c>
      <c r="P19" s="1" t="s">
        <v>800</v>
      </c>
      <c r="Q19" s="1" t="s">
        <v>800</v>
      </c>
      <c r="R19" s="1" t="s">
        <v>800</v>
      </c>
      <c r="S19" s="1" t="s">
        <v>800</v>
      </c>
      <c r="T19" s="1" t="s">
        <v>800</v>
      </c>
      <c r="U19" s="1" t="s">
        <v>800</v>
      </c>
      <c r="V19" s="1" t="s">
        <v>800</v>
      </c>
      <c r="W19" s="1" t="s">
        <v>800</v>
      </c>
      <c r="X19" s="1" t="s">
        <v>800</v>
      </c>
      <c r="Y19" s="1" t="s">
        <v>800</v>
      </c>
      <c r="Z19" s="1" t="s">
        <v>800</v>
      </c>
      <c r="AA19" s="1" t="s">
        <v>800</v>
      </c>
      <c r="AB19" s="1" t="s">
        <v>800</v>
      </c>
      <c r="AC19" s="1" t="s">
        <v>800</v>
      </c>
      <c r="AD19" s="1" t="s">
        <v>800</v>
      </c>
      <c r="AE19" s="1" t="s">
        <v>800</v>
      </c>
      <c r="AF19" s="1" t="s">
        <v>800</v>
      </c>
      <c r="AG19" s="1" t="s">
        <v>800</v>
      </c>
      <c r="AH19" s="1" t="s">
        <v>800</v>
      </c>
      <c r="AI19" s="1" t="s">
        <v>800</v>
      </c>
      <c r="AJ19" s="502">
        <v>43056.229596249999</v>
      </c>
    </row>
    <row r="20" spans="1:36">
      <c r="A20" s="1" t="s">
        <v>328</v>
      </c>
      <c r="B20" s="275" t="s">
        <v>924</v>
      </c>
      <c r="C20" s="1" t="s">
        <v>916</v>
      </c>
      <c r="D20" s="1" t="s">
        <v>800</v>
      </c>
      <c r="E20" s="1" t="s">
        <v>800</v>
      </c>
      <c r="F20" s="1" t="s">
        <v>800</v>
      </c>
      <c r="G20" s="1" t="s">
        <v>800</v>
      </c>
      <c r="H20" s="1" t="s">
        <v>800</v>
      </c>
      <c r="I20" s="1" t="s">
        <v>800</v>
      </c>
      <c r="J20" s="1" t="s">
        <v>800</v>
      </c>
      <c r="K20" s="1" t="s">
        <v>800</v>
      </c>
      <c r="L20" s="1" t="s">
        <v>800</v>
      </c>
      <c r="M20" s="1" t="s">
        <v>800</v>
      </c>
      <c r="N20" s="1" t="s">
        <v>800</v>
      </c>
      <c r="O20" s="1" t="s">
        <v>800</v>
      </c>
      <c r="P20" s="1" t="s">
        <v>800</v>
      </c>
      <c r="Q20" s="1" t="s">
        <v>800</v>
      </c>
      <c r="R20" s="1" t="s">
        <v>800</v>
      </c>
      <c r="S20" s="1" t="s">
        <v>800</v>
      </c>
      <c r="T20" s="1" t="s">
        <v>800</v>
      </c>
      <c r="U20" s="1" t="s">
        <v>800</v>
      </c>
      <c r="V20" s="1" t="s">
        <v>800</v>
      </c>
      <c r="W20" s="1" t="s">
        <v>800</v>
      </c>
      <c r="X20" s="1" t="s">
        <v>800</v>
      </c>
      <c r="Y20" s="1" t="s">
        <v>800</v>
      </c>
      <c r="Z20" s="1" t="s">
        <v>800</v>
      </c>
      <c r="AA20" s="1" t="s">
        <v>800</v>
      </c>
      <c r="AB20" s="1" t="s">
        <v>800</v>
      </c>
      <c r="AC20" s="1" t="s">
        <v>800</v>
      </c>
      <c r="AD20" s="1" t="s">
        <v>800</v>
      </c>
      <c r="AE20" s="1" t="s">
        <v>800</v>
      </c>
      <c r="AF20" s="1" t="s">
        <v>800</v>
      </c>
      <c r="AG20" s="1" t="s">
        <v>800</v>
      </c>
      <c r="AH20" s="1" t="s">
        <v>800</v>
      </c>
      <c r="AI20" s="1" t="s">
        <v>800</v>
      </c>
      <c r="AJ20" s="502">
        <v>43056.229596249999</v>
      </c>
    </row>
    <row r="21" spans="1:36">
      <c r="A21" s="1" t="s">
        <v>328</v>
      </c>
      <c r="B21" s="275" t="s">
        <v>925</v>
      </c>
      <c r="C21" s="1" t="s">
        <v>916</v>
      </c>
      <c r="D21" s="1" t="s">
        <v>800</v>
      </c>
      <c r="E21" s="1" t="s">
        <v>800</v>
      </c>
      <c r="F21" s="1" t="s">
        <v>800</v>
      </c>
      <c r="G21" s="1" t="s">
        <v>800</v>
      </c>
      <c r="H21" s="1" t="s">
        <v>800</v>
      </c>
      <c r="I21" s="1" t="s">
        <v>800</v>
      </c>
      <c r="J21" s="1" t="s">
        <v>800</v>
      </c>
      <c r="K21" s="1" t="s">
        <v>800</v>
      </c>
      <c r="L21" s="1" t="s">
        <v>800</v>
      </c>
      <c r="M21" s="1" t="s">
        <v>800</v>
      </c>
      <c r="N21" s="1" t="s">
        <v>800</v>
      </c>
      <c r="O21" s="1" t="s">
        <v>800</v>
      </c>
      <c r="P21" s="1" t="s">
        <v>800</v>
      </c>
      <c r="Q21" s="1" t="s">
        <v>800</v>
      </c>
      <c r="R21" s="1" t="s">
        <v>800</v>
      </c>
      <c r="S21" s="1" t="s">
        <v>800</v>
      </c>
      <c r="T21" s="1" t="s">
        <v>800</v>
      </c>
      <c r="U21" s="1" t="s">
        <v>800</v>
      </c>
      <c r="V21" s="1" t="s">
        <v>800</v>
      </c>
      <c r="W21" s="1" t="s">
        <v>800</v>
      </c>
      <c r="X21" s="1" t="s">
        <v>800</v>
      </c>
      <c r="Y21" s="1" t="s">
        <v>800</v>
      </c>
      <c r="Z21" s="1" t="s">
        <v>800</v>
      </c>
      <c r="AA21" s="1" t="s">
        <v>800</v>
      </c>
      <c r="AB21" s="1" t="s">
        <v>800</v>
      </c>
      <c r="AC21" s="1" t="s">
        <v>800</v>
      </c>
      <c r="AD21" s="1" t="s">
        <v>800</v>
      </c>
      <c r="AE21" s="1" t="s">
        <v>800</v>
      </c>
      <c r="AF21" s="1" t="s">
        <v>800</v>
      </c>
      <c r="AG21" s="1" t="s">
        <v>800</v>
      </c>
      <c r="AH21" s="1" t="s">
        <v>800</v>
      </c>
      <c r="AI21" s="1" t="s">
        <v>800</v>
      </c>
      <c r="AJ21" s="502">
        <v>43056.229596249999</v>
      </c>
    </row>
    <row r="22" spans="1:36">
      <c r="A22" s="503" t="s">
        <v>328</v>
      </c>
      <c r="B22" s="503" t="s">
        <v>926</v>
      </c>
      <c r="C22" s="503" t="s">
        <v>916</v>
      </c>
      <c r="D22" s="503" t="s">
        <v>927</v>
      </c>
      <c r="E22" s="503" t="s">
        <v>881</v>
      </c>
      <c r="F22" s="503" t="s">
        <v>800</v>
      </c>
      <c r="G22" s="503" t="s">
        <v>928</v>
      </c>
      <c r="H22" s="503" t="s">
        <v>929</v>
      </c>
      <c r="I22" s="503" t="s">
        <v>849</v>
      </c>
      <c r="J22" s="503" t="s">
        <v>885</v>
      </c>
      <c r="K22" s="503" t="s">
        <v>905</v>
      </c>
      <c r="L22" s="503" t="s">
        <v>930</v>
      </c>
      <c r="M22" s="503" t="s">
        <v>800</v>
      </c>
      <c r="N22" s="503" t="s">
        <v>877</v>
      </c>
      <c r="O22" s="503" t="s">
        <v>931</v>
      </c>
      <c r="P22" s="503" t="s">
        <v>932</v>
      </c>
      <c r="Q22" s="503" t="s">
        <v>912</v>
      </c>
      <c r="R22" s="503" t="s">
        <v>802</v>
      </c>
      <c r="S22" s="503" t="s">
        <v>909</v>
      </c>
      <c r="T22" s="503" t="s">
        <v>800</v>
      </c>
      <c r="U22" s="503" t="s">
        <v>890</v>
      </c>
      <c r="V22" s="503" t="s">
        <v>864</v>
      </c>
      <c r="W22" s="503" t="s">
        <v>919</v>
      </c>
      <c r="X22" s="503" t="s">
        <v>914</v>
      </c>
      <c r="Y22" s="503" t="s">
        <v>855</v>
      </c>
      <c r="Z22" s="503" t="s">
        <v>810</v>
      </c>
      <c r="AA22" s="503" t="s">
        <v>800</v>
      </c>
      <c r="AB22" s="503" t="s">
        <v>853</v>
      </c>
      <c r="AC22" s="503" t="s">
        <v>933</v>
      </c>
      <c r="AD22" s="503" t="s">
        <v>849</v>
      </c>
      <c r="AE22" s="503" t="s">
        <v>891</v>
      </c>
      <c r="AF22" s="503" t="s">
        <v>875</v>
      </c>
      <c r="AG22" s="503" t="s">
        <v>808</v>
      </c>
      <c r="AH22" s="503" t="s">
        <v>800</v>
      </c>
      <c r="AI22" s="503" t="s">
        <v>831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934</v>
      </c>
    </row>
    <row r="2" spans="1:35">
      <c r="A2" s="1" t="s">
        <v>328</v>
      </c>
      <c r="B2" s="275" t="s">
        <v>364</v>
      </c>
      <c r="C2" s="1" t="s">
        <v>935</v>
      </c>
      <c r="D2" s="1" t="s">
        <v>936</v>
      </c>
      <c r="E2" s="1" t="s">
        <v>457</v>
      </c>
      <c r="F2" s="1" t="s">
        <v>937</v>
      </c>
      <c r="G2" s="1" t="s">
        <v>938</v>
      </c>
      <c r="H2" s="1" t="s">
        <v>939</v>
      </c>
      <c r="I2" s="1"/>
      <c r="J2" s="1" t="s">
        <v>940</v>
      </c>
      <c r="K2" s="1" t="s">
        <v>941</v>
      </c>
      <c r="L2" s="1" t="s">
        <v>457</v>
      </c>
      <c r="M2" s="1" t="s">
        <v>939</v>
      </c>
      <c r="N2" s="1" t="s">
        <v>942</v>
      </c>
      <c r="O2" s="1" t="s">
        <v>943</v>
      </c>
      <c r="P2" s="1" t="s">
        <v>935</v>
      </c>
      <c r="Q2" s="1" t="s">
        <v>944</v>
      </c>
      <c r="R2" s="1" t="s">
        <v>945</v>
      </c>
      <c r="S2" s="1" t="s">
        <v>457</v>
      </c>
      <c r="T2" s="1" t="s">
        <v>946</v>
      </c>
      <c r="U2" s="1" t="s">
        <v>947</v>
      </c>
      <c r="V2" s="1" t="s">
        <v>948</v>
      </c>
      <c r="W2" s="1" t="s">
        <v>949</v>
      </c>
      <c r="X2" s="1" t="s">
        <v>950</v>
      </c>
      <c r="Y2" s="1" t="s">
        <v>457</v>
      </c>
      <c r="Z2" s="1" t="s">
        <v>457</v>
      </c>
      <c r="AA2" s="1" t="s">
        <v>951</v>
      </c>
      <c r="AB2" s="1" t="s">
        <v>952</v>
      </c>
      <c r="AC2" s="1" t="s">
        <v>953</v>
      </c>
      <c r="AD2" s="1" t="s">
        <v>953</v>
      </c>
      <c r="AE2" s="1" t="s">
        <v>954</v>
      </c>
      <c r="AF2" s="1" t="s">
        <v>955</v>
      </c>
      <c r="AG2" s="1" t="s">
        <v>457</v>
      </c>
      <c r="AH2" s="1" t="s">
        <v>956</v>
      </c>
      <c r="AI2" s="502">
        <v>43056.2297915741</v>
      </c>
    </row>
    <row r="3" spans="1:35">
      <c r="A3" s="1" t="s">
        <v>328</v>
      </c>
      <c r="B3" s="275" t="s">
        <v>398</v>
      </c>
      <c r="C3" s="1" t="s">
        <v>957</v>
      </c>
      <c r="D3" s="1" t="s">
        <v>958</v>
      </c>
      <c r="E3" s="1" t="s">
        <v>457</v>
      </c>
      <c r="F3" s="1" t="s">
        <v>959</v>
      </c>
      <c r="G3" s="1" t="s">
        <v>960</v>
      </c>
      <c r="H3" s="1" t="s">
        <v>961</v>
      </c>
      <c r="I3" s="1"/>
      <c r="J3" s="1" t="s">
        <v>962</v>
      </c>
      <c r="K3" s="1" t="s">
        <v>963</v>
      </c>
      <c r="L3" s="1" t="s">
        <v>457</v>
      </c>
      <c r="M3" s="1" t="s">
        <v>962</v>
      </c>
      <c r="N3" s="1" t="s">
        <v>964</v>
      </c>
      <c r="O3" s="1" t="s">
        <v>965</v>
      </c>
      <c r="P3" s="1" t="s">
        <v>966</v>
      </c>
      <c r="Q3" s="1" t="s">
        <v>964</v>
      </c>
      <c r="R3" s="1" t="s">
        <v>967</v>
      </c>
      <c r="S3" s="1" t="s">
        <v>457</v>
      </c>
      <c r="T3" s="1" t="s">
        <v>968</v>
      </c>
      <c r="U3" s="1" t="s">
        <v>969</v>
      </c>
      <c r="V3" s="1" t="s">
        <v>970</v>
      </c>
      <c r="W3" s="1" t="s">
        <v>961</v>
      </c>
      <c r="X3" s="1" t="s">
        <v>971</v>
      </c>
      <c r="Y3" s="1" t="s">
        <v>457</v>
      </c>
      <c r="Z3" s="1" t="s">
        <v>457</v>
      </c>
      <c r="AA3" s="1" t="s">
        <v>972</v>
      </c>
      <c r="AB3" s="1" t="s">
        <v>973</v>
      </c>
      <c r="AC3" s="1" t="s">
        <v>974</v>
      </c>
      <c r="AD3" s="1" t="s">
        <v>975</v>
      </c>
      <c r="AE3" s="1" t="s">
        <v>970</v>
      </c>
      <c r="AF3" s="1" t="s">
        <v>976</v>
      </c>
      <c r="AG3" s="1" t="s">
        <v>457</v>
      </c>
      <c r="AH3" s="1" t="s">
        <v>977</v>
      </c>
      <c r="AI3" s="502">
        <v>43056.2297915741</v>
      </c>
    </row>
    <row r="4" spans="1:35">
      <c r="A4" s="1" t="s">
        <v>328</v>
      </c>
      <c r="B4" s="275" t="s">
        <v>430</v>
      </c>
      <c r="C4" s="1" t="s">
        <v>457</v>
      </c>
      <c r="D4" s="1" t="s">
        <v>457</v>
      </c>
      <c r="E4" s="1" t="s">
        <v>457</v>
      </c>
      <c r="F4" s="1" t="s">
        <v>457</v>
      </c>
      <c r="G4" s="1" t="s">
        <v>457</v>
      </c>
      <c r="H4" s="1" t="s">
        <v>457</v>
      </c>
      <c r="I4" s="1"/>
      <c r="J4" s="1" t="s">
        <v>457</v>
      </c>
      <c r="K4" s="1" t="s">
        <v>978</v>
      </c>
      <c r="L4" s="1" t="s">
        <v>457</v>
      </c>
      <c r="M4" s="1" t="s">
        <v>457</v>
      </c>
      <c r="N4" s="1" t="s">
        <v>979</v>
      </c>
      <c r="O4" s="1" t="s">
        <v>457</v>
      </c>
      <c r="P4" s="1" t="s">
        <v>457</v>
      </c>
      <c r="Q4" s="1" t="s">
        <v>457</v>
      </c>
      <c r="R4" s="1" t="s">
        <v>457</v>
      </c>
      <c r="S4" s="1" t="s">
        <v>457</v>
      </c>
      <c r="T4" s="1" t="s">
        <v>457</v>
      </c>
      <c r="U4" s="1" t="s">
        <v>457</v>
      </c>
      <c r="V4" s="1" t="s">
        <v>457</v>
      </c>
      <c r="W4" s="1" t="s">
        <v>457</v>
      </c>
      <c r="X4" s="1" t="s">
        <v>457</v>
      </c>
      <c r="Y4" s="1" t="s">
        <v>457</v>
      </c>
      <c r="Z4" s="1" t="s">
        <v>457</v>
      </c>
      <c r="AA4" s="1" t="s">
        <v>979</v>
      </c>
      <c r="AB4" s="1" t="s">
        <v>457</v>
      </c>
      <c r="AC4" s="1" t="s">
        <v>457</v>
      </c>
      <c r="AD4" s="1" t="s">
        <v>457</v>
      </c>
      <c r="AE4" s="1" t="s">
        <v>457</v>
      </c>
      <c r="AF4" s="1" t="s">
        <v>979</v>
      </c>
      <c r="AG4" s="1" t="s">
        <v>457</v>
      </c>
      <c r="AH4" s="1" t="s">
        <v>980</v>
      </c>
      <c r="AI4" s="502">
        <v>43056.2297915741</v>
      </c>
    </row>
    <row r="5" spans="1:35">
      <c r="A5" s="1" t="s">
        <v>328</v>
      </c>
      <c r="B5" s="275" t="s">
        <v>459</v>
      </c>
      <c r="C5" s="1" t="s">
        <v>981</v>
      </c>
      <c r="D5" s="1" t="s">
        <v>457</v>
      </c>
      <c r="E5" s="1" t="s">
        <v>457</v>
      </c>
      <c r="F5" s="1" t="s">
        <v>981</v>
      </c>
      <c r="G5" s="1" t="s">
        <v>978</v>
      </c>
      <c r="H5" s="1" t="s">
        <v>981</v>
      </c>
      <c r="I5" s="1"/>
      <c r="J5" s="1" t="s">
        <v>982</v>
      </c>
      <c r="K5" s="1" t="s">
        <v>457</v>
      </c>
      <c r="L5" s="1" t="s">
        <v>457</v>
      </c>
      <c r="M5" s="1" t="s">
        <v>981</v>
      </c>
      <c r="N5" s="1" t="s">
        <v>979</v>
      </c>
      <c r="O5" s="1" t="s">
        <v>981</v>
      </c>
      <c r="P5" s="1" t="s">
        <v>457</v>
      </c>
      <c r="Q5" s="1" t="s">
        <v>981</v>
      </c>
      <c r="R5" s="1" t="s">
        <v>457</v>
      </c>
      <c r="S5" s="1" t="s">
        <v>457</v>
      </c>
      <c r="T5" s="1" t="s">
        <v>457</v>
      </c>
      <c r="U5" s="1" t="s">
        <v>979</v>
      </c>
      <c r="V5" s="1" t="s">
        <v>981</v>
      </c>
      <c r="W5" s="1" t="s">
        <v>982</v>
      </c>
      <c r="X5" s="1" t="s">
        <v>981</v>
      </c>
      <c r="Y5" s="1" t="s">
        <v>457</v>
      </c>
      <c r="Z5" s="1" t="s">
        <v>457</v>
      </c>
      <c r="AA5" s="1" t="s">
        <v>979</v>
      </c>
      <c r="AB5" s="1" t="s">
        <v>978</v>
      </c>
      <c r="AC5" s="1" t="s">
        <v>982</v>
      </c>
      <c r="AD5" s="1" t="s">
        <v>457</v>
      </c>
      <c r="AE5" s="1" t="s">
        <v>979</v>
      </c>
      <c r="AF5" s="1" t="s">
        <v>979</v>
      </c>
      <c r="AG5" s="1" t="s">
        <v>457</v>
      </c>
      <c r="AH5" s="1" t="s">
        <v>983</v>
      </c>
      <c r="AI5" s="502">
        <v>43056.2297915741</v>
      </c>
    </row>
    <row r="6" spans="1:35">
      <c r="A6" s="1" t="s">
        <v>328</v>
      </c>
      <c r="B6" s="275" t="s">
        <v>487</v>
      </c>
      <c r="C6" s="1" t="s">
        <v>984</v>
      </c>
      <c r="D6" s="1" t="s">
        <v>985</v>
      </c>
      <c r="E6" s="1" t="s">
        <v>457</v>
      </c>
      <c r="F6" s="1" t="s">
        <v>963</v>
      </c>
      <c r="G6" s="1" t="s">
        <v>986</v>
      </c>
      <c r="H6" s="1" t="s">
        <v>957</v>
      </c>
      <c r="I6" s="1"/>
      <c r="J6" s="1" t="s">
        <v>976</v>
      </c>
      <c r="K6" s="1" t="s">
        <v>987</v>
      </c>
      <c r="L6" s="1" t="s">
        <v>457</v>
      </c>
      <c r="M6" s="1" t="s">
        <v>988</v>
      </c>
      <c r="N6" s="1" t="s">
        <v>989</v>
      </c>
      <c r="O6" s="1" t="s">
        <v>990</v>
      </c>
      <c r="P6" s="1" t="s">
        <v>990</v>
      </c>
      <c r="Q6" s="1" t="s">
        <v>985</v>
      </c>
      <c r="R6" s="1" t="s">
        <v>986</v>
      </c>
      <c r="S6" s="1" t="s">
        <v>457</v>
      </c>
      <c r="T6" s="1" t="s">
        <v>963</v>
      </c>
      <c r="U6" s="1" t="s">
        <v>986</v>
      </c>
      <c r="V6" s="1" t="s">
        <v>987</v>
      </c>
      <c r="W6" s="1" t="s">
        <v>987</v>
      </c>
      <c r="X6" s="1" t="s">
        <v>991</v>
      </c>
      <c r="Y6" s="1" t="s">
        <v>457</v>
      </c>
      <c r="Z6" s="1" t="s">
        <v>457</v>
      </c>
      <c r="AA6" s="1" t="s">
        <v>987</v>
      </c>
      <c r="AB6" s="1" t="s">
        <v>978</v>
      </c>
      <c r="AC6" s="1" t="s">
        <v>985</v>
      </c>
      <c r="AD6" s="1" t="s">
        <v>990</v>
      </c>
      <c r="AE6" s="1" t="s">
        <v>457</v>
      </c>
      <c r="AF6" s="1" t="s">
        <v>982</v>
      </c>
      <c r="AG6" s="1" t="s">
        <v>457</v>
      </c>
      <c r="AH6" s="1" t="s">
        <v>992</v>
      </c>
      <c r="AI6" s="502">
        <v>43056.2297915741</v>
      </c>
    </row>
    <row r="7" spans="1:35">
      <c r="A7" s="1" t="s">
        <v>328</v>
      </c>
      <c r="B7" s="275" t="s">
        <v>517</v>
      </c>
      <c r="C7" s="1" t="s">
        <v>457</v>
      </c>
      <c r="D7" s="1" t="s">
        <v>457</v>
      </c>
      <c r="E7" s="1" t="s">
        <v>457</v>
      </c>
      <c r="F7" s="1" t="s">
        <v>457</v>
      </c>
      <c r="G7" s="1" t="s">
        <v>457</v>
      </c>
      <c r="H7" s="1" t="s">
        <v>457</v>
      </c>
      <c r="I7" s="1"/>
      <c r="J7" s="1" t="s">
        <v>457</v>
      </c>
      <c r="K7" s="1" t="s">
        <v>457</v>
      </c>
      <c r="L7" s="1" t="s">
        <v>457</v>
      </c>
      <c r="M7" s="1" t="s">
        <v>457</v>
      </c>
      <c r="N7" s="1" t="s">
        <v>457</v>
      </c>
      <c r="O7" s="1" t="s">
        <v>457</v>
      </c>
      <c r="P7" s="1" t="s">
        <v>457</v>
      </c>
      <c r="Q7" s="1" t="s">
        <v>457</v>
      </c>
      <c r="R7" s="1" t="s">
        <v>457</v>
      </c>
      <c r="S7" s="1" t="s">
        <v>457</v>
      </c>
      <c r="T7" s="1" t="s">
        <v>457</v>
      </c>
      <c r="U7" s="1" t="s">
        <v>457</v>
      </c>
      <c r="V7" s="1" t="s">
        <v>457</v>
      </c>
      <c r="W7" s="1" t="s">
        <v>457</v>
      </c>
      <c r="X7" s="1" t="s">
        <v>457</v>
      </c>
      <c r="Y7" s="1" t="s">
        <v>457</v>
      </c>
      <c r="Z7" s="1" t="s">
        <v>457</v>
      </c>
      <c r="AA7" s="1" t="s">
        <v>457</v>
      </c>
      <c r="AB7" s="1" t="s">
        <v>457</v>
      </c>
      <c r="AC7" s="1" t="s">
        <v>457</v>
      </c>
      <c r="AD7" s="1" t="s">
        <v>457</v>
      </c>
      <c r="AE7" s="1" t="s">
        <v>457</v>
      </c>
      <c r="AF7" s="1" t="s">
        <v>457</v>
      </c>
      <c r="AG7" s="1" t="s">
        <v>457</v>
      </c>
      <c r="AH7" s="1" t="s">
        <v>800</v>
      </c>
      <c r="AI7" s="502">
        <v>43056.2297915741</v>
      </c>
    </row>
    <row r="8" spans="1:35">
      <c r="A8" s="1" t="s">
        <v>328</v>
      </c>
      <c r="B8" s="275" t="s">
        <v>518</v>
      </c>
      <c r="C8" s="1" t="s">
        <v>978</v>
      </c>
      <c r="D8" s="1" t="s">
        <v>457</v>
      </c>
      <c r="E8" s="1" t="s">
        <v>457</v>
      </c>
      <c r="F8" s="1" t="s">
        <v>981</v>
      </c>
      <c r="G8" s="1" t="s">
        <v>978</v>
      </c>
      <c r="H8" s="1" t="s">
        <v>978</v>
      </c>
      <c r="I8" s="1"/>
      <c r="J8" s="1" t="s">
        <v>984</v>
      </c>
      <c r="K8" s="1" t="s">
        <v>985</v>
      </c>
      <c r="L8" s="1" t="s">
        <v>457</v>
      </c>
      <c r="M8" s="1" t="s">
        <v>978</v>
      </c>
      <c r="N8" s="1" t="s">
        <v>978</v>
      </c>
      <c r="O8" s="1" t="s">
        <v>990</v>
      </c>
      <c r="P8" s="1" t="s">
        <v>985</v>
      </c>
      <c r="Q8" s="1" t="s">
        <v>981</v>
      </c>
      <c r="R8" s="1" t="s">
        <v>966</v>
      </c>
      <c r="S8" s="1" t="s">
        <v>457</v>
      </c>
      <c r="T8" s="1" t="s">
        <v>993</v>
      </c>
      <c r="U8" s="1" t="s">
        <v>986</v>
      </c>
      <c r="V8" s="1" t="s">
        <v>978</v>
      </c>
      <c r="W8" s="1" t="s">
        <v>978</v>
      </c>
      <c r="X8" s="1" t="s">
        <v>990</v>
      </c>
      <c r="Y8" s="1" t="s">
        <v>457</v>
      </c>
      <c r="Z8" s="1" t="s">
        <v>457</v>
      </c>
      <c r="AA8" s="1" t="s">
        <v>988</v>
      </c>
      <c r="AB8" s="1" t="s">
        <v>994</v>
      </c>
      <c r="AC8" s="1" t="s">
        <v>981</v>
      </c>
      <c r="AD8" s="1" t="s">
        <v>457</v>
      </c>
      <c r="AE8" s="1" t="s">
        <v>979</v>
      </c>
      <c r="AF8" s="1" t="s">
        <v>979</v>
      </c>
      <c r="AG8" s="1" t="s">
        <v>457</v>
      </c>
      <c r="AH8" s="1" t="s">
        <v>995</v>
      </c>
      <c r="AI8" s="502">
        <v>43056.2297915741</v>
      </c>
    </row>
    <row r="9" spans="1:35">
      <c r="A9" s="1" t="s">
        <v>328</v>
      </c>
      <c r="B9" s="275" t="s">
        <v>848</v>
      </c>
      <c r="C9" s="1" t="s">
        <v>457</v>
      </c>
      <c r="D9" s="1" t="s">
        <v>457</v>
      </c>
      <c r="E9" s="1" t="s">
        <v>457</v>
      </c>
      <c r="F9" s="1" t="s">
        <v>457</v>
      </c>
      <c r="G9" s="1" t="s">
        <v>457</v>
      </c>
      <c r="H9" s="1" t="s">
        <v>457</v>
      </c>
      <c r="I9" s="1"/>
      <c r="J9" s="1" t="s">
        <v>457</v>
      </c>
      <c r="K9" s="1" t="s">
        <v>457</v>
      </c>
      <c r="L9" s="1" t="s">
        <v>457</v>
      </c>
      <c r="M9" s="1" t="s">
        <v>457</v>
      </c>
      <c r="N9" s="1" t="s">
        <v>457</v>
      </c>
      <c r="O9" s="1" t="s">
        <v>457</v>
      </c>
      <c r="P9" s="1" t="s">
        <v>457</v>
      </c>
      <c r="Q9" s="1" t="s">
        <v>457</v>
      </c>
      <c r="R9" s="1" t="s">
        <v>981</v>
      </c>
      <c r="S9" s="1" t="s">
        <v>457</v>
      </c>
      <c r="T9" s="1" t="s">
        <v>979</v>
      </c>
      <c r="U9" s="1" t="s">
        <v>981</v>
      </c>
      <c r="V9" s="1" t="s">
        <v>979</v>
      </c>
      <c r="W9" s="1" t="s">
        <v>979</v>
      </c>
      <c r="X9" s="1" t="s">
        <v>457</v>
      </c>
      <c r="Y9" s="1" t="s">
        <v>457</v>
      </c>
      <c r="Z9" s="1" t="s">
        <v>457</v>
      </c>
      <c r="AA9" s="1" t="s">
        <v>457</v>
      </c>
      <c r="AB9" s="1" t="s">
        <v>457</v>
      </c>
      <c r="AC9" s="1" t="s">
        <v>457</v>
      </c>
      <c r="AD9" s="1" t="s">
        <v>457</v>
      </c>
      <c r="AE9" s="1" t="s">
        <v>457</v>
      </c>
      <c r="AF9" s="1" t="s">
        <v>457</v>
      </c>
      <c r="AG9" s="1" t="s">
        <v>457</v>
      </c>
      <c r="AH9" s="1" t="s">
        <v>996</v>
      </c>
      <c r="AI9" s="502">
        <v>43056.2297915741</v>
      </c>
    </row>
    <row r="10" spans="1:35">
      <c r="A10" s="1" t="s">
        <v>328</v>
      </c>
      <c r="B10" s="275" t="s">
        <v>856</v>
      </c>
      <c r="C10" s="1" t="s">
        <v>457</v>
      </c>
      <c r="D10" s="1" t="s">
        <v>457</v>
      </c>
      <c r="E10" s="1" t="s">
        <v>457</v>
      </c>
      <c r="F10" s="1" t="s">
        <v>457</v>
      </c>
      <c r="G10" s="1" t="s">
        <v>457</v>
      </c>
      <c r="H10" s="1" t="s">
        <v>457</v>
      </c>
      <c r="I10" s="1"/>
      <c r="J10" s="1" t="s">
        <v>457</v>
      </c>
      <c r="K10" s="1" t="s">
        <v>457</v>
      </c>
      <c r="L10" s="1" t="s">
        <v>457</v>
      </c>
      <c r="M10" s="1" t="s">
        <v>457</v>
      </c>
      <c r="N10" s="1" t="s">
        <v>457</v>
      </c>
      <c r="O10" s="1" t="s">
        <v>457</v>
      </c>
      <c r="P10" s="1" t="s">
        <v>457</v>
      </c>
      <c r="Q10" s="1" t="s">
        <v>457</v>
      </c>
      <c r="R10" s="1" t="s">
        <v>457</v>
      </c>
      <c r="S10" s="1" t="s">
        <v>457</v>
      </c>
      <c r="T10" s="1" t="s">
        <v>457</v>
      </c>
      <c r="U10" s="1" t="s">
        <v>457</v>
      </c>
      <c r="V10" s="1" t="s">
        <v>457</v>
      </c>
      <c r="W10" s="1" t="s">
        <v>457</v>
      </c>
      <c r="X10" s="1" t="s">
        <v>457</v>
      </c>
      <c r="Y10" s="1" t="s">
        <v>457</v>
      </c>
      <c r="Z10" s="1" t="s">
        <v>457</v>
      </c>
      <c r="AA10" s="1" t="s">
        <v>457</v>
      </c>
      <c r="AB10" s="1" t="s">
        <v>457</v>
      </c>
      <c r="AC10" s="1" t="s">
        <v>457</v>
      </c>
      <c r="AD10" s="1" t="s">
        <v>457</v>
      </c>
      <c r="AE10" s="1" t="s">
        <v>457</v>
      </c>
      <c r="AF10" s="1" t="s">
        <v>457</v>
      </c>
      <c r="AG10" s="1" t="s">
        <v>457</v>
      </c>
      <c r="AH10" s="1" t="s">
        <v>800</v>
      </c>
      <c r="AI10" s="502">
        <v>43056.2297915741</v>
      </c>
    </row>
    <row r="11" spans="1:35">
      <c r="A11" s="1" t="s">
        <v>328</v>
      </c>
      <c r="B11" s="275" t="s">
        <v>857</v>
      </c>
      <c r="C11" s="1" t="s">
        <v>457</v>
      </c>
      <c r="D11" s="1" t="s">
        <v>979</v>
      </c>
      <c r="E11" s="1" t="s">
        <v>457</v>
      </c>
      <c r="F11" s="1" t="s">
        <v>457</v>
      </c>
      <c r="G11" s="1" t="s">
        <v>457</v>
      </c>
      <c r="H11" s="1" t="s">
        <v>986</v>
      </c>
      <c r="I11" s="1"/>
      <c r="J11" s="1" t="s">
        <v>457</v>
      </c>
      <c r="K11" s="1" t="s">
        <v>979</v>
      </c>
      <c r="L11" s="1" t="s">
        <v>457</v>
      </c>
      <c r="M11" s="1" t="s">
        <v>457</v>
      </c>
      <c r="N11" s="1" t="s">
        <v>457</v>
      </c>
      <c r="O11" s="1" t="s">
        <v>979</v>
      </c>
      <c r="P11" s="1" t="s">
        <v>457</v>
      </c>
      <c r="Q11" s="1" t="s">
        <v>457</v>
      </c>
      <c r="R11" s="1" t="s">
        <v>457</v>
      </c>
      <c r="S11" s="1" t="s">
        <v>457</v>
      </c>
      <c r="T11" s="1" t="s">
        <v>979</v>
      </c>
      <c r="U11" s="1" t="s">
        <v>457</v>
      </c>
      <c r="V11" s="1" t="s">
        <v>979</v>
      </c>
      <c r="W11" s="1" t="s">
        <v>457</v>
      </c>
      <c r="X11" s="1" t="s">
        <v>979</v>
      </c>
      <c r="Y11" s="1" t="s">
        <v>457</v>
      </c>
      <c r="Z11" s="1" t="s">
        <v>457</v>
      </c>
      <c r="AA11" s="1" t="s">
        <v>457</v>
      </c>
      <c r="AB11" s="1" t="s">
        <v>979</v>
      </c>
      <c r="AC11" s="1" t="s">
        <v>457</v>
      </c>
      <c r="AD11" s="1" t="s">
        <v>457</v>
      </c>
      <c r="AE11" s="1" t="s">
        <v>457</v>
      </c>
      <c r="AF11" s="1" t="s">
        <v>457</v>
      </c>
      <c r="AG11" s="1" t="s">
        <v>457</v>
      </c>
      <c r="AH11" s="1" t="s">
        <v>997</v>
      </c>
      <c r="AI11" s="502">
        <v>43056.2297915741</v>
      </c>
    </row>
    <row r="12" spans="1:35">
      <c r="A12" s="1" t="s">
        <v>328</v>
      </c>
      <c r="B12" s="275" t="s">
        <v>860</v>
      </c>
      <c r="C12" s="1" t="s">
        <v>994</v>
      </c>
      <c r="D12" s="1" t="s">
        <v>984</v>
      </c>
      <c r="E12" s="1" t="s">
        <v>457</v>
      </c>
      <c r="F12" s="1" t="s">
        <v>998</v>
      </c>
      <c r="G12" s="1" t="s">
        <v>963</v>
      </c>
      <c r="H12" s="1" t="s">
        <v>965</v>
      </c>
      <c r="I12" s="1"/>
      <c r="J12" s="1" t="s">
        <v>998</v>
      </c>
      <c r="K12" s="1" t="s">
        <v>998</v>
      </c>
      <c r="L12" s="1" t="s">
        <v>457</v>
      </c>
      <c r="M12" s="1" t="s">
        <v>988</v>
      </c>
      <c r="N12" s="1" t="s">
        <v>994</v>
      </c>
      <c r="O12" s="1" t="s">
        <v>999</v>
      </c>
      <c r="P12" s="1" t="s">
        <v>965</v>
      </c>
      <c r="Q12" s="1" t="s">
        <v>989</v>
      </c>
      <c r="R12" s="1" t="s">
        <v>987</v>
      </c>
      <c r="S12" s="1" t="s">
        <v>457</v>
      </c>
      <c r="T12" s="1" t="s">
        <v>987</v>
      </c>
      <c r="U12" s="1" t="s">
        <v>957</v>
      </c>
      <c r="V12" s="1" t="s">
        <v>989</v>
      </c>
      <c r="W12" s="1" t="s">
        <v>986</v>
      </c>
      <c r="X12" s="1" t="s">
        <v>976</v>
      </c>
      <c r="Y12" s="1" t="s">
        <v>457</v>
      </c>
      <c r="Z12" s="1" t="s">
        <v>457</v>
      </c>
      <c r="AA12" s="1" t="s">
        <v>1000</v>
      </c>
      <c r="AB12" s="1" t="s">
        <v>965</v>
      </c>
      <c r="AC12" s="1" t="s">
        <v>1001</v>
      </c>
      <c r="AD12" s="1" t="s">
        <v>963</v>
      </c>
      <c r="AE12" s="1" t="s">
        <v>1002</v>
      </c>
      <c r="AF12" s="1" t="s">
        <v>967</v>
      </c>
      <c r="AG12" s="1" t="s">
        <v>457</v>
      </c>
      <c r="AH12" s="1" t="s">
        <v>1003</v>
      </c>
      <c r="AI12" s="502">
        <v>43056.2297915741</v>
      </c>
    </row>
    <row r="13" spans="1:35">
      <c r="A13" s="1" t="s">
        <v>328</v>
      </c>
      <c r="B13" s="275" t="s">
        <v>874</v>
      </c>
      <c r="C13" s="1" t="s">
        <v>981</v>
      </c>
      <c r="D13" s="1" t="s">
        <v>981</v>
      </c>
      <c r="E13" s="1" t="s">
        <v>457</v>
      </c>
      <c r="F13" s="1" t="s">
        <v>990</v>
      </c>
      <c r="G13" s="1" t="s">
        <v>984</v>
      </c>
      <c r="H13" s="1" t="s">
        <v>985</v>
      </c>
      <c r="I13" s="1"/>
      <c r="J13" s="1" t="s">
        <v>457</v>
      </c>
      <c r="K13" s="1" t="s">
        <v>457</v>
      </c>
      <c r="L13" s="1" t="s">
        <v>457</v>
      </c>
      <c r="M13" s="1" t="s">
        <v>457</v>
      </c>
      <c r="N13" s="1" t="s">
        <v>982</v>
      </c>
      <c r="O13" s="1" t="s">
        <v>982</v>
      </c>
      <c r="P13" s="1" t="s">
        <v>994</v>
      </c>
      <c r="Q13" s="1" t="s">
        <v>985</v>
      </c>
      <c r="R13" s="1" t="s">
        <v>978</v>
      </c>
      <c r="S13" s="1" t="s">
        <v>457</v>
      </c>
      <c r="T13" s="1" t="s">
        <v>979</v>
      </c>
      <c r="U13" s="1" t="s">
        <v>982</v>
      </c>
      <c r="V13" s="1" t="s">
        <v>979</v>
      </c>
      <c r="W13" s="1" t="s">
        <v>978</v>
      </c>
      <c r="X13" s="1" t="s">
        <v>994</v>
      </c>
      <c r="Y13" s="1" t="s">
        <v>457</v>
      </c>
      <c r="Z13" s="1" t="s">
        <v>457</v>
      </c>
      <c r="AA13" s="1" t="s">
        <v>998</v>
      </c>
      <c r="AB13" s="1" t="s">
        <v>982</v>
      </c>
      <c r="AC13" s="1" t="s">
        <v>979</v>
      </c>
      <c r="AD13" s="1" t="s">
        <v>984</v>
      </c>
      <c r="AE13" s="1" t="s">
        <v>984</v>
      </c>
      <c r="AF13" s="1" t="s">
        <v>982</v>
      </c>
      <c r="AG13" s="1" t="s">
        <v>457</v>
      </c>
      <c r="AH13" s="1" t="s">
        <v>863</v>
      </c>
      <c r="AI13" s="502">
        <v>43056.2297915741</v>
      </c>
    </row>
    <row r="14" spans="1:35">
      <c r="A14" s="1" t="s">
        <v>328</v>
      </c>
      <c r="B14" s="275" t="s">
        <v>892</v>
      </c>
      <c r="C14" s="1" t="s">
        <v>457</v>
      </c>
      <c r="D14" s="1" t="s">
        <v>457</v>
      </c>
      <c r="E14" s="1" t="s">
        <v>457</v>
      </c>
      <c r="F14" s="1" t="s">
        <v>457</v>
      </c>
      <c r="G14" s="1" t="s">
        <v>457</v>
      </c>
      <c r="H14" s="1" t="s">
        <v>457</v>
      </c>
      <c r="I14" s="1"/>
      <c r="J14" s="1" t="s">
        <v>457</v>
      </c>
      <c r="K14" s="1" t="s">
        <v>457</v>
      </c>
      <c r="L14" s="1" t="s">
        <v>457</v>
      </c>
      <c r="M14" s="1" t="s">
        <v>457</v>
      </c>
      <c r="N14" s="1" t="s">
        <v>457</v>
      </c>
      <c r="O14" s="1" t="s">
        <v>457</v>
      </c>
      <c r="P14" s="1" t="s">
        <v>457</v>
      </c>
      <c r="Q14" s="1" t="s">
        <v>457</v>
      </c>
      <c r="R14" s="1" t="s">
        <v>457</v>
      </c>
      <c r="S14" s="1" t="s">
        <v>457</v>
      </c>
      <c r="T14" s="1" t="s">
        <v>457</v>
      </c>
      <c r="U14" s="1" t="s">
        <v>457</v>
      </c>
      <c r="V14" s="1" t="s">
        <v>457</v>
      </c>
      <c r="W14" s="1" t="s">
        <v>457</v>
      </c>
      <c r="X14" s="1" t="s">
        <v>457</v>
      </c>
      <c r="Y14" s="1" t="s">
        <v>457</v>
      </c>
      <c r="Z14" s="1" t="s">
        <v>457</v>
      </c>
      <c r="AA14" s="1" t="s">
        <v>457</v>
      </c>
      <c r="AB14" s="1" t="s">
        <v>457</v>
      </c>
      <c r="AC14" s="1" t="s">
        <v>457</v>
      </c>
      <c r="AD14" s="1" t="s">
        <v>457</v>
      </c>
      <c r="AE14" s="1" t="s">
        <v>457</v>
      </c>
      <c r="AF14" s="1" t="s">
        <v>457</v>
      </c>
      <c r="AG14" s="1" t="s">
        <v>457</v>
      </c>
      <c r="AH14" s="1" t="s">
        <v>800</v>
      </c>
      <c r="AI14" s="502">
        <v>43056.2297915741</v>
      </c>
    </row>
    <row r="15" spans="1:35">
      <c r="A15" s="1" t="s">
        <v>328</v>
      </c>
      <c r="B15" s="275" t="s">
        <v>921</v>
      </c>
      <c r="C15" s="1" t="s">
        <v>457</v>
      </c>
      <c r="D15" s="1" t="s">
        <v>457</v>
      </c>
      <c r="E15" s="1" t="s">
        <v>457</v>
      </c>
      <c r="F15" s="1" t="s">
        <v>457</v>
      </c>
      <c r="G15" s="1" t="s">
        <v>457</v>
      </c>
      <c r="H15" s="1" t="s">
        <v>457</v>
      </c>
      <c r="I15" s="1"/>
      <c r="J15" s="1" t="s">
        <v>457</v>
      </c>
      <c r="K15" s="1" t="s">
        <v>457</v>
      </c>
      <c r="L15" s="1" t="s">
        <v>457</v>
      </c>
      <c r="M15" s="1" t="s">
        <v>457</v>
      </c>
      <c r="N15" s="1" t="s">
        <v>457</v>
      </c>
      <c r="O15" s="1" t="s">
        <v>457</v>
      </c>
      <c r="P15" s="1" t="s">
        <v>457</v>
      </c>
      <c r="Q15" s="1" t="s">
        <v>457</v>
      </c>
      <c r="R15" s="1" t="s">
        <v>457</v>
      </c>
      <c r="S15" s="1" t="s">
        <v>457</v>
      </c>
      <c r="T15" s="1" t="s">
        <v>457</v>
      </c>
      <c r="U15" s="1" t="s">
        <v>457</v>
      </c>
      <c r="V15" s="1" t="s">
        <v>457</v>
      </c>
      <c r="W15" s="1" t="s">
        <v>457</v>
      </c>
      <c r="X15" s="1" t="s">
        <v>457</v>
      </c>
      <c r="Y15" s="1" t="s">
        <v>457</v>
      </c>
      <c r="Z15" s="1" t="s">
        <v>457</v>
      </c>
      <c r="AA15" s="1" t="s">
        <v>457</v>
      </c>
      <c r="AB15" s="1" t="s">
        <v>457</v>
      </c>
      <c r="AC15" s="1" t="s">
        <v>457</v>
      </c>
      <c r="AD15" s="1" t="s">
        <v>457</v>
      </c>
      <c r="AE15" s="1" t="s">
        <v>457</v>
      </c>
      <c r="AF15" s="1" t="s">
        <v>457</v>
      </c>
      <c r="AG15" s="1" t="s">
        <v>457</v>
      </c>
      <c r="AH15" s="1" t="s">
        <v>800</v>
      </c>
      <c r="AI15" s="502">
        <v>43056.2297915741</v>
      </c>
    </row>
    <row r="16" spans="1:35">
      <c r="A16" s="1" t="s">
        <v>328</v>
      </c>
      <c r="B16" s="275" t="s">
        <v>922</v>
      </c>
      <c r="C16" s="1" t="s">
        <v>457</v>
      </c>
      <c r="D16" s="1" t="s">
        <v>457</v>
      </c>
      <c r="E16" s="1" t="s">
        <v>457</v>
      </c>
      <c r="F16" s="1" t="s">
        <v>457</v>
      </c>
      <c r="G16" s="1" t="s">
        <v>457</v>
      </c>
      <c r="H16" s="1" t="s">
        <v>457</v>
      </c>
      <c r="I16" s="1"/>
      <c r="J16" s="1" t="s">
        <v>457</v>
      </c>
      <c r="K16" s="1" t="s">
        <v>457</v>
      </c>
      <c r="L16" s="1" t="s">
        <v>457</v>
      </c>
      <c r="M16" s="1" t="s">
        <v>457</v>
      </c>
      <c r="N16" s="1" t="s">
        <v>457</v>
      </c>
      <c r="O16" s="1" t="s">
        <v>457</v>
      </c>
      <c r="P16" s="1" t="s">
        <v>457</v>
      </c>
      <c r="Q16" s="1" t="s">
        <v>457</v>
      </c>
      <c r="R16" s="1" t="s">
        <v>457</v>
      </c>
      <c r="S16" s="1" t="s">
        <v>457</v>
      </c>
      <c r="T16" s="1" t="s">
        <v>457</v>
      </c>
      <c r="U16" s="1" t="s">
        <v>457</v>
      </c>
      <c r="V16" s="1" t="s">
        <v>457</v>
      </c>
      <c r="W16" s="1" t="s">
        <v>457</v>
      </c>
      <c r="X16" s="1" t="s">
        <v>457</v>
      </c>
      <c r="Y16" s="1" t="s">
        <v>457</v>
      </c>
      <c r="Z16" s="1" t="s">
        <v>457</v>
      </c>
      <c r="AA16" s="1" t="s">
        <v>457</v>
      </c>
      <c r="AB16" s="1" t="s">
        <v>457</v>
      </c>
      <c r="AC16" s="1" t="s">
        <v>457</v>
      </c>
      <c r="AD16" s="1" t="s">
        <v>457</v>
      </c>
      <c r="AE16" s="1" t="s">
        <v>457</v>
      </c>
      <c r="AF16" s="1" t="s">
        <v>457</v>
      </c>
      <c r="AG16" s="1" t="s">
        <v>457</v>
      </c>
      <c r="AH16" s="1" t="s">
        <v>800</v>
      </c>
      <c r="AI16" s="502">
        <v>43056.2297915741</v>
      </c>
    </row>
    <row r="17" spans="1:35">
      <c r="A17" s="1" t="s">
        <v>328</v>
      </c>
      <c r="B17" s="275" t="s">
        <v>923</v>
      </c>
      <c r="C17" s="1" t="s">
        <v>457</v>
      </c>
      <c r="D17" s="1" t="s">
        <v>457</v>
      </c>
      <c r="E17" s="1" t="s">
        <v>457</v>
      </c>
      <c r="F17" s="1" t="s">
        <v>457</v>
      </c>
      <c r="G17" s="1" t="s">
        <v>457</v>
      </c>
      <c r="H17" s="1" t="s">
        <v>457</v>
      </c>
      <c r="I17" s="1"/>
      <c r="J17" s="1" t="s">
        <v>457</v>
      </c>
      <c r="K17" s="1" t="s">
        <v>457</v>
      </c>
      <c r="L17" s="1" t="s">
        <v>457</v>
      </c>
      <c r="M17" s="1" t="s">
        <v>457</v>
      </c>
      <c r="N17" s="1" t="s">
        <v>457</v>
      </c>
      <c r="O17" s="1" t="s">
        <v>457</v>
      </c>
      <c r="P17" s="1" t="s">
        <v>457</v>
      </c>
      <c r="Q17" s="1" t="s">
        <v>457</v>
      </c>
      <c r="R17" s="1" t="s">
        <v>457</v>
      </c>
      <c r="S17" s="1" t="s">
        <v>457</v>
      </c>
      <c r="T17" s="1" t="s">
        <v>457</v>
      </c>
      <c r="U17" s="1" t="s">
        <v>457</v>
      </c>
      <c r="V17" s="1" t="s">
        <v>457</v>
      </c>
      <c r="W17" s="1" t="s">
        <v>457</v>
      </c>
      <c r="X17" s="1" t="s">
        <v>457</v>
      </c>
      <c r="Y17" s="1" t="s">
        <v>457</v>
      </c>
      <c r="Z17" s="1" t="s">
        <v>457</v>
      </c>
      <c r="AA17" s="1" t="s">
        <v>457</v>
      </c>
      <c r="AB17" s="1" t="s">
        <v>457</v>
      </c>
      <c r="AC17" s="1" t="s">
        <v>457</v>
      </c>
      <c r="AD17" s="1" t="s">
        <v>457</v>
      </c>
      <c r="AE17" s="1" t="s">
        <v>457</v>
      </c>
      <c r="AF17" s="1" t="s">
        <v>457</v>
      </c>
      <c r="AG17" s="1" t="s">
        <v>457</v>
      </c>
      <c r="AH17" s="1" t="s">
        <v>800</v>
      </c>
      <c r="AI17" s="502">
        <v>43056.2297915741</v>
      </c>
    </row>
    <row r="18" spans="1:35">
      <c r="A18" s="1" t="s">
        <v>328</v>
      </c>
      <c r="B18" s="275" t="s">
        <v>924</v>
      </c>
      <c r="C18" s="1" t="s">
        <v>457</v>
      </c>
      <c r="D18" s="1" t="s">
        <v>457</v>
      </c>
      <c r="E18" s="1" t="s">
        <v>457</v>
      </c>
      <c r="F18" s="1" t="s">
        <v>457</v>
      </c>
      <c r="G18" s="1" t="s">
        <v>457</v>
      </c>
      <c r="H18" s="1" t="s">
        <v>457</v>
      </c>
      <c r="I18" s="1"/>
      <c r="J18" s="1" t="s">
        <v>457</v>
      </c>
      <c r="K18" s="1" t="s">
        <v>457</v>
      </c>
      <c r="L18" s="1" t="s">
        <v>457</v>
      </c>
      <c r="M18" s="1" t="s">
        <v>457</v>
      </c>
      <c r="N18" s="1" t="s">
        <v>457</v>
      </c>
      <c r="O18" s="1" t="s">
        <v>457</v>
      </c>
      <c r="P18" s="1" t="s">
        <v>457</v>
      </c>
      <c r="Q18" s="1" t="s">
        <v>457</v>
      </c>
      <c r="R18" s="1" t="s">
        <v>457</v>
      </c>
      <c r="S18" s="1" t="s">
        <v>457</v>
      </c>
      <c r="T18" s="1" t="s">
        <v>457</v>
      </c>
      <c r="U18" s="1" t="s">
        <v>457</v>
      </c>
      <c r="V18" s="1" t="s">
        <v>457</v>
      </c>
      <c r="W18" s="1" t="s">
        <v>457</v>
      </c>
      <c r="X18" s="1" t="s">
        <v>457</v>
      </c>
      <c r="Y18" s="1" t="s">
        <v>457</v>
      </c>
      <c r="Z18" s="1" t="s">
        <v>457</v>
      </c>
      <c r="AA18" s="1" t="s">
        <v>457</v>
      </c>
      <c r="AB18" s="1" t="s">
        <v>457</v>
      </c>
      <c r="AC18" s="1" t="s">
        <v>457</v>
      </c>
      <c r="AD18" s="1" t="s">
        <v>457</v>
      </c>
      <c r="AE18" s="1" t="s">
        <v>457</v>
      </c>
      <c r="AF18" s="1" t="s">
        <v>457</v>
      </c>
      <c r="AG18" s="1" t="s">
        <v>457</v>
      </c>
      <c r="AH18" s="1" t="s">
        <v>800</v>
      </c>
      <c r="AI18" s="502">
        <v>43056.2297915741</v>
      </c>
    </row>
    <row r="19" spans="1:35">
      <c r="A19" s="1" t="s">
        <v>328</v>
      </c>
      <c r="B19" s="275" t="s">
        <v>925</v>
      </c>
      <c r="C19" s="1" t="s">
        <v>457</v>
      </c>
      <c r="D19" s="1" t="s">
        <v>457</v>
      </c>
      <c r="E19" s="1" t="s">
        <v>457</v>
      </c>
      <c r="F19" s="1" t="s">
        <v>457</v>
      </c>
      <c r="G19" s="1" t="s">
        <v>457</v>
      </c>
      <c r="H19" s="1" t="s">
        <v>457</v>
      </c>
      <c r="I19" s="1"/>
      <c r="J19" s="1" t="s">
        <v>457</v>
      </c>
      <c r="K19" s="1" t="s">
        <v>457</v>
      </c>
      <c r="L19" s="1" t="s">
        <v>457</v>
      </c>
      <c r="M19" s="1" t="s">
        <v>457</v>
      </c>
      <c r="N19" s="1" t="s">
        <v>457</v>
      </c>
      <c r="O19" s="1" t="s">
        <v>457</v>
      </c>
      <c r="P19" s="1" t="s">
        <v>457</v>
      </c>
      <c r="Q19" s="1" t="s">
        <v>457</v>
      </c>
      <c r="R19" s="1" t="s">
        <v>457</v>
      </c>
      <c r="S19" s="1" t="s">
        <v>457</v>
      </c>
      <c r="T19" s="1" t="s">
        <v>457</v>
      </c>
      <c r="U19" s="1" t="s">
        <v>457</v>
      </c>
      <c r="V19" s="1" t="s">
        <v>457</v>
      </c>
      <c r="W19" s="1" t="s">
        <v>457</v>
      </c>
      <c r="X19" s="1" t="s">
        <v>457</v>
      </c>
      <c r="Y19" s="1" t="s">
        <v>457</v>
      </c>
      <c r="Z19" s="1" t="s">
        <v>457</v>
      </c>
      <c r="AA19" s="1" t="s">
        <v>457</v>
      </c>
      <c r="AB19" s="1" t="s">
        <v>457</v>
      </c>
      <c r="AC19" s="1" t="s">
        <v>457</v>
      </c>
      <c r="AD19" s="1" t="s">
        <v>457</v>
      </c>
      <c r="AE19" s="1" t="s">
        <v>457</v>
      </c>
      <c r="AF19" s="1" t="s">
        <v>457</v>
      </c>
      <c r="AG19" s="1" t="s">
        <v>457</v>
      </c>
      <c r="AH19" s="1" t="s">
        <v>800</v>
      </c>
      <c r="AI19" s="502">
        <v>43056.2297915741</v>
      </c>
    </row>
    <row r="20" spans="1:35">
      <c r="A20" s="503" t="s">
        <v>328</v>
      </c>
      <c r="B20" s="275" t="s">
        <v>926</v>
      </c>
      <c r="C20" s="503" t="s">
        <v>1004</v>
      </c>
      <c r="D20" s="503" t="s">
        <v>1005</v>
      </c>
      <c r="E20" s="503" t="s">
        <v>457</v>
      </c>
      <c r="F20" s="503" t="s">
        <v>1006</v>
      </c>
      <c r="G20" s="503" t="s">
        <v>1007</v>
      </c>
      <c r="H20" s="503" t="s">
        <v>968</v>
      </c>
      <c r="I20" s="503"/>
      <c r="J20" s="503" t="s">
        <v>991</v>
      </c>
      <c r="K20" s="503" t="s">
        <v>1002</v>
      </c>
      <c r="L20" s="503" t="s">
        <v>457</v>
      </c>
      <c r="M20" s="503" t="s">
        <v>1008</v>
      </c>
      <c r="N20" s="503" t="s">
        <v>1004</v>
      </c>
      <c r="O20" s="503" t="s">
        <v>1005</v>
      </c>
      <c r="P20" s="503" t="s">
        <v>961</v>
      </c>
      <c r="Q20" s="503" t="s">
        <v>993</v>
      </c>
      <c r="R20" s="503" t="s">
        <v>962</v>
      </c>
      <c r="S20" s="503" t="s">
        <v>457</v>
      </c>
      <c r="T20" s="503" t="s">
        <v>973</v>
      </c>
      <c r="U20" s="503" t="s">
        <v>964</v>
      </c>
      <c r="V20" s="503" t="s">
        <v>989</v>
      </c>
      <c r="W20" s="503" t="s">
        <v>989</v>
      </c>
      <c r="X20" s="503" t="s">
        <v>991</v>
      </c>
      <c r="Y20" s="503" t="s">
        <v>457</v>
      </c>
      <c r="Z20" s="503" t="s">
        <v>457</v>
      </c>
      <c r="AA20" s="503" t="s">
        <v>970</v>
      </c>
      <c r="AB20" s="503" t="s">
        <v>975</v>
      </c>
      <c r="AC20" s="503" t="s">
        <v>964</v>
      </c>
      <c r="AD20" s="503" t="s">
        <v>975</v>
      </c>
      <c r="AE20" s="503" t="s">
        <v>988</v>
      </c>
      <c r="AF20" s="503" t="s">
        <v>998</v>
      </c>
      <c r="AG20" s="503" t="s">
        <v>457</v>
      </c>
      <c r="AH20" s="503" t="s">
        <v>1009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913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1010</v>
      </c>
      <c r="D2" s="1" t="s">
        <v>1011</v>
      </c>
      <c r="E2" s="1" t="s">
        <v>1012</v>
      </c>
      <c r="F2" s="1" t="s">
        <v>1013</v>
      </c>
      <c r="G2" s="1" t="s">
        <v>1014</v>
      </c>
      <c r="H2" s="1" t="s">
        <v>1015</v>
      </c>
      <c r="I2" s="1" t="s">
        <v>1016</v>
      </c>
      <c r="J2" s="1" t="s">
        <v>1017</v>
      </c>
      <c r="K2" s="1" t="s">
        <v>1018</v>
      </c>
      <c r="L2" s="1" t="s">
        <v>1018</v>
      </c>
      <c r="M2" s="1" t="s">
        <v>1019</v>
      </c>
      <c r="N2" s="1" t="s">
        <v>1020</v>
      </c>
      <c r="O2" s="1" t="s">
        <v>1021</v>
      </c>
      <c r="P2" s="1" t="s">
        <v>1022</v>
      </c>
      <c r="Q2" s="1" t="s">
        <v>1023</v>
      </c>
      <c r="R2" s="1" t="s">
        <v>1024</v>
      </c>
      <c r="S2" s="1" t="s">
        <v>1025</v>
      </c>
      <c r="T2" s="1" t="s">
        <v>1026</v>
      </c>
      <c r="U2" s="1" t="s">
        <v>1027</v>
      </c>
      <c r="V2" s="1" t="s">
        <v>1028</v>
      </c>
      <c r="W2" s="1" t="s">
        <v>1029</v>
      </c>
      <c r="X2" s="1" t="s">
        <v>1030</v>
      </c>
      <c r="Y2" s="1" t="s">
        <v>1031</v>
      </c>
      <c r="Z2" s="1" t="s">
        <v>1032</v>
      </c>
      <c r="AA2" s="1" t="s">
        <v>1033</v>
      </c>
      <c r="AB2" s="1" t="s">
        <v>1034</v>
      </c>
      <c r="AC2" s="1" t="s">
        <v>1035</v>
      </c>
      <c r="AD2" s="1" t="s">
        <v>1036</v>
      </c>
      <c r="AE2" s="1" t="s">
        <v>1037</v>
      </c>
      <c r="AF2" s="1" t="s">
        <v>1038</v>
      </c>
      <c r="AG2" s="1" t="s">
        <v>1039</v>
      </c>
      <c r="AH2" s="1" t="s">
        <v>1040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1041</v>
      </c>
      <c r="D3" s="1" t="s">
        <v>1042</v>
      </c>
      <c r="E3" s="1" t="s">
        <v>1043</v>
      </c>
      <c r="F3" s="1" t="s">
        <v>1044</v>
      </c>
      <c r="G3" s="1" t="s">
        <v>1045</v>
      </c>
      <c r="H3" s="1" t="s">
        <v>1046</v>
      </c>
      <c r="I3" s="1" t="s">
        <v>1047</v>
      </c>
      <c r="J3" s="1" t="s">
        <v>1048</v>
      </c>
      <c r="K3" s="1" t="s">
        <v>1049</v>
      </c>
      <c r="L3" s="1" t="s">
        <v>1049</v>
      </c>
      <c r="M3" s="1" t="s">
        <v>1050</v>
      </c>
      <c r="N3" s="1" t="s">
        <v>1051</v>
      </c>
      <c r="O3" s="1" t="s">
        <v>1052</v>
      </c>
      <c r="P3" s="1" t="s">
        <v>1053</v>
      </c>
      <c r="Q3" s="1" t="s">
        <v>1054</v>
      </c>
      <c r="R3" s="1" t="s">
        <v>1055</v>
      </c>
      <c r="S3" s="1" t="s">
        <v>1056</v>
      </c>
      <c r="T3" s="1" t="s">
        <v>1057</v>
      </c>
      <c r="U3" s="1" t="s">
        <v>1058</v>
      </c>
      <c r="V3" s="1" t="s">
        <v>1059</v>
      </c>
      <c r="W3" s="1" t="s">
        <v>1060</v>
      </c>
      <c r="X3" s="1" t="s">
        <v>1061</v>
      </c>
      <c r="Y3" s="1" t="s">
        <v>1062</v>
      </c>
      <c r="Z3" s="1" t="s">
        <v>1063</v>
      </c>
      <c r="AA3" s="1" t="s">
        <v>1064</v>
      </c>
      <c r="AB3" s="1" t="s">
        <v>1065</v>
      </c>
      <c r="AC3" s="1" t="s">
        <v>1066</v>
      </c>
      <c r="AD3" s="1" t="s">
        <v>1067</v>
      </c>
      <c r="AE3" s="1" t="s">
        <v>1068</v>
      </c>
      <c r="AF3" s="1" t="s">
        <v>1069</v>
      </c>
      <c r="AG3" s="1" t="s">
        <v>1070</v>
      </c>
      <c r="AH3" s="1" t="s">
        <v>1071</v>
      </c>
      <c r="AI3" s="502">
        <v>43056.229888680602</v>
      </c>
    </row>
    <row r="4" spans="1:35">
      <c r="A4" s="1" t="s">
        <v>328</v>
      </c>
      <c r="B4" s="1" t="s">
        <v>915</v>
      </c>
      <c r="C4" s="1" t="s">
        <v>1072</v>
      </c>
      <c r="D4" s="1" t="s">
        <v>1073</v>
      </c>
      <c r="E4" s="1" t="s">
        <v>1073</v>
      </c>
      <c r="F4" s="1" t="s">
        <v>1074</v>
      </c>
      <c r="G4" s="1" t="s">
        <v>1075</v>
      </c>
      <c r="H4" s="1" t="s">
        <v>1076</v>
      </c>
      <c r="I4" s="1" t="s">
        <v>1077</v>
      </c>
      <c r="J4" s="1" t="s">
        <v>1078</v>
      </c>
      <c r="K4" s="1" t="s">
        <v>1079</v>
      </c>
      <c r="L4" s="1" t="s">
        <v>1080</v>
      </c>
      <c r="M4" s="1" t="s">
        <v>1081</v>
      </c>
      <c r="N4" s="1" t="s">
        <v>1082</v>
      </c>
      <c r="O4" s="1" t="s">
        <v>1083</v>
      </c>
      <c r="P4" s="1" t="s">
        <v>1084</v>
      </c>
      <c r="Q4" s="1" t="s">
        <v>1085</v>
      </c>
      <c r="R4" s="1" t="s">
        <v>1086</v>
      </c>
      <c r="S4" s="1" t="s">
        <v>1086</v>
      </c>
      <c r="T4" s="1" t="s">
        <v>1087</v>
      </c>
      <c r="U4" s="1" t="s">
        <v>1088</v>
      </c>
      <c r="V4" s="1" t="s">
        <v>1089</v>
      </c>
      <c r="W4" s="1" t="s">
        <v>1090</v>
      </c>
      <c r="X4" s="1" t="s">
        <v>1091</v>
      </c>
      <c r="Y4" s="1" t="s">
        <v>1092</v>
      </c>
      <c r="Z4" s="1" t="s">
        <v>1093</v>
      </c>
      <c r="AA4" s="306" t="s">
        <v>1094</v>
      </c>
      <c r="AB4" s="1" t="s">
        <v>1095</v>
      </c>
      <c r="AC4" s="1" t="s">
        <v>1096</v>
      </c>
      <c r="AD4" s="1" t="s">
        <v>1097</v>
      </c>
      <c r="AE4" s="1" t="s">
        <v>1098</v>
      </c>
      <c r="AF4" s="1" t="s">
        <v>1099</v>
      </c>
      <c r="AG4" s="1" t="s">
        <v>1100</v>
      </c>
      <c r="AH4" s="1" t="s">
        <v>1101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913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1102</v>
      </c>
      <c r="E2" s="1" t="s">
        <v>1103</v>
      </c>
      <c r="F2" s="1" t="s">
        <v>1103</v>
      </c>
      <c r="G2" s="1" t="s">
        <v>1104</v>
      </c>
      <c r="H2" s="1" t="s">
        <v>1105</v>
      </c>
      <c r="I2" s="1" t="s">
        <v>1106</v>
      </c>
      <c r="J2" s="1" t="s">
        <v>1107</v>
      </c>
      <c r="K2" s="1" t="s">
        <v>1108</v>
      </c>
      <c r="L2" s="1" t="s">
        <v>1109</v>
      </c>
      <c r="M2" s="1" t="s">
        <v>1109</v>
      </c>
      <c r="N2" s="1" t="s">
        <v>1110</v>
      </c>
      <c r="O2" s="1" t="s">
        <v>1111</v>
      </c>
      <c r="P2" s="1" t="s">
        <v>1112</v>
      </c>
      <c r="Q2" s="1" t="s">
        <v>1113</v>
      </c>
      <c r="R2" s="1" t="s">
        <v>1114</v>
      </c>
      <c r="S2" s="1" t="s">
        <v>1115</v>
      </c>
      <c r="T2" s="1" t="s">
        <v>1115</v>
      </c>
      <c r="U2" s="1" t="s">
        <v>1116</v>
      </c>
      <c r="V2" s="1" t="s">
        <v>1117</v>
      </c>
      <c r="W2" s="1" t="s">
        <v>1118</v>
      </c>
      <c r="X2" s="1" t="s">
        <v>1119</v>
      </c>
      <c r="Y2" s="1" t="s">
        <v>1120</v>
      </c>
      <c r="Z2" s="1" t="s">
        <v>1120</v>
      </c>
      <c r="AA2" s="1" t="s">
        <v>1120</v>
      </c>
      <c r="AB2" s="1" t="s">
        <v>1121</v>
      </c>
      <c r="AC2" s="1" t="s">
        <v>1122</v>
      </c>
      <c r="AD2" s="1" t="s">
        <v>1123</v>
      </c>
      <c r="AE2" s="1" t="s">
        <v>1124</v>
      </c>
      <c r="AF2" s="1" t="s">
        <v>1125</v>
      </c>
      <c r="AG2" s="1" t="s">
        <v>1126</v>
      </c>
      <c r="AH2" s="1" t="s">
        <v>1126</v>
      </c>
      <c r="AI2" s="1" t="s">
        <v>1127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1128</v>
      </c>
      <c r="E3" s="1" t="s">
        <v>1129</v>
      </c>
      <c r="F3" s="1" t="s">
        <v>1129</v>
      </c>
      <c r="G3" s="1" t="s">
        <v>1130</v>
      </c>
      <c r="H3" s="1" t="s">
        <v>1131</v>
      </c>
      <c r="I3" s="1" t="s">
        <v>1132</v>
      </c>
      <c r="J3" s="1" t="s">
        <v>1133</v>
      </c>
      <c r="K3" s="1" t="s">
        <v>1134</v>
      </c>
      <c r="L3" s="1" t="s">
        <v>1135</v>
      </c>
      <c r="M3" s="1" t="s">
        <v>1135</v>
      </c>
      <c r="N3" s="1" t="s">
        <v>1136</v>
      </c>
      <c r="O3" s="1" t="s">
        <v>1137</v>
      </c>
      <c r="P3" s="1" t="s">
        <v>1138</v>
      </c>
      <c r="Q3" s="1" t="s">
        <v>1139</v>
      </c>
      <c r="R3" s="1" t="s">
        <v>1140</v>
      </c>
      <c r="S3" s="1" t="s">
        <v>1141</v>
      </c>
      <c r="T3" s="1" t="s">
        <v>1141</v>
      </c>
      <c r="U3" s="1" t="s">
        <v>1142</v>
      </c>
      <c r="V3" s="1" t="s">
        <v>1143</v>
      </c>
      <c r="W3" s="1" t="s">
        <v>1144</v>
      </c>
      <c r="X3" s="1" t="s">
        <v>1145</v>
      </c>
      <c r="Y3" s="1" t="s">
        <v>1146</v>
      </c>
      <c r="Z3" s="1" t="s">
        <v>1146</v>
      </c>
      <c r="AA3" s="1" t="s">
        <v>1146</v>
      </c>
      <c r="AB3" s="1" t="s">
        <v>1147</v>
      </c>
      <c r="AC3" s="1" t="s">
        <v>1148</v>
      </c>
      <c r="AD3" s="1" t="s">
        <v>1149</v>
      </c>
      <c r="AE3" s="1" t="s">
        <v>1150</v>
      </c>
      <c r="AF3" s="1" t="s">
        <v>1151</v>
      </c>
      <c r="AG3" s="1" t="s">
        <v>1151</v>
      </c>
      <c r="AH3" s="1" t="s">
        <v>1151</v>
      </c>
      <c r="AI3" s="1" t="s">
        <v>1152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915</v>
      </c>
      <c r="D4" s="1" t="s">
        <v>1153</v>
      </c>
      <c r="E4" s="1" t="s">
        <v>1153</v>
      </c>
      <c r="F4" s="1" t="s">
        <v>1153</v>
      </c>
      <c r="G4" s="1" t="s">
        <v>1154</v>
      </c>
      <c r="H4" s="1" t="s">
        <v>1155</v>
      </c>
      <c r="I4" s="1" t="s">
        <v>1156</v>
      </c>
      <c r="J4" s="1" t="s">
        <v>1157</v>
      </c>
      <c r="K4" s="1" t="s">
        <v>1158</v>
      </c>
      <c r="L4" s="1" t="s">
        <v>1158</v>
      </c>
      <c r="M4" s="1" t="s">
        <v>1158</v>
      </c>
      <c r="N4" s="1" t="s">
        <v>1159</v>
      </c>
      <c r="O4" s="1" t="s">
        <v>1160</v>
      </c>
      <c r="P4" s="1" t="s">
        <v>1161</v>
      </c>
      <c r="Q4" s="1" t="s">
        <v>1162</v>
      </c>
      <c r="R4" s="1" t="s">
        <v>1163</v>
      </c>
      <c r="S4" s="1" t="s">
        <v>1163</v>
      </c>
      <c r="T4" s="1" t="s">
        <v>1163</v>
      </c>
      <c r="U4" s="1" t="s">
        <v>1164</v>
      </c>
      <c r="V4" s="1" t="s">
        <v>1165</v>
      </c>
      <c r="W4" s="1" t="s">
        <v>1166</v>
      </c>
      <c r="X4" s="1" t="s">
        <v>1167</v>
      </c>
      <c r="Y4" s="1" t="s">
        <v>1167</v>
      </c>
      <c r="Z4" s="1" t="s">
        <v>1167</v>
      </c>
      <c r="AA4" s="1" t="s">
        <v>1167</v>
      </c>
      <c r="AB4" s="1" t="s">
        <v>1167</v>
      </c>
      <c r="AC4" s="1" t="s">
        <v>1168</v>
      </c>
      <c r="AD4" s="1" t="s">
        <v>1169</v>
      </c>
      <c r="AE4" s="1" t="s">
        <v>1170</v>
      </c>
      <c r="AF4" s="1" t="s">
        <v>1171</v>
      </c>
      <c r="AG4" s="1" t="s">
        <v>1172</v>
      </c>
      <c r="AH4" s="1" t="s">
        <v>1172</v>
      </c>
      <c r="AI4" s="1" t="s">
        <v>1173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457</v>
      </c>
      <c r="E5" s="1" t="s">
        <v>457</v>
      </c>
      <c r="F5" s="1" t="s">
        <v>457</v>
      </c>
      <c r="G5" s="1" t="s">
        <v>457</v>
      </c>
      <c r="H5" s="1" t="s">
        <v>457</v>
      </c>
      <c r="I5" s="1" t="s">
        <v>457</v>
      </c>
      <c r="J5" s="1" t="s">
        <v>457</v>
      </c>
      <c r="K5" s="1" t="s">
        <v>457</v>
      </c>
      <c r="L5" s="1" t="s">
        <v>457</v>
      </c>
      <c r="M5" s="1" t="s">
        <v>457</v>
      </c>
      <c r="N5" s="1" t="s">
        <v>457</v>
      </c>
      <c r="O5" s="1" t="s">
        <v>457</v>
      </c>
      <c r="P5" s="1" t="s">
        <v>457</v>
      </c>
      <c r="Q5" s="1" t="s">
        <v>457</v>
      </c>
      <c r="R5" s="1" t="s">
        <v>457</v>
      </c>
      <c r="S5" s="1" t="s">
        <v>457</v>
      </c>
      <c r="T5" s="1" t="s">
        <v>457</v>
      </c>
      <c r="U5" s="1" t="s">
        <v>457</v>
      </c>
      <c r="V5" s="1" t="s">
        <v>457</v>
      </c>
      <c r="W5" s="1" t="s">
        <v>457</v>
      </c>
      <c r="X5" s="1" t="s">
        <v>457</v>
      </c>
      <c r="Y5" s="1" t="s">
        <v>457</v>
      </c>
      <c r="Z5" s="1" t="s">
        <v>457</v>
      </c>
      <c r="AA5" s="1" t="s">
        <v>457</v>
      </c>
      <c r="AB5" s="1" t="s">
        <v>457</v>
      </c>
      <c r="AC5" s="1" t="s">
        <v>457</v>
      </c>
      <c r="AD5" s="1" t="s">
        <v>457</v>
      </c>
      <c r="AE5" s="1" t="s">
        <v>457</v>
      </c>
      <c r="AF5" s="1" t="s">
        <v>457</v>
      </c>
      <c r="AG5" s="1" t="s">
        <v>457</v>
      </c>
      <c r="AH5" s="1" t="s">
        <v>457</v>
      </c>
      <c r="AI5" s="1" t="s">
        <v>457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457</v>
      </c>
      <c r="E6" s="1" t="s">
        <v>457</v>
      </c>
      <c r="F6" s="1" t="s">
        <v>457</v>
      </c>
      <c r="G6" s="1" t="s">
        <v>457</v>
      </c>
      <c r="H6" s="1" t="s">
        <v>457</v>
      </c>
      <c r="I6" s="1" t="s">
        <v>457</v>
      </c>
      <c r="J6" s="1" t="s">
        <v>457</v>
      </c>
      <c r="K6" s="1" t="s">
        <v>457</v>
      </c>
      <c r="L6" s="1" t="s">
        <v>457</v>
      </c>
      <c r="M6" s="1" t="s">
        <v>457</v>
      </c>
      <c r="N6" s="1" t="s">
        <v>457</v>
      </c>
      <c r="O6" s="1" t="s">
        <v>457</v>
      </c>
      <c r="P6" s="1" t="s">
        <v>457</v>
      </c>
      <c r="Q6" s="1" t="s">
        <v>457</v>
      </c>
      <c r="R6" s="1" t="s">
        <v>457</v>
      </c>
      <c r="S6" s="1" t="s">
        <v>457</v>
      </c>
      <c r="T6" s="1" t="s">
        <v>457</v>
      </c>
      <c r="U6" s="1" t="s">
        <v>457</v>
      </c>
      <c r="V6" s="1" t="s">
        <v>457</v>
      </c>
      <c r="W6" s="1" t="s">
        <v>457</v>
      </c>
      <c r="X6" s="1" t="s">
        <v>457</v>
      </c>
      <c r="Y6" s="1" t="s">
        <v>457</v>
      </c>
      <c r="Z6" s="1" t="s">
        <v>457</v>
      </c>
      <c r="AA6" s="1" t="s">
        <v>457</v>
      </c>
      <c r="AB6" s="1" t="s">
        <v>457</v>
      </c>
      <c r="AC6" s="1" t="s">
        <v>457</v>
      </c>
      <c r="AD6" s="1" t="s">
        <v>457</v>
      </c>
      <c r="AE6" s="1" t="s">
        <v>457</v>
      </c>
      <c r="AF6" s="1" t="s">
        <v>457</v>
      </c>
      <c r="AG6" s="1" t="s">
        <v>457</v>
      </c>
      <c r="AH6" s="1" t="s">
        <v>457</v>
      </c>
      <c r="AI6" s="1" t="s">
        <v>457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1174</v>
      </c>
      <c r="E7" s="1" t="s">
        <v>1174</v>
      </c>
      <c r="F7" s="1" t="s">
        <v>1174</v>
      </c>
      <c r="G7" s="1" t="s">
        <v>1175</v>
      </c>
      <c r="H7" s="1" t="s">
        <v>1176</v>
      </c>
      <c r="I7" s="1" t="s">
        <v>1177</v>
      </c>
      <c r="J7" s="1" t="s">
        <v>1178</v>
      </c>
      <c r="K7" s="1" t="s">
        <v>1179</v>
      </c>
      <c r="L7" s="1" t="s">
        <v>1180</v>
      </c>
      <c r="M7" s="1" t="s">
        <v>1180</v>
      </c>
      <c r="N7" s="1" t="s">
        <v>1181</v>
      </c>
      <c r="O7" s="1" t="s">
        <v>1182</v>
      </c>
      <c r="P7" s="1" t="s">
        <v>1183</v>
      </c>
      <c r="Q7" s="1" t="s">
        <v>1184</v>
      </c>
      <c r="R7" s="1" t="s">
        <v>1185</v>
      </c>
      <c r="S7" s="1" t="s">
        <v>1186</v>
      </c>
      <c r="T7" s="1" t="s">
        <v>1186</v>
      </c>
      <c r="U7" s="1" t="s">
        <v>1187</v>
      </c>
      <c r="V7" s="1" t="s">
        <v>1188</v>
      </c>
      <c r="W7" s="1" t="s">
        <v>1189</v>
      </c>
      <c r="X7" s="1" t="s">
        <v>1190</v>
      </c>
      <c r="Y7" s="1" t="s">
        <v>1191</v>
      </c>
      <c r="Z7" s="1" t="s">
        <v>1191</v>
      </c>
      <c r="AA7" s="1" t="s">
        <v>1191</v>
      </c>
      <c r="AB7" s="1" t="s">
        <v>1192</v>
      </c>
      <c r="AC7" s="1" t="s">
        <v>1193</v>
      </c>
      <c r="AD7" s="1" t="s">
        <v>1194</v>
      </c>
      <c r="AE7" s="1" t="s">
        <v>1195</v>
      </c>
      <c r="AF7" s="1" t="s">
        <v>1196</v>
      </c>
      <c r="AG7" s="1" t="s">
        <v>1197</v>
      </c>
      <c r="AH7" s="1" t="s">
        <v>1197</v>
      </c>
      <c r="AI7" s="1" t="s">
        <v>1198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457</v>
      </c>
      <c r="E8" s="1" t="s">
        <v>457</v>
      </c>
      <c r="F8" s="1" t="s">
        <v>457</v>
      </c>
      <c r="G8" s="1" t="s">
        <v>457</v>
      </c>
      <c r="H8" s="1" t="s">
        <v>457</v>
      </c>
      <c r="I8" s="1" t="s">
        <v>457</v>
      </c>
      <c r="J8" s="1" t="s">
        <v>457</v>
      </c>
      <c r="K8" s="1" t="s">
        <v>457</v>
      </c>
      <c r="L8" s="1" t="s">
        <v>457</v>
      </c>
      <c r="M8" s="1" t="s">
        <v>457</v>
      </c>
      <c r="N8" s="1" t="s">
        <v>457</v>
      </c>
      <c r="O8" s="1" t="s">
        <v>457</v>
      </c>
      <c r="P8" s="1" t="s">
        <v>457</v>
      </c>
      <c r="Q8" s="1" t="s">
        <v>457</v>
      </c>
      <c r="R8" s="1" t="s">
        <v>457</v>
      </c>
      <c r="S8" s="1" t="s">
        <v>457</v>
      </c>
      <c r="T8" s="1" t="s">
        <v>457</v>
      </c>
      <c r="U8" s="1" t="s">
        <v>457</v>
      </c>
      <c r="V8" s="1" t="s">
        <v>457</v>
      </c>
      <c r="W8" s="1" t="s">
        <v>457</v>
      </c>
      <c r="X8" s="1" t="s">
        <v>457</v>
      </c>
      <c r="Y8" s="1" t="s">
        <v>457</v>
      </c>
      <c r="Z8" s="1" t="s">
        <v>457</v>
      </c>
      <c r="AA8" s="1" t="s">
        <v>457</v>
      </c>
      <c r="AB8" s="1" t="s">
        <v>457</v>
      </c>
      <c r="AC8" s="1" t="s">
        <v>457</v>
      </c>
      <c r="AD8" s="1" t="s">
        <v>457</v>
      </c>
      <c r="AE8" s="1" t="s">
        <v>457</v>
      </c>
      <c r="AF8" s="1" t="s">
        <v>457</v>
      </c>
      <c r="AG8" s="1" t="s">
        <v>457</v>
      </c>
      <c r="AH8" s="1" t="s">
        <v>457</v>
      </c>
      <c r="AI8" s="1" t="s">
        <v>457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457</v>
      </c>
      <c r="E9" s="1" t="s">
        <v>457</v>
      </c>
      <c r="F9" s="1" t="s">
        <v>457</v>
      </c>
      <c r="G9" s="1" t="s">
        <v>457</v>
      </c>
      <c r="H9" s="1" t="s">
        <v>457</v>
      </c>
      <c r="I9" s="1" t="s">
        <v>457</v>
      </c>
      <c r="J9" s="1" t="s">
        <v>457</v>
      </c>
      <c r="K9" s="1" t="s">
        <v>457</v>
      </c>
      <c r="L9" s="1" t="s">
        <v>457</v>
      </c>
      <c r="M9" s="1" t="s">
        <v>457</v>
      </c>
      <c r="N9" s="1" t="s">
        <v>457</v>
      </c>
      <c r="O9" s="1" t="s">
        <v>457</v>
      </c>
      <c r="P9" s="1" t="s">
        <v>457</v>
      </c>
      <c r="Q9" s="1" t="s">
        <v>457</v>
      </c>
      <c r="R9" s="1" t="s">
        <v>457</v>
      </c>
      <c r="S9" s="1" t="s">
        <v>457</v>
      </c>
      <c r="T9" s="1" t="s">
        <v>457</v>
      </c>
      <c r="U9" s="1" t="s">
        <v>457</v>
      </c>
      <c r="V9" s="1" t="s">
        <v>457</v>
      </c>
      <c r="W9" s="1" t="s">
        <v>457</v>
      </c>
      <c r="X9" s="1" t="s">
        <v>457</v>
      </c>
      <c r="Y9" s="1" t="s">
        <v>457</v>
      </c>
      <c r="Z9" s="1" t="s">
        <v>457</v>
      </c>
      <c r="AA9" s="1" t="s">
        <v>457</v>
      </c>
      <c r="AB9" s="1" t="s">
        <v>457</v>
      </c>
      <c r="AC9" s="1" t="s">
        <v>457</v>
      </c>
      <c r="AD9" s="1" t="s">
        <v>457</v>
      </c>
      <c r="AE9" s="1" t="s">
        <v>457</v>
      </c>
      <c r="AF9" s="1" t="s">
        <v>457</v>
      </c>
      <c r="AG9" s="1" t="s">
        <v>457</v>
      </c>
      <c r="AH9" s="1" t="s">
        <v>457</v>
      </c>
      <c r="AI9" s="1" t="s">
        <v>457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457</v>
      </c>
      <c r="E10" s="1" t="s">
        <v>457</v>
      </c>
      <c r="F10" s="1" t="s">
        <v>457</v>
      </c>
      <c r="G10" s="1" t="s">
        <v>457</v>
      </c>
      <c r="H10" s="1" t="s">
        <v>457</v>
      </c>
      <c r="I10" s="1" t="s">
        <v>457</v>
      </c>
      <c r="J10" s="1" t="s">
        <v>457</v>
      </c>
      <c r="K10" s="1" t="s">
        <v>457</v>
      </c>
      <c r="L10" s="1" t="s">
        <v>457</v>
      </c>
      <c r="M10" s="1" t="s">
        <v>457</v>
      </c>
      <c r="N10" s="1" t="s">
        <v>457</v>
      </c>
      <c r="O10" s="1" t="s">
        <v>457</v>
      </c>
      <c r="P10" s="1" t="s">
        <v>457</v>
      </c>
      <c r="Q10" s="1" t="s">
        <v>457</v>
      </c>
      <c r="R10" s="1" t="s">
        <v>457</v>
      </c>
      <c r="S10" s="1" t="s">
        <v>457</v>
      </c>
      <c r="T10" s="1" t="s">
        <v>457</v>
      </c>
      <c r="U10" s="1" t="s">
        <v>457</v>
      </c>
      <c r="V10" s="1" t="s">
        <v>457</v>
      </c>
      <c r="W10" s="1" t="s">
        <v>457</v>
      </c>
      <c r="X10" s="1" t="s">
        <v>457</v>
      </c>
      <c r="Y10" s="1" t="s">
        <v>457</v>
      </c>
      <c r="Z10" s="1" t="s">
        <v>457</v>
      </c>
      <c r="AA10" s="1" t="s">
        <v>457</v>
      </c>
      <c r="AB10" s="1" t="s">
        <v>457</v>
      </c>
      <c r="AC10" s="1" t="s">
        <v>457</v>
      </c>
      <c r="AD10" s="1" t="s">
        <v>457</v>
      </c>
      <c r="AE10" s="1" t="s">
        <v>457</v>
      </c>
      <c r="AF10" s="1" t="s">
        <v>457</v>
      </c>
      <c r="AG10" s="1" t="s">
        <v>457</v>
      </c>
      <c r="AH10" s="1" t="s">
        <v>457</v>
      </c>
      <c r="AI10" s="1" t="s">
        <v>457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457</v>
      </c>
      <c r="E11" s="1" t="s">
        <v>457</v>
      </c>
      <c r="F11" s="1" t="s">
        <v>457</v>
      </c>
      <c r="G11" s="1" t="s">
        <v>457</v>
      </c>
      <c r="H11" s="1" t="s">
        <v>457</v>
      </c>
      <c r="I11" s="1" t="s">
        <v>457</v>
      </c>
      <c r="J11" s="1" t="s">
        <v>457</v>
      </c>
      <c r="K11" s="1" t="s">
        <v>457</v>
      </c>
      <c r="L11" s="1" t="s">
        <v>457</v>
      </c>
      <c r="M11" s="1" t="s">
        <v>457</v>
      </c>
      <c r="N11" s="1" t="s">
        <v>457</v>
      </c>
      <c r="O11" s="1" t="s">
        <v>457</v>
      </c>
      <c r="P11" s="1" t="s">
        <v>457</v>
      </c>
      <c r="Q11" s="1" t="s">
        <v>457</v>
      </c>
      <c r="R11" s="1" t="s">
        <v>457</v>
      </c>
      <c r="S11" s="1" t="s">
        <v>457</v>
      </c>
      <c r="T11" s="1" t="s">
        <v>457</v>
      </c>
      <c r="U11" s="1" t="s">
        <v>457</v>
      </c>
      <c r="V11" s="1" t="s">
        <v>457</v>
      </c>
      <c r="W11" s="1" t="s">
        <v>457</v>
      </c>
      <c r="X11" s="1" t="s">
        <v>457</v>
      </c>
      <c r="Y11" s="1" t="s">
        <v>457</v>
      </c>
      <c r="Z11" s="1" t="s">
        <v>457</v>
      </c>
      <c r="AA11" s="1" t="s">
        <v>457</v>
      </c>
      <c r="AB11" s="1" t="s">
        <v>457</v>
      </c>
      <c r="AC11" s="1" t="s">
        <v>457</v>
      </c>
      <c r="AD11" s="1" t="s">
        <v>457</v>
      </c>
      <c r="AE11" s="1" t="s">
        <v>457</v>
      </c>
      <c r="AF11" s="1" t="s">
        <v>457</v>
      </c>
      <c r="AG11" s="1" t="s">
        <v>457</v>
      </c>
      <c r="AH11" s="1" t="s">
        <v>457</v>
      </c>
      <c r="AI11" s="1" t="s">
        <v>457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457</v>
      </c>
      <c r="E12" s="1" t="s">
        <v>457</v>
      </c>
      <c r="F12" s="1" t="s">
        <v>457</v>
      </c>
      <c r="G12" s="1" t="s">
        <v>457</v>
      </c>
      <c r="H12" s="1" t="s">
        <v>457</v>
      </c>
      <c r="I12" s="1" t="s">
        <v>457</v>
      </c>
      <c r="J12" s="1" t="s">
        <v>457</v>
      </c>
      <c r="K12" s="1" t="s">
        <v>457</v>
      </c>
      <c r="L12" s="1" t="s">
        <v>457</v>
      </c>
      <c r="M12" s="1" t="s">
        <v>457</v>
      </c>
      <c r="N12" s="1" t="s">
        <v>457</v>
      </c>
      <c r="O12" s="1" t="s">
        <v>457</v>
      </c>
      <c r="P12" s="1" t="s">
        <v>457</v>
      </c>
      <c r="Q12" s="1" t="s">
        <v>457</v>
      </c>
      <c r="R12" s="1" t="s">
        <v>457</v>
      </c>
      <c r="S12" s="1" t="s">
        <v>457</v>
      </c>
      <c r="T12" s="1" t="s">
        <v>457</v>
      </c>
      <c r="U12" s="1" t="s">
        <v>457</v>
      </c>
      <c r="V12" s="1" t="s">
        <v>457</v>
      </c>
      <c r="W12" s="1" t="s">
        <v>457</v>
      </c>
      <c r="X12" s="1" t="s">
        <v>457</v>
      </c>
      <c r="Y12" s="1" t="s">
        <v>457</v>
      </c>
      <c r="Z12" s="1" t="s">
        <v>457</v>
      </c>
      <c r="AA12" s="1" t="s">
        <v>457</v>
      </c>
      <c r="AB12" s="1" t="s">
        <v>457</v>
      </c>
      <c r="AC12" s="1" t="s">
        <v>457</v>
      </c>
      <c r="AD12" s="1" t="s">
        <v>457</v>
      </c>
      <c r="AE12" s="1" t="s">
        <v>457</v>
      </c>
      <c r="AF12" s="1" t="s">
        <v>457</v>
      </c>
      <c r="AG12" s="1" t="s">
        <v>457</v>
      </c>
      <c r="AH12" s="1" t="s">
        <v>457</v>
      </c>
      <c r="AI12" s="1" t="s">
        <v>457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457</v>
      </c>
      <c r="E13" s="1" t="s">
        <v>457</v>
      </c>
      <c r="F13" s="1" t="s">
        <v>457</v>
      </c>
      <c r="G13" s="1" t="s">
        <v>457</v>
      </c>
      <c r="H13" s="1" t="s">
        <v>457</v>
      </c>
      <c r="I13" s="1" t="s">
        <v>457</v>
      </c>
      <c r="J13" s="1" t="s">
        <v>457</v>
      </c>
      <c r="K13" s="1" t="s">
        <v>457</v>
      </c>
      <c r="L13" s="1" t="s">
        <v>457</v>
      </c>
      <c r="M13" s="1" t="s">
        <v>457</v>
      </c>
      <c r="N13" s="1" t="s">
        <v>457</v>
      </c>
      <c r="O13" s="1" t="s">
        <v>457</v>
      </c>
      <c r="P13" s="1" t="s">
        <v>457</v>
      </c>
      <c r="Q13" s="1" t="s">
        <v>457</v>
      </c>
      <c r="R13" s="1" t="s">
        <v>457</v>
      </c>
      <c r="S13" s="1" t="s">
        <v>457</v>
      </c>
      <c r="T13" s="1" t="s">
        <v>457</v>
      </c>
      <c r="U13" s="1" t="s">
        <v>457</v>
      </c>
      <c r="V13" s="1" t="s">
        <v>457</v>
      </c>
      <c r="W13" s="1" t="s">
        <v>457</v>
      </c>
      <c r="X13" s="1" t="s">
        <v>457</v>
      </c>
      <c r="Y13" s="1" t="s">
        <v>457</v>
      </c>
      <c r="Z13" s="1" t="s">
        <v>457</v>
      </c>
      <c r="AA13" s="1" t="s">
        <v>457</v>
      </c>
      <c r="AB13" s="1" t="s">
        <v>457</v>
      </c>
      <c r="AC13" s="1" t="s">
        <v>457</v>
      </c>
      <c r="AD13" s="1" t="s">
        <v>457</v>
      </c>
      <c r="AE13" s="1" t="s">
        <v>457</v>
      </c>
      <c r="AF13" s="1" t="s">
        <v>457</v>
      </c>
      <c r="AG13" s="1" t="s">
        <v>457</v>
      </c>
      <c r="AH13" s="1" t="s">
        <v>457</v>
      </c>
      <c r="AI13" s="1" t="s">
        <v>457</v>
      </c>
      <c r="AJ13" s="502">
        <v>43056.229889050897</v>
      </c>
    </row>
    <row r="14" spans="1:36">
      <c r="A14" s="1" t="s">
        <v>328</v>
      </c>
      <c r="B14" s="1" t="s">
        <v>1199</v>
      </c>
      <c r="C14" s="1" t="s">
        <v>237</v>
      </c>
      <c r="D14" s="1" t="s">
        <v>457</v>
      </c>
      <c r="E14" s="1" t="s">
        <v>457</v>
      </c>
      <c r="F14" s="1" t="s">
        <v>457</v>
      </c>
      <c r="G14" s="1" t="s">
        <v>457</v>
      </c>
      <c r="H14" s="1" t="s">
        <v>457</v>
      </c>
      <c r="I14" s="1" t="s">
        <v>457</v>
      </c>
      <c r="J14" s="1" t="s">
        <v>457</v>
      </c>
      <c r="K14" s="1" t="s">
        <v>457</v>
      </c>
      <c r="L14" s="1" t="s">
        <v>457</v>
      </c>
      <c r="M14" s="1" t="s">
        <v>457</v>
      </c>
      <c r="N14" s="1" t="s">
        <v>457</v>
      </c>
      <c r="O14" s="1" t="s">
        <v>457</v>
      </c>
      <c r="P14" s="1" t="s">
        <v>457</v>
      </c>
      <c r="Q14" s="1" t="s">
        <v>457</v>
      </c>
      <c r="R14" s="1" t="s">
        <v>457</v>
      </c>
      <c r="S14" s="1" t="s">
        <v>457</v>
      </c>
      <c r="T14" s="1" t="s">
        <v>457</v>
      </c>
      <c r="U14" s="1" t="s">
        <v>457</v>
      </c>
      <c r="V14" s="1" t="s">
        <v>457</v>
      </c>
      <c r="W14" s="1" t="s">
        <v>457</v>
      </c>
      <c r="X14" s="1" t="s">
        <v>457</v>
      </c>
      <c r="Y14" s="1" t="s">
        <v>457</v>
      </c>
      <c r="Z14" s="1" t="s">
        <v>457</v>
      </c>
      <c r="AA14" s="1" t="s">
        <v>457</v>
      </c>
      <c r="AB14" s="1" t="s">
        <v>457</v>
      </c>
      <c r="AC14" s="1" t="s">
        <v>457</v>
      </c>
      <c r="AD14" s="1" t="s">
        <v>457</v>
      </c>
      <c r="AE14" s="1" t="s">
        <v>457</v>
      </c>
      <c r="AF14" s="1" t="s">
        <v>457</v>
      </c>
      <c r="AG14" s="1" t="s">
        <v>457</v>
      </c>
      <c r="AH14" s="1" t="s">
        <v>457</v>
      </c>
      <c r="AI14" s="1" t="s">
        <v>457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1200</v>
      </c>
      <c r="E15" s="1" t="s">
        <v>1200</v>
      </c>
      <c r="F15" s="1" t="s">
        <v>1200</v>
      </c>
      <c r="G15" s="1" t="s">
        <v>1201</v>
      </c>
      <c r="H15" s="1" t="s">
        <v>1201</v>
      </c>
      <c r="I15" s="1" t="s">
        <v>1201</v>
      </c>
      <c r="J15" s="1" t="s">
        <v>1201</v>
      </c>
      <c r="K15" s="1" t="s">
        <v>1201</v>
      </c>
      <c r="L15" s="1" t="s">
        <v>1201</v>
      </c>
      <c r="M15" s="1" t="s">
        <v>1201</v>
      </c>
      <c r="N15" s="1" t="s">
        <v>1201</v>
      </c>
      <c r="O15" s="1" t="s">
        <v>1202</v>
      </c>
      <c r="P15" s="1" t="s">
        <v>1202</v>
      </c>
      <c r="Q15" s="1" t="s">
        <v>1202</v>
      </c>
      <c r="R15" s="1" t="s">
        <v>1202</v>
      </c>
      <c r="S15" s="1" t="s">
        <v>1202</v>
      </c>
      <c r="T15" s="1" t="s">
        <v>1202</v>
      </c>
      <c r="U15" s="1" t="s">
        <v>1203</v>
      </c>
      <c r="V15" s="1" t="s">
        <v>1203</v>
      </c>
      <c r="W15" s="1" t="s">
        <v>1203</v>
      </c>
      <c r="X15" s="1" t="s">
        <v>1204</v>
      </c>
      <c r="Y15" s="1" t="s">
        <v>1205</v>
      </c>
      <c r="Z15" s="1" t="s">
        <v>1205</v>
      </c>
      <c r="AA15" s="1" t="s">
        <v>1205</v>
      </c>
      <c r="AB15" s="1" t="s">
        <v>1206</v>
      </c>
      <c r="AC15" s="1" t="s">
        <v>1207</v>
      </c>
      <c r="AD15" s="1" t="s">
        <v>1207</v>
      </c>
      <c r="AE15" s="1" t="s">
        <v>1208</v>
      </c>
      <c r="AF15" s="1" t="s">
        <v>1209</v>
      </c>
      <c r="AG15" s="1" t="s">
        <v>1209</v>
      </c>
      <c r="AH15" s="1" t="s">
        <v>1209</v>
      </c>
      <c r="AI15" s="1" t="s">
        <v>1210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457</v>
      </c>
      <c r="E16" s="1" t="s">
        <v>457</v>
      </c>
      <c r="F16" s="1" t="s">
        <v>457</v>
      </c>
      <c r="G16" s="1" t="s">
        <v>457</v>
      </c>
      <c r="H16" s="1" t="s">
        <v>457</v>
      </c>
      <c r="I16" s="1" t="s">
        <v>457</v>
      </c>
      <c r="J16" s="1" t="s">
        <v>457</v>
      </c>
      <c r="K16" s="1" t="s">
        <v>457</v>
      </c>
      <c r="L16" s="1" t="s">
        <v>457</v>
      </c>
      <c r="M16" s="1" t="s">
        <v>457</v>
      </c>
      <c r="N16" s="1" t="s">
        <v>457</v>
      </c>
      <c r="O16" s="1" t="s">
        <v>457</v>
      </c>
      <c r="P16" s="1" t="s">
        <v>457</v>
      </c>
      <c r="Q16" s="1" t="s">
        <v>457</v>
      </c>
      <c r="R16" s="1" t="s">
        <v>457</v>
      </c>
      <c r="S16" s="1" t="s">
        <v>457</v>
      </c>
      <c r="T16" s="1" t="s">
        <v>457</v>
      </c>
      <c r="U16" s="1" t="s">
        <v>457</v>
      </c>
      <c r="V16" s="1" t="s">
        <v>457</v>
      </c>
      <c r="W16" s="1" t="s">
        <v>457</v>
      </c>
      <c r="X16" s="1" t="s">
        <v>457</v>
      </c>
      <c r="Y16" s="1" t="s">
        <v>457</v>
      </c>
      <c r="Z16" s="1" t="s">
        <v>457</v>
      </c>
      <c r="AA16" s="1" t="s">
        <v>457</v>
      </c>
      <c r="AB16" s="1" t="s">
        <v>457</v>
      </c>
      <c r="AC16" s="1" t="s">
        <v>457</v>
      </c>
      <c r="AD16" s="1" t="s">
        <v>457</v>
      </c>
      <c r="AE16" s="1" t="s">
        <v>457</v>
      </c>
      <c r="AF16" s="1" t="s">
        <v>457</v>
      </c>
      <c r="AG16" s="1" t="s">
        <v>457</v>
      </c>
      <c r="AH16" s="1" t="s">
        <v>457</v>
      </c>
      <c r="AI16" s="1" t="s">
        <v>457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457</v>
      </c>
      <c r="E17" s="1" t="s">
        <v>457</v>
      </c>
      <c r="F17" s="1" t="s">
        <v>457</v>
      </c>
      <c r="G17" s="1" t="s">
        <v>457</v>
      </c>
      <c r="H17" s="1" t="s">
        <v>457</v>
      </c>
      <c r="I17" s="1" t="s">
        <v>457</v>
      </c>
      <c r="J17" s="1" t="s">
        <v>457</v>
      </c>
      <c r="K17" s="1" t="s">
        <v>457</v>
      </c>
      <c r="L17" s="1" t="s">
        <v>457</v>
      </c>
      <c r="M17" s="1" t="s">
        <v>457</v>
      </c>
      <c r="N17" s="1" t="s">
        <v>457</v>
      </c>
      <c r="O17" s="1" t="s">
        <v>457</v>
      </c>
      <c r="P17" s="1" t="s">
        <v>457</v>
      </c>
      <c r="Q17" s="1" t="s">
        <v>457</v>
      </c>
      <c r="R17" s="1" t="s">
        <v>457</v>
      </c>
      <c r="S17" s="1" t="s">
        <v>457</v>
      </c>
      <c r="T17" s="1" t="s">
        <v>457</v>
      </c>
      <c r="U17" s="1" t="s">
        <v>457</v>
      </c>
      <c r="V17" s="1" t="s">
        <v>457</v>
      </c>
      <c r="W17" s="1" t="s">
        <v>457</v>
      </c>
      <c r="X17" s="1" t="s">
        <v>457</v>
      </c>
      <c r="Y17" s="1" t="s">
        <v>457</v>
      </c>
      <c r="Z17" s="1" t="s">
        <v>457</v>
      </c>
      <c r="AA17" s="1" t="s">
        <v>457</v>
      </c>
      <c r="AB17" s="1" t="s">
        <v>457</v>
      </c>
      <c r="AC17" s="1" t="s">
        <v>457</v>
      </c>
      <c r="AD17" s="1" t="s">
        <v>457</v>
      </c>
      <c r="AE17" s="1" t="s">
        <v>457</v>
      </c>
      <c r="AF17" s="1" t="s">
        <v>457</v>
      </c>
      <c r="AG17" s="1" t="s">
        <v>457</v>
      </c>
      <c r="AH17" s="1" t="s">
        <v>457</v>
      </c>
      <c r="AI17" s="1" t="s">
        <v>457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457</v>
      </c>
      <c r="E18" s="1" t="s">
        <v>457</v>
      </c>
      <c r="F18" s="1" t="s">
        <v>457</v>
      </c>
      <c r="G18" s="1" t="s">
        <v>457</v>
      </c>
      <c r="H18" s="1" t="s">
        <v>457</v>
      </c>
      <c r="I18" s="1" t="s">
        <v>457</v>
      </c>
      <c r="J18" s="1" t="s">
        <v>457</v>
      </c>
      <c r="K18" s="1" t="s">
        <v>457</v>
      </c>
      <c r="L18" s="1" t="s">
        <v>457</v>
      </c>
      <c r="M18" s="1" t="s">
        <v>457</v>
      </c>
      <c r="N18" s="1" t="s">
        <v>457</v>
      </c>
      <c r="O18" s="1" t="s">
        <v>457</v>
      </c>
      <c r="P18" s="1" t="s">
        <v>457</v>
      </c>
      <c r="Q18" s="1" t="s">
        <v>457</v>
      </c>
      <c r="R18" s="1" t="s">
        <v>457</v>
      </c>
      <c r="S18" s="1" t="s">
        <v>457</v>
      </c>
      <c r="T18" s="1" t="s">
        <v>457</v>
      </c>
      <c r="U18" s="1" t="s">
        <v>457</v>
      </c>
      <c r="V18" s="1" t="s">
        <v>457</v>
      </c>
      <c r="W18" s="1" t="s">
        <v>457</v>
      </c>
      <c r="X18" s="1" t="s">
        <v>457</v>
      </c>
      <c r="Y18" s="1" t="s">
        <v>457</v>
      </c>
      <c r="Z18" s="1" t="s">
        <v>457</v>
      </c>
      <c r="AA18" s="1" t="s">
        <v>457</v>
      </c>
      <c r="AB18" s="1" t="s">
        <v>457</v>
      </c>
      <c r="AC18" s="1" t="s">
        <v>457</v>
      </c>
      <c r="AD18" s="1" t="s">
        <v>457</v>
      </c>
      <c r="AE18" s="1" t="s">
        <v>457</v>
      </c>
      <c r="AF18" s="1" t="s">
        <v>457</v>
      </c>
      <c r="AG18" s="1" t="s">
        <v>457</v>
      </c>
      <c r="AH18" s="1" t="s">
        <v>457</v>
      </c>
      <c r="AI18" s="1" t="s">
        <v>457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457</v>
      </c>
      <c r="E19" s="1" t="s">
        <v>457</v>
      </c>
      <c r="F19" s="1" t="s">
        <v>457</v>
      </c>
      <c r="G19" s="1" t="s">
        <v>457</v>
      </c>
      <c r="H19" s="1" t="s">
        <v>457</v>
      </c>
      <c r="I19" s="1" t="s">
        <v>457</v>
      </c>
      <c r="J19" s="1" t="s">
        <v>457</v>
      </c>
      <c r="K19" s="1" t="s">
        <v>457</v>
      </c>
      <c r="L19" s="1" t="s">
        <v>457</v>
      </c>
      <c r="M19" s="1" t="s">
        <v>457</v>
      </c>
      <c r="N19" s="1" t="s">
        <v>457</v>
      </c>
      <c r="O19" s="1" t="s">
        <v>457</v>
      </c>
      <c r="P19" s="1" t="s">
        <v>457</v>
      </c>
      <c r="Q19" s="1" t="s">
        <v>457</v>
      </c>
      <c r="R19" s="1" t="s">
        <v>457</v>
      </c>
      <c r="S19" s="1" t="s">
        <v>457</v>
      </c>
      <c r="T19" s="1" t="s">
        <v>457</v>
      </c>
      <c r="U19" s="1" t="s">
        <v>457</v>
      </c>
      <c r="V19" s="1" t="s">
        <v>457</v>
      </c>
      <c r="W19" s="1" t="s">
        <v>457</v>
      </c>
      <c r="X19" s="1" t="s">
        <v>457</v>
      </c>
      <c r="Y19" s="1" t="s">
        <v>457</v>
      </c>
      <c r="Z19" s="1" t="s">
        <v>457</v>
      </c>
      <c r="AA19" s="1" t="s">
        <v>457</v>
      </c>
      <c r="AB19" s="1" t="s">
        <v>457</v>
      </c>
      <c r="AC19" s="1" t="s">
        <v>457</v>
      </c>
      <c r="AD19" s="1" t="s">
        <v>457</v>
      </c>
      <c r="AE19" s="1" t="s">
        <v>457</v>
      </c>
      <c r="AF19" s="1" t="s">
        <v>457</v>
      </c>
      <c r="AG19" s="1" t="s">
        <v>457</v>
      </c>
      <c r="AH19" s="1" t="s">
        <v>457</v>
      </c>
      <c r="AI19" s="1" t="s">
        <v>457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457</v>
      </c>
      <c r="E20" s="1" t="s">
        <v>457</v>
      </c>
      <c r="F20" s="1" t="s">
        <v>457</v>
      </c>
      <c r="G20" s="1" t="s">
        <v>457</v>
      </c>
      <c r="H20" s="1" t="s">
        <v>457</v>
      </c>
      <c r="I20" s="1" t="s">
        <v>457</v>
      </c>
      <c r="J20" s="1" t="s">
        <v>457</v>
      </c>
      <c r="K20" s="1" t="s">
        <v>457</v>
      </c>
      <c r="L20" s="1" t="s">
        <v>457</v>
      </c>
      <c r="M20" s="1" t="s">
        <v>457</v>
      </c>
      <c r="N20" s="1" t="s">
        <v>457</v>
      </c>
      <c r="O20" s="1" t="s">
        <v>457</v>
      </c>
      <c r="P20" s="1" t="s">
        <v>457</v>
      </c>
      <c r="Q20" s="1" t="s">
        <v>457</v>
      </c>
      <c r="R20" s="1" t="s">
        <v>457</v>
      </c>
      <c r="S20" s="1" t="s">
        <v>457</v>
      </c>
      <c r="T20" s="1" t="s">
        <v>457</v>
      </c>
      <c r="U20" s="1" t="s">
        <v>457</v>
      </c>
      <c r="V20" s="1" t="s">
        <v>457</v>
      </c>
      <c r="W20" s="1" t="s">
        <v>457</v>
      </c>
      <c r="X20" s="1" t="s">
        <v>457</v>
      </c>
      <c r="Y20" s="1" t="s">
        <v>457</v>
      </c>
      <c r="Z20" s="1" t="s">
        <v>457</v>
      </c>
      <c r="AA20" s="1" t="s">
        <v>457</v>
      </c>
      <c r="AB20" s="1" t="s">
        <v>457</v>
      </c>
      <c r="AC20" s="1" t="s">
        <v>457</v>
      </c>
      <c r="AD20" s="1" t="s">
        <v>457</v>
      </c>
      <c r="AE20" s="1" t="s">
        <v>457</v>
      </c>
      <c r="AF20" s="1" t="s">
        <v>457</v>
      </c>
      <c r="AG20" s="1" t="s">
        <v>457</v>
      </c>
      <c r="AH20" s="1" t="s">
        <v>457</v>
      </c>
      <c r="AI20" s="1" t="s">
        <v>457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1211</v>
      </c>
      <c r="E21" s="1" t="s">
        <v>1211</v>
      </c>
      <c r="F21" s="1" t="s">
        <v>1211</v>
      </c>
      <c r="G21" s="1" t="s">
        <v>1211</v>
      </c>
      <c r="H21" s="1" t="s">
        <v>1211</v>
      </c>
      <c r="I21" s="1" t="s">
        <v>1211</v>
      </c>
      <c r="J21" s="1" t="s">
        <v>1211</v>
      </c>
      <c r="K21" s="1" t="s">
        <v>1211</v>
      </c>
      <c r="L21" s="1" t="s">
        <v>1211</v>
      </c>
      <c r="M21" s="1" t="s">
        <v>1211</v>
      </c>
      <c r="N21" s="1" t="s">
        <v>1211</v>
      </c>
      <c r="O21" s="1" t="s">
        <v>1211</v>
      </c>
      <c r="P21" s="1" t="s">
        <v>1211</v>
      </c>
      <c r="Q21" s="1" t="s">
        <v>1211</v>
      </c>
      <c r="R21" s="1" t="s">
        <v>457</v>
      </c>
      <c r="S21" s="1" t="s">
        <v>457</v>
      </c>
      <c r="T21" s="1" t="s">
        <v>457</v>
      </c>
      <c r="U21" s="1" t="s">
        <v>457</v>
      </c>
      <c r="V21" s="1" t="s">
        <v>457</v>
      </c>
      <c r="W21" s="1" t="s">
        <v>457</v>
      </c>
      <c r="X21" s="1" t="s">
        <v>457</v>
      </c>
      <c r="Y21" s="1" t="s">
        <v>457</v>
      </c>
      <c r="Z21" s="1" t="s">
        <v>457</v>
      </c>
      <c r="AA21" s="1" t="s">
        <v>457</v>
      </c>
      <c r="AB21" s="1" t="s">
        <v>457</v>
      </c>
      <c r="AC21" s="1" t="s">
        <v>457</v>
      </c>
      <c r="AD21" s="1" t="s">
        <v>457</v>
      </c>
      <c r="AE21" s="1" t="s">
        <v>457</v>
      </c>
      <c r="AF21" s="1" t="s">
        <v>457</v>
      </c>
      <c r="AG21" s="1" t="s">
        <v>457</v>
      </c>
      <c r="AH21" s="1" t="s">
        <v>457</v>
      </c>
      <c r="AI21" s="1" t="s">
        <v>1212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1213</v>
      </c>
      <c r="B1" s="1" t="s">
        <v>361</v>
      </c>
      <c r="C1" s="1" t="s">
        <v>1214</v>
      </c>
      <c r="D1" s="1" t="s">
        <v>1215</v>
      </c>
      <c r="E1" s="1" t="s">
        <v>1216</v>
      </c>
      <c r="F1" s="1" t="s">
        <v>1217</v>
      </c>
      <c r="G1" s="1" t="s">
        <v>1218</v>
      </c>
      <c r="H1" s="1" t="s">
        <v>1219</v>
      </c>
      <c r="I1" s="1" t="s">
        <v>1220</v>
      </c>
      <c r="J1" s="1" t="s">
        <v>1221</v>
      </c>
      <c r="K1" s="1" t="s">
        <v>1222</v>
      </c>
      <c r="L1" s="1" t="s">
        <v>1223</v>
      </c>
      <c r="M1" s="1" t="s">
        <v>1224</v>
      </c>
      <c r="N1" s="1" t="s">
        <v>1225</v>
      </c>
      <c r="O1" s="1" t="s">
        <v>363</v>
      </c>
      <c r="P1" s="1" t="s">
        <v>1226</v>
      </c>
      <c r="Q1" s="1" t="s">
        <v>1227</v>
      </c>
      <c r="R1" s="1" t="s">
        <v>1228</v>
      </c>
      <c r="S1" s="1" t="s">
        <v>1229</v>
      </c>
      <c r="T1" s="1" t="s">
        <v>1230</v>
      </c>
      <c r="U1" s="1" t="s">
        <v>1231</v>
      </c>
      <c r="V1" s="1" t="s">
        <v>1232</v>
      </c>
      <c r="W1" s="1" t="s">
        <v>1233</v>
      </c>
      <c r="X1" s="1" t="s">
        <v>1234</v>
      </c>
      <c r="Y1" s="1" t="s">
        <v>1235</v>
      </c>
      <c r="Z1" s="1" t="s">
        <v>1236</v>
      </c>
      <c r="AA1" s="1" t="s">
        <v>1237</v>
      </c>
      <c r="AB1" s="1" t="s">
        <v>1238</v>
      </c>
    </row>
    <row r="2" spans="1:29">
      <c r="A2" s="1" t="s">
        <v>1239</v>
      </c>
      <c r="B2" s="1" t="s">
        <v>364</v>
      </c>
      <c r="C2" s="1" t="s">
        <v>1240</v>
      </c>
      <c r="D2" s="1" t="s">
        <v>1241</v>
      </c>
      <c r="E2" s="1" t="s">
        <v>1242</v>
      </c>
      <c r="F2" s="1" t="s">
        <v>1243</v>
      </c>
      <c r="G2" s="1" t="s">
        <v>1244</v>
      </c>
      <c r="H2" s="1" t="s">
        <v>1245</v>
      </c>
      <c r="I2" s="1" t="s">
        <v>1246</v>
      </c>
      <c r="J2" s="1" t="s">
        <v>457</v>
      </c>
      <c r="K2" s="1" t="s">
        <v>457</v>
      </c>
      <c r="L2" s="1" t="s">
        <v>457</v>
      </c>
      <c r="M2" s="1" t="s">
        <v>457</v>
      </c>
      <c r="N2" s="1" t="s">
        <v>457</v>
      </c>
      <c r="O2" s="1" t="s">
        <v>1247</v>
      </c>
      <c r="P2" s="1" t="s">
        <v>1248</v>
      </c>
      <c r="Q2" s="1" t="s">
        <v>1249</v>
      </c>
      <c r="R2" s="1" t="s">
        <v>1250</v>
      </c>
      <c r="S2" s="1" t="s">
        <v>1251</v>
      </c>
      <c r="T2" s="1" t="s">
        <v>1252</v>
      </c>
      <c r="U2" s="1" t="s">
        <v>1253</v>
      </c>
      <c r="V2" s="1" t="s">
        <v>1254</v>
      </c>
      <c r="W2" s="1" t="s">
        <v>457</v>
      </c>
      <c r="X2" s="1" t="s">
        <v>457</v>
      </c>
      <c r="Y2" s="1" t="s">
        <v>457</v>
      </c>
      <c r="Z2" s="1" t="s">
        <v>457</v>
      </c>
      <c r="AA2" s="1" t="s">
        <v>457</v>
      </c>
      <c r="AB2" s="1" t="s">
        <v>1255</v>
      </c>
      <c r="AC2" s="502">
        <v>43045.229882731503</v>
      </c>
    </row>
    <row r="3" spans="1:29">
      <c r="A3" s="1" t="s">
        <v>1239</v>
      </c>
      <c r="B3" s="1" t="s">
        <v>398</v>
      </c>
      <c r="C3" s="1" t="s">
        <v>1256</v>
      </c>
      <c r="D3" s="1" t="s">
        <v>1257</v>
      </c>
      <c r="E3" s="1" t="s">
        <v>1258</v>
      </c>
      <c r="F3" s="1" t="s">
        <v>1259</v>
      </c>
      <c r="G3" s="1" t="s">
        <v>1260</v>
      </c>
      <c r="H3" s="1" t="s">
        <v>1261</v>
      </c>
      <c r="I3" s="1" t="s">
        <v>1262</v>
      </c>
      <c r="J3" s="1" t="s">
        <v>457</v>
      </c>
      <c r="K3" s="1" t="s">
        <v>457</v>
      </c>
      <c r="L3" s="1" t="s">
        <v>457</v>
      </c>
      <c r="M3" s="1" t="s">
        <v>457</v>
      </c>
      <c r="N3" s="1" t="s">
        <v>457</v>
      </c>
      <c r="O3" s="1" t="s">
        <v>1263</v>
      </c>
      <c r="P3" s="1" t="s">
        <v>1264</v>
      </c>
      <c r="Q3" s="1" t="s">
        <v>1265</v>
      </c>
      <c r="R3" s="1" t="s">
        <v>1266</v>
      </c>
      <c r="S3" s="1" t="s">
        <v>1267</v>
      </c>
      <c r="T3" s="1" t="s">
        <v>1268</v>
      </c>
      <c r="U3" s="1" t="s">
        <v>1269</v>
      </c>
      <c r="V3" s="1" t="s">
        <v>1270</v>
      </c>
      <c r="W3" s="1" t="s">
        <v>457</v>
      </c>
      <c r="X3" s="1" t="s">
        <v>457</v>
      </c>
      <c r="Y3" s="1" t="s">
        <v>457</v>
      </c>
      <c r="Z3" s="1" t="s">
        <v>457</v>
      </c>
      <c r="AA3" s="1" t="s">
        <v>457</v>
      </c>
      <c r="AB3" s="1" t="s">
        <v>1271</v>
      </c>
      <c r="AC3" s="502">
        <v>43045.229882731503</v>
      </c>
    </row>
    <row r="4" spans="1:29">
      <c r="A4" s="1" t="s">
        <v>1239</v>
      </c>
      <c r="B4" s="1" t="s">
        <v>430</v>
      </c>
      <c r="C4" s="1" t="s">
        <v>1272</v>
      </c>
      <c r="D4" s="1" t="s">
        <v>1273</v>
      </c>
      <c r="E4" s="1" t="s">
        <v>1274</v>
      </c>
      <c r="F4" s="1" t="s">
        <v>1275</v>
      </c>
      <c r="G4" s="1" t="s">
        <v>1276</v>
      </c>
      <c r="H4" s="1" t="s">
        <v>1277</v>
      </c>
      <c r="I4" s="1" t="s">
        <v>1278</v>
      </c>
      <c r="J4" s="1" t="s">
        <v>457</v>
      </c>
      <c r="K4" s="1" t="s">
        <v>457</v>
      </c>
      <c r="L4" s="1" t="s">
        <v>457</v>
      </c>
      <c r="M4" s="1" t="s">
        <v>457</v>
      </c>
      <c r="N4" s="1" t="s">
        <v>457</v>
      </c>
      <c r="O4" s="1" t="s">
        <v>1279</v>
      </c>
      <c r="P4" s="1" t="s">
        <v>1280</v>
      </c>
      <c r="Q4" s="1" t="s">
        <v>1281</v>
      </c>
      <c r="R4" s="1" t="s">
        <v>1282</v>
      </c>
      <c r="S4" s="1" t="s">
        <v>1283</v>
      </c>
      <c r="T4" s="1" t="s">
        <v>1284</v>
      </c>
      <c r="U4" s="1" t="s">
        <v>1285</v>
      </c>
      <c r="V4" s="1" t="s">
        <v>1286</v>
      </c>
      <c r="W4" s="1" t="s">
        <v>457</v>
      </c>
      <c r="X4" s="1" t="s">
        <v>457</v>
      </c>
      <c r="Y4" s="1" t="s">
        <v>457</v>
      </c>
      <c r="Z4" s="1" t="s">
        <v>457</v>
      </c>
      <c r="AA4" s="1" t="s">
        <v>457</v>
      </c>
      <c r="AB4" s="1" t="s">
        <v>1287</v>
      </c>
      <c r="AC4" s="502">
        <v>43045.229882731503</v>
      </c>
    </row>
    <row r="5" spans="1:29">
      <c r="A5" s="1" t="s">
        <v>1239</v>
      </c>
      <c r="B5" s="1" t="s">
        <v>459</v>
      </c>
      <c r="C5" s="1" t="s">
        <v>1288</v>
      </c>
      <c r="D5" s="1" t="s">
        <v>1289</v>
      </c>
      <c r="E5" s="1" t="s">
        <v>1290</v>
      </c>
      <c r="F5" s="1" t="s">
        <v>1291</v>
      </c>
      <c r="G5" s="1" t="s">
        <v>1292</v>
      </c>
      <c r="H5" s="1" t="s">
        <v>1293</v>
      </c>
      <c r="I5" s="1" t="s">
        <v>1294</v>
      </c>
      <c r="J5" s="1" t="s">
        <v>457</v>
      </c>
      <c r="K5" s="1" t="s">
        <v>457</v>
      </c>
      <c r="L5" s="1" t="s">
        <v>457</v>
      </c>
      <c r="M5" s="1" t="s">
        <v>457</v>
      </c>
      <c r="N5" s="1" t="s">
        <v>457</v>
      </c>
      <c r="O5" s="1" t="s">
        <v>1295</v>
      </c>
      <c r="P5" s="1" t="s">
        <v>1296</v>
      </c>
      <c r="Q5" s="1" t="s">
        <v>1297</v>
      </c>
      <c r="R5" s="1" t="s">
        <v>1298</v>
      </c>
      <c r="S5" s="1" t="s">
        <v>1299</v>
      </c>
      <c r="T5" s="1" t="s">
        <v>1300</v>
      </c>
      <c r="U5" s="1" t="s">
        <v>1301</v>
      </c>
      <c r="V5" s="1" t="s">
        <v>1302</v>
      </c>
      <c r="W5" s="1" t="s">
        <v>457</v>
      </c>
      <c r="X5" s="1" t="s">
        <v>457</v>
      </c>
      <c r="Y5" s="1" t="s">
        <v>457</v>
      </c>
      <c r="Z5" s="1" t="s">
        <v>457</v>
      </c>
      <c r="AA5" s="1" t="s">
        <v>457</v>
      </c>
      <c r="AB5" s="1" t="s">
        <v>1303</v>
      </c>
      <c r="AC5" s="502">
        <v>43045.229882731503</v>
      </c>
    </row>
    <row r="6" spans="1:29">
      <c r="A6" s="1" t="s">
        <v>1239</v>
      </c>
      <c r="B6" s="1" t="s">
        <v>487</v>
      </c>
      <c r="C6" s="1" t="s">
        <v>1304</v>
      </c>
      <c r="D6" s="1" t="s">
        <v>1305</v>
      </c>
      <c r="E6" s="1" t="s">
        <v>1306</v>
      </c>
      <c r="F6" s="1" t="s">
        <v>1307</v>
      </c>
      <c r="G6" s="1" t="s">
        <v>1308</v>
      </c>
      <c r="H6" s="1" t="s">
        <v>1309</v>
      </c>
      <c r="I6" s="1" t="s">
        <v>1310</v>
      </c>
      <c r="J6" s="1" t="s">
        <v>457</v>
      </c>
      <c r="K6" s="1" t="s">
        <v>457</v>
      </c>
      <c r="L6" s="1" t="s">
        <v>457</v>
      </c>
      <c r="M6" s="1" t="s">
        <v>457</v>
      </c>
      <c r="N6" s="1" t="s">
        <v>457</v>
      </c>
      <c r="O6" s="1" t="s">
        <v>1311</v>
      </c>
      <c r="P6" s="1" t="s">
        <v>1312</v>
      </c>
      <c r="Q6" s="1" t="s">
        <v>1313</v>
      </c>
      <c r="R6" s="1" t="s">
        <v>1314</v>
      </c>
      <c r="S6" s="1" t="s">
        <v>1315</v>
      </c>
      <c r="T6" s="1" t="s">
        <v>1316</v>
      </c>
      <c r="U6" s="1" t="s">
        <v>1317</v>
      </c>
      <c r="V6" s="1" t="s">
        <v>1318</v>
      </c>
      <c r="W6" s="1" t="s">
        <v>457</v>
      </c>
      <c r="X6" s="1" t="s">
        <v>457</v>
      </c>
      <c r="Y6" s="1" t="s">
        <v>457</v>
      </c>
      <c r="Z6" s="1" t="s">
        <v>457</v>
      </c>
      <c r="AA6" s="1" t="s">
        <v>457</v>
      </c>
      <c r="AB6" s="1" t="s">
        <v>1319</v>
      </c>
      <c r="AC6" s="502">
        <v>43045.229882731503</v>
      </c>
    </row>
    <row r="7" spans="1:29">
      <c r="A7" s="1" t="s">
        <v>1239</v>
      </c>
      <c r="B7" s="1" t="s">
        <v>517</v>
      </c>
      <c r="C7" s="1" t="s">
        <v>457</v>
      </c>
      <c r="D7" s="1" t="s">
        <v>457</v>
      </c>
      <c r="E7" s="1" t="s">
        <v>457</v>
      </c>
      <c r="F7" s="1" t="s">
        <v>457</v>
      </c>
      <c r="G7" s="1" t="s">
        <v>457</v>
      </c>
      <c r="H7" s="1" t="s">
        <v>457</v>
      </c>
      <c r="I7" s="1" t="s">
        <v>457</v>
      </c>
      <c r="J7" s="1" t="s">
        <v>457</v>
      </c>
      <c r="K7" s="1" t="s">
        <v>457</v>
      </c>
      <c r="L7" s="1" t="s">
        <v>457</v>
      </c>
      <c r="M7" s="1" t="s">
        <v>457</v>
      </c>
      <c r="N7" s="1" t="s">
        <v>457</v>
      </c>
      <c r="O7" s="1" t="s">
        <v>457</v>
      </c>
      <c r="P7" s="1" t="s">
        <v>457</v>
      </c>
      <c r="Q7" s="1" t="s">
        <v>457</v>
      </c>
      <c r="R7" s="1" t="s">
        <v>457</v>
      </c>
      <c r="S7" s="1" t="s">
        <v>457</v>
      </c>
      <c r="T7" s="1" t="s">
        <v>457</v>
      </c>
      <c r="U7" s="1" t="s">
        <v>457</v>
      </c>
      <c r="V7" s="1" t="s">
        <v>457</v>
      </c>
      <c r="W7" s="1" t="s">
        <v>457</v>
      </c>
      <c r="X7" s="1" t="s">
        <v>457</v>
      </c>
      <c r="Y7" s="1" t="s">
        <v>457</v>
      </c>
      <c r="Z7" s="1" t="s">
        <v>457</v>
      </c>
      <c r="AA7" s="1" t="s">
        <v>457</v>
      </c>
      <c r="AB7" s="1" t="s">
        <v>457</v>
      </c>
      <c r="AC7" s="502">
        <v>43045.229882731503</v>
      </c>
    </row>
    <row r="8" spans="1:29">
      <c r="A8" s="1" t="s">
        <v>1239</v>
      </c>
      <c r="B8" s="1" t="s">
        <v>518</v>
      </c>
      <c r="C8" s="1" t="s">
        <v>1320</v>
      </c>
      <c r="D8" s="1" t="s">
        <v>1321</v>
      </c>
      <c r="E8" s="1" t="s">
        <v>1322</v>
      </c>
      <c r="F8" s="1" t="s">
        <v>1323</v>
      </c>
      <c r="G8" s="1" t="s">
        <v>1324</v>
      </c>
      <c r="H8" s="1" t="s">
        <v>1325</v>
      </c>
      <c r="I8" s="1" t="s">
        <v>1326</v>
      </c>
      <c r="J8" s="1" t="s">
        <v>457</v>
      </c>
      <c r="K8" s="1" t="s">
        <v>457</v>
      </c>
      <c r="L8" s="1" t="s">
        <v>457</v>
      </c>
      <c r="M8" s="1" t="s">
        <v>457</v>
      </c>
      <c r="N8" s="1" t="s">
        <v>457</v>
      </c>
      <c r="O8" s="1" t="s">
        <v>1327</v>
      </c>
      <c r="P8" s="1" t="s">
        <v>1328</v>
      </c>
      <c r="Q8" s="1" t="s">
        <v>1329</v>
      </c>
      <c r="R8" s="1" t="s">
        <v>1330</v>
      </c>
      <c r="S8" s="1" t="s">
        <v>1331</v>
      </c>
      <c r="T8" s="1" t="s">
        <v>1332</v>
      </c>
      <c r="U8" s="1" t="s">
        <v>1333</v>
      </c>
      <c r="V8" s="1" t="s">
        <v>1334</v>
      </c>
      <c r="W8" s="1" t="s">
        <v>457</v>
      </c>
      <c r="X8" s="1" t="s">
        <v>457</v>
      </c>
      <c r="Y8" s="1" t="s">
        <v>457</v>
      </c>
      <c r="Z8" s="1" t="s">
        <v>457</v>
      </c>
      <c r="AA8" s="1" t="s">
        <v>457</v>
      </c>
      <c r="AB8" s="1" t="s">
        <v>1335</v>
      </c>
      <c r="AC8" s="502">
        <v>43045.229882731503</v>
      </c>
    </row>
    <row r="9" spans="1:29">
      <c r="A9" s="1" t="s">
        <v>1239</v>
      </c>
      <c r="B9" s="1" t="s">
        <v>549</v>
      </c>
      <c r="C9" s="1" t="s">
        <v>457</v>
      </c>
      <c r="D9" s="1" t="s">
        <v>457</v>
      </c>
      <c r="E9" s="1" t="s">
        <v>457</v>
      </c>
      <c r="F9" s="1" t="s">
        <v>457</v>
      </c>
      <c r="G9" s="1" t="s">
        <v>457</v>
      </c>
      <c r="H9" s="1" t="s">
        <v>457</v>
      </c>
      <c r="I9" s="1" t="s">
        <v>457</v>
      </c>
      <c r="J9" s="1" t="s">
        <v>457</v>
      </c>
      <c r="K9" s="1" t="s">
        <v>457</v>
      </c>
      <c r="L9" s="1" t="s">
        <v>457</v>
      </c>
      <c r="M9" s="1" t="s">
        <v>457</v>
      </c>
      <c r="N9" s="1" t="s">
        <v>457</v>
      </c>
      <c r="O9" s="1" t="s">
        <v>457</v>
      </c>
      <c r="P9" s="1" t="s">
        <v>457</v>
      </c>
      <c r="Q9" s="1" t="s">
        <v>457</v>
      </c>
      <c r="R9" s="1" t="s">
        <v>457</v>
      </c>
      <c r="S9" s="1" t="s">
        <v>457</v>
      </c>
      <c r="T9" s="1" t="s">
        <v>457</v>
      </c>
      <c r="U9" s="1" t="s">
        <v>457</v>
      </c>
      <c r="V9" s="1" t="s">
        <v>457</v>
      </c>
      <c r="W9" s="1" t="s">
        <v>457</v>
      </c>
      <c r="X9" s="1" t="s">
        <v>457</v>
      </c>
      <c r="Y9" s="1" t="s">
        <v>457</v>
      </c>
      <c r="Z9" s="1" t="s">
        <v>457</v>
      </c>
      <c r="AA9" s="1" t="s">
        <v>457</v>
      </c>
      <c r="AB9" s="1" t="s">
        <v>457</v>
      </c>
      <c r="AC9" s="502">
        <v>43045.229882731503</v>
      </c>
    </row>
    <row r="10" spans="1:29">
      <c r="A10" s="1" t="s">
        <v>1239</v>
      </c>
      <c r="B10" s="1" t="s">
        <v>550</v>
      </c>
      <c r="C10" s="1" t="s">
        <v>1336</v>
      </c>
      <c r="D10" s="1" t="s">
        <v>1337</v>
      </c>
      <c r="E10" s="1" t="s">
        <v>1338</v>
      </c>
      <c r="F10" s="1" t="s">
        <v>1339</v>
      </c>
      <c r="G10" s="1" t="s">
        <v>1340</v>
      </c>
      <c r="H10" s="1" t="s">
        <v>1341</v>
      </c>
      <c r="I10" s="1" t="s">
        <v>1342</v>
      </c>
      <c r="J10" s="1" t="s">
        <v>457</v>
      </c>
      <c r="K10" s="1" t="s">
        <v>457</v>
      </c>
      <c r="L10" s="1" t="s">
        <v>457</v>
      </c>
      <c r="M10" s="1" t="s">
        <v>457</v>
      </c>
      <c r="N10" s="1" t="s">
        <v>457</v>
      </c>
      <c r="O10" s="1" t="s">
        <v>1343</v>
      </c>
      <c r="P10" s="1" t="s">
        <v>1344</v>
      </c>
      <c r="Q10" s="1" t="s">
        <v>1345</v>
      </c>
      <c r="R10" s="1" t="s">
        <v>1346</v>
      </c>
      <c r="S10" s="1" t="s">
        <v>1347</v>
      </c>
      <c r="T10" s="1" t="s">
        <v>1348</v>
      </c>
      <c r="U10" s="1" t="s">
        <v>1349</v>
      </c>
      <c r="V10" s="1" t="s">
        <v>1350</v>
      </c>
      <c r="W10" s="1" t="s">
        <v>457</v>
      </c>
      <c r="X10" s="1" t="s">
        <v>457</v>
      </c>
      <c r="Y10" s="1" t="s">
        <v>457</v>
      </c>
      <c r="Z10" s="1" t="s">
        <v>457</v>
      </c>
      <c r="AA10" s="1" t="s">
        <v>457</v>
      </c>
      <c r="AB10" s="1" t="s">
        <v>1351</v>
      </c>
      <c r="AC10" s="502">
        <v>43045.229882731503</v>
      </c>
    </row>
    <row r="11" spans="1:29">
      <c r="A11" s="1" t="s">
        <v>1239</v>
      </c>
      <c r="B11" s="1" t="s">
        <v>578</v>
      </c>
      <c r="C11" s="1" t="s">
        <v>579</v>
      </c>
      <c r="D11" s="1" t="s">
        <v>579</v>
      </c>
      <c r="E11" s="1" t="s">
        <v>1352</v>
      </c>
      <c r="F11" s="1" t="s">
        <v>1353</v>
      </c>
      <c r="G11" s="1" t="s">
        <v>1354</v>
      </c>
      <c r="H11" s="1" t="s">
        <v>1355</v>
      </c>
      <c r="I11" s="1" t="s">
        <v>1356</v>
      </c>
      <c r="J11" s="1" t="s">
        <v>457</v>
      </c>
      <c r="K11" s="1" t="s">
        <v>457</v>
      </c>
      <c r="L11" s="1" t="s">
        <v>457</v>
      </c>
      <c r="M11" s="1" t="s">
        <v>457</v>
      </c>
      <c r="N11" s="1" t="s">
        <v>457</v>
      </c>
      <c r="O11" s="1" t="s">
        <v>1357</v>
      </c>
      <c r="P11" s="1" t="s">
        <v>579</v>
      </c>
      <c r="Q11" s="1" t="s">
        <v>579</v>
      </c>
      <c r="R11" s="1" t="s">
        <v>1358</v>
      </c>
      <c r="S11" s="1" t="s">
        <v>1354</v>
      </c>
      <c r="T11" s="1" t="s">
        <v>1354</v>
      </c>
      <c r="U11" s="1" t="s">
        <v>579</v>
      </c>
      <c r="V11" s="1" t="s">
        <v>579</v>
      </c>
      <c r="W11" s="1" t="s">
        <v>457</v>
      </c>
      <c r="X11" s="1" t="s">
        <v>457</v>
      </c>
      <c r="Y11" s="1" t="s">
        <v>457</v>
      </c>
      <c r="Z11" s="1" t="s">
        <v>457</v>
      </c>
      <c r="AA11" s="1" t="s">
        <v>457</v>
      </c>
      <c r="AB11" s="1" t="s">
        <v>1359</v>
      </c>
      <c r="AC11" s="502">
        <v>43045.229882731503</v>
      </c>
    </row>
    <row r="12" spans="1:29">
      <c r="A12" s="1" t="s">
        <v>1239</v>
      </c>
      <c r="B12" s="1" t="s">
        <v>582</v>
      </c>
      <c r="C12" s="1" t="s">
        <v>457</v>
      </c>
      <c r="D12" s="1" t="s">
        <v>457</v>
      </c>
      <c r="E12" s="1" t="s">
        <v>457</v>
      </c>
      <c r="F12" s="1" t="s">
        <v>457</v>
      </c>
      <c r="G12" s="1" t="s">
        <v>457</v>
      </c>
      <c r="H12" s="1" t="s">
        <v>457</v>
      </c>
      <c r="I12" s="1" t="s">
        <v>457</v>
      </c>
      <c r="J12" s="1" t="s">
        <v>457</v>
      </c>
      <c r="K12" s="1" t="s">
        <v>457</v>
      </c>
      <c r="L12" s="1" t="s">
        <v>457</v>
      </c>
      <c r="M12" s="1" t="s">
        <v>457</v>
      </c>
      <c r="N12" s="1" t="s">
        <v>457</v>
      </c>
      <c r="O12" s="1" t="s">
        <v>457</v>
      </c>
      <c r="P12" s="1" t="s">
        <v>457</v>
      </c>
      <c r="Q12" s="1" t="s">
        <v>457</v>
      </c>
      <c r="R12" s="1" t="s">
        <v>457</v>
      </c>
      <c r="S12" s="1" t="s">
        <v>457</v>
      </c>
      <c r="T12" s="1" t="s">
        <v>457</v>
      </c>
      <c r="U12" s="1" t="s">
        <v>457</v>
      </c>
      <c r="V12" s="1" t="s">
        <v>457</v>
      </c>
      <c r="W12" s="1" t="s">
        <v>457</v>
      </c>
      <c r="X12" s="1" t="s">
        <v>457</v>
      </c>
      <c r="Y12" s="1" t="s">
        <v>457</v>
      </c>
      <c r="Z12" s="1" t="s">
        <v>457</v>
      </c>
      <c r="AA12" s="1" t="s">
        <v>457</v>
      </c>
      <c r="AB12" s="1" t="s">
        <v>457</v>
      </c>
      <c r="AC12" s="502">
        <v>43045.229882731503</v>
      </c>
    </row>
    <row r="13" spans="1:29">
      <c r="A13" s="1" t="s">
        <v>1239</v>
      </c>
      <c r="B13" s="1" t="s">
        <v>583</v>
      </c>
      <c r="C13" s="1" t="s">
        <v>1360</v>
      </c>
      <c r="D13" s="1" t="s">
        <v>1361</v>
      </c>
      <c r="E13" s="1" t="s">
        <v>1362</v>
      </c>
      <c r="F13" s="1" t="s">
        <v>1363</v>
      </c>
      <c r="G13" s="1" t="s">
        <v>1364</v>
      </c>
      <c r="H13" s="1" t="s">
        <v>1365</v>
      </c>
      <c r="I13" s="1" t="s">
        <v>1366</v>
      </c>
      <c r="J13" s="1" t="s">
        <v>457</v>
      </c>
      <c r="K13" s="1" t="s">
        <v>457</v>
      </c>
      <c r="L13" s="1" t="s">
        <v>457</v>
      </c>
      <c r="M13" s="1" t="s">
        <v>457</v>
      </c>
      <c r="N13" s="1" t="s">
        <v>457</v>
      </c>
      <c r="O13" s="1" t="s">
        <v>1367</v>
      </c>
      <c r="P13" s="1" t="s">
        <v>1368</v>
      </c>
      <c r="Q13" s="1" t="s">
        <v>1369</v>
      </c>
      <c r="R13" s="1" t="s">
        <v>1370</v>
      </c>
      <c r="S13" s="1" t="s">
        <v>1371</v>
      </c>
      <c r="T13" s="1" t="s">
        <v>1372</v>
      </c>
      <c r="U13" s="1" t="s">
        <v>1373</v>
      </c>
      <c r="V13" s="1" t="s">
        <v>1374</v>
      </c>
      <c r="W13" s="1" t="s">
        <v>457</v>
      </c>
      <c r="X13" s="1" t="s">
        <v>457</v>
      </c>
      <c r="Y13" s="1" t="s">
        <v>457</v>
      </c>
      <c r="Z13" s="1" t="s">
        <v>457</v>
      </c>
      <c r="AA13" s="1" t="s">
        <v>457</v>
      </c>
      <c r="AB13" s="1" t="s">
        <v>1375</v>
      </c>
      <c r="AC13" s="502">
        <v>43045.229882731503</v>
      </c>
    </row>
    <row r="14" spans="1:29">
      <c r="A14" s="1" t="s">
        <v>1239</v>
      </c>
      <c r="B14" s="1" t="s">
        <v>610</v>
      </c>
      <c r="C14" s="1" t="s">
        <v>1376</v>
      </c>
      <c r="D14" s="1" t="s">
        <v>1377</v>
      </c>
      <c r="E14" s="1" t="s">
        <v>1378</v>
      </c>
      <c r="F14" s="1" t="s">
        <v>1379</v>
      </c>
      <c r="G14" s="1" t="s">
        <v>1380</v>
      </c>
      <c r="H14" s="1" t="s">
        <v>1381</v>
      </c>
      <c r="I14" s="1" t="s">
        <v>1382</v>
      </c>
      <c r="J14" s="1" t="s">
        <v>457</v>
      </c>
      <c r="K14" s="1" t="s">
        <v>457</v>
      </c>
      <c r="L14" s="1" t="s">
        <v>457</v>
      </c>
      <c r="M14" s="1" t="s">
        <v>457</v>
      </c>
      <c r="N14" s="1" t="s">
        <v>457</v>
      </c>
      <c r="O14" s="1" t="s">
        <v>1383</v>
      </c>
      <c r="P14" s="1" t="s">
        <v>1384</v>
      </c>
      <c r="Q14" s="1" t="s">
        <v>1385</v>
      </c>
      <c r="R14" s="1" t="s">
        <v>1386</v>
      </c>
      <c r="S14" s="1" t="s">
        <v>1387</v>
      </c>
      <c r="T14" s="1" t="s">
        <v>1388</v>
      </c>
      <c r="U14" s="1" t="s">
        <v>1389</v>
      </c>
      <c r="V14" s="1" t="s">
        <v>1390</v>
      </c>
      <c r="W14" s="1" t="s">
        <v>457</v>
      </c>
      <c r="X14" s="1" t="s">
        <v>457</v>
      </c>
      <c r="Y14" s="1" t="s">
        <v>457</v>
      </c>
      <c r="Z14" s="1" t="s">
        <v>457</v>
      </c>
      <c r="AA14" s="1" t="s">
        <v>457</v>
      </c>
      <c r="AB14" s="1" t="s">
        <v>1391</v>
      </c>
      <c r="AC14" s="502">
        <v>43045.229882731503</v>
      </c>
    </row>
    <row r="15" spans="1:29">
      <c r="A15" s="1" t="s">
        <v>1239</v>
      </c>
      <c r="B15" s="1" t="s">
        <v>635</v>
      </c>
      <c r="C15" s="1" t="s">
        <v>1392</v>
      </c>
      <c r="D15" s="1" t="s">
        <v>1393</v>
      </c>
      <c r="E15" s="1" t="s">
        <v>1394</v>
      </c>
      <c r="F15" s="1" t="s">
        <v>1395</v>
      </c>
      <c r="G15" s="1" t="s">
        <v>1396</v>
      </c>
      <c r="H15" s="1" t="s">
        <v>1397</v>
      </c>
      <c r="I15" s="1" t="s">
        <v>1398</v>
      </c>
      <c r="J15" s="1" t="s">
        <v>457</v>
      </c>
      <c r="K15" s="1" t="s">
        <v>457</v>
      </c>
      <c r="L15" s="1" t="s">
        <v>457</v>
      </c>
      <c r="M15" s="1" t="s">
        <v>457</v>
      </c>
      <c r="N15" s="1" t="s">
        <v>457</v>
      </c>
      <c r="O15" s="1" t="s">
        <v>1399</v>
      </c>
      <c r="P15" s="1" t="s">
        <v>1400</v>
      </c>
      <c r="Q15" s="1" t="s">
        <v>1401</v>
      </c>
      <c r="R15" s="1" t="s">
        <v>1400</v>
      </c>
      <c r="S15" s="1" t="s">
        <v>1400</v>
      </c>
      <c r="T15" s="1" t="s">
        <v>1402</v>
      </c>
      <c r="U15" s="1" t="s">
        <v>1403</v>
      </c>
      <c r="V15" s="1" t="s">
        <v>457</v>
      </c>
      <c r="W15" s="1" t="s">
        <v>457</v>
      </c>
      <c r="X15" s="1" t="s">
        <v>457</v>
      </c>
      <c r="Y15" s="1" t="s">
        <v>457</v>
      </c>
      <c r="Z15" s="1" t="s">
        <v>457</v>
      </c>
      <c r="AA15" s="1" t="s">
        <v>457</v>
      </c>
      <c r="AB15" s="1" t="s">
        <v>1404</v>
      </c>
      <c r="AC15" s="502">
        <v>43045.229882731503</v>
      </c>
    </row>
    <row r="16" spans="1:29">
      <c r="A16" s="1" t="s">
        <v>1239</v>
      </c>
      <c r="B16" s="1" t="s">
        <v>1405</v>
      </c>
      <c r="C16" s="1" t="s">
        <v>457</v>
      </c>
      <c r="D16" s="1" t="s">
        <v>457</v>
      </c>
      <c r="E16" s="1" t="s">
        <v>457</v>
      </c>
      <c r="F16" s="1" t="s">
        <v>457</v>
      </c>
      <c r="G16" s="1" t="s">
        <v>457</v>
      </c>
      <c r="H16" s="1" t="s">
        <v>457</v>
      </c>
      <c r="I16" s="1" t="s">
        <v>457</v>
      </c>
      <c r="J16" s="1" t="s">
        <v>457</v>
      </c>
      <c r="K16" s="1" t="s">
        <v>457</v>
      </c>
      <c r="L16" s="1" t="s">
        <v>457</v>
      </c>
      <c r="M16" s="1" t="s">
        <v>457</v>
      </c>
      <c r="N16" s="1" t="s">
        <v>457</v>
      </c>
      <c r="O16" s="1" t="s">
        <v>457</v>
      </c>
      <c r="P16" s="1" t="s">
        <v>457</v>
      </c>
      <c r="Q16" s="1" t="s">
        <v>457</v>
      </c>
      <c r="R16" s="1" t="s">
        <v>457</v>
      </c>
      <c r="S16" s="1" t="s">
        <v>457</v>
      </c>
      <c r="T16" s="1" t="s">
        <v>457</v>
      </c>
      <c r="U16" s="1" t="s">
        <v>457</v>
      </c>
      <c r="V16" s="1" t="s">
        <v>457</v>
      </c>
      <c r="W16" s="1" t="s">
        <v>457</v>
      </c>
      <c r="X16" s="1" t="s">
        <v>457</v>
      </c>
      <c r="Y16" s="1" t="s">
        <v>457</v>
      </c>
      <c r="Z16" s="1" t="s">
        <v>457</v>
      </c>
      <c r="AA16" s="1" t="s">
        <v>457</v>
      </c>
      <c r="AB16" s="1" t="s">
        <v>457</v>
      </c>
      <c r="AC16" s="502">
        <v>43045.229882731503</v>
      </c>
    </row>
    <row r="17" spans="1:29">
      <c r="A17" s="1" t="s">
        <v>1239</v>
      </c>
      <c r="B17" s="1" t="s">
        <v>639</v>
      </c>
      <c r="C17" s="1" t="s">
        <v>1406</v>
      </c>
      <c r="D17" s="1" t="s">
        <v>1407</v>
      </c>
      <c r="E17" s="1" t="s">
        <v>1408</v>
      </c>
      <c r="F17" s="1" t="s">
        <v>1409</v>
      </c>
      <c r="G17" s="1" t="s">
        <v>1410</v>
      </c>
      <c r="H17" s="1" t="s">
        <v>1411</v>
      </c>
      <c r="I17" s="1" t="s">
        <v>1412</v>
      </c>
      <c r="J17" s="1" t="s">
        <v>457</v>
      </c>
      <c r="K17" s="1" t="s">
        <v>457</v>
      </c>
      <c r="L17" s="1" t="s">
        <v>457</v>
      </c>
      <c r="M17" s="1" t="s">
        <v>457</v>
      </c>
      <c r="N17" s="1" t="s">
        <v>457</v>
      </c>
      <c r="O17" s="1" t="s">
        <v>1413</v>
      </c>
      <c r="P17" s="1" t="s">
        <v>1414</v>
      </c>
      <c r="Q17" s="1" t="s">
        <v>1415</v>
      </c>
      <c r="R17" s="1" t="s">
        <v>1416</v>
      </c>
      <c r="S17" s="1" t="s">
        <v>1417</v>
      </c>
      <c r="T17" s="1" t="s">
        <v>1418</v>
      </c>
      <c r="U17" s="1" t="s">
        <v>1419</v>
      </c>
      <c r="V17" s="1" t="s">
        <v>1420</v>
      </c>
      <c r="W17" s="1" t="s">
        <v>457</v>
      </c>
      <c r="X17" s="1" t="s">
        <v>457</v>
      </c>
      <c r="Y17" s="1" t="s">
        <v>457</v>
      </c>
      <c r="Z17" s="1" t="s">
        <v>457</v>
      </c>
      <c r="AA17" s="1" t="s">
        <v>457</v>
      </c>
      <c r="AB17" s="1" t="s">
        <v>1421</v>
      </c>
      <c r="AC17" s="502">
        <v>43045.229882731503</v>
      </c>
    </row>
    <row r="18" spans="1:29">
      <c r="A18" s="1" t="s">
        <v>1239</v>
      </c>
      <c r="B18" s="501" t="s">
        <v>669</v>
      </c>
      <c r="C18" s="1" t="s">
        <v>1422</v>
      </c>
      <c r="D18" s="1" t="s">
        <v>1423</v>
      </c>
      <c r="E18" s="1" t="s">
        <v>1424</v>
      </c>
      <c r="F18" s="1" t="s">
        <v>1425</v>
      </c>
      <c r="G18" s="1" t="s">
        <v>1426</v>
      </c>
      <c r="H18" s="1" t="s">
        <v>1427</v>
      </c>
      <c r="I18" s="1" t="s">
        <v>1428</v>
      </c>
      <c r="J18" s="1" t="s">
        <v>457</v>
      </c>
      <c r="K18" s="1" t="s">
        <v>457</v>
      </c>
      <c r="L18" s="1" t="s">
        <v>457</v>
      </c>
      <c r="M18" s="1" t="s">
        <v>457</v>
      </c>
      <c r="N18" s="1" t="s">
        <v>457</v>
      </c>
      <c r="O18" s="1" t="s">
        <v>1429</v>
      </c>
      <c r="P18" s="1" t="s">
        <v>1430</v>
      </c>
      <c r="Q18" s="1" t="s">
        <v>1431</v>
      </c>
      <c r="R18" s="1" t="s">
        <v>1432</v>
      </c>
      <c r="S18" s="1" t="s">
        <v>1433</v>
      </c>
      <c r="T18" s="1" t="s">
        <v>1434</v>
      </c>
      <c r="U18" s="1" t="s">
        <v>1435</v>
      </c>
      <c r="V18" s="1" t="s">
        <v>1436</v>
      </c>
      <c r="W18" s="1" t="s">
        <v>457</v>
      </c>
      <c r="X18" s="1" t="s">
        <v>457</v>
      </c>
      <c r="Y18" s="1" t="s">
        <v>457</v>
      </c>
      <c r="Z18" s="1" t="s">
        <v>457</v>
      </c>
      <c r="AA18" s="1" t="s">
        <v>457</v>
      </c>
      <c r="AB18" s="1" t="s">
        <v>1437</v>
      </c>
      <c r="AC18" s="502">
        <v>43045.229882731503</v>
      </c>
    </row>
    <row r="19" spans="1:29">
      <c r="A19" s="1" t="s">
        <v>1239</v>
      </c>
      <c r="B19" s="1" t="s">
        <v>698</v>
      </c>
      <c r="C19" s="1" t="s">
        <v>1438</v>
      </c>
      <c r="D19" s="1" t="s">
        <v>1439</v>
      </c>
      <c r="E19" s="1" t="s">
        <v>1440</v>
      </c>
      <c r="F19" s="1" t="s">
        <v>1441</v>
      </c>
      <c r="G19" s="1" t="s">
        <v>1442</v>
      </c>
      <c r="H19" s="1" t="s">
        <v>1443</v>
      </c>
      <c r="I19" s="1" t="s">
        <v>1444</v>
      </c>
      <c r="J19" s="1" t="s">
        <v>457</v>
      </c>
      <c r="K19" s="1" t="s">
        <v>457</v>
      </c>
      <c r="L19" s="1" t="s">
        <v>457</v>
      </c>
      <c r="M19" s="1" t="s">
        <v>457</v>
      </c>
      <c r="N19" s="1" t="s">
        <v>457</v>
      </c>
      <c r="O19" s="1" t="s">
        <v>1445</v>
      </c>
      <c r="P19" s="1" t="s">
        <v>1446</v>
      </c>
      <c r="Q19" s="1" t="s">
        <v>1447</v>
      </c>
      <c r="R19" s="1" t="s">
        <v>1448</v>
      </c>
      <c r="S19" s="1" t="s">
        <v>1449</v>
      </c>
      <c r="T19" s="1" t="s">
        <v>1450</v>
      </c>
      <c r="U19" s="1" t="s">
        <v>1451</v>
      </c>
      <c r="V19" s="1" t="s">
        <v>1452</v>
      </c>
      <c r="W19" s="1" t="s">
        <v>457</v>
      </c>
      <c r="X19" s="1" t="s">
        <v>457</v>
      </c>
      <c r="Y19" s="1" t="s">
        <v>457</v>
      </c>
      <c r="Z19" s="1" t="s">
        <v>457</v>
      </c>
      <c r="AA19" s="1" t="s">
        <v>457</v>
      </c>
      <c r="AB19" s="1" t="s">
        <v>1453</v>
      </c>
      <c r="AC19" s="502">
        <v>43045.229882731503</v>
      </c>
    </row>
    <row r="20" spans="1:29">
      <c r="A20" s="1" t="s">
        <v>1239</v>
      </c>
      <c r="B20" s="1" t="s">
        <v>726</v>
      </c>
      <c r="C20" s="1" t="s">
        <v>727</v>
      </c>
      <c r="D20" s="1" t="s">
        <v>727</v>
      </c>
      <c r="E20" s="1" t="s">
        <v>727</v>
      </c>
      <c r="F20" s="1" t="s">
        <v>727</v>
      </c>
      <c r="G20" s="1" t="s">
        <v>727</v>
      </c>
      <c r="H20" s="1" t="s">
        <v>727</v>
      </c>
      <c r="I20" s="1" t="s">
        <v>727</v>
      </c>
      <c r="J20" s="1" t="s">
        <v>457</v>
      </c>
      <c r="K20" s="1" t="s">
        <v>457</v>
      </c>
      <c r="L20" s="1" t="s">
        <v>457</v>
      </c>
      <c r="M20" s="1" t="s">
        <v>457</v>
      </c>
      <c r="N20" s="1" t="s">
        <v>457</v>
      </c>
      <c r="O20" s="1" t="s">
        <v>727</v>
      </c>
      <c r="P20" s="1" t="s">
        <v>727</v>
      </c>
      <c r="Q20" s="1" t="s">
        <v>727</v>
      </c>
      <c r="R20" s="1" t="s">
        <v>727</v>
      </c>
      <c r="S20" s="1" t="s">
        <v>727</v>
      </c>
      <c r="T20" s="1" t="s">
        <v>727</v>
      </c>
      <c r="U20" s="1" t="s">
        <v>727</v>
      </c>
      <c r="V20" s="1" t="s">
        <v>727</v>
      </c>
      <c r="W20" s="1" t="s">
        <v>457</v>
      </c>
      <c r="X20" s="1" t="s">
        <v>457</v>
      </c>
      <c r="Y20" s="1" t="s">
        <v>457</v>
      </c>
      <c r="Z20" s="1" t="s">
        <v>457</v>
      </c>
      <c r="AA20" s="1" t="s">
        <v>457</v>
      </c>
      <c r="AB20" s="1" t="s">
        <v>727</v>
      </c>
      <c r="AC20" s="502">
        <v>43045.229882731503</v>
      </c>
    </row>
    <row r="21" spans="1:29">
      <c r="A21" s="1" t="s">
        <v>1239</v>
      </c>
      <c r="B21" s="1" t="s">
        <v>728</v>
      </c>
      <c r="C21" s="1" t="s">
        <v>729</v>
      </c>
      <c r="D21" s="1" t="s">
        <v>729</v>
      </c>
      <c r="E21" s="1" t="s">
        <v>729</v>
      </c>
      <c r="F21" s="1" t="s">
        <v>729</v>
      </c>
      <c r="G21" s="1" t="s">
        <v>729</v>
      </c>
      <c r="H21" s="1" t="s">
        <v>729</v>
      </c>
      <c r="I21" s="1" t="s">
        <v>729</v>
      </c>
      <c r="J21" s="1" t="s">
        <v>457</v>
      </c>
      <c r="K21" s="1" t="s">
        <v>457</v>
      </c>
      <c r="L21" s="1" t="s">
        <v>457</v>
      </c>
      <c r="M21" s="1" t="s">
        <v>457</v>
      </c>
      <c r="N21" s="1" t="s">
        <v>457</v>
      </c>
      <c r="O21" s="1" t="s">
        <v>729</v>
      </c>
      <c r="P21" s="1" t="s">
        <v>729</v>
      </c>
      <c r="Q21" s="1" t="s">
        <v>729</v>
      </c>
      <c r="R21" s="1" t="s">
        <v>729</v>
      </c>
      <c r="S21" s="1" t="s">
        <v>729</v>
      </c>
      <c r="T21" s="1" t="s">
        <v>729</v>
      </c>
      <c r="U21" s="1" t="s">
        <v>729</v>
      </c>
      <c r="V21" s="1" t="s">
        <v>729</v>
      </c>
      <c r="W21" s="1" t="s">
        <v>457</v>
      </c>
      <c r="X21" s="1" t="s">
        <v>457</v>
      </c>
      <c r="Y21" s="1" t="s">
        <v>457</v>
      </c>
      <c r="Z21" s="1" t="s">
        <v>457</v>
      </c>
      <c r="AA21" s="1" t="s">
        <v>457</v>
      </c>
      <c r="AB21" s="1" t="s">
        <v>729</v>
      </c>
      <c r="AC21" s="502">
        <v>43045.229882731503</v>
      </c>
    </row>
    <row r="22" spans="1:29">
      <c r="A22" s="1" t="s">
        <v>1239</v>
      </c>
      <c r="B22" s="1" t="s">
        <v>730</v>
      </c>
      <c r="C22" s="1" t="s">
        <v>1454</v>
      </c>
      <c r="D22" s="1" t="s">
        <v>1455</v>
      </c>
      <c r="E22" s="1" t="s">
        <v>1456</v>
      </c>
      <c r="F22" s="1" t="s">
        <v>1457</v>
      </c>
      <c r="G22" s="1" t="s">
        <v>1458</v>
      </c>
      <c r="H22" s="1" t="s">
        <v>1459</v>
      </c>
      <c r="I22" s="1" t="s">
        <v>1460</v>
      </c>
      <c r="J22" s="1" t="s">
        <v>457</v>
      </c>
      <c r="K22" s="1" t="s">
        <v>457</v>
      </c>
      <c r="L22" s="1" t="s">
        <v>457</v>
      </c>
      <c r="M22" s="1" t="s">
        <v>457</v>
      </c>
      <c r="N22" s="1" t="s">
        <v>457</v>
      </c>
      <c r="O22" s="1" t="s">
        <v>1461</v>
      </c>
      <c r="P22" s="1" t="s">
        <v>1454</v>
      </c>
      <c r="Q22" s="1" t="s">
        <v>1462</v>
      </c>
      <c r="R22" s="1" t="s">
        <v>1463</v>
      </c>
      <c r="S22" s="1" t="s">
        <v>1464</v>
      </c>
      <c r="T22" s="1" t="s">
        <v>1465</v>
      </c>
      <c r="U22" s="1" t="s">
        <v>1466</v>
      </c>
      <c r="V22" s="1" t="s">
        <v>731</v>
      </c>
      <c r="W22" s="1" t="s">
        <v>457</v>
      </c>
      <c r="X22" s="1" t="s">
        <v>457</v>
      </c>
      <c r="Y22" s="1" t="s">
        <v>457</v>
      </c>
      <c r="Z22" s="1" t="s">
        <v>457</v>
      </c>
      <c r="AA22" s="1" t="s">
        <v>457</v>
      </c>
      <c r="AB22" s="1" t="s">
        <v>1467</v>
      </c>
      <c r="AC22" s="502">
        <v>43045.229882731503</v>
      </c>
    </row>
    <row r="23" spans="1:29">
      <c r="A23" s="1" t="s">
        <v>1239</v>
      </c>
      <c r="B23" s="501" t="s">
        <v>737</v>
      </c>
      <c r="C23" s="1" t="s">
        <v>457</v>
      </c>
      <c r="D23" s="1" t="s">
        <v>457</v>
      </c>
      <c r="E23" s="1" t="s">
        <v>457</v>
      </c>
      <c r="F23" s="1" t="s">
        <v>457</v>
      </c>
      <c r="G23" s="1" t="s">
        <v>457</v>
      </c>
      <c r="H23" s="1" t="s">
        <v>457</v>
      </c>
      <c r="I23" s="1" t="s">
        <v>457</v>
      </c>
      <c r="J23" s="1" t="s">
        <v>457</v>
      </c>
      <c r="K23" s="1" t="s">
        <v>457</v>
      </c>
      <c r="L23" s="1" t="s">
        <v>457</v>
      </c>
      <c r="M23" s="1" t="s">
        <v>457</v>
      </c>
      <c r="N23" s="1" t="s">
        <v>457</v>
      </c>
      <c r="O23" s="1" t="s">
        <v>457</v>
      </c>
      <c r="P23" s="1" t="s">
        <v>457</v>
      </c>
      <c r="Q23" s="1" t="s">
        <v>457</v>
      </c>
      <c r="R23" s="1" t="s">
        <v>457</v>
      </c>
      <c r="S23" s="1" t="s">
        <v>457</v>
      </c>
      <c r="T23" s="1" t="s">
        <v>457</v>
      </c>
      <c r="U23" s="1" t="s">
        <v>457</v>
      </c>
      <c r="V23" s="1" t="s">
        <v>457</v>
      </c>
      <c r="W23" s="1" t="s">
        <v>457</v>
      </c>
      <c r="X23" s="1" t="s">
        <v>457</v>
      </c>
      <c r="Y23" s="1" t="s">
        <v>457</v>
      </c>
      <c r="Z23" s="1" t="s">
        <v>457</v>
      </c>
      <c r="AA23" s="1" t="s">
        <v>457</v>
      </c>
      <c r="AB23" s="1" t="s">
        <v>457</v>
      </c>
      <c r="AC23" s="502">
        <v>43045.229882731503</v>
      </c>
    </row>
    <row r="24" spans="1:29">
      <c r="A24" s="1" t="s">
        <v>1239</v>
      </c>
      <c r="B24" s="501" t="s">
        <v>738</v>
      </c>
      <c r="C24" s="1" t="s">
        <v>457</v>
      </c>
      <c r="D24" s="1" t="s">
        <v>457</v>
      </c>
      <c r="E24" s="1" t="s">
        <v>457</v>
      </c>
      <c r="F24" s="1" t="s">
        <v>457</v>
      </c>
      <c r="G24" s="1" t="s">
        <v>457</v>
      </c>
      <c r="H24" s="1" t="s">
        <v>457</v>
      </c>
      <c r="I24" s="1" t="s">
        <v>457</v>
      </c>
      <c r="J24" s="1" t="s">
        <v>457</v>
      </c>
      <c r="K24" s="1" t="s">
        <v>457</v>
      </c>
      <c r="L24" s="1" t="s">
        <v>457</v>
      </c>
      <c r="M24" s="1" t="s">
        <v>457</v>
      </c>
      <c r="N24" s="1" t="s">
        <v>457</v>
      </c>
      <c r="O24" s="1" t="s">
        <v>457</v>
      </c>
      <c r="P24" s="1" t="s">
        <v>457</v>
      </c>
      <c r="Q24" s="1" t="s">
        <v>457</v>
      </c>
      <c r="R24" s="1" t="s">
        <v>457</v>
      </c>
      <c r="S24" s="1" t="s">
        <v>457</v>
      </c>
      <c r="T24" s="1" t="s">
        <v>457</v>
      </c>
      <c r="U24" s="1" t="s">
        <v>457</v>
      </c>
      <c r="V24" s="1" t="s">
        <v>457</v>
      </c>
      <c r="W24" s="1" t="s">
        <v>457</v>
      </c>
      <c r="X24" s="1" t="s">
        <v>457</v>
      </c>
      <c r="Y24" s="1" t="s">
        <v>457</v>
      </c>
      <c r="Z24" s="1" t="s">
        <v>457</v>
      </c>
      <c r="AA24" s="1" t="s">
        <v>457</v>
      </c>
      <c r="AB24" s="1" t="s">
        <v>457</v>
      </c>
      <c r="AC24" s="502">
        <v>43045.229882731503</v>
      </c>
    </row>
    <row r="25" spans="1:29">
      <c r="A25" s="1" t="s">
        <v>1239</v>
      </c>
      <c r="B25" s="501" t="s">
        <v>739</v>
      </c>
      <c r="C25" s="1" t="s">
        <v>1468</v>
      </c>
      <c r="D25" s="1" t="s">
        <v>1469</v>
      </c>
      <c r="E25" s="1" t="s">
        <v>1470</v>
      </c>
      <c r="F25" s="1" t="s">
        <v>1471</v>
      </c>
      <c r="G25" s="1" t="s">
        <v>1472</v>
      </c>
      <c r="H25" s="1" t="s">
        <v>1473</v>
      </c>
      <c r="I25" s="1" t="s">
        <v>1474</v>
      </c>
      <c r="J25" s="1" t="s">
        <v>457</v>
      </c>
      <c r="K25" s="1" t="s">
        <v>457</v>
      </c>
      <c r="L25" s="1" t="s">
        <v>457</v>
      </c>
      <c r="M25" s="1" t="s">
        <v>457</v>
      </c>
      <c r="N25" s="1" t="s">
        <v>457</v>
      </c>
      <c r="O25" s="1" t="s">
        <v>1475</v>
      </c>
      <c r="P25" s="1" t="s">
        <v>1476</v>
      </c>
      <c r="Q25" s="1" t="s">
        <v>1477</v>
      </c>
      <c r="R25" s="1" t="s">
        <v>1478</v>
      </c>
      <c r="S25" s="1" t="s">
        <v>1479</v>
      </c>
      <c r="T25" s="1" t="s">
        <v>1480</v>
      </c>
      <c r="U25" s="1" t="s">
        <v>1481</v>
      </c>
      <c r="V25" s="1" t="s">
        <v>1482</v>
      </c>
      <c r="W25" s="1" t="s">
        <v>457</v>
      </c>
      <c r="X25" s="1" t="s">
        <v>457</v>
      </c>
      <c r="Y25" s="1" t="s">
        <v>457</v>
      </c>
      <c r="Z25" s="1" t="s">
        <v>457</v>
      </c>
      <c r="AA25" s="1" t="s">
        <v>457</v>
      </c>
      <c r="AB25" s="1" t="s">
        <v>1483</v>
      </c>
      <c r="AC25" s="502">
        <v>43045.229882731503</v>
      </c>
    </row>
    <row r="26" spans="1:29">
      <c r="A26" s="1" t="s">
        <v>1239</v>
      </c>
      <c r="B26" s="501" t="s">
        <v>770</v>
      </c>
      <c r="C26" s="1" t="s">
        <v>1484</v>
      </c>
      <c r="D26" s="1" t="s">
        <v>1485</v>
      </c>
      <c r="E26" s="1" t="s">
        <v>1486</v>
      </c>
      <c r="F26" s="1" t="s">
        <v>1487</v>
      </c>
      <c r="G26" s="1" t="s">
        <v>1488</v>
      </c>
      <c r="H26" s="1" t="s">
        <v>1489</v>
      </c>
      <c r="I26" s="1" t="s">
        <v>1490</v>
      </c>
      <c r="J26" s="1" t="s">
        <v>457</v>
      </c>
      <c r="K26" s="1" t="s">
        <v>457</v>
      </c>
      <c r="L26" s="1" t="s">
        <v>457</v>
      </c>
      <c r="M26" s="1" t="s">
        <v>457</v>
      </c>
      <c r="N26" s="1" t="s">
        <v>457</v>
      </c>
      <c r="O26" s="1" t="s">
        <v>1491</v>
      </c>
      <c r="P26" s="1" t="s">
        <v>1492</v>
      </c>
      <c r="Q26" s="1" t="s">
        <v>1493</v>
      </c>
      <c r="R26" s="1" t="s">
        <v>1494</v>
      </c>
      <c r="S26" s="1" t="s">
        <v>1495</v>
      </c>
      <c r="T26" s="1" t="s">
        <v>1496</v>
      </c>
      <c r="U26" s="1" t="s">
        <v>1497</v>
      </c>
      <c r="V26" s="1" t="s">
        <v>1498</v>
      </c>
      <c r="W26" s="1" t="s">
        <v>457</v>
      </c>
      <c r="X26" s="1" t="s">
        <v>457</v>
      </c>
      <c r="Y26" s="1" t="s">
        <v>457</v>
      </c>
      <c r="Z26" s="1" t="s">
        <v>457</v>
      </c>
      <c r="AA26" s="1" t="s">
        <v>457</v>
      </c>
      <c r="AB26" s="1" t="s">
        <v>1499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1213</v>
      </c>
      <c r="B1" s="1" t="s">
        <v>361</v>
      </c>
      <c r="C1" s="1" t="s">
        <v>1214</v>
      </c>
      <c r="D1" s="1" t="s">
        <v>1215</v>
      </c>
      <c r="E1" s="1" t="s">
        <v>1216</v>
      </c>
      <c r="F1" s="1" t="s">
        <v>1217</v>
      </c>
      <c r="G1" s="1" t="s">
        <v>1218</v>
      </c>
      <c r="H1" s="1" t="s">
        <v>1219</v>
      </c>
      <c r="I1" s="1" t="s">
        <v>1220</v>
      </c>
      <c r="J1" s="1" t="s">
        <v>1221</v>
      </c>
      <c r="K1" s="1" t="s">
        <v>1222</v>
      </c>
      <c r="L1" s="1" t="s">
        <v>1223</v>
      </c>
      <c r="M1" s="1" t="s">
        <v>1224</v>
      </c>
      <c r="N1" s="1" t="s">
        <v>1225</v>
      </c>
      <c r="O1" s="1" t="s">
        <v>797</v>
      </c>
    </row>
    <row r="2" spans="1:17">
      <c r="A2" s="1" t="s">
        <v>1239</v>
      </c>
      <c r="B2" s="275" t="s">
        <v>364</v>
      </c>
      <c r="C2" s="1" t="s">
        <v>809</v>
      </c>
      <c r="D2" s="1" t="s">
        <v>812</v>
      </c>
      <c r="E2" s="1" t="s">
        <v>806</v>
      </c>
      <c r="F2" s="1" t="s">
        <v>806</v>
      </c>
      <c r="G2" s="1" t="s">
        <v>809</v>
      </c>
      <c r="H2" s="1" t="s">
        <v>804</v>
      </c>
      <c r="I2" s="1" t="s">
        <v>816</v>
      </c>
      <c r="J2" s="1" t="s">
        <v>800</v>
      </c>
      <c r="K2" s="1" t="s">
        <v>800</v>
      </c>
      <c r="L2" s="1" t="s">
        <v>800</v>
      </c>
      <c r="M2" s="1" t="s">
        <v>800</v>
      </c>
      <c r="N2" s="1" t="s">
        <v>800</v>
      </c>
      <c r="O2" s="1" t="s">
        <v>813</v>
      </c>
      <c r="P2" s="502"/>
      <c r="Q2" s="502"/>
    </row>
    <row r="3" spans="1:17">
      <c r="A3" s="1" t="s">
        <v>1239</v>
      </c>
      <c r="B3" s="275" t="s">
        <v>398</v>
      </c>
      <c r="C3" s="1" t="s">
        <v>816</v>
      </c>
      <c r="D3" s="1" t="s">
        <v>813</v>
      </c>
      <c r="E3" s="1" t="s">
        <v>808</v>
      </c>
      <c r="F3" s="1" t="s">
        <v>817</v>
      </c>
      <c r="G3" s="1" t="s">
        <v>806</v>
      </c>
      <c r="H3" s="1" t="s">
        <v>809</v>
      </c>
      <c r="I3" s="1" t="s">
        <v>809</v>
      </c>
      <c r="J3" s="1" t="s">
        <v>800</v>
      </c>
      <c r="K3" s="1" t="s">
        <v>800</v>
      </c>
      <c r="L3" s="1" t="s">
        <v>800</v>
      </c>
      <c r="M3" s="1" t="s">
        <v>800</v>
      </c>
      <c r="N3" s="1" t="s">
        <v>800</v>
      </c>
      <c r="O3" s="1" t="s">
        <v>809</v>
      </c>
      <c r="P3" s="502"/>
      <c r="Q3" s="502"/>
    </row>
    <row r="4" spans="1:17">
      <c r="A4" s="1" t="s">
        <v>1239</v>
      </c>
      <c r="B4" s="275" t="s">
        <v>430</v>
      </c>
      <c r="C4" s="1" t="s">
        <v>843</v>
      </c>
      <c r="D4" s="1" t="s">
        <v>822</v>
      </c>
      <c r="E4" s="1" t="s">
        <v>810</v>
      </c>
      <c r="F4" s="1" t="s">
        <v>810</v>
      </c>
      <c r="G4" s="1" t="s">
        <v>810</v>
      </c>
      <c r="H4" s="1" t="s">
        <v>822</v>
      </c>
      <c r="I4" s="1" t="s">
        <v>810</v>
      </c>
      <c r="J4" s="1" t="s">
        <v>800</v>
      </c>
      <c r="K4" s="1" t="s">
        <v>800</v>
      </c>
      <c r="L4" s="1" t="s">
        <v>800</v>
      </c>
      <c r="M4" s="1" t="s">
        <v>800</v>
      </c>
      <c r="N4" s="1" t="s">
        <v>800</v>
      </c>
      <c r="O4" s="1" t="s">
        <v>821</v>
      </c>
      <c r="P4" s="502"/>
      <c r="Q4" s="502"/>
    </row>
    <row r="5" spans="1:17">
      <c r="A5" s="1" t="s">
        <v>1239</v>
      </c>
      <c r="B5" s="275" t="s">
        <v>459</v>
      </c>
      <c r="C5" s="1" t="s">
        <v>1500</v>
      </c>
      <c r="D5" s="1" t="s">
        <v>836</v>
      </c>
      <c r="E5" s="1" t="s">
        <v>804</v>
      </c>
      <c r="F5" s="1" t="s">
        <v>884</v>
      </c>
      <c r="G5" s="1" t="s">
        <v>928</v>
      </c>
      <c r="H5" s="1" t="s">
        <v>1501</v>
      </c>
      <c r="I5" s="1" t="s">
        <v>1502</v>
      </c>
      <c r="J5" s="1" t="s">
        <v>800</v>
      </c>
      <c r="K5" s="1" t="s">
        <v>800</v>
      </c>
      <c r="L5" s="1" t="s">
        <v>800</v>
      </c>
      <c r="M5" s="1" t="s">
        <v>800</v>
      </c>
      <c r="N5" s="1" t="s">
        <v>800</v>
      </c>
      <c r="O5" s="1" t="s">
        <v>1503</v>
      </c>
      <c r="P5" s="502"/>
      <c r="Q5" s="502"/>
    </row>
    <row r="6" spans="1:17">
      <c r="A6" s="1" t="s">
        <v>1239</v>
      </c>
      <c r="B6" s="275" t="s">
        <v>487</v>
      </c>
      <c r="C6" s="1" t="s">
        <v>820</v>
      </c>
      <c r="D6" s="1" t="s">
        <v>845</v>
      </c>
      <c r="E6" s="1" t="s">
        <v>842</v>
      </c>
      <c r="F6" s="1" t="s">
        <v>844</v>
      </c>
      <c r="G6" s="1" t="s">
        <v>820</v>
      </c>
      <c r="H6" s="1" t="s">
        <v>841</v>
      </c>
      <c r="I6" s="1" t="s">
        <v>820</v>
      </c>
      <c r="J6" s="1" t="s">
        <v>800</v>
      </c>
      <c r="K6" s="1" t="s">
        <v>800</v>
      </c>
      <c r="L6" s="1" t="s">
        <v>800</v>
      </c>
      <c r="M6" s="1" t="s">
        <v>800</v>
      </c>
      <c r="N6" s="1" t="s">
        <v>800</v>
      </c>
      <c r="O6" s="1" t="s">
        <v>842</v>
      </c>
      <c r="P6" s="502"/>
      <c r="Q6" s="502"/>
    </row>
    <row r="7" spans="1:17">
      <c r="A7" s="1" t="s">
        <v>1239</v>
      </c>
      <c r="B7" s="275" t="s">
        <v>517</v>
      </c>
      <c r="C7" s="1" t="s">
        <v>800</v>
      </c>
      <c r="D7" s="1" t="s">
        <v>800</v>
      </c>
      <c r="E7" s="1" t="s">
        <v>800</v>
      </c>
      <c r="F7" s="1" t="s">
        <v>800</v>
      </c>
      <c r="G7" s="1" t="s">
        <v>800</v>
      </c>
      <c r="H7" s="1" t="s">
        <v>800</v>
      </c>
      <c r="I7" s="1" t="s">
        <v>800</v>
      </c>
      <c r="J7" s="1" t="s">
        <v>800</v>
      </c>
      <c r="K7" s="1" t="s">
        <v>800</v>
      </c>
      <c r="L7" s="1" t="s">
        <v>800</v>
      </c>
      <c r="M7" s="1" t="s">
        <v>800</v>
      </c>
      <c r="N7" s="1" t="s">
        <v>800</v>
      </c>
      <c r="O7" s="1" t="s">
        <v>800</v>
      </c>
      <c r="P7" s="502"/>
      <c r="Q7" s="502"/>
    </row>
    <row r="8" spans="1:17">
      <c r="A8" s="1" t="s">
        <v>1239</v>
      </c>
      <c r="B8" s="275" t="s">
        <v>518</v>
      </c>
      <c r="C8" s="1" t="s">
        <v>812</v>
      </c>
      <c r="D8" s="1" t="s">
        <v>806</v>
      </c>
      <c r="E8" s="1" t="s">
        <v>814</v>
      </c>
      <c r="F8" s="1" t="s">
        <v>815</v>
      </c>
      <c r="G8" s="1" t="s">
        <v>812</v>
      </c>
      <c r="H8" s="1" t="s">
        <v>809</v>
      </c>
      <c r="I8" s="1" t="s">
        <v>816</v>
      </c>
      <c r="J8" s="1" t="s">
        <v>800</v>
      </c>
      <c r="K8" s="1" t="s">
        <v>800</v>
      </c>
      <c r="L8" s="1" t="s">
        <v>800</v>
      </c>
      <c r="M8" s="1" t="s">
        <v>800</v>
      </c>
      <c r="N8" s="1" t="s">
        <v>800</v>
      </c>
      <c r="O8" s="1" t="s">
        <v>811</v>
      </c>
      <c r="P8" s="502"/>
      <c r="Q8" s="502"/>
    </row>
    <row r="9" spans="1:17">
      <c r="A9" s="1" t="s">
        <v>1239</v>
      </c>
      <c r="B9" s="275" t="s">
        <v>848</v>
      </c>
      <c r="C9" s="1" t="s">
        <v>817</v>
      </c>
      <c r="D9" s="1" t="s">
        <v>864</v>
      </c>
      <c r="E9" s="1" t="s">
        <v>931</v>
      </c>
      <c r="F9" s="1" t="s">
        <v>820</v>
      </c>
      <c r="G9" s="1" t="s">
        <v>835</v>
      </c>
      <c r="H9" s="1" t="s">
        <v>1504</v>
      </c>
      <c r="I9" s="1" t="s">
        <v>810</v>
      </c>
      <c r="J9" s="1" t="s">
        <v>800</v>
      </c>
      <c r="K9" s="1" t="s">
        <v>800</v>
      </c>
      <c r="L9" s="1" t="s">
        <v>800</v>
      </c>
      <c r="M9" s="1" t="s">
        <v>800</v>
      </c>
      <c r="N9" s="1" t="s">
        <v>800</v>
      </c>
      <c r="O9" s="1" t="s">
        <v>914</v>
      </c>
      <c r="P9" s="502"/>
      <c r="Q9" s="502"/>
    </row>
    <row r="10" spans="1:17">
      <c r="A10" s="1" t="s">
        <v>1239</v>
      </c>
      <c r="B10" s="275" t="s">
        <v>854</v>
      </c>
      <c r="C10" s="1" t="s">
        <v>811</v>
      </c>
      <c r="D10" s="1" t="s">
        <v>813</v>
      </c>
      <c r="E10" s="1" t="s">
        <v>806</v>
      </c>
      <c r="F10" s="1" t="s">
        <v>817</v>
      </c>
      <c r="G10" s="1" t="s">
        <v>811</v>
      </c>
      <c r="H10" s="1" t="s">
        <v>812</v>
      </c>
      <c r="I10" s="1" t="s">
        <v>805</v>
      </c>
      <c r="J10" s="1" t="s">
        <v>800</v>
      </c>
      <c r="K10" s="1" t="s">
        <v>800</v>
      </c>
      <c r="L10" s="1" t="s">
        <v>800</v>
      </c>
      <c r="M10" s="1" t="s">
        <v>800</v>
      </c>
      <c r="N10" s="1" t="s">
        <v>800</v>
      </c>
      <c r="O10" s="1" t="s">
        <v>809</v>
      </c>
      <c r="P10" s="502"/>
      <c r="Q10" s="502"/>
    </row>
    <row r="11" spans="1:17">
      <c r="A11" s="1" t="s">
        <v>1239</v>
      </c>
      <c r="B11" s="275" t="s">
        <v>856</v>
      </c>
      <c r="C11" s="1" t="s">
        <v>863</v>
      </c>
      <c r="D11" s="1" t="s">
        <v>840</v>
      </c>
      <c r="E11" s="1" t="s">
        <v>810</v>
      </c>
      <c r="F11" s="1" t="s">
        <v>810</v>
      </c>
      <c r="G11" s="1" t="s">
        <v>840</v>
      </c>
      <c r="H11" s="1" t="s">
        <v>810</v>
      </c>
      <c r="I11" s="1" t="s">
        <v>821</v>
      </c>
      <c r="J11" s="1" t="s">
        <v>800</v>
      </c>
      <c r="K11" s="1" t="s">
        <v>800</v>
      </c>
      <c r="L11" s="1" t="s">
        <v>800</v>
      </c>
      <c r="M11" s="1" t="s">
        <v>800</v>
      </c>
      <c r="N11" s="1" t="s">
        <v>800</v>
      </c>
      <c r="O11" s="1" t="s">
        <v>845</v>
      </c>
      <c r="P11" s="502"/>
      <c r="Q11" s="502"/>
    </row>
    <row r="12" spans="1:17">
      <c r="A12" s="1" t="s">
        <v>1239</v>
      </c>
      <c r="B12" s="275" t="s">
        <v>857</v>
      </c>
      <c r="C12" s="1" t="s">
        <v>834</v>
      </c>
      <c r="D12" s="1" t="s">
        <v>863</v>
      </c>
      <c r="E12" s="1" t="s">
        <v>846</v>
      </c>
      <c r="F12" s="1" t="s">
        <v>816</v>
      </c>
      <c r="G12" s="1" t="s">
        <v>853</v>
      </c>
      <c r="H12" s="1" t="s">
        <v>816</v>
      </c>
      <c r="I12" s="1" t="s">
        <v>799</v>
      </c>
      <c r="J12" s="1" t="s">
        <v>800</v>
      </c>
      <c r="K12" s="1" t="s">
        <v>800</v>
      </c>
      <c r="L12" s="1" t="s">
        <v>800</v>
      </c>
      <c r="M12" s="1" t="s">
        <v>800</v>
      </c>
      <c r="N12" s="1" t="s">
        <v>800</v>
      </c>
      <c r="O12" s="1" t="s">
        <v>846</v>
      </c>
      <c r="P12" s="502"/>
      <c r="Q12" s="502"/>
    </row>
    <row r="13" spans="1:17">
      <c r="A13" s="1" t="s">
        <v>1239</v>
      </c>
      <c r="B13" s="275" t="s">
        <v>860</v>
      </c>
      <c r="C13" s="1" t="s">
        <v>875</v>
      </c>
      <c r="D13" s="1" t="s">
        <v>851</v>
      </c>
      <c r="E13" s="1" t="s">
        <v>909</v>
      </c>
      <c r="F13" s="1" t="s">
        <v>914</v>
      </c>
      <c r="G13" s="1" t="s">
        <v>802</v>
      </c>
      <c r="H13" s="1" t="s">
        <v>859</v>
      </c>
      <c r="I13" s="1" t="s">
        <v>855</v>
      </c>
      <c r="J13" s="1" t="s">
        <v>800</v>
      </c>
      <c r="K13" s="1" t="s">
        <v>800</v>
      </c>
      <c r="L13" s="1" t="s">
        <v>800</v>
      </c>
      <c r="M13" s="1" t="s">
        <v>800</v>
      </c>
      <c r="N13" s="1" t="s">
        <v>800</v>
      </c>
      <c r="O13" s="1" t="s">
        <v>846</v>
      </c>
      <c r="P13" s="502"/>
      <c r="Q13" s="502"/>
    </row>
    <row r="14" spans="1:17">
      <c r="A14" s="1" t="s">
        <v>1239</v>
      </c>
      <c r="B14" s="275" t="s">
        <v>874</v>
      </c>
      <c r="C14" s="1" t="s">
        <v>1505</v>
      </c>
      <c r="D14" s="1" t="s">
        <v>1506</v>
      </c>
      <c r="E14" s="1" t="s">
        <v>880</v>
      </c>
      <c r="F14" s="1" t="s">
        <v>914</v>
      </c>
      <c r="G14" s="1" t="s">
        <v>873</v>
      </c>
      <c r="H14" s="1" t="s">
        <v>861</v>
      </c>
      <c r="I14" s="1" t="s">
        <v>809</v>
      </c>
      <c r="J14" s="1" t="s">
        <v>800</v>
      </c>
      <c r="K14" s="1" t="s">
        <v>800</v>
      </c>
      <c r="L14" s="1" t="s">
        <v>800</v>
      </c>
      <c r="M14" s="1" t="s">
        <v>800</v>
      </c>
      <c r="N14" s="1" t="s">
        <v>800</v>
      </c>
      <c r="O14" s="1" t="s">
        <v>890</v>
      </c>
      <c r="P14" s="502"/>
      <c r="Q14" s="502"/>
    </row>
    <row r="15" spans="1:17">
      <c r="A15" s="1" t="s">
        <v>1239</v>
      </c>
      <c r="B15" s="275" t="s">
        <v>892</v>
      </c>
      <c r="C15" s="1" t="s">
        <v>800</v>
      </c>
      <c r="D15" s="1" t="s">
        <v>800</v>
      </c>
      <c r="E15" s="1" t="s">
        <v>810</v>
      </c>
      <c r="F15" s="1" t="s">
        <v>1507</v>
      </c>
      <c r="G15" s="1" t="s">
        <v>800</v>
      </c>
      <c r="H15" s="1" t="s">
        <v>800</v>
      </c>
      <c r="I15" s="1" t="s">
        <v>800</v>
      </c>
      <c r="J15" s="1" t="s">
        <v>800</v>
      </c>
      <c r="K15" s="1" t="s">
        <v>800</v>
      </c>
      <c r="L15" s="1" t="s">
        <v>800</v>
      </c>
      <c r="M15" s="1" t="s">
        <v>800</v>
      </c>
      <c r="N15" s="1" t="s">
        <v>800</v>
      </c>
      <c r="O15" s="1" t="s">
        <v>1508</v>
      </c>
      <c r="P15" s="502"/>
      <c r="Q15" s="502"/>
    </row>
    <row r="16" spans="1:17">
      <c r="A16" s="1" t="s">
        <v>1239</v>
      </c>
      <c r="B16" s="275" t="s">
        <v>893</v>
      </c>
      <c r="C16" s="1" t="s">
        <v>875</v>
      </c>
      <c r="D16" s="1" t="s">
        <v>855</v>
      </c>
      <c r="E16" s="1" t="s">
        <v>816</v>
      </c>
      <c r="F16" s="1" t="s">
        <v>809</v>
      </c>
      <c r="G16" s="1" t="s">
        <v>809</v>
      </c>
      <c r="H16" s="1" t="s">
        <v>812</v>
      </c>
      <c r="I16" s="1" t="s">
        <v>813</v>
      </c>
      <c r="J16" s="1" t="s">
        <v>800</v>
      </c>
      <c r="K16" s="1" t="s">
        <v>800</v>
      </c>
      <c r="L16" s="1" t="s">
        <v>800</v>
      </c>
      <c r="M16" s="1" t="s">
        <v>800</v>
      </c>
      <c r="N16" s="1" t="s">
        <v>800</v>
      </c>
      <c r="O16" s="1" t="s">
        <v>816</v>
      </c>
      <c r="P16" s="502"/>
      <c r="Q16" s="502"/>
    </row>
    <row r="17" spans="1:17">
      <c r="A17" s="1" t="s">
        <v>1239</v>
      </c>
      <c r="B17" s="275" t="s">
        <v>894</v>
      </c>
      <c r="C17" s="1" t="s">
        <v>800</v>
      </c>
      <c r="D17" s="1" t="s">
        <v>800</v>
      </c>
      <c r="E17" s="1" t="s">
        <v>800</v>
      </c>
      <c r="F17" s="1" t="s">
        <v>800</v>
      </c>
      <c r="G17" s="1" t="s">
        <v>800</v>
      </c>
      <c r="H17" s="1" t="s">
        <v>800</v>
      </c>
      <c r="I17" s="1" t="s">
        <v>800</v>
      </c>
      <c r="J17" s="1" t="s">
        <v>800</v>
      </c>
      <c r="K17" s="1" t="s">
        <v>800</v>
      </c>
      <c r="L17" s="1" t="s">
        <v>800</v>
      </c>
      <c r="M17" s="1" t="s">
        <v>800</v>
      </c>
      <c r="N17" s="1" t="s">
        <v>800</v>
      </c>
      <c r="O17" s="1" t="s">
        <v>800</v>
      </c>
      <c r="P17" s="502"/>
      <c r="Q17" s="502"/>
    </row>
    <row r="18" spans="1:17">
      <c r="A18" s="1" t="s">
        <v>1239</v>
      </c>
      <c r="B18" s="275" t="s">
        <v>895</v>
      </c>
      <c r="C18" s="1" t="s">
        <v>800</v>
      </c>
      <c r="D18" s="1" t="s">
        <v>800</v>
      </c>
      <c r="E18" s="1" t="s">
        <v>800</v>
      </c>
      <c r="F18" s="1" t="s">
        <v>800</v>
      </c>
      <c r="G18" s="1" t="s">
        <v>800</v>
      </c>
      <c r="H18" s="1" t="s">
        <v>800</v>
      </c>
      <c r="I18" s="1" t="s">
        <v>800</v>
      </c>
      <c r="J18" s="1" t="s">
        <v>800</v>
      </c>
      <c r="K18" s="1" t="s">
        <v>800</v>
      </c>
      <c r="L18" s="1" t="s">
        <v>800</v>
      </c>
      <c r="M18" s="1" t="s">
        <v>800</v>
      </c>
      <c r="N18" s="1" t="s">
        <v>800</v>
      </c>
      <c r="O18" s="1" t="s">
        <v>800</v>
      </c>
      <c r="P18" s="502"/>
      <c r="Q18" s="502"/>
    </row>
    <row r="19" spans="1:17">
      <c r="A19" s="1" t="s">
        <v>1239</v>
      </c>
      <c r="B19" s="275" t="s">
        <v>896</v>
      </c>
      <c r="C19" s="1" t="s">
        <v>800</v>
      </c>
      <c r="D19" s="1" t="s">
        <v>800</v>
      </c>
      <c r="E19" s="1" t="s">
        <v>800</v>
      </c>
      <c r="F19" s="1" t="s">
        <v>800</v>
      </c>
      <c r="G19" s="1" t="s">
        <v>800</v>
      </c>
      <c r="H19" s="1" t="s">
        <v>800</v>
      </c>
      <c r="I19" s="1" t="s">
        <v>800</v>
      </c>
      <c r="J19" s="1" t="s">
        <v>800</v>
      </c>
      <c r="K19" s="1" t="s">
        <v>800</v>
      </c>
      <c r="L19" s="1" t="s">
        <v>800</v>
      </c>
      <c r="M19" s="1" t="s">
        <v>800</v>
      </c>
      <c r="N19" s="1" t="s">
        <v>800</v>
      </c>
      <c r="O19" s="1" t="s">
        <v>800</v>
      </c>
      <c r="P19" s="502"/>
      <c r="Q19" s="502"/>
    </row>
    <row r="20" spans="1:17">
      <c r="A20" s="1" t="s">
        <v>1239</v>
      </c>
      <c r="B20" s="275" t="s">
        <v>897</v>
      </c>
      <c r="C20" s="1" t="s">
        <v>800</v>
      </c>
      <c r="D20" s="1" t="s">
        <v>800</v>
      </c>
      <c r="E20" s="1" t="s">
        <v>800</v>
      </c>
      <c r="F20" s="1" t="s">
        <v>800</v>
      </c>
      <c r="G20" s="1" t="s">
        <v>800</v>
      </c>
      <c r="H20" s="1" t="s">
        <v>800</v>
      </c>
      <c r="I20" s="1" t="s">
        <v>800</v>
      </c>
      <c r="J20" s="1" t="s">
        <v>800</v>
      </c>
      <c r="K20" s="1" t="s">
        <v>800</v>
      </c>
      <c r="L20" s="1" t="s">
        <v>800</v>
      </c>
      <c r="M20" s="1" t="s">
        <v>800</v>
      </c>
      <c r="N20" s="1" t="s">
        <v>800</v>
      </c>
      <c r="O20" s="1" t="s">
        <v>800</v>
      </c>
      <c r="P20" s="502"/>
      <c r="Q20" s="502"/>
    </row>
    <row r="21" spans="1:17">
      <c r="A21" s="1" t="s">
        <v>1239</v>
      </c>
      <c r="B21" s="275" t="s">
        <v>898</v>
      </c>
      <c r="C21" s="1" t="s">
        <v>1509</v>
      </c>
      <c r="D21" s="1" t="s">
        <v>1510</v>
      </c>
      <c r="E21" s="1" t="s">
        <v>1511</v>
      </c>
      <c r="F21" s="1" t="s">
        <v>810</v>
      </c>
      <c r="G21" s="1" t="s">
        <v>810</v>
      </c>
      <c r="H21" s="1" t="s">
        <v>810</v>
      </c>
      <c r="I21" s="1" t="s">
        <v>810</v>
      </c>
      <c r="J21" s="1" t="s">
        <v>800</v>
      </c>
      <c r="K21" s="1" t="s">
        <v>800</v>
      </c>
      <c r="L21" s="1" t="s">
        <v>800</v>
      </c>
      <c r="M21" s="1" t="s">
        <v>800</v>
      </c>
      <c r="N21" s="1" t="s">
        <v>800</v>
      </c>
      <c r="O21" s="1" t="s">
        <v>891</v>
      </c>
      <c r="P21" s="502"/>
      <c r="Q21" s="502"/>
    </row>
    <row r="22" spans="1:17">
      <c r="A22" s="1" t="s">
        <v>1239</v>
      </c>
      <c r="B22" s="275" t="s">
        <v>899</v>
      </c>
      <c r="C22" s="1" t="s">
        <v>800</v>
      </c>
      <c r="D22" s="1" t="s">
        <v>800</v>
      </c>
      <c r="E22" s="1" t="s">
        <v>800</v>
      </c>
      <c r="F22" s="1" t="s">
        <v>800</v>
      </c>
      <c r="G22" s="1" t="s">
        <v>800</v>
      </c>
      <c r="H22" s="1" t="s">
        <v>800</v>
      </c>
      <c r="I22" s="1" t="s">
        <v>800</v>
      </c>
      <c r="J22" s="1" t="s">
        <v>800</v>
      </c>
      <c r="K22" s="1" t="s">
        <v>800</v>
      </c>
      <c r="L22" s="1" t="s">
        <v>800</v>
      </c>
      <c r="M22" s="1" t="s">
        <v>800</v>
      </c>
      <c r="N22" s="1" t="s">
        <v>800</v>
      </c>
      <c r="O22" s="1" t="s">
        <v>800</v>
      </c>
      <c r="P22" s="502"/>
    </row>
    <row r="23" spans="1:17">
      <c r="A23" s="1" t="s">
        <v>1239</v>
      </c>
      <c r="B23" s="275" t="s">
        <v>900</v>
      </c>
      <c r="C23" s="1" t="s">
        <v>864</v>
      </c>
      <c r="D23" s="1" t="s">
        <v>864</v>
      </c>
      <c r="E23" s="1" t="s">
        <v>849</v>
      </c>
      <c r="F23" s="1" t="s">
        <v>1504</v>
      </c>
      <c r="G23" s="1" t="s">
        <v>849</v>
      </c>
      <c r="H23" s="1" t="s">
        <v>868</v>
      </c>
      <c r="I23" s="1" t="s">
        <v>1512</v>
      </c>
      <c r="J23" s="1" t="s">
        <v>800</v>
      </c>
      <c r="K23" s="1" t="s">
        <v>800</v>
      </c>
      <c r="L23" s="1" t="s">
        <v>800</v>
      </c>
      <c r="M23" s="1" t="s">
        <v>800</v>
      </c>
      <c r="N23" s="1" t="s">
        <v>800</v>
      </c>
      <c r="O23" s="1" t="s">
        <v>880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1213</v>
      </c>
      <c r="B1" s="1" t="s">
        <v>361</v>
      </c>
      <c r="C1" s="1" t="s">
        <v>913</v>
      </c>
      <c r="D1" s="1" t="s">
        <v>1214</v>
      </c>
      <c r="E1" s="1" t="s">
        <v>1215</v>
      </c>
      <c r="F1" s="1" t="s">
        <v>1216</v>
      </c>
      <c r="G1" s="1" t="s">
        <v>1217</v>
      </c>
      <c r="H1" s="1" t="s">
        <v>1218</v>
      </c>
      <c r="I1" s="1" t="s">
        <v>1219</v>
      </c>
      <c r="J1" s="1" t="s">
        <v>1220</v>
      </c>
      <c r="K1" s="1" t="s">
        <v>1221</v>
      </c>
      <c r="L1" s="1" t="s">
        <v>1222</v>
      </c>
      <c r="M1" s="1" t="s">
        <v>1223</v>
      </c>
      <c r="N1" s="1" t="s">
        <v>1224</v>
      </c>
      <c r="O1" s="1" t="s">
        <v>1225</v>
      </c>
      <c r="P1" s="1" t="s">
        <v>797</v>
      </c>
    </row>
    <row r="2" spans="1:17">
      <c r="A2" s="1" t="s">
        <v>1239</v>
      </c>
      <c r="B2" s="275" t="s">
        <v>364</v>
      </c>
      <c r="C2" s="1" t="s">
        <v>236</v>
      </c>
      <c r="D2" s="1" t="s">
        <v>813</v>
      </c>
      <c r="E2" s="1" t="s">
        <v>805</v>
      </c>
      <c r="F2" s="1" t="s">
        <v>817</v>
      </c>
      <c r="G2" s="1" t="s">
        <v>807</v>
      </c>
      <c r="H2" s="1" t="s">
        <v>806</v>
      </c>
      <c r="I2" s="1" t="s">
        <v>813</v>
      </c>
      <c r="J2" s="1" t="s">
        <v>805</v>
      </c>
      <c r="K2" s="1" t="s">
        <v>800</v>
      </c>
      <c r="L2" s="1" t="s">
        <v>800</v>
      </c>
      <c r="M2" s="1" t="s">
        <v>800</v>
      </c>
      <c r="N2" s="1" t="s">
        <v>800</v>
      </c>
      <c r="O2" s="1" t="s">
        <v>800</v>
      </c>
      <c r="P2" s="1" t="s">
        <v>809</v>
      </c>
      <c r="Q2" s="502">
        <v>43045.229883090302</v>
      </c>
    </row>
    <row r="3" spans="1:17">
      <c r="A3" s="1" t="s">
        <v>1239</v>
      </c>
      <c r="B3" s="275" t="s">
        <v>364</v>
      </c>
      <c r="C3" s="1" t="s">
        <v>237</v>
      </c>
      <c r="D3" s="1" t="s">
        <v>808</v>
      </c>
      <c r="E3" s="1" t="s">
        <v>808</v>
      </c>
      <c r="F3" s="1" t="s">
        <v>817</v>
      </c>
      <c r="G3" s="1" t="s">
        <v>807</v>
      </c>
      <c r="H3" s="1" t="s">
        <v>809</v>
      </c>
      <c r="I3" s="1" t="s">
        <v>805</v>
      </c>
      <c r="J3" s="1" t="s">
        <v>805</v>
      </c>
      <c r="K3" s="1" t="s">
        <v>800</v>
      </c>
      <c r="L3" s="1" t="s">
        <v>800</v>
      </c>
      <c r="M3" s="1" t="s">
        <v>800</v>
      </c>
      <c r="N3" s="1" t="s">
        <v>800</v>
      </c>
      <c r="O3" s="1" t="s">
        <v>800</v>
      </c>
      <c r="P3" s="1" t="s">
        <v>811</v>
      </c>
      <c r="Q3" s="502">
        <v>43045.229883090302</v>
      </c>
    </row>
    <row r="4" spans="1:17">
      <c r="A4" s="1" t="s">
        <v>1239</v>
      </c>
      <c r="B4" s="275" t="s">
        <v>364</v>
      </c>
      <c r="C4" s="1" t="s">
        <v>915</v>
      </c>
      <c r="D4" s="1" t="s">
        <v>844</v>
      </c>
      <c r="E4" s="1" t="s">
        <v>844</v>
      </c>
      <c r="F4" s="1" t="s">
        <v>841</v>
      </c>
      <c r="G4" s="1" t="s">
        <v>841</v>
      </c>
      <c r="H4" s="1" t="s">
        <v>845</v>
      </c>
      <c r="I4" s="1" t="s">
        <v>843</v>
      </c>
      <c r="J4" s="1" t="s">
        <v>844</v>
      </c>
      <c r="K4" s="1" t="s">
        <v>800</v>
      </c>
      <c r="L4" s="1" t="s">
        <v>800</v>
      </c>
      <c r="M4" s="1" t="s">
        <v>800</v>
      </c>
      <c r="N4" s="1" t="s">
        <v>800</v>
      </c>
      <c r="O4" s="1" t="s">
        <v>800</v>
      </c>
      <c r="P4" s="1" t="s">
        <v>844</v>
      </c>
      <c r="Q4" s="502">
        <v>43045.229883090302</v>
      </c>
    </row>
    <row r="5" spans="1:17">
      <c r="A5" s="1" t="s">
        <v>1239</v>
      </c>
      <c r="B5" s="275" t="s">
        <v>364</v>
      </c>
      <c r="C5" s="1" t="s">
        <v>916</v>
      </c>
      <c r="D5" s="1" t="s">
        <v>811</v>
      </c>
      <c r="E5" s="1" t="s">
        <v>809</v>
      </c>
      <c r="F5" s="1" t="s">
        <v>807</v>
      </c>
      <c r="G5" s="1" t="s">
        <v>807</v>
      </c>
      <c r="H5" s="1" t="s">
        <v>806</v>
      </c>
      <c r="I5" s="1" t="s">
        <v>813</v>
      </c>
      <c r="J5" s="1" t="s">
        <v>812</v>
      </c>
      <c r="K5" s="1" t="s">
        <v>800</v>
      </c>
      <c r="L5" s="1" t="s">
        <v>800</v>
      </c>
      <c r="M5" s="1" t="s">
        <v>800</v>
      </c>
      <c r="N5" s="1" t="s">
        <v>800</v>
      </c>
      <c r="O5" s="1" t="s">
        <v>800</v>
      </c>
      <c r="P5" s="1" t="s">
        <v>808</v>
      </c>
      <c r="Q5" s="502">
        <v>43045.229883090302</v>
      </c>
    </row>
    <row r="6" spans="1:17">
      <c r="A6" s="1" t="s">
        <v>1239</v>
      </c>
      <c r="B6" s="275" t="s">
        <v>398</v>
      </c>
      <c r="C6" s="1" t="s">
        <v>916</v>
      </c>
      <c r="D6" s="1" t="s">
        <v>809</v>
      </c>
      <c r="E6" s="1" t="s">
        <v>807</v>
      </c>
      <c r="F6" s="1" t="s">
        <v>819</v>
      </c>
      <c r="G6" s="1" t="s">
        <v>845</v>
      </c>
      <c r="H6" s="1" t="s">
        <v>843</v>
      </c>
      <c r="I6" s="1" t="s">
        <v>815</v>
      </c>
      <c r="J6" s="1" t="s">
        <v>815</v>
      </c>
      <c r="K6" s="1" t="s">
        <v>800</v>
      </c>
      <c r="L6" s="1" t="s">
        <v>800</v>
      </c>
      <c r="M6" s="1" t="s">
        <v>800</v>
      </c>
      <c r="N6" s="1" t="s">
        <v>800</v>
      </c>
      <c r="O6" s="1" t="s">
        <v>800</v>
      </c>
      <c r="P6" s="1" t="s">
        <v>815</v>
      </c>
      <c r="Q6" s="502">
        <v>43045.229883090302</v>
      </c>
    </row>
    <row r="7" spans="1:17">
      <c r="A7" s="1" t="s">
        <v>1239</v>
      </c>
      <c r="B7" s="275" t="s">
        <v>430</v>
      </c>
      <c r="C7" s="1" t="s">
        <v>916</v>
      </c>
      <c r="D7" s="1" t="s">
        <v>845</v>
      </c>
      <c r="E7" s="1" t="s">
        <v>822</v>
      </c>
      <c r="F7" s="1" t="s">
        <v>822</v>
      </c>
      <c r="G7" s="1" t="s">
        <v>822</v>
      </c>
      <c r="H7" s="1" t="s">
        <v>822</v>
      </c>
      <c r="I7" s="1" t="s">
        <v>822</v>
      </c>
      <c r="J7" s="1" t="s">
        <v>810</v>
      </c>
      <c r="K7" s="1" t="s">
        <v>800</v>
      </c>
      <c r="L7" s="1" t="s">
        <v>800</v>
      </c>
      <c r="M7" s="1" t="s">
        <v>800</v>
      </c>
      <c r="N7" s="1" t="s">
        <v>800</v>
      </c>
      <c r="O7" s="1" t="s">
        <v>800</v>
      </c>
      <c r="P7" s="1" t="s">
        <v>821</v>
      </c>
      <c r="Q7" s="502">
        <v>43045.229883090302</v>
      </c>
    </row>
    <row r="8" spans="1:17">
      <c r="A8" s="1" t="s">
        <v>1239</v>
      </c>
      <c r="B8" s="275" t="s">
        <v>459</v>
      </c>
      <c r="C8" s="1" t="s">
        <v>916</v>
      </c>
      <c r="D8" s="1" t="s">
        <v>1513</v>
      </c>
      <c r="E8" s="1" t="s">
        <v>905</v>
      </c>
      <c r="F8" s="1" t="s">
        <v>920</v>
      </c>
      <c r="G8" s="1" t="s">
        <v>1514</v>
      </c>
      <c r="H8" s="1" t="s">
        <v>911</v>
      </c>
      <c r="I8" s="1" t="s">
        <v>1515</v>
      </c>
      <c r="J8" s="1" t="s">
        <v>1516</v>
      </c>
      <c r="K8" s="1" t="s">
        <v>800</v>
      </c>
      <c r="L8" s="1" t="s">
        <v>800</v>
      </c>
      <c r="M8" s="1" t="s">
        <v>800</v>
      </c>
      <c r="N8" s="1" t="s">
        <v>800</v>
      </c>
      <c r="O8" s="1" t="s">
        <v>800</v>
      </c>
      <c r="P8" s="1" t="s">
        <v>1517</v>
      </c>
      <c r="Q8" s="502">
        <v>43045.229883090302</v>
      </c>
    </row>
    <row r="9" spans="1:17">
      <c r="A9" s="1" t="s">
        <v>1239</v>
      </c>
      <c r="B9" s="275" t="s">
        <v>487</v>
      </c>
      <c r="C9" s="1" t="s">
        <v>916</v>
      </c>
      <c r="D9" s="1" t="s">
        <v>820</v>
      </c>
      <c r="E9" s="1" t="s">
        <v>845</v>
      </c>
      <c r="F9" s="1" t="s">
        <v>842</v>
      </c>
      <c r="G9" s="1" t="s">
        <v>844</v>
      </c>
      <c r="H9" s="1" t="s">
        <v>840</v>
      </c>
      <c r="I9" s="1" t="s">
        <v>841</v>
      </c>
      <c r="J9" s="1" t="s">
        <v>820</v>
      </c>
      <c r="K9" s="1" t="s">
        <v>800</v>
      </c>
      <c r="L9" s="1" t="s">
        <v>800</v>
      </c>
      <c r="M9" s="1" t="s">
        <v>800</v>
      </c>
      <c r="N9" s="1" t="s">
        <v>800</v>
      </c>
      <c r="O9" s="1" t="s">
        <v>800</v>
      </c>
      <c r="P9" s="1" t="s">
        <v>842</v>
      </c>
      <c r="Q9" s="502">
        <v>43045.229883090302</v>
      </c>
    </row>
    <row r="10" spans="1:17">
      <c r="A10" s="1" t="s">
        <v>1239</v>
      </c>
      <c r="B10" s="275" t="s">
        <v>517</v>
      </c>
      <c r="C10" s="1" t="s">
        <v>916</v>
      </c>
      <c r="D10" s="1" t="s">
        <v>800</v>
      </c>
      <c r="E10" s="1" t="s">
        <v>800</v>
      </c>
      <c r="F10" s="1" t="s">
        <v>800</v>
      </c>
      <c r="G10" s="1" t="s">
        <v>800</v>
      </c>
      <c r="H10" s="1" t="s">
        <v>800</v>
      </c>
      <c r="I10" s="1" t="s">
        <v>800</v>
      </c>
      <c r="J10" s="1" t="s">
        <v>800</v>
      </c>
      <c r="K10" s="1" t="s">
        <v>800</v>
      </c>
      <c r="L10" s="1" t="s">
        <v>800</v>
      </c>
      <c r="M10" s="1" t="s">
        <v>800</v>
      </c>
      <c r="N10" s="1" t="s">
        <v>800</v>
      </c>
      <c r="O10" s="1" t="s">
        <v>800</v>
      </c>
      <c r="P10" s="1" t="s">
        <v>800</v>
      </c>
      <c r="Q10" s="502">
        <v>43045.229883090302</v>
      </c>
    </row>
    <row r="11" spans="1:17">
      <c r="A11" s="1" t="s">
        <v>1239</v>
      </c>
      <c r="B11" s="275" t="s">
        <v>518</v>
      </c>
      <c r="C11" s="1" t="s">
        <v>916</v>
      </c>
      <c r="D11" s="1" t="s">
        <v>812</v>
      </c>
      <c r="E11" s="1" t="s">
        <v>806</v>
      </c>
      <c r="F11" s="1" t="s">
        <v>814</v>
      </c>
      <c r="G11" s="1" t="s">
        <v>815</v>
      </c>
      <c r="H11" s="1" t="s">
        <v>812</v>
      </c>
      <c r="I11" s="1" t="s">
        <v>813</v>
      </c>
      <c r="J11" s="1" t="s">
        <v>798</v>
      </c>
      <c r="K11" s="1" t="s">
        <v>800</v>
      </c>
      <c r="L11" s="1" t="s">
        <v>800</v>
      </c>
      <c r="M11" s="1" t="s">
        <v>800</v>
      </c>
      <c r="N11" s="1" t="s">
        <v>800</v>
      </c>
      <c r="O11" s="1" t="s">
        <v>800</v>
      </c>
      <c r="P11" s="1" t="s">
        <v>811</v>
      </c>
      <c r="Q11" s="502">
        <v>43045.229883090302</v>
      </c>
    </row>
    <row r="12" spans="1:17">
      <c r="A12" s="1" t="s">
        <v>1239</v>
      </c>
      <c r="B12" s="275" t="s">
        <v>856</v>
      </c>
      <c r="C12" s="1" t="s">
        <v>916</v>
      </c>
      <c r="D12" s="1" t="s">
        <v>1504</v>
      </c>
      <c r="E12" s="1" t="s">
        <v>842</v>
      </c>
      <c r="F12" s="1" t="s">
        <v>810</v>
      </c>
      <c r="G12" s="1" t="s">
        <v>810</v>
      </c>
      <c r="H12" s="1" t="s">
        <v>840</v>
      </c>
      <c r="I12" s="1" t="s">
        <v>810</v>
      </c>
      <c r="J12" s="1" t="s">
        <v>821</v>
      </c>
      <c r="K12" s="1" t="s">
        <v>800</v>
      </c>
      <c r="L12" s="1" t="s">
        <v>800</v>
      </c>
      <c r="M12" s="1" t="s">
        <v>800</v>
      </c>
      <c r="N12" s="1" t="s">
        <v>800</v>
      </c>
      <c r="O12" s="1" t="s">
        <v>800</v>
      </c>
      <c r="P12" s="1" t="s">
        <v>845</v>
      </c>
      <c r="Q12" s="502">
        <v>43045.229883090302</v>
      </c>
    </row>
    <row r="13" spans="1:17">
      <c r="A13" s="1" t="s">
        <v>1239</v>
      </c>
      <c r="B13" s="275" t="s">
        <v>857</v>
      </c>
      <c r="C13" s="1" t="s">
        <v>916</v>
      </c>
      <c r="D13" s="1" t="s">
        <v>1518</v>
      </c>
      <c r="E13" s="1" t="s">
        <v>877</v>
      </c>
      <c r="F13" s="1" t="s">
        <v>803</v>
      </c>
      <c r="G13" s="1" t="s">
        <v>815</v>
      </c>
      <c r="H13" s="1" t="s">
        <v>806</v>
      </c>
      <c r="I13" s="1" t="s">
        <v>809</v>
      </c>
      <c r="J13" s="1" t="s">
        <v>816</v>
      </c>
      <c r="K13" s="1" t="s">
        <v>800</v>
      </c>
      <c r="L13" s="1" t="s">
        <v>800</v>
      </c>
      <c r="M13" s="1" t="s">
        <v>800</v>
      </c>
      <c r="N13" s="1" t="s">
        <v>800</v>
      </c>
      <c r="O13" s="1" t="s">
        <v>800</v>
      </c>
      <c r="P13" s="1" t="s">
        <v>875</v>
      </c>
      <c r="Q13" s="502">
        <v>43045.229883090302</v>
      </c>
    </row>
    <row r="14" spans="1:17">
      <c r="A14" s="1" t="s">
        <v>1239</v>
      </c>
      <c r="B14" s="275" t="s">
        <v>860</v>
      </c>
      <c r="C14" s="1" t="s">
        <v>916</v>
      </c>
      <c r="D14" s="1" t="s">
        <v>799</v>
      </c>
      <c r="E14" s="1" t="s">
        <v>853</v>
      </c>
      <c r="F14" s="1" t="s">
        <v>853</v>
      </c>
      <c r="G14" s="1" t="s">
        <v>803</v>
      </c>
      <c r="H14" s="1" t="s">
        <v>805</v>
      </c>
      <c r="I14" s="1" t="s">
        <v>855</v>
      </c>
      <c r="J14" s="1" t="s">
        <v>801</v>
      </c>
      <c r="K14" s="1" t="s">
        <v>800</v>
      </c>
      <c r="L14" s="1" t="s">
        <v>800</v>
      </c>
      <c r="M14" s="1" t="s">
        <v>800</v>
      </c>
      <c r="N14" s="1" t="s">
        <v>800</v>
      </c>
      <c r="O14" s="1" t="s">
        <v>800</v>
      </c>
      <c r="P14" s="1" t="s">
        <v>875</v>
      </c>
      <c r="Q14" s="502">
        <v>43045.229883090302</v>
      </c>
    </row>
    <row r="15" spans="1:17">
      <c r="A15" s="1" t="s">
        <v>1239</v>
      </c>
      <c r="B15" s="275" t="s">
        <v>874</v>
      </c>
      <c r="C15" s="1" t="s">
        <v>916</v>
      </c>
      <c r="D15" s="1" t="s">
        <v>1519</v>
      </c>
      <c r="E15" s="1" t="s">
        <v>852</v>
      </c>
      <c r="F15" s="1" t="s">
        <v>880</v>
      </c>
      <c r="G15" s="1" t="s">
        <v>914</v>
      </c>
      <c r="H15" s="1" t="s">
        <v>866</v>
      </c>
      <c r="I15" s="1" t="s">
        <v>846</v>
      </c>
      <c r="J15" s="1" t="s">
        <v>813</v>
      </c>
      <c r="K15" s="1" t="s">
        <v>800</v>
      </c>
      <c r="L15" s="1" t="s">
        <v>800</v>
      </c>
      <c r="M15" s="1" t="s">
        <v>800</v>
      </c>
      <c r="N15" s="1" t="s">
        <v>800</v>
      </c>
      <c r="O15" s="1" t="s">
        <v>800</v>
      </c>
      <c r="P15" s="1" t="s">
        <v>869</v>
      </c>
      <c r="Q15" s="502">
        <v>43045.229883090302</v>
      </c>
    </row>
    <row r="16" spans="1:17">
      <c r="A16" s="1" t="s">
        <v>1239</v>
      </c>
      <c r="B16" s="275" t="s">
        <v>892</v>
      </c>
      <c r="C16" s="1" t="s">
        <v>916</v>
      </c>
      <c r="D16" s="1" t="s">
        <v>800</v>
      </c>
      <c r="E16" s="1" t="s">
        <v>800</v>
      </c>
      <c r="F16" s="1" t="s">
        <v>800</v>
      </c>
      <c r="G16" s="1" t="s">
        <v>800</v>
      </c>
      <c r="H16" s="1" t="s">
        <v>800</v>
      </c>
      <c r="I16" s="1" t="s">
        <v>800</v>
      </c>
      <c r="J16" s="1" t="s">
        <v>800</v>
      </c>
      <c r="K16" s="1" t="s">
        <v>800</v>
      </c>
      <c r="L16" s="1" t="s">
        <v>800</v>
      </c>
      <c r="M16" s="1" t="s">
        <v>800</v>
      </c>
      <c r="N16" s="1" t="s">
        <v>800</v>
      </c>
      <c r="O16" s="1" t="s">
        <v>800</v>
      </c>
      <c r="P16" s="1" t="s">
        <v>800</v>
      </c>
      <c r="Q16" s="502">
        <v>43045.229883090302</v>
      </c>
    </row>
    <row r="17" spans="1:17">
      <c r="A17" s="1" t="s">
        <v>1239</v>
      </c>
      <c r="B17" s="275" t="s">
        <v>921</v>
      </c>
      <c r="C17" s="1" t="s">
        <v>916</v>
      </c>
      <c r="D17" s="1" t="s">
        <v>800</v>
      </c>
      <c r="E17" s="1" t="s">
        <v>800</v>
      </c>
      <c r="F17" s="1" t="s">
        <v>800</v>
      </c>
      <c r="G17" s="1" t="s">
        <v>800</v>
      </c>
      <c r="H17" s="1" t="s">
        <v>800</v>
      </c>
      <c r="I17" s="1" t="s">
        <v>800</v>
      </c>
      <c r="J17" s="1" t="s">
        <v>800</v>
      </c>
      <c r="K17" s="1" t="s">
        <v>800</v>
      </c>
      <c r="L17" s="1" t="s">
        <v>800</v>
      </c>
      <c r="M17" s="1" t="s">
        <v>800</v>
      </c>
      <c r="N17" s="1" t="s">
        <v>800</v>
      </c>
      <c r="O17" s="1" t="s">
        <v>800</v>
      </c>
      <c r="P17" s="1" t="s">
        <v>800</v>
      </c>
      <c r="Q17" s="502">
        <v>43045.229883090302</v>
      </c>
    </row>
    <row r="18" spans="1:17">
      <c r="A18" s="1" t="s">
        <v>1239</v>
      </c>
      <c r="B18" s="275" t="s">
        <v>922</v>
      </c>
      <c r="C18" s="1" t="s">
        <v>916</v>
      </c>
      <c r="D18" s="1" t="s">
        <v>800</v>
      </c>
      <c r="E18" s="1" t="s">
        <v>800</v>
      </c>
      <c r="F18" s="1" t="s">
        <v>800</v>
      </c>
      <c r="G18" s="1" t="s">
        <v>800</v>
      </c>
      <c r="H18" s="1" t="s">
        <v>800</v>
      </c>
      <c r="I18" s="1" t="s">
        <v>800</v>
      </c>
      <c r="J18" s="1" t="s">
        <v>800</v>
      </c>
      <c r="K18" s="1" t="s">
        <v>800</v>
      </c>
      <c r="L18" s="1" t="s">
        <v>800</v>
      </c>
      <c r="M18" s="1" t="s">
        <v>800</v>
      </c>
      <c r="N18" s="1" t="s">
        <v>800</v>
      </c>
      <c r="O18" s="1" t="s">
        <v>800</v>
      </c>
      <c r="P18" s="1" t="s">
        <v>800</v>
      </c>
      <c r="Q18" s="502">
        <v>43045.229883090302</v>
      </c>
    </row>
    <row r="19" spans="1:17">
      <c r="A19" s="1" t="s">
        <v>1239</v>
      </c>
      <c r="B19" s="275" t="s">
        <v>923</v>
      </c>
      <c r="C19" s="1" t="s">
        <v>916</v>
      </c>
      <c r="D19" s="1" t="s">
        <v>800</v>
      </c>
      <c r="E19" s="1" t="s">
        <v>800</v>
      </c>
      <c r="F19" s="1" t="s">
        <v>800</v>
      </c>
      <c r="G19" s="1" t="s">
        <v>800</v>
      </c>
      <c r="H19" s="1" t="s">
        <v>800</v>
      </c>
      <c r="I19" s="1" t="s">
        <v>800</v>
      </c>
      <c r="J19" s="1" t="s">
        <v>800</v>
      </c>
      <c r="K19" s="1" t="s">
        <v>800</v>
      </c>
      <c r="L19" s="1" t="s">
        <v>800</v>
      </c>
      <c r="M19" s="1" t="s">
        <v>800</v>
      </c>
      <c r="N19" s="1" t="s">
        <v>800</v>
      </c>
      <c r="O19" s="1" t="s">
        <v>800</v>
      </c>
      <c r="P19" s="1" t="s">
        <v>800</v>
      </c>
      <c r="Q19" s="502">
        <v>43045.229883090302</v>
      </c>
    </row>
    <row r="20" spans="1:17">
      <c r="A20" s="1" t="s">
        <v>1239</v>
      </c>
      <c r="B20" s="275" t="s">
        <v>924</v>
      </c>
      <c r="C20" s="1" t="s">
        <v>916</v>
      </c>
      <c r="D20" s="1" t="s">
        <v>800</v>
      </c>
      <c r="E20" s="1" t="s">
        <v>800</v>
      </c>
      <c r="F20" s="1" t="s">
        <v>800</v>
      </c>
      <c r="G20" s="1" t="s">
        <v>800</v>
      </c>
      <c r="H20" s="1" t="s">
        <v>800</v>
      </c>
      <c r="I20" s="1" t="s">
        <v>800</v>
      </c>
      <c r="J20" s="1" t="s">
        <v>800</v>
      </c>
      <c r="K20" s="1" t="s">
        <v>800</v>
      </c>
      <c r="L20" s="1" t="s">
        <v>800</v>
      </c>
      <c r="M20" s="1" t="s">
        <v>800</v>
      </c>
      <c r="N20" s="1" t="s">
        <v>800</v>
      </c>
      <c r="O20" s="1" t="s">
        <v>800</v>
      </c>
      <c r="P20" s="1" t="s">
        <v>800</v>
      </c>
      <c r="Q20" s="502">
        <v>43045.229883090302</v>
      </c>
    </row>
    <row r="21" spans="1:17">
      <c r="A21" s="1" t="s">
        <v>1239</v>
      </c>
      <c r="B21" s="275" t="s">
        <v>925</v>
      </c>
      <c r="C21" s="1" t="s">
        <v>916</v>
      </c>
      <c r="D21" s="1" t="s">
        <v>800</v>
      </c>
      <c r="E21" s="1" t="s">
        <v>800</v>
      </c>
      <c r="F21" s="1" t="s">
        <v>800</v>
      </c>
      <c r="G21" s="1" t="s">
        <v>800</v>
      </c>
      <c r="H21" s="1" t="s">
        <v>800</v>
      </c>
      <c r="I21" s="1" t="s">
        <v>800</v>
      </c>
      <c r="J21" s="1" t="s">
        <v>800</v>
      </c>
      <c r="K21" s="1" t="s">
        <v>800</v>
      </c>
      <c r="L21" s="1" t="s">
        <v>800</v>
      </c>
      <c r="M21" s="1" t="s">
        <v>800</v>
      </c>
      <c r="N21" s="1" t="s">
        <v>800</v>
      </c>
      <c r="O21" s="1" t="s">
        <v>800</v>
      </c>
      <c r="P21" s="1" t="s">
        <v>800</v>
      </c>
      <c r="Q21" s="502">
        <v>43045.229883090302</v>
      </c>
    </row>
    <row r="22" spans="1:17">
      <c r="A22" s="1" t="s">
        <v>1239</v>
      </c>
      <c r="B22" s="275" t="s">
        <v>926</v>
      </c>
      <c r="C22" s="1" t="s">
        <v>916</v>
      </c>
      <c r="D22" s="1" t="s">
        <v>863</v>
      </c>
      <c r="E22" s="1" t="s">
        <v>835</v>
      </c>
      <c r="F22" s="1" t="s">
        <v>853</v>
      </c>
      <c r="G22" s="1" t="s">
        <v>875</v>
      </c>
      <c r="H22" s="1" t="s">
        <v>853</v>
      </c>
      <c r="I22" s="1" t="s">
        <v>851</v>
      </c>
      <c r="J22" s="1" t="s">
        <v>906</v>
      </c>
      <c r="K22" s="1" t="s">
        <v>800</v>
      </c>
      <c r="L22" s="1" t="s">
        <v>800</v>
      </c>
      <c r="M22" s="1" t="s">
        <v>800</v>
      </c>
      <c r="N22" s="1" t="s">
        <v>800</v>
      </c>
      <c r="O22" s="1" t="s">
        <v>800</v>
      </c>
      <c r="P22" s="1" t="s">
        <v>851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1213</v>
      </c>
      <c r="B1" s="503" t="s">
        <v>361</v>
      </c>
      <c r="C1" s="503" t="s">
        <v>1214</v>
      </c>
      <c r="D1" s="503" t="s">
        <v>1215</v>
      </c>
      <c r="E1" s="503" t="s">
        <v>1216</v>
      </c>
      <c r="F1" s="503" t="s">
        <v>1217</v>
      </c>
      <c r="G1" s="503" t="s">
        <v>1218</v>
      </c>
      <c r="H1" s="503" t="s">
        <v>1219</v>
      </c>
      <c r="I1" s="503" t="s">
        <v>1220</v>
      </c>
      <c r="J1" s="503" t="s">
        <v>1221</v>
      </c>
      <c r="K1" s="503" t="s">
        <v>1222</v>
      </c>
      <c r="L1" s="503" t="s">
        <v>1223</v>
      </c>
      <c r="M1" s="503" t="s">
        <v>1224</v>
      </c>
      <c r="N1" s="503" t="s">
        <v>1225</v>
      </c>
      <c r="O1" s="503" t="s">
        <v>1520</v>
      </c>
    </row>
    <row r="2" spans="1:15">
      <c r="A2" s="503" t="s">
        <v>1239</v>
      </c>
      <c r="B2" s="503" t="s">
        <v>364</v>
      </c>
      <c r="C2" s="503" t="s">
        <v>1521</v>
      </c>
      <c r="D2" s="503" t="s">
        <v>1522</v>
      </c>
      <c r="E2" s="503" t="s">
        <v>1523</v>
      </c>
      <c r="F2" s="503" t="s">
        <v>1524</v>
      </c>
      <c r="G2" s="503" t="s">
        <v>1525</v>
      </c>
      <c r="H2" s="503" t="s">
        <v>1526</v>
      </c>
      <c r="I2" s="503" t="s">
        <v>1527</v>
      </c>
      <c r="J2" s="503" t="s">
        <v>800</v>
      </c>
      <c r="K2" s="503" t="s">
        <v>800</v>
      </c>
      <c r="L2" s="503" t="s">
        <v>800</v>
      </c>
      <c r="M2" s="503" t="s">
        <v>800</v>
      </c>
      <c r="N2" s="503" t="s">
        <v>800</v>
      </c>
      <c r="O2" s="503" t="s">
        <v>1528</v>
      </c>
    </row>
    <row r="3" spans="1:15">
      <c r="A3" s="503" t="s">
        <v>1239</v>
      </c>
      <c r="B3" s="503" t="s">
        <v>398</v>
      </c>
      <c r="C3" s="503" t="s">
        <v>1529</v>
      </c>
      <c r="D3" s="503" t="s">
        <v>1530</v>
      </c>
      <c r="E3" s="503" t="s">
        <v>1531</v>
      </c>
      <c r="F3" s="503" t="s">
        <v>1532</v>
      </c>
      <c r="G3" s="503" t="s">
        <v>1533</v>
      </c>
      <c r="H3" s="503" t="s">
        <v>1534</v>
      </c>
      <c r="I3" s="503" t="s">
        <v>1535</v>
      </c>
      <c r="J3" s="503" t="s">
        <v>800</v>
      </c>
      <c r="K3" s="503" t="s">
        <v>800</v>
      </c>
      <c r="L3" s="503" t="s">
        <v>800</v>
      </c>
      <c r="M3" s="503" t="s">
        <v>800</v>
      </c>
      <c r="N3" s="503" t="s">
        <v>800</v>
      </c>
      <c r="O3" s="503" t="s">
        <v>1536</v>
      </c>
    </row>
    <row r="4" spans="1:15">
      <c r="A4" s="503" t="s">
        <v>1239</v>
      </c>
      <c r="B4" s="503" t="s">
        <v>430</v>
      </c>
      <c r="C4" s="503" t="s">
        <v>1537</v>
      </c>
      <c r="D4" s="503" t="s">
        <v>1538</v>
      </c>
      <c r="E4" s="503" t="s">
        <v>237</v>
      </c>
      <c r="F4" s="503" t="s">
        <v>1538</v>
      </c>
      <c r="G4" s="503" t="s">
        <v>236</v>
      </c>
      <c r="H4" s="503" t="s">
        <v>980</v>
      </c>
      <c r="I4" s="503" t="s">
        <v>800</v>
      </c>
      <c r="J4" s="503" t="s">
        <v>800</v>
      </c>
      <c r="K4" s="503" t="s">
        <v>800</v>
      </c>
      <c r="L4" s="503" t="s">
        <v>800</v>
      </c>
      <c r="M4" s="503" t="s">
        <v>800</v>
      </c>
      <c r="N4" s="503" t="s">
        <v>800</v>
      </c>
      <c r="O4" s="503" t="s">
        <v>997</v>
      </c>
    </row>
    <row r="5" spans="1:15">
      <c r="A5" s="503" t="s">
        <v>1239</v>
      </c>
      <c r="B5" s="503" t="s">
        <v>459</v>
      </c>
      <c r="C5" s="503" t="s">
        <v>1539</v>
      </c>
      <c r="D5" s="503" t="s">
        <v>1540</v>
      </c>
      <c r="E5" s="503" t="s">
        <v>1541</v>
      </c>
      <c r="F5" s="503" t="s">
        <v>1542</v>
      </c>
      <c r="G5" s="503" t="s">
        <v>1543</v>
      </c>
      <c r="H5" s="503" t="s">
        <v>1544</v>
      </c>
      <c r="I5" s="503" t="s">
        <v>1505</v>
      </c>
      <c r="J5" s="503" t="s">
        <v>800</v>
      </c>
      <c r="K5" s="503" t="s">
        <v>800</v>
      </c>
      <c r="L5" s="503" t="s">
        <v>800</v>
      </c>
      <c r="M5" s="503" t="s">
        <v>800</v>
      </c>
      <c r="N5" s="503" t="s">
        <v>800</v>
      </c>
      <c r="O5" s="503" t="s">
        <v>1545</v>
      </c>
    </row>
    <row r="6" spans="1:15">
      <c r="A6" s="503" t="s">
        <v>1239</v>
      </c>
      <c r="B6" s="503" t="s">
        <v>487</v>
      </c>
      <c r="C6" s="503" t="s">
        <v>1546</v>
      </c>
      <c r="D6" s="503" t="s">
        <v>1547</v>
      </c>
      <c r="E6" s="503" t="s">
        <v>1548</v>
      </c>
      <c r="F6" s="503" t="s">
        <v>1549</v>
      </c>
      <c r="G6" s="503" t="s">
        <v>1550</v>
      </c>
      <c r="H6" s="503" t="s">
        <v>1551</v>
      </c>
      <c r="I6" s="503" t="s">
        <v>1552</v>
      </c>
      <c r="J6" s="503" t="s">
        <v>800</v>
      </c>
      <c r="K6" s="503" t="s">
        <v>800</v>
      </c>
      <c r="L6" s="503" t="s">
        <v>800</v>
      </c>
      <c r="M6" s="503" t="s">
        <v>800</v>
      </c>
      <c r="N6" s="503" t="s">
        <v>800</v>
      </c>
      <c r="O6" s="503" t="s">
        <v>1553</v>
      </c>
    </row>
    <row r="7" spans="1:15">
      <c r="A7" s="503" t="s">
        <v>1239</v>
      </c>
      <c r="B7" s="503" t="s">
        <v>517</v>
      </c>
      <c r="C7" s="503" t="s">
        <v>800</v>
      </c>
      <c r="D7" s="503" t="s">
        <v>800</v>
      </c>
      <c r="E7" s="503" t="s">
        <v>800</v>
      </c>
      <c r="F7" s="503" t="s">
        <v>800</v>
      </c>
      <c r="G7" s="503" t="s">
        <v>800</v>
      </c>
      <c r="H7" s="503" t="s">
        <v>800</v>
      </c>
      <c r="I7" s="503" t="s">
        <v>800</v>
      </c>
      <c r="J7" s="503" t="s">
        <v>800</v>
      </c>
      <c r="K7" s="503" t="s">
        <v>800</v>
      </c>
      <c r="L7" s="503" t="s">
        <v>800</v>
      </c>
      <c r="M7" s="503" t="s">
        <v>800</v>
      </c>
      <c r="N7" s="503" t="s">
        <v>800</v>
      </c>
      <c r="O7" s="503" t="s">
        <v>800</v>
      </c>
    </row>
    <row r="8" spans="1:15">
      <c r="A8" s="503" t="s">
        <v>1239</v>
      </c>
      <c r="B8" s="503" t="s">
        <v>518</v>
      </c>
      <c r="C8" s="503" t="s">
        <v>1548</v>
      </c>
      <c r="D8" s="503" t="s">
        <v>1554</v>
      </c>
      <c r="E8" s="503" t="s">
        <v>1555</v>
      </c>
      <c r="F8" s="503" t="s">
        <v>1537</v>
      </c>
      <c r="G8" s="503" t="s">
        <v>1556</v>
      </c>
      <c r="H8" s="503" t="s">
        <v>1557</v>
      </c>
      <c r="I8" s="503" t="s">
        <v>1558</v>
      </c>
      <c r="J8" s="503" t="s">
        <v>800</v>
      </c>
      <c r="K8" s="503" t="s">
        <v>800</v>
      </c>
      <c r="L8" s="503" t="s">
        <v>800</v>
      </c>
      <c r="M8" s="503" t="s">
        <v>800</v>
      </c>
      <c r="N8" s="503" t="s">
        <v>800</v>
      </c>
      <c r="O8" s="503" t="s">
        <v>1559</v>
      </c>
    </row>
    <row r="9" spans="1:15">
      <c r="A9" s="503" t="s">
        <v>1239</v>
      </c>
      <c r="B9" s="503" t="s">
        <v>848</v>
      </c>
      <c r="C9" s="503" t="s">
        <v>360</v>
      </c>
      <c r="D9" s="503" t="s">
        <v>1560</v>
      </c>
      <c r="E9" s="503" t="s">
        <v>1561</v>
      </c>
      <c r="F9" s="503" t="s">
        <v>236</v>
      </c>
      <c r="G9" s="503" t="s">
        <v>1541</v>
      </c>
      <c r="H9" s="503" t="s">
        <v>1562</v>
      </c>
      <c r="I9" s="503" t="s">
        <v>800</v>
      </c>
      <c r="J9" s="503" t="s">
        <v>800</v>
      </c>
      <c r="K9" s="503" t="s">
        <v>800</v>
      </c>
      <c r="L9" s="503" t="s">
        <v>800</v>
      </c>
      <c r="M9" s="503" t="s">
        <v>800</v>
      </c>
      <c r="N9" s="503" t="s">
        <v>800</v>
      </c>
      <c r="O9" s="503" t="s">
        <v>1563</v>
      </c>
    </row>
    <row r="10" spans="1:15">
      <c r="A10" s="503" t="s">
        <v>1239</v>
      </c>
      <c r="B10" s="503" t="s">
        <v>856</v>
      </c>
      <c r="C10" s="503" t="s">
        <v>1561</v>
      </c>
      <c r="D10" s="503" t="s">
        <v>360</v>
      </c>
      <c r="E10" s="503" t="s">
        <v>800</v>
      </c>
      <c r="F10" s="503" t="s">
        <v>800</v>
      </c>
      <c r="G10" s="503" t="s">
        <v>360</v>
      </c>
      <c r="H10" s="503" t="s">
        <v>800</v>
      </c>
      <c r="I10" s="503" t="s">
        <v>236</v>
      </c>
      <c r="J10" s="503" t="s">
        <v>800</v>
      </c>
      <c r="K10" s="503" t="s">
        <v>800</v>
      </c>
      <c r="L10" s="503" t="s">
        <v>800</v>
      </c>
      <c r="M10" s="503" t="s">
        <v>800</v>
      </c>
      <c r="N10" s="503" t="s">
        <v>800</v>
      </c>
      <c r="O10" s="503" t="s">
        <v>915</v>
      </c>
    </row>
    <row r="11" spans="1:15">
      <c r="A11" s="503" t="s">
        <v>1239</v>
      </c>
      <c r="B11" s="503" t="s">
        <v>857</v>
      </c>
      <c r="C11" s="503" t="s">
        <v>1564</v>
      </c>
      <c r="D11" s="503" t="s">
        <v>997</v>
      </c>
      <c r="E11" s="503" t="s">
        <v>1565</v>
      </c>
      <c r="F11" s="503" t="s">
        <v>1566</v>
      </c>
      <c r="G11" s="503" t="s">
        <v>1567</v>
      </c>
      <c r="H11" s="503" t="s">
        <v>1568</v>
      </c>
      <c r="I11" s="503" t="s">
        <v>1569</v>
      </c>
      <c r="J11" s="503" t="s">
        <v>800</v>
      </c>
      <c r="K11" s="503" t="s">
        <v>800</v>
      </c>
      <c r="L11" s="503" t="s">
        <v>800</v>
      </c>
      <c r="M11" s="503" t="s">
        <v>800</v>
      </c>
      <c r="N11" s="503" t="s">
        <v>800</v>
      </c>
      <c r="O11" s="503" t="s">
        <v>1565</v>
      </c>
    </row>
    <row r="12" spans="1:15">
      <c r="A12" s="503" t="s">
        <v>1239</v>
      </c>
      <c r="B12" s="503" t="s">
        <v>860</v>
      </c>
      <c r="C12" s="503" t="s">
        <v>1570</v>
      </c>
      <c r="D12" s="503" t="s">
        <v>1571</v>
      </c>
      <c r="E12" s="503" t="s">
        <v>1572</v>
      </c>
      <c r="F12" s="503" t="s">
        <v>1573</v>
      </c>
      <c r="G12" s="503" t="s">
        <v>1574</v>
      </c>
      <c r="H12" s="503" t="s">
        <v>1575</v>
      </c>
      <c r="I12" s="503" t="s">
        <v>1576</v>
      </c>
      <c r="J12" s="503" t="s">
        <v>800</v>
      </c>
      <c r="K12" s="503" t="s">
        <v>800</v>
      </c>
      <c r="L12" s="503" t="s">
        <v>800</v>
      </c>
      <c r="M12" s="503" t="s">
        <v>800</v>
      </c>
      <c r="N12" s="503" t="s">
        <v>800</v>
      </c>
      <c r="O12" s="503" t="s">
        <v>1577</v>
      </c>
    </row>
    <row r="13" spans="1:15">
      <c r="A13" s="503" t="s">
        <v>1239</v>
      </c>
      <c r="B13" s="503" t="s">
        <v>874</v>
      </c>
      <c r="C13" s="503" t="s">
        <v>1578</v>
      </c>
      <c r="D13" s="503" t="s">
        <v>1579</v>
      </c>
      <c r="E13" s="503" t="s">
        <v>881</v>
      </c>
      <c r="F13" s="503" t="s">
        <v>1580</v>
      </c>
      <c r="G13" s="503" t="s">
        <v>1581</v>
      </c>
      <c r="H13" s="503" t="s">
        <v>1582</v>
      </c>
      <c r="I13" s="503" t="s">
        <v>1568</v>
      </c>
      <c r="J13" s="503" t="s">
        <v>800</v>
      </c>
      <c r="K13" s="503" t="s">
        <v>800</v>
      </c>
      <c r="L13" s="503" t="s">
        <v>800</v>
      </c>
      <c r="M13" s="503" t="s">
        <v>800</v>
      </c>
      <c r="N13" s="503" t="s">
        <v>800</v>
      </c>
      <c r="O13" s="503" t="s">
        <v>863</v>
      </c>
    </row>
    <row r="14" spans="1:15">
      <c r="A14" s="503" t="s">
        <v>1239</v>
      </c>
      <c r="B14" s="503" t="s">
        <v>892</v>
      </c>
      <c r="C14" s="503" t="s">
        <v>800</v>
      </c>
      <c r="D14" s="503" t="s">
        <v>237</v>
      </c>
      <c r="E14" s="503" t="s">
        <v>800</v>
      </c>
      <c r="F14" s="503" t="s">
        <v>236</v>
      </c>
      <c r="G14" s="503" t="s">
        <v>800</v>
      </c>
      <c r="H14" s="503" t="s">
        <v>236</v>
      </c>
      <c r="I14" s="503" t="s">
        <v>236</v>
      </c>
      <c r="J14" s="503" t="s">
        <v>800</v>
      </c>
      <c r="K14" s="503" t="s">
        <v>800</v>
      </c>
      <c r="L14" s="503" t="s">
        <v>800</v>
      </c>
      <c r="M14" s="503" t="s">
        <v>800</v>
      </c>
      <c r="N14" s="503" t="s">
        <v>800</v>
      </c>
      <c r="O14" s="503" t="s">
        <v>236</v>
      </c>
    </row>
    <row r="15" spans="1:15">
      <c r="A15" s="503" t="s">
        <v>1239</v>
      </c>
      <c r="B15" s="503" t="s">
        <v>921</v>
      </c>
      <c r="C15" s="503" t="s">
        <v>800</v>
      </c>
      <c r="D15" s="503" t="s">
        <v>800</v>
      </c>
      <c r="E15" s="503" t="s">
        <v>800</v>
      </c>
      <c r="F15" s="503" t="s">
        <v>800</v>
      </c>
      <c r="G15" s="503" t="s">
        <v>800</v>
      </c>
      <c r="H15" s="503" t="s">
        <v>800</v>
      </c>
      <c r="I15" s="503" t="s">
        <v>800</v>
      </c>
      <c r="J15" s="503" t="s">
        <v>800</v>
      </c>
      <c r="K15" s="503" t="s">
        <v>800</v>
      </c>
      <c r="L15" s="503" t="s">
        <v>800</v>
      </c>
      <c r="M15" s="503" t="s">
        <v>800</v>
      </c>
      <c r="N15" s="503" t="s">
        <v>800</v>
      </c>
      <c r="O15" s="503" t="s">
        <v>800</v>
      </c>
    </row>
    <row r="16" spans="1:15">
      <c r="A16" s="503" t="s">
        <v>1239</v>
      </c>
      <c r="B16" s="503" t="s">
        <v>922</v>
      </c>
      <c r="C16" s="503" t="s">
        <v>800</v>
      </c>
      <c r="D16" s="503" t="s">
        <v>800</v>
      </c>
      <c r="E16" s="503" t="s">
        <v>800</v>
      </c>
      <c r="F16" s="503" t="s">
        <v>800</v>
      </c>
      <c r="G16" s="503" t="s">
        <v>800</v>
      </c>
      <c r="H16" s="503" t="s">
        <v>800</v>
      </c>
      <c r="I16" s="503" t="s">
        <v>800</v>
      </c>
      <c r="J16" s="503" t="s">
        <v>800</v>
      </c>
      <c r="K16" s="503" t="s">
        <v>800</v>
      </c>
      <c r="L16" s="503" t="s">
        <v>800</v>
      </c>
      <c r="M16" s="503" t="s">
        <v>800</v>
      </c>
      <c r="N16" s="503" t="s">
        <v>800</v>
      </c>
      <c r="O16" s="503" t="s">
        <v>800</v>
      </c>
    </row>
    <row r="17" spans="1:15">
      <c r="A17" s="503" t="s">
        <v>1239</v>
      </c>
      <c r="B17" s="503" t="s">
        <v>923</v>
      </c>
      <c r="C17" s="503" t="s">
        <v>800</v>
      </c>
      <c r="D17" s="503" t="s">
        <v>800</v>
      </c>
      <c r="E17" s="503" t="s">
        <v>800</v>
      </c>
      <c r="F17" s="503" t="s">
        <v>800</v>
      </c>
      <c r="G17" s="503" t="s">
        <v>800</v>
      </c>
      <c r="H17" s="503" t="s">
        <v>800</v>
      </c>
      <c r="I17" s="503" t="s">
        <v>800</v>
      </c>
      <c r="J17" s="503" t="s">
        <v>800</v>
      </c>
      <c r="K17" s="503" t="s">
        <v>800</v>
      </c>
      <c r="L17" s="503" t="s">
        <v>800</v>
      </c>
      <c r="M17" s="503" t="s">
        <v>800</v>
      </c>
      <c r="N17" s="503" t="s">
        <v>800</v>
      </c>
      <c r="O17" s="503" t="s">
        <v>800</v>
      </c>
    </row>
    <row r="18" spans="1:15">
      <c r="A18" s="503" t="s">
        <v>1239</v>
      </c>
      <c r="B18" s="503" t="s">
        <v>924</v>
      </c>
      <c r="C18" s="503" t="s">
        <v>800</v>
      </c>
      <c r="D18" s="503" t="s">
        <v>800</v>
      </c>
      <c r="E18" s="503" t="s">
        <v>800</v>
      </c>
      <c r="F18" s="503" t="s">
        <v>800</v>
      </c>
      <c r="G18" s="503" t="s">
        <v>800</v>
      </c>
      <c r="H18" s="503" t="s">
        <v>800</v>
      </c>
      <c r="I18" s="503" t="s">
        <v>800</v>
      </c>
      <c r="J18" s="503" t="s">
        <v>800</v>
      </c>
      <c r="K18" s="503" t="s">
        <v>800</v>
      </c>
      <c r="L18" s="503" t="s">
        <v>800</v>
      </c>
      <c r="M18" s="503" t="s">
        <v>800</v>
      </c>
      <c r="N18" s="503" t="s">
        <v>800</v>
      </c>
      <c r="O18" s="503" t="s">
        <v>800</v>
      </c>
    </row>
    <row r="19" spans="1:15">
      <c r="A19" s="503" t="s">
        <v>1239</v>
      </c>
      <c r="B19" s="503" t="s">
        <v>925</v>
      </c>
      <c r="C19" s="503" t="s">
        <v>800</v>
      </c>
      <c r="D19" s="503" t="s">
        <v>800</v>
      </c>
      <c r="E19" s="503" t="s">
        <v>800</v>
      </c>
      <c r="F19" s="503" t="s">
        <v>800</v>
      </c>
      <c r="G19" s="503" t="s">
        <v>800</v>
      </c>
      <c r="H19" s="503" t="s">
        <v>800</v>
      </c>
      <c r="I19" s="503" t="s">
        <v>800</v>
      </c>
      <c r="J19" s="503" t="s">
        <v>800</v>
      </c>
      <c r="K19" s="503" t="s">
        <v>800</v>
      </c>
      <c r="L19" s="503" t="s">
        <v>800</v>
      </c>
      <c r="M19" s="503" t="s">
        <v>800</v>
      </c>
      <c r="N19" s="503" t="s">
        <v>800</v>
      </c>
      <c r="O19" s="503" t="s">
        <v>800</v>
      </c>
    </row>
    <row r="20" spans="1:15">
      <c r="A20" s="503" t="s">
        <v>1239</v>
      </c>
      <c r="B20" s="503" t="s">
        <v>926</v>
      </c>
      <c r="C20" s="503" t="s">
        <v>1583</v>
      </c>
      <c r="D20" s="503" t="s">
        <v>1584</v>
      </c>
      <c r="E20" s="503" t="s">
        <v>1585</v>
      </c>
      <c r="F20" s="503" t="s">
        <v>1586</v>
      </c>
      <c r="G20" s="503" t="s">
        <v>1587</v>
      </c>
      <c r="H20" s="503" t="s">
        <v>1588</v>
      </c>
      <c r="I20" s="503" t="s">
        <v>1589</v>
      </c>
      <c r="J20" s="503" t="s">
        <v>800</v>
      </c>
      <c r="K20" s="503" t="s">
        <v>800</v>
      </c>
      <c r="L20" s="503" t="s">
        <v>800</v>
      </c>
      <c r="M20" s="503" t="s">
        <v>800</v>
      </c>
      <c r="N20" s="503" t="s">
        <v>800</v>
      </c>
      <c r="O20" s="503" t="s">
        <v>1590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29BFB32B-C648-47D1-B3B5-2680EB693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2025-09-02T08:39:27Z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2025-09-01T00:03:54Z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3f03ac2f-ed2b-4c5e-a831-f8665ef91abd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