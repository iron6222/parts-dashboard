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taimotor.sharepoint.com/sites/HTKM_P0002/PB000/DailyReport/202512/"/>
    </mc:Choice>
  </mc:AlternateContent>
  <xr:revisionPtr revIDLastSave="1" documentId="13_ncr:1_{47EB1246-0B51-4B0F-A41F-86BF9AD33043}" xr6:coauthVersionLast="47" xr6:coauthVersionMax="47" xr10:uidLastSave="{A416AF4C-002D-4CD4-99C7-AC929F86F346}"/>
  <bookViews>
    <workbookView xWindow="-28920" yWindow="-120" windowWidth="29040" windowHeight="15720" tabRatio="908" activeTab="3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N7" i="22"/>
  <c r="N6" i="22"/>
  <c r="N5" i="22"/>
  <c r="N4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P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P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P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P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P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P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P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P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P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P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P10" i="19"/>
  <c r="AC9" i="19"/>
  <c r="AB9" i="19"/>
  <c r="AA9" i="19"/>
  <c r="Z9" i="19"/>
  <c r="Y9" i="19"/>
  <c r="X9" i="19"/>
  <c r="W9" i="19"/>
  <c r="V9" i="19"/>
  <c r="U9" i="19"/>
  <c r="T9" i="19"/>
  <c r="S9" i="19"/>
  <c r="R9" i="19"/>
  <c r="P9" i="19"/>
  <c r="AC8" i="19"/>
  <c r="AB8" i="19"/>
  <c r="AA8" i="19"/>
  <c r="Z8" i="19"/>
  <c r="Y8" i="19"/>
  <c r="X8" i="19"/>
  <c r="W8" i="19"/>
  <c r="V8" i="19"/>
  <c r="U8" i="19"/>
  <c r="T8" i="19"/>
  <c r="S8" i="19"/>
  <c r="R8" i="19"/>
  <c r="P8" i="19"/>
  <c r="AC7" i="19"/>
  <c r="AB7" i="19"/>
  <c r="AA7" i="19"/>
  <c r="Z7" i="19"/>
  <c r="Y7" i="19"/>
  <c r="X7" i="19"/>
  <c r="W7" i="19"/>
  <c r="V7" i="19"/>
  <c r="U7" i="19"/>
  <c r="T7" i="19"/>
  <c r="S7" i="19"/>
  <c r="R7" i="19"/>
  <c r="P7" i="19"/>
  <c r="AC6" i="19"/>
  <c r="AB6" i="19"/>
  <c r="AA6" i="19"/>
  <c r="Z6" i="19"/>
  <c r="Y6" i="19"/>
  <c r="X6" i="19"/>
  <c r="W6" i="19"/>
  <c r="V6" i="19"/>
  <c r="U6" i="19"/>
  <c r="T6" i="19"/>
  <c r="S6" i="19"/>
  <c r="R6" i="19"/>
  <c r="P6" i="19"/>
  <c r="AC5" i="19"/>
  <c r="AB5" i="19"/>
  <c r="AA5" i="19"/>
  <c r="Z5" i="19"/>
  <c r="Y5" i="19"/>
  <c r="X5" i="19"/>
  <c r="W5" i="19"/>
  <c r="V5" i="19"/>
  <c r="U5" i="19"/>
  <c r="T5" i="19"/>
  <c r="S5" i="19"/>
  <c r="R5" i="19"/>
  <c r="P5" i="19"/>
  <c r="P4" i="19"/>
  <c r="O4" i="19"/>
  <c r="N4" i="19"/>
  <c r="M4" i="19"/>
  <c r="L4" i="19"/>
  <c r="K4" i="19"/>
  <c r="J4" i="19"/>
  <c r="J3" i="19" s="1"/>
  <c r="I4" i="19"/>
  <c r="I3" i="19" s="1"/>
  <c r="H4" i="19"/>
  <c r="G4" i="19"/>
  <c r="F4" i="19"/>
  <c r="E4" i="19"/>
  <c r="D4" i="19"/>
  <c r="O3" i="19"/>
  <c r="N3" i="19"/>
  <c r="M3" i="19"/>
  <c r="L3" i="19"/>
  <c r="K3" i="19"/>
  <c r="H3" i="19"/>
  <c r="G3" i="19"/>
  <c r="F3" i="19"/>
  <c r="E3" i="19"/>
  <c r="D3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67" i="20"/>
  <c r="P66" i="20"/>
  <c r="P65" i="20"/>
  <c r="P64" i="20"/>
  <c r="P63" i="20"/>
  <c r="P62" i="20"/>
  <c r="P61" i="20"/>
  <c r="P60" i="20"/>
  <c r="P59" i="20"/>
  <c r="P58" i="20" s="1"/>
  <c r="P57" i="20"/>
  <c r="P56" i="20"/>
  <c r="P55" i="20"/>
  <c r="P54" i="20"/>
  <c r="P53" i="20"/>
  <c r="P52" i="20"/>
  <c r="P51" i="20"/>
  <c r="P49" i="20"/>
  <c r="P48" i="20"/>
  <c r="P47" i="20"/>
  <c r="P46" i="20"/>
  <c r="P44" i="20"/>
  <c r="P43" i="20"/>
  <c r="P42" i="20"/>
  <c r="P41" i="20"/>
  <c r="P40" i="20"/>
  <c r="P39" i="20"/>
  <c r="P38" i="20"/>
  <c r="P33" i="20"/>
  <c r="P32" i="20"/>
  <c r="P31" i="20"/>
  <c r="P30" i="20"/>
  <c r="P29" i="20"/>
  <c r="P28" i="20"/>
  <c r="P27" i="20"/>
  <c r="P26" i="20"/>
  <c r="P25" i="20"/>
  <c r="P23" i="20"/>
  <c r="P22" i="20"/>
  <c r="P21" i="20"/>
  <c r="P20" i="20"/>
  <c r="P19" i="20"/>
  <c r="P18" i="20"/>
  <c r="P17" i="20"/>
  <c r="P16" i="20" s="1"/>
  <c r="P15" i="20"/>
  <c r="P14" i="20"/>
  <c r="P13" i="20"/>
  <c r="P12" i="20"/>
  <c r="P11" i="20"/>
  <c r="P10" i="20"/>
  <c r="P9" i="20"/>
  <c r="P8" i="20"/>
  <c r="P7" i="20"/>
  <c r="P6" i="20"/>
  <c r="P5" i="20"/>
  <c r="P4" i="20"/>
  <c r="P24" i="20" l="1"/>
  <c r="P3" i="20" s="1"/>
  <c r="P45" i="20"/>
  <c r="P50" i="20"/>
  <c r="P11" i="19"/>
  <c r="P16" i="19"/>
  <c r="P24" i="19"/>
  <c r="P37" i="20"/>
  <c r="P3" i="19" l="1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<sst xmlns="http://schemas.openxmlformats.org/spreadsheetml/2006/main" count="7070" uniqueCount="1728">
  <si>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</si>
  <si>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</si>
  <si>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</si>
  <si>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</si>
  <si>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</si>
  <si>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</si>
  <si>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</si>
  <si>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</si>
  <si>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</si>
  <si>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</si>
  <si>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</si>
  <si>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</si>
  <si>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</si>
  <si>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</si>
  <si>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</si>
  <si>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</si>
  <si>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</si>
  <si>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</si>
  <si>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</si>
  <si>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</si>
  <si>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</si>
  <si>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</si>
  <si>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</si>
  <si>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</si>
  <si>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</si>
  <si>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</si>
  <si>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</si>
  <si>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</si>
  <si>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</si>
  <si>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</si>
  <si>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</si>
  <si>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</si>
  <si>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</si>
  <si>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</si>
  <si>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</si>
  <si>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</si>
  <si>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</si>
  <si>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</si>
  <si>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</si>
  <si>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</si>
  <si>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</si>
  <si>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</si>
  <si>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</si>
  <si>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</si>
  <si>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</si>
  <si>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</si>
  <si>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</si>
  <si>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</si>
  <si>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</si>
  <si>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</si>
  <si>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</si>
  <si>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</si>
  <si>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</si>
  <si>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</si>
  <si>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</si>
  <si>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</si>
  <si>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</si>
  <si>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</si>
  <si>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</si>
  <si>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</si>
  <si>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</si>
  <si>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</si>
  <si>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</si>
  <si>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</si>
  <si>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</si>
  <si>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</si>
  <si>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</si>
  <si>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</si>
  <si>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</si>
  <si>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</si>
  <si>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</si>
  <si>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</si>
  <si>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</si>
  <si>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</si>
  <si>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</si>
  <si>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</si>
  <si>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</si>
  <si>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</si>
  <si>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</si>
  <si>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</si>
  <si>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</si>
  <si>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</si>
  <si>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</si>
  <si>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</si>
  <si>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</si>
  <si>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</si>
  <si>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</si>
  <si>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</si>
  <si>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</si>
  <si>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</si>
  <si>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</si>
  <si>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</si>
  <si>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</si>
  <si>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</si>
  <si>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</si>
  <si>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</si>
  <si>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</si>
  <si>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</si>
  <si>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</si>
  <si>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</si>
  <si>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</si>
  <si>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</si>
  <si>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</si>
  <si>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</si>
  <si>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</si>
  <si>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</si>
  <si>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</si>
  <si>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</si>
  <si>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</si>
  <si>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</si>
  <si>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</si>
  <si>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</si>
  <si>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</si>
  <si>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</si>
  <si>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</si>
  <si>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</si>
  <si>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</si>
  <si>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</si>
  <si>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</si>
  <si>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</si>
  <si>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</si>
  <si>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</si>
  <si>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</si>
  <si>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</si>
  <si>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</si>
  <si>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</si>
  <si>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</si>
  <si>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</si>
  <si>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</si>
  <si>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</si>
  <si>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</si>
  <si>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</si>
  <si>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</si>
  <si>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</si>
  <si>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</si>
  <si>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</si>
  <si>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</si>
  <si>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</si>
  <si>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</si>
  <si>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</si>
  <si>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</si>
  <si>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</si>
  <si>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</si>
  <si>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</si>
  <si>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</si>
  <si>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</si>
  <si>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</si>
  <si>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</si>
  <si>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</si>
  <si>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</si>
  <si>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</si>
  <si>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</si>
  <si>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</si>
  <si>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</si>
  <si>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</si>
  <si>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</si>
  <si>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</si>
  <si>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</si>
  <si>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</si>
  <si>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</si>
  <si>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</si>
  <si>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</si>
  <si>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</si>
  <si>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</si>
  <si>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</si>
  <si>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</si>
  <si>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</si>
  <si>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</si>
  <si>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</si>
  <si>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</si>
  <si>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</si>
  <si>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</si>
  <si>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</si>
  <si>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</si>
  <si>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</si>
  <si>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</si>
  <si>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</si>
  <si>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</si>
  <si>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</si>
  <si>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</si>
  <si>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</si>
  <si>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</si>
  <si>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</si>
  <si>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</si>
  <si>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</si>
  <si>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</si>
  <si>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</si>
  <si>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</si>
  <si>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</si>
  <si>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</si>
  <si>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</si>
  <si>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</si>
  <si>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</si>
  <si>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</si>
  <si>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</si>
  <si>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</si>
  <si>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</si>
  <si>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</si>
  <si>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</si>
  <si>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</si>
  <si>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</si>
  <si>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</si>
  <si>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</si>
  <si>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</si>
  <si>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</si>
  <si>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</si>
  <si>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</si>
  <si>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</si>
  <si>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</si>
  <si>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</si>
  <si>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</si>
  <si>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</si>
  <si>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</si>
  <si>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</si>
  <si>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</si>
  <si>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</si>
  <si>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</si>
  <si>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</si>
  <si>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</si>
  <si>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</si>
  <si>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</si>
  <si>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</si>
  <si>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</si>
  <si>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</si>
  <si>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</si>
  <si>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</si>
  <si>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</si>
  <si>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</si>
  <si>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</si>
  <si>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</si>
  <si>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</si>
  <si>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</si>
  <si>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</si>
  <si>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</si>
  <si>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</si>
  <si>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</si>
  <si>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</si>
  <si>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</si>
  <si>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</si>
  <si>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</si>
  <si>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</si>
  <si>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</si>
  <si>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</si>
  <si>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</si>
  <si>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</si>
  <si>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</si>
  <si>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</si>
  <si>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</si>
  <si>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</si>
  <si>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</si>
  <si>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</si>
  <si>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</si>
  <si>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</si>
  <si>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</si>
  <si>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</si>
  <si>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</si>
  <si>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</si>
  <si>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</si>
  <si>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</si>
  <si>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</si>
  <si>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</si>
  <si>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</si>
  <si>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</si>
  <si>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</si>
  <si>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</si>
  <si>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</si>
  <si>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</si>
  <si>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</si>
  <si>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</si>
  <si>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</si>
  <si>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</si>
  <si>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</si>
  <si>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</si>
  <si>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</si>
  <si>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</si>
  <si>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</si>
  <si>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</si>
  <si>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</si>
  <si>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</si>
  <si>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</si>
  <si>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</si>
  <si>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</si>
  <si>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</si>
  <si>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</si>
  <si>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</si>
  <si>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</si>
  <si>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</si>
  <si>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</si>
  <si>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</si>
  <si>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</si>
  <si>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</si>
  <si>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</si>
  <si>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</si>
  <si>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</si>
  <si>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</si>
  <si>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</si>
  <si>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</si>
  <si>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</si>
  <si>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</si>
  <si>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</si>
  <si>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</si>
  <si>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</si>
  <si>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</si>
  <si>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</si>
  <si>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</si>
  <si>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</si>
  <si>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</si>
  <si>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</si>
  <si>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</si>
  <si>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</si>
  <si>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</si>
  <si>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</si>
  <si>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</si>
  <si>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</si>
  <si>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</si>
  <si>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</si>
  <si>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</si>
  <si>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</si>
  <si>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</si>
  <si>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</si>
  <si>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</si>
  <si>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</si>
  <si>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</si>
  <si>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</si>
  <si>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</si>
  <si>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</si>
  <si>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</si>
  <si>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</si>
  <si>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202511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</si>
  <si>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</si>
  <si>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</si>
  <si>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</si>
  <si>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</si>
  <si>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</si>
  <si>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</si>
  <si>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</si>
  <si>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</si>
  <si>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</si>
  <si>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</si>
  <si>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</si>
  <si>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</si>
  <si>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</si>
  <si>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</si>
  <si>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</si>
  <si>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</si>
  <si>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</si>
  <si>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</si>
  <si>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</si>
  <si>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</si>
  <si>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</si>
  <si>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</si>
  <si>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</si>
  <si>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</si>
  <si>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</si>
  <si>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</si>
  <si>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</si>
  <si>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</si>
  <si>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</si>
  <si>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</si>
  <si>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</t>
  </si>
  <si>
    <t>FRCD</t>
  </si>
  <si>
    <t>DIFFAMT</t>
  </si>
  <si>
    <t>AVGAMT</t>
  </si>
  <si>
    <t>01-A</t>
  </si>
  <si>
    <t>262687805.00</t>
  </si>
  <si>
    <t>262684315.00</t>
  </si>
  <si>
    <t>257251293.00</t>
  </si>
  <si>
    <t>258748509.00</t>
  </si>
  <si>
    <t>265248840.00</t>
  </si>
  <si>
    <t>268901539.00</t>
  </si>
  <si>
    <t>273687918.00</t>
  </si>
  <si>
    <t>267260884.00</t>
  </si>
  <si>
    <t>267260738.00</t>
  </si>
  <si>
    <t>271114899.00</t>
  </si>
  <si>
    <t>263905202.00</t>
  </si>
  <si>
    <t>266752037.00</t>
  </si>
  <si>
    <t>266422974.00</t>
  </si>
  <si>
    <t>273456319.00</t>
  </si>
  <si>
    <t>272023248.00</t>
  </si>
  <si>
    <t>271937833.00</t>
  </si>
  <si>
    <t>277318962.00</t>
  </si>
  <si>
    <t>276516681.00</t>
  </si>
  <si>
    <t>281909936.00</t>
  </si>
  <si>
    <t>282059059.00</t>
  </si>
  <si>
    <t>289317694.00</t>
  </si>
  <si>
    <t>283335785.00</t>
  </si>
  <si>
    <t>283306908.00</t>
  </si>
  <si>
    <t>286389415.00</t>
  </si>
  <si>
    <t>291834765.00</t>
  </si>
  <si>
    <t>294256357.00</t>
  </si>
  <si>
    <t>296427031.00</t>
  </si>
  <si>
    <t>302730044.00</t>
  </si>
  <si>
    <t>300653937.00</t>
  </si>
  <si>
    <t>300936741.00</t>
  </si>
  <si>
    <t>.00</t>
  </si>
  <si>
    <t>282804.00</t>
  </si>
  <si>
    <t>277211255.60</t>
  </si>
  <si>
    <t>02-D</t>
  </si>
  <si>
    <t>180470139.00</t>
  </si>
  <si>
    <t>176321135.00</t>
  </si>
  <si>
    <t>177722859.00</t>
  </si>
  <si>
    <t>178491251.00</t>
  </si>
  <si>
    <t>178074118.00</t>
  </si>
  <si>
    <t>179902334.00</t>
  </si>
  <si>
    <t>178443573.00</t>
  </si>
  <si>
    <t>179453271.00</t>
  </si>
  <si>
    <t>176114083.00</t>
  </si>
  <si>
    <t>176582455.00</t>
  </si>
  <si>
    <t>178175666.00</t>
  </si>
  <si>
    <t>180601296.00</t>
  </si>
  <si>
    <t>179255568.00</t>
  </si>
  <si>
    <t>178065696.00</t>
  </si>
  <si>
    <t>177826443.00</t>
  </si>
  <si>
    <t>179363269.00</t>
  </si>
  <si>
    <t>179720589.00</t>
  </si>
  <si>
    <t>179295523.00</t>
  </si>
  <si>
    <t>177799082.00</t>
  </si>
  <si>
    <t>179530195.00</t>
  </si>
  <si>
    <t>178239443.00</t>
  </si>
  <si>
    <t>178724864.00</t>
  </si>
  <si>
    <t>178799829.00</t>
  </si>
  <si>
    <t>177616898.00</t>
  </si>
  <si>
    <t>174654295.00</t>
  </si>
  <si>
    <t>174625628.00</t>
  </si>
  <si>
    <t>-28667.00</t>
  </si>
  <si>
    <t>178327928.80</t>
  </si>
  <si>
    <t>03-J</t>
  </si>
  <si>
    <t>5830388.00</t>
  </si>
  <si>
    <t>4479838.00</t>
  </si>
  <si>
    <t>5173211.00</t>
  </si>
  <si>
    <t>5042080.00</t>
  </si>
  <si>
    <t>8421608.00</t>
  </si>
  <si>
    <t>6790597.00</t>
  </si>
  <si>
    <t>5041653.00</t>
  </si>
  <si>
    <t>4851437.00</t>
  </si>
  <si>
    <t>6316047.00</t>
  </si>
  <si>
    <t>4848243.00</t>
  </si>
  <si>
    <t>4373757.00</t>
  </si>
  <si>
    <t>5829268.00</t>
  </si>
  <si>
    <t>3945779.00</t>
  </si>
  <si>
    <t>4926950.00</t>
  </si>
  <si>
    <t>4682123.00</t>
  </si>
  <si>
    <t>4987182.00</t>
  </si>
  <si>
    <t>5586909.00</t>
  </si>
  <si>
    <t>6930136.00</t>
  </si>
  <si>
    <t>4730047.00</t>
  </si>
  <si>
    <t>4056919.00</t>
  </si>
  <si>
    <t>5354561.00</t>
  </si>
  <si>
    <t>5251216.00</t>
  </si>
  <si>
    <t>5118792.00</t>
  </si>
  <si>
    <t>8001660.00</t>
  </si>
  <si>
    <t>5972056.00</t>
  </si>
  <si>
    <t>5402079.33</t>
  </si>
  <si>
    <t>04-O</t>
  </si>
  <si>
    <t>4829176.00</t>
  </si>
  <si>
    <t>4695705.00</t>
  </si>
  <si>
    <t>4696738.00</t>
  </si>
  <si>
    <t>4093036.00</t>
  </si>
  <si>
    <t>4118911.00</t>
  </si>
  <si>
    <t>4156526.00</t>
  </si>
  <si>
    <t>4131199.00</t>
  </si>
  <si>
    <t>4028595.00</t>
  </si>
  <si>
    <t>4001356.00</t>
  </si>
  <si>
    <t>3878613.00</t>
  </si>
  <si>
    <t>3848954.00</t>
  </si>
  <si>
    <t>3828871.00</t>
  </si>
  <si>
    <t>3780173.00</t>
  </si>
  <si>
    <t>3737352.00</t>
  </si>
  <si>
    <t>3681057.00</t>
  </si>
  <si>
    <t>3666542.00</t>
  </si>
  <si>
    <t>3969081.00</t>
  </si>
  <si>
    <t>4201457.00</t>
  </si>
  <si>
    <t>4208655.00</t>
  </si>
  <si>
    <t>4323148.00</t>
  </si>
  <si>
    <t>4251793.00</t>
  </si>
  <si>
    <t>4299320.00</t>
  </si>
  <si>
    <t>4321354.00</t>
  </si>
  <si>
    <t>4312953.00</t>
  </si>
  <si>
    <t>4279276.00</t>
  </si>
  <si>
    <t>4152277.33</t>
  </si>
  <si>
    <t>05-N</t>
  </si>
  <si>
    <t>17171643.00</t>
  </si>
  <si>
    <t>16706554.00</t>
  </si>
  <si>
    <t>16152570.00</t>
  </si>
  <si>
    <t>16104321.00</t>
  </si>
  <si>
    <t>15885297.00</t>
  </si>
  <si>
    <t>19216136.00</t>
  </si>
  <si>
    <t>16932734.00</t>
  </si>
  <si>
    <t>17570775.00</t>
  </si>
  <si>
    <t>16725248.00</t>
  </si>
  <si>
    <t>17067548.00</t>
  </si>
  <si>
    <t>17278097.00</t>
  </si>
  <si>
    <t>20358175.00</t>
  </si>
  <si>
    <t>17927775.00</t>
  </si>
  <si>
    <t>17926440.00</t>
  </si>
  <si>
    <t>19585347.00</t>
  </si>
  <si>
    <t>21785334.00</t>
  </si>
  <si>
    <t>22046091.00</t>
  </si>
  <si>
    <t>23454224.00</t>
  </si>
  <si>
    <t>23351486.00</t>
  </si>
  <si>
    <t>20785898.00</t>
  </si>
  <si>
    <t>20781922.00</t>
  </si>
  <si>
    <t>20109012.00</t>
  </si>
  <si>
    <t>20253486.00</t>
  </si>
  <si>
    <t>21205193.00</t>
  </si>
  <si>
    <t>22273508.00</t>
  </si>
  <si>
    <t>23705661.00</t>
  </si>
  <si>
    <t>21318297.00</t>
  </si>
  <si>
    <t>21316366.00</t>
  </si>
  <si>
    <t>-1931.00</t>
  </si>
  <si>
    <t>19303317.17</t>
  </si>
  <si>
    <t>06-C</t>
  </si>
  <si>
    <t>07-H</t>
  </si>
  <si>
    <t>13916949.00</t>
  </si>
  <si>
    <t>11155685.00</t>
  </si>
  <si>
    <t>13421924.00</t>
  </si>
  <si>
    <t>12788875.00</t>
  </si>
  <si>
    <t>12499839.00</t>
  </si>
  <si>
    <t>11918046.00</t>
  </si>
  <si>
    <t>8310596.00</t>
  </si>
  <si>
    <t>9271305.00</t>
  </si>
  <si>
    <t>10160961.00</t>
  </si>
  <si>
    <t>10827006.00</t>
  </si>
  <si>
    <t>12458396.00</t>
  </si>
  <si>
    <t>13539430.00</t>
  </si>
  <si>
    <t>9651325.00</t>
  </si>
  <si>
    <t>11124819.00</t>
  </si>
  <si>
    <t>11818592.00</t>
  </si>
  <si>
    <t>13921601.00</t>
  </si>
  <si>
    <t>13682190.00</t>
  </si>
  <si>
    <t>15246671.00</t>
  </si>
  <si>
    <t>11189682.00</t>
  </si>
  <si>
    <t>10530397.00</t>
  </si>
  <si>
    <t>11858688.00</t>
  </si>
  <si>
    <t>12804888.00</t>
  </si>
  <si>
    <t>12523345.00</t>
  </si>
  <si>
    <t>14219907.00</t>
  </si>
  <si>
    <t>11992641.00</t>
  </si>
  <si>
    <t>15663568.00</t>
  </si>
  <si>
    <t>3670927.00</t>
  </si>
  <si>
    <t>11985529.27</t>
  </si>
  <si>
    <t>08-E</t>
  </si>
  <si>
    <t>09-F</t>
  </si>
  <si>
    <t>2315944.00</t>
  </si>
  <si>
    <t>2277419.00</t>
  </si>
  <si>
    <t>2213204.00</t>
  </si>
  <si>
    <t>2167169.00</t>
  </si>
  <si>
    <t>2059054.00</t>
  </si>
  <si>
    <t>1986149.00</t>
  </si>
  <si>
    <t>1934109.00</t>
  </si>
  <si>
    <t>1930629.00</t>
  </si>
  <si>
    <t>1890209.00</t>
  </si>
  <si>
    <t>1866904.00</t>
  </si>
  <si>
    <t>1832349.00</t>
  </si>
  <si>
    <t>2178404.00</t>
  </si>
  <si>
    <t>2143599.00</t>
  </si>
  <si>
    <t>2139569.00</t>
  </si>
  <si>
    <t>2095699.00</t>
  </si>
  <si>
    <t>2077929.00</t>
  </si>
  <si>
    <t>2065124.00</t>
  </si>
  <si>
    <t>2054914.00</t>
  </si>
  <si>
    <t>2023874.00</t>
  </si>
  <si>
    <t>1992144.00</t>
  </si>
  <si>
    <t>1964339.00</t>
  </si>
  <si>
    <t>1933529.00</t>
  </si>
  <si>
    <t>1925659.00</t>
  </si>
  <si>
    <t>1909739.00</t>
  </si>
  <si>
    <t>1840639.00</t>
  </si>
  <si>
    <t>2035882.17</t>
  </si>
  <si>
    <t>10-P</t>
  </si>
  <si>
    <t>106839.00</t>
  </si>
  <si>
    <t>11-G</t>
  </si>
  <si>
    <t>12-M</t>
  </si>
  <si>
    <t>1507253.00</t>
  </si>
  <si>
    <t>1509942.00</t>
  </si>
  <si>
    <t>1256871.00</t>
  </si>
  <si>
    <t>1514535.00</t>
  </si>
  <si>
    <t>2265781.00</t>
  </si>
  <si>
    <t>2154635.00</t>
  </si>
  <si>
    <t>1575448.00</t>
  </si>
  <si>
    <t>1392038.00</t>
  </si>
  <si>
    <t>1656037.00</t>
  </si>
  <si>
    <t>1410079.00</t>
  </si>
  <si>
    <t>1666636.00</t>
  </si>
  <si>
    <t>1761382.00</t>
  </si>
  <si>
    <t>1443921.00</t>
  </si>
  <si>
    <t>1528163.00</t>
  </si>
  <si>
    <t>1135709.00</t>
  </si>
  <si>
    <t>1035180.00</t>
  </si>
  <si>
    <t>1290118.00</t>
  </si>
  <si>
    <t>1647737.00</t>
  </si>
  <si>
    <t>1276661.00</t>
  </si>
  <si>
    <t>892859.00</t>
  </si>
  <si>
    <t>1122794.00</t>
  </si>
  <si>
    <t>909366.00</t>
  </si>
  <si>
    <t>1341016.00</t>
  </si>
  <si>
    <t>1732630.00</t>
  </si>
  <si>
    <t>1560480.00</t>
  </si>
  <si>
    <t>1465034.47</t>
  </si>
  <si>
    <t>13-U</t>
  </si>
  <si>
    <t>137808.00</t>
  </si>
  <si>
    <t>135108.00</t>
  </si>
  <si>
    <t>132948.00</t>
  </si>
  <si>
    <t>128328.00</t>
  </si>
  <si>
    <t>124078.00</t>
  </si>
  <si>
    <t>120838.00</t>
  </si>
  <si>
    <t>118598.00</t>
  </si>
  <si>
    <t>117518.00</t>
  </si>
  <si>
    <t>115358.00</t>
  </si>
  <si>
    <t>114278.00</t>
  </si>
  <si>
    <t>113738.00</t>
  </si>
  <si>
    <t>112118.00</t>
  </si>
  <si>
    <t>129128.00</t>
  </si>
  <si>
    <t>127508.00</t>
  </si>
  <si>
    <t>125888.00</t>
  </si>
  <si>
    <t>121078.00</t>
  </si>
  <si>
    <t>119458.00</t>
  </si>
  <si>
    <t>118378.00</t>
  </si>
  <si>
    <t>115168.00</t>
  </si>
  <si>
    <t>113548.00</t>
  </si>
  <si>
    <t>110308.00</t>
  </si>
  <si>
    <t>109228.00</t>
  </si>
  <si>
    <t>120754.67</t>
  </si>
  <si>
    <t>14-L</t>
  </si>
  <si>
    <t>111323.00</t>
  </si>
  <si>
    <t>103478.00</t>
  </si>
  <si>
    <t>119280.00</t>
  </si>
  <si>
    <t>115352.00</t>
  </si>
  <si>
    <t>111424.00</t>
  </si>
  <si>
    <t>107496.00</t>
  </si>
  <si>
    <t>106781.00</t>
  </si>
  <si>
    <t>110975.00</t>
  </si>
  <si>
    <t>102587.00</t>
  </si>
  <si>
    <t>86188.00</t>
  </si>
  <si>
    <t>110959.00</t>
  </si>
  <si>
    <t>107027.00</t>
  </si>
  <si>
    <t>107028.00</t>
  </si>
  <si>
    <t>99164.00</t>
  </si>
  <si>
    <t>95232.00</t>
  </si>
  <si>
    <t>91192.00</t>
  </si>
  <si>
    <t>86723.00</t>
  </si>
  <si>
    <t>86724.00</t>
  </si>
  <si>
    <t>82640.00</t>
  </si>
  <si>
    <t>82639.00</t>
  </si>
  <si>
    <t>78556.00</t>
  </si>
  <si>
    <t>99678.37</t>
  </si>
  <si>
    <t>18-T</t>
  </si>
  <si>
    <t>8730158.00</t>
  </si>
  <si>
    <t>7306447.00</t>
  </si>
  <si>
    <t>6924927.00</t>
  </si>
  <si>
    <t>6876926.00</t>
  </si>
  <si>
    <t>6533587.00</t>
  </si>
  <si>
    <t>7013018.00</t>
  </si>
  <si>
    <t>6436372.00</t>
  </si>
  <si>
    <t>5494713.00</t>
  </si>
  <si>
    <t>5431925.00</t>
  </si>
  <si>
    <t>5647864.00</t>
  </si>
  <si>
    <t>5398452.00</t>
  </si>
  <si>
    <t>6270824.00</t>
  </si>
  <si>
    <t>5561365.00</t>
  </si>
  <si>
    <t>5223507.00</t>
  </si>
  <si>
    <t>5544261.00</t>
  </si>
  <si>
    <t>5138296.00</t>
  </si>
  <si>
    <t>5171523.00</t>
  </si>
  <si>
    <t>6483815.00</t>
  </si>
  <si>
    <t>6010838.00</t>
  </si>
  <si>
    <t>6439773.00</t>
  </si>
  <si>
    <t>6348109.00</t>
  </si>
  <si>
    <t>7060494.00</t>
  </si>
  <si>
    <t>7961072.00</t>
  </si>
  <si>
    <t>8282128.00</t>
  </si>
  <si>
    <t>7684613.00</t>
  </si>
  <si>
    <t>8238205.00</t>
  </si>
  <si>
    <t>553592.00</t>
  </si>
  <si>
    <t>6531731.50</t>
  </si>
  <si>
    <t>19-V</t>
  </si>
  <si>
    <t>9621202.00</t>
  </si>
  <si>
    <t>10587004.00</t>
  </si>
  <si>
    <t>9632112.00</t>
  </si>
  <si>
    <t>9239643.00</t>
  </si>
  <si>
    <t>9529861.00</t>
  </si>
  <si>
    <t>10545287.00</t>
  </si>
  <si>
    <t>9699951.00</t>
  </si>
  <si>
    <t>9694170.00</t>
  </si>
  <si>
    <t>10155214.00</t>
  </si>
  <si>
    <t>9746569.00</t>
  </si>
  <si>
    <t>9565649.00</t>
  </si>
  <si>
    <t>9565795.00</t>
  </si>
  <si>
    <t>10357601.00</t>
  </si>
  <si>
    <t>9242340.00</t>
  </si>
  <si>
    <t>9680172.00</t>
  </si>
  <si>
    <t>9372949.00</t>
  </si>
  <si>
    <t>9479366.00</t>
  </si>
  <si>
    <t>10051076.00</t>
  </si>
  <si>
    <t>10515456.00</t>
  </si>
  <si>
    <t>10176133.00</t>
  </si>
  <si>
    <t>9713076.00</t>
  </si>
  <si>
    <t>9222406.00</t>
  </si>
  <si>
    <t>9249208.00</t>
  </si>
  <si>
    <t>10298759.00</t>
  </si>
  <si>
    <t>10472268.00</t>
  </si>
  <si>
    <t>9587425.00</t>
  </si>
  <si>
    <t>9585410.00</t>
  </si>
  <si>
    <t>-2015.00</t>
  </si>
  <si>
    <t>9787525.90</t>
  </si>
  <si>
    <t>20-S</t>
  </si>
  <si>
    <t>9626417.00</t>
  </si>
  <si>
    <t>9552014.00</t>
  </si>
  <si>
    <t>9411849.00</t>
  </si>
  <si>
    <t>9330465.00</t>
  </si>
  <si>
    <t>9260558.00</t>
  </si>
  <si>
    <t>9201874.00</t>
  </si>
  <si>
    <t>9171410.00</t>
  </si>
  <si>
    <t>9139838.00</t>
  </si>
  <si>
    <t>9035045.00</t>
  </si>
  <si>
    <t>9267075.00</t>
  </si>
  <si>
    <t>9333159.00</t>
  </si>
  <si>
    <t>9246062.00</t>
  </si>
  <si>
    <t>9196561.00</t>
  </si>
  <si>
    <t>9201996.00</t>
  </si>
  <si>
    <t>9105122.00</t>
  </si>
  <si>
    <t>9043765.00</t>
  </si>
  <si>
    <t>9010528.00</t>
  </si>
  <si>
    <t>8952780.00</t>
  </si>
  <si>
    <t>8931428.00</t>
  </si>
  <si>
    <t>8873047.00</t>
  </si>
  <si>
    <t>8802681.00</t>
  </si>
  <si>
    <t>8782566.00</t>
  </si>
  <si>
    <t>8716579.00</t>
  </si>
  <si>
    <t>8679482.00</t>
  </si>
  <si>
    <t>8640180.00</t>
  </si>
  <si>
    <t>9102615.90</t>
  </si>
  <si>
    <t>21-Q</t>
  </si>
  <si>
    <t>162800.00</t>
  </si>
  <si>
    <t>22-2</t>
  </si>
  <si>
    <t>14160.00</t>
  </si>
  <si>
    <t>23-3</t>
  </si>
  <si>
    <t>67464.00</t>
  </si>
  <si>
    <t>22344.00</t>
  </si>
  <si>
    <t>16704.00</t>
  </si>
  <si>
    <t>87768.00</t>
  </si>
  <si>
    <t>76488.00</t>
  </si>
  <si>
    <t>107988.00</t>
  </si>
  <si>
    <t>54703.60</t>
  </si>
  <si>
    <t>24-4</t>
  </si>
  <si>
    <t>25-5</t>
  </si>
  <si>
    <t>26-6</t>
  </si>
  <si>
    <t>7017234.00</t>
  </si>
  <si>
    <t>9365293.00</t>
  </si>
  <si>
    <t>9235957.00</t>
  </si>
  <si>
    <t>8310947.00</t>
  </si>
  <si>
    <t>6442151.00</t>
  </si>
  <si>
    <t>7093736.00</t>
  </si>
  <si>
    <t>5991081.00</t>
  </si>
  <si>
    <t>5753349.00</t>
  </si>
  <si>
    <t>5511887.00</t>
  </si>
  <si>
    <t>7319628.00</t>
  </si>
  <si>
    <t>7802867.00</t>
  </si>
  <si>
    <t>6603408.00</t>
  </si>
  <si>
    <t>4893298.00</t>
  </si>
  <si>
    <t>4891250.00</t>
  </si>
  <si>
    <t>8208655.00</t>
  </si>
  <si>
    <t>10606381.00</t>
  </si>
  <si>
    <t>10309620.00</t>
  </si>
  <si>
    <t>11713700.00</t>
  </si>
  <si>
    <t>10916810.00</t>
  </si>
  <si>
    <t>9282816.00</t>
  </si>
  <si>
    <t>9281396.00</t>
  </si>
  <si>
    <t>8943839.00</t>
  </si>
  <si>
    <t>9041702.00</t>
  </si>
  <si>
    <t>7641198.00</t>
  </si>
  <si>
    <t>9470336.00</t>
  </si>
  <si>
    <t>10886971.00</t>
  </si>
  <si>
    <t>9298809.00</t>
  </si>
  <si>
    <t>8138048.10</t>
  </si>
  <si>
    <t>27-7</t>
  </si>
  <si>
    <t>5970107.00</t>
  </si>
  <si>
    <t>6114257.00</t>
  </si>
  <si>
    <t>5525776.00</t>
  </si>
  <si>
    <t>5505696.00</t>
  </si>
  <si>
    <t>5850912.00</t>
  </si>
  <si>
    <t>5764112.00</t>
  </si>
  <si>
    <t>5650512.00</t>
  </si>
  <si>
    <t>6387613.00</t>
  </si>
  <si>
    <t>6372013.00</t>
  </si>
  <si>
    <t>6068323.00</t>
  </si>
  <si>
    <t>6021335.00</t>
  </si>
  <si>
    <t>5938535.00</t>
  </si>
  <si>
    <t>5866935.00</t>
  </si>
  <si>
    <t>5933425.00</t>
  </si>
  <si>
    <t>5558849.00</t>
  </si>
  <si>
    <t>6032146.00</t>
  </si>
  <si>
    <t>6004066.00</t>
  </si>
  <si>
    <t>5943266.00</t>
  </si>
  <si>
    <t>5840066.00</t>
  </si>
  <si>
    <t>5742066.00</t>
  </si>
  <si>
    <t>5222327.00</t>
  </si>
  <si>
    <t>6161303.00</t>
  </si>
  <si>
    <t>6014757.00</t>
  </si>
  <si>
    <t>6257641.00</t>
  </si>
  <si>
    <t>6165641.00</t>
  </si>
  <si>
    <t>5913498.00</t>
  </si>
  <si>
    <t>AVGSR</t>
  </si>
  <si>
    <t>96.9</t>
  </si>
  <si>
    <t>0</t>
  </si>
  <si>
    <t>97.9</t>
  </si>
  <si>
    <t>97.6</t>
  </si>
  <si>
    <t>97.4</t>
  </si>
  <si>
    <t>97.8</t>
  </si>
  <si>
    <t>97.3</t>
  </si>
  <si>
    <t>98.1</t>
  </si>
  <si>
    <t>100</t>
  </si>
  <si>
    <t>96</t>
  </si>
  <si>
    <t>98</t>
  </si>
  <si>
    <t>98.4</t>
  </si>
  <si>
    <t>98.3</t>
  </si>
  <si>
    <t>98.6</t>
  </si>
  <si>
    <t>94.1</t>
  </si>
  <si>
    <t>97</t>
  </si>
  <si>
    <t>94.7</t>
  </si>
  <si>
    <t>96.8</t>
  </si>
  <si>
    <t>97.7</t>
  </si>
  <si>
    <t>98.2</t>
  </si>
  <si>
    <t>97.5</t>
  </si>
  <si>
    <t>96.5</t>
  </si>
  <si>
    <t>58.8</t>
  </si>
  <si>
    <t>42.1</t>
  </si>
  <si>
    <t>72.7</t>
  </si>
  <si>
    <t>99</t>
  </si>
  <si>
    <t>93.3</t>
  </si>
  <si>
    <t>93.7</t>
  </si>
  <si>
    <t>75</t>
  </si>
  <si>
    <t>81.8</t>
  </si>
  <si>
    <t>87.5</t>
  </si>
  <si>
    <t>53.8</t>
  </si>
  <si>
    <t>50</t>
  </si>
  <si>
    <t>28.5</t>
  </si>
  <si>
    <t>66.6</t>
  </si>
  <si>
    <t>63.1</t>
  </si>
  <si>
    <t>83.3</t>
  </si>
  <si>
    <t>69.2</t>
  </si>
  <si>
    <t>91.6</t>
  </si>
  <si>
    <t>88.8</t>
  </si>
  <si>
    <t>86.6</t>
  </si>
  <si>
    <t>78.9</t>
  </si>
  <si>
    <t>80</t>
  </si>
  <si>
    <t>84.4</t>
  </si>
  <si>
    <t>98.8</t>
  </si>
  <si>
    <t>98.7</t>
  </si>
  <si>
    <t>99.2</t>
  </si>
  <si>
    <t>99.4</t>
  </si>
  <si>
    <t>99.5</t>
  </si>
  <si>
    <t>99.8</t>
  </si>
  <si>
    <t>99.7</t>
  </si>
  <si>
    <t>99.9</t>
  </si>
  <si>
    <t>99.3</t>
  </si>
  <si>
    <t>96.3</t>
  </si>
  <si>
    <t>95.7</t>
  </si>
  <si>
    <t>91.3</t>
  </si>
  <si>
    <t>98.5</t>
  </si>
  <si>
    <t>95.2</t>
  </si>
  <si>
    <t>94</t>
  </si>
  <si>
    <t>96.1</t>
  </si>
  <si>
    <t>89.4</t>
  </si>
  <si>
    <t>95.9</t>
  </si>
  <si>
    <t>99.6</t>
  </si>
  <si>
    <t>97.1</t>
  </si>
  <si>
    <t>08-Z</t>
  </si>
  <si>
    <t>90.9</t>
  </si>
  <si>
    <t>77.7</t>
  </si>
  <si>
    <t>85.7</t>
  </si>
  <si>
    <t>95.1</t>
  </si>
  <si>
    <t>09-@</t>
  </si>
  <si>
    <t>97.2</t>
  </si>
  <si>
    <t>10-M</t>
  </si>
  <si>
    <t>11-S</t>
  </si>
  <si>
    <t>92</t>
  </si>
  <si>
    <t>96.6</t>
  </si>
  <si>
    <t>93.1</t>
  </si>
  <si>
    <t>95</t>
  </si>
  <si>
    <t>92.5</t>
  </si>
  <si>
    <t>12-V</t>
  </si>
  <si>
    <t>96.4</t>
  </si>
  <si>
    <t>95.4</t>
  </si>
  <si>
    <t>93.6</t>
  </si>
  <si>
    <t>96.2</t>
  </si>
  <si>
    <t>94.2</t>
  </si>
  <si>
    <t>91.9</t>
  </si>
  <si>
    <t>94.8</t>
  </si>
  <si>
    <t>94.6</t>
  </si>
  <si>
    <t>13-T</t>
  </si>
  <si>
    <t>86.1</t>
  </si>
  <si>
    <t>78.6</t>
  </si>
  <si>
    <t>79.6</t>
  </si>
  <si>
    <t>86.7</t>
  </si>
  <si>
    <t>94.3</t>
  </si>
  <si>
    <t>93.8</t>
  </si>
  <si>
    <t>94.5</t>
  </si>
  <si>
    <t>14-P</t>
  </si>
  <si>
    <t>16-#</t>
  </si>
  <si>
    <t>96.7</t>
  </si>
  <si>
    <t>17-2</t>
  </si>
  <si>
    <t>18-3</t>
  </si>
  <si>
    <t>19-4</t>
  </si>
  <si>
    <t>20-5</t>
  </si>
  <si>
    <t>21-$</t>
  </si>
  <si>
    <t>22-7</t>
  </si>
  <si>
    <t>23-6</t>
  </si>
  <si>
    <t>92.2</t>
  </si>
  <si>
    <t>90.8</t>
  </si>
  <si>
    <t>90.6</t>
  </si>
  <si>
    <t>89.1</t>
  </si>
  <si>
    <t>95.6</t>
  </si>
  <si>
    <t>95.8</t>
  </si>
  <si>
    <t>92.6</t>
  </si>
  <si>
    <t>91.2</t>
  </si>
  <si>
    <t>95.5</t>
  </si>
  <si>
    <t>94.4</t>
  </si>
  <si>
    <t>IMPCD</t>
  </si>
  <si>
    <t>4</t>
  </si>
  <si>
    <t>99.1</t>
  </si>
  <si>
    <t>98.9</t>
  </si>
  <si>
    <t>ALL</t>
  </si>
  <si>
    <t>62.5</t>
  </si>
  <si>
    <t>35.2</t>
  </si>
  <si>
    <t>90</t>
  </si>
  <si>
    <t>92.8</t>
  </si>
  <si>
    <t>58.3</t>
  </si>
  <si>
    <t>33.3</t>
  </si>
  <si>
    <t>71.4</t>
  </si>
  <si>
    <t>82.3</t>
  </si>
  <si>
    <t>76.5</t>
  </si>
  <si>
    <t>91.5</t>
  </si>
  <si>
    <t>89.8</t>
  </si>
  <si>
    <t>86.5</t>
  </si>
  <si>
    <t>16-2</t>
  </si>
  <si>
    <t>17-3</t>
  </si>
  <si>
    <t>18-4</t>
  </si>
  <si>
    <t>19-5</t>
  </si>
  <si>
    <t>20-7</t>
  </si>
  <si>
    <t>21-6</t>
  </si>
  <si>
    <t>92.4</t>
  </si>
  <si>
    <t>95.3</t>
  </si>
  <si>
    <t>SUMITEMS</t>
  </si>
  <si>
    <t>137.00</t>
  </si>
  <si>
    <t>287.00</t>
  </si>
  <si>
    <t>303.00</t>
  </si>
  <si>
    <t>298.00</t>
  </si>
  <si>
    <t>248.00</t>
  </si>
  <si>
    <t>113.00</t>
  </si>
  <si>
    <t>241.00</t>
  </si>
  <si>
    <t>471.00</t>
  </si>
  <si>
    <t>242.00</t>
  </si>
  <si>
    <t>200.00</t>
  </si>
  <si>
    <t>151.00</t>
  </si>
  <si>
    <t>244.00</t>
  </si>
  <si>
    <t>261.00</t>
  </si>
  <si>
    <t>253.00</t>
  </si>
  <si>
    <t>199.00</t>
  </si>
  <si>
    <t>144.00</t>
  </si>
  <si>
    <t>164.00</t>
  </si>
  <si>
    <t>194.00</t>
  </si>
  <si>
    <t>300.00</t>
  </si>
  <si>
    <t>186.00</t>
  </si>
  <si>
    <t>165.00</t>
  </si>
  <si>
    <t>176.00</t>
  </si>
  <si>
    <t>93.00</t>
  </si>
  <si>
    <t>5339</t>
  </si>
  <si>
    <t>29.00</t>
  </si>
  <si>
    <t>43.00</t>
  </si>
  <si>
    <t>53.00</t>
  </si>
  <si>
    <t>51.00</t>
  </si>
  <si>
    <t>42.00</t>
  </si>
  <si>
    <t>23.00</t>
  </si>
  <si>
    <t>41.00</t>
  </si>
  <si>
    <t>79.00</t>
  </si>
  <si>
    <t>40.00</t>
  </si>
  <si>
    <t>37.00</t>
  </si>
  <si>
    <t>30.00</t>
  </si>
  <si>
    <t>32.00</t>
  </si>
  <si>
    <t>56.00</t>
  </si>
  <si>
    <t>38.00</t>
  </si>
  <si>
    <t>20.00</t>
  </si>
  <si>
    <t>46.00</t>
  </si>
  <si>
    <t>35.00</t>
  </si>
  <si>
    <t>52.00</t>
  </si>
  <si>
    <t>1003</t>
  </si>
  <si>
    <t>7.00</t>
  </si>
  <si>
    <t>11.00</t>
  </si>
  <si>
    <t>3.00</t>
  </si>
  <si>
    <t>2.00</t>
  </si>
  <si>
    <t>1.00</t>
  </si>
  <si>
    <t>5.00</t>
  </si>
  <si>
    <t>6.00</t>
  </si>
  <si>
    <t>4.00</t>
  </si>
  <si>
    <t>79</t>
  </si>
  <si>
    <t>19.00</t>
  </si>
  <si>
    <t>34.00</t>
  </si>
  <si>
    <t>16.00</t>
  </si>
  <si>
    <t>22.00</t>
  </si>
  <si>
    <t>25.00</t>
  </si>
  <si>
    <t>18.00</t>
  </si>
  <si>
    <t>15.00</t>
  </si>
  <si>
    <t>10.00</t>
  </si>
  <si>
    <t>357</t>
  </si>
  <si>
    <t>24.00</t>
  </si>
  <si>
    <t>8.00</t>
  </si>
  <si>
    <t>21.00</t>
  </si>
  <si>
    <t>44.00</t>
  </si>
  <si>
    <t>9.00</t>
  </si>
  <si>
    <t>311</t>
  </si>
  <si>
    <t>10</t>
  </si>
  <si>
    <t>18</t>
  </si>
  <si>
    <t>14.00</t>
  </si>
  <si>
    <t>17.00</t>
  </si>
  <si>
    <t>13.00</t>
  </si>
  <si>
    <t>31.00</t>
  </si>
  <si>
    <t>26.00</t>
  </si>
  <si>
    <t>346</t>
  </si>
  <si>
    <t>84</t>
  </si>
  <si>
    <t>60.00</t>
  </si>
  <si>
    <t>33.00</t>
  </si>
  <si>
    <t>28.00</t>
  </si>
  <si>
    <t>59.00</t>
  </si>
  <si>
    <t>54.00</t>
  </si>
  <si>
    <t>39.00</t>
  </si>
  <si>
    <t>12.00</t>
  </si>
  <si>
    <t>719</t>
  </si>
  <si>
    <t>122529179.00</t>
  </si>
  <si>
    <t>122525689.00</t>
  </si>
  <si>
    <t>118301983.00</t>
  </si>
  <si>
    <t>121951310.00</t>
  </si>
  <si>
    <t>125628470.00</t>
  </si>
  <si>
    <t>126958578.00</t>
  </si>
  <si>
    <t>129042742.00</t>
  </si>
  <si>
    <t>126460918.00</t>
  </si>
  <si>
    <t>126460772.00</t>
  </si>
  <si>
    <t>127104593.00</t>
  </si>
  <si>
    <t>124168110.00</t>
  </si>
  <si>
    <t>124525007.00</t>
  </si>
  <si>
    <t>124846014.00</t>
  </si>
  <si>
    <t>129089163.00</t>
  </si>
  <si>
    <t>127777977.00</t>
  </si>
  <si>
    <t>127727241.00</t>
  </si>
  <si>
    <t>128851786.00</t>
  </si>
  <si>
    <t>128975325.00</t>
  </si>
  <si>
    <t>130266329.00</t>
  </si>
  <si>
    <t>130603763.00</t>
  </si>
  <si>
    <t>133519357.00</t>
  </si>
  <si>
    <t>130960391.00</t>
  </si>
  <si>
    <t>130948739.00</t>
  </si>
  <si>
    <t>132857362.00</t>
  </si>
  <si>
    <t>134113172.00</t>
  </si>
  <si>
    <t>134903866.00</t>
  </si>
  <si>
    <t>135599948.00</t>
  </si>
  <si>
    <t>136188996.00</t>
  </si>
  <si>
    <t>134645653.00</t>
  </si>
  <si>
    <t>134645632.00</t>
  </si>
  <si>
    <t>128739268.83</t>
  </si>
  <si>
    <t>109377211.00</t>
  </si>
  <si>
    <t>109027574.00</t>
  </si>
  <si>
    <t>107954718.00</t>
  </si>
  <si>
    <t>109078790.00</t>
  </si>
  <si>
    <t>109976733.00</t>
  </si>
  <si>
    <t>112415821.00</t>
  </si>
  <si>
    <t>109504799.00</t>
  </si>
  <si>
    <t>112443555.00</t>
  </si>
  <si>
    <t>108818927.00</t>
  </si>
  <si>
    <t>111004902.00</t>
  </si>
  <si>
    <t>110622524.00</t>
  </si>
  <si>
    <t>111517259.00</t>
  </si>
  <si>
    <t>112223301.00</t>
  </si>
  <si>
    <t>112188753.00</t>
  </si>
  <si>
    <t>113902883.00</t>
  </si>
  <si>
    <t>113461114.00</t>
  </si>
  <si>
    <t>116491083.00</t>
  </si>
  <si>
    <t>117034980.00</t>
  </si>
  <si>
    <t>119731217.00</t>
  </si>
  <si>
    <t>117186964.00</t>
  </si>
  <si>
    <t>117169739.00</t>
  </si>
  <si>
    <t>117869286.00</t>
  </si>
  <si>
    <t>118927793.00</t>
  </si>
  <si>
    <t>120663108.00</t>
  </si>
  <si>
    <t>122370299.00</t>
  </si>
  <si>
    <t>122659656.00</t>
  </si>
  <si>
    <t>122888501.00</t>
  </si>
  <si>
    <t>122872605.00</t>
  </si>
  <si>
    <t>114275536.83</t>
  </si>
  <si>
    <t>30781415.00</t>
  </si>
  <si>
    <t>29921736.00</t>
  </si>
  <si>
    <t>28842481.00</t>
  </si>
  <si>
    <t>30541580.00</t>
  </si>
  <si>
    <t>31966228.00</t>
  </si>
  <si>
    <t>32229355.00</t>
  </si>
  <si>
    <t>31295167.00</t>
  </si>
  <si>
    <t>31566751.00</t>
  </si>
  <si>
    <t>30918165.00</t>
  </si>
  <si>
    <t>31222128.00</t>
  </si>
  <si>
    <t>30954436.00</t>
  </si>
  <si>
    <t>32849897.00</t>
  </si>
  <si>
    <t>32021970.00</t>
  </si>
  <si>
    <t>32021839.00</t>
  </si>
  <si>
    <t>34564293.00</t>
  </si>
  <si>
    <t>34080242.00</t>
  </si>
  <si>
    <t>35152524.00</t>
  </si>
  <si>
    <t>34420316.00</t>
  </si>
  <si>
    <t>36067120.00</t>
  </si>
  <si>
    <t>35188430.00</t>
  </si>
  <si>
    <t>35662767.00</t>
  </si>
  <si>
    <t>38793800.00</t>
  </si>
  <si>
    <t>38689383.00</t>
  </si>
  <si>
    <t>38456784.00</t>
  </si>
  <si>
    <t>43881392.00</t>
  </si>
  <si>
    <t>43119783.00</t>
  </si>
  <si>
    <t>43418504.00</t>
  </si>
  <si>
    <t>34196449.93</t>
  </si>
  <si>
    <t>8072641.00</t>
  </si>
  <si>
    <t>8207022.00</t>
  </si>
  <si>
    <t>8290194.00</t>
  </si>
  <si>
    <t>8604437.00</t>
  </si>
  <si>
    <t>8381943.00</t>
  </si>
  <si>
    <t>8589935.00</t>
  </si>
  <si>
    <t>8589999.00</t>
  </si>
  <si>
    <t>8189407.00</t>
  </si>
  <si>
    <t>8831459.00</t>
  </si>
  <si>
    <t>9229262.00</t>
  </si>
  <si>
    <t>10418201.00</t>
  </si>
  <si>
    <t>10544477.00</t>
  </si>
  <si>
    <t>11340120.00</t>
  </si>
  <si>
    <t>11550014.00</t>
  </si>
  <si>
    <t>11599805.00</t>
  </si>
  <si>
    <t>11694564.00</t>
  </si>
  <si>
    <t>12568076.00</t>
  </si>
  <si>
    <t>12572975.00</t>
  </si>
  <si>
    <t>13049943.00</t>
  </si>
  <si>
    <t>12812903.00</t>
  </si>
  <si>
    <t>12396342.00</t>
  </si>
  <si>
    <t>12554872.00</t>
  </si>
  <si>
    <t>11487687.00</t>
  </si>
  <si>
    <t>11499027.00</t>
  </si>
  <si>
    <t>10351461.03</t>
  </si>
  <si>
    <t>5443177.00</t>
  </si>
  <si>
    <t>5417089.00</t>
  </si>
  <si>
    <t>4428538.00</t>
  </si>
  <si>
    <t>4475514.00</t>
  </si>
  <si>
    <t>4454704.00</t>
  </si>
  <si>
    <t>4392977.00</t>
  </si>
  <si>
    <t>4378975.00</t>
  </si>
  <si>
    <t>4574763.00</t>
  </si>
  <si>
    <t>4384762.00</t>
  </si>
  <si>
    <t>4430185.00</t>
  </si>
  <si>
    <t>4274723.00</t>
  </si>
  <si>
    <t>4285333.00</t>
  </si>
  <si>
    <t>4311042.00</t>
  </si>
  <si>
    <t>4461534.00</t>
  </si>
  <si>
    <t>4279340.00</t>
  </si>
  <si>
    <t>4255984.00</t>
  </si>
  <si>
    <t>4279618.00</t>
  </si>
  <si>
    <t>4270009.00</t>
  </si>
  <si>
    <t>4201370.00</t>
  </si>
  <si>
    <t>4045276.00</t>
  </si>
  <si>
    <t>4077283.00</t>
  </si>
  <si>
    <t>4221192.00</t>
  </si>
  <si>
    <t>4122220.00</t>
  </si>
  <si>
    <t>4135547.00</t>
  </si>
  <si>
    <t>4422965.30</t>
  </si>
  <si>
    <t>192053.00</t>
  </si>
  <si>
    <t>3223.00</t>
  </si>
  <si>
    <t>15345.00</t>
  </si>
  <si>
    <t>11240.00</t>
  </si>
  <si>
    <t>77868.00</t>
  </si>
  <si>
    <t>73860.00</t>
  </si>
  <si>
    <t>69968.00</t>
  </si>
  <si>
    <t>227025.00</t>
  </si>
  <si>
    <t>224378.00</t>
  </si>
  <si>
    <t>224386.00</t>
  </si>
  <si>
    <t>6007.00</t>
  </si>
  <si>
    <t>62712.00</t>
  </si>
  <si>
    <t>68835.00</t>
  </si>
  <si>
    <t>73573.00</t>
  </si>
  <si>
    <t>73597.00</t>
  </si>
  <si>
    <t>141218.00</t>
  </si>
  <si>
    <t>309909.00</t>
  </si>
  <si>
    <t>311296.00</t>
  </si>
  <si>
    <t>311847.00</t>
  </si>
  <si>
    <t>310517.00</t>
  </si>
  <si>
    <t>11796.00</t>
  </si>
  <si>
    <t>130253.27</t>
  </si>
  <si>
    <t>2558412.00</t>
  </si>
  <si>
    <t>2558523.00</t>
  </si>
  <si>
    <t>2566804.00</t>
  </si>
  <si>
    <t>2566492.00</t>
  </si>
  <si>
    <t>2568264.00</t>
  </si>
  <si>
    <t>2576480.00</t>
  </si>
  <si>
    <t>2578894.00</t>
  </si>
  <si>
    <t>2692540.00</t>
  </si>
  <si>
    <t>2692841.00</t>
  </si>
  <si>
    <t>2522955.00</t>
  </si>
  <si>
    <t>2524313.00</t>
  </si>
  <si>
    <t>2525152.00</t>
  </si>
  <si>
    <t>2675685.00</t>
  </si>
  <si>
    <t>2707125.00</t>
  </si>
  <si>
    <t>2709756.00</t>
  </si>
  <si>
    <t>2704344.00</t>
  </si>
  <si>
    <t>2704491.00</t>
  </si>
  <si>
    <t>2437051.00</t>
  </si>
  <si>
    <t>2432606.00</t>
  </si>
  <si>
    <t>2413186.00</t>
  </si>
  <si>
    <t>2416662.00</t>
  </si>
  <si>
    <t>2400459.00</t>
  </si>
  <si>
    <t>2400708.00</t>
  </si>
  <si>
    <t>2561784.03</t>
  </si>
  <si>
    <t>M</t>
  </si>
  <si>
    <t>5847.00</t>
  </si>
  <si>
    <t>5845.00</t>
  </si>
  <si>
    <t>5848.00</t>
  </si>
  <si>
    <t>5849.00</t>
  </si>
  <si>
    <t>5439.00</t>
  </si>
  <si>
    <t>5440.00</t>
  </si>
  <si>
    <t>3871.43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</si>
  <si>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</si>
  <si>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</si>
  <si>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</si>
  <si>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</si>
  <si>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</si>
  <si>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</si>
  <si>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</si>
  <si>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</si>
  <si>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</si>
  <si>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</si>
  <si>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</si>
  <si>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</si>
  <si>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</si>
  <si>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</si>
  <si>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</si>
  <si>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</si>
  <si>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</si>
  <si>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</si>
  <si>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</si>
  <si>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</si>
  <si>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</si>
  <si>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</si>
  <si>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</si>
  <si>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</si>
  <si>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</si>
  <si>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</si>
  <si>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2025</t>
  </si>
  <si>
    <t>292895572.45</t>
  </si>
  <si>
    <t>294277850.14</t>
  </si>
  <si>
    <t>303547104.61</t>
  </si>
  <si>
    <t>305015691.73</t>
  </si>
  <si>
    <t>298211250.68</t>
  </si>
  <si>
    <t>268957826.37</t>
  </si>
  <si>
    <t>266232218.23</t>
  </si>
  <si>
    <t>289555312.23</t>
  </si>
  <si>
    <t>267505302.97</t>
  </si>
  <si>
    <t>268887717.00</t>
  </si>
  <si>
    <t>285508585.00</t>
  </si>
  <si>
    <t>301522048.00</t>
  </si>
  <si>
    <t>312011790.00</t>
  </si>
  <si>
    <t>307804297.00</t>
  </si>
  <si>
    <t>311952904.00</t>
  </si>
  <si>
    <t>276368546.00</t>
  </si>
  <si>
    <t>281059326.00</t>
  </si>
  <si>
    <t>268251074.00</t>
  </si>
  <si>
    <t>288168798.00</t>
  </si>
  <si>
    <t>275700668.00</t>
  </si>
  <si>
    <t>266180110.00</t>
  </si>
  <si>
    <t>288901956.00</t>
  </si>
  <si>
    <t>213813987.06</t>
  </si>
  <si>
    <t>216421676.39</t>
  </si>
  <si>
    <t>230735445.39</t>
  </si>
  <si>
    <t>242111303.37</t>
  </si>
  <si>
    <t>244365222.23</t>
  </si>
  <si>
    <t>222947344.07</t>
  </si>
  <si>
    <t>213933395.71</t>
  </si>
  <si>
    <t>198708701.61</t>
  </si>
  <si>
    <t>181902705.73</t>
  </si>
  <si>
    <t>188299895.71</t>
  </si>
  <si>
    <t>215323968.00</t>
  </si>
  <si>
    <t>217348722.00</t>
  </si>
  <si>
    <t>229286452.00</t>
  </si>
  <si>
    <t>234536820.00</t>
  </si>
  <si>
    <t>249410081.00</t>
  </si>
  <si>
    <t>225086945.00</t>
  </si>
  <si>
    <t>223263131.00</t>
  </si>
  <si>
    <t>202720734.00</t>
  </si>
  <si>
    <t>189668191.00</t>
  </si>
  <si>
    <t>190048063.00</t>
  </si>
  <si>
    <t>182120835.00</t>
  </si>
  <si>
    <t>214348997.00</t>
  </si>
  <si>
    <t>6894022.48</t>
  </si>
  <si>
    <t>7273219.50</t>
  </si>
  <si>
    <t>6022622.23</t>
  </si>
  <si>
    <t>6246401.67</t>
  </si>
  <si>
    <t>5731137.97</t>
  </si>
  <si>
    <t>5495270.60</t>
  </si>
  <si>
    <t>5255297.77</t>
  </si>
  <si>
    <t>5320740.81</t>
  </si>
  <si>
    <t>5231241.90</t>
  </si>
  <si>
    <t>4912234.48</t>
  </si>
  <si>
    <t>5838219.00</t>
  </si>
  <si>
    <t>11731801.00</t>
  </si>
  <si>
    <t>6677578.00</t>
  </si>
  <si>
    <t>7953023.00</t>
  </si>
  <si>
    <t>6400194.00</t>
  </si>
  <si>
    <t>7600695.00</t>
  </si>
  <si>
    <t>4236251.00</t>
  </si>
  <si>
    <t>7059809.00</t>
  </si>
  <si>
    <t>5352452.00</t>
  </si>
  <si>
    <t>3823169.00</t>
  </si>
  <si>
    <t>7374198.00</t>
  </si>
  <si>
    <t>6820917.00</t>
  </si>
  <si>
    <t>11103888.48</t>
  </si>
  <si>
    <t>10717600.11</t>
  </si>
  <si>
    <t>7939466.94</t>
  </si>
  <si>
    <t>7405026.60</t>
  </si>
  <si>
    <t>5885981.32</t>
  </si>
  <si>
    <t>4603240.33</t>
  </si>
  <si>
    <t>5240019.45</t>
  </si>
  <si>
    <t>5825544.77</t>
  </si>
  <si>
    <t>5405729.67</t>
  </si>
  <si>
    <t>4950698.68</t>
  </si>
  <si>
    <t>6907720.00</t>
  </si>
  <si>
    <t>11043043.00</t>
  </si>
  <si>
    <t>11016551.00</t>
  </si>
  <si>
    <t>6604155.00</t>
  </si>
  <si>
    <t>6800876.00</t>
  </si>
  <si>
    <t>5117407.00</t>
  </si>
  <si>
    <t>4185914.00</t>
  </si>
  <si>
    <t>5845604.00</t>
  </si>
  <si>
    <t>5889201.00</t>
  </si>
  <si>
    <t>5285095.00</t>
  </si>
  <si>
    <t>4865624.00</t>
  </si>
  <si>
    <t>6665347.00</t>
  </si>
  <si>
    <t>21593172.87</t>
  </si>
  <si>
    <t>19382073.82</t>
  </si>
  <si>
    <t>19671570.68</t>
  </si>
  <si>
    <t>18629028.17</t>
  </si>
  <si>
    <t>19873425.61</t>
  </si>
  <si>
    <t>19417875.87</t>
  </si>
  <si>
    <t>19416991.52</t>
  </si>
  <si>
    <t>20028052.94</t>
  </si>
  <si>
    <t>20146220.67</t>
  </si>
  <si>
    <t>19770781.16</t>
  </si>
  <si>
    <t>19792920.00</t>
  </si>
  <si>
    <t>18962815.00</t>
  </si>
  <si>
    <t>23106428.00</t>
  </si>
  <si>
    <t>21071693.00</t>
  </si>
  <si>
    <t>21065273.00</t>
  </si>
  <si>
    <t>21843172.00</t>
  </si>
  <si>
    <t>18530235.00</t>
  </si>
  <si>
    <t>22828116.00</t>
  </si>
  <si>
    <t>19959865.00</t>
  </si>
  <si>
    <t>22350347.00</t>
  </si>
  <si>
    <t>19581890.00</t>
  </si>
  <si>
    <t>20929983.00</t>
  </si>
  <si>
    <t>9729574.06</t>
  </si>
  <si>
    <t>13250904.71</t>
  </si>
  <si>
    <t>11342667.68</t>
  </si>
  <si>
    <t>11143472.50</t>
  </si>
  <si>
    <t>11593367.87</t>
  </si>
  <si>
    <t>11533089.80</t>
  </si>
  <si>
    <t>10250653.06</t>
  </si>
  <si>
    <t>12326658.00</t>
  </si>
  <si>
    <t>11188715.47</t>
  </si>
  <si>
    <t>11579707.13</t>
  </si>
  <si>
    <t>11393881.00</t>
  </si>
  <si>
    <t>11220240.00</t>
  </si>
  <si>
    <t>19113676.00</t>
  </si>
  <si>
    <t>13631227.00</t>
  </si>
  <si>
    <t>22844347.00</t>
  </si>
  <si>
    <t>19631221.00</t>
  </si>
  <si>
    <t>14640558.00</t>
  </si>
  <si>
    <t>22081624.00</t>
  </si>
  <si>
    <t>22112808.00</t>
  </si>
  <si>
    <t>18876531.00</t>
  </si>
  <si>
    <t>16691842.00</t>
  </si>
  <si>
    <t>18084407.00</t>
  </si>
  <si>
    <t>1710555.94</t>
  </si>
  <si>
    <t>1534112.82</t>
  </si>
  <si>
    <t>1354194.52</t>
  </si>
  <si>
    <t>2181402.27</t>
  </si>
  <si>
    <t>2055329.90</t>
  </si>
  <si>
    <t>3218402.13</t>
  </si>
  <si>
    <t>5031748.87</t>
  </si>
  <si>
    <t>3668339.65</t>
  </si>
  <si>
    <t>2303254.90</t>
  </si>
  <si>
    <t>1939313.35</t>
  </si>
  <si>
    <t>2499666.00</t>
  </si>
  <si>
    <t>1745249.00</t>
  </si>
  <si>
    <t>1677636.00</t>
  </si>
  <si>
    <t>1480486.00</t>
  </si>
  <si>
    <t>2642042.00</t>
  </si>
  <si>
    <t>2010192.00</t>
  </si>
  <si>
    <t>4185406.00</t>
  </si>
  <si>
    <t>4810863.00</t>
  </si>
  <si>
    <t>2401962.00</t>
  </si>
  <si>
    <t>1843699.00</t>
  </si>
  <si>
    <t>2388094.00</t>
  </si>
  <si>
    <t>2518563.00</t>
  </si>
  <si>
    <t>97968.03</t>
  </si>
  <si>
    <t>94797.33</t>
  </si>
  <si>
    <t>91839.00</t>
  </si>
  <si>
    <t>94339.00</t>
  </si>
  <si>
    <t>109258.35</t>
  </si>
  <si>
    <t>98711.90</t>
  </si>
  <si>
    <t>105870.00</t>
  </si>
  <si>
    <t>101330.00</t>
  </si>
  <si>
    <t>93089.00</t>
  </si>
  <si>
    <t>97149.00</t>
  </si>
  <si>
    <t>101495.00</t>
  </si>
  <si>
    <t>2731882.90</t>
  </si>
  <si>
    <t>2401477.71</t>
  </si>
  <si>
    <t>1864895.61</t>
  </si>
  <si>
    <t>1992262.87</t>
  </si>
  <si>
    <t>1542560.16</t>
  </si>
  <si>
    <t>1719172.00</t>
  </si>
  <si>
    <t>1379365.87</t>
  </si>
  <si>
    <t>1827319.19</t>
  </si>
  <si>
    <t>1482058.00</t>
  </si>
  <si>
    <t>1431537.06</t>
  </si>
  <si>
    <t>1837253.00</t>
  </si>
  <si>
    <t>4434328.00</t>
  </si>
  <si>
    <t>2190434.00</t>
  </si>
  <si>
    <t>2572318.00</t>
  </si>
  <si>
    <t>1381676.00</t>
  </si>
  <si>
    <t>2094697.00</t>
  </si>
  <si>
    <t>1710449.00</t>
  </si>
  <si>
    <t>1838782.00</t>
  </si>
  <si>
    <t>2076843.00</t>
  </si>
  <si>
    <t>1166682.00</t>
  </si>
  <si>
    <t>1846323.00</t>
  </si>
  <si>
    <t>2131253.00</t>
  </si>
  <si>
    <t>279829.61</t>
  </si>
  <si>
    <t>312786.57</t>
  </si>
  <si>
    <t>306112.52</t>
  </si>
  <si>
    <t>267643.33</t>
  </si>
  <si>
    <t>226225.10</t>
  </si>
  <si>
    <t>203974.67</t>
  </si>
  <si>
    <t>327227.68</t>
  </si>
  <si>
    <t>255456.39</t>
  </si>
  <si>
    <t>187345.67</t>
  </si>
  <si>
    <t>138686.71</t>
  </si>
  <si>
    <t>250529.00</t>
  </si>
  <si>
    <t>295438.00</t>
  </si>
  <si>
    <t>352938.00</t>
  </si>
  <si>
    <t>271778.00</t>
  </si>
  <si>
    <t>243488.00</t>
  </si>
  <si>
    <t>156098.00</t>
  </si>
  <si>
    <t>391598.00</t>
  </si>
  <si>
    <t>273008.00</t>
  </si>
  <si>
    <t>237688.00</t>
  </si>
  <si>
    <t>157748.00</t>
  </si>
  <si>
    <t>139948.00</t>
  </si>
  <si>
    <t>251973.00</t>
  </si>
  <si>
    <t>1636322.68</t>
  </si>
  <si>
    <t>1606880.50</t>
  </si>
  <si>
    <t>1608277.81</t>
  </si>
  <si>
    <t>1614727.63</t>
  </si>
  <si>
    <t>1617368.23</t>
  </si>
  <si>
    <t>1420197.90</t>
  </si>
  <si>
    <t>1836.71</t>
  </si>
  <si>
    <t>896.61</t>
  </si>
  <si>
    <t>707.67</t>
  </si>
  <si>
    <t>117926.58</t>
  </si>
  <si>
    <t>962515.00</t>
  </si>
  <si>
    <t>1605674.00</t>
  </si>
  <si>
    <t>1609870.00</t>
  </si>
  <si>
    <t>1641175.00</t>
  </si>
  <si>
    <t>3712.00</t>
  </si>
  <si>
    <t>818310.00</t>
  </si>
  <si>
    <t>17-8</t>
  </si>
  <si>
    <t>4738534.16</t>
  </si>
  <si>
    <t>6616871.43</t>
  </si>
  <si>
    <t>6569016.87</t>
  </si>
  <si>
    <t>6269507.10</t>
  </si>
  <si>
    <t>6556006.61</t>
  </si>
  <si>
    <t>6163283.43</t>
  </si>
  <si>
    <t>5806256.65</t>
  </si>
  <si>
    <t>6867741.00</t>
  </si>
  <si>
    <t>8028210.07</t>
  </si>
  <si>
    <t>7159212.19</t>
  </si>
  <si>
    <t>6477464.00</t>
  </si>
  <si>
    <t>5742313.00</t>
  </si>
  <si>
    <t>8972166.00</t>
  </si>
  <si>
    <t>8317135.00</t>
  </si>
  <si>
    <t>9516089.00</t>
  </si>
  <si>
    <t>8732706.00</t>
  </si>
  <si>
    <t>9918985.00</t>
  </si>
  <si>
    <t>8631009.00</t>
  </si>
  <si>
    <t>12496630.00</t>
  </si>
  <si>
    <t>13604767.00</t>
  </si>
  <si>
    <t>9423868.00</t>
  </si>
  <si>
    <t>9535567.00</t>
  </si>
  <si>
    <t>12592603.32</t>
  </si>
  <si>
    <t>10668231.32</t>
  </si>
  <si>
    <t>11760706.42</t>
  </si>
  <si>
    <t>10427096.50</t>
  </si>
  <si>
    <t>9849791.71</t>
  </si>
  <si>
    <t>9702018.47</t>
  </si>
  <si>
    <t>9450488.71</t>
  </si>
  <si>
    <t>9822519.16</t>
  </si>
  <si>
    <t>10413327.43</t>
  </si>
  <si>
    <t>11438337.32</t>
  </si>
  <si>
    <t>10612512.00</t>
  </si>
  <si>
    <t>11062673.00</t>
  </si>
  <si>
    <t>12466503.00</t>
  </si>
  <si>
    <t>10840157.00</t>
  </si>
  <si>
    <t>10247940.00</t>
  </si>
  <si>
    <t>10635612.00</t>
  </si>
  <si>
    <t>9607589.00</t>
  </si>
  <si>
    <t>9914938.00</t>
  </si>
  <si>
    <t>9957082.00</t>
  </si>
  <si>
    <t>10930691.00</t>
  </si>
  <si>
    <t>10476266.00</t>
  </si>
  <si>
    <t>10613945.00</t>
  </si>
  <si>
    <t>8170824.77</t>
  </si>
  <si>
    <t>16891475.68</t>
  </si>
  <si>
    <t>24401515.81</t>
  </si>
  <si>
    <t>23605583.47</t>
  </si>
  <si>
    <t>20431667.68</t>
  </si>
  <si>
    <t>17113762.97</t>
  </si>
  <si>
    <t>14204196.16</t>
  </si>
  <si>
    <t>12463471.03</t>
  </si>
  <si>
    <t>11430527.57</t>
  </si>
  <si>
    <t>10550906.97</t>
  </si>
  <si>
    <t>15926393.00</t>
  </si>
  <si>
    <t>8141268.00</t>
  </si>
  <si>
    <t>21387425.00</t>
  </si>
  <si>
    <t>25013368.00</t>
  </si>
  <si>
    <t>22038535.00</t>
  </si>
  <si>
    <t>18904055.00</t>
  </si>
  <si>
    <t>15510521.00</t>
  </si>
  <si>
    <t>12938602.00</t>
  </si>
  <si>
    <t>11385802.00</t>
  </si>
  <si>
    <t>11317748.00</t>
  </si>
  <si>
    <t>9771866.00</t>
  </si>
  <si>
    <t>15640919.00</t>
  </si>
  <si>
    <t>161176.00</t>
  </si>
  <si>
    <t>131773.00</t>
  </si>
  <si>
    <t>138994.00</t>
  </si>
  <si>
    <t>159046.00</t>
  </si>
  <si>
    <t>188859.81</t>
  </si>
  <si>
    <t>173142.00</t>
  </si>
  <si>
    <t>136660.58</t>
  </si>
  <si>
    <t>143607.07</t>
  </si>
  <si>
    <t>135074.61</t>
  </si>
  <si>
    <t>85219.45</t>
  </si>
  <si>
    <t>107282.40</t>
  </si>
  <si>
    <t>84070.84</t>
  </si>
  <si>
    <t>135196.00</t>
  </si>
  <si>
    <t>201634.00</t>
  </si>
  <si>
    <t>179314.00</t>
  </si>
  <si>
    <t>209338.00</t>
  </si>
  <si>
    <t>115978.00</t>
  </si>
  <si>
    <t>163920.00</t>
  </si>
  <si>
    <t>118257.00</t>
  </si>
  <si>
    <t>115968.00</t>
  </si>
  <si>
    <t>91152.00</t>
  </si>
  <si>
    <t>140202.00</t>
  </si>
  <si>
    <t>9106516.68</t>
  </si>
  <si>
    <t>9492109.11</t>
  </si>
  <si>
    <t>9381405.61</t>
  </si>
  <si>
    <t>8789643.90</t>
  </si>
  <si>
    <t>9506818.16</t>
  </si>
  <si>
    <t>9088702.67</t>
  </si>
  <si>
    <t>9162485.61</t>
  </si>
  <si>
    <t>10604485.81</t>
  </si>
  <si>
    <t>7781349.83</t>
  </si>
  <si>
    <t>8223549.97</t>
  </si>
  <si>
    <t>9113707.00</t>
  </si>
  <si>
    <t>7670141.00</t>
  </si>
  <si>
    <t>10611816.00</t>
  </si>
  <si>
    <t>9016362.00</t>
  </si>
  <si>
    <t>11070523.00</t>
  </si>
  <si>
    <t>11313936.00</t>
  </si>
  <si>
    <t>7153933.00</t>
  </si>
  <si>
    <t>10230303.00</t>
  </si>
  <si>
    <t>7897345.00</t>
  </si>
  <si>
    <t>8011452.00</t>
  </si>
  <si>
    <t>8090256.00</t>
  </si>
  <si>
    <t>9106607.00</t>
  </si>
  <si>
    <t>4444644.09</t>
  </si>
  <si>
    <t>5507793.46</t>
  </si>
  <si>
    <t>5928979.93</t>
  </si>
  <si>
    <t>7326142.47</t>
  </si>
  <si>
    <t>7601834.36</t>
  </si>
  <si>
    <t>9551719.36</t>
  </si>
  <si>
    <t>8043505.32</t>
  </si>
  <si>
    <t>7581007.75</t>
  </si>
  <si>
    <t>6732528.60</t>
  </si>
  <si>
    <t>6246275.42</t>
  </si>
  <si>
    <t>6896443.00</t>
  </si>
  <si>
    <t>4802566.00</t>
  </si>
  <si>
    <t>5405462.00</t>
  </si>
  <si>
    <t>6546163.00</t>
  </si>
  <si>
    <t>7753957.00</t>
  </si>
  <si>
    <t>10222320.00</t>
  </si>
  <si>
    <t>8954402.00</t>
  </si>
  <si>
    <t>7883639.00</t>
  </si>
  <si>
    <t>7699144.00</t>
  </si>
  <si>
    <t>6630190.00</t>
  </si>
  <si>
    <t>6066507.00</t>
  </si>
  <si>
    <t>7196435.00</t>
  </si>
  <si>
    <t>87.1</t>
  </si>
  <si>
    <t>91.1</t>
  </si>
  <si>
    <t>93.5</t>
  </si>
  <si>
    <t>89</t>
  </si>
  <si>
    <t>82.2</t>
  </si>
  <si>
    <t>91.4</t>
  </si>
  <si>
    <t>83.4</t>
  </si>
  <si>
    <t>81.7</t>
  </si>
  <si>
    <t>88.3</t>
  </si>
  <si>
    <t>90.7</t>
  </si>
  <si>
    <t>83</t>
  </si>
  <si>
    <t>87.4</t>
  </si>
  <si>
    <t>25</t>
  </si>
  <si>
    <t>85.5</t>
  </si>
  <si>
    <t>80.7</t>
  </si>
  <si>
    <t>93.2</t>
  </si>
  <si>
    <t>93.9</t>
  </si>
  <si>
    <t>84.5</t>
  </si>
  <si>
    <t>85.9</t>
  </si>
  <si>
    <t>87.8</t>
  </si>
  <si>
    <t>91.7</t>
  </si>
  <si>
    <t>82.6</t>
  </si>
  <si>
    <t>83.1</t>
  </si>
  <si>
    <t>87.7</t>
  </si>
  <si>
    <t>82.9</t>
  </si>
  <si>
    <t>88.2</t>
  </si>
  <si>
    <t>AVGITEMS</t>
  </si>
  <si>
    <t>4435</t>
  </si>
  <si>
    <t>5186</t>
  </si>
  <si>
    <t>4253</t>
  </si>
  <si>
    <t>3663</t>
  </si>
  <si>
    <t>4413</t>
  </si>
  <si>
    <t>5568</t>
  </si>
  <si>
    <t>6382</t>
  </si>
  <si>
    <t>5537</t>
  </si>
  <si>
    <t>5932</t>
  </si>
  <si>
    <t>5596</t>
  </si>
  <si>
    <t>5097</t>
  </si>
  <si>
    <t>884</t>
  </si>
  <si>
    <t>782</t>
  </si>
  <si>
    <t>727</t>
  </si>
  <si>
    <t>575</t>
  </si>
  <si>
    <t>594</t>
  </si>
  <si>
    <t>767</t>
  </si>
  <si>
    <t>806</t>
  </si>
  <si>
    <t>829</t>
  </si>
  <si>
    <t>1040</t>
  </si>
  <si>
    <t>834</t>
  </si>
  <si>
    <t>784</t>
  </si>
  <si>
    <t>101</t>
  </si>
  <si>
    <t>5</t>
  </si>
  <si>
    <t>7</t>
  </si>
  <si>
    <t>8</t>
  </si>
  <si>
    <t>14</t>
  </si>
  <si>
    <t>44</t>
  </si>
  <si>
    <t>20</t>
  </si>
  <si>
    <t>37</t>
  </si>
  <si>
    <t>102</t>
  </si>
  <si>
    <t>88</t>
  </si>
  <si>
    <t>40</t>
  </si>
  <si>
    <t>70</t>
  </si>
  <si>
    <t>59</t>
  </si>
  <si>
    <t>143</t>
  </si>
  <si>
    <t>330</t>
  </si>
  <si>
    <t>239</t>
  </si>
  <si>
    <t>315</t>
  </si>
  <si>
    <t>157</t>
  </si>
  <si>
    <t>259</t>
  </si>
  <si>
    <t>144</t>
  </si>
  <si>
    <t>300</t>
  </si>
  <si>
    <t>299</t>
  </si>
  <si>
    <t>265</t>
  </si>
  <si>
    <t>245</t>
  </si>
  <si>
    <t>127</t>
  </si>
  <si>
    <t>140</t>
  </si>
  <si>
    <t>218</t>
  </si>
  <si>
    <t>197</t>
  </si>
  <si>
    <t>270</t>
  </si>
  <si>
    <t>145</t>
  </si>
  <si>
    <t>227</t>
  </si>
  <si>
    <t>309</t>
  </si>
  <si>
    <t>9</t>
  </si>
  <si>
    <t>26</t>
  </si>
  <si>
    <t>35</t>
  </si>
  <si>
    <t>22</t>
  </si>
  <si>
    <t>15</t>
  </si>
  <si>
    <t>21</t>
  </si>
  <si>
    <t>17</t>
  </si>
  <si>
    <t>30</t>
  </si>
  <si>
    <t>27</t>
  </si>
  <si>
    <t>51</t>
  </si>
  <si>
    <t>31</t>
  </si>
  <si>
    <t>36</t>
  </si>
  <si>
    <t>260</t>
  </si>
  <si>
    <t>350</t>
  </si>
  <si>
    <t>394</t>
  </si>
  <si>
    <t>246</t>
  </si>
  <si>
    <t>203</t>
  </si>
  <si>
    <t>251</t>
  </si>
  <si>
    <t>256</t>
  </si>
  <si>
    <t>383</t>
  </si>
  <si>
    <t>336</t>
  </si>
  <si>
    <t>273</t>
  </si>
  <si>
    <t>295</t>
  </si>
  <si>
    <t>230</t>
  </si>
  <si>
    <t>153</t>
  </si>
  <si>
    <t>47</t>
  </si>
  <si>
    <t>68</t>
  </si>
  <si>
    <t>52</t>
  </si>
  <si>
    <t>123</t>
  </si>
  <si>
    <t>56</t>
  </si>
  <si>
    <t>570</t>
  </si>
  <si>
    <t>546</t>
  </si>
  <si>
    <t>665</t>
  </si>
  <si>
    <t>434</t>
  </si>
  <si>
    <t>640</t>
  </si>
  <si>
    <t>650</t>
  </si>
  <si>
    <t>1136</t>
  </si>
  <si>
    <t>828</t>
  </si>
  <si>
    <t>681</t>
  </si>
  <si>
    <t>831</t>
  </si>
  <si>
    <t>698</t>
  </si>
  <si>
    <t>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</si>
</sst>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89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wardsheng/Desktop/Users/TEKAIHSU/AppData/Local/Microsoft/Windows/INetCache/Content.Outlook/KGGX7EAZ/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alexkuo\Desktop\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zoomScale="55" zoomScaleNormal="5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65" sqref="F65"/>
    </sheetView>
  </sheetViews>
  <sheetFormatPr defaultColWidth="10" defaultRowHeight="23.15" customHeight="1" x14ac:dyDescent="0.45"/>
  <cols>
    <col min="1" max="2" width="1.90625" style="2" customWidth="1"/>
    <col min="3" max="3" width="35.453125" style="71" customWidth="1"/>
    <col min="4" max="4" width="19" style="300" bestFit="1" customWidth="1"/>
    <col min="5" max="6" width="17.7265625" style="300" bestFit="1" customWidth="1"/>
    <col min="7" max="8" width="20.08984375" style="5" bestFit="1" customWidth="1"/>
    <col min="9" max="9" width="17.7265625" style="5" bestFit="1" customWidth="1"/>
    <col min="10" max="11" width="17.7265625" style="5" customWidth="1"/>
    <col min="12" max="12" width="16.453125" style="5" customWidth="1"/>
    <col min="13" max="39" width="17.7265625" style="5" customWidth="1"/>
    <col min="40" max="40" width="18.6328125" style="5" customWidth="1"/>
    <col min="41" max="41" width="17.26953125" style="2" customWidth="1"/>
    <col min="42" max="43" width="17.7265625" style="2" customWidth="1"/>
    <col min="44" max="44" width="13.26953125" style="2" bestFit="1" customWidth="1"/>
    <col min="45" max="16384" width="10" style="2"/>
  </cols>
  <sheetData>
    <row r="1" spans="1:44" ht="14.25" customHeight="1" x14ac:dyDescent="0.45">
      <c r="C1" s="3"/>
      <c r="D1" s="299"/>
      <c r="E1" s="299"/>
      <c r="K1" s="4"/>
      <c r="AB1" s="4"/>
      <c r="AO1" s="6"/>
    </row>
    <row r="2" spans="1:44" ht="23.15" customHeight="1" thickBot="1" x14ac:dyDescent="0.5">
      <c r="A2" s="7" t="s">
        <v>0</v>
      </c>
      <c r="B2" s="8"/>
      <c r="C2" s="7"/>
      <c r="D2" s="510"/>
      <c r="E2" s="511"/>
      <c r="F2" s="510"/>
      <c r="G2" s="512"/>
      <c r="H2" s="51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 x14ac:dyDescent="0.4">
      <c r="A3" s="580" t="s">
        <v>1</v>
      </c>
      <c r="B3" s="581"/>
      <c r="C3" s="582"/>
      <c r="D3" s="508" t="str">
        <f>YEAR(日期!C2)-1&amp;"/"&amp;MONTH(日期!C2)</f>
        <v>2024/11</v>
      </c>
      <c r="E3" s="508" t="str">
        <f>YEAR(日期!C2)&amp;"/"&amp;MONTH(日期!C2)</f>
        <v>2025/11</v>
      </c>
      <c r="F3" s="509">
        <f>YEAR(日期!C2)</f>
        <v>2025</v>
      </c>
      <c r="G3" s="509">
        <f>YEAR(日期!C2)</f>
        <v>2025</v>
      </c>
      <c r="H3" s="509">
        <f>YEAR(日期!C2)</f>
        <v>2025</v>
      </c>
      <c r="I3" s="526" t="str">
        <f>日期!C2</f>
        <v>2025/11/01</v>
      </c>
      <c r="J3" s="526" t="str">
        <f>日期!D2</f>
        <v>2025/11/02</v>
      </c>
      <c r="K3" s="526" t="str">
        <f>日期!E2</f>
        <v>2025/11/03</v>
      </c>
      <c r="L3" s="526" t="str">
        <f>日期!F2</f>
        <v>2025/11/04</v>
      </c>
      <c r="M3" s="526" t="str">
        <f>日期!G2</f>
        <v>2025/11/05</v>
      </c>
      <c r="N3" s="526" t="str">
        <f>日期!H2</f>
        <v>2025/11/06</v>
      </c>
      <c r="O3" s="526" t="str">
        <f>日期!I2</f>
        <v>2025/11/07</v>
      </c>
      <c r="P3" s="526" t="str">
        <f>日期!J2</f>
        <v>2025/11/08</v>
      </c>
      <c r="Q3" s="526" t="str">
        <f>日期!K2</f>
        <v>2025/11/09</v>
      </c>
      <c r="R3" s="526" t="str">
        <f>日期!L2</f>
        <v>2025/11/10</v>
      </c>
      <c r="S3" s="526" t="str">
        <f>日期!M2</f>
        <v>2025/11/11</v>
      </c>
      <c r="T3" s="526" t="str">
        <f>日期!N2</f>
        <v>2025/11/12</v>
      </c>
      <c r="U3" s="526" t="str">
        <f>日期!O2</f>
        <v>2025/11/13</v>
      </c>
      <c r="V3" s="526" t="str">
        <f>日期!P2</f>
        <v>2025/11/14</v>
      </c>
      <c r="W3" s="526" t="str">
        <f>日期!Q2</f>
        <v>2025/11/15</v>
      </c>
      <c r="X3" s="526" t="str">
        <f>日期!R2</f>
        <v>2025/11/16</v>
      </c>
      <c r="Y3" s="526" t="str">
        <f>日期!S2</f>
        <v>2025/11/17</v>
      </c>
      <c r="Z3" s="526" t="str">
        <f>日期!T2</f>
        <v>2025/11/18</v>
      </c>
      <c r="AA3" s="526" t="str">
        <f>日期!U2</f>
        <v>2025/11/19</v>
      </c>
      <c r="AB3" s="526" t="str">
        <f>日期!V2</f>
        <v>2025/11/20</v>
      </c>
      <c r="AC3" s="526" t="str">
        <f>日期!W2</f>
        <v>2025/11/21</v>
      </c>
      <c r="AD3" s="526" t="str">
        <f>日期!X2</f>
        <v>2025/11/22</v>
      </c>
      <c r="AE3" s="526" t="str">
        <f>日期!Y2</f>
        <v>2025/11/23</v>
      </c>
      <c r="AF3" s="526" t="str">
        <f>日期!Z2</f>
        <v>2025/11/24</v>
      </c>
      <c r="AG3" s="526" t="str">
        <f>日期!AA2</f>
        <v>2025/11/25</v>
      </c>
      <c r="AH3" s="526" t="str">
        <f>日期!AB2</f>
        <v>2025/11/26</v>
      </c>
      <c r="AI3" s="526" t="str">
        <f>日期!AC2</f>
        <v>2025/11/27</v>
      </c>
      <c r="AJ3" s="526" t="str">
        <f>日期!AD2</f>
        <v>2025/11/28</v>
      </c>
      <c r="AK3" s="526" t="str">
        <f>日期!AE2</f>
        <v>2025/11/29</v>
      </c>
      <c r="AL3" s="526" t="str">
        <f>日期!AF2</f>
        <v>2025/11/30</v>
      </c>
      <c r="AM3" s="526">
        <f>日期!AG2</f>
        <v>0</v>
      </c>
      <c r="AN3" s="586" t="s">
        <v>2</v>
      </c>
      <c r="AO3" s="578" t="s">
        <v>3</v>
      </c>
    </row>
    <row r="4" spans="1:44" s="14" customFormat="1" ht="21.4" customHeight="1" thickBot="1" x14ac:dyDescent="0.45">
      <c r="A4" s="583"/>
      <c r="B4" s="584"/>
      <c r="C4" s="585"/>
      <c r="D4" s="504" t="s">
        <v>4</v>
      </c>
      <c r="E4" s="504" t="s">
        <v>5</v>
      </c>
      <c r="F4" s="514" t="s">
        <v>6</v>
      </c>
      <c r="G4" s="514" t="s">
        <v>7</v>
      </c>
      <c r="H4" s="514" t="s">
        <v>8</v>
      </c>
      <c r="I4" s="12" t="str">
        <f>日期!C3</f>
        <v>Sat</v>
      </c>
      <c r="J4" s="12" t="str">
        <f>日期!D3</f>
        <v>Sun</v>
      </c>
      <c r="K4" s="12" t="str">
        <f>日期!E3</f>
        <v>Mon</v>
      </c>
      <c r="L4" s="12" t="str">
        <f>日期!F3</f>
        <v>Tue</v>
      </c>
      <c r="M4" s="12" t="str">
        <f>日期!G3</f>
        <v>Wed</v>
      </c>
      <c r="N4" s="12" t="str">
        <f>日期!H3</f>
        <v>Thu</v>
      </c>
      <c r="O4" s="12" t="str">
        <f>日期!I3</f>
        <v>Fri</v>
      </c>
      <c r="P4" s="12" t="str">
        <f>日期!J3</f>
        <v>Sat</v>
      </c>
      <c r="Q4" s="12" t="str">
        <f>日期!K3</f>
        <v>Sun</v>
      </c>
      <c r="R4" s="12" t="str">
        <f>日期!L3</f>
        <v>Mon</v>
      </c>
      <c r="S4" s="12" t="str">
        <f>日期!M3</f>
        <v>Tue</v>
      </c>
      <c r="T4" s="12" t="str">
        <f>日期!N3</f>
        <v>Wed</v>
      </c>
      <c r="U4" s="12" t="str">
        <f>日期!O3</f>
        <v>Thu</v>
      </c>
      <c r="V4" s="12" t="str">
        <f>日期!P3</f>
        <v>Fri</v>
      </c>
      <c r="W4" s="12" t="str">
        <f>日期!Q3</f>
        <v>Sat</v>
      </c>
      <c r="X4" s="12" t="str">
        <f>日期!R3</f>
        <v>Sun</v>
      </c>
      <c r="Y4" s="12" t="str">
        <f>日期!S3</f>
        <v>Mon</v>
      </c>
      <c r="Z4" s="12" t="str">
        <f>日期!T3</f>
        <v>Tue</v>
      </c>
      <c r="AA4" s="12" t="str">
        <f>日期!U3</f>
        <v>Wed</v>
      </c>
      <c r="AB4" s="12" t="str">
        <f>日期!V3</f>
        <v>Thu</v>
      </c>
      <c r="AC4" s="12" t="str">
        <f>日期!W3</f>
        <v>Fri</v>
      </c>
      <c r="AD4" s="12" t="str">
        <f>日期!X3</f>
        <v>Sat</v>
      </c>
      <c r="AE4" s="12" t="str">
        <f>日期!Y3</f>
        <v>Sun</v>
      </c>
      <c r="AF4" s="12" t="str">
        <f>日期!Z3</f>
        <v>Mon</v>
      </c>
      <c r="AG4" s="12" t="str">
        <f>日期!AA3</f>
        <v>Tue</v>
      </c>
      <c r="AH4" s="12" t="str">
        <f>日期!AB3</f>
        <v>Wed</v>
      </c>
      <c r="AI4" s="12" t="str">
        <f>日期!AC3</f>
        <v>Thu</v>
      </c>
      <c r="AJ4" s="12" t="str">
        <f>日期!AD3</f>
        <v>Fri</v>
      </c>
      <c r="AK4" s="12" t="str">
        <f>日期!AE3</f>
        <v>Sat</v>
      </c>
      <c r="AL4" s="12" t="str">
        <f>日期!AF3</f>
        <v>Sun</v>
      </c>
      <c r="AM4" s="12">
        <f>日期!AG3</f>
        <v>0</v>
      </c>
      <c r="AN4" s="587"/>
      <c r="AO4" s="579"/>
      <c r="AP4" s="13"/>
      <c r="AQ4" s="13"/>
    </row>
    <row r="5" spans="1:44" s="18" customFormat="1" ht="22" customHeight="1" x14ac:dyDescent="0.4">
      <c r="A5" s="588" t="s">
        <v>9</v>
      </c>
      <c r="B5" s="589"/>
      <c r="C5" s="590"/>
      <c r="D5" s="301">
        <f>D6+D13+D18+D26</f>
        <v>571441614.44999695</v>
      </c>
      <c r="E5" s="301">
        <f>E6+E13+E18+E26</f>
        <v>635037454.69018531</v>
      </c>
      <c r="F5" s="301">
        <f>F6+F13+F18+F26</f>
        <v>626270632.40640926</v>
      </c>
      <c r="G5" s="15">
        <f>G6+G13+G18+G26</f>
        <v>581820383</v>
      </c>
      <c r="H5" s="15">
        <f>H6+H13+H18+H26</f>
        <v>593133627</v>
      </c>
      <c r="I5" s="15">
        <f t="shared" ref="I5:AM5" si="0">I6+I13+I18+I26</f>
        <v>530183486</v>
      </c>
      <c r="J5" s="15">
        <f t="shared" si="0"/>
        <v>530179996</v>
      </c>
      <c r="K5" s="15">
        <f t="shared" si="0"/>
        <v>517808957</v>
      </c>
      <c r="L5" s="15">
        <f t="shared" si="0"/>
        <v>520555598</v>
      </c>
      <c r="M5" s="15">
        <f t="shared" si="0"/>
        <v>525148255</v>
      </c>
      <c r="N5" s="15">
        <f t="shared" si="0"/>
        <v>530273437</v>
      </c>
      <c r="O5" s="15">
        <f t="shared" si="0"/>
        <v>539857349</v>
      </c>
      <c r="P5" s="15">
        <f t="shared" si="0"/>
        <v>521004263</v>
      </c>
      <c r="Q5" s="15">
        <f t="shared" si="0"/>
        <v>520998336</v>
      </c>
      <c r="R5" s="15">
        <f t="shared" si="0"/>
        <v>526967337</v>
      </c>
      <c r="S5" s="15">
        <f t="shared" si="0"/>
        <v>517290243</v>
      </c>
      <c r="T5" s="15">
        <f t="shared" si="0"/>
        <v>521517285</v>
      </c>
      <c r="U5" s="15">
        <f t="shared" si="0"/>
        <v>524593218</v>
      </c>
      <c r="V5" s="15">
        <f t="shared" si="0"/>
        <v>540383816</v>
      </c>
      <c r="W5" s="15">
        <f t="shared" si="0"/>
        <v>525344508</v>
      </c>
      <c r="X5" s="15">
        <f t="shared" si="0"/>
        <v>525255710</v>
      </c>
      <c r="Y5" s="15">
        <f t="shared" si="0"/>
        <v>537104244</v>
      </c>
      <c r="Z5" s="15">
        <f t="shared" si="0"/>
        <v>540158831</v>
      </c>
      <c r="AA5" s="15">
        <f t="shared" si="0"/>
        <v>549509998</v>
      </c>
      <c r="AB5" s="15">
        <f t="shared" si="0"/>
        <v>554275642</v>
      </c>
      <c r="AC5" s="15">
        <f t="shared" si="0"/>
        <v>565350390</v>
      </c>
      <c r="AD5" s="15">
        <f t="shared" si="0"/>
        <v>546081990</v>
      </c>
      <c r="AE5" s="15">
        <f t="shared" si="0"/>
        <v>546047717</v>
      </c>
      <c r="AF5" s="15">
        <f t="shared" si="0"/>
        <v>548025835</v>
      </c>
      <c r="AG5" s="15">
        <f t="shared" si="0"/>
        <v>553995759</v>
      </c>
      <c r="AH5" s="15">
        <f t="shared" si="0"/>
        <v>558786457</v>
      </c>
      <c r="AI5" s="15">
        <f t="shared" si="0"/>
        <v>565697372</v>
      </c>
      <c r="AJ5" s="15">
        <f t="shared" si="0"/>
        <v>579310077</v>
      </c>
      <c r="AK5" s="15">
        <f t="shared" si="0"/>
        <v>564149304</v>
      </c>
      <c r="AL5" s="15">
        <f t="shared" si="0"/>
        <v>568624014</v>
      </c>
      <c r="AM5" s="15">
        <f t="shared" si="0"/>
        <v>0</v>
      </c>
      <c r="AN5" s="523">
        <f>AN6+AN13+AN18+AN26</f>
        <v>4474710</v>
      </c>
      <c r="AO5" s="238">
        <f>AO6+AO13+AO18+AO26</f>
        <v>539815980.81000006</v>
      </c>
      <c r="AP5" s="16">
        <f t="shared" ref="AP5:AP13" si="1">AJ5/10000</f>
        <v>57931.007700000002</v>
      </c>
      <c r="AQ5" s="17">
        <f t="shared" ref="AQ5:AQ13" si="2">AO5/10000</f>
        <v>53981.598081000004</v>
      </c>
    </row>
    <row r="6" spans="1:44" s="14" customFormat="1" ht="22" customHeight="1" x14ac:dyDescent="0.4">
      <c r="A6" s="19"/>
      <c r="B6" s="591" t="s">
        <v>10</v>
      </c>
      <c r="C6" s="592"/>
      <c r="D6" s="287">
        <f t="shared" ref="D6:I6" si="3">SUM(D7:D12)</f>
        <v>344228112.38</v>
      </c>
      <c r="E6" s="287">
        <f t="shared" si="3"/>
        <v>329888865.86503339</v>
      </c>
      <c r="F6" s="287">
        <f t="shared" si="3"/>
        <v>333853531.92804283</v>
      </c>
      <c r="G6" s="20">
        <f>SUM(G7:G12)</f>
        <v>329441325</v>
      </c>
      <c r="H6" s="20">
        <f t="shared" si="3"/>
        <v>341402610</v>
      </c>
      <c r="I6" s="20">
        <f t="shared" si="3"/>
        <v>304435961</v>
      </c>
      <c r="J6" s="20">
        <f>SUM(J7:J12)</f>
        <v>304432471</v>
      </c>
      <c r="K6" s="20">
        <f>SUM(K7:K12)</f>
        <v>294289075</v>
      </c>
      <c r="L6" s="20">
        <f t="shared" ref="L6:AO6" si="4">SUM(L7:L12)</f>
        <v>298192952</v>
      </c>
      <c r="M6" s="20">
        <f t="shared" si="4"/>
        <v>303277152</v>
      </c>
      <c r="N6" s="20">
        <f t="shared" si="4"/>
        <v>309827194</v>
      </c>
      <c r="O6" s="20">
        <f t="shared" si="4"/>
        <v>315769223</v>
      </c>
      <c r="P6" s="20">
        <f t="shared" si="4"/>
        <v>301677066</v>
      </c>
      <c r="Q6" s="20">
        <f t="shared" si="4"/>
        <v>301676920</v>
      </c>
      <c r="R6" s="20">
        <f t="shared" si="4"/>
        <v>306837011</v>
      </c>
      <c r="S6" s="20">
        <f t="shared" si="4"/>
        <v>301108814</v>
      </c>
      <c r="T6" s="20">
        <f t="shared" si="4"/>
        <v>303373447</v>
      </c>
      <c r="U6" s="20">
        <f t="shared" si="4"/>
        <v>304382178</v>
      </c>
      <c r="V6" s="20">
        <f t="shared" si="4"/>
        <v>317012063</v>
      </c>
      <c r="W6" s="20">
        <f t="shared" si="4"/>
        <v>307328300</v>
      </c>
      <c r="X6" s="20">
        <f t="shared" si="4"/>
        <v>307241550</v>
      </c>
      <c r="Y6" s="20">
        <f t="shared" si="4"/>
        <v>316693430</v>
      </c>
      <c r="Z6" s="20">
        <f t="shared" si="4"/>
        <v>318483787</v>
      </c>
      <c r="AA6" s="20">
        <f t="shared" si="4"/>
        <v>326531352</v>
      </c>
      <c r="AB6" s="20">
        <f t="shared" si="4"/>
        <v>328751463</v>
      </c>
      <c r="AC6" s="20">
        <f t="shared" si="4"/>
        <v>339047444</v>
      </c>
      <c r="AD6" s="20">
        <f t="shared" si="4"/>
        <v>324250067</v>
      </c>
      <c r="AE6" s="20">
        <f t="shared" si="4"/>
        <v>324217214</v>
      </c>
      <c r="AF6" s="20">
        <f t="shared" si="4"/>
        <v>325408891</v>
      </c>
      <c r="AG6" s="20">
        <f t="shared" si="4"/>
        <v>333553293</v>
      </c>
      <c r="AH6" s="20">
        <f t="shared" si="4"/>
        <v>337816974</v>
      </c>
      <c r="AI6" s="20">
        <f t="shared" si="4"/>
        <v>340664030</v>
      </c>
      <c r="AJ6" s="20">
        <f t="shared" si="4"/>
        <v>352970225</v>
      </c>
      <c r="AK6" s="20">
        <f t="shared" si="4"/>
        <v>344216207</v>
      </c>
      <c r="AL6" s="20">
        <f t="shared" si="4"/>
        <v>348168007</v>
      </c>
      <c r="AM6" s="20">
        <f t="shared" si="4"/>
        <v>0</v>
      </c>
      <c r="AN6" s="524">
        <f t="shared" si="4"/>
        <v>3951800</v>
      </c>
      <c r="AO6" s="21">
        <f t="shared" si="4"/>
        <v>318054458.69999999</v>
      </c>
      <c r="AP6" s="16">
        <f t="shared" si="1"/>
        <v>35297.022499999999</v>
      </c>
      <c r="AQ6" s="17">
        <f t="shared" si="2"/>
        <v>31805.44587</v>
      </c>
      <c r="AR6" s="22"/>
    </row>
    <row r="7" spans="1:44" s="14" customFormat="1" ht="22" customHeight="1" x14ac:dyDescent="0.45">
      <c r="A7" s="23"/>
      <c r="B7" s="24"/>
      <c r="C7" s="25" t="s">
        <v>11</v>
      </c>
      <c r="D7" s="309">
        <f>HLOOKUP(MONTH(日期!$C$2),去年月推移!$D$1:$O$33,5,TRUE)</f>
        <v>294436778.38999999</v>
      </c>
      <c r="E7" s="309">
        <f>HLOOKUP(MONTH(日期!$C$2),當年目標設定!$D$1:$O$33,5,TRUE)</f>
        <v>286691574.37752742</v>
      </c>
      <c r="F7" s="308">
        <f>HLOOKUP(MONTH(日期!$C$2),當年目標設定!$R$1:$AC$33,5,TRUE)</f>
        <v>289946034.13528299</v>
      </c>
      <c r="G7" s="308">
        <f>當年月推移!P5</f>
        <v>285508585</v>
      </c>
      <c r="H7" s="308">
        <f>當年月推移!P39</f>
        <v>288901956</v>
      </c>
      <c r="I7" s="27">
        <f>VALUE(庫存金額!C2)</f>
        <v>262687805</v>
      </c>
      <c r="J7" s="27">
        <f>VALUE(庫存金額!D2)</f>
        <v>262684315</v>
      </c>
      <c r="K7" s="27">
        <f>VALUE(庫存金額!E2)</f>
        <v>257251293</v>
      </c>
      <c r="L7" s="27">
        <f>VALUE(庫存金額!F2)</f>
        <v>258748509</v>
      </c>
      <c r="M7" s="27">
        <f>VALUE(庫存金額!G2)</f>
        <v>265248840</v>
      </c>
      <c r="N7" s="27">
        <f>VALUE(庫存金額!H2)</f>
        <v>268901539</v>
      </c>
      <c r="O7" s="27">
        <f>VALUE(庫存金額!I2)</f>
        <v>273687918</v>
      </c>
      <c r="P7" s="27">
        <f>VALUE(庫存金額!J2)</f>
        <v>267260884</v>
      </c>
      <c r="Q7" s="27">
        <f>VALUE(庫存金額!K2)</f>
        <v>267260738</v>
      </c>
      <c r="R7" s="27">
        <f>VALUE(庫存金額!L2)</f>
        <v>271114899</v>
      </c>
      <c r="S7" s="27">
        <f>VALUE(庫存金額!M2)</f>
        <v>263905202</v>
      </c>
      <c r="T7" s="27">
        <f>VALUE(庫存金額!N2)</f>
        <v>266752037</v>
      </c>
      <c r="U7" s="27">
        <f>VALUE(庫存金額!O2)</f>
        <v>266422974</v>
      </c>
      <c r="V7" s="27">
        <f>VALUE(庫存金額!P2)</f>
        <v>273456319</v>
      </c>
      <c r="W7" s="27">
        <f>VALUE(庫存金額!Q2)</f>
        <v>272023248</v>
      </c>
      <c r="X7" s="27">
        <f>VALUE(庫存金額!R2)</f>
        <v>271937833</v>
      </c>
      <c r="Y7" s="27">
        <f>VALUE(庫存金額!S2)</f>
        <v>277318962</v>
      </c>
      <c r="Z7" s="27">
        <f>VALUE(庫存金額!T2)</f>
        <v>276516681</v>
      </c>
      <c r="AA7" s="27">
        <f>VALUE(庫存金額!U2)</f>
        <v>281909936</v>
      </c>
      <c r="AB7" s="27">
        <f>VALUE(庫存金額!V2)</f>
        <v>282059059</v>
      </c>
      <c r="AC7" s="27">
        <f>VALUE(庫存金額!W2)</f>
        <v>289317694</v>
      </c>
      <c r="AD7" s="27">
        <f>VALUE(庫存金額!X2)</f>
        <v>283335785</v>
      </c>
      <c r="AE7" s="27">
        <f>VALUE(庫存金額!Y2)</f>
        <v>283306908</v>
      </c>
      <c r="AF7" s="27">
        <f>VALUE(庫存金額!Z2)</f>
        <v>286389415</v>
      </c>
      <c r="AG7" s="27">
        <f>VALUE(庫存金額!AA2)</f>
        <v>291834765</v>
      </c>
      <c r="AH7" s="27">
        <f>VALUE(庫存金額!AB2)</f>
        <v>294256357</v>
      </c>
      <c r="AI7" s="27">
        <f>VALUE(庫存金額!AC2)</f>
        <v>296427031</v>
      </c>
      <c r="AJ7" s="27">
        <f>VALUE(庫存金額!AD2)</f>
        <v>302730044</v>
      </c>
      <c r="AK7" s="27">
        <f>VALUE(庫存金額!AE2)</f>
        <v>300653937</v>
      </c>
      <c r="AL7" s="27">
        <f>VALUE(庫存金額!AF2)</f>
        <v>300936741</v>
      </c>
      <c r="AM7" s="27">
        <f>VALUE(庫存金額!AG2)</f>
        <v>0</v>
      </c>
      <c r="AN7" s="27">
        <f>VALUE(庫存金額!AH2)</f>
        <v>282804</v>
      </c>
      <c r="AO7" s="27">
        <f>VALUE(庫存金額!AI2)</f>
        <v>277211255.60000002</v>
      </c>
      <c r="AP7" s="16">
        <f t="shared" si="1"/>
        <v>30273.004400000002</v>
      </c>
      <c r="AQ7" s="17">
        <f t="shared" si="2"/>
        <v>27721.125560000004</v>
      </c>
      <c r="AR7" s="22"/>
    </row>
    <row r="8" spans="1:44" s="14" customFormat="1" ht="22" customHeight="1" x14ac:dyDescent="0.45">
      <c r="A8" s="23"/>
      <c r="B8" s="24"/>
      <c r="C8" s="25" t="s">
        <v>12</v>
      </c>
      <c r="D8" s="309">
        <f>HLOOKUP(MONTH(日期!$C$2),去年月推移!$D$1:$O$33,6,TRUE)</f>
        <v>6366239.7300000004</v>
      </c>
      <c r="E8" s="309">
        <f>HLOOKUP(MONTH(日期!$C$2),當年目標設定!$D$1:$O$33,6,TRUE)</f>
        <v>5870618.0425402503</v>
      </c>
      <c r="F8" s="308">
        <f>HLOOKUP(MONTH(日期!$C$2),當年目標設定!$R$1:$AC$33,6,TRUE)</f>
        <v>5935689.7351796757</v>
      </c>
      <c r="G8" s="308">
        <f>當年月推移!$P6</f>
        <v>5838219</v>
      </c>
      <c r="H8" s="308">
        <f>當年月推移!P40</f>
        <v>6820917</v>
      </c>
      <c r="I8" s="27">
        <f>VALUE(庫存金額!C4)</f>
        <v>5830388</v>
      </c>
      <c r="J8" s="27">
        <f>VALUE(庫存金額!D4)</f>
        <v>5830388</v>
      </c>
      <c r="K8" s="27">
        <f>VALUE(庫存金額!E4)</f>
        <v>4479838</v>
      </c>
      <c r="L8" s="27">
        <f>VALUE(庫存金額!F4)</f>
        <v>5173211</v>
      </c>
      <c r="M8" s="27">
        <f>VALUE(庫存金額!G4)</f>
        <v>5042080</v>
      </c>
      <c r="N8" s="27">
        <f>VALUE(庫存金額!H4)</f>
        <v>8421608</v>
      </c>
      <c r="O8" s="27">
        <f>VALUE(庫存金額!I4)</f>
        <v>6790597</v>
      </c>
      <c r="P8" s="27">
        <f>VALUE(庫存金額!J4)</f>
        <v>5041653</v>
      </c>
      <c r="Q8" s="27">
        <f>VALUE(庫存金額!K4)</f>
        <v>5041653</v>
      </c>
      <c r="R8" s="27">
        <f>VALUE(庫存金額!L4)</f>
        <v>4851437</v>
      </c>
      <c r="S8" s="27">
        <f>VALUE(庫存金額!M4)</f>
        <v>6316047</v>
      </c>
      <c r="T8" s="27">
        <f>VALUE(庫存金額!N4)</f>
        <v>4848243</v>
      </c>
      <c r="U8" s="27">
        <f>VALUE(庫存金額!O4)</f>
        <v>4373757</v>
      </c>
      <c r="V8" s="27">
        <f>VALUE(庫存金額!P4)</f>
        <v>5829268</v>
      </c>
      <c r="W8" s="27">
        <f>VALUE(庫存金額!Q4)</f>
        <v>3945779</v>
      </c>
      <c r="X8" s="27">
        <f>VALUE(庫存金額!R4)</f>
        <v>3945779</v>
      </c>
      <c r="Y8" s="27">
        <f>VALUE(庫存金額!S4)</f>
        <v>4926950</v>
      </c>
      <c r="Z8" s="27">
        <f>VALUE(庫存金額!T4)</f>
        <v>4682123</v>
      </c>
      <c r="AA8" s="27">
        <f>VALUE(庫存金額!U4)</f>
        <v>4987182</v>
      </c>
      <c r="AB8" s="27">
        <f>VALUE(庫存金額!V4)</f>
        <v>5586909</v>
      </c>
      <c r="AC8" s="27">
        <f>VALUE(庫存金額!W4)</f>
        <v>6930136</v>
      </c>
      <c r="AD8" s="27">
        <f>VALUE(庫存金額!X4)</f>
        <v>4730047</v>
      </c>
      <c r="AE8" s="27">
        <f>VALUE(庫存金額!Y4)</f>
        <v>4730047</v>
      </c>
      <c r="AF8" s="27">
        <f>VALUE(庫存金額!Z4)</f>
        <v>4056919</v>
      </c>
      <c r="AG8" s="27">
        <f>VALUE(庫存金額!AA4)</f>
        <v>5354561</v>
      </c>
      <c r="AH8" s="27">
        <f>VALUE(庫存金額!AB4)</f>
        <v>5251216</v>
      </c>
      <c r="AI8" s="27">
        <f>VALUE(庫存金額!AC4)</f>
        <v>5118792</v>
      </c>
      <c r="AJ8" s="27">
        <f>VALUE(庫存金額!AD4)</f>
        <v>8001660</v>
      </c>
      <c r="AK8" s="27">
        <f>VALUE(庫存金額!AE4)</f>
        <v>5972056</v>
      </c>
      <c r="AL8" s="27">
        <f>VALUE(庫存金額!AF4)</f>
        <v>5972056</v>
      </c>
      <c r="AM8" s="27">
        <f>VALUE(庫存金額!AG4)</f>
        <v>0</v>
      </c>
      <c r="AN8" s="27">
        <f>VALUE(庫存金額!AH4)</f>
        <v>0</v>
      </c>
      <c r="AO8" s="27">
        <f>VALUE(庫存金額!AI4)</f>
        <v>5402079.3300000001</v>
      </c>
      <c r="AP8" s="16">
        <f t="shared" si="1"/>
        <v>800.16600000000005</v>
      </c>
      <c r="AQ8" s="17">
        <f t="shared" si="2"/>
        <v>540.20793300000003</v>
      </c>
      <c r="AR8" s="22"/>
    </row>
    <row r="9" spans="1:44" s="14" customFormat="1" ht="22" customHeight="1" x14ac:dyDescent="0.45">
      <c r="A9" s="23"/>
      <c r="B9" s="24"/>
      <c r="C9" s="25" t="s">
        <v>13</v>
      </c>
      <c r="D9" s="309">
        <f>HLOOKUP(MONTH(日期!$C$2),去年月推移!$D$1:$O$33,7,TRUE)</f>
        <v>11121668.83</v>
      </c>
      <c r="E9" s="309">
        <f>HLOOKUP(MONTH(日期!$C$2),當年目標設定!$D$1:$O$33,7,TRUE)</f>
        <v>7096237.7060345002</v>
      </c>
      <c r="F9" s="308">
        <f>HLOOKUP(MONTH(日期!$C$2),當年目標設定!$R$1:$AC$33,7,TRUE)</f>
        <v>7840770.5062500257</v>
      </c>
      <c r="G9" s="308">
        <f>當年月推移!$P7</f>
        <v>6907720</v>
      </c>
      <c r="H9" s="308">
        <f>當年月推移!P41</f>
        <v>6665347</v>
      </c>
      <c r="I9" s="27">
        <f>VALUE(庫存金額!C5)</f>
        <v>4829176</v>
      </c>
      <c r="J9" s="27">
        <f>VALUE(庫存金額!D5)</f>
        <v>4829176</v>
      </c>
      <c r="K9" s="27">
        <f>VALUE(庫存金額!E5)</f>
        <v>4695705</v>
      </c>
      <c r="L9" s="27">
        <f>VALUE(庫存金額!F5)</f>
        <v>4696738</v>
      </c>
      <c r="M9" s="27">
        <f>VALUE(庫存金額!G5)</f>
        <v>4093036</v>
      </c>
      <c r="N9" s="27">
        <f>VALUE(庫存金額!H5)</f>
        <v>4118911</v>
      </c>
      <c r="O9" s="27">
        <f>VALUE(庫存金額!I5)</f>
        <v>4156526</v>
      </c>
      <c r="P9" s="27">
        <f>VALUE(庫存金額!J5)</f>
        <v>4131199</v>
      </c>
      <c r="Q9" s="27">
        <f>VALUE(庫存金額!K5)</f>
        <v>4131199</v>
      </c>
      <c r="R9" s="27">
        <f>VALUE(庫存金額!L5)</f>
        <v>4028595</v>
      </c>
      <c r="S9" s="27">
        <f>VALUE(庫存金額!M5)</f>
        <v>4001356</v>
      </c>
      <c r="T9" s="27">
        <f>VALUE(庫存金額!N5)</f>
        <v>3878613</v>
      </c>
      <c r="U9" s="27">
        <f>VALUE(庫存金額!O5)</f>
        <v>3848954</v>
      </c>
      <c r="V9" s="27">
        <f>VALUE(庫存金額!P5)</f>
        <v>3828871</v>
      </c>
      <c r="W9" s="27">
        <f>VALUE(庫存金額!Q5)</f>
        <v>3780173</v>
      </c>
      <c r="X9" s="27">
        <f>VALUE(庫存金額!R5)</f>
        <v>3780173</v>
      </c>
      <c r="Y9" s="27">
        <f>VALUE(庫存金額!S5)</f>
        <v>3737352</v>
      </c>
      <c r="Z9" s="27">
        <f>VALUE(庫存金額!T5)</f>
        <v>3681057</v>
      </c>
      <c r="AA9" s="27">
        <f>VALUE(庫存金額!U5)</f>
        <v>3666542</v>
      </c>
      <c r="AB9" s="27">
        <f>VALUE(庫存金額!V5)</f>
        <v>3969081</v>
      </c>
      <c r="AC9" s="27">
        <f>VALUE(庫存金額!W5)</f>
        <v>4201457</v>
      </c>
      <c r="AD9" s="27">
        <f>VALUE(庫存金額!X5)</f>
        <v>4208655</v>
      </c>
      <c r="AE9" s="27">
        <f>VALUE(庫存金額!Y5)</f>
        <v>4208655</v>
      </c>
      <c r="AF9" s="27">
        <f>VALUE(庫存金額!Z5)</f>
        <v>4323148</v>
      </c>
      <c r="AG9" s="27">
        <f>VALUE(庫存金額!AA5)</f>
        <v>4251793</v>
      </c>
      <c r="AH9" s="27">
        <f>VALUE(庫存金額!AB5)</f>
        <v>4299320</v>
      </c>
      <c r="AI9" s="27">
        <f>VALUE(庫存金額!AC5)</f>
        <v>4321354</v>
      </c>
      <c r="AJ9" s="27">
        <f>VALUE(庫存金額!AD5)</f>
        <v>4312953</v>
      </c>
      <c r="AK9" s="27">
        <f>VALUE(庫存金額!AE5)</f>
        <v>4279276</v>
      </c>
      <c r="AL9" s="27">
        <f>VALUE(庫存金額!AF5)</f>
        <v>4279276</v>
      </c>
      <c r="AM9" s="27">
        <f>VALUE(庫存金額!AG5)</f>
        <v>0</v>
      </c>
      <c r="AN9" s="27">
        <f>VALUE(庫存金額!AH5)</f>
        <v>0</v>
      </c>
      <c r="AO9" s="27">
        <f>VALUE(庫存金額!AI5)</f>
        <v>4152277.33</v>
      </c>
      <c r="AP9" s="16">
        <f t="shared" si="1"/>
        <v>431.2953</v>
      </c>
      <c r="AQ9" s="17">
        <f t="shared" si="2"/>
        <v>415.227733</v>
      </c>
      <c r="AR9" s="22"/>
    </row>
    <row r="10" spans="1:44" s="14" customFormat="1" ht="22" customHeight="1" x14ac:dyDescent="0.45">
      <c r="A10" s="23"/>
      <c r="B10" s="24"/>
      <c r="C10" s="25" t="s">
        <v>14</v>
      </c>
      <c r="D10" s="309">
        <f>HLOOKUP(MONTH(日期!$C$2),去年月推移!$D$1:$O$33,8,TRUE)</f>
        <v>19973997.23</v>
      </c>
      <c r="E10" s="309">
        <f>HLOOKUP(MONTH(日期!$C$2),當年目標設定!$D$1:$O$33,8,TRUE)</f>
        <v>19461750.521774001</v>
      </c>
      <c r="F10" s="308">
        <f>HLOOKUP(MONTH(日期!$C$2),當年目標設定!$R$1:$AC$33,8,TRUE)</f>
        <v>18592219.394821547</v>
      </c>
      <c r="G10" s="308">
        <f>當年月推移!$P8</f>
        <v>19792920</v>
      </c>
      <c r="H10" s="308">
        <f>當年月推移!P42</f>
        <v>20929983</v>
      </c>
      <c r="I10" s="27">
        <f>VALUE(庫存金額!C6)</f>
        <v>17171643</v>
      </c>
      <c r="J10" s="27">
        <f>VALUE(庫存金額!D6)</f>
        <v>17171643</v>
      </c>
      <c r="K10" s="27">
        <f>VALUE(庫存金額!E6)</f>
        <v>16706554</v>
      </c>
      <c r="L10" s="27">
        <f>VALUE(庫存金額!F6)</f>
        <v>16152570</v>
      </c>
      <c r="M10" s="27">
        <f>VALUE(庫存金額!G6)</f>
        <v>16104321</v>
      </c>
      <c r="N10" s="27">
        <f>VALUE(庫存金額!H6)</f>
        <v>15885297</v>
      </c>
      <c r="O10" s="27">
        <f>VALUE(庫存金額!I6)</f>
        <v>19216136</v>
      </c>
      <c r="P10" s="27">
        <f>VALUE(庫存金額!J6)</f>
        <v>16932734</v>
      </c>
      <c r="Q10" s="27">
        <f>VALUE(庫存金額!K6)</f>
        <v>16932734</v>
      </c>
      <c r="R10" s="27">
        <f>VALUE(庫存金額!L6)</f>
        <v>17570775</v>
      </c>
      <c r="S10" s="27">
        <f>VALUE(庫存金額!M6)</f>
        <v>16725248</v>
      </c>
      <c r="T10" s="27">
        <f>VALUE(庫存金額!N6)</f>
        <v>17067548</v>
      </c>
      <c r="U10" s="27">
        <f>VALUE(庫存金額!O6)</f>
        <v>17278097</v>
      </c>
      <c r="V10" s="27">
        <f>VALUE(庫存金額!P6)</f>
        <v>20358175</v>
      </c>
      <c r="W10" s="27">
        <f>VALUE(庫存金額!Q6)</f>
        <v>17927775</v>
      </c>
      <c r="X10" s="27">
        <f>VALUE(庫存金額!R6)</f>
        <v>17926440</v>
      </c>
      <c r="Y10" s="27">
        <f>VALUE(庫存金額!S6)</f>
        <v>19585347</v>
      </c>
      <c r="Z10" s="27">
        <f>VALUE(庫存金額!T6)</f>
        <v>21785334</v>
      </c>
      <c r="AA10" s="27">
        <f>VALUE(庫存金額!U6)</f>
        <v>22046091</v>
      </c>
      <c r="AB10" s="27">
        <f>VALUE(庫存金額!V6)</f>
        <v>23454224</v>
      </c>
      <c r="AC10" s="27">
        <f>VALUE(庫存金額!W6)</f>
        <v>23351486</v>
      </c>
      <c r="AD10" s="27">
        <f>VALUE(庫存金額!X6)</f>
        <v>20785898</v>
      </c>
      <c r="AE10" s="27">
        <f>VALUE(庫存金額!Y6)</f>
        <v>20781922</v>
      </c>
      <c r="AF10" s="27">
        <f>VALUE(庫存金額!Z6)</f>
        <v>20109012</v>
      </c>
      <c r="AG10" s="27">
        <f>VALUE(庫存金額!AA6)</f>
        <v>20253486</v>
      </c>
      <c r="AH10" s="27">
        <f>VALUE(庫存金額!AB6)</f>
        <v>21205193</v>
      </c>
      <c r="AI10" s="27">
        <f>VALUE(庫存金額!AC6)</f>
        <v>22273508</v>
      </c>
      <c r="AJ10" s="27">
        <f>VALUE(庫存金額!AD6)</f>
        <v>23705661</v>
      </c>
      <c r="AK10" s="27">
        <f>VALUE(庫存金額!AE6)</f>
        <v>21318297</v>
      </c>
      <c r="AL10" s="27">
        <f>VALUE(庫存金額!AF6)</f>
        <v>21316366</v>
      </c>
      <c r="AM10" s="27">
        <f>VALUE(庫存金額!AG6)</f>
        <v>0</v>
      </c>
      <c r="AN10" s="27">
        <f>VALUE(庫存金額!AH6)</f>
        <v>-1931</v>
      </c>
      <c r="AO10" s="27">
        <f>VALUE(庫存金額!AI6)</f>
        <v>19303317.170000002</v>
      </c>
      <c r="AP10" s="16">
        <f t="shared" si="1"/>
        <v>2370.5661</v>
      </c>
      <c r="AQ10" s="17">
        <f t="shared" si="2"/>
        <v>1930.3317170000003</v>
      </c>
      <c r="AR10" s="22"/>
    </row>
    <row r="11" spans="1:44" s="14" customFormat="1" ht="22" customHeight="1" x14ac:dyDescent="0.45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2" customHeight="1" x14ac:dyDescent="0.45">
      <c r="A12" s="23"/>
      <c r="B12" s="28"/>
      <c r="C12" s="25" t="s">
        <v>16</v>
      </c>
      <c r="D12" s="309">
        <f>HLOOKUP(MONTH(日期!$C$2),去年月推移!$D$1:$O$33,10,TRUE)</f>
        <v>12329428.199999999</v>
      </c>
      <c r="E12" s="309">
        <f>HLOOKUP(MONTH(日期!$C$2),當年目標設定!$D$1:$O$33,10,TRUE)</f>
        <v>10768685.21715725</v>
      </c>
      <c r="F12" s="308">
        <f>HLOOKUP(MONTH(日期!$C$2),當年目標設定!$R$1:$AC$33,10,TRUE)</f>
        <v>11538818.156508598</v>
      </c>
      <c r="G12" s="308">
        <f>當年月推移!$P10</f>
        <v>11393881</v>
      </c>
      <c r="H12" s="308">
        <f>當年月推移!P44</f>
        <v>18084407</v>
      </c>
      <c r="I12" s="27">
        <f>VALUE(庫存金額!C8)</f>
        <v>13916949</v>
      </c>
      <c r="J12" s="27">
        <f>VALUE(庫存金額!D8)</f>
        <v>13916949</v>
      </c>
      <c r="K12" s="27">
        <f>VALUE(庫存金額!E8)</f>
        <v>11155685</v>
      </c>
      <c r="L12" s="27">
        <f>VALUE(庫存金額!F8)</f>
        <v>13421924</v>
      </c>
      <c r="M12" s="27">
        <f>VALUE(庫存金額!G8)</f>
        <v>12788875</v>
      </c>
      <c r="N12" s="27">
        <f>VALUE(庫存金額!H8)</f>
        <v>12499839</v>
      </c>
      <c r="O12" s="27">
        <f>VALUE(庫存金額!I8)</f>
        <v>11918046</v>
      </c>
      <c r="P12" s="27">
        <f>VALUE(庫存金額!J8)</f>
        <v>8310596</v>
      </c>
      <c r="Q12" s="27">
        <f>VALUE(庫存金額!K8)</f>
        <v>8310596</v>
      </c>
      <c r="R12" s="27">
        <f>VALUE(庫存金額!L8)</f>
        <v>9271305</v>
      </c>
      <c r="S12" s="27">
        <f>VALUE(庫存金額!M8)</f>
        <v>10160961</v>
      </c>
      <c r="T12" s="27">
        <f>VALUE(庫存金額!N8)</f>
        <v>10827006</v>
      </c>
      <c r="U12" s="27">
        <f>VALUE(庫存金額!O8)</f>
        <v>12458396</v>
      </c>
      <c r="V12" s="27">
        <f>VALUE(庫存金額!P8)</f>
        <v>13539430</v>
      </c>
      <c r="W12" s="27">
        <f>VALUE(庫存金額!Q8)</f>
        <v>9651325</v>
      </c>
      <c r="X12" s="27">
        <f>VALUE(庫存金額!R8)</f>
        <v>9651325</v>
      </c>
      <c r="Y12" s="27">
        <f>VALUE(庫存金額!S8)</f>
        <v>11124819</v>
      </c>
      <c r="Z12" s="27">
        <f>VALUE(庫存金額!T8)</f>
        <v>11818592</v>
      </c>
      <c r="AA12" s="27">
        <f>VALUE(庫存金額!U8)</f>
        <v>13921601</v>
      </c>
      <c r="AB12" s="27">
        <f>VALUE(庫存金額!V8)</f>
        <v>13682190</v>
      </c>
      <c r="AC12" s="27">
        <f>VALUE(庫存金額!W8)</f>
        <v>15246671</v>
      </c>
      <c r="AD12" s="27">
        <f>VALUE(庫存金額!X8)</f>
        <v>11189682</v>
      </c>
      <c r="AE12" s="27">
        <f>VALUE(庫存金額!Y8)</f>
        <v>11189682</v>
      </c>
      <c r="AF12" s="27">
        <f>VALUE(庫存金額!Z8)</f>
        <v>10530397</v>
      </c>
      <c r="AG12" s="27">
        <f>VALUE(庫存金額!AA8)</f>
        <v>11858688</v>
      </c>
      <c r="AH12" s="27">
        <f>VALUE(庫存金額!AB8)</f>
        <v>12804888</v>
      </c>
      <c r="AI12" s="27">
        <f>VALUE(庫存金額!AC8)</f>
        <v>12523345</v>
      </c>
      <c r="AJ12" s="27">
        <f>VALUE(庫存金額!AD8)</f>
        <v>14219907</v>
      </c>
      <c r="AK12" s="27">
        <f>VALUE(庫存金額!AE8)</f>
        <v>11992641</v>
      </c>
      <c r="AL12" s="27">
        <f>VALUE(庫存金額!AF8)</f>
        <v>15663568</v>
      </c>
      <c r="AM12" s="27">
        <f>VALUE(庫存金額!AG8)</f>
        <v>0</v>
      </c>
      <c r="AN12" s="27">
        <f>VALUE(庫存金額!AH8)</f>
        <v>3670927</v>
      </c>
      <c r="AO12" s="27">
        <f>VALUE(庫存金額!AI8)</f>
        <v>11985529.27</v>
      </c>
      <c r="AP12" s="16">
        <f t="shared" si="1"/>
        <v>1421.9907000000001</v>
      </c>
      <c r="AQ12" s="17">
        <f t="shared" si="2"/>
        <v>1198.552927</v>
      </c>
      <c r="AR12" s="22"/>
    </row>
    <row r="13" spans="1:44" s="14" customFormat="1" ht="22" customHeight="1" x14ac:dyDescent="0.45">
      <c r="A13" s="23"/>
      <c r="B13" s="593" t="s">
        <v>17</v>
      </c>
      <c r="C13" s="594"/>
      <c r="D13" s="323">
        <f t="shared" ref="D13:I13" si="5">SUM(D14:D17)</f>
        <v>9309205.9699999988</v>
      </c>
      <c r="E13" s="323">
        <f t="shared" si="5"/>
        <v>10647960.541423749</v>
      </c>
      <c r="F13" s="323">
        <f t="shared" si="5"/>
        <v>11614361.4949487</v>
      </c>
      <c r="G13" s="323">
        <f t="shared" si="5"/>
        <v>2750195</v>
      </c>
      <c r="H13" s="323">
        <f t="shared" si="5"/>
        <v>2770536</v>
      </c>
      <c r="I13" s="20">
        <f t="shared" si="5"/>
        <v>9470986</v>
      </c>
      <c r="J13" s="20">
        <f t="shared" ref="J13:AO13" si="6">SUM(J14:J17)</f>
        <v>9470986</v>
      </c>
      <c r="K13" s="20">
        <f t="shared" si="6"/>
        <v>11777820</v>
      </c>
      <c r="L13" s="20">
        <f t="shared" si="6"/>
        <v>11582109</v>
      </c>
      <c r="M13" s="20">
        <f t="shared" si="6"/>
        <v>10606444</v>
      </c>
      <c r="N13" s="20">
        <f t="shared" si="6"/>
        <v>8625283</v>
      </c>
      <c r="O13" s="20">
        <f t="shared" si="6"/>
        <v>9200723</v>
      </c>
      <c r="P13" s="20">
        <f t="shared" si="6"/>
        <v>8043788</v>
      </c>
      <c r="Q13" s="20">
        <f t="shared" si="6"/>
        <v>8043788</v>
      </c>
      <c r="R13" s="20">
        <f t="shared" si="6"/>
        <v>7801496</v>
      </c>
      <c r="S13" s="20">
        <f t="shared" si="6"/>
        <v>7519614</v>
      </c>
      <c r="T13" s="20">
        <f t="shared" si="6"/>
        <v>9301890</v>
      </c>
      <c r="U13" s="20">
        <f t="shared" si="6"/>
        <v>9749494</v>
      </c>
      <c r="V13" s="20">
        <f t="shared" si="6"/>
        <v>8895550</v>
      </c>
      <c r="W13" s="20">
        <f t="shared" si="6"/>
        <v>7149015</v>
      </c>
      <c r="X13" s="20">
        <f t="shared" si="6"/>
        <v>7146967</v>
      </c>
      <c r="Y13" s="20">
        <f t="shared" si="6"/>
        <v>10477352</v>
      </c>
      <c r="Z13" s="20">
        <f t="shared" si="6"/>
        <v>12831208</v>
      </c>
      <c r="AA13" s="20">
        <f t="shared" si="6"/>
        <v>12515057</v>
      </c>
      <c r="AB13" s="20">
        <f t="shared" si="6"/>
        <v>13904712</v>
      </c>
      <c r="AC13" s="20">
        <f t="shared" si="6"/>
        <v>13092802</v>
      </c>
      <c r="AD13" s="20">
        <f t="shared" si="6"/>
        <v>11426148</v>
      </c>
      <c r="AE13" s="20">
        <f t="shared" si="6"/>
        <v>11424728</v>
      </c>
      <c r="AF13" s="20">
        <f t="shared" si="6"/>
        <v>11054361</v>
      </c>
      <c r="AG13" s="20">
        <f t="shared" si="6"/>
        <v>11124419</v>
      </c>
      <c r="AH13" s="20">
        <f t="shared" si="6"/>
        <v>9689895</v>
      </c>
      <c r="AI13" s="20">
        <f t="shared" si="6"/>
        <v>11509543</v>
      </c>
      <c r="AJ13" s="20">
        <f t="shared" si="6"/>
        <v>12907018</v>
      </c>
      <c r="AK13" s="20">
        <f t="shared" si="6"/>
        <v>11248676</v>
      </c>
      <c r="AL13" s="20">
        <f t="shared" si="6"/>
        <v>11248676</v>
      </c>
      <c r="AM13" s="20">
        <f t="shared" si="6"/>
        <v>0</v>
      </c>
      <c r="AN13" s="20">
        <f t="shared" si="6"/>
        <v>0</v>
      </c>
      <c r="AO13" s="20">
        <f t="shared" si="6"/>
        <v>10294684.939999999</v>
      </c>
      <c r="AP13" s="16">
        <f t="shared" si="1"/>
        <v>1290.7018</v>
      </c>
      <c r="AQ13" s="17">
        <f t="shared" si="2"/>
        <v>1029.468494</v>
      </c>
    </row>
    <row r="14" spans="1:44" s="14" customFormat="1" ht="22" customHeight="1" x14ac:dyDescent="0.45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2" customHeight="1" x14ac:dyDescent="0.45">
      <c r="A15" s="23"/>
      <c r="B15" s="24"/>
      <c r="C15" s="29" t="s">
        <v>19</v>
      </c>
      <c r="D15" s="309">
        <f>HLOOKUP(MONTH(日期!$C$2),去年月推移!$D$1:$O$33,13,TRUE)</f>
        <v>1622746.33</v>
      </c>
      <c r="E15" s="309">
        <f>HLOOKUP(MONTH(日期!$C$2),當年目標設定!$D$1:$O$33,13,TRUE)</f>
        <v>1762534.2666392501</v>
      </c>
      <c r="F15" s="308">
        <f>HLOOKUP(MONTH(日期!$C$2),當年目標設定!$R$1:$AC$33,13,TRUE)</f>
        <v>2607654.299728225</v>
      </c>
      <c r="G15" s="308">
        <f>當年月推移!P13</f>
        <v>2499666</v>
      </c>
      <c r="H15" s="308">
        <f>當年月推移!P47</f>
        <v>2518563</v>
      </c>
      <c r="I15" s="27">
        <f>VALUE(庫存金額!C10)</f>
        <v>2315944</v>
      </c>
      <c r="J15" s="27">
        <f>VALUE(庫存金額!D10)</f>
        <v>2315944</v>
      </c>
      <c r="K15" s="27">
        <f>VALUE(庫存金額!E10)</f>
        <v>2277419</v>
      </c>
      <c r="L15" s="27">
        <f>VALUE(庫存金額!F10)</f>
        <v>2213204</v>
      </c>
      <c r="M15" s="27">
        <f>VALUE(庫存金額!G10)</f>
        <v>2167169</v>
      </c>
      <c r="N15" s="27">
        <f>VALUE(庫存金額!H10)</f>
        <v>2059054</v>
      </c>
      <c r="O15" s="27">
        <f>VALUE(庫存金額!I10)</f>
        <v>1986149</v>
      </c>
      <c r="P15" s="27">
        <f>VALUE(庫存金額!J10)</f>
        <v>1934109</v>
      </c>
      <c r="Q15" s="27">
        <f>VALUE(庫存金額!K10)</f>
        <v>1934109</v>
      </c>
      <c r="R15" s="27">
        <f>VALUE(庫存金額!L10)</f>
        <v>1930629</v>
      </c>
      <c r="S15" s="27">
        <f>VALUE(庫存金額!M10)</f>
        <v>1890209</v>
      </c>
      <c r="T15" s="27">
        <f>VALUE(庫存金額!N10)</f>
        <v>1866904</v>
      </c>
      <c r="U15" s="27">
        <f>VALUE(庫存金額!O10)</f>
        <v>1832349</v>
      </c>
      <c r="V15" s="27">
        <f>VALUE(庫存金額!P10)</f>
        <v>2178404</v>
      </c>
      <c r="W15" s="27">
        <f>VALUE(庫存金額!Q10)</f>
        <v>2143599</v>
      </c>
      <c r="X15" s="27">
        <f>VALUE(庫存金額!R10)</f>
        <v>2143599</v>
      </c>
      <c r="Y15" s="27">
        <f>VALUE(庫存金額!S10)</f>
        <v>2139569</v>
      </c>
      <c r="Z15" s="27">
        <f>VALUE(庫存金額!T10)</f>
        <v>2095699</v>
      </c>
      <c r="AA15" s="27">
        <f>VALUE(庫存金額!U10)</f>
        <v>2077929</v>
      </c>
      <c r="AB15" s="27">
        <f>VALUE(庫存金額!V10)</f>
        <v>2065124</v>
      </c>
      <c r="AC15" s="27">
        <f>VALUE(庫存金額!W10)</f>
        <v>2054914</v>
      </c>
      <c r="AD15" s="27">
        <f>VALUE(庫存金額!X10)</f>
        <v>2023874</v>
      </c>
      <c r="AE15" s="27">
        <f>VALUE(庫存金額!Y10)</f>
        <v>2023874</v>
      </c>
      <c r="AF15" s="27">
        <f>VALUE(庫存金額!Z10)</f>
        <v>1992144</v>
      </c>
      <c r="AG15" s="27">
        <f>VALUE(庫存金額!AA10)</f>
        <v>1964339</v>
      </c>
      <c r="AH15" s="27">
        <f>VALUE(庫存金額!AB10)</f>
        <v>1933529</v>
      </c>
      <c r="AI15" s="27">
        <f>VALUE(庫存金額!AC10)</f>
        <v>1925659</v>
      </c>
      <c r="AJ15" s="27">
        <f>VALUE(庫存金額!AD10)</f>
        <v>1909739</v>
      </c>
      <c r="AK15" s="27">
        <f>VALUE(庫存金額!AE10)</f>
        <v>1840639</v>
      </c>
      <c r="AL15" s="27">
        <f>VALUE(庫存金額!AF10)</f>
        <v>1840639</v>
      </c>
      <c r="AM15" s="27">
        <f>VALUE(庫存金額!AG10)</f>
        <v>0</v>
      </c>
      <c r="AN15" s="27">
        <f>VALUE(庫存金額!AH10)</f>
        <v>0</v>
      </c>
      <c r="AO15" s="27">
        <f>VALUE(庫存金額!AI10)</f>
        <v>2035882.17</v>
      </c>
    </row>
    <row r="16" spans="1:44" s="14" customFormat="1" ht="22" customHeight="1" x14ac:dyDescent="0.35">
      <c r="A16" s="23"/>
      <c r="B16" s="24"/>
      <c r="C16" s="30" t="s">
        <v>20</v>
      </c>
      <c r="D16" s="309">
        <f>HLOOKUP(MONTH(日期!$C$2),去年月推移!$D$1:$O$33,14,TRUE)</f>
        <v>196612.67</v>
      </c>
      <c r="E16" s="309">
        <f>HLOOKUP(MONTH(日期!$C$2),當年目標設定!$D$1:$O$33,14,TRUE)</f>
        <v>260300.40611524999</v>
      </c>
      <c r="F16" s="308">
        <f>HLOOKUP(MONTH(日期!$C$2),當年目標設定!$R$1:$AC$33,14,TRUE)</f>
        <v>314975.13038687501</v>
      </c>
      <c r="G16" s="308">
        <f>當年月推移!P15</f>
        <v>250529</v>
      </c>
      <c r="H16" s="308">
        <f>當年月推移!P49</f>
        <v>251973</v>
      </c>
      <c r="I16" s="232">
        <f>VALUE(庫存金額!C14)</f>
        <v>137808</v>
      </c>
      <c r="J16" s="232">
        <f>VALUE(庫存金額!D14)</f>
        <v>137808</v>
      </c>
      <c r="K16" s="232">
        <f>VALUE(庫存金額!E14)</f>
        <v>135108</v>
      </c>
      <c r="L16" s="232">
        <f>VALUE(庫存金額!F14)</f>
        <v>132948</v>
      </c>
      <c r="M16" s="232">
        <f>VALUE(庫存金額!G14)</f>
        <v>128328</v>
      </c>
      <c r="N16" s="232">
        <f>VALUE(庫存金額!H14)</f>
        <v>124078</v>
      </c>
      <c r="O16" s="232">
        <f>VALUE(庫存金額!I14)</f>
        <v>120838</v>
      </c>
      <c r="P16" s="232">
        <f>VALUE(庫存金額!J14)</f>
        <v>118598</v>
      </c>
      <c r="Q16" s="232">
        <f>VALUE(庫存金額!K14)</f>
        <v>118598</v>
      </c>
      <c r="R16" s="232">
        <f>VALUE(庫存金額!L14)</f>
        <v>117518</v>
      </c>
      <c r="S16" s="232">
        <f>VALUE(庫存金額!M14)</f>
        <v>117518</v>
      </c>
      <c r="T16" s="232">
        <f>VALUE(庫存金額!N14)</f>
        <v>115358</v>
      </c>
      <c r="U16" s="232">
        <f>VALUE(庫存金額!O14)</f>
        <v>114278</v>
      </c>
      <c r="V16" s="232">
        <f>VALUE(庫存金額!P14)</f>
        <v>113738</v>
      </c>
      <c r="W16" s="232">
        <f>VALUE(庫存金額!Q14)</f>
        <v>112118</v>
      </c>
      <c r="X16" s="232">
        <f>VALUE(庫存金額!R14)</f>
        <v>112118</v>
      </c>
      <c r="Y16" s="232">
        <f>VALUE(庫存金額!S14)</f>
        <v>129128</v>
      </c>
      <c r="Z16" s="232">
        <f>VALUE(庫存金額!T14)</f>
        <v>129128</v>
      </c>
      <c r="AA16" s="232">
        <f>VALUE(庫存金額!U14)</f>
        <v>127508</v>
      </c>
      <c r="AB16" s="232">
        <f>VALUE(庫存金額!V14)</f>
        <v>125888</v>
      </c>
      <c r="AC16" s="232">
        <f>VALUE(庫存金額!W14)</f>
        <v>121078</v>
      </c>
      <c r="AD16" s="232">
        <f>VALUE(庫存金額!X14)</f>
        <v>119458</v>
      </c>
      <c r="AE16" s="232">
        <f>VALUE(庫存金額!Y14)</f>
        <v>119458</v>
      </c>
      <c r="AF16" s="232">
        <f>VALUE(庫存金額!Z14)</f>
        <v>118378</v>
      </c>
      <c r="AG16" s="232">
        <f>VALUE(庫存金額!AA14)</f>
        <v>118378</v>
      </c>
      <c r="AH16" s="232">
        <f>VALUE(庫存金額!AB14)</f>
        <v>115168</v>
      </c>
      <c r="AI16" s="232">
        <f>VALUE(庫存金額!AC14)</f>
        <v>113548</v>
      </c>
      <c r="AJ16" s="232">
        <f>VALUE(庫存金額!AD14)</f>
        <v>110308</v>
      </c>
      <c r="AK16" s="232">
        <f>VALUE(庫存金額!AE14)</f>
        <v>109228</v>
      </c>
      <c r="AL16" s="232">
        <f>VALUE(庫存金額!AF14)</f>
        <v>109228</v>
      </c>
      <c r="AM16" s="232">
        <f>VALUE(庫存金額!AG14)</f>
        <v>0</v>
      </c>
      <c r="AN16" s="232">
        <f>VALUE(庫存金額!AH14)</f>
        <v>0</v>
      </c>
      <c r="AO16" s="232">
        <f>VALUE(庫存金額!AI14)</f>
        <v>120754.67</v>
      </c>
    </row>
    <row r="17" spans="1:44" s="14" customFormat="1" ht="22" customHeight="1" thickBot="1" x14ac:dyDescent="0.4">
      <c r="A17" s="23"/>
      <c r="B17" s="24"/>
      <c r="C17" s="286" t="s">
        <v>21</v>
      </c>
      <c r="D17" s="322">
        <f>HLOOKUP(MONTH(日期!$C$2),去年月推移!$D$1:$O$33,15,TRUE)</f>
        <v>7489846.9699999997</v>
      </c>
      <c r="E17" s="309">
        <f>HLOOKUP(MONTH(日期!$C$2),當年目標設定!$D$1:$O$33,15,TRUE)</f>
        <v>8625125.8686692491</v>
      </c>
      <c r="F17" s="308">
        <f>HLOOKUP(MONTH(日期!$C$2),當年目標設定!$R$1:$AC$33,15,TRUE)</f>
        <v>8691732.0648336001</v>
      </c>
      <c r="G17" s="308">
        <f>當年月推移!P33</f>
        <v>0</v>
      </c>
      <c r="H17" s="308">
        <f>當年月推移!P67</f>
        <v>0</v>
      </c>
      <c r="I17" s="232">
        <f>VALUE(庫存金額!C24)</f>
        <v>7017234</v>
      </c>
      <c r="J17" s="232">
        <f>VALUE(庫存金額!D24)</f>
        <v>7017234</v>
      </c>
      <c r="K17" s="232">
        <f>VALUE(庫存金額!E24)</f>
        <v>9365293</v>
      </c>
      <c r="L17" s="232">
        <f>VALUE(庫存金額!F24)</f>
        <v>9235957</v>
      </c>
      <c r="M17" s="232">
        <f>VALUE(庫存金額!G24)</f>
        <v>8310947</v>
      </c>
      <c r="N17" s="232">
        <f>VALUE(庫存金額!H24)</f>
        <v>6442151</v>
      </c>
      <c r="O17" s="232">
        <f>VALUE(庫存金額!I24)</f>
        <v>7093736</v>
      </c>
      <c r="P17" s="232">
        <f>VALUE(庫存金額!J24)</f>
        <v>5991081</v>
      </c>
      <c r="Q17" s="232">
        <f>VALUE(庫存金額!K24)</f>
        <v>5991081</v>
      </c>
      <c r="R17" s="232">
        <f>VALUE(庫存金額!L24)</f>
        <v>5753349</v>
      </c>
      <c r="S17" s="232">
        <f>VALUE(庫存金額!M24)</f>
        <v>5511887</v>
      </c>
      <c r="T17" s="232">
        <f>VALUE(庫存金額!N24)</f>
        <v>7319628</v>
      </c>
      <c r="U17" s="232">
        <f>VALUE(庫存金額!O24)</f>
        <v>7802867</v>
      </c>
      <c r="V17" s="232">
        <f>VALUE(庫存金額!P24)</f>
        <v>6603408</v>
      </c>
      <c r="W17" s="232">
        <f>VALUE(庫存金額!Q24)</f>
        <v>4893298</v>
      </c>
      <c r="X17" s="232">
        <f>VALUE(庫存金額!R24)</f>
        <v>4891250</v>
      </c>
      <c r="Y17" s="232">
        <f>VALUE(庫存金額!S24)</f>
        <v>8208655</v>
      </c>
      <c r="Z17" s="232">
        <f>VALUE(庫存金額!T24)</f>
        <v>10606381</v>
      </c>
      <c r="AA17" s="232">
        <f>VALUE(庫存金額!U24)</f>
        <v>10309620</v>
      </c>
      <c r="AB17" s="232">
        <f>VALUE(庫存金額!V24)</f>
        <v>11713700</v>
      </c>
      <c r="AC17" s="232">
        <f>VALUE(庫存金額!W24)</f>
        <v>10916810</v>
      </c>
      <c r="AD17" s="232">
        <f>VALUE(庫存金額!X24)</f>
        <v>9282816</v>
      </c>
      <c r="AE17" s="232">
        <f>VALUE(庫存金額!Y24)</f>
        <v>9281396</v>
      </c>
      <c r="AF17" s="232">
        <f>VALUE(庫存金額!Z24)</f>
        <v>8943839</v>
      </c>
      <c r="AG17" s="232">
        <f>VALUE(庫存金額!AA24)</f>
        <v>9041702</v>
      </c>
      <c r="AH17" s="232">
        <f>VALUE(庫存金額!AB24)</f>
        <v>7641198</v>
      </c>
      <c r="AI17" s="232">
        <f>VALUE(庫存金額!AC24)</f>
        <v>9470336</v>
      </c>
      <c r="AJ17" s="232">
        <f>VALUE(庫存金額!AD24)</f>
        <v>10886971</v>
      </c>
      <c r="AK17" s="232">
        <f>VALUE(庫存金額!AE24)</f>
        <v>9298809</v>
      </c>
      <c r="AL17" s="232">
        <f>VALUE(庫存金額!AF24)</f>
        <v>9298809</v>
      </c>
      <c r="AM17" s="232">
        <f>VALUE(庫存金額!AG24)</f>
        <v>0</v>
      </c>
      <c r="AN17" s="232">
        <f>VALUE(庫存金額!AH24)</f>
        <v>0</v>
      </c>
      <c r="AO17" s="232">
        <f>VALUE(庫存金額!AI24)</f>
        <v>8138048.0999999996</v>
      </c>
    </row>
    <row r="18" spans="1:44" s="14" customFormat="1" ht="22" customHeight="1" x14ac:dyDescent="0.4">
      <c r="A18" s="23"/>
      <c r="B18" s="601" t="s">
        <v>22</v>
      </c>
      <c r="C18" s="602"/>
      <c r="D18" s="324">
        <f t="shared" ref="D18:I18" si="7">SUM(D19:D25)</f>
        <v>216340885.73333099</v>
      </c>
      <c r="E18" s="553">
        <f t="shared" si="7"/>
        <v>294500628.28372824</v>
      </c>
      <c r="F18" s="324">
        <f t="shared" si="7"/>
        <v>280802738.98341775</v>
      </c>
      <c r="G18" s="317">
        <f t="shared" si="7"/>
        <v>233618713</v>
      </c>
      <c r="H18" s="317">
        <f t="shared" si="7"/>
        <v>232657439</v>
      </c>
      <c r="I18" s="237">
        <f t="shared" si="7"/>
        <v>210224808</v>
      </c>
      <c r="J18" s="237">
        <f t="shared" ref="J18:AO18" si="8">SUM(J19:J25)</f>
        <v>210224808</v>
      </c>
      <c r="K18" s="237">
        <f t="shared" si="8"/>
        <v>205546181</v>
      </c>
      <c r="L18" s="237">
        <f t="shared" si="8"/>
        <v>205218257</v>
      </c>
      <c r="M18" s="237">
        <f t="shared" si="8"/>
        <v>205722459</v>
      </c>
      <c r="N18" s="237">
        <f t="shared" si="8"/>
        <v>205933544</v>
      </c>
      <c r="O18" s="237">
        <f t="shared" si="8"/>
        <v>209086787</v>
      </c>
      <c r="P18" s="237">
        <f t="shared" si="8"/>
        <v>205596393</v>
      </c>
      <c r="Q18" s="237">
        <f t="shared" si="8"/>
        <v>205590612</v>
      </c>
      <c r="R18" s="237">
        <f t="shared" si="8"/>
        <v>205904713</v>
      </c>
      <c r="S18" s="237">
        <f t="shared" si="8"/>
        <v>202253298</v>
      </c>
      <c r="T18" s="237">
        <f t="shared" si="8"/>
        <v>202742761</v>
      </c>
      <c r="U18" s="237">
        <f t="shared" si="8"/>
        <v>204409347</v>
      </c>
      <c r="V18" s="237">
        <f t="shared" si="8"/>
        <v>208506804</v>
      </c>
      <c r="W18" s="237">
        <f t="shared" si="8"/>
        <v>204969394</v>
      </c>
      <c r="X18" s="237">
        <f t="shared" si="8"/>
        <v>204969394</v>
      </c>
      <c r="Y18" s="237">
        <f t="shared" si="8"/>
        <v>203969173</v>
      </c>
      <c r="Z18" s="237">
        <f t="shared" si="8"/>
        <v>203254123</v>
      </c>
      <c r="AA18" s="237">
        <f t="shared" si="8"/>
        <v>204329515</v>
      </c>
      <c r="AB18" s="237">
        <f t="shared" si="8"/>
        <v>205513473</v>
      </c>
      <c r="AC18" s="237">
        <f t="shared" si="8"/>
        <v>207164950</v>
      </c>
      <c r="AD18" s="237">
        <f t="shared" si="8"/>
        <v>204463781</v>
      </c>
      <c r="AE18" s="237">
        <f t="shared" si="8"/>
        <v>204463781</v>
      </c>
      <c r="AF18" s="237">
        <f t="shared" si="8"/>
        <v>205718589</v>
      </c>
      <c r="AG18" s="237">
        <f t="shared" si="8"/>
        <v>204005072</v>
      </c>
      <c r="AH18" s="237">
        <f t="shared" si="8"/>
        <v>204996137</v>
      </c>
      <c r="AI18" s="237">
        <f t="shared" si="8"/>
        <v>207386894</v>
      </c>
      <c r="AJ18" s="237">
        <f t="shared" si="8"/>
        <v>207053045</v>
      </c>
      <c r="AK18" s="237">
        <f t="shared" si="8"/>
        <v>202396632</v>
      </c>
      <c r="AL18" s="237">
        <f t="shared" si="8"/>
        <v>202919542</v>
      </c>
      <c r="AM18" s="237">
        <f t="shared" si="8"/>
        <v>0</v>
      </c>
      <c r="AN18" s="237">
        <f t="shared" si="8"/>
        <v>522910</v>
      </c>
      <c r="AO18" s="237">
        <f t="shared" si="8"/>
        <v>205484475.57000002</v>
      </c>
      <c r="AP18" s="16">
        <f>AJ18/10000</f>
        <v>20705.304499999998</v>
      </c>
      <c r="AQ18" s="17">
        <f>AO18/10000</f>
        <v>20548.447557000003</v>
      </c>
      <c r="AR18" s="22"/>
    </row>
    <row r="19" spans="1:44" s="14" customFormat="1" ht="22" customHeight="1" x14ac:dyDescent="0.45">
      <c r="A19" s="23"/>
      <c r="B19" s="24"/>
      <c r="C19" s="247" t="s">
        <v>23</v>
      </c>
      <c r="D19" s="309">
        <f>HLOOKUP(MONTH(日期!$C$2),去年月推移!$D$1:$O$33,17,TRUE)</f>
        <v>189085071.69999999</v>
      </c>
      <c r="E19" s="554">
        <f>HLOOKUP(MONTH(日期!$C$2),當年目標設定!$D$1:$O$33,17,TRUE)</f>
        <v>266893409.06768295</v>
      </c>
      <c r="F19" s="309">
        <f>HLOOKUP(MONTH(日期!$C$2),當年目標設定!$R$1:$AC$33,17,TRUE)</f>
        <v>254719894.52631497</v>
      </c>
      <c r="G19" s="308">
        <f>當年月推移!P17</f>
        <v>215323968</v>
      </c>
      <c r="H19" s="308">
        <f>當年月推移!P51</f>
        <v>214348997</v>
      </c>
      <c r="I19" s="27">
        <f>VALUE(庫存金額!C3)</f>
        <v>180470139</v>
      </c>
      <c r="J19" s="27">
        <f>VALUE(庫存金額!D3)</f>
        <v>180470139</v>
      </c>
      <c r="K19" s="27">
        <f>VALUE(庫存金額!E3)</f>
        <v>176321135</v>
      </c>
      <c r="L19" s="27">
        <f>VALUE(庫存金額!F3)</f>
        <v>177722859</v>
      </c>
      <c r="M19" s="27">
        <f>VALUE(庫存金額!G3)</f>
        <v>178491251</v>
      </c>
      <c r="N19" s="27">
        <f>VALUE(庫存金額!H3)</f>
        <v>178074118</v>
      </c>
      <c r="O19" s="27">
        <f>VALUE(庫存金額!I3)</f>
        <v>179902334</v>
      </c>
      <c r="P19" s="27">
        <f>VALUE(庫存金額!J3)</f>
        <v>178443573</v>
      </c>
      <c r="Q19" s="27">
        <f>VALUE(庫存金額!K3)</f>
        <v>178443573</v>
      </c>
      <c r="R19" s="27">
        <f>VALUE(庫存金額!L3)</f>
        <v>179453271</v>
      </c>
      <c r="S19" s="27">
        <f>VALUE(庫存金額!M3)</f>
        <v>176114083</v>
      </c>
      <c r="T19" s="27">
        <f>VALUE(庫存金額!N3)</f>
        <v>176582455</v>
      </c>
      <c r="U19" s="27">
        <f>VALUE(庫存金額!O3)</f>
        <v>178175666</v>
      </c>
      <c r="V19" s="27">
        <f>VALUE(庫存金額!P3)</f>
        <v>180601296</v>
      </c>
      <c r="W19" s="27">
        <f>VALUE(庫存金額!Q3)</f>
        <v>179255568</v>
      </c>
      <c r="X19" s="27">
        <f>VALUE(庫存金額!R3)</f>
        <v>179255568</v>
      </c>
      <c r="Y19" s="27">
        <f>VALUE(庫存金額!S3)</f>
        <v>178065696</v>
      </c>
      <c r="Z19" s="27">
        <f>VALUE(庫存金額!T3)</f>
        <v>177826443</v>
      </c>
      <c r="AA19" s="27">
        <f>VALUE(庫存金額!U3)</f>
        <v>179363269</v>
      </c>
      <c r="AB19" s="27">
        <f>VALUE(庫存金額!V3)</f>
        <v>179720589</v>
      </c>
      <c r="AC19" s="27">
        <f>VALUE(庫存金額!W3)</f>
        <v>179295523</v>
      </c>
      <c r="AD19" s="27">
        <f>VALUE(庫存金額!X3)</f>
        <v>177799082</v>
      </c>
      <c r="AE19" s="27">
        <f>VALUE(庫存金額!Y3)</f>
        <v>177799082</v>
      </c>
      <c r="AF19" s="27">
        <f>VALUE(庫存金額!Z3)</f>
        <v>179530195</v>
      </c>
      <c r="AG19" s="27">
        <f>VALUE(庫存金額!AA3)</f>
        <v>178239443</v>
      </c>
      <c r="AH19" s="27">
        <f>VALUE(庫存金額!AB3)</f>
        <v>178724864</v>
      </c>
      <c r="AI19" s="27">
        <f>VALUE(庫存金額!AC3)</f>
        <v>178799829</v>
      </c>
      <c r="AJ19" s="27">
        <f>VALUE(庫存金額!AD3)</f>
        <v>177616898</v>
      </c>
      <c r="AK19" s="27">
        <f>VALUE(庫存金額!AE3)</f>
        <v>174654295</v>
      </c>
      <c r="AL19" s="27">
        <f>VALUE(庫存金額!AF3)</f>
        <v>174625628</v>
      </c>
      <c r="AM19" s="27">
        <f>VALUE(庫存金額!AG3)</f>
        <v>0</v>
      </c>
      <c r="AN19" s="27">
        <f>VALUE(庫存金額!AH3)</f>
        <v>-28667</v>
      </c>
      <c r="AO19" s="27">
        <f>VALUE(庫存金額!AI3)</f>
        <v>178327928.80000001</v>
      </c>
    </row>
    <row r="20" spans="1:44" s="14" customFormat="1" ht="22" customHeight="1" x14ac:dyDescent="0.45">
      <c r="A20" s="23"/>
      <c r="B20" s="24"/>
      <c r="C20" s="29" t="s">
        <v>24</v>
      </c>
      <c r="D20" s="309">
        <f>HLOOKUP(MONTH(日期!$C$2),去年月推移!$D$1:$O$33,18,TRUE)</f>
        <v>1875211.966666</v>
      </c>
      <c r="E20" s="554">
        <f>HLOOKUP(MONTH(日期!$C$2),當年目標設定!$D$1:$O$33,18,TRUE)</f>
        <v>2225912.3336233259</v>
      </c>
      <c r="F20" s="309">
        <f>HLOOKUP(MONTH(日期!$C$2),當年目標設定!$R$1:$AC$33,18,TRUE)</f>
        <v>2131351.42916568</v>
      </c>
      <c r="G20" s="308">
        <f>當年月推移!P18</f>
        <v>1837253</v>
      </c>
      <c r="H20" s="308">
        <f>當年月推移!P52</f>
        <v>2131253</v>
      </c>
      <c r="I20" s="232">
        <f>VALUE(庫存金額!C13)</f>
        <v>1507253</v>
      </c>
      <c r="J20" s="232">
        <f>VALUE(庫存金額!D13)</f>
        <v>1507253</v>
      </c>
      <c r="K20" s="232">
        <f>VALUE(庫存金額!E13)</f>
        <v>1509942</v>
      </c>
      <c r="L20" s="232">
        <f>VALUE(庫存金額!F13)</f>
        <v>1256871</v>
      </c>
      <c r="M20" s="232">
        <f>VALUE(庫存金額!G13)</f>
        <v>1514535</v>
      </c>
      <c r="N20" s="232">
        <f>VALUE(庫存金額!H13)</f>
        <v>2265781</v>
      </c>
      <c r="O20" s="232">
        <f>VALUE(庫存金額!I13)</f>
        <v>2154635</v>
      </c>
      <c r="P20" s="232">
        <f>VALUE(庫存金額!J13)</f>
        <v>1575448</v>
      </c>
      <c r="Q20" s="232">
        <f>VALUE(庫存金額!K13)</f>
        <v>1575448</v>
      </c>
      <c r="R20" s="232">
        <f>VALUE(庫存金額!L13)</f>
        <v>1392038</v>
      </c>
      <c r="S20" s="232">
        <f>VALUE(庫存金額!M13)</f>
        <v>1656037</v>
      </c>
      <c r="T20" s="232">
        <f>VALUE(庫存金額!N13)</f>
        <v>1410079</v>
      </c>
      <c r="U20" s="232">
        <f>VALUE(庫存金額!O13)</f>
        <v>1666636</v>
      </c>
      <c r="V20" s="232">
        <f>VALUE(庫存金額!P13)</f>
        <v>1761382</v>
      </c>
      <c r="W20" s="232">
        <f>VALUE(庫存金額!Q13)</f>
        <v>1443921</v>
      </c>
      <c r="X20" s="232">
        <f>VALUE(庫存金額!R13)</f>
        <v>1443921</v>
      </c>
      <c r="Y20" s="232">
        <f>VALUE(庫存金額!S13)</f>
        <v>1528163</v>
      </c>
      <c r="Z20" s="232">
        <f>VALUE(庫存金額!T13)</f>
        <v>1135709</v>
      </c>
      <c r="AA20" s="232">
        <f>VALUE(庫存金額!U13)</f>
        <v>1035180</v>
      </c>
      <c r="AB20" s="232">
        <f>VALUE(庫存金額!V13)</f>
        <v>1290118</v>
      </c>
      <c r="AC20" s="232">
        <f>VALUE(庫存金額!W13)</f>
        <v>1647737</v>
      </c>
      <c r="AD20" s="232">
        <f>VALUE(庫存金額!X13)</f>
        <v>1276661</v>
      </c>
      <c r="AE20" s="232">
        <f>VALUE(庫存金額!Y13)</f>
        <v>1276661</v>
      </c>
      <c r="AF20" s="232">
        <f>VALUE(庫存金額!Z13)</f>
        <v>892859</v>
      </c>
      <c r="AG20" s="232">
        <f>VALUE(庫存金額!AA13)</f>
        <v>1122794</v>
      </c>
      <c r="AH20" s="232">
        <f>VALUE(庫存金額!AB13)</f>
        <v>909366</v>
      </c>
      <c r="AI20" s="232">
        <f>VALUE(庫存金額!AC13)</f>
        <v>1341016</v>
      </c>
      <c r="AJ20" s="232">
        <f>VALUE(庫存金額!AD13)</f>
        <v>1732630</v>
      </c>
      <c r="AK20" s="232">
        <f>VALUE(庫存金額!AE13)</f>
        <v>1560480</v>
      </c>
      <c r="AL20" s="232">
        <f>VALUE(庫存金額!AF13)</f>
        <v>1560480</v>
      </c>
      <c r="AM20" s="232">
        <f>VALUE(庫存金額!AG13)</f>
        <v>0</v>
      </c>
      <c r="AN20" s="232">
        <f>VALUE(庫存金額!AH13)</f>
        <v>0</v>
      </c>
      <c r="AO20" s="232">
        <f>VALUE(庫存金額!AI13)</f>
        <v>1465034.47</v>
      </c>
    </row>
    <row r="21" spans="1:44" s="14" customFormat="1" ht="22" customHeight="1" x14ac:dyDescent="0.45">
      <c r="A21" s="23"/>
      <c r="B21" s="24"/>
      <c r="C21" s="29" t="s">
        <v>25</v>
      </c>
      <c r="D21" s="309">
        <f>HLOOKUP(MONTH(日期!$C$2),去年月推移!$D$1:$O$33,19,TRUE)</f>
        <v>7990120.0333329998</v>
      </c>
      <c r="E21" s="554">
        <f>HLOOKUP(MONTH(日期!$C$2),當年目標設定!$D$1:$O$33,19,TRUE)</f>
        <v>7084008.1498191189</v>
      </c>
      <c r="F21" s="309">
        <f>HLOOKUP(MONTH(日期!$C$2),當年目標設定!$R$1:$AC$33,19,TRUE)</f>
        <v>6527354.3738059457</v>
      </c>
      <c r="G21" s="308">
        <f>當年月推移!P19</f>
        <v>131773</v>
      </c>
      <c r="H21" s="308">
        <f>當年月推移!P53</f>
        <v>131773</v>
      </c>
      <c r="I21" s="232">
        <f>VALUE(庫存金額!C18)</f>
        <v>9626417</v>
      </c>
      <c r="J21" s="232">
        <f>VALUE(庫存金額!D18)</f>
        <v>9626417</v>
      </c>
      <c r="K21" s="232">
        <f>VALUE(庫存金額!E18)</f>
        <v>9552014</v>
      </c>
      <c r="L21" s="232">
        <f>VALUE(庫存金額!F18)</f>
        <v>9411849</v>
      </c>
      <c r="M21" s="232">
        <f>VALUE(庫存金額!G18)</f>
        <v>9330465</v>
      </c>
      <c r="N21" s="232">
        <f>VALUE(庫存金額!H18)</f>
        <v>9260558</v>
      </c>
      <c r="O21" s="232">
        <f>VALUE(庫存金額!I18)</f>
        <v>9201874</v>
      </c>
      <c r="P21" s="232">
        <f>VALUE(庫存金額!J18)</f>
        <v>9171410</v>
      </c>
      <c r="Q21" s="232">
        <f>VALUE(庫存金額!K18)</f>
        <v>9171410</v>
      </c>
      <c r="R21" s="232">
        <f>VALUE(庫存金額!L18)</f>
        <v>9139838</v>
      </c>
      <c r="S21" s="232">
        <f>VALUE(庫存金額!M18)</f>
        <v>9035045</v>
      </c>
      <c r="T21" s="232">
        <f>VALUE(庫存金額!N18)</f>
        <v>9267075</v>
      </c>
      <c r="U21" s="232">
        <f>VALUE(庫存金額!O18)</f>
        <v>9333159</v>
      </c>
      <c r="V21" s="232">
        <f>VALUE(庫存金額!P18)</f>
        <v>9246062</v>
      </c>
      <c r="W21" s="232">
        <f>VALUE(庫存金額!Q18)</f>
        <v>9196561</v>
      </c>
      <c r="X21" s="232">
        <f>VALUE(庫存金額!R18)</f>
        <v>9196561</v>
      </c>
      <c r="Y21" s="232">
        <f>VALUE(庫存金額!S18)</f>
        <v>9201996</v>
      </c>
      <c r="Z21" s="232">
        <f>VALUE(庫存金額!T18)</f>
        <v>9105122</v>
      </c>
      <c r="AA21" s="232">
        <f>VALUE(庫存金額!U18)</f>
        <v>9043765</v>
      </c>
      <c r="AB21" s="232">
        <f>VALUE(庫存金額!V18)</f>
        <v>9010528</v>
      </c>
      <c r="AC21" s="232">
        <f>VALUE(庫存金額!W18)</f>
        <v>8952780</v>
      </c>
      <c r="AD21" s="232">
        <f>VALUE(庫存金額!X18)</f>
        <v>8931428</v>
      </c>
      <c r="AE21" s="232">
        <f>VALUE(庫存金額!Y18)</f>
        <v>8931428</v>
      </c>
      <c r="AF21" s="232">
        <f>VALUE(庫存金額!Z18)</f>
        <v>8873047</v>
      </c>
      <c r="AG21" s="232">
        <f>VALUE(庫存金額!AA18)</f>
        <v>8802681</v>
      </c>
      <c r="AH21" s="232">
        <f>VALUE(庫存金額!AB18)</f>
        <v>8782566</v>
      </c>
      <c r="AI21" s="232">
        <f>VALUE(庫存金額!AC18)</f>
        <v>8716579</v>
      </c>
      <c r="AJ21" s="232">
        <f>VALUE(庫存金額!AD18)</f>
        <v>8679482</v>
      </c>
      <c r="AK21" s="232">
        <f>VALUE(庫存金額!AE18)</f>
        <v>8640180</v>
      </c>
      <c r="AL21" s="232">
        <f>VALUE(庫存金額!AF18)</f>
        <v>8640180</v>
      </c>
      <c r="AM21" s="232">
        <f>VALUE(庫存金額!AG18)</f>
        <v>0</v>
      </c>
      <c r="AN21" s="232">
        <f>VALUE(庫存金額!AH18)</f>
        <v>0</v>
      </c>
      <c r="AO21" s="232">
        <f>VALUE(庫存金額!AI18)</f>
        <v>9102615.9000000004</v>
      </c>
    </row>
    <row r="22" spans="1:44" s="14" customFormat="1" ht="22" customHeight="1" x14ac:dyDescent="0.45">
      <c r="A22" s="23"/>
      <c r="B22" s="24"/>
      <c r="C22" s="29" t="s">
        <v>26</v>
      </c>
      <c r="D22" s="309">
        <f>HLOOKUP(MONTH(日期!$C$2),去年月推移!$D$1:$O$33,20,TRUE)</f>
        <v>10873450.433333</v>
      </c>
      <c r="E22" s="554">
        <f>HLOOKUP(MONTH(日期!$C$2),當年目標設定!$D$1:$O$33,20,TRUE)</f>
        <v>11289405.391843969</v>
      </c>
      <c r="F22" s="309">
        <f>HLOOKUP(MONTH(日期!$C$2),當年目標設定!$R$1:$AC$33,20,TRUE)</f>
        <v>10753038.361017559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9621202</v>
      </c>
      <c r="J22" s="232">
        <f>VALUE(庫存金額!D17)</f>
        <v>9621202</v>
      </c>
      <c r="K22" s="232">
        <f>VALUE(庫存金額!E17)</f>
        <v>10587004</v>
      </c>
      <c r="L22" s="232">
        <f>VALUE(庫存金額!F17)</f>
        <v>9632112</v>
      </c>
      <c r="M22" s="232">
        <f>VALUE(庫存金額!G17)</f>
        <v>9239643</v>
      </c>
      <c r="N22" s="232">
        <f>VALUE(庫存金額!H17)</f>
        <v>9529861</v>
      </c>
      <c r="O22" s="232">
        <f>VALUE(庫存金額!I17)</f>
        <v>10545287</v>
      </c>
      <c r="P22" s="232">
        <f>VALUE(庫存金額!J17)</f>
        <v>9699951</v>
      </c>
      <c r="Q22" s="232">
        <f>VALUE(庫存金額!K17)</f>
        <v>9694170</v>
      </c>
      <c r="R22" s="232">
        <f>VALUE(庫存金額!L17)</f>
        <v>10155214</v>
      </c>
      <c r="S22" s="232">
        <f>VALUE(庫存金額!M17)</f>
        <v>9746569</v>
      </c>
      <c r="T22" s="232">
        <f>VALUE(庫存金額!N17)</f>
        <v>9565649</v>
      </c>
      <c r="U22" s="232">
        <f>VALUE(庫存金額!O17)</f>
        <v>9565795</v>
      </c>
      <c r="V22" s="232">
        <f>VALUE(庫存金額!P17)</f>
        <v>10357601</v>
      </c>
      <c r="W22" s="232">
        <f>VALUE(庫存金額!Q17)</f>
        <v>9242340</v>
      </c>
      <c r="X22" s="232">
        <f>VALUE(庫存金額!R17)</f>
        <v>9242340</v>
      </c>
      <c r="Y22" s="232">
        <f>VALUE(庫存金額!S17)</f>
        <v>9680172</v>
      </c>
      <c r="Z22" s="232">
        <f>VALUE(庫存金額!T17)</f>
        <v>9372949</v>
      </c>
      <c r="AA22" s="232">
        <f>VALUE(庫存金額!U17)</f>
        <v>9479366</v>
      </c>
      <c r="AB22" s="232">
        <f>VALUE(庫存金額!V17)</f>
        <v>10051076</v>
      </c>
      <c r="AC22" s="232">
        <f>VALUE(庫存金額!W17)</f>
        <v>10515456</v>
      </c>
      <c r="AD22" s="232">
        <f>VALUE(庫存金額!X17)</f>
        <v>10176133</v>
      </c>
      <c r="AE22" s="232">
        <f>VALUE(庫存金額!Y17)</f>
        <v>10176133</v>
      </c>
      <c r="AF22" s="232">
        <f>VALUE(庫存金額!Z17)</f>
        <v>9713076</v>
      </c>
      <c r="AG22" s="232">
        <f>VALUE(庫存金額!AA17)</f>
        <v>9222406</v>
      </c>
      <c r="AH22" s="232">
        <f>VALUE(庫存金額!AB17)</f>
        <v>9249208</v>
      </c>
      <c r="AI22" s="232">
        <f>VALUE(庫存金額!AC17)</f>
        <v>10298759</v>
      </c>
      <c r="AJ22" s="232">
        <f>VALUE(庫存金額!AD17)</f>
        <v>10472268</v>
      </c>
      <c r="AK22" s="232">
        <f>VALUE(庫存金額!AE17)</f>
        <v>9587425</v>
      </c>
      <c r="AL22" s="232">
        <f>VALUE(庫存金額!AF17)</f>
        <v>9585410</v>
      </c>
      <c r="AM22" s="232">
        <f>VALUE(庫存金額!AG17)</f>
        <v>0</v>
      </c>
      <c r="AN22" s="232">
        <f>VALUE(庫存金額!AH17)</f>
        <v>-2015</v>
      </c>
      <c r="AO22" s="232">
        <f>VALUE(庫存金額!AI17)</f>
        <v>9787525.9000000004</v>
      </c>
    </row>
    <row r="23" spans="1:44" s="14" customFormat="1" ht="22" customHeight="1" x14ac:dyDescent="0.45">
      <c r="A23" s="23"/>
      <c r="B23" s="24"/>
      <c r="C23" s="247" t="s">
        <v>27</v>
      </c>
      <c r="D23" s="309">
        <f>HLOOKUP(MONTH(日期!$C$2),去年月推移!$D$1:$O$33,21,TRUE)</f>
        <v>6244909.2666659998</v>
      </c>
      <c r="E23" s="554">
        <f>HLOOKUP(MONTH(日期!$C$2),當年目標設定!$D$1:$O$33,21,TRUE)</f>
        <v>6802461.922685273</v>
      </c>
      <c r="F23" s="309">
        <f>HLOOKUP(MONTH(日期!$C$2),當年目標設定!$R$1:$AC$33,21,TRUE)</f>
        <v>6480229.6203098316</v>
      </c>
      <c r="G23" s="308">
        <f>當年月推移!P21</f>
        <v>15926393</v>
      </c>
      <c r="H23" s="308">
        <f>當年月推移!P55</f>
        <v>15640919</v>
      </c>
      <c r="I23" s="232">
        <f>VALUE(庫存金額!C16)</f>
        <v>8730158</v>
      </c>
      <c r="J23" s="232">
        <f>VALUE(庫存金額!D16)</f>
        <v>8730158</v>
      </c>
      <c r="K23" s="232">
        <f>VALUE(庫存金額!E16)</f>
        <v>7306447</v>
      </c>
      <c r="L23" s="232">
        <f>VALUE(庫存金額!F16)</f>
        <v>6924927</v>
      </c>
      <c r="M23" s="232">
        <f>VALUE(庫存金額!G16)</f>
        <v>6876926</v>
      </c>
      <c r="N23" s="232">
        <f>VALUE(庫存金額!H16)</f>
        <v>6533587</v>
      </c>
      <c r="O23" s="232">
        <f>VALUE(庫存金額!I16)</f>
        <v>7013018</v>
      </c>
      <c r="P23" s="232">
        <f>VALUE(庫存金額!J16)</f>
        <v>6436372</v>
      </c>
      <c r="Q23" s="232">
        <f>VALUE(庫存金額!K16)</f>
        <v>6436372</v>
      </c>
      <c r="R23" s="232">
        <f>VALUE(庫存金額!L16)</f>
        <v>5494713</v>
      </c>
      <c r="S23" s="232">
        <f>VALUE(庫存金額!M16)</f>
        <v>5431925</v>
      </c>
      <c r="T23" s="232">
        <f>VALUE(庫存金額!N16)</f>
        <v>5647864</v>
      </c>
      <c r="U23" s="232">
        <f>VALUE(庫存金額!O16)</f>
        <v>5398452</v>
      </c>
      <c r="V23" s="232">
        <f>VALUE(庫存金額!P16)</f>
        <v>6270824</v>
      </c>
      <c r="W23" s="232">
        <f>VALUE(庫存金額!Q16)</f>
        <v>5561365</v>
      </c>
      <c r="X23" s="232">
        <f>VALUE(庫存金額!R16)</f>
        <v>5561365</v>
      </c>
      <c r="Y23" s="232">
        <f>VALUE(庫存金額!S16)</f>
        <v>5223507</v>
      </c>
      <c r="Z23" s="232">
        <f>VALUE(庫存金額!T16)</f>
        <v>5544261</v>
      </c>
      <c r="AA23" s="232">
        <f>VALUE(庫存金額!U16)</f>
        <v>5138296</v>
      </c>
      <c r="AB23" s="232">
        <f>VALUE(庫存金額!V16)</f>
        <v>5171523</v>
      </c>
      <c r="AC23" s="232">
        <f>VALUE(庫存金額!W16)</f>
        <v>6483815</v>
      </c>
      <c r="AD23" s="232">
        <f>VALUE(庫存金額!X16)</f>
        <v>6010838</v>
      </c>
      <c r="AE23" s="232">
        <f>VALUE(庫存金額!Y16)</f>
        <v>6010838</v>
      </c>
      <c r="AF23" s="232">
        <f>VALUE(庫存金額!Z16)</f>
        <v>6439773</v>
      </c>
      <c r="AG23" s="232">
        <f>VALUE(庫存金額!AA16)</f>
        <v>6348109</v>
      </c>
      <c r="AH23" s="232">
        <f>VALUE(庫存金額!AB16)</f>
        <v>7060494</v>
      </c>
      <c r="AI23" s="232">
        <f>VALUE(庫存金額!AC16)</f>
        <v>7961072</v>
      </c>
      <c r="AJ23" s="232">
        <f>VALUE(庫存金額!AD16)</f>
        <v>8282128</v>
      </c>
      <c r="AK23" s="232">
        <f>VALUE(庫存金額!AE16)</f>
        <v>7684613</v>
      </c>
      <c r="AL23" s="232">
        <f>VALUE(庫存金額!AF16)</f>
        <v>8238205</v>
      </c>
      <c r="AM23" s="232">
        <f>VALUE(庫存金額!AG16)</f>
        <v>0</v>
      </c>
      <c r="AN23" s="232">
        <f>VALUE(庫存金額!AH16)</f>
        <v>553592</v>
      </c>
      <c r="AO23" s="232">
        <f>VALUE(庫存金額!AI16)</f>
        <v>6531731.5</v>
      </c>
    </row>
    <row r="24" spans="1:44" s="14" customFormat="1" ht="22" customHeight="1" x14ac:dyDescent="0.45">
      <c r="A24" s="23"/>
      <c r="B24" s="24"/>
      <c r="C24" s="29" t="s">
        <v>28</v>
      </c>
      <c r="D24" s="309">
        <f>HLOOKUP(MONTH(日期!$C$2),去年月推移!$D$1:$O$33,22,TRUE)</f>
        <v>109322.333333</v>
      </c>
      <c r="E24" s="554">
        <f>HLOOKUP(MONTH(日期!$C$2),當年目標設定!$D$1:$O$33,22,TRUE)</f>
        <v>205431.41807360586</v>
      </c>
      <c r="F24" s="309">
        <f>HLOOKUP(MONTH(日期!$C$2),當年目標設定!$R$1:$AC$33,22,TRUE)</f>
        <v>190870.67280377707</v>
      </c>
      <c r="G24" s="308">
        <f>當年月推移!P22</f>
        <v>101330</v>
      </c>
      <c r="H24" s="308">
        <f>當年月推移!P56</f>
        <v>101495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0</v>
      </c>
      <c r="AN24" s="232">
        <f>VALUE(庫存金額!AH11)</f>
        <v>0</v>
      </c>
      <c r="AO24" s="232">
        <f>VALUE(庫存金額!AI11)</f>
        <v>106839</v>
      </c>
    </row>
    <row r="25" spans="1:44" s="14" customFormat="1" ht="22" customHeight="1" thickBot="1" x14ac:dyDescent="0.4">
      <c r="A25" s="23"/>
      <c r="B25" s="24"/>
      <c r="C25" s="30" t="s">
        <v>29</v>
      </c>
      <c r="D25" s="322">
        <f>HLOOKUP(MONTH(日期!$C$2),去年月推移!$D$1:$O$33,23,TRUE)</f>
        <v>162800</v>
      </c>
      <c r="E25" s="554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135196</v>
      </c>
      <c r="H25" s="308">
        <f>當年月推移!P57</f>
        <v>140202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2" customHeight="1" x14ac:dyDescent="0.35">
      <c r="A26" s="23"/>
      <c r="B26" s="262"/>
      <c r="C26" s="265" t="s">
        <v>30</v>
      </c>
      <c r="D26" s="325">
        <f t="shared" ref="D26:I26" si="9">SUM(D27:D31)</f>
        <v>1563410.3666660001</v>
      </c>
      <c r="E26" s="325">
        <f t="shared" si="9"/>
        <v>0</v>
      </c>
      <c r="F26" s="318">
        <f t="shared" si="9"/>
        <v>0</v>
      </c>
      <c r="G26" s="318">
        <f t="shared" si="9"/>
        <v>16010150</v>
      </c>
      <c r="H26" s="318">
        <f t="shared" si="9"/>
        <v>16303042</v>
      </c>
      <c r="I26" s="237">
        <f t="shared" si="9"/>
        <v>6051731</v>
      </c>
      <c r="J26" s="237">
        <f t="shared" ref="J26:AO26" si="10">SUM(J27:J31)</f>
        <v>6051731</v>
      </c>
      <c r="K26" s="237">
        <f t="shared" si="10"/>
        <v>6195881</v>
      </c>
      <c r="L26" s="237">
        <f t="shared" si="10"/>
        <v>5562280</v>
      </c>
      <c r="M26" s="237">
        <f t="shared" si="10"/>
        <v>5542200</v>
      </c>
      <c r="N26" s="237">
        <f t="shared" si="10"/>
        <v>5887416</v>
      </c>
      <c r="O26" s="237">
        <f t="shared" si="10"/>
        <v>5800616</v>
      </c>
      <c r="P26" s="237">
        <f t="shared" si="10"/>
        <v>5687016</v>
      </c>
      <c r="Q26" s="237">
        <f t="shared" si="10"/>
        <v>5687016</v>
      </c>
      <c r="R26" s="237">
        <f t="shared" si="10"/>
        <v>6424117</v>
      </c>
      <c r="S26" s="237">
        <f t="shared" si="10"/>
        <v>6408517</v>
      </c>
      <c r="T26" s="237">
        <f t="shared" si="10"/>
        <v>6099187</v>
      </c>
      <c r="U26" s="237">
        <f t="shared" si="10"/>
        <v>6052199</v>
      </c>
      <c r="V26" s="237">
        <f t="shared" si="10"/>
        <v>5969399</v>
      </c>
      <c r="W26" s="237">
        <f t="shared" si="10"/>
        <v>5897799</v>
      </c>
      <c r="X26" s="237">
        <f t="shared" si="10"/>
        <v>5897799</v>
      </c>
      <c r="Y26" s="237">
        <f t="shared" si="10"/>
        <v>5964289</v>
      </c>
      <c r="Z26" s="237">
        <f t="shared" si="10"/>
        <v>5589713</v>
      </c>
      <c r="AA26" s="237">
        <f t="shared" si="10"/>
        <v>6134074</v>
      </c>
      <c r="AB26" s="237">
        <f t="shared" si="10"/>
        <v>6105994</v>
      </c>
      <c r="AC26" s="237">
        <f t="shared" si="10"/>
        <v>6045194</v>
      </c>
      <c r="AD26" s="237">
        <f t="shared" si="10"/>
        <v>5941994</v>
      </c>
      <c r="AE26" s="237">
        <f t="shared" si="10"/>
        <v>5941994</v>
      </c>
      <c r="AF26" s="237">
        <f t="shared" si="10"/>
        <v>5843994</v>
      </c>
      <c r="AG26" s="237">
        <f t="shared" si="10"/>
        <v>5312975</v>
      </c>
      <c r="AH26" s="237">
        <f t="shared" si="10"/>
        <v>6283451</v>
      </c>
      <c r="AI26" s="237">
        <f t="shared" si="10"/>
        <v>6136905</v>
      </c>
      <c r="AJ26" s="237">
        <f t="shared" si="10"/>
        <v>6379789</v>
      </c>
      <c r="AK26" s="237">
        <f t="shared" si="10"/>
        <v>6287789</v>
      </c>
      <c r="AL26" s="237">
        <f t="shared" si="10"/>
        <v>6287789</v>
      </c>
      <c r="AM26" s="237">
        <f t="shared" si="10"/>
        <v>0</v>
      </c>
      <c r="AN26" s="237">
        <f t="shared" si="10"/>
        <v>0</v>
      </c>
      <c r="AO26" s="237">
        <f t="shared" si="10"/>
        <v>5982361.5999999996</v>
      </c>
    </row>
    <row r="27" spans="1:44" s="14" customFormat="1" ht="22" customHeight="1" x14ac:dyDescent="0.45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0</v>
      </c>
      <c r="AN27" s="27">
        <f>VALUE(庫存金額!AH20)</f>
        <v>0</v>
      </c>
      <c r="AO27" s="27">
        <f>VALUE(庫存金額!AI20)</f>
        <v>14160</v>
      </c>
    </row>
    <row r="28" spans="1:44" s="14" customFormat="1" ht="22" customHeight="1" x14ac:dyDescent="0.45">
      <c r="A28" s="23"/>
      <c r="B28" s="263"/>
      <c r="C28" s="29" t="s">
        <v>32</v>
      </c>
      <c r="D28" s="326">
        <f>HLOOKUP(MONTH(日期!$C$2),去年月推移!$D$1:$O$33,26,TRUE)</f>
        <v>117466.8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67464</v>
      </c>
      <c r="J28" s="27">
        <f>VALUE(庫存金額!D21)</f>
        <v>67464</v>
      </c>
      <c r="K28" s="27">
        <f>VALUE(庫存金額!E21)</f>
        <v>67464</v>
      </c>
      <c r="L28" s="27">
        <f>VALUE(庫存金額!F21)</f>
        <v>22344</v>
      </c>
      <c r="M28" s="27">
        <f>VALUE(庫存金額!G21)</f>
        <v>22344</v>
      </c>
      <c r="N28" s="27">
        <f>VALUE(庫存金額!H21)</f>
        <v>22344</v>
      </c>
      <c r="O28" s="27">
        <f>VALUE(庫存金額!I21)</f>
        <v>22344</v>
      </c>
      <c r="P28" s="27">
        <f>VALUE(庫存金額!J21)</f>
        <v>22344</v>
      </c>
      <c r="Q28" s="27">
        <f>VALUE(庫存金額!K21)</f>
        <v>22344</v>
      </c>
      <c r="R28" s="27">
        <f>VALUE(庫存金額!L21)</f>
        <v>22344</v>
      </c>
      <c r="S28" s="27">
        <f>VALUE(庫存金額!M21)</f>
        <v>22344</v>
      </c>
      <c r="T28" s="27">
        <f>VALUE(庫存金額!N21)</f>
        <v>16704</v>
      </c>
      <c r="U28" s="27">
        <f>VALUE(庫存金額!O21)</f>
        <v>16704</v>
      </c>
      <c r="V28" s="27">
        <f>VALUE(庫存金額!P21)</f>
        <v>16704</v>
      </c>
      <c r="W28" s="27">
        <f>VALUE(庫存金額!Q21)</f>
        <v>16704</v>
      </c>
      <c r="X28" s="27">
        <f>VALUE(庫存金額!R21)</f>
        <v>16704</v>
      </c>
      <c r="Y28" s="27">
        <f>VALUE(庫存金額!S21)</f>
        <v>16704</v>
      </c>
      <c r="Z28" s="27">
        <f>VALUE(庫存金額!T21)</f>
        <v>16704</v>
      </c>
      <c r="AA28" s="27">
        <f>VALUE(庫存金額!U21)</f>
        <v>87768</v>
      </c>
      <c r="AB28" s="27">
        <f>VALUE(庫存金額!V21)</f>
        <v>87768</v>
      </c>
      <c r="AC28" s="27">
        <f>VALUE(庫存金額!W21)</f>
        <v>87768</v>
      </c>
      <c r="AD28" s="27">
        <f>VALUE(庫存金額!X21)</f>
        <v>87768</v>
      </c>
      <c r="AE28" s="27">
        <f>VALUE(庫存金額!Y21)</f>
        <v>87768</v>
      </c>
      <c r="AF28" s="27">
        <f>VALUE(庫存金額!Z21)</f>
        <v>87768</v>
      </c>
      <c r="AG28" s="27">
        <f>VALUE(庫存金額!AA21)</f>
        <v>76488</v>
      </c>
      <c r="AH28" s="27">
        <f>VALUE(庫存金額!AB21)</f>
        <v>107988</v>
      </c>
      <c r="AI28" s="27">
        <f>VALUE(庫存金額!AC21)</f>
        <v>107988</v>
      </c>
      <c r="AJ28" s="27">
        <f>VALUE(庫存金額!AD21)</f>
        <v>107988</v>
      </c>
      <c r="AK28" s="27">
        <f>VALUE(庫存金額!AE21)</f>
        <v>107988</v>
      </c>
      <c r="AL28" s="27">
        <f>VALUE(庫存金額!AF21)</f>
        <v>107988</v>
      </c>
      <c r="AM28" s="27">
        <f>VALUE(庫存金額!AG21)</f>
        <v>0</v>
      </c>
      <c r="AN28" s="27">
        <f>VALUE(庫存金額!AH21)</f>
        <v>0</v>
      </c>
      <c r="AO28" s="27">
        <f>VALUE(庫存金額!AI21)</f>
        <v>54703.6</v>
      </c>
    </row>
    <row r="29" spans="1:44" s="14" customFormat="1" ht="22" customHeight="1" x14ac:dyDescent="0.45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9113707</v>
      </c>
      <c r="H29" s="308">
        <f>當年月推移!P61</f>
        <v>9106607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2" customHeight="1" thickBot="1" x14ac:dyDescent="0.5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6896443</v>
      </c>
      <c r="H30" s="308">
        <f>當年月推移!P62</f>
        <v>7196435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2" customHeight="1" thickBot="1" x14ac:dyDescent="0.5">
      <c r="A31" s="23"/>
      <c r="B31" s="289"/>
      <c r="C31" s="290" t="s">
        <v>35</v>
      </c>
      <c r="D31" s="326">
        <f>HLOOKUP(MONTH(日期!$C$2),去年月推移!$D$1:$O$33,29,TRUE)</f>
        <v>1284767.5666660001</v>
      </c>
      <c r="E31" s="326">
        <f>HLOOKUP(MONTH(日期!$C$2),當年目標設定!$D$1:$O$33,29,TRUE)</f>
        <v>0</v>
      </c>
      <c r="F31" s="506">
        <f>HLOOKUP(MONTH(日期!$C$2),當年目標設定!$R$1:$AC$33,29,TRUE)</f>
        <v>0</v>
      </c>
      <c r="G31" s="506">
        <f>當年月推移!P34</f>
        <v>0</v>
      </c>
      <c r="H31" s="506">
        <f>當年月推移!P68</f>
        <v>0</v>
      </c>
      <c r="I31" s="111">
        <f>VALUE(庫存金額!C25)</f>
        <v>5970107</v>
      </c>
      <c r="J31" s="111">
        <f>VALUE(庫存金額!D25)</f>
        <v>5970107</v>
      </c>
      <c r="K31" s="111">
        <f>VALUE(庫存金額!E25)</f>
        <v>6114257</v>
      </c>
      <c r="L31" s="111">
        <f>VALUE(庫存金額!F25)</f>
        <v>5525776</v>
      </c>
      <c r="M31" s="111">
        <f>VALUE(庫存金額!G25)</f>
        <v>5505696</v>
      </c>
      <c r="N31" s="111">
        <f>VALUE(庫存金額!H25)</f>
        <v>5850912</v>
      </c>
      <c r="O31" s="111">
        <f>VALUE(庫存金額!I25)</f>
        <v>5764112</v>
      </c>
      <c r="P31" s="111">
        <f>VALUE(庫存金額!J25)</f>
        <v>5650512</v>
      </c>
      <c r="Q31" s="111">
        <f>VALUE(庫存金額!K25)</f>
        <v>5650512</v>
      </c>
      <c r="R31" s="111">
        <f>VALUE(庫存金額!L25)</f>
        <v>6387613</v>
      </c>
      <c r="S31" s="111">
        <f>VALUE(庫存金額!M25)</f>
        <v>6372013</v>
      </c>
      <c r="T31" s="111">
        <f>VALUE(庫存金額!N25)</f>
        <v>6068323</v>
      </c>
      <c r="U31" s="111">
        <f>VALUE(庫存金額!O25)</f>
        <v>6021335</v>
      </c>
      <c r="V31" s="111">
        <f>VALUE(庫存金額!P25)</f>
        <v>5938535</v>
      </c>
      <c r="W31" s="111">
        <f>VALUE(庫存金額!Q25)</f>
        <v>5866935</v>
      </c>
      <c r="X31" s="111">
        <f>VALUE(庫存金額!R25)</f>
        <v>5866935</v>
      </c>
      <c r="Y31" s="111">
        <f>VALUE(庫存金額!S25)</f>
        <v>5933425</v>
      </c>
      <c r="Z31" s="111">
        <f>VALUE(庫存金額!T25)</f>
        <v>5558849</v>
      </c>
      <c r="AA31" s="111">
        <f>VALUE(庫存金額!U25)</f>
        <v>6032146</v>
      </c>
      <c r="AB31" s="111">
        <f>VALUE(庫存金額!V25)</f>
        <v>6004066</v>
      </c>
      <c r="AC31" s="111">
        <f>VALUE(庫存金額!W25)</f>
        <v>5943266</v>
      </c>
      <c r="AD31" s="111">
        <f>VALUE(庫存金額!X25)</f>
        <v>5840066</v>
      </c>
      <c r="AE31" s="111">
        <f>VALUE(庫存金額!Y25)</f>
        <v>5840066</v>
      </c>
      <c r="AF31" s="111">
        <f>VALUE(庫存金額!Z25)</f>
        <v>5742066</v>
      </c>
      <c r="AG31" s="111">
        <f>VALUE(庫存金額!AA25)</f>
        <v>5222327</v>
      </c>
      <c r="AH31" s="111">
        <f>VALUE(庫存金額!AB25)</f>
        <v>6161303</v>
      </c>
      <c r="AI31" s="111">
        <f>VALUE(庫存金額!AC25)</f>
        <v>6014757</v>
      </c>
      <c r="AJ31" s="111">
        <f>VALUE(庫存金額!AD25)</f>
        <v>6257641</v>
      </c>
      <c r="AK31" s="111">
        <f>VALUE(庫存金額!AE25)</f>
        <v>6165641</v>
      </c>
      <c r="AL31" s="111">
        <f>VALUE(庫存金額!AF25)</f>
        <v>6165641</v>
      </c>
      <c r="AM31" s="111">
        <f>VALUE(庫存金額!AG25)</f>
        <v>0</v>
      </c>
      <c r="AN31" s="111">
        <f>VALUE(庫存金額!AH25)</f>
        <v>0</v>
      </c>
      <c r="AO31" s="111">
        <f>VALUE(庫存金額!AI25)</f>
        <v>5913498</v>
      </c>
    </row>
    <row r="32" spans="1:44" s="32" customFormat="1" ht="22" customHeight="1" x14ac:dyDescent="0.45">
      <c r="A32" s="595" t="s">
        <v>36</v>
      </c>
      <c r="B32" s="596"/>
      <c r="C32" s="31" t="s">
        <v>37</v>
      </c>
      <c r="D32" s="327">
        <f>HLOOKUP(MONTH(日期!$C$2),去年月推移!$D$1:$O$33,30,TRUE)</f>
        <v>2224143.8333333335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962515</v>
      </c>
      <c r="H32" s="328">
        <f>當年月推移!P63</f>
        <v>818310</v>
      </c>
      <c r="I32" s="110">
        <f>VALUE(庫存金額!C15)</f>
        <v>111323</v>
      </c>
      <c r="J32" s="110">
        <f>VALUE(庫存金額!D15)</f>
        <v>111323</v>
      </c>
      <c r="K32" s="110">
        <f>VALUE(庫存金額!E15)</f>
        <v>103478</v>
      </c>
      <c r="L32" s="110">
        <f>VALUE(庫存金額!F15)</f>
        <v>119280</v>
      </c>
      <c r="M32" s="110">
        <f>VALUE(庫存金額!G15)</f>
        <v>119280</v>
      </c>
      <c r="N32" s="110">
        <f>VALUE(庫存金額!H15)</f>
        <v>115352</v>
      </c>
      <c r="O32" s="110">
        <f>VALUE(庫存金額!I15)</f>
        <v>111424</v>
      </c>
      <c r="P32" s="110">
        <f>VALUE(庫存金額!J15)</f>
        <v>107496</v>
      </c>
      <c r="Q32" s="110">
        <f>VALUE(庫存金額!K15)</f>
        <v>107496</v>
      </c>
      <c r="R32" s="110">
        <f>VALUE(庫存金額!L15)</f>
        <v>107496</v>
      </c>
      <c r="S32" s="110">
        <f>VALUE(庫存金額!M15)</f>
        <v>107496</v>
      </c>
      <c r="T32" s="110">
        <f>VALUE(庫存金額!N15)</f>
        <v>106781</v>
      </c>
      <c r="U32" s="110">
        <f>VALUE(庫存金額!O15)</f>
        <v>110975</v>
      </c>
      <c r="V32" s="110">
        <f>VALUE(庫存金額!P15)</f>
        <v>102587</v>
      </c>
      <c r="W32" s="110">
        <f>VALUE(庫存金額!Q15)</f>
        <v>86188</v>
      </c>
      <c r="X32" s="110">
        <f>VALUE(庫存金額!R15)</f>
        <v>86188</v>
      </c>
      <c r="Y32" s="110">
        <f>VALUE(庫存金額!S15)</f>
        <v>110959</v>
      </c>
      <c r="Z32" s="110">
        <f>VALUE(庫存金額!T15)</f>
        <v>107027</v>
      </c>
      <c r="AA32" s="110">
        <f>VALUE(庫存金額!U15)</f>
        <v>107028</v>
      </c>
      <c r="AB32" s="110">
        <f>VALUE(庫存金額!V15)</f>
        <v>99164</v>
      </c>
      <c r="AC32" s="110">
        <f>VALUE(庫存金額!W15)</f>
        <v>95232</v>
      </c>
      <c r="AD32" s="110">
        <f>VALUE(庫存金額!X15)</f>
        <v>91192</v>
      </c>
      <c r="AE32" s="110">
        <f>VALUE(庫存金額!Y15)</f>
        <v>91192</v>
      </c>
      <c r="AF32" s="110">
        <f>VALUE(庫存金額!Z15)</f>
        <v>86723</v>
      </c>
      <c r="AG32" s="110">
        <f>VALUE(庫存金額!AA15)</f>
        <v>86724</v>
      </c>
      <c r="AH32" s="110">
        <f>VALUE(庫存金額!AB15)</f>
        <v>82640</v>
      </c>
      <c r="AI32" s="110">
        <f>VALUE(庫存金額!AC15)</f>
        <v>82639</v>
      </c>
      <c r="AJ32" s="110">
        <f>VALUE(庫存金額!AD15)</f>
        <v>78556</v>
      </c>
      <c r="AK32" s="110">
        <f>VALUE(庫存金額!AE15)</f>
        <v>78556</v>
      </c>
      <c r="AL32" s="110">
        <f>VALUE(庫存金額!AF15)</f>
        <v>78556</v>
      </c>
      <c r="AM32" s="110">
        <f>VALUE(庫存金額!AG15)</f>
        <v>0</v>
      </c>
      <c r="AN32" s="110">
        <f>VALUE(庫存金額!AH15)</f>
        <v>0</v>
      </c>
      <c r="AO32" s="110">
        <f>VALUE(庫存金額!AI15)</f>
        <v>99678.37</v>
      </c>
    </row>
    <row r="33" spans="1:41" s="32" customFormat="1" ht="22" customHeight="1" x14ac:dyDescent="0.45">
      <c r="A33" s="597"/>
      <c r="B33" s="598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2" customHeight="1" x14ac:dyDescent="0.45">
      <c r="A34" s="597"/>
      <c r="B34" s="598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6477464</v>
      </c>
      <c r="H34" s="328">
        <f>當年月推移!P65</f>
        <v>9535567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2" customHeight="1" thickBot="1" x14ac:dyDescent="0.5">
      <c r="A35" s="599"/>
      <c r="B35" s="600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7">
        <f>HLOOKUP(MONTH(日期!$C$2),當年目標設定!$R$1:$AC$33,33,TRUE)</f>
        <v>0</v>
      </c>
      <c r="G35" s="507">
        <f>當年月推移!P32</f>
        <v>10612512</v>
      </c>
      <c r="H35" s="507">
        <f>當年月推移!P66</f>
        <v>10613945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5" customHeight="1" x14ac:dyDescent="0.45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5" customHeight="1" thickBot="1" x14ac:dyDescent="0.5">
      <c r="A37" s="41" t="s">
        <v>41</v>
      </c>
      <c r="B37" s="42"/>
      <c r="C37" s="43"/>
      <c r="D37" s="302"/>
      <c r="E37" s="302"/>
      <c r="F37" s="302"/>
      <c r="G37" s="505"/>
      <c r="H37" s="505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 x14ac:dyDescent="0.4">
      <c r="A38" s="605" t="s">
        <v>1</v>
      </c>
      <c r="B38" s="586"/>
      <c r="C38" s="586"/>
      <c r="D38" s="607" t="str">
        <f>D3</f>
        <v>2024/11</v>
      </c>
      <c r="E38" s="609" t="str">
        <f>E3</f>
        <v>2025/11</v>
      </c>
      <c r="F38" s="332"/>
      <c r="G38" s="564">
        <f>YEAR(日期!C2)</f>
        <v>2025</v>
      </c>
      <c r="H38" s="565"/>
      <c r="I38" s="526" t="str">
        <f>日期!C2</f>
        <v>2025/11/01</v>
      </c>
      <c r="J38" s="526" t="str">
        <f>日期!D2</f>
        <v>2025/11/02</v>
      </c>
      <c r="K38" s="526" t="str">
        <f>日期!E2</f>
        <v>2025/11/03</v>
      </c>
      <c r="L38" s="526" t="str">
        <f>日期!F2</f>
        <v>2025/11/04</v>
      </c>
      <c r="M38" s="526" t="str">
        <f>日期!G2</f>
        <v>2025/11/05</v>
      </c>
      <c r="N38" s="526" t="str">
        <f>日期!H2</f>
        <v>2025/11/06</v>
      </c>
      <c r="O38" s="526" t="str">
        <f>日期!I2</f>
        <v>2025/11/07</v>
      </c>
      <c r="P38" s="526" t="str">
        <f>日期!J2</f>
        <v>2025/11/08</v>
      </c>
      <c r="Q38" s="526" t="str">
        <f>日期!K2</f>
        <v>2025/11/09</v>
      </c>
      <c r="R38" s="526" t="str">
        <f>日期!L2</f>
        <v>2025/11/10</v>
      </c>
      <c r="S38" s="526" t="str">
        <f>日期!M2</f>
        <v>2025/11/11</v>
      </c>
      <c r="T38" s="526" t="str">
        <f>日期!N2</f>
        <v>2025/11/12</v>
      </c>
      <c r="U38" s="526" t="str">
        <f>日期!O2</f>
        <v>2025/11/13</v>
      </c>
      <c r="V38" s="526" t="str">
        <f>日期!P2</f>
        <v>2025/11/14</v>
      </c>
      <c r="W38" s="526" t="str">
        <f>日期!Q2</f>
        <v>2025/11/15</v>
      </c>
      <c r="X38" s="526" t="str">
        <f>日期!R2</f>
        <v>2025/11/16</v>
      </c>
      <c r="Y38" s="526" t="str">
        <f>日期!S2</f>
        <v>2025/11/17</v>
      </c>
      <c r="Z38" s="526" t="str">
        <f>日期!T2</f>
        <v>2025/11/18</v>
      </c>
      <c r="AA38" s="526" t="str">
        <f>日期!U2</f>
        <v>2025/11/19</v>
      </c>
      <c r="AB38" s="526" t="str">
        <f>日期!V2</f>
        <v>2025/11/20</v>
      </c>
      <c r="AC38" s="526" t="str">
        <f>日期!W2</f>
        <v>2025/11/21</v>
      </c>
      <c r="AD38" s="526" t="str">
        <f>日期!X2</f>
        <v>2025/11/22</v>
      </c>
      <c r="AE38" s="526" t="str">
        <f>日期!Y2</f>
        <v>2025/11/23</v>
      </c>
      <c r="AF38" s="526" t="str">
        <f>日期!Z2</f>
        <v>2025/11/24</v>
      </c>
      <c r="AG38" s="526" t="str">
        <f>日期!AA2</f>
        <v>2025/11/25</v>
      </c>
      <c r="AH38" s="526" t="str">
        <f>日期!AB2</f>
        <v>2025/11/26</v>
      </c>
      <c r="AI38" s="526" t="str">
        <f>日期!AC2</f>
        <v>2025/11/27</v>
      </c>
      <c r="AJ38" s="526" t="str">
        <f>日期!AD2</f>
        <v>2025/11/28</v>
      </c>
      <c r="AK38" s="526" t="str">
        <f>日期!AE2</f>
        <v>2025/11/29</v>
      </c>
      <c r="AL38" s="526" t="str">
        <f>日期!AF2</f>
        <v>2025/11/30</v>
      </c>
      <c r="AM38" s="526">
        <f>日期!AG2</f>
        <v>0</v>
      </c>
      <c r="AN38" s="603" t="s">
        <v>42</v>
      </c>
    </row>
    <row r="39" spans="1:41" s="14" customFormat="1" ht="24" customHeight="1" thickBot="1" x14ac:dyDescent="0.45">
      <c r="A39" s="606"/>
      <c r="B39" s="587"/>
      <c r="C39" s="587"/>
      <c r="D39" s="608"/>
      <c r="E39" s="610"/>
      <c r="F39" s="333"/>
      <c r="G39" s="566" t="s">
        <v>43</v>
      </c>
      <c r="H39" s="567"/>
      <c r="I39" s="12" t="str">
        <f>日期!C3</f>
        <v>Sat</v>
      </c>
      <c r="J39" s="12" t="str">
        <f>日期!D3</f>
        <v>Sun</v>
      </c>
      <c r="K39" s="12" t="str">
        <f>日期!E3</f>
        <v>Mon</v>
      </c>
      <c r="L39" s="12" t="str">
        <f>日期!F3</f>
        <v>Tue</v>
      </c>
      <c r="M39" s="12" t="str">
        <f>日期!G3</f>
        <v>Wed</v>
      </c>
      <c r="N39" s="12" t="str">
        <f>日期!H3</f>
        <v>Thu</v>
      </c>
      <c r="O39" s="12" t="str">
        <f>日期!I3</f>
        <v>Fri</v>
      </c>
      <c r="P39" s="12" t="str">
        <f>日期!J3</f>
        <v>Sat</v>
      </c>
      <c r="Q39" s="12" t="str">
        <f>日期!K3</f>
        <v>Sun</v>
      </c>
      <c r="R39" s="12" t="str">
        <f>日期!L3</f>
        <v>Mon</v>
      </c>
      <c r="S39" s="12" t="str">
        <f>日期!M3</f>
        <v>Tue</v>
      </c>
      <c r="T39" s="12" t="str">
        <f>日期!N3</f>
        <v>Wed</v>
      </c>
      <c r="U39" s="12" t="str">
        <f>日期!O3</f>
        <v>Thu</v>
      </c>
      <c r="V39" s="12" t="str">
        <f>日期!P3</f>
        <v>Fri</v>
      </c>
      <c r="W39" s="12" t="str">
        <f>日期!Q3</f>
        <v>Sat</v>
      </c>
      <c r="X39" s="12" t="str">
        <f>日期!R3</f>
        <v>Sun</v>
      </c>
      <c r="Y39" s="12" t="str">
        <f>日期!S3</f>
        <v>Mon</v>
      </c>
      <c r="Z39" s="12" t="str">
        <f>日期!T3</f>
        <v>Tue</v>
      </c>
      <c r="AA39" s="12" t="str">
        <f>日期!U3</f>
        <v>Wed</v>
      </c>
      <c r="AB39" s="12" t="str">
        <f>日期!V3</f>
        <v>Thu</v>
      </c>
      <c r="AC39" s="12" t="str">
        <f>日期!W3</f>
        <v>Fri</v>
      </c>
      <c r="AD39" s="12" t="str">
        <f>日期!X3</f>
        <v>Sat</v>
      </c>
      <c r="AE39" s="12" t="str">
        <f>日期!Y3</f>
        <v>Sun</v>
      </c>
      <c r="AF39" s="12" t="str">
        <f>日期!Z3</f>
        <v>Mon</v>
      </c>
      <c r="AG39" s="12" t="str">
        <f>日期!AA3</f>
        <v>Tue</v>
      </c>
      <c r="AH39" s="12" t="str">
        <f>日期!AB3</f>
        <v>Wed</v>
      </c>
      <c r="AI39" s="12" t="str">
        <f>日期!AC3</f>
        <v>Thu</v>
      </c>
      <c r="AJ39" s="12" t="str">
        <f>日期!AD3</f>
        <v>Fri</v>
      </c>
      <c r="AK39" s="12" t="str">
        <f>日期!AE3</f>
        <v>Sat</v>
      </c>
      <c r="AL39" s="12" t="str">
        <f>日期!AF3</f>
        <v>Sun</v>
      </c>
      <c r="AM39" s="12">
        <f>日期!AG3</f>
        <v>0</v>
      </c>
      <c r="AN39" s="604"/>
    </row>
    <row r="40" spans="1:41" s="14" customFormat="1" ht="22" customHeight="1" x14ac:dyDescent="0.45">
      <c r="A40" s="556" t="s">
        <v>44</v>
      </c>
      <c r="B40" s="557"/>
      <c r="C40" s="557"/>
      <c r="D40" s="272">
        <f>HLOOKUP(MONTH(日期!$C$2),去年月推移!$D$1:$O$200,98,TRUE)</f>
        <v>98.372005000000001</v>
      </c>
      <c r="E40" s="45">
        <v>97.9</v>
      </c>
      <c r="F40" s="46" t="s">
        <v>45</v>
      </c>
      <c r="G40" s="558">
        <f>ROUND(當年月推移!P99,1)</f>
        <v>98</v>
      </c>
      <c r="H40" s="559"/>
      <c r="I40" s="245">
        <f>ROUND(供應率ALL!C2,1)</f>
        <v>96.9</v>
      </c>
      <c r="J40" s="245">
        <f>ROUND(供應率ALL!D2,1)</f>
        <v>0</v>
      </c>
      <c r="K40" s="245">
        <f>ROUND(供應率ALL!E2,1)</f>
        <v>97.9</v>
      </c>
      <c r="L40" s="245">
        <f>ROUND(供應率ALL!F2,1)</f>
        <v>97.6</v>
      </c>
      <c r="M40" s="245">
        <f>ROUND(供應率ALL!G2,1)</f>
        <v>97.4</v>
      </c>
      <c r="N40" s="245">
        <f>ROUND(供應率ALL!H2,1)</f>
        <v>97.8</v>
      </c>
      <c r="O40" s="245">
        <f>ROUND(供應率ALL!I2,1)</f>
        <v>97.6</v>
      </c>
      <c r="P40" s="245">
        <f>ROUND(供應率ALL!J2,1)</f>
        <v>97.3</v>
      </c>
      <c r="Q40" s="245">
        <f>ROUND(供應率ALL!K2,1)</f>
        <v>0</v>
      </c>
      <c r="R40" s="245">
        <f>ROUND(供應率ALL!L2,1)</f>
        <v>98.1</v>
      </c>
      <c r="S40" s="245">
        <f>ROUND(供應率ALL!M2,1)</f>
        <v>100</v>
      </c>
      <c r="T40" s="245">
        <f>ROUND(供應率ALL!N2,1)</f>
        <v>96</v>
      </c>
      <c r="U40" s="245">
        <f>ROUND(供應率ALL!O2,1)</f>
        <v>97.9</v>
      </c>
      <c r="V40" s="245">
        <f>ROUND(供應率ALL!P2,1)</f>
        <v>97.8</v>
      </c>
      <c r="W40" s="245">
        <f>ROUND(供應率ALL!Q2,1)</f>
        <v>97.9</v>
      </c>
      <c r="X40" s="245">
        <f>ROUND(供應率ALL!R2,1)</f>
        <v>0</v>
      </c>
      <c r="Y40" s="245">
        <f>ROUND(供應率ALL!S2,1)</f>
        <v>97.8</v>
      </c>
      <c r="Z40" s="245">
        <f>ROUND(供應率ALL!T2,1)</f>
        <v>97.8</v>
      </c>
      <c r="AA40" s="245">
        <f>ROUND(供應率ALL!U2,1)</f>
        <v>97.6</v>
      </c>
      <c r="AB40" s="245">
        <f>ROUND(供應率ALL!V2,1)</f>
        <v>98</v>
      </c>
      <c r="AC40" s="245">
        <f>ROUND(供應率ALL!W2,1)</f>
        <v>98.4</v>
      </c>
      <c r="AD40" s="245">
        <f>ROUND(供應率ALL!X2,1)</f>
        <v>97.8</v>
      </c>
      <c r="AE40" s="245">
        <f>ROUND(供應率ALL!Y2,1)</f>
        <v>0</v>
      </c>
      <c r="AF40" s="245">
        <f>ROUND(供應率ALL!Z2,1)</f>
        <v>98.3</v>
      </c>
      <c r="AG40" s="245">
        <f>ROUND(供應率ALL!AA2,1)</f>
        <v>97.4</v>
      </c>
      <c r="AH40" s="245">
        <f>ROUND(供應率ALL!AB2,1)</f>
        <v>98.3</v>
      </c>
      <c r="AI40" s="245">
        <f>ROUND(供應率ALL!AC2,1)</f>
        <v>98.3</v>
      </c>
      <c r="AJ40" s="245">
        <f>ROUND(供應率ALL!AD2,1)</f>
        <v>98.1</v>
      </c>
      <c r="AK40" s="245">
        <f>ROUND(供應率ALL!AE2,1)</f>
        <v>98.6</v>
      </c>
      <c r="AL40" s="245">
        <f>ROUND(供應率ALL!AF2,1)</f>
        <v>0</v>
      </c>
      <c r="AM40" s="245">
        <f>ROUND(供應率ALL!AG2,1)</f>
        <v>0</v>
      </c>
      <c r="AN40" s="213">
        <f>ROUND(供應率ALL!AH2,1)</f>
        <v>97.9</v>
      </c>
      <c r="AO40" s="48"/>
    </row>
    <row r="41" spans="1:41" s="14" customFormat="1" ht="22" customHeight="1" x14ac:dyDescent="0.45">
      <c r="A41" s="560" t="s">
        <v>46</v>
      </c>
      <c r="B41" s="561"/>
      <c r="C41" s="561"/>
      <c r="D41" s="44">
        <f>HLOOKUP(MONTH(日期!$C$2),去年月推移!$D$1:$O$200,99,TRUE)</f>
        <v>98.840783000000002</v>
      </c>
      <c r="E41" s="50">
        <v>99.5</v>
      </c>
      <c r="F41" s="51" t="s">
        <v>45</v>
      </c>
      <c r="G41" s="562">
        <f>ROUND(當年月推移!P100,1)</f>
        <v>99.8</v>
      </c>
      <c r="H41" s="563"/>
      <c r="I41" s="47">
        <f>ROUND(供應率ALL!C4,1)</f>
        <v>100</v>
      </c>
      <c r="J41" s="47">
        <f>ROUND(供應率ALL!D4,1)</f>
        <v>0</v>
      </c>
      <c r="K41" s="47">
        <f>ROUND(供應率ALL!E4,1)</f>
        <v>100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0</v>
      </c>
      <c r="R41" s="47">
        <f>ROUND(供應率ALL!L4,1)</f>
        <v>100</v>
      </c>
      <c r="S41" s="47">
        <f>ROUND(供應率ALL!M4,1)</f>
        <v>100</v>
      </c>
      <c r="T41" s="47">
        <f>ROUND(供應率ALL!N4,1)</f>
        <v>100</v>
      </c>
      <c r="U41" s="47">
        <f>ROUND(供應率ALL!O4,1)</f>
        <v>100</v>
      </c>
      <c r="V41" s="47">
        <f>ROUND(供應率ALL!P4,1)</f>
        <v>100</v>
      </c>
      <c r="W41" s="47">
        <f>ROUND(供應率ALL!Q4,1)</f>
        <v>100</v>
      </c>
      <c r="X41" s="47">
        <f>ROUND(供應率ALL!R4,1)</f>
        <v>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100</v>
      </c>
      <c r="AB41" s="47">
        <f>ROUND(供應率ALL!V4,1)</f>
        <v>100</v>
      </c>
      <c r="AC41" s="47">
        <f>ROUND(供應率ALL!W4,1)</f>
        <v>100</v>
      </c>
      <c r="AD41" s="47">
        <f>ROUND(供應率ALL!X4,1)</f>
        <v>100</v>
      </c>
      <c r="AE41" s="47">
        <f>ROUND(供應率ALL!Y4,1)</f>
        <v>0</v>
      </c>
      <c r="AF41" s="47">
        <f>ROUND(供應率ALL!Z4,1)</f>
        <v>100</v>
      </c>
      <c r="AG41" s="47">
        <f>ROUND(供應率ALL!AA4,1)</f>
        <v>100</v>
      </c>
      <c r="AH41" s="47">
        <f>ROUND(供應率ALL!AB4,1)</f>
        <v>100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0</v>
      </c>
      <c r="AM41" s="47">
        <f>ROUND(供應率ALL!AG4,1)</f>
        <v>0</v>
      </c>
      <c r="AN41" s="214">
        <f>ROUND(供應率ALL!AH4,1)</f>
        <v>100</v>
      </c>
      <c r="AO41" s="48"/>
    </row>
    <row r="42" spans="1:41" s="14" customFormat="1" ht="22" customHeight="1" x14ac:dyDescent="0.45">
      <c r="A42" s="560" t="s">
        <v>13</v>
      </c>
      <c r="B42" s="561"/>
      <c r="C42" s="561"/>
      <c r="D42" s="44">
        <f>HLOOKUP(MONTH(日期!$C$2),去年月推移!$D$1:$O$200,100,TRUE)</f>
        <v>94.079600999999997</v>
      </c>
      <c r="E42" s="50">
        <v>80</v>
      </c>
      <c r="F42" s="51" t="s">
        <v>45</v>
      </c>
      <c r="G42" s="562">
        <f>ROUND(當年月推移!P101,1)</f>
        <v>88.3</v>
      </c>
      <c r="H42" s="563"/>
      <c r="I42" s="47">
        <f>ROUND(供應率ALL!C5,1)</f>
        <v>58.8</v>
      </c>
      <c r="J42" s="47">
        <f>ROUND(供應率ALL!D5,1)</f>
        <v>0</v>
      </c>
      <c r="K42" s="47">
        <f>ROUND(供應率ALL!E5,1)</f>
        <v>42.1</v>
      </c>
      <c r="L42" s="47">
        <f>ROUND(供應率ALL!F5,1)</f>
        <v>72.7</v>
      </c>
      <c r="M42" s="47">
        <f>ROUND(供應率ALL!G5,1)</f>
        <v>99</v>
      </c>
      <c r="N42" s="47">
        <f>ROUND(供應率ALL!H5,1)</f>
        <v>93.3</v>
      </c>
      <c r="O42" s="47">
        <f>ROUND(供應率ALL!I5,1)</f>
        <v>100</v>
      </c>
      <c r="P42" s="47">
        <f>ROUND(供應率ALL!J5,1)</f>
        <v>100</v>
      </c>
      <c r="Q42" s="47">
        <f>ROUND(供應率ALL!K5,1)</f>
        <v>0</v>
      </c>
      <c r="R42" s="47">
        <f>ROUND(供應率ALL!L5,1)</f>
        <v>93.7</v>
      </c>
      <c r="S42" s="47">
        <f>ROUND(供應率ALL!M5,1)</f>
        <v>100</v>
      </c>
      <c r="T42" s="47">
        <f>ROUND(供應率ALL!N5,1)</f>
        <v>75</v>
      </c>
      <c r="U42" s="47">
        <f>ROUND(供應率ALL!O5,1)</f>
        <v>81.8</v>
      </c>
      <c r="V42" s="47">
        <f>ROUND(供應率ALL!P5,1)</f>
        <v>87.5</v>
      </c>
      <c r="W42" s="47">
        <f>ROUND(供應率ALL!Q5,1)</f>
        <v>53.8</v>
      </c>
      <c r="X42" s="47">
        <f>ROUND(供應率ALL!R5,1)</f>
        <v>0</v>
      </c>
      <c r="Y42" s="47">
        <f>ROUND(供應率ALL!S5,1)</f>
        <v>50</v>
      </c>
      <c r="Z42" s="47">
        <f>ROUND(供應率ALL!T5,1)</f>
        <v>28.5</v>
      </c>
      <c r="AA42" s="47">
        <f>ROUND(供應率ALL!U5,1)</f>
        <v>66.599999999999994</v>
      </c>
      <c r="AB42" s="47">
        <f>ROUND(供應率ALL!V5,1)</f>
        <v>63.1</v>
      </c>
      <c r="AC42" s="47">
        <f>ROUND(供應率ALL!W5,1)</f>
        <v>83.3</v>
      </c>
      <c r="AD42" s="47">
        <f>ROUND(供應率ALL!X5,1)</f>
        <v>69.2</v>
      </c>
      <c r="AE42" s="47">
        <f>ROUND(供應率ALL!Y5,1)</f>
        <v>0</v>
      </c>
      <c r="AF42" s="47">
        <f>ROUND(供應率ALL!Z5,1)</f>
        <v>91.6</v>
      </c>
      <c r="AG42" s="47">
        <f>ROUND(供應率ALL!AA5,1)</f>
        <v>88.8</v>
      </c>
      <c r="AH42" s="47">
        <f>ROUND(供應率ALL!AB5,1)</f>
        <v>81.8</v>
      </c>
      <c r="AI42" s="47">
        <f>ROUND(供應率ALL!AC5,1)</f>
        <v>86.6</v>
      </c>
      <c r="AJ42" s="47">
        <f>ROUND(供應率ALL!AD5,1)</f>
        <v>78.900000000000006</v>
      </c>
      <c r="AK42" s="47">
        <f>ROUND(供應率ALL!AE5,1)</f>
        <v>80</v>
      </c>
      <c r="AL42" s="47">
        <f>ROUND(供應率ALL!AF5,1)</f>
        <v>0</v>
      </c>
      <c r="AM42" s="47">
        <f>ROUND(供應率ALL!AG5,1)</f>
        <v>0</v>
      </c>
      <c r="AN42" s="214">
        <f>ROUND(供應率ALL!AH5,1)</f>
        <v>84.4</v>
      </c>
      <c r="AO42" s="48"/>
    </row>
    <row r="43" spans="1:41" s="14" customFormat="1" ht="22" customHeight="1" x14ac:dyDescent="0.45">
      <c r="A43" s="560" t="s">
        <v>14</v>
      </c>
      <c r="B43" s="561"/>
      <c r="C43" s="561"/>
      <c r="D43" s="44">
        <f>HLOOKUP(MONTH(日期!$C$2),去年月推移!$D$1:$O$200,101,TRUE)</f>
        <v>99.536237999999997</v>
      </c>
      <c r="E43" s="50">
        <v>99.2</v>
      </c>
      <c r="F43" s="51" t="s">
        <v>45</v>
      </c>
      <c r="G43" s="562">
        <f>ROUND(當年月推移!P102,1)</f>
        <v>99.4</v>
      </c>
      <c r="H43" s="563"/>
      <c r="I43" s="47">
        <f>ROUND(供應率ALL!C6,1)</f>
        <v>98.8</v>
      </c>
      <c r="J43" s="47">
        <f>ROUND(供應率ALL!D6,1)</f>
        <v>0</v>
      </c>
      <c r="K43" s="47">
        <f>ROUND(供應率ALL!E6,1)</f>
        <v>99</v>
      </c>
      <c r="L43" s="47">
        <f>ROUND(供應率ALL!F6,1)</f>
        <v>98.7</v>
      </c>
      <c r="M43" s="47">
        <f>ROUND(供應率ALL!G6,1)</f>
        <v>98.3</v>
      </c>
      <c r="N43" s="47">
        <f>ROUND(供應率ALL!H6,1)</f>
        <v>99.2</v>
      </c>
      <c r="O43" s="47">
        <f>ROUND(供應率ALL!I6,1)</f>
        <v>99.4</v>
      </c>
      <c r="P43" s="47">
        <f>ROUND(供應率ALL!J6,1)</f>
        <v>99.5</v>
      </c>
      <c r="Q43" s="47">
        <f>ROUND(供應率ALL!K6,1)</f>
        <v>0</v>
      </c>
      <c r="R43" s="47">
        <f>ROUND(供應率ALL!L6,1)</f>
        <v>99</v>
      </c>
      <c r="S43" s="47">
        <f>ROUND(供應率ALL!M6,1)</f>
        <v>100</v>
      </c>
      <c r="T43" s="47">
        <f>ROUND(供應率ALL!N6,1)</f>
        <v>98.4</v>
      </c>
      <c r="U43" s="47">
        <f>ROUND(供應率ALL!O6,1)</f>
        <v>98.8</v>
      </c>
      <c r="V43" s="47">
        <f>ROUND(供應率ALL!P6,1)</f>
        <v>99</v>
      </c>
      <c r="W43" s="47">
        <f>ROUND(供應率ALL!Q6,1)</f>
        <v>98.8</v>
      </c>
      <c r="X43" s="47">
        <f>ROUND(供應率ALL!R6,1)</f>
        <v>0</v>
      </c>
      <c r="Y43" s="47">
        <f>ROUND(供應率ALL!S6,1)</f>
        <v>98.6</v>
      </c>
      <c r="Z43" s="47">
        <f>ROUND(供應率ALL!T6,1)</f>
        <v>99.2</v>
      </c>
      <c r="AA43" s="47">
        <f>ROUND(供應率ALL!U6,1)</f>
        <v>99.4</v>
      </c>
      <c r="AB43" s="47">
        <f>ROUND(供應率ALL!V6,1)</f>
        <v>99.8</v>
      </c>
      <c r="AC43" s="47">
        <f>ROUND(供應率ALL!W6,1)</f>
        <v>99.8</v>
      </c>
      <c r="AD43" s="47">
        <f>ROUND(供應率ALL!X6,1)</f>
        <v>99.8</v>
      </c>
      <c r="AE43" s="47">
        <f>ROUND(供應率ALL!Y6,1)</f>
        <v>0</v>
      </c>
      <c r="AF43" s="47">
        <f>ROUND(供應率ALL!Z6,1)</f>
        <v>99.5</v>
      </c>
      <c r="AG43" s="47">
        <f>ROUND(供應率ALL!AA6,1)</f>
        <v>99.5</v>
      </c>
      <c r="AH43" s="47">
        <f>ROUND(供應率ALL!AB6,1)</f>
        <v>99.7</v>
      </c>
      <c r="AI43" s="47">
        <f>ROUND(供應率ALL!AC6,1)</f>
        <v>99.8</v>
      </c>
      <c r="AJ43" s="47">
        <f>ROUND(供應率ALL!AD6,1)</f>
        <v>99.9</v>
      </c>
      <c r="AK43" s="47">
        <f>ROUND(供應率ALL!AE6,1)</f>
        <v>99.7</v>
      </c>
      <c r="AL43" s="47">
        <f>ROUND(供應率ALL!AF6,1)</f>
        <v>0</v>
      </c>
      <c r="AM43" s="47">
        <f>ROUND(供應率ALL!AG6,1)</f>
        <v>0</v>
      </c>
      <c r="AN43" s="214">
        <f>ROUND(供應率ALL!AH6,1)</f>
        <v>99.3</v>
      </c>
      <c r="AO43" s="48"/>
    </row>
    <row r="44" spans="1:41" s="14" customFormat="1" ht="22" customHeight="1" x14ac:dyDescent="0.45">
      <c r="A44" s="560" t="s">
        <v>47</v>
      </c>
      <c r="B44" s="561"/>
      <c r="C44" s="561"/>
      <c r="D44" s="44">
        <f>HLOOKUP(MONTH(日期!$C$2),去年月推移!$D$1:$O$200,102,TRUE)</f>
        <v>91.875263000000004</v>
      </c>
      <c r="E44" s="50">
        <v>94.5</v>
      </c>
      <c r="F44" s="51" t="s">
        <v>45</v>
      </c>
      <c r="G44" s="562">
        <f>ROUND(當年月推移!P103,1)</f>
        <v>93.9</v>
      </c>
      <c r="H44" s="563"/>
      <c r="I44" s="47">
        <f>ROUND(供應率ALL!C23,1)</f>
        <v>92.2</v>
      </c>
      <c r="J44" s="47">
        <f>ROUND(供應率ALL!D23,1)</f>
        <v>0</v>
      </c>
      <c r="K44" s="47">
        <f>ROUND(供應率ALL!E23,1)</f>
        <v>90.8</v>
      </c>
      <c r="L44" s="47">
        <f>ROUND(供應率ALL!F23,1)</f>
        <v>90.6</v>
      </c>
      <c r="M44" s="47">
        <f>ROUND(供應率ALL!G23,1)</f>
        <v>92.5</v>
      </c>
      <c r="N44" s="47">
        <f>ROUND(供應率ALL!H23,1)</f>
        <v>93.3</v>
      </c>
      <c r="O44" s="47">
        <f>ROUND(供應率ALL!I23,1)</f>
        <v>94.2</v>
      </c>
      <c r="P44" s="47">
        <f>ROUND(供應率ALL!J23,1)</f>
        <v>90.6</v>
      </c>
      <c r="Q44" s="47">
        <f>ROUND(供應率ALL!K23,1)</f>
        <v>0</v>
      </c>
      <c r="R44" s="47">
        <f>ROUND(供應率ALL!L23,1)</f>
        <v>90.6</v>
      </c>
      <c r="S44" s="47">
        <f>ROUND(供應率ALL!M23,1)</f>
        <v>100</v>
      </c>
      <c r="T44" s="47">
        <f>ROUND(供應率ALL!N23,1)</f>
        <v>89.1</v>
      </c>
      <c r="U44" s="47">
        <f>ROUND(供應率ALL!O23,1)</f>
        <v>95.6</v>
      </c>
      <c r="V44" s="47">
        <f>ROUND(供應率ALL!P23,1)</f>
        <v>95.2</v>
      </c>
      <c r="W44" s="47">
        <f>ROUND(供應率ALL!Q23,1)</f>
        <v>95.8</v>
      </c>
      <c r="X44" s="47">
        <f>ROUND(供應率ALL!R23,1)</f>
        <v>0</v>
      </c>
      <c r="Y44" s="47">
        <f>ROUND(供應率ALL!S23,1)</f>
        <v>92.6</v>
      </c>
      <c r="Z44" s="47">
        <f>ROUND(供應率ALL!T23,1)</f>
        <v>93.8</v>
      </c>
      <c r="AA44" s="47">
        <f>ROUND(供應率ALL!U23,1)</f>
        <v>94.2</v>
      </c>
      <c r="AB44" s="47">
        <f>ROUND(供應率ALL!V23,1)</f>
        <v>96.3</v>
      </c>
      <c r="AC44" s="47">
        <f>ROUND(供應率ALL!W23,1)</f>
        <v>97.1</v>
      </c>
      <c r="AD44" s="47">
        <f>ROUND(供應率ALL!X23,1)</f>
        <v>97.6</v>
      </c>
      <c r="AE44" s="47">
        <f>ROUND(供應率ALL!Y23,1)</f>
        <v>0</v>
      </c>
      <c r="AF44" s="47">
        <f>ROUND(供應率ALL!Z23,1)</f>
        <v>91.2</v>
      </c>
      <c r="AG44" s="47">
        <f>ROUND(供應率ALL!AA23,1)</f>
        <v>95.5</v>
      </c>
      <c r="AH44" s="47">
        <f>ROUND(供應率ALL!AB23,1)</f>
        <v>94.4</v>
      </c>
      <c r="AI44" s="47">
        <f>ROUND(供應率ALL!AC23,1)</f>
        <v>96.8</v>
      </c>
      <c r="AJ44" s="47">
        <f>ROUND(供應率ALL!AD23,1)</f>
        <v>97.6</v>
      </c>
      <c r="AK44" s="47">
        <f>ROUND(供應率ALL!AE23,1)</f>
        <v>95.9</v>
      </c>
      <c r="AL44" s="47">
        <f>ROUND(供應率ALL!AF23,1)</f>
        <v>0</v>
      </c>
      <c r="AM44" s="47">
        <f>ROUND(供應率ALL!AG23,1)</f>
        <v>0</v>
      </c>
      <c r="AN44" s="214">
        <f>ROUND(供應率ALL!AH23,1)</f>
        <v>94</v>
      </c>
      <c r="AO44" s="48"/>
    </row>
    <row r="45" spans="1:41" s="14" customFormat="1" ht="22" customHeight="1" x14ac:dyDescent="0.45">
      <c r="A45" s="560" t="s">
        <v>48</v>
      </c>
      <c r="B45" s="561"/>
      <c r="C45" s="561"/>
      <c r="D45" s="44">
        <f>HLOOKUP(MONTH(日期!$C$2),去年月推移!$D$1:$O$200,103,TRUE)</f>
        <v>98.788739000000007</v>
      </c>
      <c r="E45" s="50">
        <v>97</v>
      </c>
      <c r="F45" s="51" t="s">
        <v>45</v>
      </c>
      <c r="G45" s="562">
        <f>ROUND(當年月推移!P104,1)</f>
        <v>98.1</v>
      </c>
      <c r="H45" s="563"/>
      <c r="I45" s="47">
        <f>ROUND(供應率ALL!C8,1)</f>
        <v>96.3</v>
      </c>
      <c r="J45" s="47">
        <f>ROUND(供應率ALL!D8,1)</f>
        <v>0</v>
      </c>
      <c r="K45" s="47">
        <f>ROUND(供應率ALL!E8,1)</f>
        <v>95.7</v>
      </c>
      <c r="L45" s="47">
        <f>ROUND(供應率ALL!F8,1)</f>
        <v>91.3</v>
      </c>
      <c r="M45" s="47">
        <f>ROUND(供應率ALL!G8,1)</f>
        <v>97.3</v>
      </c>
      <c r="N45" s="47">
        <f>ROUND(供應率ALL!H8,1)</f>
        <v>98.1</v>
      </c>
      <c r="O45" s="47">
        <f>ROUND(供應率ALL!I8,1)</f>
        <v>98.5</v>
      </c>
      <c r="P45" s="47">
        <f>ROUND(供應率ALL!J8,1)</f>
        <v>95.2</v>
      </c>
      <c r="Q45" s="47">
        <f>ROUND(供應率ALL!K8,1)</f>
        <v>0</v>
      </c>
      <c r="R45" s="47">
        <f>ROUND(供應率ALL!L8,1)</f>
        <v>96.9</v>
      </c>
      <c r="S45" s="47">
        <f>ROUND(供應率ALL!M8,1)</f>
        <v>100</v>
      </c>
      <c r="T45" s="47">
        <f>ROUND(供應率ALL!N8,1)</f>
        <v>94</v>
      </c>
      <c r="U45" s="47">
        <f>ROUND(供應率ALL!O8,1)</f>
        <v>96.1</v>
      </c>
      <c r="V45" s="47">
        <f>ROUND(供應率ALL!P8,1)</f>
        <v>98.4</v>
      </c>
      <c r="W45" s="47">
        <f>ROUND(供應率ALL!Q8,1)</f>
        <v>96</v>
      </c>
      <c r="X45" s="47">
        <f>ROUND(供應率ALL!R8,1)</f>
        <v>0</v>
      </c>
      <c r="Y45" s="47">
        <f>ROUND(供應率ALL!S8,1)</f>
        <v>98.4</v>
      </c>
      <c r="Z45" s="47">
        <f>ROUND(供應率ALL!T8,1)</f>
        <v>89.4</v>
      </c>
      <c r="AA45" s="47">
        <f>ROUND(供應率ALL!U8,1)</f>
        <v>98.1</v>
      </c>
      <c r="AB45" s="47">
        <f>ROUND(供應率ALL!V8,1)</f>
        <v>97.8</v>
      </c>
      <c r="AC45" s="47">
        <f>ROUND(供應率ALL!W8,1)</f>
        <v>99</v>
      </c>
      <c r="AD45" s="47">
        <f>ROUND(供應率ALL!X8,1)</f>
        <v>95.9</v>
      </c>
      <c r="AE45" s="47">
        <f>ROUND(供應率ALL!Y8,1)</f>
        <v>0</v>
      </c>
      <c r="AF45" s="47">
        <f>ROUND(供應率ALL!Z8,1)</f>
        <v>99.6</v>
      </c>
      <c r="AG45" s="47">
        <f>ROUND(供應率ALL!AA8,1)</f>
        <v>99.4</v>
      </c>
      <c r="AH45" s="47">
        <f>ROUND(供應率ALL!AB8,1)</f>
        <v>98.7</v>
      </c>
      <c r="AI45" s="47">
        <f>ROUND(供應率ALL!AC8,1)</f>
        <v>99</v>
      </c>
      <c r="AJ45" s="47">
        <f>ROUND(供應率ALL!AD8,1)</f>
        <v>99.4</v>
      </c>
      <c r="AK45" s="47">
        <f>ROUND(供應率ALL!AE8,1)</f>
        <v>99.5</v>
      </c>
      <c r="AL45" s="47">
        <f>ROUND(供應率ALL!AF8,1)</f>
        <v>0</v>
      </c>
      <c r="AM45" s="47">
        <f>ROUND(供應率ALL!AG8,1)</f>
        <v>0</v>
      </c>
      <c r="AN45" s="214">
        <f>ROUND(供應率ALL!AH8,1)</f>
        <v>97.1</v>
      </c>
      <c r="AO45" s="48"/>
    </row>
    <row r="46" spans="1:41" s="14" customFormat="1" ht="22" customHeight="1" x14ac:dyDescent="0.45">
      <c r="A46" s="560" t="s">
        <v>17</v>
      </c>
      <c r="B46" s="561"/>
      <c r="C46" s="561"/>
      <c r="D46" s="44">
        <f>HLOOKUP(MONTH(日期!$C$2),去年月推移!$D$1:$O$200,104,TRUE)</f>
        <v>92.031872000000007</v>
      </c>
      <c r="E46" s="50">
        <v>95</v>
      </c>
      <c r="F46" s="51" t="s">
        <v>45</v>
      </c>
      <c r="G46" s="562">
        <f>ROUND(當年月推移!P105,1)</f>
        <v>95.8</v>
      </c>
      <c r="H46" s="563"/>
      <c r="I46" s="47">
        <f>ROUND(供應率ALL!C9,1)</f>
        <v>90.9</v>
      </c>
      <c r="J46" s="47">
        <f>ROUND(供應率ALL!D9,1)</f>
        <v>0</v>
      </c>
      <c r="K46" s="47">
        <f>ROUND(供應率ALL!E9,1)</f>
        <v>100</v>
      </c>
      <c r="L46" s="47">
        <f>ROUND(供應率ALL!F9,1)</f>
        <v>100</v>
      </c>
      <c r="M46" s="47">
        <f>ROUND(供應率ALL!G9,1)</f>
        <v>100</v>
      </c>
      <c r="N46" s="47">
        <f>ROUND(供應率ALL!H9,1)</f>
        <v>100</v>
      </c>
      <c r="O46" s="47">
        <f>ROUND(供應率ALL!I9,1)</f>
        <v>100</v>
      </c>
      <c r="P46" s="47">
        <f>ROUND(供應率ALL!J9,1)</f>
        <v>100</v>
      </c>
      <c r="Q46" s="47">
        <f>ROUND(供應率ALL!K9,1)</f>
        <v>0</v>
      </c>
      <c r="R46" s="47">
        <f>ROUND(供應率ALL!L9,1)</f>
        <v>93.3</v>
      </c>
      <c r="S46" s="47">
        <f>ROUND(供應率ALL!M9,1)</f>
        <v>100</v>
      </c>
      <c r="T46" s="47">
        <f>ROUND(供應率ALL!N9,1)</f>
        <v>100</v>
      </c>
      <c r="U46" s="47">
        <f>ROUND(供應率ALL!O9,1)</f>
        <v>100</v>
      </c>
      <c r="V46" s="47">
        <f>ROUND(供應率ALL!P9,1)</f>
        <v>100</v>
      </c>
      <c r="W46" s="47">
        <f>ROUND(供應率ALL!Q9,1)</f>
        <v>100</v>
      </c>
      <c r="X46" s="47">
        <f>ROUND(供應率ALL!R9,1)</f>
        <v>0</v>
      </c>
      <c r="Y46" s="47">
        <f>ROUND(供應率ALL!S9,1)</f>
        <v>77.7</v>
      </c>
      <c r="Z46" s="47">
        <f>ROUND(供應率ALL!T9,1)</f>
        <v>83.3</v>
      </c>
      <c r="AA46" s="47">
        <f>ROUND(供應率ALL!U9,1)</f>
        <v>87.5</v>
      </c>
      <c r="AB46" s="47">
        <f>ROUND(供應率ALL!V9,1)</f>
        <v>88.8</v>
      </c>
      <c r="AC46" s="47">
        <f>ROUND(供應率ALL!W9,1)</f>
        <v>87.5</v>
      </c>
      <c r="AD46" s="47">
        <f>ROUND(供應率ALL!X9,1)</f>
        <v>100</v>
      </c>
      <c r="AE46" s="47">
        <f>ROUND(供應率ALL!Y9,1)</f>
        <v>0</v>
      </c>
      <c r="AF46" s="47">
        <f>ROUND(供應率ALL!Z9,1)</f>
        <v>100</v>
      </c>
      <c r="AG46" s="47">
        <f>ROUND(供應率ALL!AA9,1)</f>
        <v>100</v>
      </c>
      <c r="AH46" s="47">
        <f>ROUND(供應率ALL!AB9,1)</f>
        <v>85.7</v>
      </c>
      <c r="AI46" s="47">
        <f>ROUND(供應率ALL!AC9,1)</f>
        <v>100</v>
      </c>
      <c r="AJ46" s="47">
        <f>ROUND(供應率ALL!AD9,1)</f>
        <v>100</v>
      </c>
      <c r="AK46" s="47">
        <f>ROUND(供應率ALL!AE9,1)</f>
        <v>88.8</v>
      </c>
      <c r="AL46" s="47">
        <f>ROUND(供應率ALL!AF9,1)</f>
        <v>0</v>
      </c>
      <c r="AM46" s="47">
        <f>ROUND(供應率ALL!AG9,1)</f>
        <v>0</v>
      </c>
      <c r="AN46" s="214">
        <f>ROUND(供應率ALL!AH9,1)</f>
        <v>95.1</v>
      </c>
      <c r="AO46" s="48"/>
    </row>
    <row r="47" spans="1:41" s="14" customFormat="1" ht="22" customHeight="1" thickBot="1" x14ac:dyDescent="0.5">
      <c r="A47" s="575" t="s">
        <v>49</v>
      </c>
      <c r="B47" s="576"/>
      <c r="C47" s="577"/>
      <c r="D47" s="231">
        <f>HLOOKUP(MONTH(日期!$C$2),去年月推移!$D$1:$O$200,105,TRUE)</f>
        <v>98.328682000000001</v>
      </c>
      <c r="E47" s="52">
        <v>97.9</v>
      </c>
      <c r="F47" s="53"/>
      <c r="G47" s="573">
        <f>ROUND(當年月推移!P106,1)</f>
        <v>98.1</v>
      </c>
      <c r="H47" s="574"/>
      <c r="I47" s="242">
        <f>ROUND(供應率ALL!C10,1)</f>
        <v>97.2</v>
      </c>
      <c r="J47" s="242">
        <f>ROUND(供應率ALL!D10,1)</f>
        <v>0</v>
      </c>
      <c r="K47" s="242">
        <f>ROUND(供應率ALL!E10,1)</f>
        <v>97.7</v>
      </c>
      <c r="L47" s="242">
        <f>ROUND(供應率ALL!F10,1)</f>
        <v>97.5</v>
      </c>
      <c r="M47" s="242">
        <f>ROUND(供應率ALL!G10,1)</f>
        <v>97.5</v>
      </c>
      <c r="N47" s="242">
        <f>ROUND(供應率ALL!H10,1)</f>
        <v>97.9</v>
      </c>
      <c r="O47" s="242">
        <f>ROUND(供應率ALL!I10,1)</f>
        <v>97.8</v>
      </c>
      <c r="P47" s="242">
        <f>ROUND(供應率ALL!J10,1)</f>
        <v>97.5</v>
      </c>
      <c r="Q47" s="242">
        <f>ROUND(供應率ALL!K10,1)</f>
        <v>0</v>
      </c>
      <c r="R47" s="242">
        <f>ROUND(供應率ALL!L10,1)</f>
        <v>98</v>
      </c>
      <c r="S47" s="242">
        <f>ROUND(供應率ALL!M10,1)</f>
        <v>100</v>
      </c>
      <c r="T47" s="242">
        <f>ROUND(供應率ALL!N10,1)</f>
        <v>96.1</v>
      </c>
      <c r="U47" s="242">
        <f>ROUND(供應率ALL!O10,1)</f>
        <v>98</v>
      </c>
      <c r="V47" s="242">
        <f>ROUND(供應率ALL!P10,1)</f>
        <v>98</v>
      </c>
      <c r="W47" s="242">
        <f>ROUND(供應率ALL!Q10,1)</f>
        <v>97.9</v>
      </c>
      <c r="X47" s="242">
        <f>ROUND(供應率ALL!R10,1)</f>
        <v>0</v>
      </c>
      <c r="Y47" s="242">
        <f>ROUND(供應率ALL!S10,1)</f>
        <v>97.8</v>
      </c>
      <c r="Z47" s="242">
        <f>ROUND(供應率ALL!T10,1)</f>
        <v>97.7</v>
      </c>
      <c r="AA47" s="242">
        <f>ROUND(供應率ALL!U10,1)</f>
        <v>97.8</v>
      </c>
      <c r="AB47" s="242">
        <f>ROUND(供應率ALL!V10,1)</f>
        <v>98.2</v>
      </c>
      <c r="AC47" s="242">
        <f>ROUND(供應率ALL!W10,1)</f>
        <v>98.6</v>
      </c>
      <c r="AD47" s="242">
        <f>ROUND(供應率ALL!X10,1)</f>
        <v>98.1</v>
      </c>
      <c r="AE47" s="242">
        <f>ROUND(供應率ALL!Y10,1)</f>
        <v>0</v>
      </c>
      <c r="AF47" s="242">
        <f>ROUND(供應率ALL!Z10,1)</f>
        <v>98.3</v>
      </c>
      <c r="AG47" s="242">
        <f>ROUND(供應率ALL!AA10,1)</f>
        <v>97.8</v>
      </c>
      <c r="AH47" s="242">
        <f>ROUND(供應率ALL!AB10,1)</f>
        <v>98.4</v>
      </c>
      <c r="AI47" s="242">
        <f>ROUND(供應率ALL!AC10,1)</f>
        <v>98.6</v>
      </c>
      <c r="AJ47" s="242">
        <f>ROUND(供應率ALL!AD10,1)</f>
        <v>98.4</v>
      </c>
      <c r="AK47" s="242">
        <f>ROUND(供應率ALL!AE10,1)</f>
        <v>98.8</v>
      </c>
      <c r="AL47" s="242">
        <f>ROUND(供應率ALL!AF10,1)</f>
        <v>0</v>
      </c>
      <c r="AM47" s="242">
        <f>ROUND(供應率ALL!AG10,1)</f>
        <v>0</v>
      </c>
      <c r="AN47" s="271">
        <f>ROUND(供應率ALL!AH10,1)</f>
        <v>98</v>
      </c>
      <c r="AO47" s="48"/>
    </row>
    <row r="48" spans="1:41" s="14" customFormat="1" ht="22" customHeight="1" x14ac:dyDescent="0.45">
      <c r="A48" s="571" t="s">
        <v>23</v>
      </c>
      <c r="B48" s="572"/>
      <c r="C48" s="572"/>
      <c r="D48" s="44">
        <f>HLOOKUP(MONTH(日期!$C$2),去年月推移!$D$1:$O$200,106,TRUE)</f>
        <v>97.486900000000006</v>
      </c>
      <c r="E48" s="269">
        <v>97.8</v>
      </c>
      <c r="F48" s="270" t="s">
        <v>45</v>
      </c>
      <c r="G48" s="562">
        <f>ROUND(當年月推移!P107,1)</f>
        <v>98.1</v>
      </c>
      <c r="H48" s="563"/>
      <c r="I48" s="47">
        <f>ROUND(供應率ALL!C3,1)</f>
        <v>94.1</v>
      </c>
      <c r="J48" s="47">
        <f>ROUND(供應率ALL!D3,1)</f>
        <v>0</v>
      </c>
      <c r="K48" s="47">
        <f>ROUND(供應率ALL!E3,1)</f>
        <v>98.1</v>
      </c>
      <c r="L48" s="47">
        <f>ROUND(供應率ALL!F3,1)</f>
        <v>97.4</v>
      </c>
      <c r="M48" s="47">
        <f>ROUND(供應率ALL!G3,1)</f>
        <v>97.3</v>
      </c>
      <c r="N48" s="47">
        <f>ROUND(供應率ALL!H3,1)</f>
        <v>97.8</v>
      </c>
      <c r="O48" s="47">
        <f>ROUND(供應率ALL!I3,1)</f>
        <v>97</v>
      </c>
      <c r="P48" s="47">
        <f>ROUND(供應率ALL!J3,1)</f>
        <v>94.7</v>
      </c>
      <c r="Q48" s="47">
        <f>ROUND(供應率ALL!K3,1)</f>
        <v>0</v>
      </c>
      <c r="R48" s="47">
        <f>ROUND(供應率ALL!L3,1)</f>
        <v>98</v>
      </c>
      <c r="S48" s="47">
        <f>ROUND(供應率ALL!M3,1)</f>
        <v>100</v>
      </c>
      <c r="T48" s="47">
        <f>ROUND(供應率ALL!N3,1)</f>
        <v>96.8</v>
      </c>
      <c r="U48" s="47">
        <f>ROUND(供應率ALL!O3,1)</f>
        <v>97.7</v>
      </c>
      <c r="V48" s="47">
        <f>ROUND(供應率ALL!P3,1)</f>
        <v>97.6</v>
      </c>
      <c r="W48" s="47">
        <f>ROUND(供應率ALL!Q3,1)</f>
        <v>97.6</v>
      </c>
      <c r="X48" s="47">
        <f>ROUND(供應率ALL!R3,1)</f>
        <v>0</v>
      </c>
      <c r="Y48" s="47">
        <f>ROUND(供應率ALL!S3,1)</f>
        <v>98.2</v>
      </c>
      <c r="Z48" s="47">
        <f>ROUND(供應率ALL!T3,1)</f>
        <v>97.5</v>
      </c>
      <c r="AA48" s="47">
        <f>ROUND(供應率ALL!U3,1)</f>
        <v>98.1</v>
      </c>
      <c r="AB48" s="47">
        <f>ROUND(供應率ALL!V3,1)</f>
        <v>97.7</v>
      </c>
      <c r="AC48" s="47">
        <f>ROUND(供應率ALL!W3,1)</f>
        <v>97</v>
      </c>
      <c r="AD48" s="47">
        <f>ROUND(供應率ALL!X3,1)</f>
        <v>98.1</v>
      </c>
      <c r="AE48" s="47">
        <f>ROUND(供應率ALL!Y3,1)</f>
        <v>0</v>
      </c>
      <c r="AF48" s="47">
        <f>ROUND(供應率ALL!Z3,1)</f>
        <v>98.1</v>
      </c>
      <c r="AG48" s="47">
        <f>ROUND(供應率ALL!AA3,1)</f>
        <v>97.8</v>
      </c>
      <c r="AH48" s="47">
        <f>ROUND(供應率ALL!AB3,1)</f>
        <v>98.1</v>
      </c>
      <c r="AI48" s="47">
        <f>ROUND(供應率ALL!AC3,1)</f>
        <v>97.3</v>
      </c>
      <c r="AJ48" s="47">
        <f>ROUND(供應率ALL!AD3,1)</f>
        <v>97.4</v>
      </c>
      <c r="AK48" s="47">
        <f>ROUND(供應率ALL!AE3,1)</f>
        <v>96.5</v>
      </c>
      <c r="AL48" s="47">
        <f>ROUND(供應率ALL!AF3,1)</f>
        <v>0</v>
      </c>
      <c r="AM48" s="47">
        <f>ROUND(供應率ALL!AG3,1)</f>
        <v>0</v>
      </c>
      <c r="AN48" s="214">
        <f>ROUND(供應率ALL!AH3,1)</f>
        <v>97.6</v>
      </c>
      <c r="AO48" s="48"/>
    </row>
    <row r="49" spans="1:41" s="14" customFormat="1" ht="22" customHeight="1" x14ac:dyDescent="0.45">
      <c r="A49" s="568" t="s">
        <v>24</v>
      </c>
      <c r="B49" s="569"/>
      <c r="C49" s="570"/>
      <c r="D49" s="44">
        <f>HLOOKUP(MONTH(日期!$C$2),去年月推移!$D$1:$O$200,107,TRUE)</f>
        <v>100</v>
      </c>
      <c r="E49" s="50">
        <v>99</v>
      </c>
      <c r="F49" s="51"/>
      <c r="G49" s="611">
        <f>ROUND(當年月推移!P108,1)</f>
        <v>99.5</v>
      </c>
      <c r="H49" s="612"/>
      <c r="I49" s="47">
        <f>ROUND(供應率ALL!C11,1)</f>
        <v>100</v>
      </c>
      <c r="J49" s="47">
        <f>ROUND(供應率ALL!D11,1)</f>
        <v>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100</v>
      </c>
      <c r="AL49" s="47">
        <f>ROUND(供應率ALL!AF11,1)</f>
        <v>0</v>
      </c>
      <c r="AM49" s="47">
        <f>ROUND(供應率ALL!AG11,1)</f>
        <v>0</v>
      </c>
      <c r="AN49" s="214">
        <f>ROUND(供應率ALL!AH11,1)</f>
        <v>100</v>
      </c>
      <c r="AO49" s="48"/>
    </row>
    <row r="50" spans="1:41" s="14" customFormat="1" ht="22" customHeight="1" x14ac:dyDescent="0.45">
      <c r="A50" s="568" t="s">
        <v>25</v>
      </c>
      <c r="B50" s="569"/>
      <c r="C50" s="570"/>
      <c r="D50" s="44">
        <f>HLOOKUP(MONTH(日期!$C$2),去年月推移!$D$1:$O$200,108,TRUE)</f>
        <v>96.139358999999999</v>
      </c>
      <c r="E50" s="50">
        <v>75</v>
      </c>
      <c r="F50" s="51"/>
      <c r="G50" s="611">
        <f>ROUND(當年月推移!P109,1)</f>
        <v>97</v>
      </c>
      <c r="H50" s="612"/>
      <c r="I50" s="47">
        <f>ROUND(供應率ALL!C12,1)</f>
        <v>100</v>
      </c>
      <c r="J50" s="47">
        <f>ROUND(供應率ALL!D12,1)</f>
        <v>0</v>
      </c>
      <c r="K50" s="47">
        <f>ROUND(供應率ALL!E12,1)</f>
        <v>97</v>
      </c>
      <c r="L50" s="47">
        <f>ROUND(供應率ALL!F12,1)</f>
        <v>97.6</v>
      </c>
      <c r="M50" s="47">
        <f>ROUND(供應率ALL!G12,1)</f>
        <v>100</v>
      </c>
      <c r="N50" s="47">
        <f>ROUND(供應率ALL!H12,1)</f>
        <v>92</v>
      </c>
      <c r="O50" s="47">
        <f>ROUND(供應率ALL!I12,1)</f>
        <v>96.6</v>
      </c>
      <c r="P50" s="47">
        <f>ROUND(供應率ALL!J12,1)</f>
        <v>93.1</v>
      </c>
      <c r="Q50" s="47">
        <f>ROUND(供應率ALL!K12,1)</f>
        <v>0</v>
      </c>
      <c r="R50" s="47">
        <f>ROUND(供應率ALL!L12,1)</f>
        <v>97.3</v>
      </c>
      <c r="S50" s="47">
        <f>ROUND(供應率ALL!M12,1)</f>
        <v>100</v>
      </c>
      <c r="T50" s="47">
        <f>ROUND(供應率ALL!N12,1)</f>
        <v>98.4</v>
      </c>
      <c r="U50" s="47">
        <f>ROUND(供應率ALL!O12,1)</f>
        <v>97.6</v>
      </c>
      <c r="V50" s="47">
        <f>ROUND(供應率ALL!P12,1)</f>
        <v>100</v>
      </c>
      <c r="W50" s="47">
        <f>ROUND(供應率ALL!Q12,1)</f>
        <v>100</v>
      </c>
      <c r="X50" s="47">
        <f>ROUND(供應率ALL!R12,1)</f>
        <v>0</v>
      </c>
      <c r="Y50" s="47">
        <f>ROUND(供應率ALL!S12,1)</f>
        <v>97.5</v>
      </c>
      <c r="Z50" s="47">
        <f>ROUND(供應率ALL!T12,1)</f>
        <v>100</v>
      </c>
      <c r="AA50" s="47">
        <f>ROUND(供應率ALL!U12,1)</f>
        <v>95</v>
      </c>
      <c r="AB50" s="47">
        <f>ROUND(供應率ALL!V12,1)</f>
        <v>100</v>
      </c>
      <c r="AC50" s="47">
        <f>ROUND(供應率ALL!W12,1)</f>
        <v>100</v>
      </c>
      <c r="AD50" s="47">
        <f>ROUND(供應率ALL!X12,1)</f>
        <v>100</v>
      </c>
      <c r="AE50" s="47">
        <f>ROUND(供應率ALL!Y12,1)</f>
        <v>0</v>
      </c>
      <c r="AF50" s="47">
        <f>ROUND(供應率ALL!Z12,1)</f>
        <v>92</v>
      </c>
      <c r="AG50" s="47">
        <f>ROUND(供應率ALL!AA12,1)</f>
        <v>97.7</v>
      </c>
      <c r="AH50" s="47">
        <f>ROUND(供應率ALL!AB12,1)</f>
        <v>100</v>
      </c>
      <c r="AI50" s="47">
        <f>ROUND(供應率ALL!AC12,1)</f>
        <v>100</v>
      </c>
      <c r="AJ50" s="47">
        <f>ROUND(供應率ALL!AD12,1)</f>
        <v>92.5</v>
      </c>
      <c r="AK50" s="47">
        <f>ROUND(供應率ALL!AE12,1)</f>
        <v>100</v>
      </c>
      <c r="AL50" s="47">
        <f>ROUND(供應率ALL!AF12,1)</f>
        <v>0</v>
      </c>
      <c r="AM50" s="47">
        <f>ROUND(供應率ALL!AG12,1)</f>
        <v>0</v>
      </c>
      <c r="AN50" s="214">
        <f>ROUND(供應率ALL!AH12,1)</f>
        <v>97.8</v>
      </c>
      <c r="AO50" s="48"/>
    </row>
    <row r="51" spans="1:41" s="14" customFormat="1" ht="22" customHeight="1" x14ac:dyDescent="0.45">
      <c r="A51" s="568" t="s">
        <v>26</v>
      </c>
      <c r="B51" s="569"/>
      <c r="C51" s="570"/>
      <c r="D51" s="44">
        <f>HLOOKUP(MONTH(日期!$C$2),去年月推移!$D$1:$O$200,109,TRUE)</f>
        <v>97.220426000000003</v>
      </c>
      <c r="E51" s="50">
        <v>98.7</v>
      </c>
      <c r="F51" s="51"/>
      <c r="G51" s="611">
        <f>ROUND(當年月推移!P110,1)</f>
        <v>96.4</v>
      </c>
      <c r="H51" s="612"/>
      <c r="I51" s="47">
        <f>ROUND(供應率ALL!C13,1)</f>
        <v>98.7</v>
      </c>
      <c r="J51" s="47">
        <f>ROUND(供應率ALL!D13,1)</f>
        <v>0</v>
      </c>
      <c r="K51" s="47">
        <f>ROUND(供應率ALL!E13,1)</f>
        <v>97.9</v>
      </c>
      <c r="L51" s="47">
        <f>ROUND(供應率ALL!F13,1)</f>
        <v>96.4</v>
      </c>
      <c r="M51" s="47">
        <f>ROUND(供應率ALL!G13,1)</f>
        <v>97</v>
      </c>
      <c r="N51" s="47">
        <f>ROUND(供應率ALL!H13,1)</f>
        <v>97.5</v>
      </c>
      <c r="O51" s="47">
        <f>ROUND(供應率ALL!I13,1)</f>
        <v>97.8</v>
      </c>
      <c r="P51" s="47">
        <f>ROUND(供應率ALL!J13,1)</f>
        <v>98.2</v>
      </c>
      <c r="Q51" s="47">
        <f>ROUND(供應率ALL!K13,1)</f>
        <v>0</v>
      </c>
      <c r="R51" s="47">
        <f>ROUND(供應率ALL!L13,1)</f>
        <v>97.6</v>
      </c>
      <c r="S51" s="47">
        <f>ROUND(供應率ALL!M13,1)</f>
        <v>100</v>
      </c>
      <c r="T51" s="47">
        <f>ROUND(供應率ALL!N13,1)</f>
        <v>95.4</v>
      </c>
      <c r="U51" s="47">
        <f>ROUND(供應率ALL!O13,1)</f>
        <v>93.6</v>
      </c>
      <c r="V51" s="47">
        <f>ROUND(供應率ALL!P13,1)</f>
        <v>95.9</v>
      </c>
      <c r="W51" s="47">
        <f>ROUND(供應率ALL!Q13,1)</f>
        <v>98.3</v>
      </c>
      <c r="X51" s="47">
        <f>ROUND(供應率ALL!R13,1)</f>
        <v>0</v>
      </c>
      <c r="Y51" s="47">
        <f>ROUND(供應率ALL!S13,1)</f>
        <v>96.6</v>
      </c>
      <c r="Z51" s="47">
        <f>ROUND(供應率ALL!T13,1)</f>
        <v>96.2</v>
      </c>
      <c r="AA51" s="47">
        <f>ROUND(供應率ALL!U13,1)</f>
        <v>96.5</v>
      </c>
      <c r="AB51" s="47">
        <f>ROUND(供應率ALL!V13,1)</f>
        <v>96.3</v>
      </c>
      <c r="AC51" s="47">
        <f>ROUND(供應率ALL!W13,1)</f>
        <v>97.1</v>
      </c>
      <c r="AD51" s="47">
        <f>ROUND(供應率ALL!X13,1)</f>
        <v>94.2</v>
      </c>
      <c r="AE51" s="47">
        <f>ROUND(供應率ALL!Y13,1)</f>
        <v>0</v>
      </c>
      <c r="AF51" s="47">
        <f>ROUND(供應率ALL!Z13,1)</f>
        <v>91.9</v>
      </c>
      <c r="AG51" s="47">
        <f>ROUND(供應率ALL!AA13,1)</f>
        <v>93.1</v>
      </c>
      <c r="AH51" s="47">
        <f>ROUND(供應率ALL!AB13,1)</f>
        <v>96.3</v>
      </c>
      <c r="AI51" s="47">
        <f>ROUND(供應率ALL!AC13,1)</f>
        <v>94.8</v>
      </c>
      <c r="AJ51" s="47">
        <f>ROUND(供應率ALL!AD13,1)</f>
        <v>95</v>
      </c>
      <c r="AK51" s="47">
        <f>ROUND(供應率ALL!AE13,1)</f>
        <v>94.6</v>
      </c>
      <c r="AL51" s="47">
        <f>ROUND(供應率ALL!AF13,1)</f>
        <v>0</v>
      </c>
      <c r="AM51" s="47">
        <f>ROUND(供應率ALL!AG13,1)</f>
        <v>0</v>
      </c>
      <c r="AN51" s="214">
        <f>ROUND(供應率ALL!AH13,1)</f>
        <v>96.1</v>
      </c>
      <c r="AO51" s="48"/>
    </row>
    <row r="52" spans="1:41" s="14" customFormat="1" ht="22" customHeight="1" x14ac:dyDescent="0.45">
      <c r="A52" s="568" t="s">
        <v>27</v>
      </c>
      <c r="B52" s="569"/>
      <c r="C52" s="570"/>
      <c r="D52" s="44">
        <f>HLOOKUP(MONTH(日期!$C$2),去年月推移!$D$1:$O$200,110,TRUE)</f>
        <v>97.112461999999994</v>
      </c>
      <c r="E52" s="50">
        <v>95</v>
      </c>
      <c r="F52" s="51"/>
      <c r="G52" s="611">
        <f>ROUND(當年月推移!P111,1)</f>
        <v>93.3</v>
      </c>
      <c r="H52" s="612"/>
      <c r="I52" s="47">
        <f>ROUND(供應率ALL!C14,1)</f>
        <v>100</v>
      </c>
      <c r="J52" s="47">
        <f>ROUND(供應率ALL!D14,1)</f>
        <v>0</v>
      </c>
      <c r="K52" s="47">
        <f>ROUND(供應率ALL!E14,1)</f>
        <v>100</v>
      </c>
      <c r="L52" s="47">
        <f>ROUND(供應率ALL!F14,1)</f>
        <v>100</v>
      </c>
      <c r="M52" s="47">
        <f>ROUND(供應率ALL!G14,1)</f>
        <v>100</v>
      </c>
      <c r="N52" s="47">
        <f>ROUND(供應率ALL!H14,1)</f>
        <v>98.5</v>
      </c>
      <c r="O52" s="47">
        <f>ROUND(供應率ALL!I14,1)</f>
        <v>100</v>
      </c>
      <c r="P52" s="47">
        <f>ROUND(供應率ALL!J14,1)</f>
        <v>100</v>
      </c>
      <c r="Q52" s="47">
        <f>ROUND(供應率ALL!K14,1)</f>
        <v>0</v>
      </c>
      <c r="R52" s="47">
        <f>ROUND(供應率ALL!L14,1)</f>
        <v>100</v>
      </c>
      <c r="S52" s="47">
        <f>ROUND(供應率ALL!M14,1)</f>
        <v>100</v>
      </c>
      <c r="T52" s="47">
        <f>ROUND(供應率ALL!N14,1)</f>
        <v>94.2</v>
      </c>
      <c r="U52" s="47">
        <f>ROUND(供應率ALL!O14,1)</f>
        <v>94.7</v>
      </c>
      <c r="V52" s="47">
        <f>ROUND(供應率ALL!P14,1)</f>
        <v>98.5</v>
      </c>
      <c r="W52" s="47">
        <f>ROUND(供應率ALL!Q14,1)</f>
        <v>98.6</v>
      </c>
      <c r="X52" s="47">
        <f>ROUND(供應率ALL!R14,1)</f>
        <v>0</v>
      </c>
      <c r="Y52" s="47">
        <f>ROUND(供應率ALL!S14,1)</f>
        <v>95.7</v>
      </c>
      <c r="Z52" s="47">
        <f>ROUND(供應率ALL!T14,1)</f>
        <v>86.1</v>
      </c>
      <c r="AA52" s="47">
        <f>ROUND(供應率ALL!U14,1)</f>
        <v>78.599999999999994</v>
      </c>
      <c r="AB52" s="47">
        <f>ROUND(供應率ALL!V14,1)</f>
        <v>79.599999999999994</v>
      </c>
      <c r="AC52" s="47">
        <f>ROUND(供應率ALL!W14,1)</f>
        <v>78.900000000000006</v>
      </c>
      <c r="AD52" s="47">
        <f>ROUND(供應率ALL!X14,1)</f>
        <v>86.7</v>
      </c>
      <c r="AE52" s="47">
        <f>ROUND(供應率ALL!Y14,1)</f>
        <v>0</v>
      </c>
      <c r="AF52" s="47">
        <f>ROUND(供應率ALL!Z14,1)</f>
        <v>94.3</v>
      </c>
      <c r="AG52" s="47">
        <f>ROUND(供應率ALL!AA14,1)</f>
        <v>100</v>
      </c>
      <c r="AH52" s="47">
        <f>ROUND(供應率ALL!AB14,1)</f>
        <v>93.8</v>
      </c>
      <c r="AI52" s="47">
        <f>ROUND(供應率ALL!AC14,1)</f>
        <v>100</v>
      </c>
      <c r="AJ52" s="47">
        <f>ROUND(供應率ALL!AD14,1)</f>
        <v>98.3</v>
      </c>
      <c r="AK52" s="47">
        <f>ROUND(供應率ALL!AE14,1)</f>
        <v>97.8</v>
      </c>
      <c r="AL52" s="47">
        <f>ROUND(供應率ALL!AF14,1)</f>
        <v>0</v>
      </c>
      <c r="AM52" s="47">
        <f>ROUND(供應率ALL!AG14,1)</f>
        <v>0</v>
      </c>
      <c r="AN52" s="214">
        <f>ROUND(供應率ALL!AH14,1)</f>
        <v>94.5</v>
      </c>
      <c r="AO52" s="48"/>
    </row>
    <row r="53" spans="1:41" s="14" customFormat="1" ht="22" customHeight="1" x14ac:dyDescent="0.45">
      <c r="A53" s="568" t="s">
        <v>28</v>
      </c>
      <c r="B53" s="569"/>
      <c r="C53" s="570"/>
      <c r="D53" s="44">
        <f>HLOOKUP(MONTH(日期!$C$2),去年月推移!$D$1:$O$200,111,TRUE)</f>
        <v>0</v>
      </c>
      <c r="E53" s="50"/>
      <c r="F53" s="51"/>
      <c r="G53" s="611">
        <f>ROUND(當年月推移!P112,1)</f>
        <v>25</v>
      </c>
      <c r="H53" s="612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2" customHeight="1" thickBot="1" x14ac:dyDescent="0.5">
      <c r="A54" s="615" t="s">
        <v>50</v>
      </c>
      <c r="B54" s="616"/>
      <c r="C54" s="616"/>
      <c r="D54" s="231">
        <f>HLOOKUP(MONTH(日期!$C$2),去年月推移!$D$1:$O$200,112,TRUE)</f>
        <v>97.427806000000004</v>
      </c>
      <c r="E54" s="52"/>
      <c r="F54" s="53" t="s">
        <v>45</v>
      </c>
      <c r="G54" s="573">
        <f>ROUND(當年月推移!P113,1)</f>
        <v>97.6</v>
      </c>
      <c r="H54" s="574"/>
      <c r="I54" s="242">
        <f>ROUND(供應率ALL!C16,1)</f>
        <v>96.2</v>
      </c>
      <c r="J54" s="242">
        <f>ROUND(供應率ALL!D16,1)</f>
        <v>0</v>
      </c>
      <c r="K54" s="242">
        <f>ROUND(供應率ALL!E16,1)</f>
        <v>98.2</v>
      </c>
      <c r="L54" s="242">
        <f>ROUND(供應率ALL!F16,1)</f>
        <v>97.3</v>
      </c>
      <c r="M54" s="242">
        <f>ROUND(供應率ALL!G16,1)</f>
        <v>97.5</v>
      </c>
      <c r="N54" s="242">
        <f>ROUND(供應率ALL!H16,1)</f>
        <v>97.8</v>
      </c>
      <c r="O54" s="242">
        <f>ROUND(供應率ALL!I16,1)</f>
        <v>97.2</v>
      </c>
      <c r="P54" s="242">
        <f>ROUND(供應率ALL!J16,1)</f>
        <v>96.2</v>
      </c>
      <c r="Q54" s="242">
        <f>ROUND(供應率ALL!K16,1)</f>
        <v>0</v>
      </c>
      <c r="R54" s="242">
        <f>ROUND(供應率ALL!L16,1)</f>
        <v>98.1</v>
      </c>
      <c r="S54" s="242">
        <f>ROUND(供應率ALL!M16,1)</f>
        <v>100</v>
      </c>
      <c r="T54" s="242">
        <f>ROUND(供應率ALL!N16,1)</f>
        <v>96.7</v>
      </c>
      <c r="U54" s="242">
        <f>ROUND(供應率ALL!O16,1)</f>
        <v>96.9</v>
      </c>
      <c r="V54" s="242">
        <f>ROUND(供應率ALL!P16,1)</f>
        <v>97.5</v>
      </c>
      <c r="W54" s="242">
        <f>ROUND(供應率ALL!Q16,1)</f>
        <v>97.9</v>
      </c>
      <c r="X54" s="242">
        <f>ROUND(供應率ALL!R16,1)</f>
        <v>0</v>
      </c>
      <c r="Y54" s="242">
        <f>ROUND(供應率ALL!S16,1)</f>
        <v>97.9</v>
      </c>
      <c r="Z54" s="242">
        <f>ROUND(供應率ALL!T16,1)</f>
        <v>97.2</v>
      </c>
      <c r="AA54" s="242">
        <f>ROUND(供應率ALL!U16,1)</f>
        <v>97.3</v>
      </c>
      <c r="AB54" s="242">
        <f>ROUND(供應率ALL!V16,1)</f>
        <v>97</v>
      </c>
      <c r="AC54" s="242">
        <f>ROUND(供應率ALL!W16,1)</f>
        <v>96.5</v>
      </c>
      <c r="AD54" s="242">
        <f>ROUND(供應率ALL!X16,1)</f>
        <v>96.9</v>
      </c>
      <c r="AE54" s="242">
        <f>ROUND(供應率ALL!Y16,1)</f>
        <v>0</v>
      </c>
      <c r="AF54" s="242">
        <f>ROUND(供應率ALL!Z16,1)</f>
        <v>96.8</v>
      </c>
      <c r="AG54" s="242">
        <f>ROUND(供應率ALL!AA16,1)</f>
        <v>97.2</v>
      </c>
      <c r="AH54" s="242">
        <f>ROUND(供應率ALL!AB16,1)</f>
        <v>97.8</v>
      </c>
      <c r="AI54" s="242">
        <f>ROUND(供應率ALL!AC16,1)</f>
        <v>97.1</v>
      </c>
      <c r="AJ54" s="242">
        <f>ROUND(供應率ALL!AD16,1)</f>
        <v>97</v>
      </c>
      <c r="AK54" s="242">
        <f>ROUND(供應率ALL!AE16,1)</f>
        <v>96.3</v>
      </c>
      <c r="AL54" s="242">
        <f>ROUND(供應率ALL!AF16,1)</f>
        <v>0</v>
      </c>
      <c r="AM54" s="242">
        <f>ROUND(供應率ALL!AG16,1)</f>
        <v>0</v>
      </c>
      <c r="AN54" s="215">
        <f>ROUND(供應率ALL!AH16,1)</f>
        <v>97.3</v>
      </c>
      <c r="AO54" s="54"/>
    </row>
    <row r="55" spans="1:41" s="42" customFormat="1" ht="22" customHeight="1" x14ac:dyDescent="0.45">
      <c r="A55" s="617" t="s">
        <v>31</v>
      </c>
      <c r="B55" s="618"/>
      <c r="C55" s="619"/>
      <c r="D55" s="272">
        <f>HLOOKUP(MONTH(日期!$C$2),去年月推移!$D$1:$O$200,113,TRUE)</f>
        <v>0</v>
      </c>
      <c r="E55" s="267"/>
      <c r="F55" s="267"/>
      <c r="G55" s="562">
        <f>ROUND(當年月推移!P114,1)</f>
        <v>0</v>
      </c>
      <c r="H55" s="563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2" customHeight="1" x14ac:dyDescent="0.45">
      <c r="A56" s="568" t="s">
        <v>32</v>
      </c>
      <c r="B56" s="569"/>
      <c r="C56" s="570"/>
      <c r="D56" s="49">
        <f>HLOOKUP(MONTH(日期!$C$2),去年月推移!$D$1:$O$200,114,TRUE)</f>
        <v>0</v>
      </c>
      <c r="E56" s="268"/>
      <c r="F56" s="268"/>
      <c r="G56" s="562">
        <f>ROUND(當年月推移!P115,1)</f>
        <v>0</v>
      </c>
      <c r="H56" s="563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2" customHeight="1" x14ac:dyDescent="0.45">
      <c r="A57" s="568" t="s">
        <v>33</v>
      </c>
      <c r="B57" s="569"/>
      <c r="C57" s="570"/>
      <c r="D57" s="49">
        <f>HLOOKUP(MONTH(日期!$C$2),去年月推移!$D$1:$O$200,115,TRUE)</f>
        <v>0</v>
      </c>
      <c r="E57" s="268"/>
      <c r="F57" s="268"/>
      <c r="G57" s="562">
        <f>ROUND(當年月推移!P116,1)</f>
        <v>0</v>
      </c>
      <c r="H57" s="563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2" customHeight="1" x14ac:dyDescent="0.45">
      <c r="A58" s="568" t="s">
        <v>34</v>
      </c>
      <c r="B58" s="569"/>
      <c r="C58" s="570"/>
      <c r="D58" s="49">
        <f>HLOOKUP(MONTH(日期!$C$2),去年月推移!$D$1:$O$200,116,TRUE)</f>
        <v>0</v>
      </c>
      <c r="E58" s="268"/>
      <c r="F58" s="268"/>
      <c r="G58" s="562">
        <f>ROUND(當年月推移!P117,1)</f>
        <v>0</v>
      </c>
      <c r="H58" s="563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2" customHeight="1" x14ac:dyDescent="0.45">
      <c r="A59" s="568" t="s">
        <v>35</v>
      </c>
      <c r="B59" s="569"/>
      <c r="C59" s="570"/>
      <c r="D59" s="243">
        <f>HLOOKUP(MONTH(日期!$C$2),去年月推移!$D$1:$O$200,117,TRUE)</f>
        <v>0</v>
      </c>
      <c r="E59" s="297"/>
      <c r="F59" s="297"/>
      <c r="G59" s="562">
        <f>ROUND(當年月推移!P118,1)</f>
        <v>0</v>
      </c>
      <c r="H59" s="563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2" customHeight="1" thickBot="1" x14ac:dyDescent="0.5">
      <c r="A60" s="575" t="s">
        <v>30</v>
      </c>
      <c r="B60" s="576"/>
      <c r="C60" s="577"/>
      <c r="D60" s="522">
        <f>HLOOKUP(MONTH(日期!$C$2),去年月推移!$D$1:$O$200,118,TRUE)</f>
        <v>0</v>
      </c>
      <c r="E60" s="231"/>
      <c r="F60" s="231"/>
      <c r="G60" s="573">
        <f>ROUND(當年月推移!P119,1)</f>
        <v>95.4</v>
      </c>
      <c r="H60" s="574"/>
      <c r="I60" s="242">
        <f>ROUND(供應率ALL!C21,1)</f>
        <v>100</v>
      </c>
      <c r="J60" s="242">
        <f>ROUND(供應率ALL!D21,1)</f>
        <v>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100</v>
      </c>
      <c r="U60" s="242">
        <f>ROUND(供應率ALL!O21,1)</f>
        <v>100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0</v>
      </c>
      <c r="AM60" s="242">
        <f>ROUND(供應率ALL!AG21,1)</f>
        <v>0</v>
      </c>
      <c r="AN60" s="271">
        <f>ROUND(供應率ALL!AH21,1)</f>
        <v>100</v>
      </c>
      <c r="AO60" s="54"/>
    </row>
    <row r="61" spans="1:41" s="35" customFormat="1" ht="23.15" customHeight="1" x14ac:dyDescent="0.45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5" customHeight="1" thickBot="1" x14ac:dyDescent="0.5">
      <c r="A62" s="41" t="s">
        <v>51</v>
      </c>
      <c r="B62" s="42"/>
      <c r="C62" s="43"/>
      <c r="D62" s="302"/>
      <c r="E62" s="302"/>
      <c r="F62" s="302"/>
      <c r="G62" s="505"/>
      <c r="H62" s="505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 x14ac:dyDescent="0.4">
      <c r="A63" s="605" t="s">
        <v>1</v>
      </c>
      <c r="B63" s="586"/>
      <c r="C63" s="586"/>
      <c r="D63" s="607" t="str">
        <f>D3</f>
        <v>2024/11</v>
      </c>
      <c r="E63" s="609" t="str">
        <f>E3</f>
        <v>2025/11</v>
      </c>
      <c r="F63" s="622"/>
      <c r="G63" s="564">
        <f>YEAR(日期!C2)</f>
        <v>2025</v>
      </c>
      <c r="H63" s="565"/>
      <c r="I63" s="526" t="str">
        <f>日期!C2</f>
        <v>2025/11/01</v>
      </c>
      <c r="J63" s="526" t="str">
        <f>日期!D2</f>
        <v>2025/11/02</v>
      </c>
      <c r="K63" s="526" t="str">
        <f>日期!E2</f>
        <v>2025/11/03</v>
      </c>
      <c r="L63" s="526" t="str">
        <f>日期!F2</f>
        <v>2025/11/04</v>
      </c>
      <c r="M63" s="526" t="str">
        <f>日期!G2</f>
        <v>2025/11/05</v>
      </c>
      <c r="N63" s="526" t="str">
        <f>日期!H2</f>
        <v>2025/11/06</v>
      </c>
      <c r="O63" s="526" t="str">
        <f>日期!I2</f>
        <v>2025/11/07</v>
      </c>
      <c r="P63" s="526" t="str">
        <f>日期!J2</f>
        <v>2025/11/08</v>
      </c>
      <c r="Q63" s="526" t="str">
        <f>日期!K2</f>
        <v>2025/11/09</v>
      </c>
      <c r="R63" s="526" t="str">
        <f>日期!L2</f>
        <v>2025/11/10</v>
      </c>
      <c r="S63" s="526" t="str">
        <f>日期!M2</f>
        <v>2025/11/11</v>
      </c>
      <c r="T63" s="526" t="str">
        <f>日期!N2</f>
        <v>2025/11/12</v>
      </c>
      <c r="U63" s="526" t="str">
        <f>日期!O2</f>
        <v>2025/11/13</v>
      </c>
      <c r="V63" s="526" t="str">
        <f>日期!P2</f>
        <v>2025/11/14</v>
      </c>
      <c r="W63" s="526" t="str">
        <f>日期!Q2</f>
        <v>2025/11/15</v>
      </c>
      <c r="X63" s="526" t="str">
        <f>日期!R2</f>
        <v>2025/11/16</v>
      </c>
      <c r="Y63" s="526" t="str">
        <f>日期!S2</f>
        <v>2025/11/17</v>
      </c>
      <c r="Z63" s="526" t="str">
        <f>日期!T2</f>
        <v>2025/11/18</v>
      </c>
      <c r="AA63" s="526" t="str">
        <f>日期!U2</f>
        <v>2025/11/19</v>
      </c>
      <c r="AB63" s="526" t="str">
        <f>日期!V2</f>
        <v>2025/11/20</v>
      </c>
      <c r="AC63" s="526" t="str">
        <f>日期!W2</f>
        <v>2025/11/21</v>
      </c>
      <c r="AD63" s="526" t="str">
        <f>日期!X2</f>
        <v>2025/11/22</v>
      </c>
      <c r="AE63" s="526" t="str">
        <f>日期!Y2</f>
        <v>2025/11/23</v>
      </c>
      <c r="AF63" s="526" t="str">
        <f>日期!Z2</f>
        <v>2025/11/24</v>
      </c>
      <c r="AG63" s="526" t="str">
        <f>日期!AA2</f>
        <v>2025/11/25</v>
      </c>
      <c r="AH63" s="526" t="str">
        <f>日期!AB2</f>
        <v>2025/11/26</v>
      </c>
      <c r="AI63" s="526" t="str">
        <f>日期!AC2</f>
        <v>2025/11/27</v>
      </c>
      <c r="AJ63" s="526" t="str">
        <f>日期!AD2</f>
        <v>2025/11/28</v>
      </c>
      <c r="AK63" s="526" t="str">
        <f>日期!AE2</f>
        <v>2025/11/29</v>
      </c>
      <c r="AL63" s="526" t="str">
        <f>日期!AF2</f>
        <v>2025/11/30</v>
      </c>
      <c r="AM63" s="526">
        <f>日期!AG2</f>
        <v>0</v>
      </c>
      <c r="AN63" s="603" t="s">
        <v>42</v>
      </c>
    </row>
    <row r="64" spans="1:41" s="14" customFormat="1" ht="22.75" customHeight="1" thickBot="1" x14ac:dyDescent="0.45">
      <c r="A64" s="606"/>
      <c r="B64" s="587"/>
      <c r="C64" s="587"/>
      <c r="D64" s="608"/>
      <c r="E64" s="610"/>
      <c r="F64" s="623"/>
      <c r="G64" s="566" t="s">
        <v>43</v>
      </c>
      <c r="H64" s="567"/>
      <c r="I64" s="12" t="str">
        <f>日期!C3</f>
        <v>Sat</v>
      </c>
      <c r="J64" s="12" t="str">
        <f>日期!D3</f>
        <v>Sun</v>
      </c>
      <c r="K64" s="12" t="str">
        <f>日期!E3</f>
        <v>Mon</v>
      </c>
      <c r="L64" s="12" t="str">
        <f>日期!F3</f>
        <v>Tue</v>
      </c>
      <c r="M64" s="12" t="str">
        <f>日期!G3</f>
        <v>Wed</v>
      </c>
      <c r="N64" s="12" t="str">
        <f>日期!H3</f>
        <v>Thu</v>
      </c>
      <c r="O64" s="12" t="str">
        <f>日期!I3</f>
        <v>Fri</v>
      </c>
      <c r="P64" s="12" t="str">
        <f>日期!J3</f>
        <v>Sat</v>
      </c>
      <c r="Q64" s="12" t="str">
        <f>日期!K3</f>
        <v>Sun</v>
      </c>
      <c r="R64" s="12" t="str">
        <f>日期!L3</f>
        <v>Mon</v>
      </c>
      <c r="S64" s="12" t="str">
        <f>日期!M3</f>
        <v>Tue</v>
      </c>
      <c r="T64" s="12" t="str">
        <f>日期!N3</f>
        <v>Wed</v>
      </c>
      <c r="U64" s="12" t="str">
        <f>日期!O3</f>
        <v>Thu</v>
      </c>
      <c r="V64" s="12" t="str">
        <f>日期!P3</f>
        <v>Fri</v>
      </c>
      <c r="W64" s="12" t="str">
        <f>日期!Q3</f>
        <v>Sat</v>
      </c>
      <c r="X64" s="12" t="str">
        <f>日期!R3</f>
        <v>Sun</v>
      </c>
      <c r="Y64" s="12" t="str">
        <f>日期!S3</f>
        <v>Mon</v>
      </c>
      <c r="Z64" s="12" t="str">
        <f>日期!T3</f>
        <v>Tue</v>
      </c>
      <c r="AA64" s="12" t="str">
        <f>日期!U3</f>
        <v>Wed</v>
      </c>
      <c r="AB64" s="12" t="str">
        <f>日期!V3</f>
        <v>Thu</v>
      </c>
      <c r="AC64" s="12" t="str">
        <f>日期!W3</f>
        <v>Fri</v>
      </c>
      <c r="AD64" s="12" t="str">
        <f>日期!X3</f>
        <v>Sat</v>
      </c>
      <c r="AE64" s="12" t="str">
        <f>日期!Y3</f>
        <v>Sun</v>
      </c>
      <c r="AF64" s="12" t="str">
        <f>日期!Z3</f>
        <v>Mon</v>
      </c>
      <c r="AG64" s="12" t="str">
        <f>日期!AA3</f>
        <v>Tue</v>
      </c>
      <c r="AH64" s="12" t="str">
        <f>日期!AB3</f>
        <v>Wed</v>
      </c>
      <c r="AI64" s="12" t="str">
        <f>日期!AC3</f>
        <v>Thu</v>
      </c>
      <c r="AJ64" s="12" t="str">
        <f>日期!AD3</f>
        <v>Fri</v>
      </c>
      <c r="AK64" s="12" t="str">
        <f>日期!AE3</f>
        <v>Sat</v>
      </c>
      <c r="AL64" s="12" t="str">
        <f>日期!AF3</f>
        <v>Sun</v>
      </c>
      <c r="AM64" s="12">
        <f>日期!AG3</f>
        <v>0</v>
      </c>
      <c r="AN64" s="604"/>
    </row>
    <row r="65" spans="1:41" s="11" customFormat="1" ht="22" customHeight="1" x14ac:dyDescent="0.35">
      <c r="A65" s="613" t="s">
        <v>52</v>
      </c>
      <c r="B65" s="614"/>
      <c r="C65" s="614"/>
      <c r="D65" s="313">
        <f>HLOOKUP(MONTH(日期!$C$2),去年月推移!$D$1:$O$200,122,TRUE)</f>
        <v>98.430066999999994</v>
      </c>
      <c r="E65" s="272">
        <v>98.1</v>
      </c>
      <c r="F65" s="272" t="s">
        <v>45</v>
      </c>
      <c r="G65" s="558">
        <f>ROUND(當年月推移!P124,1)</f>
        <v>98.1</v>
      </c>
      <c r="H65" s="559"/>
      <c r="I65" s="245">
        <f>ROUND(供應率!D2,1)</f>
        <v>97.6</v>
      </c>
      <c r="J65" s="245">
        <f>ROUND(供應率!E2,1)</f>
        <v>0</v>
      </c>
      <c r="K65" s="245">
        <f>ROUND(供應率!F2,1)</f>
        <v>97.9</v>
      </c>
      <c r="L65" s="245">
        <f>ROUND(供應率!G2,1)</f>
        <v>97.6</v>
      </c>
      <c r="M65" s="245">
        <f>ROUND(供應率!H2,1)</f>
        <v>97.8</v>
      </c>
      <c r="N65" s="245">
        <f>ROUND(供應率!I2,1)</f>
        <v>97.4</v>
      </c>
      <c r="O65" s="245">
        <f>ROUND(供應率!J2,1)</f>
        <v>97.4</v>
      </c>
      <c r="P65" s="245">
        <f>ROUND(供應率!K2,1)</f>
        <v>97.9</v>
      </c>
      <c r="Q65" s="245">
        <f>ROUND(供應率!L2,1)</f>
        <v>0</v>
      </c>
      <c r="R65" s="245">
        <f>ROUND(供應率!M2,1)</f>
        <v>98.2</v>
      </c>
      <c r="S65" s="245">
        <f>ROUND(供應率!N2,1)</f>
        <v>100</v>
      </c>
      <c r="T65" s="245">
        <f>ROUND(供應率!O2,1)</f>
        <v>95.8</v>
      </c>
      <c r="U65" s="245">
        <f>ROUND(供應率!P2,1)</f>
        <v>98</v>
      </c>
      <c r="V65" s="245">
        <f>ROUND(供應率!Q2,1)</f>
        <v>98</v>
      </c>
      <c r="W65" s="245">
        <f>ROUND(供應率!R2,1)</f>
        <v>98.5</v>
      </c>
      <c r="X65" s="245">
        <f>ROUND(供應率!S2,1)</f>
        <v>0</v>
      </c>
      <c r="Y65" s="245">
        <f>ROUND(供應率!T2,1)</f>
        <v>97.9</v>
      </c>
      <c r="Z65" s="245">
        <f>ROUND(供應率!U2,1)</f>
        <v>97.5</v>
      </c>
      <c r="AA65" s="245">
        <f>ROUND(供應率!V2,1)</f>
        <v>97.8</v>
      </c>
      <c r="AB65" s="245">
        <f>ROUND(供應率!W2,1)</f>
        <v>98.3</v>
      </c>
      <c r="AC65" s="245">
        <f>ROUND(供應率!X2,1)</f>
        <v>98.5</v>
      </c>
      <c r="AD65" s="245">
        <f>ROUND(供應率!Y2,1)</f>
        <v>98</v>
      </c>
      <c r="AE65" s="245">
        <f>ROUND(供應率!Z2,1)</f>
        <v>0</v>
      </c>
      <c r="AF65" s="245">
        <f>ROUND(供應率!AA2,1)</f>
        <v>99</v>
      </c>
      <c r="AG65" s="245">
        <f>ROUND(供應率!AB2,1)</f>
        <v>97.9</v>
      </c>
      <c r="AH65" s="245">
        <f>ROUND(供應率!AC2,1)</f>
        <v>98.4</v>
      </c>
      <c r="AI65" s="245">
        <f>ROUND(供應率!AD2,1)</f>
        <v>98.4</v>
      </c>
      <c r="AJ65" s="245">
        <f>ROUND(供應率!AE2,1)</f>
        <v>98.3</v>
      </c>
      <c r="AK65" s="245">
        <f>ROUND(供應率!AF2,1)</f>
        <v>98.6</v>
      </c>
      <c r="AL65" s="245">
        <f>ROUND(供應率!AG2,1)</f>
        <v>0</v>
      </c>
      <c r="AM65" s="245">
        <f>ROUND(供應率!AH2,1)</f>
        <v>0</v>
      </c>
      <c r="AN65" s="213">
        <f>ROUND(供應率!AI2,1)</f>
        <v>98</v>
      </c>
      <c r="AO65" s="55"/>
    </row>
    <row r="66" spans="1:41" s="11" customFormat="1" ht="22" customHeight="1" x14ac:dyDescent="0.35">
      <c r="A66" s="620" t="s">
        <v>53</v>
      </c>
      <c r="B66" s="621"/>
      <c r="C66" s="621"/>
      <c r="D66" s="311">
        <f>HLOOKUP(MONTH(日期!$C$2),去年月推移!$D$1:$O$200,123,TRUE)</f>
        <v>98.773066999999998</v>
      </c>
      <c r="E66" s="49">
        <v>98.1</v>
      </c>
      <c r="F66" s="49" t="s">
        <v>45</v>
      </c>
      <c r="G66" s="562">
        <f>ROUND(當年月推移!P125,1)</f>
        <v>98.2</v>
      </c>
      <c r="H66" s="563"/>
      <c r="I66" s="47">
        <f>ROUND(供應率!D3,1)</f>
        <v>97</v>
      </c>
      <c r="J66" s="47">
        <f>ROUND(供應率!E3,1)</f>
        <v>0</v>
      </c>
      <c r="K66" s="47">
        <f>ROUND(供應率!F3,1)</f>
        <v>98.2</v>
      </c>
      <c r="L66" s="47">
        <f>ROUND(供應率!G3,1)</f>
        <v>97.9</v>
      </c>
      <c r="M66" s="47">
        <f>ROUND(供應率!H3,1)</f>
        <v>97.7</v>
      </c>
      <c r="N66" s="47">
        <f>ROUND(供應率!I3,1)</f>
        <v>98.1</v>
      </c>
      <c r="O66" s="47">
        <f>ROUND(供應率!J3,1)</f>
        <v>98</v>
      </c>
      <c r="P66" s="47">
        <f>ROUND(供應率!K3,1)</f>
        <v>97</v>
      </c>
      <c r="Q66" s="47">
        <f>ROUND(供應率!L3,1)</f>
        <v>0</v>
      </c>
      <c r="R66" s="47">
        <f>ROUND(供應率!M3,1)</f>
        <v>98.1</v>
      </c>
      <c r="S66" s="47">
        <f>ROUND(供應率!N3,1)</f>
        <v>100</v>
      </c>
      <c r="T66" s="47">
        <f>ROUND(供應率!O3,1)</f>
        <v>96.9</v>
      </c>
      <c r="U66" s="47">
        <f>ROUND(供應率!P3,1)</f>
        <v>98</v>
      </c>
      <c r="V66" s="47">
        <f>ROUND(供應率!Q3,1)</f>
        <v>98</v>
      </c>
      <c r="W66" s="47">
        <f>ROUND(供應率!R3,1)</f>
        <v>97.4</v>
      </c>
      <c r="X66" s="47">
        <f>ROUND(供應率!S3,1)</f>
        <v>0</v>
      </c>
      <c r="Y66" s="47">
        <f>ROUND(供應率!T3,1)</f>
        <v>98.1</v>
      </c>
      <c r="Z66" s="47">
        <f>ROUND(供應率!U3,1)</f>
        <v>98.2</v>
      </c>
      <c r="AA66" s="47">
        <f>ROUND(供應率!V3,1)</f>
        <v>98.1</v>
      </c>
      <c r="AB66" s="47">
        <f>ROUND(供應率!W3,1)</f>
        <v>98.1</v>
      </c>
      <c r="AC66" s="47">
        <f>ROUND(供應率!X3,1)</f>
        <v>98.7</v>
      </c>
      <c r="AD66" s="47">
        <f>ROUND(供應率!Y3,1)</f>
        <v>97.8</v>
      </c>
      <c r="AE66" s="47">
        <f>ROUND(供應率!Z3,1)</f>
        <v>0</v>
      </c>
      <c r="AF66" s="47">
        <f>ROUND(供應率!AA3,1)</f>
        <v>98</v>
      </c>
      <c r="AG66" s="47">
        <f>ROUND(供應率!AB3,1)</f>
        <v>98.1</v>
      </c>
      <c r="AH66" s="47">
        <f>ROUND(供應率!AC3,1)</f>
        <v>98.4</v>
      </c>
      <c r="AI66" s="47">
        <f>ROUND(供應率!AD3,1)</f>
        <v>98.5</v>
      </c>
      <c r="AJ66" s="47">
        <f>ROUND(供應率!AE3,1)</f>
        <v>98.6</v>
      </c>
      <c r="AK66" s="47">
        <f>ROUND(供應率!AF3,1)</f>
        <v>98.6</v>
      </c>
      <c r="AL66" s="47">
        <f>ROUND(供應率!AG3,1)</f>
        <v>0</v>
      </c>
      <c r="AM66" s="47">
        <f>ROUND(供應率!AH3,1)</f>
        <v>0</v>
      </c>
      <c r="AN66" s="214">
        <f>ROUND(供應率!AI3,1)</f>
        <v>98</v>
      </c>
      <c r="AO66" s="55"/>
    </row>
    <row r="67" spans="1:41" s="11" customFormat="1" ht="22" customHeight="1" x14ac:dyDescent="0.35">
      <c r="A67" s="620" t="s">
        <v>54</v>
      </c>
      <c r="B67" s="621"/>
      <c r="C67" s="621"/>
      <c r="D67" s="311">
        <f>HLOOKUP(MONTH(日期!$C$2),去年月推移!$D$1:$O$200,124,TRUE)</f>
        <v>99.195718999999997</v>
      </c>
      <c r="E67" s="49">
        <v>99.2</v>
      </c>
      <c r="F67" s="49" t="s">
        <v>45</v>
      </c>
      <c r="G67" s="562">
        <f>ROUND(當年月推移!P126,1)</f>
        <v>99.2</v>
      </c>
      <c r="H67" s="563"/>
      <c r="I67" s="47">
        <f>ROUND(供應率!D4,1)</f>
        <v>98.7</v>
      </c>
      <c r="J67" s="47">
        <f>ROUND(供應率!E4,1)</f>
        <v>0</v>
      </c>
      <c r="K67" s="47">
        <f>ROUND(供應率!F4,1)</f>
        <v>99</v>
      </c>
      <c r="L67" s="47">
        <f>ROUND(供應率!G4,1)</f>
        <v>98.6</v>
      </c>
      <c r="M67" s="47">
        <f>ROUND(供應率!H4,1)</f>
        <v>98.6</v>
      </c>
      <c r="N67" s="47">
        <f>ROUND(供應率!I4,1)</f>
        <v>99.1</v>
      </c>
      <c r="O67" s="47">
        <f>ROUND(供應率!J4,1)</f>
        <v>99.2</v>
      </c>
      <c r="P67" s="47">
        <f>ROUND(供應率!K4,1)</f>
        <v>98.8</v>
      </c>
      <c r="Q67" s="47">
        <f>ROUND(供應率!L4,1)</f>
        <v>0</v>
      </c>
      <c r="R67" s="47">
        <f>ROUND(供應率!M4,1)</f>
        <v>98.9</v>
      </c>
      <c r="S67" s="47">
        <f>ROUND(供應率!N4,1)</f>
        <v>100</v>
      </c>
      <c r="T67" s="47">
        <f>ROUND(供應率!O4,1)</f>
        <v>96.8</v>
      </c>
      <c r="U67" s="47">
        <f>ROUND(供應率!P4,1)</f>
        <v>99.2</v>
      </c>
      <c r="V67" s="47">
        <f>ROUND(供應率!Q4,1)</f>
        <v>99.2</v>
      </c>
      <c r="W67" s="47">
        <f>ROUND(供應率!R4,1)</f>
        <v>98.9</v>
      </c>
      <c r="X67" s="47">
        <f>ROUND(供應率!S4,1)</f>
        <v>0</v>
      </c>
      <c r="Y67" s="47">
        <f>ROUND(供應率!T4,1)</f>
        <v>98.8</v>
      </c>
      <c r="Z67" s="47">
        <f>ROUND(供應率!U4,1)</f>
        <v>98.9</v>
      </c>
      <c r="AA67" s="47">
        <f>ROUND(供應率!V4,1)</f>
        <v>99.3</v>
      </c>
      <c r="AB67" s="47">
        <f>ROUND(供應率!W4,1)</f>
        <v>99.3</v>
      </c>
      <c r="AC67" s="47">
        <f>ROUND(供應率!X4,1)</f>
        <v>98.9</v>
      </c>
      <c r="AD67" s="47">
        <f>ROUND(供應率!Y4,1)</f>
        <v>98.5</v>
      </c>
      <c r="AE67" s="47">
        <f>ROUND(供應率!Z4,1)</f>
        <v>0</v>
      </c>
      <c r="AF67" s="47">
        <f>ROUND(供應率!AA4,1)</f>
        <v>99.3</v>
      </c>
      <c r="AG67" s="47">
        <f>ROUND(供應率!AB4,1)</f>
        <v>98.8</v>
      </c>
      <c r="AH67" s="47">
        <f>ROUND(供應率!AC4,1)</f>
        <v>99.3</v>
      </c>
      <c r="AI67" s="47">
        <f>ROUND(供應率!AD4,1)</f>
        <v>99.4</v>
      </c>
      <c r="AJ67" s="47">
        <f>ROUND(供應率!AE4,1)</f>
        <v>99.3</v>
      </c>
      <c r="AK67" s="47">
        <f>ROUND(供應率!AF4,1)</f>
        <v>99.7</v>
      </c>
      <c r="AL67" s="47">
        <f>ROUND(供應率!AG4,1)</f>
        <v>0</v>
      </c>
      <c r="AM67" s="47">
        <f>ROUND(供應率!AH4,1)</f>
        <v>0</v>
      </c>
      <c r="AN67" s="214">
        <f>ROUND(供應率!AI4,1)</f>
        <v>99</v>
      </c>
      <c r="AO67" s="55"/>
    </row>
    <row r="68" spans="1:41" s="11" customFormat="1" ht="22" customHeight="1" x14ac:dyDescent="0.35">
      <c r="A68" s="624" t="s">
        <v>55</v>
      </c>
      <c r="B68" s="625"/>
      <c r="C68" s="626"/>
      <c r="D68" s="319">
        <f>HLOOKUP(MONTH(日期!$C$2),去年月推移!$D$1:$O$200,125,TRUE)</f>
        <v>98.668848999999994</v>
      </c>
      <c r="E68" s="56">
        <v>98.2</v>
      </c>
      <c r="F68" s="56" t="s">
        <v>45</v>
      </c>
      <c r="G68" s="627">
        <f>ROUND(當年月推移!P127,1)</f>
        <v>98.3</v>
      </c>
      <c r="H68" s="628"/>
      <c r="I68" s="57">
        <f>ROUND(供應率!D5,1)</f>
        <v>97.5</v>
      </c>
      <c r="J68" s="57">
        <f>ROUND(供應率!E5,1)</f>
        <v>0</v>
      </c>
      <c r="K68" s="57">
        <f>ROUND(供應率!F5,1)</f>
        <v>98.2</v>
      </c>
      <c r="L68" s="57">
        <f>ROUND(供應率!G5,1)</f>
        <v>97.9</v>
      </c>
      <c r="M68" s="57">
        <f>ROUND(供應率!H5,1)</f>
        <v>97.9</v>
      </c>
      <c r="N68" s="57">
        <f>ROUND(供應率!I5,1)</f>
        <v>97.9</v>
      </c>
      <c r="O68" s="57">
        <f>ROUND(供應率!J5,1)</f>
        <v>97.9</v>
      </c>
      <c r="P68" s="57">
        <f>ROUND(供應率!K5,1)</f>
        <v>97.6</v>
      </c>
      <c r="Q68" s="57">
        <f>ROUND(供應率!L5,1)</f>
        <v>0</v>
      </c>
      <c r="R68" s="57">
        <f>ROUND(供應率!M5,1)</f>
        <v>98.3</v>
      </c>
      <c r="S68" s="57">
        <f>ROUND(供應率!N5,1)</f>
        <v>100</v>
      </c>
      <c r="T68" s="57">
        <f>ROUND(供應率!O5,1)</f>
        <v>96.5</v>
      </c>
      <c r="U68" s="57">
        <f>ROUND(供應率!P5,1)</f>
        <v>98.2</v>
      </c>
      <c r="V68" s="57">
        <f>ROUND(供應率!Q5,1)</f>
        <v>98.2</v>
      </c>
      <c r="W68" s="57">
        <f>ROUND(供應率!R5,1)</f>
        <v>98.1</v>
      </c>
      <c r="X68" s="57">
        <f>ROUND(供應率!S5,1)</f>
        <v>0</v>
      </c>
      <c r="Y68" s="57">
        <f>ROUND(供應率!T5,1)</f>
        <v>98.1</v>
      </c>
      <c r="Z68" s="57">
        <f>ROUND(供應率!U5,1)</f>
        <v>98</v>
      </c>
      <c r="AA68" s="57">
        <f>ROUND(供應率!V5,1)</f>
        <v>98.1</v>
      </c>
      <c r="AB68" s="57">
        <f>ROUND(供應率!W5,1)</f>
        <v>98.3</v>
      </c>
      <c r="AC68" s="57">
        <f>ROUND(供應率!X5,1)</f>
        <v>98.6</v>
      </c>
      <c r="AD68" s="57">
        <f>ROUND(供應率!Y5,1)</f>
        <v>98</v>
      </c>
      <c r="AE68" s="57">
        <f>ROUND(供應率!Z5,1)</f>
        <v>0</v>
      </c>
      <c r="AF68" s="57">
        <f>ROUND(供應率!AA5,1)</f>
        <v>98.6</v>
      </c>
      <c r="AG68" s="57">
        <f>ROUND(供應率!AB5,1)</f>
        <v>98.1</v>
      </c>
      <c r="AH68" s="57">
        <f>ROUND(供應率!AC5,1)</f>
        <v>98.5</v>
      </c>
      <c r="AI68" s="57">
        <f>ROUND(供應率!AD5,1)</f>
        <v>98.6</v>
      </c>
      <c r="AJ68" s="57">
        <f>ROUND(供應率!AE5,1)</f>
        <v>98.5</v>
      </c>
      <c r="AK68" s="57">
        <f>ROUND(供應率!AF5,1)</f>
        <v>98.8</v>
      </c>
      <c r="AL68" s="57">
        <f>ROUND(供應率!AG5,1)</f>
        <v>0</v>
      </c>
      <c r="AM68" s="57">
        <f>ROUND(供應率!AH5,1)</f>
        <v>0</v>
      </c>
      <c r="AN68" s="216">
        <f>ROUND(供應率!AI5,1)</f>
        <v>98.1</v>
      </c>
      <c r="AO68" s="55"/>
    </row>
    <row r="69" spans="1:41" s="11" customFormat="1" ht="22" customHeight="1" x14ac:dyDescent="0.35">
      <c r="A69" s="620" t="s">
        <v>12</v>
      </c>
      <c r="B69" s="621"/>
      <c r="C69" s="621"/>
      <c r="D69" s="311">
        <f>HLOOKUP(MONTH(日期!$C$2),去年月推移!$D$1:$O$200,126,TRUE)</f>
        <v>98.840681000000004</v>
      </c>
      <c r="E69" s="49">
        <v>99.5</v>
      </c>
      <c r="F69" s="49" t="s">
        <v>45</v>
      </c>
      <c r="G69" s="562">
        <f>ROUND(當年月推移!P128,1)</f>
        <v>99.8</v>
      </c>
      <c r="H69" s="563"/>
      <c r="I69" s="47">
        <f>ROUND(供應率!D7,1)</f>
        <v>100</v>
      </c>
      <c r="J69" s="47">
        <f>ROUND(供應率!E7,1)</f>
        <v>0</v>
      </c>
      <c r="K69" s="47">
        <f>ROUND(供應率!F7,1)</f>
        <v>100</v>
      </c>
      <c r="L69" s="47">
        <f>ROUND(供應率!G7,1)</f>
        <v>100</v>
      </c>
      <c r="M69" s="47">
        <f>ROUND(供應率!H7,1)</f>
        <v>100</v>
      </c>
      <c r="N69" s="47">
        <f>ROUND(供應率!I7,1)</f>
        <v>100</v>
      </c>
      <c r="O69" s="47">
        <f>ROUND(供應率!J7,1)</f>
        <v>100</v>
      </c>
      <c r="P69" s="47">
        <f>ROUND(供應率!K7,1)</f>
        <v>100</v>
      </c>
      <c r="Q69" s="47">
        <f>ROUND(供應率!L7,1)</f>
        <v>0</v>
      </c>
      <c r="R69" s="47">
        <f>ROUND(供應率!M7,1)</f>
        <v>100</v>
      </c>
      <c r="S69" s="47">
        <f>ROUND(供應率!N7,1)</f>
        <v>100</v>
      </c>
      <c r="T69" s="47">
        <f>ROUND(供應率!O7,1)</f>
        <v>100</v>
      </c>
      <c r="U69" s="47">
        <f>ROUND(供應率!P7,1)</f>
        <v>100</v>
      </c>
      <c r="V69" s="47">
        <f>ROUND(供應率!Q7,1)</f>
        <v>100</v>
      </c>
      <c r="W69" s="47">
        <f>ROUND(供應率!R7,1)</f>
        <v>100</v>
      </c>
      <c r="X69" s="47">
        <f>ROUND(供應率!S7,1)</f>
        <v>0</v>
      </c>
      <c r="Y69" s="47">
        <f>ROUND(供應率!T7,1)</f>
        <v>100</v>
      </c>
      <c r="Z69" s="47">
        <f>ROUND(供應率!U7,1)</f>
        <v>100</v>
      </c>
      <c r="AA69" s="47">
        <f>ROUND(供應率!V7,1)</f>
        <v>100</v>
      </c>
      <c r="AB69" s="47">
        <f>ROUND(供應率!W7,1)</f>
        <v>100</v>
      </c>
      <c r="AC69" s="47">
        <f>ROUND(供應率!X7,1)</f>
        <v>100</v>
      </c>
      <c r="AD69" s="47">
        <f>ROUND(供應率!Y7,1)</f>
        <v>100</v>
      </c>
      <c r="AE69" s="47">
        <f>ROUND(供應率!Z7,1)</f>
        <v>0</v>
      </c>
      <c r="AF69" s="47">
        <f>ROUND(供應率!AA7,1)</f>
        <v>100</v>
      </c>
      <c r="AG69" s="47">
        <f>ROUND(供應率!AB7,1)</f>
        <v>100</v>
      </c>
      <c r="AH69" s="47">
        <f>ROUND(供應率!AC7,1)</f>
        <v>100</v>
      </c>
      <c r="AI69" s="47">
        <f>ROUND(供應率!AD7,1)</f>
        <v>100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0</v>
      </c>
      <c r="AM69" s="47">
        <f>ROUND(供應率!AH7,1)</f>
        <v>0</v>
      </c>
      <c r="AN69" s="214">
        <f>ROUND(供應率!AI7,1)</f>
        <v>100</v>
      </c>
      <c r="AO69" s="55"/>
    </row>
    <row r="70" spans="1:41" s="11" customFormat="1" ht="22" customHeight="1" x14ac:dyDescent="0.35">
      <c r="A70" s="620" t="s">
        <v>13</v>
      </c>
      <c r="B70" s="621"/>
      <c r="C70" s="621"/>
      <c r="D70" s="311">
        <f>HLOOKUP(MONTH(日期!$C$2),去年月推移!$D$1:$O$200,127,TRUE)</f>
        <v>94.489795000000001</v>
      </c>
      <c r="E70" s="49">
        <v>80</v>
      </c>
      <c r="F70" s="49" t="s">
        <v>45</v>
      </c>
      <c r="G70" s="562">
        <f>ROUND(當年月推移!P129,1)</f>
        <v>87.7</v>
      </c>
      <c r="H70" s="563"/>
      <c r="I70" s="47">
        <f>ROUND(供應率!D8,1)</f>
        <v>62.5</v>
      </c>
      <c r="J70" s="47">
        <f>ROUND(供應率!E8,1)</f>
        <v>0</v>
      </c>
      <c r="K70" s="47">
        <f>ROUND(供應率!F8,1)</f>
        <v>35.200000000000003</v>
      </c>
      <c r="L70" s="47">
        <f>ROUND(供應率!G8,1)</f>
        <v>72.7</v>
      </c>
      <c r="M70" s="47">
        <f>ROUND(供應率!H8,1)</f>
        <v>81.8</v>
      </c>
      <c r="N70" s="47">
        <f>ROUND(供應率!I8,1)</f>
        <v>90</v>
      </c>
      <c r="O70" s="47">
        <f>ROUND(供應率!J8,1)</f>
        <v>100</v>
      </c>
      <c r="P70" s="47">
        <f>ROUND(供應率!K8,1)</f>
        <v>100</v>
      </c>
      <c r="Q70" s="47">
        <f>ROUND(供應率!L8,1)</f>
        <v>0</v>
      </c>
      <c r="R70" s="47">
        <f>ROUND(供應率!M8,1)</f>
        <v>92.8</v>
      </c>
      <c r="S70" s="47">
        <f>ROUND(供應率!N8,1)</f>
        <v>100</v>
      </c>
      <c r="T70" s="47">
        <f>ROUND(供應率!O8,1)</f>
        <v>78.900000000000006</v>
      </c>
      <c r="U70" s="47">
        <f>ROUND(供應率!P8,1)</f>
        <v>81.8</v>
      </c>
      <c r="V70" s="47">
        <f>ROUND(供應率!Q8,1)</f>
        <v>93.3</v>
      </c>
      <c r="W70" s="47">
        <f>ROUND(供應率!R8,1)</f>
        <v>58.3</v>
      </c>
      <c r="X70" s="47">
        <f>ROUND(供應率!S8,1)</f>
        <v>0</v>
      </c>
      <c r="Y70" s="47">
        <f>ROUND(供應率!T8,1)</f>
        <v>50</v>
      </c>
      <c r="Z70" s="47">
        <f>ROUND(供應率!U8,1)</f>
        <v>33.299999999999997</v>
      </c>
      <c r="AA70" s="47">
        <f>ROUND(供應率!V8,1)</f>
        <v>62.5</v>
      </c>
      <c r="AB70" s="47">
        <f>ROUND(供應率!W8,1)</f>
        <v>71.400000000000006</v>
      </c>
      <c r="AC70" s="47">
        <f>ROUND(供應率!X8,1)</f>
        <v>90</v>
      </c>
      <c r="AD70" s="47">
        <f>ROUND(供應率!Y8,1)</f>
        <v>75</v>
      </c>
      <c r="AE70" s="47">
        <f>ROUND(供應率!Z8,1)</f>
        <v>0</v>
      </c>
      <c r="AF70" s="47">
        <f>ROUND(供應率!AA8,1)</f>
        <v>91.6</v>
      </c>
      <c r="AG70" s="47">
        <f>ROUND(供應率!AB8,1)</f>
        <v>87.5</v>
      </c>
      <c r="AH70" s="47">
        <f>ROUND(供應率!AC8,1)</f>
        <v>88.8</v>
      </c>
      <c r="AI70" s="47">
        <f>ROUND(供應率!AD8,1)</f>
        <v>85.7</v>
      </c>
      <c r="AJ70" s="47">
        <f>ROUND(供應率!AE8,1)</f>
        <v>82.3</v>
      </c>
      <c r="AK70" s="47">
        <f>ROUND(供應率!AF8,1)</f>
        <v>80</v>
      </c>
      <c r="AL70" s="47">
        <f>ROUND(供應率!AG8,1)</f>
        <v>0</v>
      </c>
      <c r="AM70" s="47">
        <f>ROUND(供應率!AH8,1)</f>
        <v>0</v>
      </c>
      <c r="AN70" s="214">
        <f>ROUND(供應率!AI8,1)</f>
        <v>76.5</v>
      </c>
      <c r="AO70" s="55"/>
    </row>
    <row r="71" spans="1:41" s="11" customFormat="1" ht="21.75" customHeight="1" x14ac:dyDescent="0.35">
      <c r="A71" s="620" t="s">
        <v>14</v>
      </c>
      <c r="B71" s="621"/>
      <c r="C71" s="621"/>
      <c r="D71" s="311">
        <f>HLOOKUP(MONTH(日期!$C$2),去年月推移!$D$1:$O$200,128,TRUE)</f>
        <v>99.568275</v>
      </c>
      <c r="E71" s="49">
        <v>99.2</v>
      </c>
      <c r="F71" s="49" t="s">
        <v>45</v>
      </c>
      <c r="G71" s="562">
        <f>ROUND(當年月推移!P130,1)</f>
        <v>99.5</v>
      </c>
      <c r="H71" s="563"/>
      <c r="I71" s="47">
        <f>ROUND(供應率!D9,1)</f>
        <v>98.8</v>
      </c>
      <c r="J71" s="47">
        <f>ROUND(供應率!E9,1)</f>
        <v>0</v>
      </c>
      <c r="K71" s="47">
        <f>ROUND(供應率!F9,1)</f>
        <v>99</v>
      </c>
      <c r="L71" s="47">
        <f>ROUND(供應率!G9,1)</f>
        <v>98.8</v>
      </c>
      <c r="M71" s="47">
        <f>ROUND(供應率!H9,1)</f>
        <v>98.3</v>
      </c>
      <c r="N71" s="47">
        <f>ROUND(供應率!I9,1)</f>
        <v>99.2</v>
      </c>
      <c r="O71" s="47">
        <f>ROUND(供應率!J9,1)</f>
        <v>99.4</v>
      </c>
      <c r="P71" s="47">
        <f>ROUND(供應率!K9,1)</f>
        <v>99.5</v>
      </c>
      <c r="Q71" s="47">
        <f>ROUND(供應率!L9,1)</f>
        <v>0</v>
      </c>
      <c r="R71" s="47">
        <f>ROUND(供應率!M9,1)</f>
        <v>99</v>
      </c>
      <c r="S71" s="47">
        <f>ROUND(供應率!N9,1)</f>
        <v>100</v>
      </c>
      <c r="T71" s="47">
        <f>ROUND(供應率!O9,1)</f>
        <v>98.4</v>
      </c>
      <c r="U71" s="47">
        <f>ROUND(供應率!P9,1)</f>
        <v>98.8</v>
      </c>
      <c r="V71" s="47">
        <f>ROUND(供應率!Q9,1)</f>
        <v>99</v>
      </c>
      <c r="W71" s="47">
        <f>ROUND(供應率!R9,1)</f>
        <v>98.8</v>
      </c>
      <c r="X71" s="47">
        <f>ROUND(供應率!S9,1)</f>
        <v>0</v>
      </c>
      <c r="Y71" s="47">
        <f>ROUND(供應率!T9,1)</f>
        <v>98.6</v>
      </c>
      <c r="Z71" s="47">
        <f>ROUND(供應率!U9,1)</f>
        <v>99.2</v>
      </c>
      <c r="AA71" s="47">
        <f>ROUND(供應率!V9,1)</f>
        <v>99.4</v>
      </c>
      <c r="AB71" s="47">
        <f>ROUND(供應率!W9,1)</f>
        <v>99.8</v>
      </c>
      <c r="AC71" s="47">
        <f>ROUND(供應率!X9,1)</f>
        <v>99.8</v>
      </c>
      <c r="AD71" s="47">
        <f>ROUND(供應率!Y9,1)</f>
        <v>99.8</v>
      </c>
      <c r="AE71" s="47">
        <f>ROUND(供應率!Z9,1)</f>
        <v>0</v>
      </c>
      <c r="AF71" s="47">
        <f>ROUND(供應率!AA9,1)</f>
        <v>99.5</v>
      </c>
      <c r="AG71" s="47">
        <f>ROUND(供應率!AB9,1)</f>
        <v>99.5</v>
      </c>
      <c r="AH71" s="47">
        <f>ROUND(供應率!AC9,1)</f>
        <v>99.7</v>
      </c>
      <c r="AI71" s="47">
        <f>ROUND(供應率!AD9,1)</f>
        <v>99.8</v>
      </c>
      <c r="AJ71" s="47">
        <f>ROUND(供應率!AE9,1)</f>
        <v>99.9</v>
      </c>
      <c r="AK71" s="47">
        <f>ROUND(供應率!AF9,1)</f>
        <v>99.8</v>
      </c>
      <c r="AL71" s="47">
        <f>ROUND(供應率!AG9,1)</f>
        <v>0</v>
      </c>
      <c r="AM71" s="47">
        <f>ROUND(供應率!AH9,1)</f>
        <v>0</v>
      </c>
      <c r="AN71" s="214">
        <f>ROUND(供應率!AI9,1)</f>
        <v>99.2</v>
      </c>
      <c r="AO71" s="55"/>
    </row>
    <row r="72" spans="1:41" s="11" customFormat="1" ht="22" customHeight="1" x14ac:dyDescent="0.45">
      <c r="A72" s="620" t="s">
        <v>56</v>
      </c>
      <c r="B72" s="621"/>
      <c r="C72" s="621"/>
      <c r="D72" s="311">
        <f>HLOOKUP(MONTH(日期!$C$2),[2]去年月推移!$D$1:$O$200,129,TRUE)</f>
        <v>0</v>
      </c>
      <c r="E72" s="49">
        <v>94.5</v>
      </c>
      <c r="F72" s="49" t="s">
        <v>45</v>
      </c>
      <c r="G72" s="562">
        <f>ROUND(當年月推移!P131,1)</f>
        <v>95.1</v>
      </c>
      <c r="H72" s="563"/>
      <c r="I72" s="47">
        <f>ROUND(供應率!D22,1)</f>
        <v>94.1</v>
      </c>
      <c r="J72" s="47">
        <f>ROUND(供應率!E22,1)</f>
        <v>0</v>
      </c>
      <c r="K72" s="47">
        <f>ROUND(供應率!F22,1)</f>
        <v>92.8</v>
      </c>
      <c r="L72" s="47">
        <f>ROUND(供應率!G22,1)</f>
        <v>92.4</v>
      </c>
      <c r="M72" s="47">
        <f>ROUND(供應率!H22,1)</f>
        <v>94.2</v>
      </c>
      <c r="N72" s="47">
        <f>ROUND(供應率!I22,1)</f>
        <v>93.8</v>
      </c>
      <c r="O72" s="47">
        <f>ROUND(供應率!J22,1)</f>
        <v>94.8</v>
      </c>
      <c r="P72" s="47">
        <f>ROUND(供應率!K22,1)</f>
        <v>93.1</v>
      </c>
      <c r="Q72" s="47">
        <f>ROUND(供應率!L22,1)</f>
        <v>0</v>
      </c>
      <c r="R72" s="47">
        <f>ROUND(供應率!M22,1)</f>
        <v>92.2</v>
      </c>
      <c r="S72" s="47">
        <f>ROUND(供應率!N22,1)</f>
        <v>100</v>
      </c>
      <c r="T72" s="47">
        <f>ROUND(供應率!O22,1)</f>
        <v>91.3</v>
      </c>
      <c r="U72" s="47">
        <f>ROUND(供應率!P22,1)</f>
        <v>96.6</v>
      </c>
      <c r="V72" s="47">
        <f>ROUND(供應率!Q22,1)</f>
        <v>95.8</v>
      </c>
      <c r="W72" s="47">
        <f>ROUND(供應率!R22,1)</f>
        <v>96</v>
      </c>
      <c r="X72" s="47">
        <f>ROUND(供應率!S22,1)</f>
        <v>0</v>
      </c>
      <c r="Y72" s="47">
        <f>ROUND(供應率!T22,1)</f>
        <v>92.8</v>
      </c>
      <c r="Z72" s="47">
        <f>ROUND(供應率!U22,1)</f>
        <v>95.2</v>
      </c>
      <c r="AA72" s="47">
        <f>ROUND(供應率!V22,1)</f>
        <v>95.3</v>
      </c>
      <c r="AB72" s="47">
        <f>ROUND(供應率!W22,1)</f>
        <v>97.2</v>
      </c>
      <c r="AC72" s="47">
        <f>ROUND(供應率!X22,1)</f>
        <v>97.7</v>
      </c>
      <c r="AD72" s="47">
        <f>ROUND(供應率!Y22,1)</f>
        <v>98.2</v>
      </c>
      <c r="AE72" s="47">
        <f>ROUND(供應率!Z22,1)</f>
        <v>0</v>
      </c>
      <c r="AF72" s="47">
        <f>ROUND(供應率!AA22,1)</f>
        <v>92.2</v>
      </c>
      <c r="AG72" s="47">
        <f>ROUND(供應率!AB22,1)</f>
        <v>96.8</v>
      </c>
      <c r="AH72" s="47">
        <f>ROUND(供應率!AC22,1)</f>
        <v>95.4</v>
      </c>
      <c r="AI72" s="47">
        <f>ROUND(供應率!AD22,1)</f>
        <v>97.7</v>
      </c>
      <c r="AJ72" s="47">
        <f>ROUND(供應率!AE22,1)</f>
        <v>98.1</v>
      </c>
      <c r="AK72" s="47">
        <f>ROUND(供應率!AF22,1)</f>
        <v>97.2</v>
      </c>
      <c r="AL72" s="47">
        <f>ROUND(供應率!AG22,1)</f>
        <v>0</v>
      </c>
      <c r="AM72" s="47">
        <f>ROUND(供應率!AH22,1)</f>
        <v>0</v>
      </c>
      <c r="AN72" s="214">
        <f>ROUND(供應率!AI22,1)</f>
        <v>95</v>
      </c>
      <c r="AO72" s="55"/>
    </row>
    <row r="73" spans="1:41" s="11" customFormat="1" ht="22" customHeight="1" thickBot="1" x14ac:dyDescent="0.4">
      <c r="A73" s="639" t="s">
        <v>16</v>
      </c>
      <c r="B73" s="640"/>
      <c r="C73" s="640"/>
      <c r="D73" s="320">
        <f>HLOOKUP(MONTH(日期!$C$2),去年月推移!$D$1:$O$200,130,TRUE)</f>
        <v>98.805147000000005</v>
      </c>
      <c r="E73" s="58">
        <v>97</v>
      </c>
      <c r="F73" s="58" t="s">
        <v>45</v>
      </c>
      <c r="G73" s="641">
        <f>ROUND(當年月推移!P132,1)</f>
        <v>98.2</v>
      </c>
      <c r="H73" s="642"/>
      <c r="I73" s="59">
        <f>ROUND(供應率!D11,1)</f>
        <v>96.3</v>
      </c>
      <c r="J73" s="59">
        <f>ROUND(供應率!E11,1)</f>
        <v>0</v>
      </c>
      <c r="K73" s="59">
        <f>ROUND(供應率!F11,1)</f>
        <v>95.7</v>
      </c>
      <c r="L73" s="59">
        <f>ROUND(供應率!G11,1)</f>
        <v>91.5</v>
      </c>
      <c r="M73" s="59">
        <f>ROUND(供應率!H11,1)</f>
        <v>97.3</v>
      </c>
      <c r="N73" s="59">
        <f>ROUND(供應率!I11,1)</f>
        <v>98</v>
      </c>
      <c r="O73" s="59">
        <f>ROUND(供應率!J11,1)</f>
        <v>98.5</v>
      </c>
      <c r="P73" s="59">
        <f>ROUND(供應率!K11,1)</f>
        <v>95.2</v>
      </c>
      <c r="Q73" s="59">
        <f>ROUND(供應率!L11,1)</f>
        <v>0</v>
      </c>
      <c r="R73" s="59">
        <f>ROUND(供應率!M11,1)</f>
        <v>96.9</v>
      </c>
      <c r="S73" s="59">
        <f>ROUND(供應率!N11,1)</f>
        <v>100</v>
      </c>
      <c r="T73" s="59">
        <f>ROUND(供應率!O11,1)</f>
        <v>94</v>
      </c>
      <c r="U73" s="59">
        <f>ROUND(供應率!P11,1)</f>
        <v>96.1</v>
      </c>
      <c r="V73" s="59">
        <f>ROUND(供應率!Q11,1)</f>
        <v>98.4</v>
      </c>
      <c r="W73" s="59">
        <f>ROUND(供應率!R11,1)</f>
        <v>96</v>
      </c>
      <c r="X73" s="59">
        <f>ROUND(供應率!S11,1)</f>
        <v>0</v>
      </c>
      <c r="Y73" s="59">
        <f>ROUND(供應率!T11,1)</f>
        <v>98.4</v>
      </c>
      <c r="Z73" s="59">
        <f>ROUND(供應率!U11,1)</f>
        <v>89.8</v>
      </c>
      <c r="AA73" s="59">
        <f>ROUND(供應率!V11,1)</f>
        <v>98.4</v>
      </c>
      <c r="AB73" s="59">
        <f>ROUND(供應率!W11,1)</f>
        <v>97.8</v>
      </c>
      <c r="AC73" s="59">
        <f>ROUND(供應率!X11,1)</f>
        <v>99</v>
      </c>
      <c r="AD73" s="59">
        <f>ROUND(供應率!Y11,1)</f>
        <v>95.9</v>
      </c>
      <c r="AE73" s="59">
        <f>ROUND(供應率!Z11,1)</f>
        <v>0</v>
      </c>
      <c r="AF73" s="59">
        <f>ROUND(供應率!AA11,1)</f>
        <v>99.6</v>
      </c>
      <c r="AG73" s="59">
        <f>ROUND(供應率!AB11,1)</f>
        <v>99.4</v>
      </c>
      <c r="AH73" s="59">
        <f>ROUND(供應率!AC11,1)</f>
        <v>98.7</v>
      </c>
      <c r="AI73" s="59">
        <f>ROUND(供應率!AD11,1)</f>
        <v>99</v>
      </c>
      <c r="AJ73" s="59">
        <f>ROUND(供應率!AE11,1)</f>
        <v>99.4</v>
      </c>
      <c r="AK73" s="59">
        <f>ROUND(供應率!AF11,1)</f>
        <v>99.5</v>
      </c>
      <c r="AL73" s="59">
        <f>ROUND(供應率!AG11,1)</f>
        <v>0</v>
      </c>
      <c r="AM73" s="59">
        <f>ROUND(供應率!AH11,1)</f>
        <v>0</v>
      </c>
      <c r="AN73" s="217">
        <f>ROUND(供應率!AI11,1)</f>
        <v>97.1</v>
      </c>
      <c r="AO73" s="55"/>
    </row>
    <row r="74" spans="1:41" s="11" customFormat="1" ht="22" customHeight="1" x14ac:dyDescent="0.35">
      <c r="A74" s="620" t="s">
        <v>23</v>
      </c>
      <c r="B74" s="621"/>
      <c r="C74" s="621"/>
      <c r="D74" s="313">
        <f>HLOOKUP(MONTH(日期!$C$2),去年月推移!$D$1:$O$200,131,TRUE)</f>
        <v>98.162769999999995</v>
      </c>
      <c r="E74" s="49">
        <v>98.559727106188546</v>
      </c>
      <c r="F74" s="49" t="s">
        <v>45</v>
      </c>
      <c r="G74" s="562">
        <f>ROUND(當年月推移!P133,1)</f>
        <v>98.8</v>
      </c>
      <c r="H74" s="563"/>
      <c r="I74" s="47">
        <f>ROUND(供應率!D6,1)</f>
        <v>95.4</v>
      </c>
      <c r="J74" s="47">
        <f>ROUND(供應率!E6,1)</f>
        <v>0</v>
      </c>
      <c r="K74" s="47">
        <f>ROUND(供應率!F6,1)</f>
        <v>98.5</v>
      </c>
      <c r="L74" s="47">
        <f>ROUND(供應率!G6,1)</f>
        <v>98.3</v>
      </c>
      <c r="M74" s="47">
        <f>ROUND(供應率!H6,1)</f>
        <v>97.9</v>
      </c>
      <c r="N74" s="47">
        <f>ROUND(供應率!I6,1)</f>
        <v>98.5</v>
      </c>
      <c r="O74" s="47">
        <f>ROUND(供應率!J6,1)</f>
        <v>97.7</v>
      </c>
      <c r="P74" s="47">
        <f>ROUND(供應率!K6,1)</f>
        <v>96.7</v>
      </c>
      <c r="Q74" s="47">
        <f>ROUND(供應率!L6,1)</f>
        <v>0</v>
      </c>
      <c r="R74" s="47">
        <f>ROUND(供應率!M6,1)</f>
        <v>98.6</v>
      </c>
      <c r="S74" s="47">
        <f>ROUND(供應率!N6,1)</f>
        <v>100</v>
      </c>
      <c r="T74" s="47">
        <f>ROUND(供應率!O6,1)</f>
        <v>97.5</v>
      </c>
      <c r="U74" s="47">
        <f>ROUND(供應率!P6,1)</f>
        <v>98.4</v>
      </c>
      <c r="V74" s="47">
        <f>ROUND(供應率!Q6,1)</f>
        <v>98.1</v>
      </c>
      <c r="W74" s="47">
        <f>ROUND(供應率!R6,1)</f>
        <v>98.4</v>
      </c>
      <c r="X74" s="47">
        <f>ROUND(供應率!S6,1)</f>
        <v>0</v>
      </c>
      <c r="Y74" s="47">
        <f>ROUND(供應率!T6,1)</f>
        <v>98.6</v>
      </c>
      <c r="Z74" s="47">
        <f>ROUND(供應率!U6,1)</f>
        <v>98.5</v>
      </c>
      <c r="AA74" s="47">
        <f>ROUND(供應率!V6,1)</f>
        <v>98.6</v>
      </c>
      <c r="AB74" s="47">
        <f>ROUND(供應率!W6,1)</f>
        <v>98.6</v>
      </c>
      <c r="AC74" s="47">
        <f>ROUND(供應率!X6,1)</f>
        <v>98.1</v>
      </c>
      <c r="AD74" s="47">
        <f>ROUND(供應率!Y6,1)</f>
        <v>98.9</v>
      </c>
      <c r="AE74" s="47">
        <f>ROUND(供應率!Z6,1)</f>
        <v>0</v>
      </c>
      <c r="AF74" s="47">
        <f>ROUND(供應率!AA6,1)</f>
        <v>98.8</v>
      </c>
      <c r="AG74" s="47">
        <f>ROUND(供應率!AB6,1)</f>
        <v>98.4</v>
      </c>
      <c r="AH74" s="47">
        <f>ROUND(供應率!AC6,1)</f>
        <v>98.4</v>
      </c>
      <c r="AI74" s="47">
        <f>ROUND(供應率!AD6,1)</f>
        <v>98.1</v>
      </c>
      <c r="AJ74" s="47">
        <f>ROUND(供應率!AE6,1)</f>
        <v>98.6</v>
      </c>
      <c r="AK74" s="47">
        <f>ROUND(供應率!AF6,1)</f>
        <v>97.6</v>
      </c>
      <c r="AL74" s="47">
        <f>ROUND(供應率!AG6,1)</f>
        <v>0</v>
      </c>
      <c r="AM74" s="47">
        <f>ROUND(供應率!AH6,1)</f>
        <v>0</v>
      </c>
      <c r="AN74" s="214">
        <f>ROUND(供應率!AI6,1)</f>
        <v>98.3</v>
      </c>
      <c r="AO74" s="55"/>
    </row>
    <row r="75" spans="1:41" s="11" customFormat="1" ht="22" customHeight="1" x14ac:dyDescent="0.35">
      <c r="A75" s="636" t="s">
        <v>24</v>
      </c>
      <c r="B75" s="637"/>
      <c r="C75" s="638"/>
      <c r="D75" s="310">
        <f>HLOOKUP(MONTH(日期!$C$2),去年月推移!$D$1:$O$200,132,TRUE)</f>
        <v>100</v>
      </c>
      <c r="E75" s="243"/>
      <c r="F75" s="243"/>
      <c r="G75" s="562">
        <f>ROUND(當年月推移!P134,1)</f>
        <v>99.5</v>
      </c>
      <c r="H75" s="563"/>
      <c r="I75" s="244">
        <f>ROUND(供應率!D12,1)</f>
        <v>100</v>
      </c>
      <c r="J75" s="244">
        <f>ROUND(供應率!E12,1)</f>
        <v>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100</v>
      </c>
      <c r="P75" s="244">
        <f>ROUND(供應率!K12,1)</f>
        <v>100</v>
      </c>
      <c r="Q75" s="244">
        <f>ROUND(供應率!L12,1)</f>
        <v>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100</v>
      </c>
      <c r="AL75" s="244">
        <f>ROUND(供應率!AG12,1)</f>
        <v>0</v>
      </c>
      <c r="AM75" s="244">
        <f>ROUND(供應率!AH12,1)</f>
        <v>0</v>
      </c>
      <c r="AN75" s="246">
        <f>ROUND(供應率!AI12,1)</f>
        <v>100</v>
      </c>
      <c r="AO75" s="55"/>
    </row>
    <row r="76" spans="1:41" s="11" customFormat="1" ht="22" customHeight="1" x14ac:dyDescent="0.35">
      <c r="A76" s="636" t="s">
        <v>25</v>
      </c>
      <c r="B76" s="637"/>
      <c r="C76" s="638"/>
      <c r="D76" s="310">
        <f>HLOOKUP(MONTH(日期!$C$2),去年月推移!$D$1:$O$200,133,TRUE)</f>
        <v>96.708614999999995</v>
      </c>
      <c r="E76" s="243"/>
      <c r="F76" s="243"/>
      <c r="G76" s="562">
        <f>ROUND(當年月推移!P135,1)</f>
        <v>97.4</v>
      </c>
      <c r="H76" s="563"/>
      <c r="I76" s="244">
        <f>ROUND(供應率!D13,1)</f>
        <v>100</v>
      </c>
      <c r="J76" s="244">
        <f>ROUND(供應率!E13,1)</f>
        <v>0</v>
      </c>
      <c r="K76" s="244">
        <f>ROUND(供應率!F13,1)</f>
        <v>100</v>
      </c>
      <c r="L76" s="244">
        <f>ROUND(供應率!G13,1)</f>
        <v>100</v>
      </c>
      <c r="M76" s="244">
        <f>ROUND(供應率!H13,1)</f>
        <v>100</v>
      </c>
      <c r="N76" s="244">
        <f>ROUND(供應率!I13,1)</f>
        <v>95.8</v>
      </c>
      <c r="O76" s="244">
        <f>ROUND(供應率!J13,1)</f>
        <v>96.6</v>
      </c>
      <c r="P76" s="244">
        <f>ROUND(供應率!K13,1)</f>
        <v>93.1</v>
      </c>
      <c r="Q76" s="244">
        <f>ROUND(供應率!L13,1)</f>
        <v>0</v>
      </c>
      <c r="R76" s="244">
        <f>ROUND(供應率!M13,1)</f>
        <v>100</v>
      </c>
      <c r="S76" s="244">
        <f>ROUND(供應率!N13,1)</f>
        <v>100</v>
      </c>
      <c r="T76" s="244">
        <f>ROUND(供應率!O13,1)</f>
        <v>98.4</v>
      </c>
      <c r="U76" s="244">
        <f>ROUND(供應率!P13,1)</f>
        <v>100</v>
      </c>
      <c r="V76" s="244">
        <f>ROUND(供應率!Q13,1)</f>
        <v>100</v>
      </c>
      <c r="W76" s="244">
        <f>ROUND(供應率!R13,1)</f>
        <v>100</v>
      </c>
      <c r="X76" s="244">
        <f>ROUND(供應率!S13,1)</f>
        <v>0</v>
      </c>
      <c r="Y76" s="244">
        <f>ROUND(供應率!T13,1)</f>
        <v>97.4</v>
      </c>
      <c r="Z76" s="244">
        <f>ROUND(供應率!U13,1)</f>
        <v>100</v>
      </c>
      <c r="AA76" s="244">
        <f>ROUND(供應率!V13,1)</f>
        <v>94.8</v>
      </c>
      <c r="AB76" s="244">
        <f>ROUND(供應率!W13,1)</f>
        <v>100</v>
      </c>
      <c r="AC76" s="244">
        <f>ROUND(供應率!X13,1)</f>
        <v>100</v>
      </c>
      <c r="AD76" s="244">
        <f>ROUND(供應率!Y13,1)</f>
        <v>100</v>
      </c>
      <c r="AE76" s="244">
        <f>ROUND(供應率!Z13,1)</f>
        <v>0</v>
      </c>
      <c r="AF76" s="244">
        <f>ROUND(供應率!AA13,1)</f>
        <v>91.6</v>
      </c>
      <c r="AG76" s="244">
        <f>ROUND(供應率!AB13,1)</f>
        <v>97.7</v>
      </c>
      <c r="AH76" s="244">
        <f>ROUND(供應率!AC13,1)</f>
        <v>100</v>
      </c>
      <c r="AI76" s="244">
        <f>ROUND(供應率!AD13,1)</f>
        <v>100</v>
      </c>
      <c r="AJ76" s="244">
        <f>ROUND(供應率!AE13,1)</f>
        <v>100</v>
      </c>
      <c r="AK76" s="244">
        <f>ROUND(供應率!AF13,1)</f>
        <v>100</v>
      </c>
      <c r="AL76" s="244">
        <f>ROUND(供應率!AG13,1)</f>
        <v>0</v>
      </c>
      <c r="AM76" s="244">
        <f>ROUND(供應率!AH13,1)</f>
        <v>0</v>
      </c>
      <c r="AN76" s="246">
        <f>ROUND(供應率!AI13,1)</f>
        <v>98.6</v>
      </c>
      <c r="AO76" s="55"/>
    </row>
    <row r="77" spans="1:41" s="11" customFormat="1" ht="22" customHeight="1" x14ac:dyDescent="0.35">
      <c r="A77" s="636" t="s">
        <v>26</v>
      </c>
      <c r="B77" s="637"/>
      <c r="C77" s="638"/>
      <c r="D77" s="310">
        <f>HLOOKUP(MONTH(日期!$C$2),去年月推移!$D$1:$O$200,134,TRUE)</f>
        <v>97.9</v>
      </c>
      <c r="E77" s="243"/>
      <c r="F77" s="243"/>
      <c r="G77" s="562">
        <f>ROUND(當年月推移!P136,1)</f>
        <v>97</v>
      </c>
      <c r="H77" s="563"/>
      <c r="I77" s="244">
        <f>ROUND(供應率!D14,1)</f>
        <v>99.1</v>
      </c>
      <c r="J77" s="244">
        <f>ROUND(供應率!E14,1)</f>
        <v>0</v>
      </c>
      <c r="K77" s="244">
        <f>ROUND(供應率!F14,1)</f>
        <v>98.1</v>
      </c>
      <c r="L77" s="244">
        <f>ROUND(供應率!G14,1)</f>
        <v>96.4</v>
      </c>
      <c r="M77" s="244">
        <f>ROUND(供應率!H14,1)</f>
        <v>97.3</v>
      </c>
      <c r="N77" s="244">
        <f>ROUND(供應率!I14,1)</f>
        <v>97.7</v>
      </c>
      <c r="O77" s="244">
        <f>ROUND(供應率!J14,1)</f>
        <v>98.3</v>
      </c>
      <c r="P77" s="244">
        <f>ROUND(供應率!K14,1)</f>
        <v>98.2</v>
      </c>
      <c r="Q77" s="244">
        <f>ROUND(供應率!L14,1)</f>
        <v>0</v>
      </c>
      <c r="R77" s="244">
        <f>ROUND(供應率!M14,1)</f>
        <v>97.8</v>
      </c>
      <c r="S77" s="244">
        <f>ROUND(供應率!N14,1)</f>
        <v>100</v>
      </c>
      <c r="T77" s="244">
        <f>ROUND(供應率!O14,1)</f>
        <v>95.6</v>
      </c>
      <c r="U77" s="244">
        <f>ROUND(供應率!P14,1)</f>
        <v>94.4</v>
      </c>
      <c r="V77" s="244">
        <f>ROUND(供應率!Q14,1)</f>
        <v>97.2</v>
      </c>
      <c r="W77" s="244">
        <f>ROUND(供應率!R14,1)</f>
        <v>98.6</v>
      </c>
      <c r="X77" s="244">
        <f>ROUND(供應率!S14,1)</f>
        <v>0</v>
      </c>
      <c r="Y77" s="244">
        <f>ROUND(供應率!T14,1)</f>
        <v>96.6</v>
      </c>
      <c r="Z77" s="244">
        <f>ROUND(供應率!U14,1)</f>
        <v>96.9</v>
      </c>
      <c r="AA77" s="244">
        <f>ROUND(供應率!V14,1)</f>
        <v>96.5</v>
      </c>
      <c r="AB77" s="244">
        <f>ROUND(供應率!W14,1)</f>
        <v>96.2</v>
      </c>
      <c r="AC77" s="244">
        <f>ROUND(供應率!X14,1)</f>
        <v>97.6</v>
      </c>
      <c r="AD77" s="244">
        <f>ROUND(供應率!Y14,1)</f>
        <v>94.1</v>
      </c>
      <c r="AE77" s="244">
        <f>ROUND(供應率!Z14,1)</f>
        <v>0</v>
      </c>
      <c r="AF77" s="244">
        <f>ROUND(供應率!AA14,1)</f>
        <v>92.6</v>
      </c>
      <c r="AG77" s="244">
        <f>ROUND(供應率!AB14,1)</f>
        <v>93.8</v>
      </c>
      <c r="AH77" s="244">
        <f>ROUND(供應率!AC14,1)</f>
        <v>96.7</v>
      </c>
      <c r="AI77" s="244">
        <f>ROUND(供應率!AD14,1)</f>
        <v>95.2</v>
      </c>
      <c r="AJ77" s="244">
        <f>ROUND(供應率!AE14,1)</f>
        <v>95.9</v>
      </c>
      <c r="AK77" s="244">
        <f>ROUND(供應率!AF14,1)</f>
        <v>94.5</v>
      </c>
      <c r="AL77" s="244">
        <f>ROUND(供應率!AG14,1)</f>
        <v>0</v>
      </c>
      <c r="AM77" s="244">
        <f>ROUND(供應率!AH14,1)</f>
        <v>0</v>
      </c>
      <c r="AN77" s="246">
        <f>ROUND(供應率!AI14,1)</f>
        <v>96.4</v>
      </c>
      <c r="AO77" s="55"/>
    </row>
    <row r="78" spans="1:41" s="11" customFormat="1" ht="22" customHeight="1" x14ac:dyDescent="0.35">
      <c r="A78" s="636" t="s">
        <v>27</v>
      </c>
      <c r="B78" s="637"/>
      <c r="C78" s="638"/>
      <c r="D78" s="310">
        <f>HLOOKUP(MONTH(日期!$C$2),去年月推移!$D$1:$O$200,135,TRUE)</f>
        <v>97.260272999999998</v>
      </c>
      <c r="E78" s="243"/>
      <c r="F78" s="243"/>
      <c r="G78" s="562">
        <f>ROUND(當年月推移!P137,1)</f>
        <v>93.5</v>
      </c>
      <c r="H78" s="563"/>
      <c r="I78" s="244">
        <f>ROUND(供應率!D15,1)</f>
        <v>100</v>
      </c>
      <c r="J78" s="244">
        <f>ROUND(供應率!E15,1)</f>
        <v>0</v>
      </c>
      <c r="K78" s="244">
        <f>ROUND(供應率!F15,1)</f>
        <v>100</v>
      </c>
      <c r="L78" s="244">
        <f>ROUND(供應率!G15,1)</f>
        <v>100</v>
      </c>
      <c r="M78" s="244">
        <f>ROUND(供應率!H15,1)</f>
        <v>100</v>
      </c>
      <c r="N78" s="244">
        <f>ROUND(供應率!I15,1)</f>
        <v>98.5</v>
      </c>
      <c r="O78" s="244">
        <f>ROUND(供應率!J15,1)</f>
        <v>100</v>
      </c>
      <c r="P78" s="244">
        <f>ROUND(供應率!K15,1)</f>
        <v>100</v>
      </c>
      <c r="Q78" s="244">
        <f>ROUND(供應率!L15,1)</f>
        <v>0</v>
      </c>
      <c r="R78" s="244">
        <f>ROUND(供應率!M15,1)</f>
        <v>100</v>
      </c>
      <c r="S78" s="244">
        <f>ROUND(供應率!N15,1)</f>
        <v>100</v>
      </c>
      <c r="T78" s="244">
        <f>ROUND(供應率!O15,1)</f>
        <v>94.2</v>
      </c>
      <c r="U78" s="244">
        <f>ROUND(供應率!P15,1)</f>
        <v>94.7</v>
      </c>
      <c r="V78" s="244">
        <f>ROUND(供應率!Q15,1)</f>
        <v>98.5</v>
      </c>
      <c r="W78" s="244">
        <f>ROUND(供應率!R15,1)</f>
        <v>98.6</v>
      </c>
      <c r="X78" s="244">
        <f>ROUND(供應率!S15,1)</f>
        <v>0</v>
      </c>
      <c r="Y78" s="244">
        <f>ROUND(供應率!T15,1)</f>
        <v>95.6</v>
      </c>
      <c r="Z78" s="244">
        <f>ROUND(供應率!U15,1)</f>
        <v>88.8</v>
      </c>
      <c r="AA78" s="244">
        <f>ROUND(供應率!V15,1)</f>
        <v>78.599999999999994</v>
      </c>
      <c r="AB78" s="244">
        <f>ROUND(供應率!W15,1)</f>
        <v>79.599999999999994</v>
      </c>
      <c r="AC78" s="244">
        <f>ROUND(供應率!X15,1)</f>
        <v>78.900000000000006</v>
      </c>
      <c r="AD78" s="244">
        <f>ROUND(供應率!Y15,1)</f>
        <v>86.5</v>
      </c>
      <c r="AE78" s="244">
        <f>ROUND(供應率!Z15,1)</f>
        <v>0</v>
      </c>
      <c r="AF78" s="244">
        <f>ROUND(供應率!AA15,1)</f>
        <v>94.3</v>
      </c>
      <c r="AG78" s="244">
        <f>ROUND(供應率!AB15,1)</f>
        <v>100</v>
      </c>
      <c r="AH78" s="244">
        <f>ROUND(供應率!AC15,1)</f>
        <v>93.8</v>
      </c>
      <c r="AI78" s="244">
        <f>ROUND(供應率!AD15,1)</f>
        <v>100</v>
      </c>
      <c r="AJ78" s="244">
        <f>ROUND(供應率!AE15,1)</f>
        <v>100</v>
      </c>
      <c r="AK78" s="244">
        <f>ROUND(供應率!AF15,1)</f>
        <v>100</v>
      </c>
      <c r="AL78" s="244">
        <f>ROUND(供應率!AG15,1)</f>
        <v>0</v>
      </c>
      <c r="AM78" s="244">
        <f>ROUND(供應率!AH15,1)</f>
        <v>0</v>
      </c>
      <c r="AN78" s="246">
        <f>ROUND(供應率!AI15,1)</f>
        <v>94.7</v>
      </c>
      <c r="AO78" s="55"/>
    </row>
    <row r="79" spans="1:41" s="11" customFormat="1" ht="22" customHeight="1" thickBot="1" x14ac:dyDescent="0.4">
      <c r="A79" s="631" t="s">
        <v>28</v>
      </c>
      <c r="B79" s="632"/>
      <c r="C79" s="633"/>
      <c r="D79" s="320">
        <f>HLOOKUP(MONTH(日期!$C$2),去年月推移!$D$1:$O$200,136,TRUE)</f>
        <v>0</v>
      </c>
      <c r="E79" s="243"/>
      <c r="F79" s="243"/>
      <c r="G79" s="641">
        <f>ROUND(當年月推移!P138,1)</f>
        <v>0</v>
      </c>
      <c r="H79" s="642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2" customHeight="1" x14ac:dyDescent="0.45">
      <c r="A80" s="654" t="s">
        <v>31</v>
      </c>
      <c r="B80" s="655"/>
      <c r="C80" s="655"/>
      <c r="D80" s="313">
        <f>HLOOKUP(MONTH(日期!$C$2),去年月推移!$D$1:$O$200,137,TRUE)</f>
        <v>0</v>
      </c>
      <c r="E80" s="272"/>
      <c r="F80" s="272"/>
      <c r="G80" s="562">
        <f>ROUND(當年月推移!P139,1)</f>
        <v>0</v>
      </c>
      <c r="H80" s="563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2" customHeight="1" x14ac:dyDescent="0.45">
      <c r="A81" s="656" t="s">
        <v>32</v>
      </c>
      <c r="B81" s="657"/>
      <c r="C81" s="657"/>
      <c r="D81" s="310">
        <f>HLOOKUP(MONTH(日期!$C$2),去年月推移!$D$1:$O$200,138,TRUE)</f>
        <v>0</v>
      </c>
      <c r="E81" s="49"/>
      <c r="F81" s="49"/>
      <c r="G81" s="562">
        <f>ROUND(當年月推移!P140,1)</f>
        <v>0</v>
      </c>
      <c r="H81" s="563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2" customHeight="1" x14ac:dyDescent="0.45">
      <c r="A82" s="656" t="s">
        <v>33</v>
      </c>
      <c r="B82" s="657"/>
      <c r="C82" s="657"/>
      <c r="D82" s="310">
        <f>HLOOKUP(MONTH(日期!$C$2),去年月推移!$D$1:$O$200,139,TRUE)</f>
        <v>0</v>
      </c>
      <c r="E82" s="49"/>
      <c r="F82" s="49"/>
      <c r="G82" s="562">
        <f>ROUND(當年月推移!P141,1)</f>
        <v>0</v>
      </c>
      <c r="H82" s="563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2" customHeight="1" x14ac:dyDescent="0.45">
      <c r="A83" s="656" t="s">
        <v>34</v>
      </c>
      <c r="B83" s="657"/>
      <c r="C83" s="657"/>
      <c r="D83" s="310">
        <f>HLOOKUP(MONTH(日期!$C$2),去年月推移!$D$1:$O$200,140,TRUE)</f>
        <v>0</v>
      </c>
      <c r="E83" s="49"/>
      <c r="F83" s="49"/>
      <c r="G83" s="562">
        <f>ROUND(當年月推移!P142,1)</f>
        <v>0</v>
      </c>
      <c r="H83" s="563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2" customHeight="1" thickBot="1" x14ac:dyDescent="0.5">
      <c r="A84" s="643" t="s">
        <v>35</v>
      </c>
      <c r="B84" s="644"/>
      <c r="C84" s="644"/>
      <c r="D84" s="312">
        <f>HLOOKUP(MONTH(日期!$C$2),去年月推移!$D$1:$O$200,141,TRUE)</f>
        <v>0</v>
      </c>
      <c r="E84" s="58"/>
      <c r="F84" s="58"/>
      <c r="G84" s="641">
        <f>ROUND(當年月推移!P143,1)</f>
        <v>0</v>
      </c>
      <c r="H84" s="642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5" x14ac:dyDescent="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5" customHeight="1" thickBot="1" x14ac:dyDescent="0.5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 x14ac:dyDescent="0.35">
      <c r="A87" s="605" t="s">
        <v>1</v>
      </c>
      <c r="B87" s="586"/>
      <c r="C87" s="586"/>
      <c r="D87" s="607" t="str">
        <f>D3</f>
        <v>2024/11</v>
      </c>
      <c r="E87" s="607" t="str">
        <f>E3</f>
        <v>2025/11</v>
      </c>
      <c r="F87" s="335">
        <f>YEAR(日期!C2)-1</f>
        <v>2024</v>
      </c>
      <c r="G87" s="634">
        <f>YEAR(日期!C2)</f>
        <v>2025</v>
      </c>
      <c r="H87" s="635"/>
      <c r="I87" s="526" t="str">
        <f>日期!C2</f>
        <v>2025/11/01</v>
      </c>
      <c r="J87" s="526" t="str">
        <f>日期!D2</f>
        <v>2025/11/02</v>
      </c>
      <c r="K87" s="526" t="str">
        <f>日期!E2</f>
        <v>2025/11/03</v>
      </c>
      <c r="L87" s="526" t="str">
        <f>日期!F2</f>
        <v>2025/11/04</v>
      </c>
      <c r="M87" s="526" t="str">
        <f>日期!G2</f>
        <v>2025/11/05</v>
      </c>
      <c r="N87" s="526" t="str">
        <f>日期!H2</f>
        <v>2025/11/06</v>
      </c>
      <c r="O87" s="526" t="str">
        <f>日期!I2</f>
        <v>2025/11/07</v>
      </c>
      <c r="P87" s="526" t="str">
        <f>日期!J2</f>
        <v>2025/11/08</v>
      </c>
      <c r="Q87" s="526" t="str">
        <f>日期!K2</f>
        <v>2025/11/09</v>
      </c>
      <c r="R87" s="526" t="str">
        <f>日期!L2</f>
        <v>2025/11/10</v>
      </c>
      <c r="S87" s="526" t="str">
        <f>日期!M2</f>
        <v>2025/11/11</v>
      </c>
      <c r="T87" s="526" t="str">
        <f>日期!N2</f>
        <v>2025/11/12</v>
      </c>
      <c r="U87" s="526" t="str">
        <f>日期!O2</f>
        <v>2025/11/13</v>
      </c>
      <c r="V87" s="526" t="str">
        <f>日期!P2</f>
        <v>2025/11/14</v>
      </c>
      <c r="W87" s="526" t="str">
        <f>日期!Q2</f>
        <v>2025/11/15</v>
      </c>
      <c r="X87" s="526" t="str">
        <f>日期!R2</f>
        <v>2025/11/16</v>
      </c>
      <c r="Y87" s="526" t="str">
        <f>日期!S2</f>
        <v>2025/11/17</v>
      </c>
      <c r="Z87" s="526" t="str">
        <f>日期!T2</f>
        <v>2025/11/18</v>
      </c>
      <c r="AA87" s="526" t="str">
        <f>日期!U2</f>
        <v>2025/11/19</v>
      </c>
      <c r="AB87" s="526" t="str">
        <f>日期!V2</f>
        <v>2025/11/20</v>
      </c>
      <c r="AC87" s="526" t="str">
        <f>日期!W2</f>
        <v>2025/11/21</v>
      </c>
      <c r="AD87" s="526" t="str">
        <f>日期!X2</f>
        <v>2025/11/22</v>
      </c>
      <c r="AE87" s="526" t="str">
        <f>日期!Y2</f>
        <v>2025/11/23</v>
      </c>
      <c r="AF87" s="526" t="str">
        <f>日期!Z2</f>
        <v>2025/11/24</v>
      </c>
      <c r="AG87" s="526" t="str">
        <f>日期!AA2</f>
        <v>2025/11/25</v>
      </c>
      <c r="AH87" s="526" t="str">
        <f>日期!AB2</f>
        <v>2025/11/26</v>
      </c>
      <c r="AI87" s="526" t="str">
        <f>日期!AC2</f>
        <v>2025/11/27</v>
      </c>
      <c r="AJ87" s="526" t="str">
        <f>日期!AD2</f>
        <v>2025/11/28</v>
      </c>
      <c r="AK87" s="526" t="str">
        <f>日期!AE2</f>
        <v>2025/11/29</v>
      </c>
      <c r="AL87" s="526" t="str">
        <f>日期!AF2</f>
        <v>2025/11/30</v>
      </c>
      <c r="AM87" s="526">
        <f>日期!AG2</f>
        <v>0</v>
      </c>
      <c r="AN87" s="603" t="s">
        <v>42</v>
      </c>
    </row>
    <row r="88" spans="1:41" s="35" customFormat="1" ht="24" customHeight="1" thickBot="1" x14ac:dyDescent="0.4">
      <c r="A88" s="649"/>
      <c r="B88" s="650"/>
      <c r="C88" s="650"/>
      <c r="D88" s="608"/>
      <c r="E88" s="651"/>
      <c r="F88" s="334" t="s">
        <v>58</v>
      </c>
      <c r="G88" s="652" t="s">
        <v>59</v>
      </c>
      <c r="H88" s="653"/>
      <c r="I88" s="12" t="str">
        <f>日期!C3</f>
        <v>Sat</v>
      </c>
      <c r="J88" s="12" t="str">
        <f>日期!D3</f>
        <v>Sun</v>
      </c>
      <c r="K88" s="12" t="str">
        <f>日期!E3</f>
        <v>Mon</v>
      </c>
      <c r="L88" s="12" t="str">
        <f>日期!F3</f>
        <v>Tue</v>
      </c>
      <c r="M88" s="12" t="str">
        <f>日期!G3</f>
        <v>Wed</v>
      </c>
      <c r="N88" s="12" t="str">
        <f>日期!H3</f>
        <v>Thu</v>
      </c>
      <c r="O88" s="12" t="str">
        <f>日期!I3</f>
        <v>Fri</v>
      </c>
      <c r="P88" s="12" t="str">
        <f>日期!J3</f>
        <v>Sat</v>
      </c>
      <c r="Q88" s="12" t="str">
        <f>日期!K3</f>
        <v>Sun</v>
      </c>
      <c r="R88" s="12" t="str">
        <f>日期!L3</f>
        <v>Mon</v>
      </c>
      <c r="S88" s="12" t="str">
        <f>日期!M3</f>
        <v>Tue</v>
      </c>
      <c r="T88" s="12" t="str">
        <f>日期!N3</f>
        <v>Wed</v>
      </c>
      <c r="U88" s="12" t="str">
        <f>日期!O3</f>
        <v>Thu</v>
      </c>
      <c r="V88" s="12" t="str">
        <f>日期!P3</f>
        <v>Fri</v>
      </c>
      <c r="W88" s="12" t="str">
        <f>日期!Q3</f>
        <v>Sat</v>
      </c>
      <c r="X88" s="12" t="str">
        <f>日期!R3</f>
        <v>Sun</v>
      </c>
      <c r="Y88" s="12" t="str">
        <f>日期!S3</f>
        <v>Mon</v>
      </c>
      <c r="Z88" s="12" t="str">
        <f>日期!T3</f>
        <v>Tue</v>
      </c>
      <c r="AA88" s="12" t="str">
        <f>日期!U3</f>
        <v>Wed</v>
      </c>
      <c r="AB88" s="12" t="str">
        <f>日期!V3</f>
        <v>Thu</v>
      </c>
      <c r="AC88" s="12" t="str">
        <f>日期!W3</f>
        <v>Fri</v>
      </c>
      <c r="AD88" s="12" t="str">
        <f>日期!X3</f>
        <v>Sat</v>
      </c>
      <c r="AE88" s="12" t="str">
        <f>日期!Y3</f>
        <v>Sun</v>
      </c>
      <c r="AF88" s="12" t="str">
        <f>日期!Z3</f>
        <v>Mon</v>
      </c>
      <c r="AG88" s="12" t="str">
        <f>日期!AA3</f>
        <v>Tue</v>
      </c>
      <c r="AH88" s="12" t="str">
        <f>日期!AB3</f>
        <v>Wed</v>
      </c>
      <c r="AI88" s="12" t="str">
        <f>日期!AC3</f>
        <v>Thu</v>
      </c>
      <c r="AJ88" s="12" t="str">
        <f>日期!AD3</f>
        <v>Fri</v>
      </c>
      <c r="AK88" s="12" t="str">
        <f>日期!AE3</f>
        <v>Sat</v>
      </c>
      <c r="AL88" s="12" t="str">
        <f>日期!AF3</f>
        <v>Sun</v>
      </c>
      <c r="AM88" s="12">
        <f>日期!AG3</f>
        <v>0</v>
      </c>
      <c r="AN88" s="604"/>
    </row>
    <row r="89" spans="1:41" s="35" customFormat="1" ht="22" customHeight="1" x14ac:dyDescent="0.35">
      <c r="A89" s="645" t="s">
        <v>11</v>
      </c>
      <c r="B89" s="646"/>
      <c r="C89" s="646"/>
      <c r="D89" s="314">
        <f>HLOOKUP(MONTH(日期!$C$2),去年月推移!$D$1:$O$200,145,TRUE)</f>
        <v>4634</v>
      </c>
      <c r="E89" s="62" t="s">
        <v>45</v>
      </c>
      <c r="F89" s="62" t="s">
        <v>45</v>
      </c>
      <c r="G89" s="647">
        <f>當年月推移!P147</f>
        <v>5097</v>
      </c>
      <c r="H89" s="648"/>
      <c r="I89" s="63">
        <f>VALUE(點數BO!C2)</f>
        <v>137</v>
      </c>
      <c r="J89" s="63">
        <f>VALUE(點數BO!D2)</f>
        <v>0</v>
      </c>
      <c r="K89" s="63">
        <f>VALUE(點數BO!E2)</f>
        <v>287</v>
      </c>
      <c r="L89" s="63">
        <f>VALUE(點數BO!F2)</f>
        <v>303</v>
      </c>
      <c r="M89" s="63">
        <f>VALUE(點數BO!G2)</f>
        <v>298</v>
      </c>
      <c r="N89" s="63">
        <f>VALUE(點數BO!H2)</f>
        <v>248</v>
      </c>
      <c r="O89" s="63">
        <f>VALUE(點數BO!I2)</f>
        <v>0</v>
      </c>
      <c r="P89" s="63">
        <f>VALUE(點數BO!J2)</f>
        <v>113</v>
      </c>
      <c r="Q89" s="63">
        <f>VALUE(點數BO!K2)</f>
        <v>0</v>
      </c>
      <c r="R89" s="63">
        <f>VALUE(點數BO!L2)</f>
        <v>241</v>
      </c>
      <c r="S89" s="63">
        <f>VALUE(點數BO!M2)</f>
        <v>0</v>
      </c>
      <c r="T89" s="63">
        <f>VALUE(點數BO!N2)</f>
        <v>471</v>
      </c>
      <c r="U89" s="63">
        <f>VALUE(點數BO!O2)</f>
        <v>242</v>
      </c>
      <c r="V89" s="63">
        <f>VALUE(點數BO!P2)</f>
        <v>200</v>
      </c>
      <c r="W89" s="63">
        <f>VALUE(點數BO!Q2)</f>
        <v>151</v>
      </c>
      <c r="X89" s="63">
        <f>VALUE(點數BO!R2)</f>
        <v>0</v>
      </c>
      <c r="Y89" s="63">
        <f>VALUE(點數BO!S2)</f>
        <v>244</v>
      </c>
      <c r="Z89" s="63">
        <f>VALUE(點數BO!T2)</f>
        <v>261</v>
      </c>
      <c r="AA89" s="63">
        <f>VALUE(點數BO!U2)</f>
        <v>253</v>
      </c>
      <c r="AB89" s="63">
        <f>VALUE(點數BO!V2)</f>
        <v>199</v>
      </c>
      <c r="AC89" s="63">
        <f>VALUE(點數BO!W2)</f>
        <v>144</v>
      </c>
      <c r="AD89" s="63">
        <f>VALUE(點數BO!X2)</f>
        <v>164</v>
      </c>
      <c r="AE89" s="63">
        <f>VALUE(點數BO!Y2)</f>
        <v>0</v>
      </c>
      <c r="AF89" s="63">
        <f>VALUE(點數BO!Z2)</f>
        <v>194</v>
      </c>
      <c r="AG89" s="63">
        <f>VALUE(點數BO!AA2)</f>
        <v>300</v>
      </c>
      <c r="AH89" s="63">
        <f>VALUE(點數BO!AB2)</f>
        <v>186</v>
      </c>
      <c r="AI89" s="63">
        <f>VALUE(點數BO!AC2)</f>
        <v>165</v>
      </c>
      <c r="AJ89" s="63">
        <f>VALUE(點數BO!AD2)</f>
        <v>176</v>
      </c>
      <c r="AK89" s="63">
        <f>VALUE(點數BO!AE2)</f>
        <v>93</v>
      </c>
      <c r="AL89" s="63">
        <f>VALUE(點數BO!AF2)</f>
        <v>0</v>
      </c>
      <c r="AM89" s="63">
        <f>VALUE(點數BO!AG2)</f>
        <v>0</v>
      </c>
      <c r="AN89" s="515">
        <f>VALUE(點數BO!AH2)</f>
        <v>5339</v>
      </c>
    </row>
    <row r="90" spans="1:41" s="35" customFormat="1" ht="22" customHeight="1" x14ac:dyDescent="0.35">
      <c r="A90" s="620" t="s">
        <v>12</v>
      </c>
      <c r="B90" s="621"/>
      <c r="C90" s="621"/>
      <c r="D90" s="314">
        <f>HLOOKUP(MONTH(日期!$C$2),去年月推移!$D$1:$O$200,146,TRUE)</f>
        <v>17</v>
      </c>
      <c r="E90" s="64" t="s">
        <v>45</v>
      </c>
      <c r="F90" s="64" t="s">
        <v>45</v>
      </c>
      <c r="G90" s="629">
        <f>當年月推移!P148</f>
        <v>14</v>
      </c>
      <c r="H90" s="630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516">
        <f>VALUE(點數BO!AH4)</f>
        <v>0</v>
      </c>
    </row>
    <row r="91" spans="1:41" s="35" customFormat="1" ht="22" customHeight="1" x14ac:dyDescent="0.35">
      <c r="A91" s="620" t="s">
        <v>13</v>
      </c>
      <c r="B91" s="621"/>
      <c r="C91" s="621"/>
      <c r="D91" s="314">
        <f>HLOOKUP(MONTH(日期!$C$2),去年月推移!$D$1:$O$200,147,TRUE)</f>
        <v>119</v>
      </c>
      <c r="E91" s="64" t="s">
        <v>45</v>
      </c>
      <c r="F91" s="64" t="s">
        <v>45</v>
      </c>
      <c r="G91" s="629">
        <f>當年月推移!P149</f>
        <v>59</v>
      </c>
      <c r="H91" s="630"/>
      <c r="I91" s="63">
        <f>VALUE(點數BO!C5)</f>
        <v>7</v>
      </c>
      <c r="J91" s="63">
        <f>VALUE(點數BO!D5)</f>
        <v>0</v>
      </c>
      <c r="K91" s="63">
        <f>VALUE(點數BO!E5)</f>
        <v>11</v>
      </c>
      <c r="L91" s="63">
        <f>VALUE(點數BO!F5)</f>
        <v>3</v>
      </c>
      <c r="M91" s="63">
        <f>VALUE(點數BO!G5)</f>
        <v>2</v>
      </c>
      <c r="N91" s="63">
        <f>VALUE(點數BO!H5)</f>
        <v>1</v>
      </c>
      <c r="O91" s="63">
        <f>VALUE(點數BO!I5)</f>
        <v>0</v>
      </c>
      <c r="P91" s="63">
        <f>VALUE(點數BO!J5)</f>
        <v>0</v>
      </c>
      <c r="Q91" s="63">
        <f>VALUE(點數BO!K5)</f>
        <v>0</v>
      </c>
      <c r="R91" s="63">
        <f>VALUE(點數BO!L5)</f>
        <v>1</v>
      </c>
      <c r="S91" s="63">
        <f>VALUE(點數BO!M5)</f>
        <v>0</v>
      </c>
      <c r="T91" s="63">
        <f>VALUE(點數BO!N5)</f>
        <v>5</v>
      </c>
      <c r="U91" s="63">
        <f>VALUE(點數BO!O5)</f>
        <v>2</v>
      </c>
      <c r="V91" s="63">
        <f>VALUE(點數BO!P5)</f>
        <v>2</v>
      </c>
      <c r="W91" s="63">
        <f>VALUE(點數BO!Q5)</f>
        <v>6</v>
      </c>
      <c r="X91" s="63">
        <f>VALUE(點數BO!R5)</f>
        <v>0</v>
      </c>
      <c r="Y91" s="63">
        <f>VALUE(點數BO!S5)</f>
        <v>7</v>
      </c>
      <c r="Z91" s="63">
        <f>VALUE(點數BO!T5)</f>
        <v>5</v>
      </c>
      <c r="AA91" s="63">
        <f>VALUE(點數BO!U5)</f>
        <v>3</v>
      </c>
      <c r="AB91" s="63">
        <f>VALUE(點數BO!V5)</f>
        <v>7</v>
      </c>
      <c r="AC91" s="63">
        <f>VALUE(點數BO!W5)</f>
        <v>2</v>
      </c>
      <c r="AD91" s="63">
        <f>VALUE(點數BO!X5)</f>
        <v>4</v>
      </c>
      <c r="AE91" s="63">
        <f>VALUE(點數BO!Y5)</f>
        <v>0</v>
      </c>
      <c r="AF91" s="63">
        <f>VALUE(點數BO!Z5)</f>
        <v>1</v>
      </c>
      <c r="AG91" s="63">
        <f>VALUE(點數BO!AA5)</f>
        <v>1</v>
      </c>
      <c r="AH91" s="63">
        <f>VALUE(點數BO!AB5)</f>
        <v>2</v>
      </c>
      <c r="AI91" s="63">
        <f>VALUE(點數BO!AC5)</f>
        <v>2</v>
      </c>
      <c r="AJ91" s="63">
        <f>VALUE(點數BO!AD5)</f>
        <v>4</v>
      </c>
      <c r="AK91" s="63">
        <f>VALUE(點數BO!AE5)</f>
        <v>1</v>
      </c>
      <c r="AL91" s="63">
        <f>VALUE(點數BO!AF5)</f>
        <v>0</v>
      </c>
      <c r="AM91" s="63">
        <f>VALUE(點數BO!AG5)</f>
        <v>0</v>
      </c>
      <c r="AN91" s="516">
        <f>VALUE(點數BO!AH5)</f>
        <v>79</v>
      </c>
    </row>
    <row r="92" spans="1:41" s="35" customFormat="1" ht="22" customHeight="1" x14ac:dyDescent="0.35">
      <c r="A92" s="620" t="s">
        <v>14</v>
      </c>
      <c r="B92" s="621"/>
      <c r="C92" s="621"/>
      <c r="D92" s="314">
        <f>HLOOKUP(MONTH(日期!$C$2),去年月推移!$D$1:$O$200,148,TRUE)</f>
        <v>241</v>
      </c>
      <c r="E92" s="64" t="s">
        <v>45</v>
      </c>
      <c r="F92" s="64" t="s">
        <v>45</v>
      </c>
      <c r="G92" s="629">
        <f>當年月推移!P150</f>
        <v>245</v>
      </c>
      <c r="H92" s="630"/>
      <c r="I92" s="63">
        <f>VALUE(點數BO!C6)</f>
        <v>19</v>
      </c>
      <c r="J92" s="63">
        <f>VALUE(點數BO!D6)</f>
        <v>0</v>
      </c>
      <c r="K92" s="63">
        <f>VALUE(點數BO!E6)</f>
        <v>23</v>
      </c>
      <c r="L92" s="63">
        <f>VALUE(點數BO!F6)</f>
        <v>29</v>
      </c>
      <c r="M92" s="63">
        <f>VALUE(點數BO!G6)</f>
        <v>34</v>
      </c>
      <c r="N92" s="63">
        <f>VALUE(點數BO!H6)</f>
        <v>16</v>
      </c>
      <c r="O92" s="63">
        <f>VALUE(點數BO!I6)</f>
        <v>0</v>
      </c>
      <c r="P92" s="63">
        <f>VALUE(點數BO!J6)</f>
        <v>7</v>
      </c>
      <c r="Q92" s="63">
        <f>VALUE(點數BO!K6)</f>
        <v>0</v>
      </c>
      <c r="R92" s="63">
        <f>VALUE(點數BO!L6)</f>
        <v>22</v>
      </c>
      <c r="S92" s="63">
        <f>VALUE(點數BO!M6)</f>
        <v>0</v>
      </c>
      <c r="T92" s="63">
        <f>VALUE(點數BO!N6)</f>
        <v>30</v>
      </c>
      <c r="U92" s="63">
        <f>VALUE(點數BO!O6)</f>
        <v>25</v>
      </c>
      <c r="V92" s="63">
        <f>VALUE(點數BO!P6)</f>
        <v>18</v>
      </c>
      <c r="W92" s="63">
        <f>VALUE(點數BO!Q6)</f>
        <v>23</v>
      </c>
      <c r="X92" s="63">
        <f>VALUE(點數BO!R6)</f>
        <v>0</v>
      </c>
      <c r="Y92" s="63">
        <f>VALUE(點數BO!S6)</f>
        <v>32</v>
      </c>
      <c r="Z92" s="63">
        <f>VALUE(點數BO!T6)</f>
        <v>15</v>
      </c>
      <c r="AA92" s="63">
        <f>VALUE(點數BO!U6)</f>
        <v>10</v>
      </c>
      <c r="AB92" s="63">
        <f>VALUE(點數BO!V6)</f>
        <v>2</v>
      </c>
      <c r="AC92" s="63">
        <f>VALUE(點數BO!W6)</f>
        <v>4</v>
      </c>
      <c r="AD92" s="63">
        <f>VALUE(點數BO!X6)</f>
        <v>3</v>
      </c>
      <c r="AE92" s="63">
        <f>VALUE(點數BO!Y6)</f>
        <v>0</v>
      </c>
      <c r="AF92" s="63">
        <f>VALUE(點數BO!Z6)</f>
        <v>10</v>
      </c>
      <c r="AG92" s="63">
        <f>VALUE(點數BO!AA6)</f>
        <v>10</v>
      </c>
      <c r="AH92" s="63">
        <f>VALUE(點數BO!AB6)</f>
        <v>4</v>
      </c>
      <c r="AI92" s="63">
        <f>VALUE(點數BO!AC6)</f>
        <v>3</v>
      </c>
      <c r="AJ92" s="63">
        <f>VALUE(點數BO!AD6)</f>
        <v>1</v>
      </c>
      <c r="AK92" s="63">
        <f>VALUE(點數BO!AE6)</f>
        <v>5</v>
      </c>
      <c r="AL92" s="63">
        <f>VALUE(點數BO!AF6)</f>
        <v>0</v>
      </c>
      <c r="AM92" s="63">
        <f>VALUE(點數BO!AG6)</f>
        <v>0</v>
      </c>
      <c r="AN92" s="516">
        <f>VALUE(點數BO!AH6)</f>
        <v>357</v>
      </c>
    </row>
    <row r="93" spans="1:41" s="35" customFormat="1" ht="22" customHeight="1" x14ac:dyDescent="0.45">
      <c r="A93" s="620" t="s">
        <v>56</v>
      </c>
      <c r="B93" s="621"/>
      <c r="C93" s="621"/>
      <c r="D93" s="314">
        <f>HLOOKUP(MONTH(日期!$C$2),去年月推移!$D$1:$O$200,149,TRUE)</f>
        <v>964</v>
      </c>
      <c r="E93" s="64" t="s">
        <v>45</v>
      </c>
      <c r="F93" s="64" t="s">
        <v>45</v>
      </c>
      <c r="G93" s="629">
        <f>當年月推移!P151</f>
        <v>698</v>
      </c>
      <c r="H93" s="630"/>
      <c r="I93" s="63">
        <f>VALUE(點數BO!C20)</f>
        <v>23</v>
      </c>
      <c r="J93" s="63">
        <f>VALUE(點數BO!D20)</f>
        <v>0</v>
      </c>
      <c r="K93" s="63">
        <f>VALUE(點數BO!E20)</f>
        <v>60</v>
      </c>
      <c r="L93" s="63">
        <f>VALUE(點數BO!F20)</f>
        <v>46</v>
      </c>
      <c r="M93" s="63">
        <f>VALUE(點數BO!G20)</f>
        <v>33</v>
      </c>
      <c r="N93" s="63">
        <f>VALUE(點數BO!H20)</f>
        <v>34</v>
      </c>
      <c r="O93" s="63">
        <f>VALUE(點數BO!I20)</f>
        <v>0</v>
      </c>
      <c r="P93" s="63">
        <f>VALUE(點數BO!J20)</f>
        <v>28</v>
      </c>
      <c r="Q93" s="63">
        <f>VALUE(點數BO!K20)</f>
        <v>0</v>
      </c>
      <c r="R93" s="63">
        <f>VALUE(點數BO!L20)</f>
        <v>59</v>
      </c>
      <c r="S93" s="63">
        <f>VALUE(點數BO!M20)</f>
        <v>0</v>
      </c>
      <c r="T93" s="63">
        <f>VALUE(點數BO!N20)</f>
        <v>54</v>
      </c>
      <c r="U93" s="63">
        <f>VALUE(點數BO!O20)</f>
        <v>24</v>
      </c>
      <c r="V93" s="63">
        <f>VALUE(點數BO!P20)</f>
        <v>24</v>
      </c>
      <c r="W93" s="63">
        <f>VALUE(點數BO!Q20)</f>
        <v>21</v>
      </c>
      <c r="X93" s="63">
        <f>VALUE(點數BO!R20)</f>
        <v>0</v>
      </c>
      <c r="Y93" s="63">
        <f>VALUE(點數BO!S20)</f>
        <v>39</v>
      </c>
      <c r="Z93" s="63">
        <f>VALUE(點數BO!T20)</f>
        <v>29</v>
      </c>
      <c r="AA93" s="63">
        <f>VALUE(點數BO!U20)</f>
        <v>30</v>
      </c>
      <c r="AB93" s="63">
        <f>VALUE(點數BO!V20)</f>
        <v>19</v>
      </c>
      <c r="AC93" s="63">
        <f>VALUE(點數BO!W20)</f>
        <v>14</v>
      </c>
      <c r="AD93" s="63">
        <f>VALUE(點數BO!X20)</f>
        <v>12</v>
      </c>
      <c r="AE93" s="63">
        <f>VALUE(點數BO!Y20)</f>
        <v>0</v>
      </c>
      <c r="AF93" s="63">
        <f>VALUE(點數BO!Z20)</f>
        <v>46</v>
      </c>
      <c r="AG93" s="63">
        <f>VALUE(點數BO!AA20)</f>
        <v>20</v>
      </c>
      <c r="AH93" s="63">
        <f>VALUE(點數BO!AB20)</f>
        <v>25</v>
      </c>
      <c r="AI93" s="63">
        <f>VALUE(點數BO!AC20)</f>
        <v>14</v>
      </c>
      <c r="AJ93" s="63">
        <f>VALUE(點數BO!AD20)</f>
        <v>12</v>
      </c>
      <c r="AK93" s="63">
        <f>VALUE(點數BO!AE20)</f>
        <v>18</v>
      </c>
      <c r="AL93" s="63">
        <f>VALUE(點數BO!AF20)</f>
        <v>0</v>
      </c>
      <c r="AM93" s="63">
        <f>VALUE(點數BO!AG20)</f>
        <v>0</v>
      </c>
      <c r="AN93" s="516">
        <f>VALUE(點數BO!AH20)</f>
        <v>719</v>
      </c>
    </row>
    <row r="94" spans="1:41" s="35" customFormat="1" ht="22" customHeight="1" x14ac:dyDescent="0.35">
      <c r="A94" s="620" t="s">
        <v>16</v>
      </c>
      <c r="B94" s="621"/>
      <c r="C94" s="621"/>
      <c r="D94" s="314">
        <f>HLOOKUP(MONTH(日期!$C$2),去年月推移!$D$1:$O$200,150,TRUE)</f>
        <v>145</v>
      </c>
      <c r="E94" s="64" t="s">
        <v>45</v>
      </c>
      <c r="F94" s="64" t="s">
        <v>45</v>
      </c>
      <c r="G94" s="629">
        <f>當年月推移!P152</f>
        <v>197</v>
      </c>
      <c r="H94" s="630"/>
      <c r="I94" s="63">
        <f>VALUE(點數BO!C8)</f>
        <v>16</v>
      </c>
      <c r="J94" s="63">
        <f>VALUE(點數BO!D8)</f>
        <v>0</v>
      </c>
      <c r="K94" s="63">
        <f>VALUE(點數BO!E8)</f>
        <v>24</v>
      </c>
      <c r="L94" s="63">
        <f>VALUE(點數BO!F8)</f>
        <v>35</v>
      </c>
      <c r="M94" s="63">
        <f>VALUE(點數BO!G8)</f>
        <v>11</v>
      </c>
      <c r="N94" s="63">
        <f>VALUE(點數BO!H8)</f>
        <v>8</v>
      </c>
      <c r="O94" s="63">
        <f>VALUE(點數BO!I8)</f>
        <v>0</v>
      </c>
      <c r="P94" s="63">
        <f>VALUE(點數BO!J8)</f>
        <v>21</v>
      </c>
      <c r="Q94" s="63">
        <f>VALUE(點數BO!K8)</f>
        <v>0</v>
      </c>
      <c r="R94" s="63">
        <f>VALUE(點數BO!L8)</f>
        <v>18</v>
      </c>
      <c r="S94" s="63">
        <f>VALUE(點數BO!M8)</f>
        <v>0</v>
      </c>
      <c r="T94" s="63">
        <f>VALUE(點數BO!N8)</f>
        <v>22</v>
      </c>
      <c r="U94" s="63">
        <f>VALUE(點數BO!O8)</f>
        <v>16</v>
      </c>
      <c r="V94" s="63">
        <f>VALUE(點數BO!P8)</f>
        <v>6</v>
      </c>
      <c r="W94" s="63">
        <f>VALUE(點數BO!Q8)</f>
        <v>18</v>
      </c>
      <c r="X94" s="63">
        <f>VALUE(點數BO!R8)</f>
        <v>0</v>
      </c>
      <c r="Y94" s="63">
        <f>VALUE(點數BO!S8)</f>
        <v>8</v>
      </c>
      <c r="Z94" s="63">
        <f>VALUE(點數BO!T8)</f>
        <v>44</v>
      </c>
      <c r="AA94" s="63">
        <f>VALUE(點數BO!U8)</f>
        <v>8</v>
      </c>
      <c r="AB94" s="63">
        <f>VALUE(點數BO!V8)</f>
        <v>9</v>
      </c>
      <c r="AC94" s="63">
        <f>VALUE(點數BO!W8)</f>
        <v>5</v>
      </c>
      <c r="AD94" s="63">
        <f>VALUE(點數BO!X8)</f>
        <v>19</v>
      </c>
      <c r="AE94" s="63">
        <f>VALUE(點數BO!Y8)</f>
        <v>0</v>
      </c>
      <c r="AF94" s="63">
        <f>VALUE(點數BO!Z8)</f>
        <v>2</v>
      </c>
      <c r="AG94" s="63">
        <f>VALUE(點數BO!AA8)</f>
        <v>2</v>
      </c>
      <c r="AH94" s="63">
        <f>VALUE(點數BO!AB8)</f>
        <v>5</v>
      </c>
      <c r="AI94" s="63">
        <f>VALUE(點數BO!AC8)</f>
        <v>4</v>
      </c>
      <c r="AJ94" s="63">
        <f>VALUE(點數BO!AD8)</f>
        <v>2</v>
      </c>
      <c r="AK94" s="63">
        <f>VALUE(點數BO!AE8)</f>
        <v>2</v>
      </c>
      <c r="AL94" s="63">
        <f>VALUE(點數BO!AF8)</f>
        <v>0</v>
      </c>
      <c r="AM94" s="63">
        <f>VALUE(點數BO!AG8)</f>
        <v>0</v>
      </c>
      <c r="AN94" s="516">
        <f>VALUE(點數BO!AH8)</f>
        <v>311</v>
      </c>
    </row>
    <row r="95" spans="1:41" s="35" customFormat="1" ht="22" customHeight="1" x14ac:dyDescent="0.45">
      <c r="A95" s="656" t="s">
        <v>17</v>
      </c>
      <c r="B95" s="657"/>
      <c r="C95" s="657"/>
      <c r="D95" s="314">
        <f>HLOOKUP(MONTH(日期!$C$2),去年月推移!$D$1:$O$200,151,TRUE)</f>
        <v>20</v>
      </c>
      <c r="E95" s="65" t="s">
        <v>45</v>
      </c>
      <c r="F95" s="65" t="s">
        <v>45</v>
      </c>
      <c r="G95" s="629">
        <f>當年月推移!P153</f>
        <v>15</v>
      </c>
      <c r="H95" s="630"/>
      <c r="I95" s="63">
        <f>VALUE(點數BO!C9)</f>
        <v>1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1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2</v>
      </c>
      <c r="Z95" s="63">
        <f>VALUE(點數BO!T9)</f>
        <v>1</v>
      </c>
      <c r="AA95" s="63">
        <f>VALUE(點數BO!U9)</f>
        <v>1</v>
      </c>
      <c r="AB95" s="63">
        <f>VALUE(點數BO!V9)</f>
        <v>1</v>
      </c>
      <c r="AC95" s="63">
        <f>VALUE(點數BO!W9)</f>
        <v>1</v>
      </c>
      <c r="AD95" s="63">
        <f>VALUE(點數BO!X9)</f>
        <v>0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1</v>
      </c>
      <c r="AI95" s="63">
        <f>VALUE(點數BO!AC9)</f>
        <v>0</v>
      </c>
      <c r="AJ95" s="63">
        <f>VALUE(點數BO!AD9)</f>
        <v>0</v>
      </c>
      <c r="AK95" s="63">
        <f>VALUE(點數BO!AE9)</f>
        <v>1</v>
      </c>
      <c r="AL95" s="63">
        <f>VALUE(點數BO!AF9)</f>
        <v>0</v>
      </c>
      <c r="AM95" s="63">
        <f>VALUE(點數BO!AG9)</f>
        <v>0</v>
      </c>
      <c r="AN95" s="516">
        <f>VALUE(點數BO!AH9)</f>
        <v>10</v>
      </c>
    </row>
    <row r="96" spans="1:41" s="35" customFormat="1" ht="22" customHeight="1" x14ac:dyDescent="0.45">
      <c r="A96" s="660" t="s">
        <v>49</v>
      </c>
      <c r="B96" s="661"/>
      <c r="C96" s="662"/>
      <c r="D96" s="321">
        <f>HLOOKUP(MONTH(日期!$C$2),去年月推移!$D$1:$O$200,152,TRUE)</f>
        <v>6140</v>
      </c>
      <c r="E96" s="248"/>
      <c r="F96" s="248"/>
      <c r="G96" s="663">
        <f>當年月推移!P154</f>
        <v>6325</v>
      </c>
      <c r="H96" s="664"/>
      <c r="I96" s="249">
        <f>SUM(I89:I95)</f>
        <v>203</v>
      </c>
      <c r="J96" s="249">
        <f>SUM(J89:J95)</f>
        <v>0</v>
      </c>
      <c r="K96" s="249">
        <f>SUM(K89:K95)</f>
        <v>405</v>
      </c>
      <c r="L96" s="249">
        <f t="shared" ref="L96:AN96" si="11">SUM(L89:L95)</f>
        <v>416</v>
      </c>
      <c r="M96" s="249">
        <f t="shared" si="11"/>
        <v>378</v>
      </c>
      <c r="N96" s="249">
        <f t="shared" si="11"/>
        <v>307</v>
      </c>
      <c r="O96" s="249">
        <f t="shared" si="11"/>
        <v>0</v>
      </c>
      <c r="P96" s="249">
        <f t="shared" si="11"/>
        <v>169</v>
      </c>
      <c r="Q96" s="249">
        <f t="shared" si="11"/>
        <v>0</v>
      </c>
      <c r="R96" s="249">
        <f t="shared" si="11"/>
        <v>342</v>
      </c>
      <c r="S96" s="249">
        <f t="shared" si="11"/>
        <v>0</v>
      </c>
      <c r="T96" s="249">
        <f t="shared" si="11"/>
        <v>582</v>
      </c>
      <c r="U96" s="249">
        <f t="shared" si="11"/>
        <v>309</v>
      </c>
      <c r="V96" s="249">
        <f t="shared" si="11"/>
        <v>250</v>
      </c>
      <c r="W96" s="249">
        <f t="shared" si="11"/>
        <v>219</v>
      </c>
      <c r="X96" s="249">
        <f t="shared" si="11"/>
        <v>0</v>
      </c>
      <c r="Y96" s="249">
        <f t="shared" si="11"/>
        <v>332</v>
      </c>
      <c r="Z96" s="249">
        <f t="shared" si="11"/>
        <v>355</v>
      </c>
      <c r="AA96" s="249">
        <f t="shared" si="11"/>
        <v>305</v>
      </c>
      <c r="AB96" s="249">
        <f t="shared" si="11"/>
        <v>237</v>
      </c>
      <c r="AC96" s="249">
        <f t="shared" si="11"/>
        <v>170</v>
      </c>
      <c r="AD96" s="249">
        <f t="shared" si="11"/>
        <v>202</v>
      </c>
      <c r="AE96" s="249">
        <f t="shared" si="11"/>
        <v>0</v>
      </c>
      <c r="AF96" s="249">
        <f t="shared" si="11"/>
        <v>253</v>
      </c>
      <c r="AG96" s="249">
        <f t="shared" si="11"/>
        <v>333</v>
      </c>
      <c r="AH96" s="249">
        <f t="shared" si="11"/>
        <v>223</v>
      </c>
      <c r="AI96" s="249">
        <f t="shared" si="11"/>
        <v>188</v>
      </c>
      <c r="AJ96" s="249">
        <f t="shared" si="11"/>
        <v>195</v>
      </c>
      <c r="AK96" s="249">
        <f t="shared" si="11"/>
        <v>120</v>
      </c>
      <c r="AL96" s="249">
        <f t="shared" si="11"/>
        <v>0</v>
      </c>
      <c r="AM96" s="249">
        <f t="shared" si="11"/>
        <v>0</v>
      </c>
      <c r="AN96" s="250">
        <f t="shared" si="11"/>
        <v>6815</v>
      </c>
    </row>
    <row r="97" spans="1:41" s="35" customFormat="1" ht="22" customHeight="1" x14ac:dyDescent="0.35">
      <c r="A97" s="620" t="s">
        <v>23</v>
      </c>
      <c r="B97" s="621"/>
      <c r="C97" s="621"/>
      <c r="D97" s="316">
        <f>HLOOKUP(MONTH(日期!$C$2),去年月推移!$D$1:$O$200,153,TRUE)</f>
        <v>1012</v>
      </c>
      <c r="E97" s="64" t="s">
        <v>45</v>
      </c>
      <c r="F97" s="64" t="s">
        <v>45</v>
      </c>
      <c r="G97" s="629">
        <f>當年月推移!P155</f>
        <v>784</v>
      </c>
      <c r="H97" s="630"/>
      <c r="I97" s="63">
        <f>VALUE(點數BO!C3)</f>
        <v>29</v>
      </c>
      <c r="J97" s="63">
        <f>VALUE(點數BO!D3)</f>
        <v>0</v>
      </c>
      <c r="K97" s="63">
        <f>VALUE(點數BO!E3)</f>
        <v>43</v>
      </c>
      <c r="L97" s="63">
        <f>VALUE(點數BO!F3)</f>
        <v>53</v>
      </c>
      <c r="M97" s="63">
        <f>VALUE(點數BO!G3)</f>
        <v>51</v>
      </c>
      <c r="N97" s="63">
        <f>VALUE(點數BO!H3)</f>
        <v>42</v>
      </c>
      <c r="O97" s="63">
        <f>VALUE(點數BO!I3)</f>
        <v>0</v>
      </c>
      <c r="P97" s="63">
        <f>VALUE(點數BO!J3)</f>
        <v>23</v>
      </c>
      <c r="Q97" s="63">
        <f>VALUE(點數BO!K3)</f>
        <v>0</v>
      </c>
      <c r="R97" s="63">
        <f>VALUE(點數BO!L3)</f>
        <v>41</v>
      </c>
      <c r="S97" s="63">
        <f>VALUE(點數BO!M3)</f>
        <v>0</v>
      </c>
      <c r="T97" s="63">
        <f>VALUE(點數BO!N3)</f>
        <v>79</v>
      </c>
      <c r="U97" s="63">
        <f>VALUE(點數BO!O3)</f>
        <v>40</v>
      </c>
      <c r="V97" s="63">
        <f>VALUE(點數BO!P3)</f>
        <v>37</v>
      </c>
      <c r="W97" s="63">
        <f>VALUE(點數BO!Q3)</f>
        <v>30</v>
      </c>
      <c r="X97" s="63">
        <f>VALUE(點數BO!R3)</f>
        <v>0</v>
      </c>
      <c r="Y97" s="63">
        <f>VALUE(點數BO!S3)</f>
        <v>32</v>
      </c>
      <c r="Z97" s="63">
        <f>VALUE(點數BO!T3)</f>
        <v>56</v>
      </c>
      <c r="AA97" s="63">
        <f>VALUE(點數BO!U3)</f>
        <v>38</v>
      </c>
      <c r="AB97" s="63">
        <f>VALUE(點數BO!V3)</f>
        <v>37</v>
      </c>
      <c r="AC97" s="63">
        <f>VALUE(點數BO!W3)</f>
        <v>51</v>
      </c>
      <c r="AD97" s="63">
        <f>VALUE(點數BO!X3)</f>
        <v>20</v>
      </c>
      <c r="AE97" s="63">
        <f>VALUE(點數BO!Y3)</f>
        <v>0</v>
      </c>
      <c r="AF97" s="63">
        <f>VALUE(點數BO!Z3)</f>
        <v>30</v>
      </c>
      <c r="AG97" s="63">
        <f>VALUE(點數BO!AA3)</f>
        <v>46</v>
      </c>
      <c r="AH97" s="63">
        <f>VALUE(點數BO!AB3)</f>
        <v>35</v>
      </c>
      <c r="AI97" s="63">
        <f>VALUE(點數BO!AC3)</f>
        <v>52</v>
      </c>
      <c r="AJ97" s="63">
        <f>VALUE(點數BO!AD3)</f>
        <v>43</v>
      </c>
      <c r="AK97" s="63">
        <f>VALUE(點數BO!AE3)</f>
        <v>35</v>
      </c>
      <c r="AL97" s="63">
        <f>VALUE(點數BO!AF3)</f>
        <v>0</v>
      </c>
      <c r="AM97" s="63">
        <f>VALUE(點數BO!AG3)</f>
        <v>0</v>
      </c>
      <c r="AN97" s="516">
        <f>VALUE(點數BO!AH3)</f>
        <v>1003</v>
      </c>
    </row>
    <row r="98" spans="1:41" s="35" customFormat="1" ht="22" customHeight="1" x14ac:dyDescent="0.35">
      <c r="A98" s="636" t="s">
        <v>24</v>
      </c>
      <c r="B98" s="637"/>
      <c r="C98" s="638"/>
      <c r="D98" s="314">
        <f>HLOOKUP(MONTH(日期!$C$2),去年月推移!$D$1:$O$200,154,TRUE)</f>
        <v>0</v>
      </c>
      <c r="E98" s="65"/>
      <c r="F98" s="65"/>
      <c r="G98" s="629">
        <f>當年月推移!P156</f>
        <v>3</v>
      </c>
      <c r="H98" s="630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6">
        <f>VALUE(點數BO!AH10)</f>
        <v>0</v>
      </c>
    </row>
    <row r="99" spans="1:41" s="35" customFormat="1" ht="22" customHeight="1" x14ac:dyDescent="0.35">
      <c r="A99" s="636" t="s">
        <v>25</v>
      </c>
      <c r="B99" s="637"/>
      <c r="C99" s="638"/>
      <c r="D99" s="314">
        <f>HLOOKUP(MONTH(日期!$C$2),去年月推移!$D$1:$O$200,155,TRUE)</f>
        <v>41</v>
      </c>
      <c r="E99" s="65"/>
      <c r="F99" s="65"/>
      <c r="G99" s="629">
        <f>當年月推移!P157</f>
        <v>27</v>
      </c>
      <c r="H99" s="630"/>
      <c r="I99" s="63">
        <f>VALUE(點數BO!C11)</f>
        <v>0</v>
      </c>
      <c r="J99" s="63">
        <f>VALUE(點數BO!D11)</f>
        <v>0</v>
      </c>
      <c r="K99" s="63">
        <f>VALUE(點數BO!E11)</f>
        <v>1</v>
      </c>
      <c r="L99" s="63">
        <f>VALUE(點數BO!F11)</f>
        <v>1</v>
      </c>
      <c r="M99" s="63">
        <f>VALUE(點數BO!G11)</f>
        <v>0</v>
      </c>
      <c r="N99" s="63">
        <f>VALUE(點數BO!H11)</f>
        <v>2</v>
      </c>
      <c r="O99" s="63">
        <f>VALUE(點數BO!I11)</f>
        <v>0</v>
      </c>
      <c r="P99" s="63">
        <f>VALUE(點數BO!J11)</f>
        <v>2</v>
      </c>
      <c r="Q99" s="63">
        <f>VALUE(點數BO!K11)</f>
        <v>0</v>
      </c>
      <c r="R99" s="63">
        <f>VALUE(點數BO!L11)</f>
        <v>1</v>
      </c>
      <c r="S99" s="63">
        <f>VALUE(點數BO!M11)</f>
        <v>0</v>
      </c>
      <c r="T99" s="63">
        <f>VALUE(點數BO!N11)</f>
        <v>1</v>
      </c>
      <c r="U99" s="63">
        <f>VALUE(點數BO!O11)</f>
        <v>1</v>
      </c>
      <c r="V99" s="63">
        <f>VALUE(點數BO!P11)</f>
        <v>0</v>
      </c>
      <c r="W99" s="63">
        <f>VALUE(點數BO!Q11)</f>
        <v>0</v>
      </c>
      <c r="X99" s="63">
        <f>VALUE(點數BO!R11)</f>
        <v>0</v>
      </c>
      <c r="Y99" s="63">
        <f>VALUE(點數BO!S11)</f>
        <v>1</v>
      </c>
      <c r="Z99" s="63">
        <f>VALUE(點數BO!T11)</f>
        <v>0</v>
      </c>
      <c r="AA99" s="63">
        <f>VALUE(點數BO!U11)</f>
        <v>2</v>
      </c>
      <c r="AB99" s="63">
        <f>VALUE(點數BO!V11)</f>
        <v>0</v>
      </c>
      <c r="AC99" s="63">
        <f>VALUE(點數BO!W11)</f>
        <v>0</v>
      </c>
      <c r="AD99" s="63">
        <f>VALUE(點數BO!X11)</f>
        <v>0</v>
      </c>
      <c r="AE99" s="63">
        <f>VALUE(點數BO!Y11)</f>
        <v>0</v>
      </c>
      <c r="AF99" s="63">
        <f>VALUE(點數BO!Z11)</f>
        <v>2</v>
      </c>
      <c r="AG99" s="63">
        <f>VALUE(點數BO!AA11)</f>
        <v>1</v>
      </c>
      <c r="AH99" s="63">
        <f>VALUE(點數BO!AB11)</f>
        <v>0</v>
      </c>
      <c r="AI99" s="63">
        <f>VALUE(點數BO!AC11)</f>
        <v>0</v>
      </c>
      <c r="AJ99" s="63">
        <f>VALUE(點數BO!AD11)</f>
        <v>2</v>
      </c>
      <c r="AK99" s="63">
        <f>VALUE(點數BO!AE11)</f>
        <v>0</v>
      </c>
      <c r="AL99" s="63">
        <f>VALUE(點數BO!AF11)</f>
        <v>0</v>
      </c>
      <c r="AM99" s="63">
        <f>VALUE(點數BO!AG11)</f>
        <v>0</v>
      </c>
      <c r="AN99" s="516">
        <f>VALUE(點數BO!AH11)</f>
        <v>18</v>
      </c>
    </row>
    <row r="100" spans="1:41" s="35" customFormat="1" ht="22" customHeight="1" x14ac:dyDescent="0.35">
      <c r="A100" s="636" t="s">
        <v>26</v>
      </c>
      <c r="B100" s="637"/>
      <c r="C100" s="638"/>
      <c r="D100" s="314">
        <f>HLOOKUP(MONTH(日期!$C$2),去年月推移!$D$1:$O$200,156,TRUE)</f>
        <v>301</v>
      </c>
      <c r="E100" s="65"/>
      <c r="F100" s="65"/>
      <c r="G100" s="629">
        <f>當年月推移!P158</f>
        <v>295</v>
      </c>
      <c r="H100" s="630"/>
      <c r="I100" s="63">
        <f>VALUE(點數BO!C12)</f>
        <v>3</v>
      </c>
      <c r="J100" s="63">
        <f>VALUE(點數BO!D12)</f>
        <v>0</v>
      </c>
      <c r="K100" s="63">
        <f>VALUE(點數BO!E12)</f>
        <v>7</v>
      </c>
      <c r="L100" s="63">
        <f>VALUE(點數BO!F12)</f>
        <v>14</v>
      </c>
      <c r="M100" s="63">
        <f>VALUE(點數BO!G12)</f>
        <v>10</v>
      </c>
      <c r="N100" s="63">
        <f>VALUE(點數BO!H12)</f>
        <v>10</v>
      </c>
      <c r="O100" s="63">
        <f>VALUE(點數BO!I12)</f>
        <v>0</v>
      </c>
      <c r="P100" s="63">
        <f>VALUE(點數BO!J12)</f>
        <v>4</v>
      </c>
      <c r="Q100" s="63">
        <f>VALUE(點數BO!K12)</f>
        <v>0</v>
      </c>
      <c r="R100" s="63">
        <f>VALUE(點數BO!L12)</f>
        <v>9</v>
      </c>
      <c r="S100" s="63">
        <f>VALUE(點數BO!M12)</f>
        <v>0</v>
      </c>
      <c r="T100" s="63">
        <f>VALUE(點數BO!N12)</f>
        <v>17</v>
      </c>
      <c r="U100" s="63">
        <f>VALUE(點數BO!O12)</f>
        <v>29</v>
      </c>
      <c r="V100" s="63">
        <f>VALUE(點數BO!P12)</f>
        <v>15</v>
      </c>
      <c r="W100" s="63">
        <f>VALUE(點數BO!Q12)</f>
        <v>6</v>
      </c>
      <c r="X100" s="63">
        <f>VALUE(點數BO!R12)</f>
        <v>0</v>
      </c>
      <c r="Y100" s="63">
        <f>VALUE(點數BO!S12)</f>
        <v>13</v>
      </c>
      <c r="Z100" s="63">
        <f>VALUE(點數BO!T12)</f>
        <v>14</v>
      </c>
      <c r="AA100" s="63">
        <f>VALUE(點數BO!U12)</f>
        <v>13</v>
      </c>
      <c r="AB100" s="63">
        <f>VALUE(點數BO!V12)</f>
        <v>13</v>
      </c>
      <c r="AC100" s="63">
        <f>VALUE(點數BO!W12)</f>
        <v>11</v>
      </c>
      <c r="AD100" s="63">
        <f>VALUE(點數BO!X12)</f>
        <v>20</v>
      </c>
      <c r="AE100" s="63">
        <f>VALUE(點數BO!Y12)</f>
        <v>0</v>
      </c>
      <c r="AF100" s="63">
        <f>VALUE(點數BO!Z12)</f>
        <v>31</v>
      </c>
      <c r="AG100" s="63">
        <f>VALUE(點數BO!AA12)</f>
        <v>26</v>
      </c>
      <c r="AH100" s="63">
        <f>VALUE(點數BO!AB12)</f>
        <v>13</v>
      </c>
      <c r="AI100" s="63">
        <f>VALUE(點數BO!AC12)</f>
        <v>21</v>
      </c>
      <c r="AJ100" s="63">
        <f>VALUE(點數BO!AD12)</f>
        <v>20</v>
      </c>
      <c r="AK100" s="63">
        <f>VALUE(點數BO!AE12)</f>
        <v>18</v>
      </c>
      <c r="AL100" s="63">
        <f>VALUE(點數BO!AF12)</f>
        <v>0</v>
      </c>
      <c r="AM100" s="63">
        <f>VALUE(點數BO!AG12)</f>
        <v>0</v>
      </c>
      <c r="AN100" s="516">
        <f>VALUE(點數BO!AH12)</f>
        <v>346</v>
      </c>
    </row>
    <row r="101" spans="1:41" s="35" customFormat="1" ht="22" customHeight="1" x14ac:dyDescent="0.35">
      <c r="A101" s="636" t="s">
        <v>27</v>
      </c>
      <c r="B101" s="637"/>
      <c r="C101" s="638"/>
      <c r="D101" s="314">
        <f>HLOOKUP(MONTH(日期!$C$2),去年月推移!$D$1:$O$200,157,TRUE)</f>
        <v>38</v>
      </c>
      <c r="E101" s="65" t="s">
        <v>45</v>
      </c>
      <c r="F101" s="65" t="s">
        <v>45</v>
      </c>
      <c r="G101" s="629">
        <f>當年月推移!P159</f>
        <v>95</v>
      </c>
      <c r="H101" s="630"/>
      <c r="I101" s="63">
        <f>VALUE(點數BO!C13)</f>
        <v>0</v>
      </c>
      <c r="J101" s="63">
        <f>VALUE(點數BO!D13)</f>
        <v>0</v>
      </c>
      <c r="K101" s="63">
        <f>VALUE(點數BO!E13)</f>
        <v>0</v>
      </c>
      <c r="L101" s="63">
        <f>VALUE(點數BO!F13)</f>
        <v>0</v>
      </c>
      <c r="M101" s="63">
        <f>VALUE(點數BO!G13)</f>
        <v>0</v>
      </c>
      <c r="N101" s="63">
        <f>VALUE(點數BO!H13)</f>
        <v>1</v>
      </c>
      <c r="O101" s="63">
        <f>VALUE(點數BO!I13)</f>
        <v>0</v>
      </c>
      <c r="P101" s="63">
        <f>VALUE(點數BO!J13)</f>
        <v>0</v>
      </c>
      <c r="Q101" s="63">
        <f>VALUE(點數BO!K13)</f>
        <v>0</v>
      </c>
      <c r="R101" s="63">
        <f>VALUE(點數BO!L13)</f>
        <v>0</v>
      </c>
      <c r="S101" s="63">
        <f>VALUE(點數BO!M13)</f>
        <v>0</v>
      </c>
      <c r="T101" s="63">
        <f>VALUE(點數BO!N13)</f>
        <v>5</v>
      </c>
      <c r="U101" s="63">
        <f>VALUE(點數BO!O13)</f>
        <v>4</v>
      </c>
      <c r="V101" s="63">
        <f>VALUE(點數BO!P13)</f>
        <v>1</v>
      </c>
      <c r="W101" s="63">
        <f>VALUE(點數BO!Q13)</f>
        <v>1</v>
      </c>
      <c r="X101" s="63">
        <f>VALUE(點數BO!R13)</f>
        <v>0</v>
      </c>
      <c r="Y101" s="63">
        <f>VALUE(點數BO!S13)</f>
        <v>3</v>
      </c>
      <c r="Z101" s="63">
        <f>VALUE(點數BO!T13)</f>
        <v>9</v>
      </c>
      <c r="AA101" s="63">
        <f>VALUE(點數BO!U13)</f>
        <v>16</v>
      </c>
      <c r="AB101" s="63">
        <f>VALUE(點數BO!V13)</f>
        <v>13</v>
      </c>
      <c r="AC101" s="63">
        <f>VALUE(點數BO!W13)</f>
        <v>16</v>
      </c>
      <c r="AD101" s="63">
        <f>VALUE(點數BO!X13)</f>
        <v>7</v>
      </c>
      <c r="AE101" s="63">
        <f>VALUE(點數BO!Y13)</f>
        <v>0</v>
      </c>
      <c r="AF101" s="63">
        <f>VALUE(點數BO!Z13)</f>
        <v>3</v>
      </c>
      <c r="AG101" s="63">
        <f>VALUE(點數BO!AA13)</f>
        <v>0</v>
      </c>
      <c r="AH101" s="63">
        <f>VALUE(點數BO!AB13)</f>
        <v>3</v>
      </c>
      <c r="AI101" s="63">
        <f>VALUE(點數BO!AC13)</f>
        <v>0</v>
      </c>
      <c r="AJ101" s="63">
        <f>VALUE(點數BO!AD13)</f>
        <v>1</v>
      </c>
      <c r="AK101" s="63">
        <f>VALUE(點數BO!AE13)</f>
        <v>1</v>
      </c>
      <c r="AL101" s="63">
        <f>VALUE(點數BO!AF13)</f>
        <v>0</v>
      </c>
      <c r="AM101" s="63">
        <f>VALUE(點數BO!AG13)</f>
        <v>0</v>
      </c>
      <c r="AN101" s="516">
        <f>VALUE(點數BO!AH13)</f>
        <v>84</v>
      </c>
    </row>
    <row r="102" spans="1:41" s="35" customFormat="1" ht="22" customHeight="1" x14ac:dyDescent="0.35">
      <c r="A102" s="636" t="s">
        <v>28</v>
      </c>
      <c r="B102" s="637"/>
      <c r="C102" s="638"/>
      <c r="D102" s="315">
        <f>HLOOKUP(MONTH(日期!$C$2),去年月推移!$D$1:$O$200,158,TRUE)</f>
        <v>2</v>
      </c>
      <c r="E102" s="65"/>
      <c r="F102" s="65"/>
      <c r="G102" s="629">
        <f>當年月推移!P160</f>
        <v>1</v>
      </c>
      <c r="H102" s="630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1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6">
        <f>VALUE(點數BO!AH14)</f>
        <v>1</v>
      </c>
    </row>
    <row r="103" spans="1:41" s="67" customFormat="1" ht="22" customHeight="1" thickBot="1" x14ac:dyDescent="0.5">
      <c r="A103" s="615" t="s">
        <v>50</v>
      </c>
      <c r="B103" s="616"/>
      <c r="C103" s="616"/>
      <c r="D103" s="66">
        <f>HLOOKUP(MONTH(日期!$C$2),去年月推移!$D$1:$O$200,159,TRUE)</f>
        <v>1394</v>
      </c>
      <c r="E103" s="66" t="s">
        <v>45</v>
      </c>
      <c r="F103" s="66" t="s">
        <v>45</v>
      </c>
      <c r="G103" s="658">
        <f>當年月推移!P161</f>
        <v>1205</v>
      </c>
      <c r="H103" s="659"/>
      <c r="I103" s="66">
        <f>SUM(I97:I102)</f>
        <v>32</v>
      </c>
      <c r="J103" s="66">
        <f>SUM(J97:J102)</f>
        <v>0</v>
      </c>
      <c r="K103" s="66">
        <f t="shared" ref="K103:AN103" si="12">SUM(K97:K102)</f>
        <v>51</v>
      </c>
      <c r="L103" s="66">
        <f t="shared" si="12"/>
        <v>68</v>
      </c>
      <c r="M103" s="66">
        <f t="shared" si="12"/>
        <v>61</v>
      </c>
      <c r="N103" s="66">
        <f t="shared" si="12"/>
        <v>55</v>
      </c>
      <c r="O103" s="66">
        <f t="shared" si="12"/>
        <v>0</v>
      </c>
      <c r="P103" s="66">
        <f t="shared" si="12"/>
        <v>29</v>
      </c>
      <c r="Q103" s="66">
        <f t="shared" si="12"/>
        <v>0</v>
      </c>
      <c r="R103" s="66">
        <f t="shared" si="12"/>
        <v>51</v>
      </c>
      <c r="S103" s="66">
        <f t="shared" si="12"/>
        <v>0</v>
      </c>
      <c r="T103" s="66">
        <f t="shared" si="12"/>
        <v>102</v>
      </c>
      <c r="U103" s="66">
        <f t="shared" si="12"/>
        <v>74</v>
      </c>
      <c r="V103" s="66">
        <f t="shared" si="12"/>
        <v>53</v>
      </c>
      <c r="W103" s="66">
        <f t="shared" si="12"/>
        <v>37</v>
      </c>
      <c r="X103" s="66">
        <f t="shared" si="12"/>
        <v>0</v>
      </c>
      <c r="Y103" s="66">
        <f t="shared" si="12"/>
        <v>49</v>
      </c>
      <c r="Z103" s="66">
        <f t="shared" si="12"/>
        <v>79</v>
      </c>
      <c r="AA103" s="66">
        <f t="shared" si="12"/>
        <v>69</v>
      </c>
      <c r="AB103" s="66">
        <f t="shared" si="12"/>
        <v>63</v>
      </c>
      <c r="AC103" s="66">
        <f t="shared" si="12"/>
        <v>78</v>
      </c>
      <c r="AD103" s="66">
        <f t="shared" si="12"/>
        <v>47</v>
      </c>
      <c r="AE103" s="66">
        <f t="shared" si="12"/>
        <v>0</v>
      </c>
      <c r="AF103" s="66">
        <f t="shared" si="12"/>
        <v>66</v>
      </c>
      <c r="AG103" s="66">
        <f t="shared" si="12"/>
        <v>74</v>
      </c>
      <c r="AH103" s="66">
        <f t="shared" si="12"/>
        <v>51</v>
      </c>
      <c r="AI103" s="66">
        <f t="shared" si="12"/>
        <v>73</v>
      </c>
      <c r="AJ103" s="66">
        <f t="shared" si="12"/>
        <v>66</v>
      </c>
      <c r="AK103" s="66">
        <f t="shared" si="12"/>
        <v>54</v>
      </c>
      <c r="AL103" s="66">
        <f t="shared" si="12"/>
        <v>0</v>
      </c>
      <c r="AM103" s="66">
        <f t="shared" si="12"/>
        <v>0</v>
      </c>
      <c r="AN103" s="218">
        <f t="shared" si="12"/>
        <v>1452</v>
      </c>
      <c r="AO103" s="16">
        <f>SUM(I103:AM103)</f>
        <v>1382</v>
      </c>
    </row>
    <row r="104" spans="1:41" s="67" customFormat="1" ht="22" customHeight="1" x14ac:dyDescent="0.45">
      <c r="A104" s="665" t="s">
        <v>31</v>
      </c>
      <c r="B104" s="666"/>
      <c r="C104" s="667"/>
      <c r="D104" s="316">
        <f>HLOOKUP(MONTH(日期!$C$2),去年月推移!$D$1:$O$200,160,TRUE)</f>
        <v>0</v>
      </c>
      <c r="E104" s="273"/>
      <c r="F104" s="273"/>
      <c r="G104" s="647">
        <f>當年月推移!P162</f>
        <v>0</v>
      </c>
      <c r="H104" s="648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7">
        <f>VALUE(點數BO!AH15)</f>
        <v>0</v>
      </c>
      <c r="AO104" s="16"/>
    </row>
    <row r="105" spans="1:41" s="67" customFormat="1" ht="22" customHeight="1" x14ac:dyDescent="0.45">
      <c r="A105" s="668" t="s">
        <v>32</v>
      </c>
      <c r="B105" s="669"/>
      <c r="C105" s="670"/>
      <c r="D105" s="316">
        <f>HLOOKUP(MONTH(日期!$C$2),去年月推移!$D$1:$O$200,161,TRUE)</f>
        <v>0</v>
      </c>
      <c r="E105" s="274"/>
      <c r="F105" s="274"/>
      <c r="G105" s="629">
        <f>當年月推移!P163</f>
        <v>0</v>
      </c>
      <c r="H105" s="630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8">
        <f>VALUE(點數BO!AH16)</f>
        <v>0</v>
      </c>
      <c r="AO105" s="16"/>
    </row>
    <row r="106" spans="1:41" s="67" customFormat="1" ht="22" customHeight="1" x14ac:dyDescent="0.45">
      <c r="A106" s="668" t="s">
        <v>33</v>
      </c>
      <c r="B106" s="669"/>
      <c r="C106" s="670"/>
      <c r="D106" s="316">
        <f>HLOOKUP(MONTH(日期!$C$2),去年月推移!$D$1:$O$200,162,TRUE)</f>
        <v>0</v>
      </c>
      <c r="E106" s="274"/>
      <c r="F106" s="274"/>
      <c r="G106" s="629">
        <f>當年月推移!P164</f>
        <v>0</v>
      </c>
      <c r="H106" s="630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8">
        <f>VALUE(點數BO!AH17)</f>
        <v>0</v>
      </c>
      <c r="AO106" s="16"/>
    </row>
    <row r="107" spans="1:41" s="67" customFormat="1" ht="22" customHeight="1" x14ac:dyDescent="0.45">
      <c r="A107" s="668" t="s">
        <v>34</v>
      </c>
      <c r="B107" s="669"/>
      <c r="C107" s="670"/>
      <c r="D107" s="316">
        <f>HLOOKUP(MONTH(日期!$C$2),去年月推移!$D$1:$O$200,163,TRUE)</f>
        <v>0</v>
      </c>
      <c r="E107" s="274"/>
      <c r="F107" s="274"/>
      <c r="G107" s="629">
        <f>當年月推移!P165</f>
        <v>0</v>
      </c>
      <c r="H107" s="630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8">
        <f>VALUE(點數BO!AH18)</f>
        <v>0</v>
      </c>
      <c r="AO107" s="16"/>
    </row>
    <row r="108" spans="1:41" s="67" customFormat="1" ht="22" customHeight="1" x14ac:dyDescent="0.45">
      <c r="A108" s="668" t="s">
        <v>35</v>
      </c>
      <c r="B108" s="669"/>
      <c r="C108" s="670"/>
      <c r="D108" s="316">
        <f>HLOOKUP(MONTH(日期!$C$2),去年月推移!$D$1:$O$200,164,TRUE)</f>
        <v>0</v>
      </c>
      <c r="E108" s="298"/>
      <c r="F108" s="298"/>
      <c r="G108" s="629">
        <f>當年月推移!P166</f>
        <v>0</v>
      </c>
      <c r="H108" s="630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8">
        <f>VALUE(點數BO!AH19)</f>
        <v>0</v>
      </c>
      <c r="AO108" s="16"/>
    </row>
    <row r="109" spans="1:41" s="67" customFormat="1" ht="22" customHeight="1" thickBot="1" x14ac:dyDescent="0.5">
      <c r="A109" s="575" t="s">
        <v>30</v>
      </c>
      <c r="B109" s="576"/>
      <c r="C109" s="577"/>
      <c r="D109" s="66">
        <f>HLOOKUP(MONTH(日期!$C$2),去年月推移!$D$1:$O$200,165,TRUE)</f>
        <v>0</v>
      </c>
      <c r="E109" s="66"/>
      <c r="F109" s="66"/>
      <c r="G109" s="658">
        <f>當年月推移!P167</f>
        <v>0</v>
      </c>
      <c r="H109" s="659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5" customHeight="1" x14ac:dyDescent="0.45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5" customHeight="1" x14ac:dyDescent="0.45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5" customHeight="1" x14ac:dyDescent="0.45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5" customHeight="1" x14ac:dyDescent="0.45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5" customHeight="1" x14ac:dyDescent="0.45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5" customHeight="1" x14ac:dyDescent="0.45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5" customHeight="1" x14ac:dyDescent="0.45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5" customHeight="1" x14ac:dyDescent="0.45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5" customHeight="1" x14ac:dyDescent="0.45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5" customHeight="1" x14ac:dyDescent="0.45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5" customHeight="1" x14ac:dyDescent="0.35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5" customHeight="1" x14ac:dyDescent="0.45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5" customHeight="1" x14ac:dyDescent="0.45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5" customHeight="1" x14ac:dyDescent="0.45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5" customHeight="1" x14ac:dyDescent="0.45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5" customHeight="1" x14ac:dyDescent="0.45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5" customHeight="1" x14ac:dyDescent="0.45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5" customHeight="1" x14ac:dyDescent="0.45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5" customHeight="1" x14ac:dyDescent="0.45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5" customHeight="1" x14ac:dyDescent="0.45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5" customHeight="1" x14ac:dyDescent="0.45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5" customHeight="1" x14ac:dyDescent="0.45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5" customHeight="1" x14ac:dyDescent="0.45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5" customHeight="1" x14ac:dyDescent="0.45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5" customHeight="1" x14ac:dyDescent="0.45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5" customHeight="1" x14ac:dyDescent="0.45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5" customHeight="1" x14ac:dyDescent="0.45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5" customHeight="1" x14ac:dyDescent="0.45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5" customHeight="1" x14ac:dyDescent="0.45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5" customHeight="1" x14ac:dyDescent="0.45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5" customHeight="1" x14ac:dyDescent="0.45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5" customHeight="1" x14ac:dyDescent="0.45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5" customHeight="1" x14ac:dyDescent="0.45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5" customHeight="1" x14ac:dyDescent="0.45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5" customHeight="1" x14ac:dyDescent="0.45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5" customHeight="1" x14ac:dyDescent="0.45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5" customHeight="1" x14ac:dyDescent="0.45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5" customHeight="1" x14ac:dyDescent="0.45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5" customHeight="1" x14ac:dyDescent="0.45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5" customHeight="1" x14ac:dyDescent="0.45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5" customHeight="1" x14ac:dyDescent="0.45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5" customHeight="1" x14ac:dyDescent="0.45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5" customHeight="1" x14ac:dyDescent="0.45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5" customHeight="1" x14ac:dyDescent="0.45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5" customHeight="1" x14ac:dyDescent="0.45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5" customHeight="1" x14ac:dyDescent="0.45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5" customHeight="1" x14ac:dyDescent="0.45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5" customHeight="1" x14ac:dyDescent="0.45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5" customHeight="1" x14ac:dyDescent="0.45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5" customHeight="1" x14ac:dyDescent="0.45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5" customHeight="1" x14ac:dyDescent="0.45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5" customHeight="1" x14ac:dyDescent="0.45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5" customHeight="1" x14ac:dyDescent="0.45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5" customHeight="1" x14ac:dyDescent="0.45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5" customHeight="1" x14ac:dyDescent="0.45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5" customHeight="1" x14ac:dyDescent="0.45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5" customHeight="1" x14ac:dyDescent="0.45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5" customHeight="1" x14ac:dyDescent="0.45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5" customHeight="1" x14ac:dyDescent="0.45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5" customHeight="1" x14ac:dyDescent="0.45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5" customHeight="1" x14ac:dyDescent="0.45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5" customHeight="1" x14ac:dyDescent="0.45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5" customHeight="1" x14ac:dyDescent="0.45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5" customHeight="1" x14ac:dyDescent="0.45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5" customHeight="1" x14ac:dyDescent="0.45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5" customHeight="1" x14ac:dyDescent="0.45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5" customHeight="1" x14ac:dyDescent="0.45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5" customHeight="1" x14ac:dyDescent="0.45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5" customHeight="1" x14ac:dyDescent="0.45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5" customHeight="1" x14ac:dyDescent="0.45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5" customHeight="1" x14ac:dyDescent="0.45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5" customHeight="1" x14ac:dyDescent="0.45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5" customHeight="1" x14ac:dyDescent="0.45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5" customHeight="1" x14ac:dyDescent="0.45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5" customHeight="1" x14ac:dyDescent="0.45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5" customHeight="1" x14ac:dyDescent="0.45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5" customHeight="1" x14ac:dyDescent="0.45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5" customHeight="1" x14ac:dyDescent="0.45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5" customHeight="1" x14ac:dyDescent="0.45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5" customHeight="1" x14ac:dyDescent="0.45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5" customHeight="1" x14ac:dyDescent="0.45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5" customHeight="1" x14ac:dyDescent="0.45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5" customHeight="1" x14ac:dyDescent="0.45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5" customHeight="1" x14ac:dyDescent="0.45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5" customHeight="1" x14ac:dyDescent="0.45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5" customHeight="1" x14ac:dyDescent="0.45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5" customHeight="1" x14ac:dyDescent="0.45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5" customHeight="1" x14ac:dyDescent="0.45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5" customHeight="1" x14ac:dyDescent="0.45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5" customHeight="1" x14ac:dyDescent="0.45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5" customHeight="1" x14ac:dyDescent="0.45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5" customHeight="1" x14ac:dyDescent="0.45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5" customHeight="1" x14ac:dyDescent="0.45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5" customHeight="1" x14ac:dyDescent="0.45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5" customHeight="1" x14ac:dyDescent="0.45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5" customHeight="1" x14ac:dyDescent="0.45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5" customHeight="1" x14ac:dyDescent="0.45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5" customHeight="1" x14ac:dyDescent="0.45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5" customHeight="1" x14ac:dyDescent="0.45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5" customHeight="1" x14ac:dyDescent="0.45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5" customHeight="1" x14ac:dyDescent="0.45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5" customHeight="1" x14ac:dyDescent="0.45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5" customHeight="1" x14ac:dyDescent="0.45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5" customHeight="1" x14ac:dyDescent="0.45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5" customHeight="1" x14ac:dyDescent="0.45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5" customHeight="1" x14ac:dyDescent="0.45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5" customHeight="1" x14ac:dyDescent="0.45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5" customHeight="1" x14ac:dyDescent="0.45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5" customHeight="1" x14ac:dyDescent="0.45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5" customHeight="1" x14ac:dyDescent="0.45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5" customHeight="1" x14ac:dyDescent="0.45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5" customHeight="1" x14ac:dyDescent="0.45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5" customHeight="1" x14ac:dyDescent="0.45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5" customHeight="1" x14ac:dyDescent="0.45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5" customHeight="1" x14ac:dyDescent="0.45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5" customHeight="1" x14ac:dyDescent="0.45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5" customHeight="1" x14ac:dyDescent="0.45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5" customHeight="1" x14ac:dyDescent="0.45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5" customHeight="1" x14ac:dyDescent="0.45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5" customHeight="1" x14ac:dyDescent="0.45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5" customHeight="1" x14ac:dyDescent="0.45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5" customHeight="1" x14ac:dyDescent="0.45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5" customHeight="1" x14ac:dyDescent="0.45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5" customHeight="1" x14ac:dyDescent="0.45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5" customHeight="1" x14ac:dyDescent="0.45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5" customHeight="1" x14ac:dyDescent="0.45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5" customHeight="1" x14ac:dyDescent="0.45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5" customHeight="1" x14ac:dyDescent="0.45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5" customHeight="1" x14ac:dyDescent="0.45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5" customHeight="1" x14ac:dyDescent="0.45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5" customHeight="1" x14ac:dyDescent="0.45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5" customHeight="1" x14ac:dyDescent="0.45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5" customHeight="1" x14ac:dyDescent="0.45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5" customHeight="1" x14ac:dyDescent="0.45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9" sqref="C9"/>
    </sheetView>
  </sheetViews>
  <sheetFormatPr defaultRowHeight="17" x14ac:dyDescent="0.4"/>
  <cols>
    <col min="1" max="2" width="9" style="74"/>
    <col min="3" max="3" width="18.08984375" style="74" bestFit="1" customWidth="1"/>
    <col min="4" max="4" width="18.36328125" style="73" bestFit="1" customWidth="1"/>
    <col min="5" max="34" width="17.7265625" style="73" customWidth="1"/>
    <col min="35" max="36" width="17.7265625" customWidth="1"/>
    <col min="37" max="37" width="17.7265625" bestFit="1" customWidth="1"/>
    <col min="38" max="70" width="17.7265625" customWidth="1"/>
    <col min="71" max="71" width="10.453125" bestFit="1" customWidth="1"/>
  </cols>
  <sheetData>
    <row r="1" spans="1:37" ht="21.5" x14ac:dyDescent="0.45">
      <c r="A1" s="72" t="s">
        <v>66</v>
      </c>
      <c r="B1" s="72"/>
      <c r="C1" s="72"/>
    </row>
    <row r="4" spans="1:37" s="77" customFormat="1" ht="22.75" customHeight="1" x14ac:dyDescent="0.4">
      <c r="A4" s="673" t="s">
        <v>1</v>
      </c>
      <c r="B4" s="673" t="s">
        <v>67</v>
      </c>
      <c r="C4" s="543" t="str">
        <f>YEAR(日期!C2)&amp;"年"&amp;MONTH(日期!C2)&amp;"月"</f>
        <v>2025年11月</v>
      </c>
      <c r="D4" s="544" t="str">
        <f>日期!C2</f>
        <v>2025/11/01</v>
      </c>
      <c r="E4" s="544" t="str">
        <f>日期!D2</f>
        <v>2025/11/02</v>
      </c>
      <c r="F4" s="544" t="str">
        <f>日期!E2</f>
        <v>2025/11/03</v>
      </c>
      <c r="G4" s="544" t="str">
        <f>日期!F2</f>
        <v>2025/11/04</v>
      </c>
      <c r="H4" s="544" t="str">
        <f>日期!G2</f>
        <v>2025/11/05</v>
      </c>
      <c r="I4" s="544" t="str">
        <f>日期!H2</f>
        <v>2025/11/06</v>
      </c>
      <c r="J4" s="544" t="str">
        <f>日期!I2</f>
        <v>2025/11/07</v>
      </c>
      <c r="K4" s="544" t="str">
        <f>日期!J2</f>
        <v>2025/11/08</v>
      </c>
      <c r="L4" s="544" t="str">
        <f>日期!K2</f>
        <v>2025/11/09</v>
      </c>
      <c r="M4" s="544" t="str">
        <f>日期!L2</f>
        <v>2025/11/10</v>
      </c>
      <c r="N4" s="544" t="str">
        <f>日期!M2</f>
        <v>2025/11/11</v>
      </c>
      <c r="O4" s="544" t="str">
        <f>日期!N2</f>
        <v>2025/11/12</v>
      </c>
      <c r="P4" s="544" t="str">
        <f>日期!O2</f>
        <v>2025/11/13</v>
      </c>
      <c r="Q4" s="544" t="str">
        <f>日期!P2</f>
        <v>2025/11/14</v>
      </c>
      <c r="R4" s="544" t="str">
        <f>日期!Q2</f>
        <v>2025/11/15</v>
      </c>
      <c r="S4" s="544" t="str">
        <f>日期!R2</f>
        <v>2025/11/16</v>
      </c>
      <c r="T4" s="544" t="str">
        <f>日期!S2</f>
        <v>2025/11/17</v>
      </c>
      <c r="U4" s="544" t="str">
        <f>日期!T2</f>
        <v>2025/11/18</v>
      </c>
      <c r="V4" s="544" t="str">
        <f>日期!U2</f>
        <v>2025/11/19</v>
      </c>
      <c r="W4" s="544" t="str">
        <f>日期!V2</f>
        <v>2025/11/20</v>
      </c>
      <c r="X4" s="544" t="str">
        <f>日期!W2</f>
        <v>2025/11/21</v>
      </c>
      <c r="Y4" s="544" t="str">
        <f>日期!X2</f>
        <v>2025/11/22</v>
      </c>
      <c r="Z4" s="544" t="str">
        <f>日期!Y2</f>
        <v>2025/11/23</v>
      </c>
      <c r="AA4" s="544" t="str">
        <f>日期!Z2</f>
        <v>2025/11/24</v>
      </c>
      <c r="AB4" s="544" t="str">
        <f>日期!AA2</f>
        <v>2025/11/25</v>
      </c>
      <c r="AC4" s="544" t="str">
        <f>日期!AB2</f>
        <v>2025/11/26</v>
      </c>
      <c r="AD4" s="544" t="str">
        <f>日期!AC2</f>
        <v>2025/11/27</v>
      </c>
      <c r="AE4" s="544" t="str">
        <f>日期!AD2</f>
        <v>2025/11/28</v>
      </c>
      <c r="AF4" s="544" t="str">
        <f>日期!AE2</f>
        <v>2025/11/29</v>
      </c>
      <c r="AG4" s="544" t="str">
        <f>日期!AF2</f>
        <v>2025/11/30</v>
      </c>
      <c r="AH4" s="544">
        <f>日期!AG2</f>
        <v>0</v>
      </c>
      <c r="AI4" s="673" t="s">
        <v>68</v>
      </c>
      <c r="AJ4" s="673" t="s">
        <v>69</v>
      </c>
      <c r="AK4" s="543" t="str">
        <f>YEAR(日期!C2)&amp;"年"&amp;MONTH(日期!C2)+1&amp;"月"</f>
        <v>2025年12月</v>
      </c>
    </row>
    <row r="5" spans="1:37" s="77" customFormat="1" ht="27" customHeight="1" x14ac:dyDescent="0.4">
      <c r="A5" s="674"/>
      <c r="B5" s="674"/>
      <c r="C5" s="545" t="s">
        <v>70</v>
      </c>
      <c r="D5" s="546" t="str">
        <f>日期!C3</f>
        <v>Sat</v>
      </c>
      <c r="E5" s="546" t="str">
        <f>日期!D3</f>
        <v>Sun</v>
      </c>
      <c r="F5" s="546" t="str">
        <f>日期!E3</f>
        <v>Mon</v>
      </c>
      <c r="G5" s="546" t="str">
        <f>日期!F3</f>
        <v>Tue</v>
      </c>
      <c r="H5" s="546" t="str">
        <f>日期!G3</f>
        <v>Wed</v>
      </c>
      <c r="I5" s="546" t="str">
        <f>日期!H3</f>
        <v>Thu</v>
      </c>
      <c r="J5" s="546" t="str">
        <f>日期!I3</f>
        <v>Fri</v>
      </c>
      <c r="K5" s="546" t="str">
        <f>日期!J3</f>
        <v>Sat</v>
      </c>
      <c r="L5" s="546" t="str">
        <f>日期!K3</f>
        <v>Sun</v>
      </c>
      <c r="M5" s="546" t="str">
        <f>日期!L3</f>
        <v>Mon</v>
      </c>
      <c r="N5" s="546" t="str">
        <f>日期!M3</f>
        <v>Tue</v>
      </c>
      <c r="O5" s="546" t="str">
        <f>日期!N3</f>
        <v>Wed</v>
      </c>
      <c r="P5" s="546" t="str">
        <f>日期!O3</f>
        <v>Thu</v>
      </c>
      <c r="Q5" s="546" t="str">
        <f>日期!P3</f>
        <v>Fri</v>
      </c>
      <c r="R5" s="546" t="str">
        <f>日期!Q3</f>
        <v>Sat</v>
      </c>
      <c r="S5" s="546" t="str">
        <f>日期!R3</f>
        <v>Sun</v>
      </c>
      <c r="T5" s="546" t="str">
        <f>日期!S3</f>
        <v>Mon</v>
      </c>
      <c r="U5" s="546" t="str">
        <f>日期!T3</f>
        <v>Tue</v>
      </c>
      <c r="V5" s="546" t="str">
        <f>日期!U3</f>
        <v>Wed</v>
      </c>
      <c r="W5" s="546" t="str">
        <f>日期!V3</f>
        <v>Thu</v>
      </c>
      <c r="X5" s="546" t="str">
        <f>日期!W3</f>
        <v>Fri</v>
      </c>
      <c r="Y5" s="546" t="str">
        <f>日期!X3</f>
        <v>Sat</v>
      </c>
      <c r="Z5" s="546" t="str">
        <f>日期!Y3</f>
        <v>Sun</v>
      </c>
      <c r="AA5" s="546" t="str">
        <f>日期!Z3</f>
        <v>Mon</v>
      </c>
      <c r="AB5" s="546" t="str">
        <f>日期!AA3</f>
        <v>Tue</v>
      </c>
      <c r="AC5" s="546" t="str">
        <f>日期!AB3</f>
        <v>Wed</v>
      </c>
      <c r="AD5" s="546" t="str">
        <f>日期!AC3</f>
        <v>Thu</v>
      </c>
      <c r="AE5" s="546" t="str">
        <f>日期!AD3</f>
        <v>Fri</v>
      </c>
      <c r="AF5" s="546" t="str">
        <f>日期!AE3</f>
        <v>Sat</v>
      </c>
      <c r="AG5" s="546" t="str">
        <f>日期!AF3</f>
        <v>Sun</v>
      </c>
      <c r="AH5" s="546">
        <f>日期!AG3</f>
        <v>0</v>
      </c>
      <c r="AI5" s="674"/>
      <c r="AJ5" s="674"/>
      <c r="AK5" s="547" t="s">
        <v>71</v>
      </c>
    </row>
    <row r="6" spans="1:37" ht="17.5" x14ac:dyDescent="0.35">
      <c r="A6" s="64" t="s">
        <v>72</v>
      </c>
      <c r="B6" s="64">
        <v>1</v>
      </c>
      <c r="C6" s="82">
        <f>HLOOKUP(MONTH(日期!$C$2),A類各進口別庫存金額目標!$B$2:$M$7,4,TRUE)</f>
        <v>133508139.08436</v>
      </c>
      <c r="D6" s="88">
        <f>VALUE(庫存金額A類!C2)</f>
        <v>122529179</v>
      </c>
      <c r="E6" s="88">
        <f>VALUE(庫存金額A類!D2)</f>
        <v>122525689</v>
      </c>
      <c r="F6" s="88">
        <f>VALUE(庫存金額A類!E2)</f>
        <v>118301983</v>
      </c>
      <c r="G6" s="88">
        <f>VALUE(庫存金額A類!F2)</f>
        <v>121951310</v>
      </c>
      <c r="H6" s="88">
        <f>VALUE(庫存金額A類!G2)</f>
        <v>125628470</v>
      </c>
      <c r="I6" s="88">
        <f>VALUE(庫存金額A類!H2)</f>
        <v>126958578</v>
      </c>
      <c r="J6" s="88">
        <f>VALUE(庫存金額A類!I2)</f>
        <v>129042742</v>
      </c>
      <c r="K6" s="88">
        <f>VALUE(庫存金額A類!J2)</f>
        <v>126460918</v>
      </c>
      <c r="L6" s="88">
        <f>VALUE(庫存金額A類!K2)</f>
        <v>126460772</v>
      </c>
      <c r="M6" s="88">
        <f>VALUE(庫存金額A類!L2)</f>
        <v>127104593</v>
      </c>
      <c r="N6" s="88">
        <f>VALUE(庫存金額A類!M2)</f>
        <v>124168110</v>
      </c>
      <c r="O6" s="88">
        <f>VALUE(庫存金額A類!N2)</f>
        <v>124525007</v>
      </c>
      <c r="P6" s="88">
        <f>VALUE(庫存金額A類!O2)</f>
        <v>124846014</v>
      </c>
      <c r="Q6" s="88">
        <f>VALUE(庫存金額A類!P2)</f>
        <v>129089163</v>
      </c>
      <c r="R6" s="88">
        <f>VALUE(庫存金額A類!Q2)</f>
        <v>127777977</v>
      </c>
      <c r="S6" s="88">
        <f>VALUE(庫存金額A類!R2)</f>
        <v>127727241</v>
      </c>
      <c r="T6" s="88">
        <f>VALUE(庫存金額A類!S2)</f>
        <v>128851786</v>
      </c>
      <c r="U6" s="88">
        <f>VALUE(庫存金額A類!T2)</f>
        <v>128975325</v>
      </c>
      <c r="V6" s="88">
        <f>VALUE(庫存金額A類!U2)</f>
        <v>130266329</v>
      </c>
      <c r="W6" s="88">
        <f>VALUE(庫存金額A類!V2)</f>
        <v>130603763</v>
      </c>
      <c r="X6" s="88">
        <f>VALUE(庫存金額A類!W2)</f>
        <v>133519357</v>
      </c>
      <c r="Y6" s="88">
        <f>VALUE(庫存金額A類!X2)</f>
        <v>130960391</v>
      </c>
      <c r="Z6" s="88">
        <f>VALUE(庫存金額A類!Y2)</f>
        <v>130948739</v>
      </c>
      <c r="AA6" s="88">
        <f>VALUE(庫存金額A類!Z2)</f>
        <v>132857362</v>
      </c>
      <c r="AB6" s="88">
        <f>VALUE(庫存金額A類!AA2)</f>
        <v>134113172</v>
      </c>
      <c r="AC6" s="88">
        <f>VALUE(庫存金額A類!AB2)</f>
        <v>134903866</v>
      </c>
      <c r="AD6" s="88">
        <f>VALUE(庫存金額A類!AC2)</f>
        <v>135599948</v>
      </c>
      <c r="AE6" s="88">
        <f>VALUE(庫存金額A類!AD2)</f>
        <v>136188996</v>
      </c>
      <c r="AF6" s="88">
        <f>VALUE(庫存金額A類!AE2)</f>
        <v>134645653</v>
      </c>
      <c r="AG6" s="88">
        <f>VALUE(庫存金額A類!AF2)</f>
        <v>134645632</v>
      </c>
      <c r="AH6" s="88">
        <f>VALUE(庫存金額A類!AG2)</f>
        <v>0</v>
      </c>
      <c r="AI6" s="88">
        <f>VALUE(庫存金額A類!AH2)</f>
        <v>128739268.83</v>
      </c>
      <c r="AJ6" s="548">
        <f>AI6/AI9</f>
        <v>0.46440851961800389</v>
      </c>
      <c r="AK6" s="82">
        <f>HLOOKUP(MONTH(日期!$C$2)+1,A類各進口別庫存金額目標!$B$2:$M$7,4,TRUE)</f>
        <v>138799486.63342601</v>
      </c>
    </row>
    <row r="7" spans="1:37" ht="17.5" x14ac:dyDescent="0.35">
      <c r="A7" s="64" t="s">
        <v>72</v>
      </c>
      <c r="B7" s="64">
        <v>3</v>
      </c>
      <c r="C7" s="82">
        <f>HLOOKUP(MONTH(日期!$C$2),A類各進口別庫存金額目標!$B$2:$M$7,5,TRUE)</f>
        <v>118465465.314229</v>
      </c>
      <c r="D7" s="88">
        <f>VALUE(庫存金額A類!C3)</f>
        <v>109377211</v>
      </c>
      <c r="E7" s="88">
        <f>VALUE(庫存金額A類!D3)</f>
        <v>109377211</v>
      </c>
      <c r="F7" s="88">
        <f>VALUE(庫存金額A類!E3)</f>
        <v>109027574</v>
      </c>
      <c r="G7" s="88">
        <f>VALUE(庫存金額A類!F3)</f>
        <v>107954718</v>
      </c>
      <c r="H7" s="88">
        <f>VALUE(庫存金額A類!G3)</f>
        <v>109078790</v>
      </c>
      <c r="I7" s="88">
        <f>VALUE(庫存金額A類!H3)</f>
        <v>109976733</v>
      </c>
      <c r="J7" s="88">
        <f>VALUE(庫存金額A類!I3)</f>
        <v>112415821</v>
      </c>
      <c r="K7" s="88">
        <f>VALUE(庫存金額A類!J3)</f>
        <v>109504799</v>
      </c>
      <c r="L7" s="88">
        <f>VALUE(庫存金額A類!K3)</f>
        <v>109504799</v>
      </c>
      <c r="M7" s="88">
        <f>VALUE(庫存金額A類!L3)</f>
        <v>112443555</v>
      </c>
      <c r="N7" s="88">
        <f>VALUE(庫存金額A類!M3)</f>
        <v>108818927</v>
      </c>
      <c r="O7" s="88">
        <f>VALUE(庫存金額A類!N3)</f>
        <v>111004902</v>
      </c>
      <c r="P7" s="88">
        <f>VALUE(庫存金額A類!O3)</f>
        <v>110622524</v>
      </c>
      <c r="Q7" s="88">
        <f>VALUE(庫存金額A類!P3)</f>
        <v>111517259</v>
      </c>
      <c r="R7" s="88">
        <f>VALUE(庫存金額A類!Q3)</f>
        <v>112223301</v>
      </c>
      <c r="S7" s="88">
        <f>VALUE(庫存金額A類!R3)</f>
        <v>112188753</v>
      </c>
      <c r="T7" s="88">
        <f>VALUE(庫存金額A類!S3)</f>
        <v>113902883</v>
      </c>
      <c r="U7" s="88">
        <f>VALUE(庫存金額A類!T3)</f>
        <v>113461114</v>
      </c>
      <c r="V7" s="88">
        <f>VALUE(庫存金額A類!U3)</f>
        <v>116491083</v>
      </c>
      <c r="W7" s="88">
        <f>VALUE(庫存金額A類!V3)</f>
        <v>117034980</v>
      </c>
      <c r="X7" s="88">
        <f>VALUE(庫存金額A類!W3)</f>
        <v>119731217</v>
      </c>
      <c r="Y7" s="88">
        <f>VALUE(庫存金額A類!X3)</f>
        <v>117186964</v>
      </c>
      <c r="Z7" s="88">
        <f>VALUE(庫存金額A類!Y3)</f>
        <v>117169739</v>
      </c>
      <c r="AA7" s="88">
        <f>VALUE(庫存金額A類!Z3)</f>
        <v>117869286</v>
      </c>
      <c r="AB7" s="88">
        <f>VALUE(庫存金額A類!AA3)</f>
        <v>118927793</v>
      </c>
      <c r="AC7" s="88">
        <f>VALUE(庫存金額A類!AB3)</f>
        <v>120663108</v>
      </c>
      <c r="AD7" s="88">
        <f>VALUE(庫存金額A類!AC3)</f>
        <v>122370299</v>
      </c>
      <c r="AE7" s="88">
        <f>VALUE(庫存金額A類!AD3)</f>
        <v>122659656</v>
      </c>
      <c r="AF7" s="88">
        <f>VALUE(庫存金額A類!AE3)</f>
        <v>122888501</v>
      </c>
      <c r="AG7" s="88">
        <f>VALUE(庫存金額A類!AF3)</f>
        <v>122872605</v>
      </c>
      <c r="AH7" s="88">
        <f>VALUE(庫存金額A類!AG3)</f>
        <v>0</v>
      </c>
      <c r="AI7" s="88">
        <f>VALUE(庫存金額A類!AH3)</f>
        <v>114275536.83</v>
      </c>
      <c r="AJ7" s="548">
        <f>AI7/AI9</f>
        <v>0.41223267282846338</v>
      </c>
      <c r="AK7" s="82">
        <f>HLOOKUP(MONTH(日期!$C$2)+1,A類各進口別庫存金額目標!$B$2:$M$7,5,TRUE)</f>
        <v>119779183.02504601</v>
      </c>
    </row>
    <row r="8" spans="1:37" ht="17.5" x14ac:dyDescent="0.35">
      <c r="A8" s="64" t="s">
        <v>72</v>
      </c>
      <c r="B8" s="64">
        <v>4</v>
      </c>
      <c r="C8" s="82">
        <f>HLOOKUP(MONTH(日期!$C$2),A類各進口別庫存金額目標!$B$2:$M$7,6,TRUE)</f>
        <v>33717969.978938408</v>
      </c>
      <c r="D8" s="88">
        <f>VALUE(庫存金額A類!C4)</f>
        <v>30781415</v>
      </c>
      <c r="E8" s="88">
        <f>VALUE(庫存金額A類!D4)</f>
        <v>30781415</v>
      </c>
      <c r="F8" s="88">
        <f>VALUE(庫存金額A類!E4)</f>
        <v>29921736</v>
      </c>
      <c r="G8" s="88">
        <f>VALUE(庫存金額A類!F4)</f>
        <v>28842481</v>
      </c>
      <c r="H8" s="88">
        <f>VALUE(庫存金額A類!G4)</f>
        <v>30541580</v>
      </c>
      <c r="I8" s="88">
        <f>VALUE(庫存金額A類!H4)</f>
        <v>31966228</v>
      </c>
      <c r="J8" s="88">
        <f>VALUE(庫存金額A類!I4)</f>
        <v>32229355</v>
      </c>
      <c r="K8" s="88">
        <f>VALUE(庫存金額A類!J4)</f>
        <v>31295167</v>
      </c>
      <c r="L8" s="88">
        <f>VALUE(庫存金額A類!K4)</f>
        <v>31295167</v>
      </c>
      <c r="M8" s="88">
        <f>VALUE(庫存金額A類!L4)</f>
        <v>31566751</v>
      </c>
      <c r="N8" s="88">
        <f>VALUE(庫存金額A類!M4)</f>
        <v>30918165</v>
      </c>
      <c r="O8" s="88">
        <f>VALUE(庫存金額A類!N4)</f>
        <v>31222128</v>
      </c>
      <c r="P8" s="88">
        <f>VALUE(庫存金額A類!O4)</f>
        <v>30954436</v>
      </c>
      <c r="Q8" s="88">
        <f>VALUE(庫存金額A類!P4)</f>
        <v>32849897</v>
      </c>
      <c r="R8" s="88">
        <f>VALUE(庫存金額A類!Q4)</f>
        <v>32021970</v>
      </c>
      <c r="S8" s="88">
        <f>VALUE(庫存金額A類!R4)</f>
        <v>32021839</v>
      </c>
      <c r="T8" s="88">
        <f>VALUE(庫存金額A類!S4)</f>
        <v>34564293</v>
      </c>
      <c r="U8" s="88">
        <f>VALUE(庫存金額A類!T4)</f>
        <v>34080242</v>
      </c>
      <c r="V8" s="88">
        <f>VALUE(庫存金額A類!U4)</f>
        <v>35152524</v>
      </c>
      <c r="W8" s="88">
        <f>VALUE(庫存金額A類!V4)</f>
        <v>34420316</v>
      </c>
      <c r="X8" s="88">
        <f>VALUE(庫存金額A類!W4)</f>
        <v>36067120</v>
      </c>
      <c r="Y8" s="88">
        <f>VALUE(庫存金額A類!X4)</f>
        <v>35188430</v>
      </c>
      <c r="Z8" s="88">
        <f>VALUE(庫存金額A類!Y4)</f>
        <v>35188430</v>
      </c>
      <c r="AA8" s="88">
        <f>VALUE(庫存金額A類!Z4)</f>
        <v>35662767</v>
      </c>
      <c r="AB8" s="88">
        <f>VALUE(庫存金額A類!AA4)</f>
        <v>38793800</v>
      </c>
      <c r="AC8" s="88">
        <f>VALUE(庫存金額A類!AB4)</f>
        <v>38689383</v>
      </c>
      <c r="AD8" s="88">
        <f>VALUE(庫存金額A類!AC4)</f>
        <v>38456784</v>
      </c>
      <c r="AE8" s="88">
        <f>VALUE(庫存金額A類!AD4)</f>
        <v>43881392</v>
      </c>
      <c r="AF8" s="88">
        <f>VALUE(庫存金額A類!AE4)</f>
        <v>43119783</v>
      </c>
      <c r="AG8" s="88">
        <f>VALUE(庫存金額A類!AF4)</f>
        <v>43418504</v>
      </c>
      <c r="AH8" s="88">
        <f>VALUE(庫存金額A類!AG4)</f>
        <v>0</v>
      </c>
      <c r="AI8" s="88">
        <f>VALUE(庫存金額A類!AH4)</f>
        <v>34196449.93</v>
      </c>
      <c r="AJ8" s="548">
        <f>AI8/AI9</f>
        <v>0.1233588075535328</v>
      </c>
      <c r="AK8" s="82">
        <f>HLOOKUP(MONTH(日期!$C$2)+1,A類各進口別庫存金額目標!$B$2:$M$7,6,TRUE)</f>
        <v>34077435.778436877</v>
      </c>
    </row>
    <row r="9" spans="1:37" ht="19.5" x14ac:dyDescent="0.45">
      <c r="A9" s="681" t="s">
        <v>73</v>
      </c>
      <c r="B9" s="681"/>
      <c r="C9" s="83">
        <f>SUM(C6:C8)</f>
        <v>285691574.37752742</v>
      </c>
      <c r="D9" s="84">
        <f t="shared" ref="D9:AH9" si="0">SUM(D6:D8)</f>
        <v>262687805</v>
      </c>
      <c r="E9" s="84">
        <f t="shared" si="0"/>
        <v>262684315</v>
      </c>
      <c r="F9" s="84">
        <f t="shared" si="0"/>
        <v>257251293</v>
      </c>
      <c r="G9" s="84">
        <f t="shared" si="0"/>
        <v>258748509</v>
      </c>
      <c r="H9" s="84">
        <f t="shared" si="0"/>
        <v>265248840</v>
      </c>
      <c r="I9" s="84">
        <f t="shared" si="0"/>
        <v>268901539</v>
      </c>
      <c r="J9" s="84">
        <f t="shared" si="0"/>
        <v>273687918</v>
      </c>
      <c r="K9" s="84">
        <f t="shared" si="0"/>
        <v>267260884</v>
      </c>
      <c r="L9" s="84">
        <f t="shared" si="0"/>
        <v>267260738</v>
      </c>
      <c r="M9" s="84">
        <f t="shared" si="0"/>
        <v>271114899</v>
      </c>
      <c r="N9" s="84">
        <f t="shared" si="0"/>
        <v>263905202</v>
      </c>
      <c r="O9" s="84">
        <f t="shared" si="0"/>
        <v>266752037</v>
      </c>
      <c r="P9" s="84">
        <f t="shared" si="0"/>
        <v>266422974</v>
      </c>
      <c r="Q9" s="84">
        <f>SUM(Q6:Q8)</f>
        <v>273456319</v>
      </c>
      <c r="R9" s="84">
        <f t="shared" si="0"/>
        <v>272023248</v>
      </c>
      <c r="S9" s="84">
        <f t="shared" si="0"/>
        <v>271937833</v>
      </c>
      <c r="T9" s="84">
        <f t="shared" si="0"/>
        <v>277318962</v>
      </c>
      <c r="U9" s="84">
        <f t="shared" si="0"/>
        <v>276516681</v>
      </c>
      <c r="V9" s="84">
        <f t="shared" si="0"/>
        <v>281909936</v>
      </c>
      <c r="W9" s="84">
        <f t="shared" si="0"/>
        <v>282059059</v>
      </c>
      <c r="X9" s="84">
        <f t="shared" si="0"/>
        <v>289317694</v>
      </c>
      <c r="Y9" s="84">
        <f t="shared" si="0"/>
        <v>283335785</v>
      </c>
      <c r="Z9" s="84">
        <f t="shared" si="0"/>
        <v>283306908</v>
      </c>
      <c r="AA9" s="84">
        <f t="shared" si="0"/>
        <v>286389415</v>
      </c>
      <c r="AB9" s="84">
        <f>SUM(AB6:AB8)</f>
        <v>291834765</v>
      </c>
      <c r="AC9" s="84">
        <f t="shared" si="0"/>
        <v>294256357</v>
      </c>
      <c r="AD9" s="84">
        <f t="shared" si="0"/>
        <v>296427031</v>
      </c>
      <c r="AE9" s="84">
        <f t="shared" si="0"/>
        <v>302730044</v>
      </c>
      <c r="AF9" s="84">
        <f t="shared" si="0"/>
        <v>300653937</v>
      </c>
      <c r="AG9" s="84">
        <f t="shared" si="0"/>
        <v>300936741</v>
      </c>
      <c r="AH9" s="84">
        <f t="shared" si="0"/>
        <v>0</v>
      </c>
      <c r="AI9" s="84">
        <f>SUM(AI6:AI8)</f>
        <v>277211255.58999997</v>
      </c>
      <c r="AJ9" s="549">
        <f>AI9/AI$9</f>
        <v>1</v>
      </c>
      <c r="AK9" s="83">
        <f>SUM(AK6:AK8)</f>
        <v>292656105.4369089</v>
      </c>
    </row>
    <row r="10" spans="1:37" x14ac:dyDescent="0.4">
      <c r="AI10" s="98">
        <f>AI9-C9</f>
        <v>-8480318.787527442</v>
      </c>
    </row>
    <row r="14" spans="1:37" s="77" customFormat="1" ht="18" hidden="1" customHeight="1" x14ac:dyDescent="0.4">
      <c r="A14" s="675" t="s">
        <v>1</v>
      </c>
      <c r="B14" s="677" t="s">
        <v>67</v>
      </c>
      <c r="C14" s="679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71" t="s">
        <v>68</v>
      </c>
      <c r="AJ14" s="682" t="s">
        <v>69</v>
      </c>
    </row>
    <row r="15" spans="1:37" s="77" customFormat="1" ht="18" hidden="1" thickBot="1" x14ac:dyDescent="0.45">
      <c r="A15" s="676"/>
      <c r="B15" s="678"/>
      <c r="C15" s="680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72"/>
      <c r="AJ15" s="683"/>
    </row>
    <row r="16" spans="1:37" ht="17.5" hidden="1" x14ac:dyDescent="0.35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5" hidden="1" x14ac:dyDescent="0.35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5" hidden="1" x14ac:dyDescent="0.35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 x14ac:dyDescent="0.45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 x14ac:dyDescent="0.4"/>
    <row r="21" spans="1:36" hidden="1" x14ac:dyDescent="0.4"/>
    <row r="22" spans="1:36" hidden="1" x14ac:dyDescent="0.4"/>
    <row r="23" spans="1:36" hidden="1" x14ac:dyDescent="0.4"/>
    <row r="24" spans="1:36" s="77" customFormat="1" ht="18" hidden="1" customHeight="1" x14ac:dyDescent="0.4">
      <c r="A24" s="675" t="s">
        <v>1</v>
      </c>
      <c r="B24" s="677" t="s">
        <v>67</v>
      </c>
      <c r="C24" s="679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71" t="s">
        <v>68</v>
      </c>
      <c r="AJ24" s="682" t="s">
        <v>69</v>
      </c>
    </row>
    <row r="25" spans="1:36" s="77" customFormat="1" ht="18" hidden="1" thickBot="1" x14ac:dyDescent="0.45">
      <c r="A25" s="676"/>
      <c r="B25" s="678"/>
      <c r="C25" s="680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72"/>
      <c r="AJ25" s="683"/>
    </row>
    <row r="26" spans="1:36" ht="17.5" hidden="1" x14ac:dyDescent="0.35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5" hidden="1" x14ac:dyDescent="0.35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5" hidden="1" x14ac:dyDescent="0.35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 x14ac:dyDescent="0.45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 x14ac:dyDescent="0.4"/>
    <row r="31" spans="1:36" hidden="1" x14ac:dyDescent="0.4"/>
    <row r="32" spans="1:36" hidden="1" x14ac:dyDescent="0.4"/>
    <row r="33" spans="1:36" hidden="1" x14ac:dyDescent="0.4"/>
    <row r="34" spans="1:36" s="77" customFormat="1" ht="18" hidden="1" customHeight="1" x14ac:dyDescent="0.4">
      <c r="A34" s="675" t="s">
        <v>1</v>
      </c>
      <c r="B34" s="677" t="s">
        <v>67</v>
      </c>
      <c r="C34" s="679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 x14ac:dyDescent="0.45">
      <c r="A35" s="676"/>
      <c r="B35" s="678"/>
      <c r="C35" s="680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5" hidden="1" x14ac:dyDescent="0.35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5" hidden="1" x14ac:dyDescent="0.35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5" hidden="1" x14ac:dyDescent="0.35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 x14ac:dyDescent="0.45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 x14ac:dyDescent="0.4"/>
    <row r="41" spans="1:36" hidden="1" x14ac:dyDescent="0.4"/>
    <row r="42" spans="1:36" hidden="1" x14ac:dyDescent="0.4"/>
    <row r="43" spans="1:36" ht="13.75" hidden="1" customHeight="1" x14ac:dyDescent="0.4"/>
    <row r="44" spans="1:36" s="77" customFormat="1" ht="18" hidden="1" customHeight="1" x14ac:dyDescent="0.4">
      <c r="A44" s="675" t="s">
        <v>1</v>
      </c>
      <c r="B44" s="677" t="s">
        <v>67</v>
      </c>
      <c r="C44" s="679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9" hidden="1" customHeight="1" x14ac:dyDescent="0.4">
      <c r="A45" s="676"/>
      <c r="B45" s="678"/>
      <c r="C45" s="680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 x14ac:dyDescent="0.35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 x14ac:dyDescent="0.35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 x14ac:dyDescent="0.35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 x14ac:dyDescent="0.45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 x14ac:dyDescent="0.4"/>
    <row r="51" spans="1:36" ht="12.75" hidden="1" customHeight="1" x14ac:dyDescent="0.4"/>
    <row r="52" spans="1:36" hidden="1" x14ac:dyDescent="0.4"/>
    <row r="53" spans="1:36" hidden="1" x14ac:dyDescent="0.4"/>
    <row r="54" spans="1:36" s="77" customFormat="1" ht="18" hidden="1" customHeight="1" x14ac:dyDescent="0.4">
      <c r="A54" s="675" t="s">
        <v>1</v>
      </c>
      <c r="B54" s="677" t="s">
        <v>67</v>
      </c>
      <c r="C54" s="679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 x14ac:dyDescent="0.45">
      <c r="A55" s="676"/>
      <c r="B55" s="678"/>
      <c r="C55" s="680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5" hidden="1" x14ac:dyDescent="0.35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5" hidden="1" x14ac:dyDescent="0.35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5" hidden="1" x14ac:dyDescent="0.35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 x14ac:dyDescent="0.45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 x14ac:dyDescent="0.4"/>
    <row r="61" spans="1:36" hidden="1" x14ac:dyDescent="0.4"/>
    <row r="62" spans="1:36" hidden="1" x14ac:dyDescent="0.4"/>
    <row r="63" spans="1:36" hidden="1" x14ac:dyDescent="0.4"/>
    <row r="64" spans="1:36" hidden="1" x14ac:dyDescent="0.4">
      <c r="E64" s="94"/>
      <c r="H64" s="94"/>
    </row>
    <row r="65" spans="4:27" x14ac:dyDescent="0.4">
      <c r="E65" s="94"/>
      <c r="H65" s="94"/>
      <c r="W65" s="94"/>
      <c r="X65" s="94"/>
      <c r="AA65" s="94"/>
    </row>
    <row r="66" spans="4:27" x14ac:dyDescent="0.4">
      <c r="D66" s="94"/>
      <c r="E66" s="94"/>
      <c r="H66" s="94"/>
      <c r="K66" s="94"/>
      <c r="W66" s="94"/>
      <c r="X66" s="94"/>
      <c r="AA66" s="94"/>
    </row>
    <row r="67" spans="4:27" x14ac:dyDescent="0.4">
      <c r="D67" s="94"/>
      <c r="E67" s="94"/>
      <c r="H67" s="94"/>
      <c r="K67" s="94"/>
      <c r="W67" s="94"/>
      <c r="X67" s="94"/>
      <c r="AA67" s="94"/>
    </row>
    <row r="68" spans="4:27" x14ac:dyDescent="0.4">
      <c r="D68" s="94"/>
      <c r="E68" s="94"/>
      <c r="I68" s="94"/>
      <c r="K68" s="94"/>
      <c r="W68" s="94"/>
      <c r="AA68" s="94"/>
    </row>
    <row r="69" spans="4:27" x14ac:dyDescent="0.4">
      <c r="E69" s="94"/>
      <c r="I69" s="94"/>
      <c r="AA69" s="94"/>
    </row>
    <row r="70" spans="4:27" x14ac:dyDescent="0.4">
      <c r="E70" s="94"/>
      <c r="F70" s="94"/>
      <c r="AA70" s="94"/>
    </row>
    <row r="71" spans="4:27" x14ac:dyDescent="0.4">
      <c r="E71" s="94"/>
      <c r="F71" s="94"/>
      <c r="AA71" s="94"/>
    </row>
    <row r="72" spans="4:27" x14ac:dyDescent="0.4">
      <c r="E72" s="94"/>
      <c r="F72" s="94"/>
      <c r="AA72" s="94"/>
    </row>
    <row r="73" spans="4:27" x14ac:dyDescent="0.4">
      <c r="E73" s="94"/>
      <c r="AA73" s="94"/>
    </row>
    <row r="74" spans="4:27" x14ac:dyDescent="0.4">
      <c r="E74" s="94"/>
      <c r="AA74" s="94"/>
    </row>
    <row r="75" spans="4:27" x14ac:dyDescent="0.4">
      <c r="E75" s="94"/>
      <c r="AA75" s="94"/>
    </row>
    <row r="76" spans="4:27" x14ac:dyDescent="0.4">
      <c r="E76" s="94"/>
      <c r="AA76" s="94"/>
    </row>
    <row r="77" spans="4:27" x14ac:dyDescent="0.4">
      <c r="E77" s="94"/>
      <c r="AA77" s="94"/>
    </row>
    <row r="78" spans="4:27" x14ac:dyDescent="0.4">
      <c r="E78" s="94"/>
      <c r="I78" s="94"/>
      <c r="AA78" s="94"/>
    </row>
    <row r="79" spans="4:27" x14ac:dyDescent="0.4">
      <c r="E79" s="94"/>
      <c r="I79" s="94"/>
    </row>
    <row r="80" spans="4:27" x14ac:dyDescent="0.4">
      <c r="E80" s="94"/>
      <c r="I80" s="94"/>
      <c r="AA80" s="94"/>
    </row>
    <row r="81" spans="5:27" x14ac:dyDescent="0.4">
      <c r="E81" s="94"/>
      <c r="Z81" s="94"/>
      <c r="AA81" s="94"/>
    </row>
    <row r="82" spans="5:27" x14ac:dyDescent="0.4">
      <c r="E82" s="94"/>
      <c r="Z82" s="94"/>
      <c r="AA82" s="94"/>
    </row>
    <row r="83" spans="5:27" x14ac:dyDescent="0.4">
      <c r="Z83" s="94"/>
    </row>
    <row r="89" spans="5:27" x14ac:dyDescent="0.4">
      <c r="I89" s="95"/>
      <c r="J89" s="95"/>
      <c r="K89" s="95"/>
      <c r="L89" s="95"/>
    </row>
    <row r="90" spans="5:27" x14ac:dyDescent="0.4">
      <c r="I90" s="96"/>
      <c r="J90" s="95"/>
      <c r="K90" s="95"/>
      <c r="L90" s="95"/>
    </row>
    <row r="91" spans="5:27" x14ac:dyDescent="0.4">
      <c r="I91" s="96"/>
      <c r="J91" s="95"/>
      <c r="K91" s="95"/>
      <c r="L91" s="95"/>
    </row>
    <row r="92" spans="5:27" x14ac:dyDescent="0.4">
      <c r="I92" s="96"/>
      <c r="J92" s="95"/>
      <c r="K92" s="95"/>
      <c r="L92" s="95"/>
    </row>
    <row r="93" spans="5:27" x14ac:dyDescent="0.4">
      <c r="I93" s="96"/>
      <c r="J93" s="95"/>
      <c r="K93" s="95"/>
      <c r="L93" s="95"/>
    </row>
    <row r="94" spans="5:27" x14ac:dyDescent="0.4">
      <c r="I94" s="96"/>
      <c r="J94" s="95"/>
      <c r="K94" s="95"/>
      <c r="L94" s="95"/>
    </row>
    <row r="95" spans="5:27" x14ac:dyDescent="0.4">
      <c r="I95" s="96"/>
      <c r="J95" s="95"/>
      <c r="K95" s="95"/>
      <c r="L95" s="95"/>
    </row>
    <row r="96" spans="5:27" x14ac:dyDescent="0.4">
      <c r="I96" s="96"/>
      <c r="J96" s="95"/>
      <c r="K96" s="95"/>
      <c r="L96" s="95"/>
    </row>
    <row r="97" spans="9:12" x14ac:dyDescent="0.4">
      <c r="I97" s="96"/>
      <c r="J97" s="95"/>
      <c r="K97" s="95"/>
      <c r="L97" s="95"/>
    </row>
    <row r="98" spans="9:12" x14ac:dyDescent="0.4">
      <c r="I98" s="96"/>
      <c r="J98" s="95"/>
      <c r="K98" s="95"/>
      <c r="L98" s="95"/>
    </row>
    <row r="99" spans="9:12" x14ac:dyDescent="0.4">
      <c r="I99" s="96"/>
      <c r="J99" s="95"/>
      <c r="K99" s="95"/>
      <c r="L99" s="95"/>
    </row>
    <row r="100" spans="9:12" x14ac:dyDescent="0.4">
      <c r="I100" s="96"/>
      <c r="J100" s="95"/>
      <c r="K100" s="95"/>
      <c r="L100" s="95"/>
    </row>
    <row r="101" spans="9:12" x14ac:dyDescent="0.4">
      <c r="I101" s="96"/>
      <c r="J101" s="95"/>
      <c r="K101" s="95"/>
      <c r="L101" s="95"/>
    </row>
    <row r="102" spans="9:12" x14ac:dyDescent="0.4">
      <c r="I102" s="96"/>
      <c r="J102" s="95"/>
      <c r="K102" s="95"/>
      <c r="L102" s="95"/>
    </row>
    <row r="103" spans="9:12" x14ac:dyDescent="0.4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topRight" activeCell="C1" sqref="C1"/>
      <selection pane="bottomLeft" activeCell="A6" sqref="A6"/>
      <selection pane="bottomRight" activeCell="AB25" sqref="AB25"/>
    </sheetView>
  </sheetViews>
  <sheetFormatPr defaultRowHeight="17" x14ac:dyDescent="0.4"/>
  <cols>
    <col min="1" max="1" width="9.36328125" style="74" customWidth="1"/>
    <col min="2" max="2" width="9.6328125" style="74" bestFit="1" customWidth="1"/>
    <col min="3" max="3" width="17.453125" style="98" bestFit="1" customWidth="1"/>
    <col min="4" max="9" width="17.453125" style="98" customWidth="1"/>
    <col min="10" max="67" width="17.453125" customWidth="1"/>
    <col min="68" max="68" width="16.453125" customWidth="1"/>
  </cols>
  <sheetData>
    <row r="1" spans="1:35" ht="21.5" x14ac:dyDescent="0.45">
      <c r="A1" s="72" t="s">
        <v>235</v>
      </c>
      <c r="B1" s="97"/>
      <c r="I1"/>
      <c r="AG1" s="99"/>
      <c r="AH1" s="100"/>
    </row>
    <row r="3" spans="1:35" ht="17.5" thickBot="1" x14ac:dyDescent="0.45"/>
    <row r="4" spans="1:35" s="77" customFormat="1" ht="18" thickBot="1" x14ac:dyDescent="0.45">
      <c r="A4" s="686" t="s">
        <v>1</v>
      </c>
      <c r="B4" s="688" t="s">
        <v>67</v>
      </c>
      <c r="C4" s="527" t="str">
        <f>日期!C2</f>
        <v>2025/11/01</v>
      </c>
      <c r="D4" s="527" t="str">
        <f>日期!D2</f>
        <v>2025/11/02</v>
      </c>
      <c r="E4" s="527" t="str">
        <f>日期!E2</f>
        <v>2025/11/03</v>
      </c>
      <c r="F4" s="527" t="str">
        <f>日期!F2</f>
        <v>2025/11/04</v>
      </c>
      <c r="G4" s="527" t="str">
        <f>日期!G2</f>
        <v>2025/11/05</v>
      </c>
      <c r="H4" s="527" t="str">
        <f>日期!H2</f>
        <v>2025/11/06</v>
      </c>
      <c r="I4" s="527" t="str">
        <f>日期!I2</f>
        <v>2025/11/07</v>
      </c>
      <c r="J4" s="527" t="str">
        <f>日期!J2</f>
        <v>2025/11/08</v>
      </c>
      <c r="K4" s="527" t="str">
        <f>日期!K2</f>
        <v>2025/11/09</v>
      </c>
      <c r="L4" s="527" t="str">
        <f>日期!L2</f>
        <v>2025/11/10</v>
      </c>
      <c r="M4" s="527" t="str">
        <f>日期!M2</f>
        <v>2025/11/11</v>
      </c>
      <c r="N4" s="527" t="str">
        <f>日期!N2</f>
        <v>2025/11/12</v>
      </c>
      <c r="O4" s="527" t="str">
        <f>日期!O2</f>
        <v>2025/11/13</v>
      </c>
      <c r="P4" s="527" t="str">
        <f>日期!P2</f>
        <v>2025/11/14</v>
      </c>
      <c r="Q4" s="527" t="str">
        <f>日期!Q2</f>
        <v>2025/11/15</v>
      </c>
      <c r="R4" s="527" t="str">
        <f>日期!R2</f>
        <v>2025/11/16</v>
      </c>
      <c r="S4" s="527" t="str">
        <f>日期!S2</f>
        <v>2025/11/17</v>
      </c>
      <c r="T4" s="527" t="str">
        <f>日期!T2</f>
        <v>2025/11/18</v>
      </c>
      <c r="U4" s="527" t="str">
        <f>日期!U2</f>
        <v>2025/11/19</v>
      </c>
      <c r="V4" s="527" t="str">
        <f>日期!V2</f>
        <v>2025/11/20</v>
      </c>
      <c r="W4" s="527" t="str">
        <f>日期!W2</f>
        <v>2025/11/21</v>
      </c>
      <c r="X4" s="527" t="str">
        <f>日期!X2</f>
        <v>2025/11/22</v>
      </c>
      <c r="Y4" s="527" t="str">
        <f>日期!Y2</f>
        <v>2025/11/23</v>
      </c>
      <c r="Z4" s="527" t="str">
        <f>日期!Z2</f>
        <v>2025/11/24</v>
      </c>
      <c r="AA4" s="527" t="str">
        <f>日期!AA2</f>
        <v>2025/11/25</v>
      </c>
      <c r="AB4" s="527" t="str">
        <f>日期!AB2</f>
        <v>2025/11/26</v>
      </c>
      <c r="AC4" s="527" t="str">
        <f>日期!AC2</f>
        <v>2025/11/27</v>
      </c>
      <c r="AD4" s="527" t="str">
        <f>日期!AD2</f>
        <v>2025/11/28</v>
      </c>
      <c r="AE4" s="527" t="str">
        <f>日期!AE2</f>
        <v>2025/11/29</v>
      </c>
      <c r="AF4" s="527" t="str">
        <f>日期!AF2</f>
        <v>2025/11/30</v>
      </c>
      <c r="AG4" s="527">
        <f>日期!AG2</f>
        <v>0</v>
      </c>
      <c r="AH4" s="519" t="s">
        <v>68</v>
      </c>
      <c r="AI4" s="108" t="s">
        <v>69</v>
      </c>
    </row>
    <row r="5" spans="1:35" s="77" customFormat="1" ht="18" thickBot="1" x14ac:dyDescent="0.45">
      <c r="A5" s="687"/>
      <c r="B5" s="689"/>
      <c r="C5" s="521" t="str">
        <f>日期!C3</f>
        <v>Sat</v>
      </c>
      <c r="D5" s="521" t="str">
        <f>日期!D3</f>
        <v>Sun</v>
      </c>
      <c r="E5" s="521" t="str">
        <f>日期!E3</f>
        <v>Mon</v>
      </c>
      <c r="F5" s="521" t="str">
        <f>日期!F3</f>
        <v>Tue</v>
      </c>
      <c r="G5" s="521" t="str">
        <f>日期!G3</f>
        <v>Wed</v>
      </c>
      <c r="H5" s="521" t="str">
        <f>日期!H3</f>
        <v>Thu</v>
      </c>
      <c r="I5" s="521" t="str">
        <f>日期!I3</f>
        <v>Fri</v>
      </c>
      <c r="J5" s="521" t="str">
        <f>日期!J3</f>
        <v>Sat</v>
      </c>
      <c r="K5" s="521" t="str">
        <f>日期!K3</f>
        <v>Sun</v>
      </c>
      <c r="L5" s="521" t="str">
        <f>日期!L3</f>
        <v>Mon</v>
      </c>
      <c r="M5" s="521" t="str">
        <f>日期!M3</f>
        <v>Tue</v>
      </c>
      <c r="N5" s="521" t="str">
        <f>日期!N3</f>
        <v>Wed</v>
      </c>
      <c r="O5" s="521" t="str">
        <f>日期!O3</f>
        <v>Thu</v>
      </c>
      <c r="P5" s="521" t="str">
        <f>日期!P3</f>
        <v>Fri</v>
      </c>
      <c r="Q5" s="521" t="str">
        <f>日期!Q3</f>
        <v>Sat</v>
      </c>
      <c r="R5" s="521" t="str">
        <f>日期!R3</f>
        <v>Sun</v>
      </c>
      <c r="S5" s="521" t="str">
        <f>日期!S3</f>
        <v>Mon</v>
      </c>
      <c r="T5" s="521" t="str">
        <f>日期!T3</f>
        <v>Tue</v>
      </c>
      <c r="U5" s="521" t="str">
        <f>日期!U3</f>
        <v>Wed</v>
      </c>
      <c r="V5" s="521" t="str">
        <f>日期!V3</f>
        <v>Thu</v>
      </c>
      <c r="W5" s="521" t="str">
        <f>日期!W3</f>
        <v>Fri</v>
      </c>
      <c r="X5" s="521" t="str">
        <f>日期!X3</f>
        <v>Sat</v>
      </c>
      <c r="Y5" s="521" t="str">
        <f>日期!Y3</f>
        <v>Sun</v>
      </c>
      <c r="Z5" s="521" t="str">
        <f>日期!Z3</f>
        <v>Mon</v>
      </c>
      <c r="AA5" s="521" t="str">
        <f>日期!AA3</f>
        <v>Tue</v>
      </c>
      <c r="AB5" s="521" t="str">
        <f>日期!AB3</f>
        <v>Wed</v>
      </c>
      <c r="AC5" s="521" t="str">
        <f>日期!AC3</f>
        <v>Thu</v>
      </c>
      <c r="AD5" s="521" t="str">
        <f>日期!AD3</f>
        <v>Fri</v>
      </c>
      <c r="AE5" s="521" t="str">
        <f>日期!AE3</f>
        <v>Sat</v>
      </c>
      <c r="AF5" s="521" t="str">
        <f>日期!AF3</f>
        <v>Sun</v>
      </c>
      <c r="AG5" s="521">
        <f>日期!AG3</f>
        <v>0</v>
      </c>
      <c r="AH5" s="520"/>
      <c r="AI5" s="109"/>
    </row>
    <row r="6" spans="1:35" ht="17.5" x14ac:dyDescent="0.4">
      <c r="A6" s="101" t="s">
        <v>72</v>
      </c>
      <c r="B6" s="102" t="s">
        <v>236</v>
      </c>
      <c r="C6" s="103">
        <f>VALUE(期貨金額!D2)</f>
        <v>8072641</v>
      </c>
      <c r="D6" s="103">
        <f>VALUE(期貨金額!E2)</f>
        <v>8072641</v>
      </c>
      <c r="E6" s="103">
        <f>VALUE(期貨金額!F2)</f>
        <v>8207022</v>
      </c>
      <c r="F6" s="103">
        <f>VALUE(期貨金額!G2)</f>
        <v>8290194</v>
      </c>
      <c r="G6" s="103">
        <f>VALUE(期貨金額!H2)</f>
        <v>8604437</v>
      </c>
      <c r="H6" s="103">
        <f>VALUE(期貨金額!I2)</f>
        <v>8381943</v>
      </c>
      <c r="I6" s="103">
        <f>VALUE(期貨金額!J2)</f>
        <v>8589935</v>
      </c>
      <c r="J6" s="103">
        <f>VALUE(期貨金額!K2)</f>
        <v>8589999</v>
      </c>
      <c r="K6" s="103">
        <f>VALUE(期貨金額!L2)</f>
        <v>8589999</v>
      </c>
      <c r="L6" s="103">
        <f>VALUE(期貨金額!M2)</f>
        <v>8189407</v>
      </c>
      <c r="M6" s="103">
        <f>VALUE(期貨金額!N2)</f>
        <v>8189407</v>
      </c>
      <c r="N6" s="103">
        <f>VALUE(期貨金額!O2)</f>
        <v>8831459</v>
      </c>
      <c r="O6" s="103">
        <f>VALUE(期貨金額!P2)</f>
        <v>9229262</v>
      </c>
      <c r="P6" s="103">
        <f>VALUE(期貨金額!Q2)</f>
        <v>10418201</v>
      </c>
      <c r="Q6" s="103">
        <f>VALUE(期貨金額!R2)</f>
        <v>10544477</v>
      </c>
      <c r="R6" s="103">
        <f>VALUE(期貨金額!S2)</f>
        <v>10544477</v>
      </c>
      <c r="S6" s="103">
        <f>VALUE(期貨金額!T2)</f>
        <v>11340120</v>
      </c>
      <c r="T6" s="103">
        <f>VALUE(期貨金額!U2)</f>
        <v>11550014</v>
      </c>
      <c r="U6" s="103">
        <f>VALUE(期貨金額!V2)</f>
        <v>11599805</v>
      </c>
      <c r="V6" s="103">
        <f>VALUE(期貨金額!W2)</f>
        <v>11694564</v>
      </c>
      <c r="W6" s="103">
        <f>VALUE(期貨金額!X2)</f>
        <v>12568076</v>
      </c>
      <c r="X6" s="103">
        <f>VALUE(期貨金額!Y2)</f>
        <v>12572975</v>
      </c>
      <c r="Y6" s="103">
        <f>VALUE(期貨金額!Z2)</f>
        <v>12572975</v>
      </c>
      <c r="Z6" s="103">
        <f>VALUE(期貨金額!AA2)</f>
        <v>13049943</v>
      </c>
      <c r="AA6" s="103">
        <f>VALUE(期貨金額!AB2)</f>
        <v>12812903</v>
      </c>
      <c r="AB6" s="103">
        <f>VALUE(期貨金額!AC2)</f>
        <v>12396342</v>
      </c>
      <c r="AC6" s="103">
        <f>VALUE(期貨金額!AD2)</f>
        <v>12554872</v>
      </c>
      <c r="AD6" s="103">
        <f>VALUE(期貨金額!AE2)</f>
        <v>11487687</v>
      </c>
      <c r="AE6" s="103">
        <f>VALUE(期貨金額!AF2)</f>
        <v>11499027</v>
      </c>
      <c r="AF6" s="103">
        <f>VALUE(期貨金額!AG2)</f>
        <v>11499027</v>
      </c>
      <c r="AG6" s="103">
        <f>VALUE(期貨金額!AH2)</f>
        <v>0</v>
      </c>
      <c r="AH6" s="103">
        <f>VALUE(期貨金額!AI2)</f>
        <v>10351461.029999999</v>
      </c>
      <c r="AI6" s="503">
        <f>AH6/$AH$19</f>
        <v>0.69433045566736085</v>
      </c>
    </row>
    <row r="7" spans="1:35" ht="17.5" x14ac:dyDescent="0.4">
      <c r="A7" s="105" t="s">
        <v>72</v>
      </c>
      <c r="B7" s="106" t="s">
        <v>237</v>
      </c>
      <c r="C7" s="103">
        <f>VALUE(期貨金額!D3)</f>
        <v>5443177</v>
      </c>
      <c r="D7" s="103">
        <f>VALUE(期貨金額!E3)</f>
        <v>5443177</v>
      </c>
      <c r="E7" s="103">
        <f>VALUE(期貨金額!F3)</f>
        <v>5417089</v>
      </c>
      <c r="F7" s="103">
        <f>VALUE(期貨金額!G3)</f>
        <v>4428538</v>
      </c>
      <c r="G7" s="103">
        <f>VALUE(期貨金額!H3)</f>
        <v>4475514</v>
      </c>
      <c r="H7" s="103">
        <f>VALUE(期貨金額!I3)</f>
        <v>4454704</v>
      </c>
      <c r="I7" s="103">
        <f>VALUE(期貨金額!J3)</f>
        <v>4392977</v>
      </c>
      <c r="J7" s="103">
        <f>VALUE(期貨金額!K3)</f>
        <v>4378975</v>
      </c>
      <c r="K7" s="103">
        <f>VALUE(期貨金額!L3)</f>
        <v>4378975</v>
      </c>
      <c r="L7" s="103">
        <f>VALUE(期貨金額!M3)</f>
        <v>4574763</v>
      </c>
      <c r="M7" s="103">
        <f>VALUE(期貨金額!N3)</f>
        <v>4574763</v>
      </c>
      <c r="N7" s="103">
        <f>VALUE(期貨金額!O3)</f>
        <v>4384762</v>
      </c>
      <c r="O7" s="103">
        <f>VALUE(期貨金額!P3)</f>
        <v>4430185</v>
      </c>
      <c r="P7" s="103">
        <f>VALUE(期貨金額!Q3)</f>
        <v>4274723</v>
      </c>
      <c r="Q7" s="103">
        <f>VALUE(期貨金額!R3)</f>
        <v>4285333</v>
      </c>
      <c r="R7" s="103">
        <f>VALUE(期貨金額!S3)</f>
        <v>4285333</v>
      </c>
      <c r="S7" s="103">
        <f>VALUE(期貨金額!T3)</f>
        <v>4311042</v>
      </c>
      <c r="T7" s="103">
        <f>VALUE(期貨金額!U3)</f>
        <v>4461534</v>
      </c>
      <c r="U7" s="103">
        <f>VALUE(期貨金額!V3)</f>
        <v>4279340</v>
      </c>
      <c r="V7" s="103">
        <f>VALUE(期貨金額!W3)</f>
        <v>4255984</v>
      </c>
      <c r="W7" s="103">
        <f>VALUE(期貨金額!X3)</f>
        <v>4279618</v>
      </c>
      <c r="X7" s="103">
        <f>VALUE(期貨金額!Y3)</f>
        <v>4270009</v>
      </c>
      <c r="Y7" s="103">
        <f>VALUE(期貨金額!Z3)</f>
        <v>4270009</v>
      </c>
      <c r="Z7" s="103">
        <f>VALUE(期貨金額!AA3)</f>
        <v>4201370</v>
      </c>
      <c r="AA7" s="103">
        <f>VALUE(期貨金額!AB3)</f>
        <v>4045276</v>
      </c>
      <c r="AB7" s="103">
        <f>VALUE(期貨金額!AC3)</f>
        <v>4077283</v>
      </c>
      <c r="AC7" s="103">
        <f>VALUE(期貨金額!AD3)</f>
        <v>4221192</v>
      </c>
      <c r="AD7" s="103">
        <f>VALUE(期貨金額!AE3)</f>
        <v>4122220</v>
      </c>
      <c r="AE7" s="103">
        <f>VALUE(期貨金額!AF3)</f>
        <v>4135547</v>
      </c>
      <c r="AF7" s="103">
        <f>VALUE(期貨金額!AG3)</f>
        <v>4135547</v>
      </c>
      <c r="AG7" s="103">
        <f>VALUE(期貨金額!AH3)</f>
        <v>0</v>
      </c>
      <c r="AH7" s="103">
        <f>VALUE(期貨金額!AI3)</f>
        <v>4422965.3</v>
      </c>
      <c r="AI7" s="503">
        <f t="shared" ref="AI7:AI17" si="0">AH7/$AH$19</f>
        <v>0.29667304965451097</v>
      </c>
    </row>
    <row r="8" spans="1:35" ht="17.5" x14ac:dyDescent="0.4">
      <c r="A8" s="105" t="s">
        <v>72</v>
      </c>
      <c r="B8" s="106">
        <v>4</v>
      </c>
      <c r="C8" s="103">
        <f>VALUE(期貨金額!D4)</f>
        <v>192053</v>
      </c>
      <c r="D8" s="103">
        <f>VALUE(期貨金額!E4)</f>
        <v>192053</v>
      </c>
      <c r="E8" s="103">
        <f>VALUE(期貨金額!F4)</f>
        <v>3223</v>
      </c>
      <c r="F8" s="103">
        <f>VALUE(期貨金額!G4)</f>
        <v>3223</v>
      </c>
      <c r="G8" s="103">
        <f>VALUE(期貨金額!H4)</f>
        <v>15345</v>
      </c>
      <c r="H8" s="103">
        <f>VALUE(期貨金額!I4)</f>
        <v>11240</v>
      </c>
      <c r="I8" s="103">
        <f>VALUE(期貨金額!J4)</f>
        <v>77868</v>
      </c>
      <c r="J8" s="103">
        <f>VALUE(期貨金額!K4)</f>
        <v>77868</v>
      </c>
      <c r="K8" s="103">
        <f>VALUE(期貨金額!L4)</f>
        <v>77868</v>
      </c>
      <c r="L8" s="103">
        <f>VALUE(期貨金額!M4)</f>
        <v>73860</v>
      </c>
      <c r="M8" s="103">
        <f>VALUE(期貨金額!N4)</f>
        <v>73860</v>
      </c>
      <c r="N8" s="103">
        <f>VALUE(期貨金額!O4)</f>
        <v>69968</v>
      </c>
      <c r="O8" s="103">
        <f>VALUE(期貨金額!P4)</f>
        <v>227025</v>
      </c>
      <c r="P8" s="103">
        <f>VALUE(期貨金額!Q4)</f>
        <v>224378</v>
      </c>
      <c r="Q8" s="103">
        <f>VALUE(期貨金額!R4)</f>
        <v>224386</v>
      </c>
      <c r="R8" s="103">
        <f>VALUE(期貨金額!S4)</f>
        <v>224386</v>
      </c>
      <c r="S8" s="103">
        <f>VALUE(期貨金額!T4)</f>
        <v>6007</v>
      </c>
      <c r="T8" s="103">
        <f>VALUE(期貨金額!U4)</f>
        <v>62712</v>
      </c>
      <c r="U8" s="103">
        <f>VALUE(期貨金額!V4)</f>
        <v>68835</v>
      </c>
      <c r="V8" s="103">
        <f>VALUE(期貨金額!W4)</f>
        <v>73573</v>
      </c>
      <c r="W8" s="103">
        <f>VALUE(期貨金額!X4)</f>
        <v>73573</v>
      </c>
      <c r="X8" s="103">
        <f>VALUE(期貨金額!Y4)</f>
        <v>73597</v>
      </c>
      <c r="Y8" s="103">
        <f>VALUE(期貨金額!Z4)</f>
        <v>73597</v>
      </c>
      <c r="Z8" s="103">
        <f>VALUE(期貨金額!AA4)</f>
        <v>141218</v>
      </c>
      <c r="AA8" s="103">
        <f>VALUE(期貨金額!AB4)</f>
        <v>309909</v>
      </c>
      <c r="AB8" s="103">
        <f>VALUE(期貨金額!AC4)</f>
        <v>311296</v>
      </c>
      <c r="AC8" s="103">
        <f>VALUE(期貨金額!AD4)</f>
        <v>311847</v>
      </c>
      <c r="AD8" s="103">
        <f>VALUE(期貨金額!AE4)</f>
        <v>310517</v>
      </c>
      <c r="AE8" s="103">
        <f>VALUE(期貨金額!AF4)</f>
        <v>310517</v>
      </c>
      <c r="AF8" s="103">
        <f>VALUE(期貨金額!AG4)</f>
        <v>11796</v>
      </c>
      <c r="AG8" s="103">
        <f>VALUE(期貨金額!AH4)</f>
        <v>0</v>
      </c>
      <c r="AH8" s="103">
        <f>VALUE(期貨金額!AI4)</f>
        <v>130253.27</v>
      </c>
      <c r="AI8" s="503">
        <f t="shared" si="0"/>
        <v>8.7368161894402444E-3</v>
      </c>
    </row>
    <row r="9" spans="1:35" ht="17.5" x14ac:dyDescent="0.4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3">
        <f t="shared" si="0"/>
        <v>0</v>
      </c>
    </row>
    <row r="10" spans="1:35" ht="17.5" x14ac:dyDescent="0.4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3">
        <f t="shared" si="0"/>
        <v>0</v>
      </c>
    </row>
    <row r="11" spans="1:35" ht="17.5" x14ac:dyDescent="0.4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3">
        <f t="shared" si="0"/>
        <v>0</v>
      </c>
    </row>
    <row r="12" spans="1:35" ht="17.5" x14ac:dyDescent="0.4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3">
        <f t="shared" si="0"/>
        <v>0</v>
      </c>
    </row>
    <row r="13" spans="1:35" ht="17.5" x14ac:dyDescent="0.4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3">
        <f t="shared" si="0"/>
        <v>0</v>
      </c>
    </row>
    <row r="14" spans="1:35" ht="17.5" x14ac:dyDescent="0.4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503">
        <f t="shared" si="0"/>
        <v>0</v>
      </c>
    </row>
    <row r="15" spans="1:35" ht="17.5" x14ac:dyDescent="0.4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3">
        <f t="shared" si="0"/>
        <v>0</v>
      </c>
    </row>
    <row r="16" spans="1:35" ht="17.5" x14ac:dyDescent="0.4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3">
        <f t="shared" si="0"/>
        <v>0</v>
      </c>
    </row>
    <row r="17" spans="1:35" ht="17.5" x14ac:dyDescent="0.4">
      <c r="A17" s="105" t="s">
        <v>243</v>
      </c>
      <c r="B17" s="105">
        <v>3</v>
      </c>
      <c r="C17" s="103">
        <f>VALUE(期貨金額!D15)</f>
        <v>5847</v>
      </c>
      <c r="D17" s="103">
        <f>VALUE(期貨金額!E15)</f>
        <v>5847</v>
      </c>
      <c r="E17" s="103">
        <f>VALUE(期貨金額!F15)</f>
        <v>5847</v>
      </c>
      <c r="F17" s="103">
        <f>VALUE(期貨金額!G15)</f>
        <v>5845</v>
      </c>
      <c r="G17" s="103">
        <f>VALUE(期貨金額!H15)</f>
        <v>5848</v>
      </c>
      <c r="H17" s="103">
        <f>VALUE(期貨金額!I15)</f>
        <v>5848</v>
      </c>
      <c r="I17" s="103">
        <f>VALUE(期貨金額!J15)</f>
        <v>5848</v>
      </c>
      <c r="J17" s="103">
        <f>VALUE(期貨金額!K15)</f>
        <v>5848</v>
      </c>
      <c r="K17" s="103">
        <f>VALUE(期貨金額!L15)</f>
        <v>5848</v>
      </c>
      <c r="L17" s="103">
        <f>VALUE(期貨金額!M15)</f>
        <v>5848</v>
      </c>
      <c r="M17" s="103">
        <f>VALUE(期貨金額!N15)</f>
        <v>5848</v>
      </c>
      <c r="N17" s="103">
        <f>VALUE(期貨金額!O15)</f>
        <v>5848</v>
      </c>
      <c r="O17" s="103">
        <f>VALUE(期貨金額!P15)</f>
        <v>5849</v>
      </c>
      <c r="P17" s="103">
        <f>VALUE(期貨金額!Q15)</f>
        <v>5849</v>
      </c>
      <c r="Q17" s="103">
        <f>VALUE(期貨金額!R15)</f>
        <v>5849</v>
      </c>
      <c r="R17" s="103">
        <f>VALUE(期貨金額!S15)</f>
        <v>5849</v>
      </c>
      <c r="S17" s="103">
        <f>VALUE(期貨金額!T15)</f>
        <v>5849</v>
      </c>
      <c r="T17" s="103">
        <f>VALUE(期貨金額!U15)</f>
        <v>5849</v>
      </c>
      <c r="U17" s="103">
        <f>VALUE(期貨金額!V15)</f>
        <v>5439</v>
      </c>
      <c r="V17" s="103">
        <f>VALUE(期貨金額!W15)</f>
        <v>5440</v>
      </c>
      <c r="W17" s="103">
        <f>VALUE(期貨金額!X15)</f>
        <v>0</v>
      </c>
      <c r="X17" s="103">
        <f>VALUE(期貨金額!Y15)</f>
        <v>0</v>
      </c>
      <c r="Y17" s="103">
        <f>VALUE(期貨金額!Z15)</f>
        <v>0</v>
      </c>
      <c r="Z17" s="103">
        <f>VALUE(期貨金額!AA15)</f>
        <v>0</v>
      </c>
      <c r="AA17" s="103">
        <f>VALUE(期貨金額!AB15)</f>
        <v>0</v>
      </c>
      <c r="AB17" s="103">
        <f>VALUE(期貨金額!AC15)</f>
        <v>0</v>
      </c>
      <c r="AC17" s="103">
        <f>VALUE(期貨金額!AD15)</f>
        <v>0</v>
      </c>
      <c r="AD17" s="103">
        <f>VALUE(期貨金額!AE15)</f>
        <v>0</v>
      </c>
      <c r="AE17" s="103">
        <f>VALUE(期貨金額!AF15)</f>
        <v>0</v>
      </c>
      <c r="AF17" s="103">
        <f>VALUE(期貨金額!AG15)</f>
        <v>0</v>
      </c>
      <c r="AG17" s="103">
        <f>VALUE(期貨金額!AH15)</f>
        <v>0</v>
      </c>
      <c r="AH17" s="103">
        <f>VALUE(期貨金額!AI15)</f>
        <v>3871.43</v>
      </c>
      <c r="AI17" s="503">
        <f t="shared" si="0"/>
        <v>2.5967848868811233E-4</v>
      </c>
    </row>
    <row r="18" spans="1:35" ht="17.5" x14ac:dyDescent="0.4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3">
        <f>AH18/$AH$19</f>
        <v>0</v>
      </c>
    </row>
    <row r="19" spans="1:35" ht="19.5" x14ac:dyDescent="0.45">
      <c r="A19" s="684" t="s">
        <v>42</v>
      </c>
      <c r="B19" s="685"/>
      <c r="C19" s="107">
        <f t="shared" ref="C19:AH19" si="1">SUM(C6:C18)</f>
        <v>13713718</v>
      </c>
      <c r="D19" s="107">
        <f t="shared" si="1"/>
        <v>13713718</v>
      </c>
      <c r="E19" s="107">
        <f t="shared" si="1"/>
        <v>13633181</v>
      </c>
      <c r="F19" s="107">
        <f t="shared" si="1"/>
        <v>12727800</v>
      </c>
      <c r="G19" s="107">
        <f t="shared" si="1"/>
        <v>13101144</v>
      </c>
      <c r="H19" s="107">
        <f t="shared" si="1"/>
        <v>12853735</v>
      </c>
      <c r="I19" s="107">
        <f t="shared" si="1"/>
        <v>13066628</v>
      </c>
      <c r="J19" s="107">
        <f t="shared" si="1"/>
        <v>13052690</v>
      </c>
      <c r="K19" s="107">
        <f t="shared" si="1"/>
        <v>13052690</v>
      </c>
      <c r="L19" s="107">
        <f t="shared" si="1"/>
        <v>12843878</v>
      </c>
      <c r="M19" s="107">
        <f t="shared" si="1"/>
        <v>12843878</v>
      </c>
      <c r="N19" s="107">
        <f t="shared" si="1"/>
        <v>13292037</v>
      </c>
      <c r="O19" s="107">
        <f t="shared" si="1"/>
        <v>13892321</v>
      </c>
      <c r="P19" s="107">
        <f t="shared" si="1"/>
        <v>14923151</v>
      </c>
      <c r="Q19" s="107">
        <f t="shared" si="1"/>
        <v>15060045</v>
      </c>
      <c r="R19" s="107">
        <f t="shared" si="1"/>
        <v>15060045</v>
      </c>
      <c r="S19" s="107">
        <f t="shared" si="1"/>
        <v>15663018</v>
      </c>
      <c r="T19" s="107">
        <f t="shared" si="1"/>
        <v>16080109</v>
      </c>
      <c r="U19" s="107">
        <f t="shared" si="1"/>
        <v>15953419</v>
      </c>
      <c r="V19" s="107">
        <f t="shared" si="1"/>
        <v>16029561</v>
      </c>
      <c r="W19" s="107">
        <f t="shared" si="1"/>
        <v>16921267</v>
      </c>
      <c r="X19" s="107">
        <f>SUM(X6:X18)</f>
        <v>16916581</v>
      </c>
      <c r="Y19" s="107">
        <f t="shared" si="1"/>
        <v>16916581</v>
      </c>
      <c r="Z19" s="107">
        <f t="shared" si="1"/>
        <v>17392531</v>
      </c>
      <c r="AA19" s="107">
        <f t="shared" si="1"/>
        <v>17168088</v>
      </c>
      <c r="AB19" s="107">
        <f t="shared" si="1"/>
        <v>16784921</v>
      </c>
      <c r="AC19" s="107">
        <f t="shared" si="1"/>
        <v>17087911</v>
      </c>
      <c r="AD19" s="107">
        <f t="shared" si="1"/>
        <v>15920424</v>
      </c>
      <c r="AE19" s="107">
        <f t="shared" si="1"/>
        <v>15945091</v>
      </c>
      <c r="AF19" s="107">
        <f t="shared" si="1"/>
        <v>15646370</v>
      </c>
      <c r="AG19" s="107">
        <f t="shared" si="1"/>
        <v>0</v>
      </c>
      <c r="AH19" s="107">
        <f t="shared" si="1"/>
        <v>14908551.029999997</v>
      </c>
      <c r="AI19" s="104">
        <f>AH19/AH$19</f>
        <v>1</v>
      </c>
    </row>
    <row r="20" spans="1:35" ht="17.5" x14ac:dyDescent="0.4">
      <c r="A20" s="105" t="s">
        <v>245</v>
      </c>
      <c r="B20" s="106">
        <v>1</v>
      </c>
      <c r="C20" s="103">
        <f>VALUE(期貨金額!D7)</f>
        <v>2558412</v>
      </c>
      <c r="D20" s="103">
        <f>VALUE(期貨金額!E7)</f>
        <v>2558412</v>
      </c>
      <c r="E20" s="103">
        <f>VALUE(期貨金額!F7)</f>
        <v>2558523</v>
      </c>
      <c r="F20" s="103">
        <f>VALUE(期貨金額!G7)</f>
        <v>2566804</v>
      </c>
      <c r="G20" s="103">
        <f>VALUE(期貨金額!H7)</f>
        <v>2566492</v>
      </c>
      <c r="H20" s="103">
        <f>VALUE(期貨金額!I7)</f>
        <v>2568264</v>
      </c>
      <c r="I20" s="103">
        <f>VALUE(期貨金額!J7)</f>
        <v>2576480</v>
      </c>
      <c r="J20" s="103">
        <f>VALUE(期貨金額!K7)</f>
        <v>2576480</v>
      </c>
      <c r="K20" s="103">
        <f>VALUE(期貨金額!L7)</f>
        <v>2576480</v>
      </c>
      <c r="L20" s="103">
        <f>VALUE(期貨金額!M7)</f>
        <v>2578894</v>
      </c>
      <c r="M20" s="103">
        <f>VALUE(期貨金額!N7)</f>
        <v>2578894</v>
      </c>
      <c r="N20" s="103">
        <f>VALUE(期貨金額!O7)</f>
        <v>2692540</v>
      </c>
      <c r="O20" s="103">
        <f>VALUE(期貨金額!P7)</f>
        <v>2692841</v>
      </c>
      <c r="P20" s="103">
        <f>VALUE(期貨金額!Q7)</f>
        <v>2522955</v>
      </c>
      <c r="Q20" s="103">
        <f>VALUE(期貨金額!R7)</f>
        <v>2524313</v>
      </c>
      <c r="R20" s="103">
        <f>VALUE(期貨金額!S7)</f>
        <v>2524313</v>
      </c>
      <c r="S20" s="103">
        <f>VALUE(期貨金額!T7)</f>
        <v>2525152</v>
      </c>
      <c r="T20" s="103">
        <f>VALUE(期貨金額!U7)</f>
        <v>2675685</v>
      </c>
      <c r="U20" s="103">
        <f>VALUE(期貨金額!V7)</f>
        <v>2707125</v>
      </c>
      <c r="V20" s="103">
        <f>VALUE(期貨金額!W7)</f>
        <v>2709756</v>
      </c>
      <c r="W20" s="103">
        <f>VALUE(期貨金額!X7)</f>
        <v>2704344</v>
      </c>
      <c r="X20" s="103">
        <f>VALUE(期貨金額!Y7)</f>
        <v>2704491</v>
      </c>
      <c r="Y20" s="103">
        <f>VALUE(期貨金額!Z7)</f>
        <v>2704491</v>
      </c>
      <c r="Z20" s="103">
        <f>VALUE(期貨金額!AA7)</f>
        <v>2437051</v>
      </c>
      <c r="AA20" s="103">
        <f>VALUE(期貨金額!AB7)</f>
        <v>2432606</v>
      </c>
      <c r="AB20" s="103">
        <f>VALUE(期貨金額!AC7)</f>
        <v>2413186</v>
      </c>
      <c r="AC20" s="103">
        <f>VALUE(期貨金額!AD7)</f>
        <v>2416662</v>
      </c>
      <c r="AD20" s="103">
        <f>VALUE(期貨金額!AE7)</f>
        <v>2400459</v>
      </c>
      <c r="AE20" s="103">
        <f>VALUE(期貨金額!AF7)</f>
        <v>2400708</v>
      </c>
      <c r="AF20" s="103">
        <f>VALUE(期貨金額!AG7)</f>
        <v>2400708</v>
      </c>
      <c r="AG20" s="103">
        <f>VALUE(期貨金額!AH7)</f>
        <v>0</v>
      </c>
      <c r="AH20" s="103">
        <f>VALUE(期貨金額!AI7)</f>
        <v>2561784.0299999998</v>
      </c>
      <c r="AI20" s="503">
        <f>AH20/$AH$26</f>
        <v>1</v>
      </c>
    </row>
    <row r="21" spans="1:35" ht="17.5" x14ac:dyDescent="0.4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3">
        <f t="shared" ref="AI21:AI25" si="2">AH21/$AH$26</f>
        <v>0</v>
      </c>
    </row>
    <row r="22" spans="1:35" ht="17.5" x14ac:dyDescent="0.4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503">
        <f t="shared" si="2"/>
        <v>0</v>
      </c>
    </row>
    <row r="23" spans="1:35" ht="17.5" x14ac:dyDescent="0.4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3">
        <f t="shared" si="2"/>
        <v>0</v>
      </c>
    </row>
    <row r="24" spans="1:35" ht="17.5" x14ac:dyDescent="0.4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3">
        <f t="shared" si="2"/>
        <v>0</v>
      </c>
    </row>
    <row r="25" spans="1:35" ht="17.5" x14ac:dyDescent="0.4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3">
        <f t="shared" si="2"/>
        <v>0</v>
      </c>
    </row>
    <row r="26" spans="1:35" ht="19.5" x14ac:dyDescent="0.45">
      <c r="A26" s="684" t="s">
        <v>42</v>
      </c>
      <c r="B26" s="685"/>
      <c r="C26" s="107">
        <f>SUM(C20:C25)</f>
        <v>2558412</v>
      </c>
      <c r="D26" s="107">
        <f>SUM(D20:D25)</f>
        <v>2558412</v>
      </c>
      <c r="E26" s="107">
        <f>SUM(E20:E25)</f>
        <v>2558523</v>
      </c>
      <c r="F26" s="107">
        <f t="shared" ref="F26:AH26" si="3">SUM(F20:F25)</f>
        <v>2566804</v>
      </c>
      <c r="G26" s="107">
        <f t="shared" si="3"/>
        <v>2566492</v>
      </c>
      <c r="H26" s="107">
        <f t="shared" si="3"/>
        <v>2568264</v>
      </c>
      <c r="I26" s="107">
        <f t="shared" si="3"/>
        <v>2576480</v>
      </c>
      <c r="J26" s="107">
        <f t="shared" si="3"/>
        <v>2576480</v>
      </c>
      <c r="K26" s="107">
        <f t="shared" si="3"/>
        <v>2576480</v>
      </c>
      <c r="L26" s="107">
        <f t="shared" si="3"/>
        <v>2578894</v>
      </c>
      <c r="M26" s="107">
        <f t="shared" si="3"/>
        <v>2578894</v>
      </c>
      <c r="N26" s="107">
        <f t="shared" si="3"/>
        <v>2692540</v>
      </c>
      <c r="O26" s="107">
        <f t="shared" si="3"/>
        <v>2692841</v>
      </c>
      <c r="P26" s="107">
        <f t="shared" si="3"/>
        <v>2522955</v>
      </c>
      <c r="Q26" s="107">
        <f t="shared" si="3"/>
        <v>2524313</v>
      </c>
      <c r="R26" s="107">
        <f t="shared" si="3"/>
        <v>2524313</v>
      </c>
      <c r="S26" s="107">
        <f t="shared" si="3"/>
        <v>2525152</v>
      </c>
      <c r="T26" s="107">
        <f t="shared" si="3"/>
        <v>2675685</v>
      </c>
      <c r="U26" s="107">
        <f t="shared" si="3"/>
        <v>2707125</v>
      </c>
      <c r="V26" s="107">
        <f t="shared" si="3"/>
        <v>2709756</v>
      </c>
      <c r="W26" s="107">
        <f t="shared" si="3"/>
        <v>2704344</v>
      </c>
      <c r="X26" s="107">
        <f t="shared" si="3"/>
        <v>2704491</v>
      </c>
      <c r="Y26" s="107">
        <f t="shared" si="3"/>
        <v>2704491</v>
      </c>
      <c r="Z26" s="107">
        <f t="shared" si="3"/>
        <v>2437051</v>
      </c>
      <c r="AA26" s="107">
        <f t="shared" si="3"/>
        <v>2432606</v>
      </c>
      <c r="AB26" s="107">
        <f t="shared" si="3"/>
        <v>2413186</v>
      </c>
      <c r="AC26" s="107">
        <f t="shared" si="3"/>
        <v>2416662</v>
      </c>
      <c r="AD26" s="107">
        <f t="shared" si="3"/>
        <v>2400459</v>
      </c>
      <c r="AE26" s="107">
        <f t="shared" si="3"/>
        <v>2400708</v>
      </c>
      <c r="AF26" s="107">
        <f t="shared" si="3"/>
        <v>2400708</v>
      </c>
      <c r="AG26" s="107">
        <f t="shared" si="3"/>
        <v>0</v>
      </c>
      <c r="AH26" s="107">
        <f t="shared" si="3"/>
        <v>2561784.0299999998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tabSelected="1" topLeftCell="A56" zoomScale="90" workbookViewId="0">
      <selection activeCell="D104" sqref="D104:M104"/>
    </sheetView>
  </sheetViews>
  <sheetFormatPr defaultColWidth="9" defaultRowHeight="12.5" x14ac:dyDescent="0.4"/>
  <cols>
    <col min="1" max="1" width="3.36328125" style="114" customWidth="1"/>
    <col min="2" max="2" width="4.453125" style="114" customWidth="1"/>
    <col min="3" max="3" width="12.7265625" style="114" customWidth="1"/>
    <col min="4" max="4" width="10.36328125" style="114" customWidth="1"/>
    <col min="5" max="5" width="10" style="114" customWidth="1"/>
    <col min="6" max="6" width="11.08984375" style="114" bestFit="1" customWidth="1"/>
    <col min="7" max="8" width="11.453125" style="114" bestFit="1" customWidth="1"/>
    <col min="9" max="15" width="10.36328125" style="114" customWidth="1"/>
    <col min="16" max="16" width="10.36328125" style="114" bestFit="1" customWidth="1"/>
    <col min="17" max="17" width="11.6328125" style="114" bestFit="1" customWidth="1"/>
    <col min="18" max="16384" width="9" style="114"/>
  </cols>
  <sheetData>
    <row r="1" spans="1:17" ht="14" thickBot="1" x14ac:dyDescent="0.45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 x14ac:dyDescent="0.3">
      <c r="A2" s="728" t="s">
        <v>1</v>
      </c>
      <c r="B2" s="729"/>
      <c r="C2" s="729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5" t="s">
        <v>265</v>
      </c>
    </row>
    <row r="3" spans="1:17" s="122" customFormat="1" ht="13.5" x14ac:dyDescent="0.4">
      <c r="A3" s="754" t="s">
        <v>9</v>
      </c>
      <c r="B3" s="755"/>
      <c r="C3" s="756"/>
      <c r="D3" s="119">
        <f>D4+D11+D16</f>
        <v>569493119.62000012</v>
      </c>
      <c r="E3" s="119">
        <f>E4+E11+E16</f>
        <v>583053038.44999993</v>
      </c>
      <c r="F3" s="119">
        <f>F4+F11+F16</f>
        <v>607796399.83000004</v>
      </c>
      <c r="G3" s="119">
        <f t="shared" ref="G3:P3" si="0">G4+G11+G16</f>
        <v>619189731.31000018</v>
      </c>
      <c r="H3" s="119">
        <f t="shared" si="0"/>
        <v>610468644.10000002</v>
      </c>
      <c r="I3" s="119">
        <f t="shared" si="0"/>
        <v>555771880.88</v>
      </c>
      <c r="J3" s="119">
        <f t="shared" si="0"/>
        <v>541839423.27999997</v>
      </c>
      <c r="K3" s="119">
        <f t="shared" si="0"/>
        <v>550487503.97000003</v>
      </c>
      <c r="L3" s="119">
        <f t="shared" si="0"/>
        <v>507173214.95000005</v>
      </c>
      <c r="M3" s="119">
        <f t="shared" si="0"/>
        <v>512829348.09000003</v>
      </c>
      <c r="N3" s="119">
        <f t="shared" si="0"/>
        <v>0</v>
      </c>
      <c r="O3" s="119">
        <f t="shared" si="0"/>
        <v>0</v>
      </c>
      <c r="P3" s="119">
        <f t="shared" si="0"/>
        <v>565810233</v>
      </c>
      <c r="Q3" s="528">
        <v>464677576.2836622</v>
      </c>
    </row>
    <row r="4" spans="1:17" ht="13.5" x14ac:dyDescent="0.4">
      <c r="A4" s="123"/>
      <c r="B4" s="757" t="s">
        <v>10</v>
      </c>
      <c r="C4" s="758"/>
      <c r="D4" s="124">
        <f>SUM(D5:D10)</f>
        <v>342216230.34000003</v>
      </c>
      <c r="E4" s="124">
        <f t="shared" ref="E4:P4" si="1">SUM(E5:E10)</f>
        <v>344901648.27999997</v>
      </c>
      <c r="F4" s="124">
        <f t="shared" si="1"/>
        <v>348523432.14000005</v>
      </c>
      <c r="G4" s="124">
        <f t="shared" si="1"/>
        <v>348439620.67000008</v>
      </c>
      <c r="H4" s="124">
        <f t="shared" si="1"/>
        <v>341295163.45000005</v>
      </c>
      <c r="I4" s="124">
        <f t="shared" si="1"/>
        <v>310007302.97000003</v>
      </c>
      <c r="J4" s="124">
        <f t="shared" si="1"/>
        <v>306395180.02999997</v>
      </c>
      <c r="K4" s="124">
        <f t="shared" si="1"/>
        <v>333056308.75</v>
      </c>
      <c r="L4" s="124">
        <f t="shared" si="1"/>
        <v>309477210.68000007</v>
      </c>
      <c r="M4" s="124">
        <f t="shared" si="1"/>
        <v>310101138.45000005</v>
      </c>
      <c r="N4" s="124">
        <f t="shared" si="1"/>
        <v>0</v>
      </c>
      <c r="O4" s="124">
        <f t="shared" si="1"/>
        <v>0</v>
      </c>
      <c r="P4" s="124">
        <f t="shared" si="1"/>
        <v>329441325</v>
      </c>
      <c r="Q4" s="529">
        <v>273032650.54556781</v>
      </c>
    </row>
    <row r="5" spans="1:17" ht="13.5" x14ac:dyDescent="0.3">
      <c r="A5" s="126"/>
      <c r="B5" s="127"/>
      <c r="C5" s="128" t="s">
        <v>11</v>
      </c>
      <c r="D5" s="129">
        <f>VALUE(月庫存金額!C2)</f>
        <v>292895572.44999999</v>
      </c>
      <c r="E5" s="129">
        <f>VALUE(月庫存金額!D2)</f>
        <v>294277850.13999999</v>
      </c>
      <c r="F5" s="129">
        <f>VALUE(月庫存金額!E2)</f>
        <v>303547104.61000001</v>
      </c>
      <c r="G5" s="129">
        <f>VALUE(月庫存金額!F2)</f>
        <v>305015691.73000002</v>
      </c>
      <c r="H5" s="129">
        <f>VALUE(月庫存金額!G2)</f>
        <v>298211250.68000001</v>
      </c>
      <c r="I5" s="129">
        <f>VALUE(月庫存金額!H2)</f>
        <v>268957826.37</v>
      </c>
      <c r="J5" s="129">
        <f>VALUE(月庫存金額!I2)</f>
        <v>266232218.22999999</v>
      </c>
      <c r="K5" s="129">
        <f>VALUE(月庫存金額!J2)</f>
        <v>289555312.23000002</v>
      </c>
      <c r="L5" s="129">
        <f>VALUE(月庫存金額!K2)</f>
        <v>267505302.97</v>
      </c>
      <c r="M5" s="129">
        <f>VALUE(月庫存金額!L2)</f>
        <v>268887717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285508585</v>
      </c>
      <c r="Q5" s="530">
        <v>234369660.42638603</v>
      </c>
    </row>
    <row r="6" spans="1:17" ht="13.5" x14ac:dyDescent="0.3">
      <c r="A6" s="126"/>
      <c r="B6" s="127"/>
      <c r="C6" s="128" t="s">
        <v>12</v>
      </c>
      <c r="D6" s="129">
        <f>VALUE(月庫存金額!C4)</f>
        <v>6894022.4800000004</v>
      </c>
      <c r="E6" s="129">
        <f>VALUE(月庫存金額!D4)</f>
        <v>7273219.5</v>
      </c>
      <c r="F6" s="129">
        <f>VALUE(月庫存金額!E4)</f>
        <v>6022622.2300000004</v>
      </c>
      <c r="G6" s="129">
        <f>VALUE(月庫存金額!F4)</f>
        <v>6246401.6699999999</v>
      </c>
      <c r="H6" s="129">
        <f>VALUE(月庫存金額!G4)</f>
        <v>5731137.9699999997</v>
      </c>
      <c r="I6" s="129">
        <f>VALUE(月庫存金額!H4)</f>
        <v>5495270.5999999996</v>
      </c>
      <c r="J6" s="129">
        <f>VALUE(月庫存金額!I4)</f>
        <v>5255297.7699999996</v>
      </c>
      <c r="K6" s="129">
        <f>VALUE(月庫存金額!J4)</f>
        <v>5320740.8099999996</v>
      </c>
      <c r="L6" s="129">
        <f>VALUE(月庫存金額!K4)</f>
        <v>5231241.9000000004</v>
      </c>
      <c r="M6" s="129">
        <f>VALUE(月庫存金額!L4)</f>
        <v>4912234.4800000004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5838219</v>
      </c>
      <c r="Q6" s="530">
        <v>11732298.264378672</v>
      </c>
    </row>
    <row r="7" spans="1:17" ht="13.5" x14ac:dyDescent="0.3">
      <c r="A7" s="126"/>
      <c r="B7" s="127"/>
      <c r="C7" s="128" t="s">
        <v>13</v>
      </c>
      <c r="D7" s="129">
        <f>VALUE(月庫存金額!C5)</f>
        <v>11103888.48</v>
      </c>
      <c r="E7" s="129">
        <f>VALUE(月庫存金額!D5)</f>
        <v>10717600.109999999</v>
      </c>
      <c r="F7" s="129">
        <f>VALUE(月庫存金額!E5)</f>
        <v>7939466.9400000004</v>
      </c>
      <c r="G7" s="129">
        <f>VALUE(月庫存金額!F5)</f>
        <v>7405026.5999999996</v>
      </c>
      <c r="H7" s="129">
        <f>VALUE(月庫存金額!G5)</f>
        <v>5885981.3200000003</v>
      </c>
      <c r="I7" s="129">
        <f>VALUE(月庫存金額!H5)</f>
        <v>4603240.33</v>
      </c>
      <c r="J7" s="129">
        <f>VALUE(月庫存金額!I5)</f>
        <v>5240019.45</v>
      </c>
      <c r="K7" s="129">
        <f>VALUE(月庫存金額!J5)</f>
        <v>5825544.7699999996</v>
      </c>
      <c r="L7" s="129">
        <f>VALUE(月庫存金額!K5)</f>
        <v>5405729.6699999999</v>
      </c>
      <c r="M7" s="129">
        <f>VALUE(月庫存金額!L5)</f>
        <v>4950698.68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6907720</v>
      </c>
      <c r="Q7" s="530">
        <v>1014645.0529197619</v>
      </c>
    </row>
    <row r="8" spans="1:17" ht="13.5" x14ac:dyDescent="0.3">
      <c r="A8" s="126"/>
      <c r="B8" s="127"/>
      <c r="C8" s="128" t="s">
        <v>14</v>
      </c>
      <c r="D8" s="129">
        <f>VALUE(月庫存金額!C6)</f>
        <v>21593172.870000001</v>
      </c>
      <c r="E8" s="129">
        <f>VALUE(月庫存金額!D6)</f>
        <v>19382073.82</v>
      </c>
      <c r="F8" s="129">
        <f>VALUE(月庫存金額!E6)</f>
        <v>19671570.68</v>
      </c>
      <c r="G8" s="129">
        <f>VALUE(月庫存金額!F6)</f>
        <v>18629028.170000002</v>
      </c>
      <c r="H8" s="129">
        <f>VALUE(月庫存金額!G6)</f>
        <v>19873425.609999999</v>
      </c>
      <c r="I8" s="129">
        <f>VALUE(月庫存金額!H6)</f>
        <v>19417875.870000001</v>
      </c>
      <c r="J8" s="129">
        <f>VALUE(月庫存金額!I6)</f>
        <v>19416991.52</v>
      </c>
      <c r="K8" s="129">
        <f>VALUE(月庫存金額!J6)</f>
        <v>20028052.940000001</v>
      </c>
      <c r="L8" s="129">
        <f>VALUE(月庫存金額!K6)</f>
        <v>20146220.670000002</v>
      </c>
      <c r="M8" s="129">
        <f>VALUE(月庫存金額!L6)</f>
        <v>19770781.16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19792920</v>
      </c>
      <c r="Q8" s="530">
        <v>18506618.52265</v>
      </c>
    </row>
    <row r="9" spans="1:17" ht="13.5" x14ac:dyDescent="0.3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0">
        <v>0</v>
      </c>
    </row>
    <row r="10" spans="1:17" ht="13.5" x14ac:dyDescent="0.3">
      <c r="A10" s="126"/>
      <c r="B10" s="132"/>
      <c r="C10" s="128" t="s">
        <v>16</v>
      </c>
      <c r="D10" s="129">
        <f>VALUE(月庫存金額!C8)</f>
        <v>9729574.0600000005</v>
      </c>
      <c r="E10" s="129">
        <f>VALUE(月庫存金額!D8)</f>
        <v>13250904.710000001</v>
      </c>
      <c r="F10" s="129">
        <f>VALUE(月庫存金額!E8)</f>
        <v>11342667.68</v>
      </c>
      <c r="G10" s="129">
        <f>VALUE(月庫存金額!F8)</f>
        <v>11143472.5</v>
      </c>
      <c r="H10" s="129">
        <f>VALUE(月庫存金額!G8)</f>
        <v>11593367.869999999</v>
      </c>
      <c r="I10" s="129">
        <f>VALUE(月庫存金額!H8)</f>
        <v>11533089.800000001</v>
      </c>
      <c r="J10" s="129">
        <f>VALUE(月庫存金額!I8)</f>
        <v>10250653.060000001</v>
      </c>
      <c r="K10" s="129">
        <f>VALUE(月庫存金額!J8)</f>
        <v>12326658</v>
      </c>
      <c r="L10" s="129">
        <f>VALUE(月庫存金額!K8)</f>
        <v>11188715.470000001</v>
      </c>
      <c r="M10" s="129">
        <f>VALUE(月庫存金額!L8)</f>
        <v>11579707.130000001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11393881</v>
      </c>
      <c r="Q10" s="530">
        <v>7409428.2792333327</v>
      </c>
    </row>
    <row r="11" spans="1:17" ht="13.5" x14ac:dyDescent="0.3">
      <c r="A11" s="126"/>
      <c r="B11" s="759" t="s">
        <v>17</v>
      </c>
      <c r="C11" s="760"/>
      <c r="D11" s="133">
        <f>SUM(D12:D15)</f>
        <v>1990385.5499999998</v>
      </c>
      <c r="E11" s="133">
        <f>SUM(E12:E15)</f>
        <v>1846899.3900000001</v>
      </c>
      <c r="F11" s="133">
        <f>SUM(F12:F15)</f>
        <v>1660307.04</v>
      </c>
      <c r="G11" s="133">
        <f t="shared" ref="G11:P11" si="2">SUM(G12:G15)</f>
        <v>2449045.6</v>
      </c>
      <c r="H11" s="133">
        <f t="shared" si="2"/>
        <v>2281555</v>
      </c>
      <c r="I11" s="133">
        <f t="shared" si="2"/>
        <v>3422376.8</v>
      </c>
      <c r="J11" s="133">
        <f t="shared" si="2"/>
        <v>5358976.55</v>
      </c>
      <c r="K11" s="133">
        <f t="shared" si="2"/>
        <v>3923796.04</v>
      </c>
      <c r="L11" s="133">
        <f t="shared" si="2"/>
        <v>2490600.5699999998</v>
      </c>
      <c r="M11" s="133">
        <f t="shared" si="2"/>
        <v>2078000.06</v>
      </c>
      <c r="N11" s="133">
        <f t="shared" si="2"/>
        <v>0</v>
      </c>
      <c r="O11" s="133">
        <f t="shared" si="2"/>
        <v>0</v>
      </c>
      <c r="P11" s="133">
        <f t="shared" si="2"/>
        <v>2750195</v>
      </c>
      <c r="Q11" s="531">
        <v>13138072.522955555</v>
      </c>
    </row>
    <row r="12" spans="1:17" ht="13.5" x14ac:dyDescent="0.3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0">
        <v>0</v>
      </c>
    </row>
    <row r="13" spans="1:17" ht="13.5" x14ac:dyDescent="0.3">
      <c r="A13" s="126"/>
      <c r="B13" s="127"/>
      <c r="C13" s="134" t="s">
        <v>19</v>
      </c>
      <c r="D13" s="129">
        <f>VALUE(月庫存金額!C10)</f>
        <v>1710555.94</v>
      </c>
      <c r="E13" s="129">
        <f>VALUE(月庫存金額!D10)</f>
        <v>1534112.82</v>
      </c>
      <c r="F13" s="129">
        <f>VALUE(月庫存金額!E10)</f>
        <v>1354194.52</v>
      </c>
      <c r="G13" s="129">
        <f>VALUE(月庫存金額!F10)</f>
        <v>2181402.27</v>
      </c>
      <c r="H13" s="129">
        <f>VALUE(月庫存金額!G10)</f>
        <v>2055329.9</v>
      </c>
      <c r="I13" s="129">
        <f>VALUE(月庫存金額!H10)</f>
        <v>3218402.13</v>
      </c>
      <c r="J13" s="129">
        <f>VALUE(月庫存金額!I10)</f>
        <v>5031748.87</v>
      </c>
      <c r="K13" s="129">
        <f>VALUE(月庫存金額!J10)</f>
        <v>3668339.65</v>
      </c>
      <c r="L13" s="129">
        <f>VALUE(月庫存金額!K10)</f>
        <v>2303254.9</v>
      </c>
      <c r="M13" s="129">
        <f>VALUE(月庫存金額!L10)</f>
        <v>1939313.35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2499666</v>
      </c>
      <c r="Q13" s="530">
        <v>1921849.43765</v>
      </c>
    </row>
    <row r="14" spans="1:17" ht="13.5" x14ac:dyDescent="0.3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0">
        <v>0</v>
      </c>
    </row>
    <row r="15" spans="1:17" ht="13.5" x14ac:dyDescent="0.3">
      <c r="A15" s="126"/>
      <c r="B15" s="127"/>
      <c r="C15" s="233" t="s">
        <v>20</v>
      </c>
      <c r="D15" s="129">
        <f>VALUE(月庫存金額!C14)</f>
        <v>279829.61</v>
      </c>
      <c r="E15" s="129">
        <f>VALUE(月庫存金額!D14)</f>
        <v>312786.57</v>
      </c>
      <c r="F15" s="129">
        <f>VALUE(月庫存金額!E14)</f>
        <v>306112.52</v>
      </c>
      <c r="G15" s="129">
        <f>VALUE(月庫存金額!F14)</f>
        <v>267643.33</v>
      </c>
      <c r="H15" s="129">
        <f>VALUE(月庫存金額!G14)</f>
        <v>226225.1</v>
      </c>
      <c r="I15" s="129">
        <f>VALUE(月庫存金額!H14)</f>
        <v>203974.67</v>
      </c>
      <c r="J15" s="129">
        <f>VALUE(月庫存金額!I14)</f>
        <v>327227.68</v>
      </c>
      <c r="K15" s="129">
        <f>VALUE(月庫存金額!J14)</f>
        <v>255456.39</v>
      </c>
      <c r="L15" s="129">
        <f>VALUE(月庫存金額!K14)</f>
        <v>187345.67</v>
      </c>
      <c r="M15" s="129">
        <f>VALUE(月庫存金額!L14)</f>
        <v>138686.71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250529</v>
      </c>
      <c r="Q15" s="530">
        <v>410834.40910555562</v>
      </c>
    </row>
    <row r="16" spans="1:17" ht="14.25" customHeight="1" x14ac:dyDescent="0.2">
      <c r="A16" s="126"/>
      <c r="B16" s="757" t="s">
        <v>22</v>
      </c>
      <c r="C16" s="758"/>
      <c r="D16" s="133">
        <f>SUM(D17:D23)</f>
        <v>225286503.73000002</v>
      </c>
      <c r="E16" s="133">
        <f>SUM(E17:E23)</f>
        <v>236304490.78</v>
      </c>
      <c r="F16" s="133">
        <f>SUM(F17:F23)</f>
        <v>257612660.65000001</v>
      </c>
      <c r="G16" s="133">
        <f t="shared" ref="G16:O16" si="3">SUM(G17:G23)</f>
        <v>268301065.04000002</v>
      </c>
      <c r="H16" s="133">
        <f t="shared" si="3"/>
        <v>266891925.65000001</v>
      </c>
      <c r="I16" s="133">
        <f t="shared" si="3"/>
        <v>242342201.10999998</v>
      </c>
      <c r="J16" s="133">
        <f t="shared" si="3"/>
        <v>230085266.70000002</v>
      </c>
      <c r="K16" s="133">
        <f t="shared" si="3"/>
        <v>213507399.18000001</v>
      </c>
      <c r="L16" s="133">
        <f t="shared" si="3"/>
        <v>195205403.69999999</v>
      </c>
      <c r="M16" s="133">
        <f t="shared" si="3"/>
        <v>200650209.58000001</v>
      </c>
      <c r="N16" s="133">
        <f t="shared" si="3"/>
        <v>0</v>
      </c>
      <c r="O16" s="133">
        <f t="shared" si="3"/>
        <v>0</v>
      </c>
      <c r="P16" s="133">
        <f>SUM(P17:P23)</f>
        <v>233618713</v>
      </c>
      <c r="Q16" s="531">
        <v>178506853.21513885</v>
      </c>
    </row>
    <row r="17" spans="1:17" ht="13.5" x14ac:dyDescent="0.3">
      <c r="A17" s="126"/>
      <c r="B17" s="127"/>
      <c r="C17" s="128" t="s">
        <v>23</v>
      </c>
      <c r="D17" s="129">
        <f>VALUE(月庫存金額!C3)</f>
        <v>213813987.06</v>
      </c>
      <c r="E17" s="129">
        <f>VALUE(月庫存金額!D3)</f>
        <v>216421676.38999999</v>
      </c>
      <c r="F17" s="129">
        <f>VALUE(月庫存金額!E3)</f>
        <v>230735445.38999999</v>
      </c>
      <c r="G17" s="129">
        <f>VALUE(月庫存金額!F3)</f>
        <v>242111303.37</v>
      </c>
      <c r="H17" s="129">
        <f>VALUE(月庫存金額!G3)</f>
        <v>244365222.22999999</v>
      </c>
      <c r="I17" s="129">
        <f>VALUE(月庫存金額!H3)</f>
        <v>222947344.06999999</v>
      </c>
      <c r="J17" s="129">
        <f>VALUE(月庫存金額!I3)</f>
        <v>213933395.71000001</v>
      </c>
      <c r="K17" s="129">
        <f>VALUE(月庫存金額!J3)</f>
        <v>198708701.61000001</v>
      </c>
      <c r="L17" s="129">
        <f>VALUE(月庫存金額!K3)</f>
        <v>181902705.72999999</v>
      </c>
      <c r="M17" s="129">
        <f>VALUE(月庫存金額!L3)</f>
        <v>188299895.71000001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215323968</v>
      </c>
      <c r="Q17" s="530">
        <v>151409196.64236107</v>
      </c>
    </row>
    <row r="18" spans="1:17" ht="13.5" x14ac:dyDescent="0.3">
      <c r="A18" s="126"/>
      <c r="B18" s="127"/>
      <c r="C18" s="134" t="s">
        <v>24</v>
      </c>
      <c r="D18" s="129">
        <f>VALUE(月庫存金額!C13)</f>
        <v>2731882.9</v>
      </c>
      <c r="E18" s="129">
        <f>VALUE(月庫存金額!D13)</f>
        <v>2401477.71</v>
      </c>
      <c r="F18" s="129">
        <f>VALUE(月庫存金額!E13)</f>
        <v>1864895.61</v>
      </c>
      <c r="G18" s="129">
        <f>VALUE(月庫存金額!F13)</f>
        <v>1992262.87</v>
      </c>
      <c r="H18" s="129">
        <f>VALUE(月庫存金額!G13)</f>
        <v>1542560.16</v>
      </c>
      <c r="I18" s="129">
        <f>VALUE(月庫存金額!H13)</f>
        <v>1719172</v>
      </c>
      <c r="J18" s="129">
        <f>VALUE(月庫存金額!I13)</f>
        <v>1379365.87</v>
      </c>
      <c r="K18" s="129">
        <f>VALUE(月庫存金額!J13)</f>
        <v>1827319.19</v>
      </c>
      <c r="L18" s="129">
        <f>VALUE(月庫存金額!K13)</f>
        <v>1482058</v>
      </c>
      <c r="M18" s="129">
        <f>VALUE(月庫存金額!L13)</f>
        <v>1431537.06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1837253</v>
      </c>
      <c r="Q18" s="530">
        <v>3134492.652888889</v>
      </c>
    </row>
    <row r="19" spans="1:17" ht="13.5" x14ac:dyDescent="0.3">
      <c r="A19" s="126"/>
      <c r="B19" s="127"/>
      <c r="C19" s="134" t="s">
        <v>25</v>
      </c>
      <c r="D19" s="129">
        <f>VALUE(月庫存金額!C21)</f>
        <v>161176</v>
      </c>
      <c r="E19" s="129">
        <f>VALUE(月庫存金額!D21)</f>
        <v>161176</v>
      </c>
      <c r="F19" s="129">
        <f>VALUE(月庫存金額!E21)</f>
        <v>161176</v>
      </c>
      <c r="G19" s="129">
        <f>VALUE(月庫存金額!F21)</f>
        <v>161176</v>
      </c>
      <c r="H19" s="129">
        <f>VALUE(月庫存金額!G21)</f>
        <v>161176</v>
      </c>
      <c r="I19" s="129">
        <f>VALUE(月庫存金額!H21)</f>
        <v>161176</v>
      </c>
      <c r="J19" s="129">
        <f>VALUE(月庫存金額!I21)</f>
        <v>161176</v>
      </c>
      <c r="K19" s="129">
        <f>VALUE(月庫存金額!J21)</f>
        <v>161176</v>
      </c>
      <c r="L19" s="129">
        <f>VALUE(月庫存金額!K21)</f>
        <v>14160</v>
      </c>
      <c r="M19" s="129">
        <f>VALUE(月庫存金額!L21)</f>
        <v>14160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131773</v>
      </c>
      <c r="Q19" s="530">
        <v>9206655.444444444</v>
      </c>
    </row>
    <row r="20" spans="1:17" ht="13.5" x14ac:dyDescent="0.3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162800</v>
      </c>
      <c r="K20" s="129">
        <f>VALUE(月庫存金額!J20)</f>
        <v>162800</v>
      </c>
      <c r="L20" s="129">
        <f>VALUE(月庫存金額!K20)</f>
        <v>162800</v>
      </c>
      <c r="M20" s="129">
        <f>VALUE(月庫存金額!L20)</f>
        <v>162800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530">
        <v>10542088.864333333</v>
      </c>
    </row>
    <row r="21" spans="1:17" ht="13.5" x14ac:dyDescent="0.3">
      <c r="A21" s="126"/>
      <c r="B21" s="127"/>
      <c r="C21" s="134" t="s">
        <v>27</v>
      </c>
      <c r="D21" s="129">
        <f>VALUE(月庫存金額!C19)</f>
        <v>8170824.7699999996</v>
      </c>
      <c r="E21" s="129">
        <f>VALUE(月庫存金額!D19)</f>
        <v>16891475.68</v>
      </c>
      <c r="F21" s="129">
        <f>VALUE(月庫存金額!E19)</f>
        <v>24401515.809999999</v>
      </c>
      <c r="G21" s="129">
        <f>VALUE(月庫存金額!F19)</f>
        <v>23605583.469999999</v>
      </c>
      <c r="H21" s="129">
        <f>VALUE(月庫存金額!G19)</f>
        <v>20431667.68</v>
      </c>
      <c r="I21" s="129">
        <f>VALUE(月庫存金額!H19)</f>
        <v>17113762.969999999</v>
      </c>
      <c r="J21" s="129">
        <f>VALUE(月庫存金額!I19)</f>
        <v>14204196.16</v>
      </c>
      <c r="K21" s="129">
        <f>VALUE(月庫存金額!J19)</f>
        <v>12463471.029999999</v>
      </c>
      <c r="L21" s="129">
        <f>VALUE(月庫存金額!K19)</f>
        <v>11430527.57</v>
      </c>
      <c r="M21" s="129">
        <f>VALUE(月庫存金額!L19)</f>
        <v>10550906.970000001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15926393</v>
      </c>
      <c r="Q21" s="530">
        <v>3640844.9022222231</v>
      </c>
    </row>
    <row r="22" spans="1:17" ht="13.5" x14ac:dyDescent="0.3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97968.03</v>
      </c>
      <c r="G22" s="129">
        <f>VALUE(月庫存金額!F11)</f>
        <v>94797.33</v>
      </c>
      <c r="H22" s="129">
        <f>VALUE(月庫存金額!G11)</f>
        <v>91839</v>
      </c>
      <c r="I22" s="129">
        <f>VALUE(月庫存金額!H11)</f>
        <v>94339</v>
      </c>
      <c r="J22" s="129">
        <f>VALUE(月庫存金額!I11)</f>
        <v>109258.35</v>
      </c>
      <c r="K22" s="129">
        <f>VALUE(月庫存金額!J11)</f>
        <v>98711.9</v>
      </c>
      <c r="L22" s="129">
        <f>VALUE(月庫存金額!K11)</f>
        <v>105870</v>
      </c>
      <c r="M22" s="129">
        <f>VALUE(月庫存金額!L11)</f>
        <v>106839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101330</v>
      </c>
      <c r="Q22" s="530">
        <v>127003.2088888889</v>
      </c>
    </row>
    <row r="23" spans="1:17" ht="13.5" x14ac:dyDescent="0.2">
      <c r="A23" s="126"/>
      <c r="B23" s="127"/>
      <c r="C23" s="138" t="s">
        <v>29</v>
      </c>
      <c r="D23" s="129">
        <f>VALUE(月庫存金額!C22)</f>
        <v>138994</v>
      </c>
      <c r="E23" s="129">
        <f>VALUE(月庫存金額!D22)</f>
        <v>159046</v>
      </c>
      <c r="F23" s="129">
        <f>VALUE(月庫存金額!E22)</f>
        <v>188859.81</v>
      </c>
      <c r="G23" s="129">
        <f>VALUE(月庫存金額!F22)</f>
        <v>173142</v>
      </c>
      <c r="H23" s="129">
        <f>VALUE(月庫存金額!G22)</f>
        <v>136660.57999999999</v>
      </c>
      <c r="I23" s="129">
        <f>VALUE(月庫存金額!H22)</f>
        <v>143607.07</v>
      </c>
      <c r="J23" s="129">
        <f>VALUE(月庫存金額!I22)</f>
        <v>135074.60999999999</v>
      </c>
      <c r="K23" s="129">
        <f>VALUE(月庫存金額!J22)</f>
        <v>85219.45</v>
      </c>
      <c r="L23" s="129">
        <f>VALUE(月庫存金額!K22)</f>
        <v>107282.4</v>
      </c>
      <c r="M23" s="129">
        <f>VALUE(月庫存金額!L22)</f>
        <v>84070.84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135196</v>
      </c>
      <c r="Q23" s="530">
        <v>446571.5</v>
      </c>
    </row>
    <row r="24" spans="1:17" ht="14.25" customHeight="1" x14ac:dyDescent="0.2">
      <c r="A24" s="126"/>
      <c r="B24" s="757" t="s">
        <v>30</v>
      </c>
      <c r="C24" s="758"/>
      <c r="D24" s="133">
        <f>SUM(D25:D28)</f>
        <v>13551160.77</v>
      </c>
      <c r="E24" s="133">
        <f t="shared" ref="E24:P24" si="4">SUM(E25:E28)</f>
        <v>14999902.57</v>
      </c>
      <c r="F24" s="133">
        <f t="shared" si="4"/>
        <v>15310385.539999999</v>
      </c>
      <c r="G24" s="133">
        <f t="shared" si="4"/>
        <v>16115786.370000001</v>
      </c>
      <c r="H24" s="133">
        <f t="shared" si="4"/>
        <v>17108652.52</v>
      </c>
      <c r="I24" s="133">
        <f t="shared" si="4"/>
        <v>18640422.030000001</v>
      </c>
      <c r="J24" s="133">
        <f t="shared" si="4"/>
        <v>17205990.93</v>
      </c>
      <c r="K24" s="133">
        <f t="shared" si="4"/>
        <v>18185493.560000002</v>
      </c>
      <c r="L24" s="133">
        <f t="shared" si="4"/>
        <v>14513878.43</v>
      </c>
      <c r="M24" s="133">
        <f t="shared" si="4"/>
        <v>14469825.390000001</v>
      </c>
      <c r="N24" s="133">
        <f t="shared" si="4"/>
        <v>0</v>
      </c>
      <c r="O24" s="133">
        <f t="shared" si="4"/>
        <v>0</v>
      </c>
      <c r="P24" s="133">
        <f t="shared" si="4"/>
        <v>16010150</v>
      </c>
      <c r="Q24" s="531"/>
    </row>
    <row r="25" spans="1:17" ht="13.5" x14ac:dyDescent="0.3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0"/>
    </row>
    <row r="26" spans="1:17" ht="13.5" x14ac:dyDescent="0.3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0"/>
    </row>
    <row r="27" spans="1:17" ht="13.5" x14ac:dyDescent="0.3">
      <c r="A27" s="126"/>
      <c r="B27" s="254"/>
      <c r="C27" s="134" t="s">
        <v>269</v>
      </c>
      <c r="D27" s="129">
        <f>VALUE(月庫存金額!C25)</f>
        <v>9106516.6799999997</v>
      </c>
      <c r="E27" s="129">
        <f>VALUE(月庫存金額!D25)</f>
        <v>9492109.1099999994</v>
      </c>
      <c r="F27" s="129">
        <f>VALUE(月庫存金額!E25)</f>
        <v>9381405.6099999994</v>
      </c>
      <c r="G27" s="129">
        <f>VALUE(月庫存金額!F25)</f>
        <v>8789643.9000000004</v>
      </c>
      <c r="H27" s="129">
        <f>VALUE(月庫存金額!G25)</f>
        <v>9506818.1600000001</v>
      </c>
      <c r="I27" s="129">
        <f>VALUE(月庫存金額!H25)</f>
        <v>9088702.6699999999</v>
      </c>
      <c r="J27" s="129">
        <f>VALUE(月庫存金額!I25)</f>
        <v>9162485.6099999994</v>
      </c>
      <c r="K27" s="129">
        <f>VALUE(月庫存金額!J25)</f>
        <v>10604485.810000001</v>
      </c>
      <c r="L27" s="129">
        <f>VALUE(月庫存金額!K25)</f>
        <v>7781349.8300000001</v>
      </c>
      <c r="M27" s="129">
        <f>VALUE(月庫存金額!L25)</f>
        <v>8223549.9699999997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9113707</v>
      </c>
      <c r="Q27" s="530"/>
    </row>
    <row r="28" spans="1:17" ht="13.5" x14ac:dyDescent="0.3">
      <c r="A28" s="126"/>
      <c r="B28" s="266"/>
      <c r="C28" s="134" t="s">
        <v>270</v>
      </c>
      <c r="D28" s="129">
        <f>VALUE(月庫存金額!C26)</f>
        <v>4444644.09</v>
      </c>
      <c r="E28" s="129">
        <f>VALUE(月庫存金額!D26)</f>
        <v>5507793.46</v>
      </c>
      <c r="F28" s="129">
        <f>VALUE(月庫存金額!E26)</f>
        <v>5928979.9299999997</v>
      </c>
      <c r="G28" s="129">
        <f>VALUE(月庫存金額!F26)</f>
        <v>7326142.4699999997</v>
      </c>
      <c r="H28" s="129">
        <f>VALUE(月庫存金額!G26)</f>
        <v>7601834.3600000003</v>
      </c>
      <c r="I28" s="129">
        <f>VALUE(月庫存金額!H26)</f>
        <v>9551719.3599999994</v>
      </c>
      <c r="J28" s="129">
        <f>VALUE(月庫存金額!I26)</f>
        <v>8043505.3200000003</v>
      </c>
      <c r="K28" s="129">
        <f>VALUE(月庫存金額!J26)</f>
        <v>7581007.75</v>
      </c>
      <c r="L28" s="129">
        <f>VALUE(月庫存金額!K26)</f>
        <v>6732528.5999999996</v>
      </c>
      <c r="M28" s="129">
        <f>VALUE(月庫存金額!L26)</f>
        <v>6246275.4199999999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6896443</v>
      </c>
      <c r="Q28" s="530"/>
    </row>
    <row r="29" spans="1:17" ht="13.5" x14ac:dyDescent="0.3">
      <c r="A29" s="761" t="s">
        <v>36</v>
      </c>
      <c r="B29" s="762"/>
      <c r="C29" s="139" t="s">
        <v>37</v>
      </c>
      <c r="D29" s="140">
        <f>VALUE(月庫存金額!C15)</f>
        <v>1636322.68</v>
      </c>
      <c r="E29" s="140">
        <f>VALUE(月庫存金額!D15)</f>
        <v>1606880.5</v>
      </c>
      <c r="F29" s="140">
        <f>VALUE(月庫存金額!E15)</f>
        <v>1608277.81</v>
      </c>
      <c r="G29" s="140">
        <f>VALUE(月庫存金額!F15)</f>
        <v>1614727.63</v>
      </c>
      <c r="H29" s="140">
        <f>VALUE(月庫存金額!G15)</f>
        <v>1617368.23</v>
      </c>
      <c r="I29" s="140">
        <f>VALUE(月庫存金額!H15)</f>
        <v>1420197.9</v>
      </c>
      <c r="J29" s="140">
        <f>VALUE(月庫存金額!I15)</f>
        <v>1836.71</v>
      </c>
      <c r="K29" s="140">
        <f>VALUE(月庫存金額!J15)</f>
        <v>896.61</v>
      </c>
      <c r="L29" s="140">
        <f>VALUE(月庫存金額!K15)</f>
        <v>707.67</v>
      </c>
      <c r="M29" s="140">
        <f>VALUE(月庫存金額!L15)</f>
        <v>117926.58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962515</v>
      </c>
      <c r="Q29" s="532"/>
    </row>
    <row r="30" spans="1:17" ht="13.5" x14ac:dyDescent="0.3">
      <c r="A30" s="763"/>
      <c r="B30" s="764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3"/>
    </row>
    <row r="31" spans="1:17" ht="13.5" x14ac:dyDescent="0.3">
      <c r="A31" s="763"/>
      <c r="B31" s="764"/>
      <c r="C31" s="239" t="s">
        <v>39</v>
      </c>
      <c r="D31" s="143">
        <f>VALUE(月庫存金額!C17)</f>
        <v>4738534.16</v>
      </c>
      <c r="E31" s="143">
        <f>VALUE(月庫存金額!D17)</f>
        <v>6616871.4299999997</v>
      </c>
      <c r="F31" s="143">
        <f>VALUE(月庫存金額!E17)</f>
        <v>6569016.8700000001</v>
      </c>
      <c r="G31" s="143">
        <f>VALUE(月庫存金額!F17)</f>
        <v>6269507.0999999996</v>
      </c>
      <c r="H31" s="143">
        <f>VALUE(月庫存金額!G17)</f>
        <v>6556006.6100000003</v>
      </c>
      <c r="I31" s="143">
        <f>VALUE(月庫存金額!H17)</f>
        <v>6163283.4299999997</v>
      </c>
      <c r="J31" s="143">
        <f>VALUE(月庫存金額!I17)</f>
        <v>5806256.6500000004</v>
      </c>
      <c r="K31" s="143">
        <f>VALUE(月庫存金額!J17)</f>
        <v>6867741</v>
      </c>
      <c r="L31" s="143">
        <f>VALUE(月庫存金額!K17)</f>
        <v>8028210.0700000003</v>
      </c>
      <c r="M31" s="143">
        <f>VALUE(月庫存金額!L17)</f>
        <v>7159212.1900000004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6477464</v>
      </c>
      <c r="Q31" s="533"/>
    </row>
    <row r="32" spans="1:17" ht="14" thickBot="1" x14ac:dyDescent="0.35">
      <c r="A32" s="765"/>
      <c r="B32" s="766"/>
      <c r="C32" s="146" t="s">
        <v>40</v>
      </c>
      <c r="D32" s="147">
        <f>VALUE(月庫存金額!C18)</f>
        <v>12592603.32</v>
      </c>
      <c r="E32" s="147">
        <f>VALUE(月庫存金額!D18)</f>
        <v>10668231.32</v>
      </c>
      <c r="F32" s="147">
        <f>VALUE(月庫存金額!E18)</f>
        <v>11760706.42</v>
      </c>
      <c r="G32" s="147">
        <f>VALUE(月庫存金額!F18)</f>
        <v>10427096.5</v>
      </c>
      <c r="H32" s="147">
        <f>VALUE(月庫存金額!G18)</f>
        <v>9849791.7100000009</v>
      </c>
      <c r="I32" s="147">
        <f>VALUE(月庫存金額!H18)</f>
        <v>9702018.4700000007</v>
      </c>
      <c r="J32" s="147">
        <f>VALUE(月庫存金額!I18)</f>
        <v>9450488.7100000009</v>
      </c>
      <c r="K32" s="147">
        <f>VALUE(月庫存金額!J18)</f>
        <v>9822519.1600000001</v>
      </c>
      <c r="L32" s="147">
        <f>VALUE(月庫存金額!K18)</f>
        <v>10413327.43</v>
      </c>
      <c r="M32" s="147">
        <f>VALUE(月庫存金額!L18)</f>
        <v>11438337.32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10612512</v>
      </c>
      <c r="Q32" s="534"/>
    </row>
    <row r="33" spans="1:17" ht="13.5" x14ac:dyDescent="0.3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 x14ac:dyDescent="0.4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" thickBot="1" x14ac:dyDescent="0.45">
      <c r="A35" s="112" t="s">
        <v>271</v>
      </c>
      <c r="B35" s="112"/>
      <c r="C35" s="112"/>
      <c r="Q35" s="121"/>
    </row>
    <row r="36" spans="1:17" ht="13.5" x14ac:dyDescent="0.3">
      <c r="A36" s="728" t="s">
        <v>1</v>
      </c>
      <c r="B36" s="729"/>
      <c r="C36" s="729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 x14ac:dyDescent="0.4">
      <c r="A37" s="754" t="s">
        <v>9</v>
      </c>
      <c r="B37" s="755"/>
      <c r="C37" s="756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P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0</v>
      </c>
      <c r="O37" s="119">
        <f t="shared" si="5"/>
        <v>0</v>
      </c>
      <c r="P37" s="119">
        <f t="shared" si="5"/>
        <v>576830585</v>
      </c>
      <c r="Q37" s="121"/>
    </row>
    <row r="38" spans="1:17" ht="13.5" x14ac:dyDescent="0.4">
      <c r="A38" s="123"/>
      <c r="B38" s="757" t="s">
        <v>10</v>
      </c>
      <c r="C38" s="758"/>
      <c r="D38" s="124">
        <f>SUM(D39:D44)</f>
        <v>354479947</v>
      </c>
      <c r="E38" s="124">
        <f t="shared" ref="E38:P38" si="6">SUM(E39:E44)</f>
        <v>371926023</v>
      </c>
      <c r="F38" s="124">
        <f t="shared" si="6"/>
        <v>357064395</v>
      </c>
      <c r="G38" s="124">
        <f t="shared" si="6"/>
        <v>369063594</v>
      </c>
      <c r="H38" s="124">
        <f t="shared" si="6"/>
        <v>330561041</v>
      </c>
      <c r="I38" s="124">
        <f t="shared" si="6"/>
        <v>322652284</v>
      </c>
      <c r="J38" s="124">
        <f t="shared" si="6"/>
        <v>326066227</v>
      </c>
      <c r="K38" s="124">
        <f t="shared" si="6"/>
        <v>341483124</v>
      </c>
      <c r="L38" s="124">
        <f t="shared" si="6"/>
        <v>326035810</v>
      </c>
      <c r="M38" s="124">
        <f t="shared" si="6"/>
        <v>314693664</v>
      </c>
      <c r="N38" s="124">
        <f t="shared" si="6"/>
        <v>0</v>
      </c>
      <c r="O38" s="124">
        <f t="shared" si="6"/>
        <v>0</v>
      </c>
      <c r="P38" s="124">
        <f t="shared" si="6"/>
        <v>341402610</v>
      </c>
      <c r="Q38" s="121"/>
    </row>
    <row r="39" spans="1:17" ht="13.5" x14ac:dyDescent="0.3">
      <c r="A39" s="126"/>
      <c r="B39" s="127"/>
      <c r="C39" s="128" t="s">
        <v>11</v>
      </c>
      <c r="D39" s="130">
        <f>VALUE(月庫存金額!P2)</f>
        <v>301522048</v>
      </c>
      <c r="E39" s="130">
        <f>VALUE(月庫存金額!Q2)</f>
        <v>312011790</v>
      </c>
      <c r="F39" s="130">
        <f>VALUE(月庫存金額!R2)</f>
        <v>307804297</v>
      </c>
      <c r="G39" s="130">
        <f>VALUE(月庫存金額!S2)</f>
        <v>311952904</v>
      </c>
      <c r="H39" s="130">
        <f>VALUE(月庫存金額!T2)</f>
        <v>276368546</v>
      </c>
      <c r="I39" s="130">
        <f>VALUE(月庫存金額!U2)</f>
        <v>281059326</v>
      </c>
      <c r="J39" s="130">
        <f>VALUE(月庫存金額!V2)</f>
        <v>268251074</v>
      </c>
      <c r="K39" s="130">
        <f>VALUE(月庫存金額!W2)</f>
        <v>288168798</v>
      </c>
      <c r="L39" s="130">
        <f>VALUE(月庫存金額!X2)</f>
        <v>275700668</v>
      </c>
      <c r="M39" s="130">
        <f>VALUE(月庫存金額!Y2)</f>
        <v>266180110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288901956</v>
      </c>
      <c r="Q39" s="121"/>
    </row>
    <row r="40" spans="1:17" ht="13.5" x14ac:dyDescent="0.3">
      <c r="A40" s="126"/>
      <c r="B40" s="127"/>
      <c r="C40" s="128" t="s">
        <v>12</v>
      </c>
      <c r="D40" s="130">
        <f>VALUE(月庫存金額!P4)</f>
        <v>11731801</v>
      </c>
      <c r="E40" s="130">
        <f>VALUE(月庫存金額!Q4)</f>
        <v>6677578</v>
      </c>
      <c r="F40" s="130">
        <f>VALUE(月庫存金額!R4)</f>
        <v>7953023</v>
      </c>
      <c r="G40" s="130">
        <f>VALUE(月庫存金額!S4)</f>
        <v>6400194</v>
      </c>
      <c r="H40" s="130">
        <f>VALUE(月庫存金額!T4)</f>
        <v>7600695</v>
      </c>
      <c r="I40" s="130">
        <f>VALUE(月庫存金額!U4)</f>
        <v>4236251</v>
      </c>
      <c r="J40" s="130">
        <f>VALUE(月庫存金額!V4)</f>
        <v>7059809</v>
      </c>
      <c r="K40" s="130">
        <f>VALUE(月庫存金額!W4)</f>
        <v>5352452</v>
      </c>
      <c r="L40" s="130">
        <f>VALUE(月庫存金額!X4)</f>
        <v>3823169</v>
      </c>
      <c r="M40" s="130">
        <f>VALUE(月庫存金額!Y4)</f>
        <v>7374198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6820917</v>
      </c>
      <c r="Q40" s="121"/>
    </row>
    <row r="41" spans="1:17" ht="13.5" x14ac:dyDescent="0.3">
      <c r="A41" s="126"/>
      <c r="B41" s="127"/>
      <c r="C41" s="128" t="s">
        <v>13</v>
      </c>
      <c r="D41" s="130">
        <f>VALUE(月庫存金額!P5)</f>
        <v>11043043</v>
      </c>
      <c r="E41" s="130">
        <f>VALUE(月庫存金額!Q5)</f>
        <v>11016551</v>
      </c>
      <c r="F41" s="130">
        <f>VALUE(月庫存金額!R5)</f>
        <v>6604155</v>
      </c>
      <c r="G41" s="130">
        <f>VALUE(月庫存金額!S5)</f>
        <v>6800876</v>
      </c>
      <c r="H41" s="130">
        <f>VALUE(月庫存金額!T5)</f>
        <v>5117407</v>
      </c>
      <c r="I41" s="130">
        <f>VALUE(月庫存金額!U5)</f>
        <v>4185914</v>
      </c>
      <c r="J41" s="130">
        <f>VALUE(月庫存金額!V5)</f>
        <v>5845604</v>
      </c>
      <c r="K41" s="130">
        <f>VALUE(月庫存金額!W5)</f>
        <v>5889201</v>
      </c>
      <c r="L41" s="130">
        <f>VALUE(月庫存金額!X5)</f>
        <v>5285095</v>
      </c>
      <c r="M41" s="130">
        <f>VALUE(月庫存金額!Y5)</f>
        <v>4865624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6665347</v>
      </c>
      <c r="Q41" s="121"/>
    </row>
    <row r="42" spans="1:17" ht="13.5" x14ac:dyDescent="0.3">
      <c r="A42" s="126"/>
      <c r="B42" s="127"/>
      <c r="C42" s="128" t="s">
        <v>14</v>
      </c>
      <c r="D42" s="130">
        <f>VALUE(月庫存金額!P6)</f>
        <v>18962815</v>
      </c>
      <c r="E42" s="130">
        <f>VALUE(月庫存金額!Q6)</f>
        <v>23106428</v>
      </c>
      <c r="F42" s="130">
        <f>VALUE(月庫存金額!R6)</f>
        <v>21071693</v>
      </c>
      <c r="G42" s="130">
        <f>VALUE(月庫存金額!S6)</f>
        <v>21065273</v>
      </c>
      <c r="H42" s="130">
        <f>VALUE(月庫存金額!T6)</f>
        <v>21843172</v>
      </c>
      <c r="I42" s="130">
        <f>VALUE(月庫存金額!U6)</f>
        <v>18530235</v>
      </c>
      <c r="J42" s="130">
        <f>VALUE(月庫存金額!V6)</f>
        <v>22828116</v>
      </c>
      <c r="K42" s="130">
        <f>VALUE(月庫存金額!W6)</f>
        <v>19959865</v>
      </c>
      <c r="L42" s="130">
        <f>VALUE(月庫存金額!X6)</f>
        <v>22350347</v>
      </c>
      <c r="M42" s="130">
        <f>VALUE(月庫存金額!Y6)</f>
        <v>19581890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20929983</v>
      </c>
      <c r="Q42" s="121"/>
    </row>
    <row r="43" spans="1:17" ht="13.5" x14ac:dyDescent="0.3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 x14ac:dyDescent="0.3">
      <c r="A44" s="126"/>
      <c r="B44" s="132"/>
      <c r="C44" s="128" t="s">
        <v>16</v>
      </c>
      <c r="D44" s="130">
        <f>VALUE(月庫存金額!P8)</f>
        <v>11220240</v>
      </c>
      <c r="E44" s="130">
        <f>VALUE(月庫存金額!Q8)</f>
        <v>19113676</v>
      </c>
      <c r="F44" s="130">
        <f>VALUE(月庫存金額!R8)</f>
        <v>13631227</v>
      </c>
      <c r="G44" s="130">
        <f>VALUE(月庫存金額!S8)</f>
        <v>22844347</v>
      </c>
      <c r="H44" s="130">
        <f>VALUE(月庫存金額!T8)</f>
        <v>19631221</v>
      </c>
      <c r="I44" s="130">
        <f>VALUE(月庫存金額!U8)</f>
        <v>14640558</v>
      </c>
      <c r="J44" s="130">
        <f>VALUE(月庫存金額!V8)</f>
        <v>22081624</v>
      </c>
      <c r="K44" s="130">
        <f>VALUE(月庫存金額!W8)</f>
        <v>22112808</v>
      </c>
      <c r="L44" s="130">
        <f>VALUE(月庫存金額!X8)</f>
        <v>18876531</v>
      </c>
      <c r="M44" s="130">
        <f>VALUE(月庫存金額!Y8)</f>
        <v>16691842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18084407</v>
      </c>
      <c r="Q44" s="121"/>
    </row>
    <row r="45" spans="1:17" ht="13.5" x14ac:dyDescent="0.3">
      <c r="A45" s="126"/>
      <c r="B45" s="759" t="s">
        <v>17</v>
      </c>
      <c r="C45" s="760"/>
      <c r="D45" s="124">
        <f>SUM(D46:D49)</f>
        <v>2040687</v>
      </c>
      <c r="E45" s="124">
        <f>SUM(E46:E49)</f>
        <v>2030574</v>
      </c>
      <c r="F45" s="124">
        <f>SUM(F46:F49)</f>
        <v>1752264</v>
      </c>
      <c r="G45" s="124">
        <f t="shared" ref="G45:P45" si="7">SUM(G46:G49)</f>
        <v>2885530</v>
      </c>
      <c r="H45" s="124">
        <f t="shared" si="7"/>
        <v>2166290</v>
      </c>
      <c r="I45" s="124">
        <f t="shared" si="7"/>
        <v>4577004</v>
      </c>
      <c r="J45" s="124">
        <f t="shared" si="7"/>
        <v>5083871</v>
      </c>
      <c r="K45" s="124">
        <f t="shared" si="7"/>
        <v>2639650</v>
      </c>
      <c r="L45" s="124">
        <f t="shared" si="7"/>
        <v>2001447</v>
      </c>
      <c r="M45" s="124">
        <f t="shared" si="7"/>
        <v>2528042</v>
      </c>
      <c r="N45" s="124">
        <f t="shared" si="7"/>
        <v>0</v>
      </c>
      <c r="O45" s="124">
        <f t="shared" si="7"/>
        <v>0</v>
      </c>
      <c r="P45" s="124">
        <f t="shared" si="7"/>
        <v>2770536</v>
      </c>
      <c r="Q45" s="121"/>
    </row>
    <row r="46" spans="1:17" ht="13.5" x14ac:dyDescent="0.3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 x14ac:dyDescent="0.3">
      <c r="A47" s="126"/>
      <c r="B47" s="127"/>
      <c r="C47" s="134" t="s">
        <v>19</v>
      </c>
      <c r="D47" s="130">
        <f>VALUE(月庫存金額!P10)</f>
        <v>1745249</v>
      </c>
      <c r="E47" s="130">
        <f>VALUE(月庫存金額!Q10)</f>
        <v>1677636</v>
      </c>
      <c r="F47" s="130">
        <f>VALUE(月庫存金額!R10)</f>
        <v>1480486</v>
      </c>
      <c r="G47" s="130">
        <f>VALUE(月庫存金額!S10)</f>
        <v>2642042</v>
      </c>
      <c r="H47" s="130">
        <f>VALUE(月庫存金額!T10)</f>
        <v>2010192</v>
      </c>
      <c r="I47" s="130">
        <f>VALUE(月庫存金額!U10)</f>
        <v>4185406</v>
      </c>
      <c r="J47" s="130">
        <f>VALUE(月庫存金額!V10)</f>
        <v>4810863</v>
      </c>
      <c r="K47" s="130">
        <f>VALUE(月庫存金額!W10)</f>
        <v>2401962</v>
      </c>
      <c r="L47" s="130">
        <f>VALUE(月庫存金額!X10)</f>
        <v>1843699</v>
      </c>
      <c r="M47" s="130">
        <f>VALUE(月庫存金額!Y10)</f>
        <v>2388094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2518563</v>
      </c>
      <c r="Q47" s="121"/>
    </row>
    <row r="48" spans="1:17" ht="13.5" x14ac:dyDescent="0.3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 x14ac:dyDescent="0.3">
      <c r="A49" s="126"/>
      <c r="B49" s="127"/>
      <c r="C49" s="233" t="s">
        <v>20</v>
      </c>
      <c r="D49" s="130">
        <f>VALUE(月庫存金額!P14)</f>
        <v>295438</v>
      </c>
      <c r="E49" s="130">
        <f>VALUE(月庫存金額!Q14)</f>
        <v>352938</v>
      </c>
      <c r="F49" s="130">
        <f>VALUE(月庫存金額!R14)</f>
        <v>271778</v>
      </c>
      <c r="G49" s="130">
        <f>VALUE(月庫存金額!S14)</f>
        <v>243488</v>
      </c>
      <c r="H49" s="130">
        <f>VALUE(月庫存金額!T14)</f>
        <v>156098</v>
      </c>
      <c r="I49" s="130">
        <f>VALUE(月庫存金額!U14)</f>
        <v>391598</v>
      </c>
      <c r="J49" s="130">
        <f>VALUE(月庫存金額!V14)</f>
        <v>273008</v>
      </c>
      <c r="K49" s="130">
        <f>VALUE(月庫存金額!W14)</f>
        <v>237688</v>
      </c>
      <c r="L49" s="130">
        <f>VALUE(月庫存金額!X14)</f>
        <v>157748</v>
      </c>
      <c r="M49" s="130">
        <f>VALUE(月庫存金額!Y14)</f>
        <v>139948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251973</v>
      </c>
      <c r="Q49" s="121"/>
    </row>
    <row r="50" spans="1:17" ht="16.5" customHeight="1" x14ac:dyDescent="0.3">
      <c r="A50" s="126"/>
      <c r="B50" s="759" t="s">
        <v>22</v>
      </c>
      <c r="C50" s="760"/>
      <c r="D50" s="124">
        <f>SUM(D51:D57)</f>
        <v>230494127</v>
      </c>
      <c r="E50" s="124">
        <f>SUM(E51:E57)</f>
        <v>253496760</v>
      </c>
      <c r="F50" s="124">
        <f>SUM(F51:F57)</f>
        <v>262718885</v>
      </c>
      <c r="G50" s="124">
        <f t="shared" ref="G50:P50" si="8">SUM(G51:G57)</f>
        <v>273455445</v>
      </c>
      <c r="H50" s="124">
        <f t="shared" si="8"/>
        <v>246617490</v>
      </c>
      <c r="I50" s="124">
        <f t="shared" si="8"/>
        <v>241078836</v>
      </c>
      <c r="J50" s="124">
        <f t="shared" si="8"/>
        <v>218047190</v>
      </c>
      <c r="K50" s="124">
        <f t="shared" si="8"/>
        <v>203667929</v>
      </c>
      <c r="L50" s="124">
        <f t="shared" si="8"/>
        <v>202907444</v>
      </c>
      <c r="M50" s="124">
        <f t="shared" si="8"/>
        <v>194090287</v>
      </c>
      <c r="N50" s="124">
        <f t="shared" si="8"/>
        <v>0</v>
      </c>
      <c r="O50" s="124">
        <f t="shared" si="8"/>
        <v>0</v>
      </c>
      <c r="P50" s="124">
        <f t="shared" si="8"/>
        <v>232657439</v>
      </c>
      <c r="Q50" s="121"/>
    </row>
    <row r="51" spans="1:17" ht="13.5" x14ac:dyDescent="0.3">
      <c r="A51" s="126"/>
      <c r="B51" s="127"/>
      <c r="C51" s="128" t="s">
        <v>23</v>
      </c>
      <c r="D51" s="130">
        <f>VALUE(月庫存金額!P3)</f>
        <v>217348722</v>
      </c>
      <c r="E51" s="130">
        <f>VALUE(月庫存金額!Q3)</f>
        <v>229286452</v>
      </c>
      <c r="F51" s="130">
        <f>VALUE(月庫存金額!R3)</f>
        <v>234536820</v>
      </c>
      <c r="G51" s="130">
        <f>VALUE(月庫存金額!S3)</f>
        <v>249410081</v>
      </c>
      <c r="H51" s="130">
        <f>VALUE(月庫存金額!T3)</f>
        <v>225086945</v>
      </c>
      <c r="I51" s="130">
        <f>VALUE(月庫存金額!U3)</f>
        <v>223263131</v>
      </c>
      <c r="J51" s="130">
        <f>VALUE(月庫存金額!V3)</f>
        <v>202720734</v>
      </c>
      <c r="K51" s="130">
        <f>VALUE(月庫存金額!W3)</f>
        <v>189668191</v>
      </c>
      <c r="L51" s="130">
        <f>VALUE(月庫存金額!X3)</f>
        <v>190048063</v>
      </c>
      <c r="M51" s="130">
        <f>VALUE(月庫存金額!Y3)</f>
        <v>182120835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214348997</v>
      </c>
      <c r="Q51" s="121"/>
    </row>
    <row r="52" spans="1:17" ht="13.5" x14ac:dyDescent="0.3">
      <c r="A52" s="126"/>
      <c r="B52" s="127"/>
      <c r="C52" s="134" t="s">
        <v>24</v>
      </c>
      <c r="D52" s="130">
        <f>VALUE(月庫存金額!P13)</f>
        <v>4434328</v>
      </c>
      <c r="E52" s="130">
        <f>VALUE(月庫存金額!Q13)</f>
        <v>2190434</v>
      </c>
      <c r="F52" s="130">
        <f>VALUE(月庫存金額!R13)</f>
        <v>2572318</v>
      </c>
      <c r="G52" s="130">
        <f>VALUE(月庫存金額!S13)</f>
        <v>1381676</v>
      </c>
      <c r="H52" s="130">
        <f>VALUE(月庫存金額!T13)</f>
        <v>2094697</v>
      </c>
      <c r="I52" s="130">
        <f>VALUE(月庫存金額!U13)</f>
        <v>1710449</v>
      </c>
      <c r="J52" s="130">
        <f>VALUE(月庫存金額!V13)</f>
        <v>1838782</v>
      </c>
      <c r="K52" s="130">
        <f>VALUE(月庫存金額!W13)</f>
        <v>2076843</v>
      </c>
      <c r="L52" s="130">
        <f>VALUE(月庫存金額!X13)</f>
        <v>1166682</v>
      </c>
      <c r="M52" s="130">
        <f>VALUE(月庫存金額!Y13)</f>
        <v>1846323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2131253</v>
      </c>
      <c r="Q52" s="121"/>
    </row>
    <row r="53" spans="1:17" ht="13.5" x14ac:dyDescent="0.3">
      <c r="A53" s="126"/>
      <c r="B53" s="127"/>
      <c r="C53" s="134" t="s">
        <v>25</v>
      </c>
      <c r="D53" s="130">
        <f>VALUE(月庫存金額!P21)</f>
        <v>161176</v>
      </c>
      <c r="E53" s="130">
        <f>VALUE(月庫存金額!Q21)</f>
        <v>161176</v>
      </c>
      <c r="F53" s="130">
        <f>VALUE(月庫存金額!R21)</f>
        <v>161176</v>
      </c>
      <c r="G53" s="130">
        <f>VALUE(月庫存金額!S21)</f>
        <v>161176</v>
      </c>
      <c r="H53" s="130">
        <f>VALUE(月庫存金額!T21)</f>
        <v>161176</v>
      </c>
      <c r="I53" s="130">
        <f>VALUE(月庫存金額!U21)</f>
        <v>161176</v>
      </c>
      <c r="J53" s="130">
        <f>VALUE(月庫存金額!V21)</f>
        <v>161176</v>
      </c>
      <c r="K53" s="130">
        <f>VALUE(月庫存金額!W21)</f>
        <v>161176</v>
      </c>
      <c r="L53" s="130">
        <f>VALUE(月庫存金額!X21)</f>
        <v>14160</v>
      </c>
      <c r="M53" s="130">
        <f>VALUE(月庫存金額!Y21)</f>
        <v>14160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131773</v>
      </c>
      <c r="Q53" s="121"/>
    </row>
    <row r="54" spans="1:17" ht="13.5" x14ac:dyDescent="0.3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162800</v>
      </c>
      <c r="K54" s="130">
        <f>VALUE(月庫存金額!W20)</f>
        <v>162800</v>
      </c>
      <c r="L54" s="130">
        <f>VALUE(月庫存金額!X20)</f>
        <v>162800</v>
      </c>
      <c r="M54" s="130">
        <f>VALUE(月庫存金額!Y20)</f>
        <v>162800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 x14ac:dyDescent="0.3">
      <c r="A55" s="126"/>
      <c r="B55" s="127"/>
      <c r="C55" s="134" t="s">
        <v>27</v>
      </c>
      <c r="D55" s="130">
        <f>VALUE(月庫存金額!P19)</f>
        <v>8141268</v>
      </c>
      <c r="E55" s="130">
        <f>VALUE(月庫存金額!Q19)</f>
        <v>21387425</v>
      </c>
      <c r="F55" s="130">
        <f>VALUE(月庫存金額!R19)</f>
        <v>25013368</v>
      </c>
      <c r="G55" s="130">
        <f>VALUE(月庫存金額!S19)</f>
        <v>22038535</v>
      </c>
      <c r="H55" s="130">
        <f>VALUE(月庫存金額!T19)</f>
        <v>18904055</v>
      </c>
      <c r="I55" s="130">
        <f>VALUE(月庫存金額!U19)</f>
        <v>15510521</v>
      </c>
      <c r="J55" s="130">
        <f>VALUE(月庫存金額!V19)</f>
        <v>12938602</v>
      </c>
      <c r="K55" s="130">
        <f>VALUE(月庫存金額!W19)</f>
        <v>11385802</v>
      </c>
      <c r="L55" s="130">
        <f>VALUE(月庫存金額!X19)</f>
        <v>11317748</v>
      </c>
      <c r="M55" s="130">
        <f>VALUE(月庫存金額!Y19)</f>
        <v>9771866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15640919</v>
      </c>
      <c r="Q55" s="121"/>
    </row>
    <row r="56" spans="1:17" ht="13.5" x14ac:dyDescent="0.3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93089</v>
      </c>
      <c r="G56" s="130">
        <f>VALUE(月庫存金額!S11)</f>
        <v>91839</v>
      </c>
      <c r="H56" s="130">
        <f>VALUE(月庫存金額!T11)</f>
        <v>91839</v>
      </c>
      <c r="I56" s="130">
        <f>VALUE(月庫存金額!U11)</f>
        <v>106839</v>
      </c>
      <c r="J56" s="130">
        <f>VALUE(月庫存金額!V11)</f>
        <v>106839</v>
      </c>
      <c r="K56" s="130">
        <f>VALUE(月庫存金額!W11)</f>
        <v>97149</v>
      </c>
      <c r="L56" s="130">
        <f>VALUE(月庫存金額!X11)</f>
        <v>106839</v>
      </c>
      <c r="M56" s="130">
        <f>VALUE(月庫存金額!Y11)</f>
        <v>106839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101495</v>
      </c>
      <c r="Q56" s="121"/>
    </row>
    <row r="57" spans="1:17" ht="13.5" x14ac:dyDescent="0.4">
      <c r="A57" s="126"/>
      <c r="B57" s="127"/>
      <c r="C57" s="138" t="s">
        <v>29</v>
      </c>
      <c r="D57" s="130">
        <f>VALUE(月庫存金額!P22)</f>
        <v>138994</v>
      </c>
      <c r="E57" s="130">
        <f>VALUE(月庫存金額!Q22)</f>
        <v>201634</v>
      </c>
      <c r="F57" s="130">
        <f>VALUE(月庫存金額!R22)</f>
        <v>179314</v>
      </c>
      <c r="G57" s="130">
        <f>VALUE(月庫存金額!S22)</f>
        <v>209338</v>
      </c>
      <c r="H57" s="130">
        <f>VALUE(月庫存金額!T22)</f>
        <v>115978</v>
      </c>
      <c r="I57" s="130">
        <f>VALUE(月庫存金額!U22)</f>
        <v>163920</v>
      </c>
      <c r="J57" s="130">
        <f>VALUE(月庫存金額!V22)</f>
        <v>118257</v>
      </c>
      <c r="K57" s="130">
        <f>VALUE(月庫存金額!W22)</f>
        <v>115968</v>
      </c>
      <c r="L57" s="130">
        <f>VALUE(月庫存金額!X22)</f>
        <v>91152</v>
      </c>
      <c r="M57" s="130">
        <f>VALUE(月庫存金額!Y22)</f>
        <v>67464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140202</v>
      </c>
      <c r="Q57" s="121"/>
    </row>
    <row r="58" spans="1:17" ht="14.25" customHeight="1" x14ac:dyDescent="0.4">
      <c r="A58" s="126"/>
      <c r="B58" s="757" t="s">
        <v>30</v>
      </c>
      <c r="C58" s="758"/>
      <c r="D58" s="124">
        <f>SUM(D59:D62)</f>
        <v>12472707</v>
      </c>
      <c r="E58" s="124">
        <f t="shared" ref="E58:P58" si="9">SUM(E59:E62)</f>
        <v>16017278</v>
      </c>
      <c r="F58" s="124">
        <f t="shared" si="9"/>
        <v>15562525</v>
      </c>
      <c r="G58" s="124">
        <f t="shared" si="9"/>
        <v>18824480</v>
      </c>
      <c r="H58" s="124">
        <f t="shared" si="9"/>
        <v>21536256</v>
      </c>
      <c r="I58" s="124">
        <f t="shared" si="9"/>
        <v>16108335</v>
      </c>
      <c r="J58" s="124">
        <f t="shared" si="9"/>
        <v>18113942</v>
      </c>
      <c r="K58" s="124">
        <f t="shared" si="9"/>
        <v>15596489</v>
      </c>
      <c r="L58" s="124">
        <f t="shared" si="9"/>
        <v>14641642</v>
      </c>
      <c r="M58" s="124">
        <f t="shared" si="9"/>
        <v>14156763</v>
      </c>
      <c r="N58" s="124">
        <f t="shared" si="9"/>
        <v>0</v>
      </c>
      <c r="O58" s="124">
        <f t="shared" si="9"/>
        <v>0</v>
      </c>
      <c r="P58" s="124">
        <f t="shared" si="9"/>
        <v>16303042</v>
      </c>
      <c r="Q58" s="121"/>
    </row>
    <row r="59" spans="1:17" ht="13.5" x14ac:dyDescent="0.3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 x14ac:dyDescent="0.3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 x14ac:dyDescent="0.3">
      <c r="A61" s="126"/>
      <c r="B61" s="127"/>
      <c r="C61" s="134" t="s">
        <v>269</v>
      </c>
      <c r="D61" s="130">
        <f>VALUE(月庫存金額!P25)</f>
        <v>7670141</v>
      </c>
      <c r="E61" s="130">
        <f>VALUE(月庫存金額!Q25)</f>
        <v>10611816</v>
      </c>
      <c r="F61" s="130">
        <f>VALUE(月庫存金額!R25)</f>
        <v>9016362</v>
      </c>
      <c r="G61" s="130">
        <f>VALUE(月庫存金額!S25)</f>
        <v>11070523</v>
      </c>
      <c r="H61" s="130">
        <f>VALUE(月庫存金額!T25)</f>
        <v>11313936</v>
      </c>
      <c r="I61" s="130">
        <f>VALUE(月庫存金額!U25)</f>
        <v>7153933</v>
      </c>
      <c r="J61" s="130">
        <f>VALUE(月庫存金額!V25)</f>
        <v>10230303</v>
      </c>
      <c r="K61" s="130">
        <f>VALUE(月庫存金額!W25)</f>
        <v>7897345</v>
      </c>
      <c r="L61" s="130">
        <f>VALUE(月庫存金額!X25)</f>
        <v>8011452</v>
      </c>
      <c r="M61" s="130">
        <f>VALUE(月庫存金額!Y25)</f>
        <v>8090256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9106607</v>
      </c>
      <c r="Q61" s="121"/>
    </row>
    <row r="62" spans="1:17" ht="13.5" x14ac:dyDescent="0.3">
      <c r="A62" s="126"/>
      <c r="B62" s="132"/>
      <c r="C62" s="134" t="s">
        <v>270</v>
      </c>
      <c r="D62" s="130">
        <f>VALUE(月庫存金額!P26)</f>
        <v>4802566</v>
      </c>
      <c r="E62" s="130">
        <f>VALUE(月庫存金額!Q26)</f>
        <v>5405462</v>
      </c>
      <c r="F62" s="130">
        <f>VALUE(月庫存金額!R26)</f>
        <v>6546163</v>
      </c>
      <c r="G62" s="130">
        <f>VALUE(月庫存金額!S26)</f>
        <v>7753957</v>
      </c>
      <c r="H62" s="130">
        <f>VALUE(月庫存金額!T26)</f>
        <v>10222320</v>
      </c>
      <c r="I62" s="130">
        <f>VALUE(月庫存金額!U26)</f>
        <v>8954402</v>
      </c>
      <c r="J62" s="130">
        <f>VALUE(月庫存金額!V26)</f>
        <v>7883639</v>
      </c>
      <c r="K62" s="130">
        <f>VALUE(月庫存金額!W26)</f>
        <v>7699144</v>
      </c>
      <c r="L62" s="130">
        <f>VALUE(月庫存金額!X26)</f>
        <v>6630190</v>
      </c>
      <c r="M62" s="130">
        <f>VALUE(月庫存金額!Y26)</f>
        <v>6066507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7196435</v>
      </c>
      <c r="Q62" s="121"/>
    </row>
    <row r="63" spans="1:17" ht="13.5" x14ac:dyDescent="0.3">
      <c r="A63" s="761" t="s">
        <v>36</v>
      </c>
      <c r="B63" s="762"/>
      <c r="C63" s="139" t="s">
        <v>37</v>
      </c>
      <c r="D63" s="140">
        <f>VALUE(月庫存金額!P15)</f>
        <v>1605674</v>
      </c>
      <c r="E63" s="140">
        <f>VALUE(月庫存金額!Q15)</f>
        <v>1609870</v>
      </c>
      <c r="F63" s="140">
        <f>VALUE(月庫存金額!R15)</f>
        <v>1605674</v>
      </c>
      <c r="G63" s="140">
        <f>VALUE(月庫存金額!S15)</f>
        <v>1605674</v>
      </c>
      <c r="H63" s="140">
        <f>VALUE(月庫存金額!T15)</f>
        <v>1641175</v>
      </c>
      <c r="I63" s="140">
        <f>VALUE(月庫存金額!U15)</f>
        <v>3712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111323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818310</v>
      </c>
      <c r="Q63" s="121"/>
    </row>
    <row r="64" spans="1:17" ht="14.25" customHeight="1" x14ac:dyDescent="0.3">
      <c r="A64" s="763"/>
      <c r="B64" s="764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 x14ac:dyDescent="0.3">
      <c r="A65" s="763"/>
      <c r="B65" s="764"/>
      <c r="C65" s="239" t="s">
        <v>39</v>
      </c>
      <c r="D65" s="143">
        <f>VALUE(月庫存金額!P17)</f>
        <v>5742313</v>
      </c>
      <c r="E65" s="143">
        <f>VALUE(月庫存金額!Q17)</f>
        <v>8972166</v>
      </c>
      <c r="F65" s="143">
        <f>VALUE(月庫存金額!R17)</f>
        <v>8317135</v>
      </c>
      <c r="G65" s="143">
        <f>VALUE(月庫存金額!S17)</f>
        <v>9516089</v>
      </c>
      <c r="H65" s="143">
        <f>VALUE(月庫存金額!T17)</f>
        <v>8732706</v>
      </c>
      <c r="I65" s="143">
        <f>VALUE(月庫存金額!U17)</f>
        <v>9918985</v>
      </c>
      <c r="J65" s="143">
        <f>VALUE(月庫存金額!V17)</f>
        <v>8631009</v>
      </c>
      <c r="K65" s="143">
        <f>VALUE(月庫存金額!W17)</f>
        <v>12496630</v>
      </c>
      <c r="L65" s="143">
        <f>VALUE(月庫存金額!X17)</f>
        <v>13604767</v>
      </c>
      <c r="M65" s="143">
        <f>VALUE(月庫存金額!Y17)</f>
        <v>9423868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9535567</v>
      </c>
      <c r="Q65" s="121"/>
    </row>
    <row r="66" spans="1:17" ht="14" thickBot="1" x14ac:dyDescent="0.35">
      <c r="A66" s="765"/>
      <c r="B66" s="766"/>
      <c r="C66" s="146" t="s">
        <v>40</v>
      </c>
      <c r="D66" s="147">
        <f>VALUE(月庫存金額!P18)</f>
        <v>11062673</v>
      </c>
      <c r="E66" s="147">
        <f>VALUE(月庫存金額!Q18)</f>
        <v>12466503</v>
      </c>
      <c r="F66" s="147">
        <f>VALUE(月庫存金額!R18)</f>
        <v>10840157</v>
      </c>
      <c r="G66" s="147">
        <f>VALUE(月庫存金額!S18)</f>
        <v>10247940</v>
      </c>
      <c r="H66" s="147">
        <f>VALUE(月庫存金額!T18)</f>
        <v>10635612</v>
      </c>
      <c r="I66" s="147">
        <f>VALUE(月庫存金額!U18)</f>
        <v>9607589</v>
      </c>
      <c r="J66" s="147">
        <f>VALUE(月庫存金額!V18)</f>
        <v>9914938</v>
      </c>
      <c r="K66" s="147">
        <f>VALUE(月庫存金額!W18)</f>
        <v>9957082</v>
      </c>
      <c r="L66" s="147">
        <f>VALUE(月庫存金額!X18)</f>
        <v>10930691</v>
      </c>
      <c r="M66" s="147">
        <f>VALUE(月庫存金額!Y18)</f>
        <v>10476266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10613945</v>
      </c>
      <c r="Q66" s="121"/>
    </row>
    <row r="67" spans="1:17" ht="13.5" x14ac:dyDescent="0.3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 x14ac:dyDescent="0.3">
      <c r="A68" s="151"/>
      <c r="B68" s="158"/>
      <c r="C68" s="159">
        <v>7</v>
      </c>
      <c r="P68" s="338">
        <f>VALUE(月庫存金額!AB28)</f>
        <v>0</v>
      </c>
    </row>
    <row r="69" spans="1:17" ht="14" hidden="1" thickBot="1" x14ac:dyDescent="0.45">
      <c r="A69" s="112" t="s">
        <v>272</v>
      </c>
      <c r="B69" s="112"/>
      <c r="C69" s="112"/>
      <c r="Q69" s="121"/>
    </row>
    <row r="70" spans="1:17" ht="13.5" hidden="1" x14ac:dyDescent="0.3">
      <c r="A70" s="728" t="s">
        <v>1</v>
      </c>
      <c r="B70" s="729"/>
      <c r="C70" s="729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 x14ac:dyDescent="0.2">
      <c r="A71" s="754" t="s">
        <v>9</v>
      </c>
      <c r="B71" s="755"/>
      <c r="C71" s="756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 x14ac:dyDescent="0.2">
      <c r="A72" s="123"/>
      <c r="B72" s="757" t="s">
        <v>10</v>
      </c>
      <c r="C72" s="758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 x14ac:dyDescent="0.3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 x14ac:dyDescent="0.3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 x14ac:dyDescent="0.3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 x14ac:dyDescent="0.3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 x14ac:dyDescent="0.3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 x14ac:dyDescent="0.3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" hidden="1" thickBot="1" x14ac:dyDescent="0.35">
      <c r="A79" s="126"/>
      <c r="B79" s="759" t="s">
        <v>17</v>
      </c>
      <c r="C79" s="767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 x14ac:dyDescent="0.3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 x14ac:dyDescent="0.3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 x14ac:dyDescent="0.3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 x14ac:dyDescent="0.2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 x14ac:dyDescent="0.2">
      <c r="A84" s="126"/>
      <c r="B84" s="757" t="s">
        <v>22</v>
      </c>
      <c r="C84" s="758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 x14ac:dyDescent="0.3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 x14ac:dyDescent="0.3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 x14ac:dyDescent="0.3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 x14ac:dyDescent="0.3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 x14ac:dyDescent="0.3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 x14ac:dyDescent="0.3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 x14ac:dyDescent="0.2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 x14ac:dyDescent="0.3">
      <c r="A92" s="761" t="s">
        <v>36</v>
      </c>
      <c r="B92" s="762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 x14ac:dyDescent="0.3">
      <c r="A93" s="763"/>
      <c r="B93" s="764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 x14ac:dyDescent="0.3">
      <c r="A94" s="763"/>
      <c r="B94" s="764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" hidden="1" thickBot="1" x14ac:dyDescent="0.35">
      <c r="A95" s="765"/>
      <c r="B95" s="766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 x14ac:dyDescent="0.3">
      <c r="A96" s="151"/>
      <c r="B96" s="158"/>
      <c r="C96" s="159"/>
    </row>
    <row r="97" spans="1:19" ht="14" thickBot="1" x14ac:dyDescent="0.45">
      <c r="A97" s="112" t="s">
        <v>274</v>
      </c>
      <c r="B97" s="112"/>
      <c r="C97" s="112"/>
    </row>
    <row r="98" spans="1:19" ht="13.5" x14ac:dyDescent="0.3">
      <c r="A98" s="728" t="s">
        <v>1</v>
      </c>
      <c r="B98" s="729"/>
      <c r="C98" s="729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 x14ac:dyDescent="0.3">
      <c r="A99" s="768" t="s">
        <v>11</v>
      </c>
      <c r="B99" s="769"/>
      <c r="C99" s="769"/>
      <c r="D99" s="187" t="str">
        <f>月供應率ALL!C2</f>
        <v>98.2</v>
      </c>
      <c r="E99" s="187" t="str">
        <f>月供應率ALL!D2</f>
        <v>98</v>
      </c>
      <c r="F99" s="187" t="str">
        <f>月供應率ALL!E2</f>
        <v>98.5</v>
      </c>
      <c r="G99" s="187" t="str">
        <f>月供應率ALL!F2</f>
        <v>98.5</v>
      </c>
      <c r="H99" s="187" t="str">
        <f>月供應率ALL!G2</f>
        <v>98.2</v>
      </c>
      <c r="I99" s="187" t="str">
        <f>月供應率ALL!H2</f>
        <v>97.9</v>
      </c>
      <c r="J99" s="187" t="str">
        <f>月供應率ALL!I2</f>
        <v>97.7</v>
      </c>
      <c r="K99" s="187" t="str">
        <f>月供應率ALL!J2</f>
        <v>97.9</v>
      </c>
      <c r="L99" s="187" t="str">
        <f>月供應率ALL!K2</f>
        <v>97.7</v>
      </c>
      <c r="M99" s="187" t="str">
        <f>月供應率ALL!L2</f>
        <v>97.9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98</v>
      </c>
      <c r="Q99" s="536">
        <v>97.9</v>
      </c>
      <c r="R99" s="702"/>
      <c r="S99" s="703"/>
    </row>
    <row r="100" spans="1:19" ht="13.5" x14ac:dyDescent="0.3">
      <c r="A100" s="736" t="s">
        <v>12</v>
      </c>
      <c r="B100" s="737"/>
      <c r="C100" s="737"/>
      <c r="D100" s="187" t="str">
        <f>月供應率ALL!C4</f>
        <v>99.1</v>
      </c>
      <c r="E100" s="187" t="str">
        <f>月供應率ALL!D4</f>
        <v>99.9</v>
      </c>
      <c r="F100" s="187" t="str">
        <f>月供應率ALL!E4</f>
        <v>100</v>
      </c>
      <c r="G100" s="187" t="str">
        <f>月供應率ALL!F4</f>
        <v>100</v>
      </c>
      <c r="H100" s="187" t="str">
        <f>月供應率ALL!G4</f>
        <v>100</v>
      </c>
      <c r="I100" s="187" t="str">
        <f>月供應率ALL!H4</f>
        <v>99.9</v>
      </c>
      <c r="J100" s="187" t="str">
        <f>月供應率ALL!I4</f>
        <v>100</v>
      </c>
      <c r="K100" s="187" t="str">
        <f>月供應率ALL!J4</f>
        <v>99.9</v>
      </c>
      <c r="L100" s="187" t="str">
        <f>月供應率ALL!K4</f>
        <v>100</v>
      </c>
      <c r="M100" s="187" t="str">
        <f>月供應率ALL!L4</f>
        <v>99.9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99.8</v>
      </c>
      <c r="Q100" s="536">
        <v>99</v>
      </c>
      <c r="R100" s="702"/>
      <c r="S100" s="703"/>
    </row>
    <row r="101" spans="1:19" ht="13.5" x14ac:dyDescent="0.3">
      <c r="A101" s="736" t="s">
        <v>13</v>
      </c>
      <c r="B101" s="737"/>
      <c r="C101" s="737"/>
      <c r="D101" s="187" t="str">
        <f>月供應率ALL!C5</f>
        <v>87.1</v>
      </c>
      <c r="E101" s="187" t="str">
        <f>月供應率ALL!D5</f>
        <v>91.1</v>
      </c>
      <c r="F101" s="187" t="str">
        <f>月供應率ALL!E5</f>
        <v>97.9</v>
      </c>
      <c r="G101" s="187" t="str">
        <f>月供應率ALL!F5</f>
        <v>93.5</v>
      </c>
      <c r="H101" s="187" t="str">
        <f>月供應率ALL!G5</f>
        <v>89</v>
      </c>
      <c r="I101" s="187" t="str">
        <f>月供應率ALL!H5</f>
        <v>86.5</v>
      </c>
      <c r="J101" s="187" t="str">
        <f>月供應率ALL!I5</f>
        <v>82.2</v>
      </c>
      <c r="K101" s="187" t="str">
        <f>月供應率ALL!J5</f>
        <v>91.4</v>
      </c>
      <c r="L101" s="187" t="str">
        <f>月供應率ALL!K5</f>
        <v>83.4</v>
      </c>
      <c r="M101" s="187" t="str">
        <f>月供應率ALL!L5</f>
        <v>81.7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88.3</v>
      </c>
      <c r="Q101" s="536">
        <v>75</v>
      </c>
      <c r="R101" s="702"/>
      <c r="S101" s="703"/>
    </row>
    <row r="102" spans="1:19" ht="13.5" x14ac:dyDescent="0.3">
      <c r="A102" s="736" t="s">
        <v>14</v>
      </c>
      <c r="B102" s="737"/>
      <c r="C102" s="737"/>
      <c r="D102" s="187" t="str">
        <f>月供應率ALL!C6</f>
        <v>99.7</v>
      </c>
      <c r="E102" s="187" t="str">
        <f>月供應率ALL!D6</f>
        <v>99.2</v>
      </c>
      <c r="F102" s="187" t="str">
        <f>月供應率ALL!E6</f>
        <v>99.5</v>
      </c>
      <c r="G102" s="187" t="str">
        <f>月供應率ALL!F6</f>
        <v>99.3</v>
      </c>
      <c r="H102" s="187" t="str">
        <f>月供應率ALL!G6</f>
        <v>99.7</v>
      </c>
      <c r="I102" s="187" t="str">
        <f>月供應率ALL!H6</f>
        <v>99.4</v>
      </c>
      <c r="J102" s="187" t="str">
        <f>月供應率ALL!I6</f>
        <v>99.7</v>
      </c>
      <c r="K102" s="187" t="str">
        <f>月供應率ALL!J6</f>
        <v>99.4</v>
      </c>
      <c r="L102" s="187" t="str">
        <f>月供應率ALL!K6</f>
        <v>99.4</v>
      </c>
      <c r="M102" s="187" t="str">
        <f>月供應率ALL!L6</f>
        <v>99.5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99.4</v>
      </c>
      <c r="Q102" s="536">
        <v>99</v>
      </c>
      <c r="R102" s="702"/>
      <c r="S102" s="703"/>
    </row>
    <row r="103" spans="1:19" ht="13.5" x14ac:dyDescent="0.3">
      <c r="A103" s="736" t="s">
        <v>21</v>
      </c>
      <c r="B103" s="737"/>
      <c r="C103" s="737"/>
      <c r="D103" s="187" t="str">
        <f>月供應率ALL!C23</f>
        <v>94.7</v>
      </c>
      <c r="E103" s="187" t="str">
        <f>月供應率ALL!D23</f>
        <v>94.7</v>
      </c>
      <c r="F103" s="187" t="str">
        <f>月供應率ALL!E23</f>
        <v>94.4</v>
      </c>
      <c r="G103" s="187" t="str">
        <f>月供應率ALL!F23</f>
        <v>95.9</v>
      </c>
      <c r="H103" s="187" t="str">
        <f>月供應率ALL!G23</f>
        <v>94.4</v>
      </c>
      <c r="I103" s="187" t="str">
        <f>月供應率ALL!H23</f>
        <v>94.5</v>
      </c>
      <c r="J103" s="187" t="str">
        <f>月供應率ALL!I23</f>
        <v>90.8</v>
      </c>
      <c r="K103" s="187" t="str">
        <f>月供應率ALL!J23</f>
        <v>92.6</v>
      </c>
      <c r="L103" s="187" t="str">
        <f>月供應率ALL!K23</f>
        <v>94.1</v>
      </c>
      <c r="M103" s="187" t="str">
        <f>月供應率ALL!L23</f>
        <v>93.2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93.9</v>
      </c>
      <c r="Q103" s="536">
        <v>92</v>
      </c>
      <c r="R103" s="702"/>
      <c r="S103" s="703"/>
    </row>
    <row r="104" spans="1:19" ht="13.5" x14ac:dyDescent="0.3">
      <c r="A104" s="736" t="s">
        <v>16</v>
      </c>
      <c r="B104" s="737"/>
      <c r="C104" s="737"/>
      <c r="D104" s="187" t="s">
        <v>1727</v>
      </c>
      <c r="E104" s="187" t="str">
        <f>月供應率ALL!D8</f>
        <v>98.5</v>
      </c>
      <c r="F104" s="187" t="str">
        <f>月供應率ALL!E8</f>
        <v>98.8</v>
      </c>
      <c r="G104" s="187" t="str">
        <f>月供應率ALL!F8</f>
        <v>98.9</v>
      </c>
      <c r="H104" s="187" t="str">
        <f>月供應率ALL!G8</f>
        <v>98</v>
      </c>
      <c r="I104" s="187" t="str">
        <f>月供應率ALL!H8</f>
        <v>98.2</v>
      </c>
      <c r="J104" s="187" t="str">
        <f>月供應率ALL!I8</f>
        <v>97.7</v>
      </c>
      <c r="K104" s="187" t="str">
        <f>月供應率ALL!J8</f>
        <v>98.6</v>
      </c>
      <c r="L104" s="187" t="str">
        <f>月供應率ALL!K8</f>
        <v>97.8</v>
      </c>
      <c r="M104" s="187" t="str">
        <f>月供應率ALL!L8</f>
        <v>97.2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98.1</v>
      </c>
      <c r="Q104" s="536">
        <v>95</v>
      </c>
      <c r="R104" s="702"/>
      <c r="S104" s="703"/>
    </row>
    <row r="105" spans="1:19" ht="13.5" x14ac:dyDescent="0.3">
      <c r="A105" s="707" t="s">
        <v>17</v>
      </c>
      <c r="B105" s="708"/>
      <c r="C105" s="708"/>
      <c r="D105" s="187" t="str">
        <f>月供應率ALL!C9</f>
        <v>98.6</v>
      </c>
      <c r="E105" s="187" t="str">
        <f>月供應率ALL!D9</f>
        <v>94.7</v>
      </c>
      <c r="F105" s="187" t="str">
        <f>月供應率ALL!E9</f>
        <v>91.2</v>
      </c>
      <c r="G105" s="187" t="str">
        <f>月供應率ALL!F9</f>
        <v>99.7</v>
      </c>
      <c r="H105" s="187" t="str">
        <f>月供應率ALL!G9</f>
        <v>96.2</v>
      </c>
      <c r="I105" s="187" t="str">
        <f>月供應率ALL!H9</f>
        <v>95.9</v>
      </c>
      <c r="J105" s="187" t="str">
        <f>月供應率ALL!I9</f>
        <v>100</v>
      </c>
      <c r="K105" s="187" t="str">
        <f>月供應率ALL!J9</f>
        <v>98.3</v>
      </c>
      <c r="L105" s="187" t="str">
        <f>月供應率ALL!K9</f>
        <v>90.7</v>
      </c>
      <c r="M105" s="187" t="str">
        <f>月供應率ALL!L9</f>
        <v>92.8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95.8</v>
      </c>
      <c r="Q105" s="536">
        <v>95</v>
      </c>
      <c r="R105" s="702"/>
      <c r="S105" s="703"/>
    </row>
    <row r="106" spans="1:19" ht="13.5" x14ac:dyDescent="0.3">
      <c r="A106" s="746" t="s">
        <v>49</v>
      </c>
      <c r="B106" s="747"/>
      <c r="C106" s="748"/>
      <c r="D106" s="256" t="str">
        <f>月供應率ALL!C10</f>
        <v>98.3</v>
      </c>
      <c r="E106" s="256" t="str">
        <f>月供應率ALL!D10</f>
        <v>98.1</v>
      </c>
      <c r="F106" s="256" t="str">
        <f>月供應率ALL!E10</f>
        <v>98.5</v>
      </c>
      <c r="G106" s="256" t="str">
        <f>月供應率ALL!F10</f>
        <v>98.6</v>
      </c>
      <c r="H106" s="256" t="str">
        <f>月供應率ALL!G10</f>
        <v>98.3</v>
      </c>
      <c r="I106" s="256" t="str">
        <f>月供應率ALL!H10</f>
        <v>98</v>
      </c>
      <c r="J106" s="256" t="str">
        <f>月供應率ALL!I10</f>
        <v>97.8</v>
      </c>
      <c r="K106" s="256" t="str">
        <f>月供應率ALL!J10</f>
        <v>98</v>
      </c>
      <c r="L106" s="256" t="str">
        <f>月供應率ALL!K10</f>
        <v>97.9</v>
      </c>
      <c r="M106" s="256" t="str">
        <f>月供應率ALL!L10</f>
        <v>98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98.1</v>
      </c>
      <c r="Q106" s="537">
        <v>97.8</v>
      </c>
      <c r="R106" s="240"/>
      <c r="S106" s="241"/>
    </row>
    <row r="107" spans="1:19" ht="13.5" x14ac:dyDescent="0.3">
      <c r="A107" s="736" t="s">
        <v>276</v>
      </c>
      <c r="B107" s="737"/>
      <c r="C107" s="737"/>
      <c r="D107" s="187" t="str">
        <f>月供應率ALL!C3</f>
        <v>97.7</v>
      </c>
      <c r="E107" s="187" t="str">
        <f>月供應率ALL!D3</f>
        <v>98.1</v>
      </c>
      <c r="F107" s="187" t="str">
        <f>月供應率ALL!E3</f>
        <v>98.4</v>
      </c>
      <c r="G107" s="187" t="str">
        <f>月供應率ALL!F3</f>
        <v>98.6</v>
      </c>
      <c r="H107" s="187" t="str">
        <f>月供應率ALL!G3</f>
        <v>98.5</v>
      </c>
      <c r="I107" s="187" t="str">
        <f>月供應率ALL!H3</f>
        <v>98.2</v>
      </c>
      <c r="J107" s="187" t="str">
        <f>月供應率ALL!I3</f>
        <v>98.2</v>
      </c>
      <c r="K107" s="187" t="str">
        <f>月供應率ALL!J3</f>
        <v>98.1</v>
      </c>
      <c r="L107" s="187" t="str">
        <f>月供應率ALL!K3</f>
        <v>97.5</v>
      </c>
      <c r="M107" s="187" t="str">
        <f>月供應率ALL!L3</f>
        <v>98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98.1</v>
      </c>
      <c r="Q107" s="536">
        <v>97.8</v>
      </c>
      <c r="R107" s="240"/>
      <c r="S107" s="241"/>
    </row>
    <row r="108" spans="1:19" ht="13.5" x14ac:dyDescent="0.3">
      <c r="A108" s="257" t="s">
        <v>24</v>
      </c>
      <c r="B108" s="258"/>
      <c r="C108" s="259"/>
      <c r="D108" s="189" t="str">
        <f>月供應率ALL!C11</f>
        <v>96</v>
      </c>
      <c r="E108" s="189" t="str">
        <f>月供應率ALL!D11</f>
        <v>99.6</v>
      </c>
      <c r="F108" s="189" t="str">
        <f>月供應率ALL!E11</f>
        <v>100</v>
      </c>
      <c r="G108" s="189" t="str">
        <f>月供應率ALL!F11</f>
        <v>100</v>
      </c>
      <c r="H108" s="189" t="str">
        <f>月供應率ALL!G11</f>
        <v>99.6</v>
      </c>
      <c r="I108" s="189" t="str">
        <f>月供應率ALL!H11</f>
        <v>100</v>
      </c>
      <c r="J108" s="189" t="str">
        <f>月供應率ALL!I11</f>
        <v>99.8</v>
      </c>
      <c r="K108" s="189" t="str">
        <f>月供應率ALL!J11</f>
        <v>100</v>
      </c>
      <c r="L108" s="189" t="str">
        <f>月供應率ALL!K11</f>
        <v>100</v>
      </c>
      <c r="M108" s="189" t="str">
        <f>月供應率ALL!L11</f>
        <v>100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99.5</v>
      </c>
      <c r="Q108" s="538">
        <v>99</v>
      </c>
      <c r="R108" s="240"/>
      <c r="S108" s="241"/>
    </row>
    <row r="109" spans="1:19" ht="13.5" x14ac:dyDescent="0.3">
      <c r="A109" s="257" t="s">
        <v>25</v>
      </c>
      <c r="B109" s="258"/>
      <c r="C109" s="259"/>
      <c r="D109" s="189" t="str">
        <f>月供應率ALL!C12</f>
        <v>95</v>
      </c>
      <c r="E109" s="189" t="str">
        <f>月供應率ALL!D12</f>
        <v>96</v>
      </c>
      <c r="F109" s="189" t="str">
        <f>月供應率ALL!E12</f>
        <v>96.5</v>
      </c>
      <c r="G109" s="189" t="str">
        <f>月供應率ALL!F12</f>
        <v>97.7</v>
      </c>
      <c r="H109" s="189" t="str">
        <f>月供應率ALL!G12</f>
        <v>95.8</v>
      </c>
      <c r="I109" s="189" t="str">
        <f>月供應率ALL!H12</f>
        <v>97.7</v>
      </c>
      <c r="J109" s="189" t="str">
        <f>月供應率ALL!I12</f>
        <v>97.3</v>
      </c>
      <c r="K109" s="189" t="str">
        <f>月供應率ALL!J12</f>
        <v>98.7</v>
      </c>
      <c r="L109" s="189" t="str">
        <f>月供應率ALL!K12</f>
        <v>98.5</v>
      </c>
      <c r="M109" s="189" t="str">
        <f>月供應率ALL!L12</f>
        <v>97.5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97</v>
      </c>
      <c r="Q109" s="538">
        <v>75</v>
      </c>
      <c r="R109" s="240"/>
      <c r="S109" s="241"/>
    </row>
    <row r="110" spans="1:19" ht="13.5" x14ac:dyDescent="0.3">
      <c r="A110" s="257" t="s">
        <v>26</v>
      </c>
      <c r="B110" s="258"/>
      <c r="C110" s="259"/>
      <c r="D110" s="189" t="str">
        <f>月供應率ALL!C13</f>
        <v>96.9</v>
      </c>
      <c r="E110" s="189" t="str">
        <f>月供應率ALL!D13</f>
        <v>95.4</v>
      </c>
      <c r="F110" s="189" t="str">
        <f>月供應率ALL!E13</f>
        <v>95.5</v>
      </c>
      <c r="G110" s="189" t="str">
        <f>月供應率ALL!F13</f>
        <v>96.6</v>
      </c>
      <c r="H110" s="189" t="str">
        <f>月供應率ALL!G13</f>
        <v>97.4</v>
      </c>
      <c r="I110" s="189" t="str">
        <f>月供應率ALL!H13</f>
        <v>96.8</v>
      </c>
      <c r="J110" s="189" t="str">
        <f>月供應率ALL!I13</f>
        <v>97.2</v>
      </c>
      <c r="K110" s="189" t="str">
        <f>月供應率ALL!J13</f>
        <v>95.6</v>
      </c>
      <c r="L110" s="189" t="str">
        <f>月供應率ALL!K13</f>
        <v>96.2</v>
      </c>
      <c r="M110" s="189" t="str">
        <f>月供應率ALL!L13</f>
        <v>96.8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96.4</v>
      </c>
      <c r="Q110" s="538">
        <v>98.7</v>
      </c>
      <c r="R110" s="240"/>
      <c r="S110" s="241"/>
    </row>
    <row r="111" spans="1:19" ht="13.5" x14ac:dyDescent="0.3">
      <c r="A111" s="257" t="s">
        <v>27</v>
      </c>
      <c r="B111" s="258"/>
      <c r="C111" s="259"/>
      <c r="D111" s="189" t="str">
        <f>月供應率ALL!C14</f>
        <v>83</v>
      </c>
      <c r="E111" s="189" t="str">
        <f>月供應率ALL!D14</f>
        <v>87.4</v>
      </c>
      <c r="F111" s="189" t="str">
        <f>月供應率ALL!E14</f>
        <v>94.2</v>
      </c>
      <c r="G111" s="189" t="str">
        <f>月供應率ALL!F14</f>
        <v>96.6</v>
      </c>
      <c r="H111" s="189" t="str">
        <f>月供應率ALL!G14</f>
        <v>95.6</v>
      </c>
      <c r="I111" s="189" t="str">
        <f>月供應率ALL!H14</f>
        <v>96.4</v>
      </c>
      <c r="J111" s="189" t="str">
        <f>月供應率ALL!I14</f>
        <v>98.2</v>
      </c>
      <c r="K111" s="189" t="str">
        <f>月供應率ALL!J14</f>
        <v>93.8</v>
      </c>
      <c r="L111" s="189" t="str">
        <f>月供應率ALL!K14</f>
        <v>92</v>
      </c>
      <c r="M111" s="189" t="str">
        <f>月供應率ALL!L14</f>
        <v>96.6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93.3</v>
      </c>
      <c r="Q111" s="538">
        <v>95</v>
      </c>
      <c r="R111" s="240"/>
      <c r="S111" s="241"/>
    </row>
    <row r="112" spans="1:19" ht="13.5" x14ac:dyDescent="0.3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100</v>
      </c>
      <c r="G112" s="189" t="str">
        <f>月供應率ALL!F15</f>
        <v>50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100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25</v>
      </c>
      <c r="Q112" s="538"/>
      <c r="R112" s="240"/>
      <c r="S112" s="241"/>
    </row>
    <row r="113" spans="1:21" ht="14" thickBot="1" x14ac:dyDescent="0.35">
      <c r="A113" s="749" t="s">
        <v>50</v>
      </c>
      <c r="B113" s="750"/>
      <c r="C113" s="750"/>
      <c r="D113" s="190" t="str">
        <f>月供應率ALL!C16</f>
        <v>96.9</v>
      </c>
      <c r="E113" s="190" t="str">
        <f>月供應率ALL!D16</f>
        <v>97.2</v>
      </c>
      <c r="F113" s="190" t="str">
        <f>月供應率ALL!E16</f>
        <v>97.7</v>
      </c>
      <c r="G113" s="190" t="str">
        <f>月供應率ALL!F16</f>
        <v>98.2</v>
      </c>
      <c r="H113" s="190" t="str">
        <f>月供應率ALL!G16</f>
        <v>98.2</v>
      </c>
      <c r="I113" s="190" t="str">
        <f>月供應率ALL!H16</f>
        <v>98</v>
      </c>
      <c r="J113" s="190" t="str">
        <f>月供應率ALL!I16</f>
        <v>98.1</v>
      </c>
      <c r="K113" s="190" t="str">
        <f>月供應率ALL!J16</f>
        <v>97.6</v>
      </c>
      <c r="L113" s="190" t="str">
        <f>月供應率ALL!K16</f>
        <v>97.2</v>
      </c>
      <c r="M113" s="190" t="str">
        <f>月供應率ALL!L16</f>
        <v>97.8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97.6</v>
      </c>
      <c r="Q113" s="539"/>
      <c r="R113" s="702"/>
      <c r="S113" s="703"/>
    </row>
    <row r="114" spans="1:21" ht="16.5" customHeight="1" x14ac:dyDescent="0.3">
      <c r="A114" s="751" t="s">
        <v>31</v>
      </c>
      <c r="B114" s="752"/>
      <c r="C114" s="753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40"/>
      <c r="R114" s="240"/>
      <c r="S114" s="241"/>
    </row>
    <row r="115" spans="1:21" ht="13.5" x14ac:dyDescent="0.3">
      <c r="A115" s="743" t="s">
        <v>32</v>
      </c>
      <c r="B115" s="744"/>
      <c r="C115" s="745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36"/>
      <c r="R115" s="240"/>
      <c r="S115" s="241"/>
    </row>
    <row r="116" spans="1:21" ht="13.5" x14ac:dyDescent="0.3">
      <c r="A116" s="743" t="s">
        <v>33</v>
      </c>
      <c r="B116" s="744"/>
      <c r="C116" s="745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36"/>
      <c r="R116" s="240"/>
      <c r="S116" s="241"/>
    </row>
    <row r="117" spans="1:21" ht="13.5" x14ac:dyDescent="0.3">
      <c r="A117" s="743" t="s">
        <v>34</v>
      </c>
      <c r="B117" s="744"/>
      <c r="C117" s="745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36"/>
      <c r="R117" s="240"/>
      <c r="S117" s="241"/>
    </row>
    <row r="118" spans="1:21" ht="13.5" x14ac:dyDescent="0.3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36"/>
      <c r="R118" s="240"/>
      <c r="S118" s="241"/>
    </row>
    <row r="119" spans="1:21" ht="15" customHeight="1" thickBot="1" x14ac:dyDescent="0.35">
      <c r="A119" s="738" t="s">
        <v>30</v>
      </c>
      <c r="B119" s="739"/>
      <c r="C119" s="740"/>
      <c r="D119" s="190" t="str">
        <f>月供應率ALL!C21</f>
        <v>85.5</v>
      </c>
      <c r="E119" s="190" t="str">
        <f>月供應率ALL!D21</f>
        <v>80.7</v>
      </c>
      <c r="F119" s="190" t="str">
        <f>月供應率ALL!E21</f>
        <v>90.7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100</v>
      </c>
      <c r="K119" s="190" t="str">
        <f>月供應率ALL!J21</f>
        <v>100</v>
      </c>
      <c r="L119" s="190" t="str">
        <f>月供應率ALL!K21</f>
        <v>98</v>
      </c>
      <c r="M119" s="190" t="str">
        <f>月供應率ALL!L21</f>
        <v>100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95.4</v>
      </c>
      <c r="Q119" s="539"/>
      <c r="R119" s="194"/>
      <c r="S119" s="194"/>
    </row>
    <row r="120" spans="1:21" ht="12.75" customHeight="1" x14ac:dyDescent="0.2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3" x14ac:dyDescent="0.3">
      <c r="A121" s="151"/>
      <c r="R121" s="194"/>
      <c r="S121" s="194"/>
    </row>
    <row r="122" spans="1:21" ht="14" thickBot="1" x14ac:dyDescent="0.45">
      <c r="A122" s="112" t="s">
        <v>277</v>
      </c>
      <c r="B122" s="112"/>
      <c r="C122" s="112"/>
      <c r="R122" s="194"/>
      <c r="S122" s="194"/>
    </row>
    <row r="123" spans="1:21" ht="13.5" x14ac:dyDescent="0.3">
      <c r="A123" s="728" t="s">
        <v>1</v>
      </c>
      <c r="B123" s="729"/>
      <c r="C123" s="729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02"/>
      <c r="S123" s="703"/>
    </row>
    <row r="124" spans="1:21" s="198" customFormat="1" x14ac:dyDescent="0.25">
      <c r="A124" s="741" t="s">
        <v>52</v>
      </c>
      <c r="B124" s="742"/>
      <c r="C124" s="742"/>
      <c r="D124" s="195" t="str">
        <f>月供應率!D2</f>
        <v>98.1</v>
      </c>
      <c r="E124" s="195" t="str">
        <f>月供應率!E2</f>
        <v>97.8</v>
      </c>
      <c r="F124" s="195" t="str">
        <f>月供應率!F2</f>
        <v>98.6</v>
      </c>
      <c r="G124" s="195" t="str">
        <f>月供應率!G2</f>
        <v>98.7</v>
      </c>
      <c r="H124" s="195" t="str">
        <f>月供應率!H2</f>
        <v>98.5</v>
      </c>
      <c r="I124" s="195" t="str">
        <f>月供應率!I2</f>
        <v>98.1</v>
      </c>
      <c r="J124" s="195" t="str">
        <f>月供應率!J2</f>
        <v>97.8</v>
      </c>
      <c r="K124" s="195" t="str">
        <f>月供應率!K2</f>
        <v>97.7</v>
      </c>
      <c r="L124" s="195" t="str">
        <f>月供應率!L2</f>
        <v>97.4</v>
      </c>
      <c r="M124" s="195" t="str">
        <f>月供應率!M2</f>
        <v>97.9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98.1</v>
      </c>
      <c r="Q124" s="197"/>
      <c r="R124" s="702"/>
      <c r="S124" s="703"/>
      <c r="T124" s="114"/>
      <c r="U124" s="114"/>
    </row>
    <row r="125" spans="1:21" s="198" customFormat="1" x14ac:dyDescent="0.25">
      <c r="A125" s="711" t="s">
        <v>53</v>
      </c>
      <c r="B125" s="712"/>
      <c r="C125" s="712"/>
      <c r="D125" s="195" t="str">
        <f>月供應率!D3</f>
        <v>98.4</v>
      </c>
      <c r="E125" s="195" t="str">
        <f>月供應率!E3</f>
        <v>98.4</v>
      </c>
      <c r="F125" s="195" t="str">
        <f>月供應率!F3</f>
        <v>98.6</v>
      </c>
      <c r="G125" s="195" t="str">
        <f>月供應率!G3</f>
        <v>98.7</v>
      </c>
      <c r="H125" s="195" t="str">
        <f>月供應率!H3</f>
        <v>98.2</v>
      </c>
      <c r="I125" s="195" t="str">
        <f>月供應率!I3</f>
        <v>97.8</v>
      </c>
      <c r="J125" s="195" t="str">
        <f>月供應率!J3</f>
        <v>97.8</v>
      </c>
      <c r="K125" s="195" t="str">
        <f>月供應率!K3</f>
        <v>98.3</v>
      </c>
      <c r="L125" s="195" t="str">
        <f>月供應率!L3</f>
        <v>98</v>
      </c>
      <c r="M125" s="195" t="str">
        <f>月供應率!M3</f>
        <v>98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98.2</v>
      </c>
      <c r="Q125" s="197"/>
      <c r="R125" s="702"/>
      <c r="S125" s="703"/>
      <c r="T125" s="114"/>
      <c r="U125" s="114"/>
    </row>
    <row r="126" spans="1:21" s="198" customFormat="1" x14ac:dyDescent="0.25">
      <c r="A126" s="711" t="s">
        <v>54</v>
      </c>
      <c r="B126" s="712"/>
      <c r="C126" s="712"/>
      <c r="D126" s="195" t="str">
        <f>月供應率!D4</f>
        <v>99.3</v>
      </c>
      <c r="E126" s="195" t="str">
        <f>月供應率!E4</f>
        <v>99.3</v>
      </c>
      <c r="F126" s="195" t="str">
        <f>月供應率!F4</f>
        <v>99.4</v>
      </c>
      <c r="G126" s="195" t="str">
        <f>月供應率!G4</f>
        <v>99.4</v>
      </c>
      <c r="H126" s="195" t="str">
        <f>月供應率!H4</f>
        <v>99.2</v>
      </c>
      <c r="I126" s="195" t="str">
        <f>月供應率!I4</f>
        <v>99.1</v>
      </c>
      <c r="J126" s="195" t="str">
        <f>月供應率!J4</f>
        <v>99.3</v>
      </c>
      <c r="K126" s="195" t="str">
        <f>月供應率!K4</f>
        <v>99.1</v>
      </c>
      <c r="L126" s="195" t="str">
        <f>月供應率!L4</f>
        <v>99.2</v>
      </c>
      <c r="M126" s="195" t="str">
        <f>月供應率!M4</f>
        <v>99.1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99.2</v>
      </c>
      <c r="Q126" s="197"/>
      <c r="R126" s="702"/>
      <c r="S126" s="703"/>
      <c r="T126" s="114"/>
      <c r="U126" s="114"/>
    </row>
    <row r="127" spans="1:21" s="198" customFormat="1" x14ac:dyDescent="0.25">
      <c r="A127" s="718" t="s">
        <v>55</v>
      </c>
      <c r="B127" s="719"/>
      <c r="C127" s="720"/>
      <c r="D127" s="199" t="str">
        <f>月供應率!D5</f>
        <v>98.3</v>
      </c>
      <c r="E127" s="199" t="str">
        <f>月供應率!E5</f>
        <v>98.2</v>
      </c>
      <c r="F127" s="199" t="str">
        <f>月供應率!F5</f>
        <v>98.7</v>
      </c>
      <c r="G127" s="199" t="str">
        <f>月供應率!G5</f>
        <v>98.7</v>
      </c>
      <c r="H127" s="199" t="str">
        <f>月供應率!H5</f>
        <v>98.5</v>
      </c>
      <c r="I127" s="199" t="str">
        <f>月供應率!I5</f>
        <v>98.1</v>
      </c>
      <c r="J127" s="199" t="str">
        <f>月供應率!J5</f>
        <v>98</v>
      </c>
      <c r="K127" s="199" t="str">
        <f>月供應率!K5</f>
        <v>98.1</v>
      </c>
      <c r="L127" s="199" t="str">
        <f>月供應率!L5</f>
        <v>97.9</v>
      </c>
      <c r="M127" s="199" t="str">
        <f>月供應率!M5</f>
        <v>98.1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98.3</v>
      </c>
      <c r="Q127" s="197"/>
      <c r="R127" s="702"/>
      <c r="S127" s="703"/>
      <c r="T127" s="114"/>
      <c r="U127" s="114"/>
    </row>
    <row r="128" spans="1:21" s="198" customFormat="1" x14ac:dyDescent="0.25">
      <c r="A128" s="711" t="s">
        <v>12</v>
      </c>
      <c r="B128" s="712"/>
      <c r="C128" s="712"/>
      <c r="D128" s="195" t="str">
        <f>月供應率!D7</f>
        <v>99.2</v>
      </c>
      <c r="E128" s="195" t="str">
        <f>月供應率!E7</f>
        <v>99.9</v>
      </c>
      <c r="F128" s="195" t="str">
        <f>月供應率!F7</f>
        <v>99.9</v>
      </c>
      <c r="G128" s="195" t="str">
        <f>月供應率!G7</f>
        <v>99.9</v>
      </c>
      <c r="H128" s="195" t="str">
        <f>月供應率!H7</f>
        <v>99.9</v>
      </c>
      <c r="I128" s="195" t="str">
        <f>月供應率!I7</f>
        <v>99.9</v>
      </c>
      <c r="J128" s="195" t="str">
        <f>月供應率!J7</f>
        <v>100</v>
      </c>
      <c r="K128" s="195" t="str">
        <f>月供應率!K7</f>
        <v>99.9</v>
      </c>
      <c r="L128" s="195" t="str">
        <f>月供應率!L7</f>
        <v>99.9</v>
      </c>
      <c r="M128" s="195" t="str">
        <f>月供應率!M7</f>
        <v>99.9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99.8</v>
      </c>
      <c r="Q128" s="197"/>
      <c r="R128" s="702"/>
      <c r="S128" s="703"/>
      <c r="T128" s="114"/>
      <c r="U128" s="114"/>
    </row>
    <row r="129" spans="1:21" s="198" customFormat="1" x14ac:dyDescent="0.25">
      <c r="A129" s="711" t="s">
        <v>13</v>
      </c>
      <c r="B129" s="712"/>
      <c r="C129" s="712"/>
      <c r="D129" s="195" t="str">
        <f>月供應率!D8</f>
        <v>84.5</v>
      </c>
      <c r="E129" s="195" t="str">
        <f>月供應率!E8</f>
        <v>93.9</v>
      </c>
      <c r="F129" s="195" t="str">
        <f>月供應率!F8</f>
        <v>92</v>
      </c>
      <c r="G129" s="195" t="str">
        <f>月供應率!G8</f>
        <v>85.9</v>
      </c>
      <c r="H129" s="195" t="str">
        <f>月供應率!H8</f>
        <v>92.2</v>
      </c>
      <c r="I129" s="195" t="str">
        <f>月供應率!I8</f>
        <v>87.8</v>
      </c>
      <c r="J129" s="195" t="str">
        <f>月供應率!J8</f>
        <v>83.4</v>
      </c>
      <c r="K129" s="195" t="str">
        <f>月供應率!K8</f>
        <v>91.7</v>
      </c>
      <c r="L129" s="195" t="str">
        <f>月供應率!L8</f>
        <v>82.6</v>
      </c>
      <c r="M129" s="195" t="str">
        <f>月供應率!M8</f>
        <v>83.1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87.7</v>
      </c>
      <c r="Q129" s="197"/>
      <c r="R129" s="702"/>
      <c r="S129" s="703"/>
      <c r="T129" s="114"/>
      <c r="U129" s="114"/>
    </row>
    <row r="130" spans="1:21" s="198" customFormat="1" x14ac:dyDescent="0.25">
      <c r="A130" s="711" t="s">
        <v>14</v>
      </c>
      <c r="B130" s="712"/>
      <c r="C130" s="712"/>
      <c r="D130" s="195" t="str">
        <f>月供應率!D9</f>
        <v>99.7</v>
      </c>
      <c r="E130" s="195" t="str">
        <f>月供應率!E9</f>
        <v>99.2</v>
      </c>
      <c r="F130" s="195" t="str">
        <f>月供應率!F9</f>
        <v>99.5</v>
      </c>
      <c r="G130" s="195" t="str">
        <f>月供應率!G9</f>
        <v>99.3</v>
      </c>
      <c r="H130" s="195" t="str">
        <f>月供應率!H9</f>
        <v>99.6</v>
      </c>
      <c r="I130" s="195" t="str">
        <f>月供應率!I9</f>
        <v>99.4</v>
      </c>
      <c r="J130" s="195" t="str">
        <f>月供應率!J9</f>
        <v>99.7</v>
      </c>
      <c r="K130" s="195" t="str">
        <f>月供應率!K9</f>
        <v>99.4</v>
      </c>
      <c r="L130" s="195" t="str">
        <f>月供應率!L9</f>
        <v>99.4</v>
      </c>
      <c r="M130" s="195" t="str">
        <f>月供應率!M9</f>
        <v>99.5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99.5</v>
      </c>
      <c r="Q130" s="197"/>
      <c r="R130" s="702"/>
      <c r="S130" s="703"/>
      <c r="T130" s="114"/>
      <c r="U130" s="114"/>
    </row>
    <row r="131" spans="1:21" s="198" customFormat="1" x14ac:dyDescent="0.25">
      <c r="A131" s="711" t="s">
        <v>21</v>
      </c>
      <c r="B131" s="712"/>
      <c r="C131" s="712"/>
      <c r="D131" s="195" t="str">
        <f>月供應率!D22</f>
        <v>96</v>
      </c>
      <c r="E131" s="195" t="str">
        <f>月供應率!E22</f>
        <v>96.2</v>
      </c>
      <c r="F131" s="195" t="str">
        <f>月供應率!F22</f>
        <v>95.8</v>
      </c>
      <c r="G131" s="195" t="str">
        <f>月供應率!G22</f>
        <v>96.9</v>
      </c>
      <c r="H131" s="195" t="str">
        <f>月供應率!H22</f>
        <v>95.8</v>
      </c>
      <c r="I131" s="195" t="str">
        <f>月供應率!I22</f>
        <v>95.4</v>
      </c>
      <c r="J131" s="195" t="str">
        <f>月供應率!J22</f>
        <v>91.7</v>
      </c>
      <c r="K131" s="195" t="str">
        <f>月供應率!K22</f>
        <v>93.7</v>
      </c>
      <c r="L131" s="195" t="str">
        <f>月供應率!L22</f>
        <v>95.1</v>
      </c>
      <c r="M131" s="195" t="str">
        <f>月供應率!M22</f>
        <v>94.2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95.1</v>
      </c>
      <c r="Q131" s="197"/>
      <c r="R131" s="702"/>
      <c r="S131" s="703"/>
      <c r="T131" s="114"/>
      <c r="U131" s="114"/>
    </row>
    <row r="132" spans="1:21" s="198" customFormat="1" ht="13" thickBot="1" x14ac:dyDescent="0.3">
      <c r="A132" s="734" t="s">
        <v>16</v>
      </c>
      <c r="B132" s="735"/>
      <c r="C132" s="735"/>
      <c r="D132" s="201" t="str">
        <f>月供應率!D11</f>
        <v>98</v>
      </c>
      <c r="E132" s="201" t="str">
        <f>月供應率!E11</f>
        <v>98.5</v>
      </c>
      <c r="F132" s="201" t="str">
        <f>月供應率!F11</f>
        <v>98.8</v>
      </c>
      <c r="G132" s="201" t="str">
        <f>月供應率!G11</f>
        <v>98.9</v>
      </c>
      <c r="H132" s="201" t="str">
        <f>月供應率!H11</f>
        <v>98</v>
      </c>
      <c r="I132" s="201" t="str">
        <f>月供應率!I11</f>
        <v>98.1</v>
      </c>
      <c r="J132" s="201" t="str">
        <f>月供應率!J11</f>
        <v>97.6</v>
      </c>
      <c r="K132" s="201" t="str">
        <f>月供應率!K11</f>
        <v>98.6</v>
      </c>
      <c r="L132" s="201" t="str">
        <f>月供應率!L11</f>
        <v>97.9</v>
      </c>
      <c r="M132" s="201" t="str">
        <f>月供應率!M11</f>
        <v>97.2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98.2</v>
      </c>
      <c r="Q132" s="197"/>
      <c r="R132" s="240"/>
      <c r="S132" s="241"/>
      <c r="T132" s="114"/>
      <c r="U132" s="114"/>
    </row>
    <row r="133" spans="1:21" s="198" customFormat="1" x14ac:dyDescent="0.25">
      <c r="A133" s="711" t="s">
        <v>23</v>
      </c>
      <c r="B133" s="712"/>
      <c r="C133" s="712"/>
      <c r="D133" s="195" t="str">
        <f>月供應率!D6</f>
        <v>98.2</v>
      </c>
      <c r="E133" s="195" t="str">
        <f>月供應率!E6</f>
        <v>98.7</v>
      </c>
      <c r="F133" s="195" t="str">
        <f>月供應率!F6</f>
        <v>99</v>
      </c>
      <c r="G133" s="195" t="str">
        <f>月供應率!G6</f>
        <v>99.2</v>
      </c>
      <c r="H133" s="195" t="str">
        <f>月供應率!H6</f>
        <v>99.1</v>
      </c>
      <c r="I133" s="195" t="str">
        <f>月供應率!I6</f>
        <v>98.9</v>
      </c>
      <c r="J133" s="195" t="str">
        <f>月供應率!J6</f>
        <v>98.9</v>
      </c>
      <c r="K133" s="195" t="str">
        <f>月供應率!K6</f>
        <v>98.8</v>
      </c>
      <c r="L133" s="195" t="str">
        <f>月供應率!L6</f>
        <v>98.2</v>
      </c>
      <c r="M133" s="195" t="str">
        <f>月供應率!M6</f>
        <v>98.6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98.8</v>
      </c>
      <c r="Q133" s="197"/>
      <c r="R133" s="240"/>
      <c r="S133" s="241"/>
      <c r="T133" s="114"/>
      <c r="U133" s="114"/>
    </row>
    <row r="134" spans="1:21" s="198" customFormat="1" x14ac:dyDescent="0.25">
      <c r="A134" s="699" t="s">
        <v>24</v>
      </c>
      <c r="B134" s="700"/>
      <c r="C134" s="701"/>
      <c r="D134" s="260" t="str">
        <f>月供應率!D12</f>
        <v>95.9</v>
      </c>
      <c r="E134" s="260" t="str">
        <f>月供應率!E12</f>
        <v>99.5</v>
      </c>
      <c r="F134" s="260" t="str">
        <f>月供應率!F12</f>
        <v>100</v>
      </c>
      <c r="G134" s="260" t="str">
        <f>月供應率!G12</f>
        <v>100</v>
      </c>
      <c r="H134" s="260" t="str">
        <f>月供應率!H12</f>
        <v>99.6</v>
      </c>
      <c r="I134" s="260" t="str">
        <f>月供應率!I12</f>
        <v>100</v>
      </c>
      <c r="J134" s="260" t="str">
        <f>月供應率!J12</f>
        <v>99.8</v>
      </c>
      <c r="K134" s="260" t="str">
        <f>月供應率!K12</f>
        <v>100</v>
      </c>
      <c r="L134" s="260" t="str">
        <f>月供應率!L12</f>
        <v>100</v>
      </c>
      <c r="M134" s="260" t="str">
        <f>月供應率!M12</f>
        <v>100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99.5</v>
      </c>
      <c r="Q134" s="197"/>
      <c r="R134" s="240"/>
      <c r="S134" s="241"/>
      <c r="T134" s="114"/>
      <c r="U134" s="114"/>
    </row>
    <row r="135" spans="1:21" s="198" customFormat="1" x14ac:dyDescent="0.25">
      <c r="A135" s="699" t="s">
        <v>25</v>
      </c>
      <c r="B135" s="700"/>
      <c r="C135" s="701"/>
      <c r="D135" s="260" t="str">
        <f>月供應率!D13</f>
        <v>95.2</v>
      </c>
      <c r="E135" s="260" t="str">
        <f>月供應率!E13</f>
        <v>92.6</v>
      </c>
      <c r="F135" s="260" t="str">
        <f>月供應率!F13</f>
        <v>97</v>
      </c>
      <c r="G135" s="260" t="str">
        <f>月供應率!G13</f>
        <v>98.9</v>
      </c>
      <c r="H135" s="260" t="str">
        <f>月供應率!H13</f>
        <v>98.5</v>
      </c>
      <c r="I135" s="260" t="str">
        <f>月供應率!I13</f>
        <v>98.2</v>
      </c>
      <c r="J135" s="260" t="str">
        <f>月供應率!J13</f>
        <v>97.7</v>
      </c>
      <c r="K135" s="260" t="str">
        <f>月供應率!K13</f>
        <v>98.8</v>
      </c>
      <c r="L135" s="260" t="str">
        <f>月供應率!L13</f>
        <v>98.6</v>
      </c>
      <c r="M135" s="260" t="str">
        <f>月供應率!M13</f>
        <v>98.5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97.4</v>
      </c>
      <c r="Q135" s="197"/>
      <c r="R135" s="240"/>
      <c r="S135" s="241"/>
      <c r="T135" s="114"/>
      <c r="U135" s="114"/>
    </row>
    <row r="136" spans="1:21" s="198" customFormat="1" x14ac:dyDescent="0.25">
      <c r="A136" s="699" t="s">
        <v>26</v>
      </c>
      <c r="B136" s="700"/>
      <c r="C136" s="701"/>
      <c r="D136" s="260" t="str">
        <f>月供應率!D14</f>
        <v>97.3</v>
      </c>
      <c r="E136" s="260" t="str">
        <f>月供應率!E14</f>
        <v>95.8</v>
      </c>
      <c r="F136" s="260" t="str">
        <f>月供應率!F14</f>
        <v>95.8</v>
      </c>
      <c r="G136" s="260" t="str">
        <f>月供應率!G14</f>
        <v>97</v>
      </c>
      <c r="H136" s="260" t="str">
        <f>月供應率!H14</f>
        <v>97.8</v>
      </c>
      <c r="I136" s="260" t="str">
        <f>月供應率!I14</f>
        <v>97.2</v>
      </c>
      <c r="J136" s="260" t="str">
        <f>月供應率!J14</f>
        <v>97.5</v>
      </c>
      <c r="K136" s="260" t="str">
        <f>月供應率!K14</f>
        <v>97.5</v>
      </c>
      <c r="L136" s="260" t="str">
        <f>月供應率!L14</f>
        <v>96.7</v>
      </c>
      <c r="M136" s="260" t="str">
        <f>月供應率!M14</f>
        <v>97.1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</v>
      </c>
      <c r="Q136" s="197"/>
      <c r="R136" s="240"/>
      <c r="S136" s="241"/>
      <c r="T136" s="114"/>
      <c r="U136" s="114"/>
    </row>
    <row r="137" spans="1:21" s="198" customFormat="1" x14ac:dyDescent="0.25">
      <c r="A137" s="699" t="s">
        <v>27</v>
      </c>
      <c r="B137" s="700"/>
      <c r="C137" s="701"/>
      <c r="D137" s="260" t="str">
        <f>月供應率!D15</f>
        <v>82.9</v>
      </c>
      <c r="E137" s="260" t="str">
        <f>月供應率!E15</f>
        <v>88.2</v>
      </c>
      <c r="F137" s="260" t="str">
        <f>月供應率!F15</f>
        <v>94.2</v>
      </c>
      <c r="G137" s="260" t="str">
        <f>月供應率!G15</f>
        <v>96.6</v>
      </c>
      <c r="H137" s="260" t="str">
        <f>月供應率!H15</f>
        <v>95.7</v>
      </c>
      <c r="I137" s="260" t="str">
        <f>月供應率!I15</f>
        <v>96.5</v>
      </c>
      <c r="J137" s="260" t="str">
        <f>月供應率!J15</f>
        <v>98.1</v>
      </c>
      <c r="K137" s="260" t="str">
        <f>月供應率!K15</f>
        <v>93.9</v>
      </c>
      <c r="L137" s="260" t="str">
        <f>月供應率!L15</f>
        <v>92</v>
      </c>
      <c r="M137" s="260" t="str">
        <f>月供應率!M15</f>
        <v>96.7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93.5</v>
      </c>
      <c r="Q137" s="197"/>
      <c r="R137" s="240"/>
      <c r="S137" s="241"/>
      <c r="T137" s="114"/>
      <c r="U137" s="114"/>
    </row>
    <row r="138" spans="1:21" s="198" customFormat="1" ht="13" thickBot="1" x14ac:dyDescent="0.3">
      <c r="A138" s="725" t="s">
        <v>28</v>
      </c>
      <c r="B138" s="726"/>
      <c r="C138" s="727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 x14ac:dyDescent="0.3">
      <c r="A139" s="730" t="s">
        <v>31</v>
      </c>
      <c r="B139" s="731"/>
      <c r="C139" s="731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 x14ac:dyDescent="0.3">
      <c r="A140" s="723" t="s">
        <v>32</v>
      </c>
      <c r="B140" s="724"/>
      <c r="C140" s="724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 x14ac:dyDescent="0.3">
      <c r="A141" s="723" t="s">
        <v>33</v>
      </c>
      <c r="B141" s="724"/>
      <c r="C141" s="724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 x14ac:dyDescent="0.3">
      <c r="A142" s="723" t="s">
        <v>34</v>
      </c>
      <c r="B142" s="724"/>
      <c r="C142" s="724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 x14ac:dyDescent="0.35">
      <c r="A143" s="732" t="s">
        <v>35</v>
      </c>
      <c r="B143" s="733"/>
      <c r="C143" s="733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3" x14ac:dyDescent="0.3">
      <c r="A144" s="151"/>
      <c r="B144" s="203"/>
      <c r="C144" s="203"/>
      <c r="R144" s="194"/>
      <c r="S144" s="194"/>
    </row>
    <row r="145" spans="1:19" ht="14" thickBot="1" x14ac:dyDescent="0.45">
      <c r="A145" s="112" t="s">
        <v>278</v>
      </c>
      <c r="B145" s="112"/>
      <c r="C145" s="112"/>
      <c r="R145" s="194"/>
      <c r="S145" s="194"/>
    </row>
    <row r="146" spans="1:19" ht="13.5" x14ac:dyDescent="0.3">
      <c r="A146" s="728" t="s">
        <v>1</v>
      </c>
      <c r="B146" s="729"/>
      <c r="C146" s="729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02"/>
      <c r="S146" s="703"/>
    </row>
    <row r="147" spans="1:19" x14ac:dyDescent="0.25">
      <c r="A147" s="721" t="s">
        <v>11</v>
      </c>
      <c r="B147" s="722"/>
      <c r="C147" s="722"/>
      <c r="D147" s="204">
        <f>VALUE(月點數BO!C2)</f>
        <v>4435</v>
      </c>
      <c r="E147" s="204">
        <f>VALUE(月點數BO!D2)</f>
        <v>5186</v>
      </c>
      <c r="F147" s="204">
        <f>VALUE(月點數BO!E2)</f>
        <v>4253</v>
      </c>
      <c r="G147" s="204">
        <f>VALUE(月點數BO!F2)</f>
        <v>3663</v>
      </c>
      <c r="H147" s="204">
        <f>VALUE(月點數BO!G2)</f>
        <v>4413</v>
      </c>
      <c r="I147" s="204">
        <f>VALUE(月點數BO!H2)</f>
        <v>5568</v>
      </c>
      <c r="J147" s="204">
        <f>VALUE(月點數BO!I2)</f>
        <v>6382</v>
      </c>
      <c r="K147" s="204">
        <f>VALUE(月點數BO!J2)</f>
        <v>5537</v>
      </c>
      <c r="L147" s="204">
        <f>VALUE(月點數BO!K2)</f>
        <v>5932</v>
      </c>
      <c r="M147" s="204">
        <f>VALUE(月點數BO!L2)</f>
        <v>5596</v>
      </c>
      <c r="N147" s="204">
        <f>VALUE(月點數BO!M2)</f>
        <v>0</v>
      </c>
      <c r="O147" s="204">
        <f>VALUE(月點數BO!N2)</f>
        <v>0</v>
      </c>
      <c r="P147" s="204">
        <f>VALUE(月點數BO!O2)</f>
        <v>5097</v>
      </c>
      <c r="Q147" s="206"/>
      <c r="R147" s="702"/>
      <c r="S147" s="703"/>
    </row>
    <row r="148" spans="1:19" x14ac:dyDescent="0.25">
      <c r="A148" s="709" t="s">
        <v>12</v>
      </c>
      <c r="B148" s="710"/>
      <c r="C148" s="710"/>
      <c r="D148" s="204">
        <f>VALUE(月點數BO!C4)</f>
        <v>101</v>
      </c>
      <c r="E148" s="204">
        <f>VALUE(月點數BO!D4)</f>
        <v>5</v>
      </c>
      <c r="F148" s="204">
        <f>VALUE(月點數BO!E4)</f>
        <v>3</v>
      </c>
      <c r="G148" s="204">
        <f>VALUE(月點數BO!F4)</f>
        <v>5</v>
      </c>
      <c r="H148" s="204">
        <f>VALUE(月點數BO!G4)</f>
        <v>1</v>
      </c>
      <c r="I148" s="204">
        <f>VALUE(月點數BO!H4)</f>
        <v>7</v>
      </c>
      <c r="J148" s="204">
        <f>VALUE(月點數BO!I4)</f>
        <v>0</v>
      </c>
      <c r="K148" s="204">
        <f>VALUE(月點數BO!J4)</f>
        <v>7</v>
      </c>
      <c r="L148" s="204">
        <f>VALUE(月點數BO!K4)</f>
        <v>3</v>
      </c>
      <c r="M148" s="204">
        <f>VALUE(月點數BO!L4)</f>
        <v>8</v>
      </c>
      <c r="N148" s="204">
        <f>VALUE(月點數BO!M4)</f>
        <v>0</v>
      </c>
      <c r="O148" s="204">
        <f>VALUE(月點數BO!N4)</f>
        <v>0</v>
      </c>
      <c r="P148" s="204">
        <f>VALUE(月點數BO!O4)</f>
        <v>14</v>
      </c>
      <c r="R148" s="702"/>
      <c r="S148" s="703"/>
    </row>
    <row r="149" spans="1:19" x14ac:dyDescent="0.25">
      <c r="A149" s="709" t="s">
        <v>13</v>
      </c>
      <c r="B149" s="710"/>
      <c r="C149" s="710"/>
      <c r="D149" s="204">
        <f>VALUE(月點數BO!C5)</f>
        <v>44</v>
      </c>
      <c r="E149" s="204">
        <f>VALUE(月點數BO!D5)</f>
        <v>20</v>
      </c>
      <c r="F149" s="204">
        <f>VALUE(月點數BO!E5)</f>
        <v>18</v>
      </c>
      <c r="G149" s="204">
        <f>VALUE(月點數BO!F5)</f>
        <v>37</v>
      </c>
      <c r="H149" s="204">
        <f>VALUE(月點數BO!G5)</f>
        <v>102</v>
      </c>
      <c r="I149" s="204">
        <f>VALUE(月點數BO!H5)</f>
        <v>88</v>
      </c>
      <c r="J149" s="204">
        <f>VALUE(月點數BO!I5)</f>
        <v>83</v>
      </c>
      <c r="K149" s="204">
        <f>VALUE(月點數BO!J5)</f>
        <v>40</v>
      </c>
      <c r="L149" s="204">
        <f>VALUE(月點數BO!K5)</f>
        <v>70</v>
      </c>
      <c r="M149" s="204">
        <f>VALUE(月點數BO!L5)</f>
        <v>90</v>
      </c>
      <c r="N149" s="204">
        <f>VALUE(月點數BO!M5)</f>
        <v>0</v>
      </c>
      <c r="O149" s="204">
        <f>VALUE(月點數BO!N5)</f>
        <v>0</v>
      </c>
      <c r="P149" s="204">
        <f>VALUE(月點數BO!O5)</f>
        <v>59</v>
      </c>
      <c r="R149" s="702"/>
      <c r="S149" s="703"/>
    </row>
    <row r="150" spans="1:19" x14ac:dyDescent="0.25">
      <c r="A150" s="709" t="s">
        <v>14</v>
      </c>
      <c r="B150" s="710"/>
      <c r="C150" s="710"/>
      <c r="D150" s="204">
        <f>VALUE(月點數BO!C6)</f>
        <v>143</v>
      </c>
      <c r="E150" s="204">
        <f>VALUE(月點數BO!D6)</f>
        <v>330</v>
      </c>
      <c r="F150" s="204">
        <f>VALUE(月點數BO!E6)</f>
        <v>239</v>
      </c>
      <c r="G150" s="204">
        <f>VALUE(月點數BO!F6)</f>
        <v>315</v>
      </c>
      <c r="H150" s="204">
        <f>VALUE(月點數BO!G6)</f>
        <v>157</v>
      </c>
      <c r="I150" s="204">
        <f>VALUE(月點數BO!H6)</f>
        <v>259</v>
      </c>
      <c r="J150" s="204">
        <f>VALUE(月點數BO!I6)</f>
        <v>144</v>
      </c>
      <c r="K150" s="204">
        <f>VALUE(月點數BO!J6)</f>
        <v>300</v>
      </c>
      <c r="L150" s="204">
        <f>VALUE(月點數BO!K6)</f>
        <v>299</v>
      </c>
      <c r="M150" s="204">
        <f>VALUE(月點數BO!L6)</f>
        <v>265</v>
      </c>
      <c r="N150" s="204">
        <f>VALUE(月點數BO!M6)</f>
        <v>0</v>
      </c>
      <c r="O150" s="204">
        <f>VALUE(月點數BO!N6)</f>
        <v>0</v>
      </c>
      <c r="P150" s="204">
        <f>VALUE(月點數BO!O6)</f>
        <v>245</v>
      </c>
      <c r="R150" s="702"/>
      <c r="S150" s="703"/>
    </row>
    <row r="151" spans="1:19" x14ac:dyDescent="0.25">
      <c r="A151" s="709" t="s">
        <v>21</v>
      </c>
      <c r="B151" s="710"/>
      <c r="C151" s="710"/>
      <c r="D151" s="204">
        <f>VALUE(月點數BO!C20)</f>
        <v>570</v>
      </c>
      <c r="E151" s="204">
        <f>VALUE(月點數BO!D20)</f>
        <v>546</v>
      </c>
      <c r="F151" s="204">
        <f>VALUE(月點數BO!E20)</f>
        <v>665</v>
      </c>
      <c r="G151" s="204">
        <f>VALUE(月點數BO!F20)</f>
        <v>434</v>
      </c>
      <c r="H151" s="204">
        <f>VALUE(月點數BO!G20)</f>
        <v>640</v>
      </c>
      <c r="I151" s="204">
        <f>VALUE(月點數BO!H20)</f>
        <v>650</v>
      </c>
      <c r="J151" s="204">
        <f>VALUE(月點數BO!I20)</f>
        <v>1136</v>
      </c>
      <c r="K151" s="204">
        <f>VALUE(月點數BO!J20)</f>
        <v>828</v>
      </c>
      <c r="L151" s="204">
        <f>VALUE(月點數BO!K20)</f>
        <v>681</v>
      </c>
      <c r="M151" s="204">
        <f>VALUE(月點數BO!L20)</f>
        <v>831</v>
      </c>
      <c r="N151" s="204">
        <f>VALUE(月點數BO!M20)</f>
        <v>0</v>
      </c>
      <c r="O151" s="204">
        <f>VALUE(月點數BO!N20)</f>
        <v>0</v>
      </c>
      <c r="P151" s="204">
        <f>VALUE(月點數BO!O20)</f>
        <v>698</v>
      </c>
      <c r="R151" s="702"/>
      <c r="S151" s="703"/>
    </row>
    <row r="152" spans="1:19" x14ac:dyDescent="0.25">
      <c r="A152" s="716" t="s">
        <v>16</v>
      </c>
      <c r="B152" s="717"/>
      <c r="C152" s="717"/>
      <c r="D152" s="204">
        <f>VALUE(月點數BO!C8)</f>
        <v>239</v>
      </c>
      <c r="E152" s="204">
        <f>VALUE(月點數BO!D8)</f>
        <v>127</v>
      </c>
      <c r="F152" s="204">
        <f>VALUE(月點數BO!E8)</f>
        <v>140</v>
      </c>
      <c r="G152" s="204">
        <f>VALUE(月點數BO!F8)</f>
        <v>101</v>
      </c>
      <c r="H152" s="204">
        <f>VALUE(月點數BO!G8)</f>
        <v>218</v>
      </c>
      <c r="I152" s="204">
        <f>VALUE(月點數BO!H8)</f>
        <v>197</v>
      </c>
      <c r="J152" s="204">
        <f>VALUE(月點數BO!I8)</f>
        <v>270</v>
      </c>
      <c r="K152" s="204">
        <f>VALUE(月點數BO!J8)</f>
        <v>145</v>
      </c>
      <c r="L152" s="204">
        <f>VALUE(月點數BO!K8)</f>
        <v>227</v>
      </c>
      <c r="M152" s="204">
        <f>VALUE(月點數BO!L8)</f>
        <v>309</v>
      </c>
      <c r="N152" s="204">
        <f>VALUE(月點數BO!M8)</f>
        <v>0</v>
      </c>
      <c r="O152" s="204">
        <f>VALUE(月點數BO!N8)</f>
        <v>0</v>
      </c>
      <c r="P152" s="204">
        <f>VALUE(月點數BO!O8)</f>
        <v>197</v>
      </c>
      <c r="R152" s="702"/>
      <c r="S152" s="703"/>
    </row>
    <row r="153" spans="1:19" ht="13.5" x14ac:dyDescent="0.3">
      <c r="A153" s="707" t="s">
        <v>17</v>
      </c>
      <c r="B153" s="708"/>
      <c r="C153" s="708"/>
      <c r="D153" s="204">
        <f>VALUE(月點數BO!C9)</f>
        <v>2</v>
      </c>
      <c r="E153" s="204">
        <f>VALUE(月點數BO!D9)</f>
        <v>9</v>
      </c>
      <c r="F153" s="204">
        <f>VALUE(月點數BO!E9)</f>
        <v>26</v>
      </c>
      <c r="G153" s="204">
        <f>VALUE(月點數BO!F9)</f>
        <v>1</v>
      </c>
      <c r="H153" s="204">
        <f>VALUE(月點數BO!G9)</f>
        <v>18</v>
      </c>
      <c r="I153" s="204">
        <f>VALUE(月點數BO!H9)</f>
        <v>25</v>
      </c>
      <c r="J153" s="204">
        <f>VALUE(月點數BO!I9)</f>
        <v>0</v>
      </c>
      <c r="K153" s="204">
        <f>VALUE(月點數BO!J9)</f>
        <v>8</v>
      </c>
      <c r="L153" s="204">
        <f>VALUE(月點數BO!K9)</f>
        <v>35</v>
      </c>
      <c r="M153" s="204">
        <f>VALUE(月點數BO!L9)</f>
        <v>22</v>
      </c>
      <c r="N153" s="204">
        <f>VALUE(月點數BO!M9)</f>
        <v>0</v>
      </c>
      <c r="O153" s="204">
        <f>VALUE(月點數BO!N9)</f>
        <v>0</v>
      </c>
      <c r="P153" s="204">
        <f>VALUE(月點數BO!O9)</f>
        <v>15</v>
      </c>
      <c r="R153" s="702"/>
      <c r="S153" s="703"/>
    </row>
    <row r="154" spans="1:19" ht="13.5" x14ac:dyDescent="0.3">
      <c r="A154" s="713" t="s">
        <v>49</v>
      </c>
      <c r="B154" s="714"/>
      <c r="C154" s="715"/>
      <c r="D154" s="261">
        <f>SUM(D147:D153)</f>
        <v>5534</v>
      </c>
      <c r="E154" s="261">
        <f>SUM(E147:E153)</f>
        <v>6223</v>
      </c>
      <c r="F154" s="261">
        <f>SUM(F147:F153)</f>
        <v>5344</v>
      </c>
      <c r="G154" s="261">
        <f t="shared" ref="G154:P154" si="12">SUM(G147:G153)</f>
        <v>4556</v>
      </c>
      <c r="H154" s="261">
        <f t="shared" si="12"/>
        <v>5549</v>
      </c>
      <c r="I154" s="261">
        <f t="shared" si="12"/>
        <v>6794</v>
      </c>
      <c r="J154" s="261">
        <f t="shared" si="12"/>
        <v>8015</v>
      </c>
      <c r="K154" s="261">
        <f t="shared" si="12"/>
        <v>6865</v>
      </c>
      <c r="L154" s="261">
        <f t="shared" si="12"/>
        <v>7247</v>
      </c>
      <c r="M154" s="261">
        <f t="shared" si="12"/>
        <v>7121</v>
      </c>
      <c r="N154" s="261">
        <f t="shared" si="12"/>
        <v>0</v>
      </c>
      <c r="O154" s="261">
        <f t="shared" si="12"/>
        <v>0</v>
      </c>
      <c r="P154" s="261">
        <f t="shared" si="12"/>
        <v>6325</v>
      </c>
      <c r="R154" s="240"/>
      <c r="S154" s="241"/>
    </row>
    <row r="155" spans="1:19" x14ac:dyDescent="0.25">
      <c r="A155" s="711" t="s">
        <v>23</v>
      </c>
      <c r="B155" s="712"/>
      <c r="C155" s="712"/>
      <c r="D155" s="204">
        <f>VALUE(月點數BO!C3)</f>
        <v>884</v>
      </c>
      <c r="E155" s="204">
        <f>VALUE(月點數BO!D3)</f>
        <v>782</v>
      </c>
      <c r="F155" s="204">
        <f>VALUE(月點數BO!E3)</f>
        <v>727</v>
      </c>
      <c r="G155" s="204">
        <f>VALUE(月點數BO!F3)</f>
        <v>575</v>
      </c>
      <c r="H155" s="204">
        <f>VALUE(月點數BO!G3)</f>
        <v>594</v>
      </c>
      <c r="I155" s="204">
        <f>VALUE(月點數BO!H3)</f>
        <v>767</v>
      </c>
      <c r="J155" s="204">
        <f>VALUE(月點數BO!I3)</f>
        <v>806</v>
      </c>
      <c r="K155" s="204">
        <f>VALUE(月點數BO!J3)</f>
        <v>829</v>
      </c>
      <c r="L155" s="204">
        <f>VALUE(月點數BO!K3)</f>
        <v>1040</v>
      </c>
      <c r="M155" s="204">
        <f>VALUE(月點數BO!L3)</f>
        <v>834</v>
      </c>
      <c r="N155" s="204">
        <f>VALUE(月點數BO!M3)</f>
        <v>0</v>
      </c>
      <c r="O155" s="204">
        <f>VALUE(月點數BO!N3)</f>
        <v>0</v>
      </c>
      <c r="P155" s="204">
        <f>VALUE(月點數BO!O3)</f>
        <v>784</v>
      </c>
      <c r="R155" s="240"/>
      <c r="S155" s="241"/>
    </row>
    <row r="156" spans="1:19" x14ac:dyDescent="0.25">
      <c r="A156" s="699" t="s">
        <v>24</v>
      </c>
      <c r="B156" s="700"/>
      <c r="C156" s="701"/>
      <c r="D156" s="207">
        <f>VALUE(月點數BO!C10)</f>
        <v>26</v>
      </c>
      <c r="E156" s="207">
        <f>VALUE(月點數BO!D10)</f>
        <v>2</v>
      </c>
      <c r="F156" s="207">
        <f>VALUE(月點數BO!E10)</f>
        <v>0</v>
      </c>
      <c r="G156" s="207">
        <f>VALUE(月點數BO!F10)</f>
        <v>0</v>
      </c>
      <c r="H156" s="207">
        <f>VALUE(月點數BO!G10)</f>
        <v>2</v>
      </c>
      <c r="I156" s="207">
        <f>VALUE(月點數BO!H10)</f>
        <v>0</v>
      </c>
      <c r="J156" s="207">
        <f>VALUE(月點數BO!I10)</f>
        <v>1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3</v>
      </c>
      <c r="R156" s="240"/>
      <c r="S156" s="241"/>
    </row>
    <row r="157" spans="1:19" x14ac:dyDescent="0.25">
      <c r="A157" s="699" t="s">
        <v>25</v>
      </c>
      <c r="B157" s="700"/>
      <c r="C157" s="701"/>
      <c r="D157" s="207">
        <f>VALUE(月點數BO!C11)</f>
        <v>21</v>
      </c>
      <c r="E157" s="207">
        <f>VALUE(月點數BO!D11)</f>
        <v>17</v>
      </c>
      <c r="F157" s="207">
        <f>VALUE(月點數BO!E11)</f>
        <v>30</v>
      </c>
      <c r="G157" s="207">
        <f>VALUE(月點數BO!F11)</f>
        <v>27</v>
      </c>
      <c r="H157" s="207">
        <f>VALUE(月點數BO!G11)</f>
        <v>51</v>
      </c>
      <c r="I157" s="207">
        <f>VALUE(月點數BO!H11)</f>
        <v>31</v>
      </c>
      <c r="J157" s="207">
        <f>VALUE(月點數BO!I11)</f>
        <v>36</v>
      </c>
      <c r="K157" s="207">
        <f>VALUE(月點數BO!J11)</f>
        <v>17</v>
      </c>
      <c r="L157" s="207">
        <f>VALUE(月點數BO!K11)</f>
        <v>15</v>
      </c>
      <c r="M157" s="207">
        <f>VALUE(月點數BO!L11)</f>
        <v>22</v>
      </c>
      <c r="N157" s="207">
        <f>VALUE(月點數BO!M11)</f>
        <v>0</v>
      </c>
      <c r="O157" s="207">
        <f>VALUE(月點數BO!N11)</f>
        <v>0</v>
      </c>
      <c r="P157" s="207">
        <f>VALUE(月點數BO!O11)</f>
        <v>27</v>
      </c>
      <c r="R157" s="240"/>
      <c r="S157" s="241"/>
    </row>
    <row r="158" spans="1:19" x14ac:dyDescent="0.25">
      <c r="A158" s="699" t="s">
        <v>26</v>
      </c>
      <c r="B158" s="700"/>
      <c r="C158" s="701"/>
      <c r="D158" s="207">
        <f>VALUE(月點數BO!C12)</f>
        <v>260</v>
      </c>
      <c r="E158" s="207">
        <f>VALUE(月點數BO!D12)</f>
        <v>350</v>
      </c>
      <c r="F158" s="207">
        <f>VALUE(月點數BO!E12)</f>
        <v>394</v>
      </c>
      <c r="G158" s="207">
        <f>VALUE(月點數BO!F12)</f>
        <v>246</v>
      </c>
      <c r="H158" s="207">
        <f>VALUE(月點數BO!G12)</f>
        <v>203</v>
      </c>
      <c r="I158" s="207">
        <f>VALUE(月點數BO!H12)</f>
        <v>251</v>
      </c>
      <c r="J158" s="207">
        <f>VALUE(月點數BO!I12)</f>
        <v>256</v>
      </c>
      <c r="K158" s="207">
        <f>VALUE(月點數BO!J12)</f>
        <v>383</v>
      </c>
      <c r="L158" s="207">
        <f>VALUE(月點數BO!K12)</f>
        <v>336</v>
      </c>
      <c r="M158" s="207">
        <f>VALUE(月點數BO!L12)</f>
        <v>273</v>
      </c>
      <c r="N158" s="207">
        <f>VALUE(月點數BO!M12)</f>
        <v>0</v>
      </c>
      <c r="O158" s="207">
        <f>VALUE(月點數BO!N12)</f>
        <v>0</v>
      </c>
      <c r="P158" s="207">
        <f>VALUE(月點數BO!O12)</f>
        <v>295</v>
      </c>
      <c r="R158" s="240"/>
      <c r="S158" s="241"/>
    </row>
    <row r="159" spans="1:19" x14ac:dyDescent="0.25">
      <c r="A159" s="699" t="s">
        <v>27</v>
      </c>
      <c r="B159" s="700"/>
      <c r="C159" s="701"/>
      <c r="D159" s="207">
        <f>VALUE(月點數BO!C13)</f>
        <v>230</v>
      </c>
      <c r="E159" s="207">
        <f>VALUE(月點數BO!D13)</f>
        <v>153</v>
      </c>
      <c r="F159" s="207">
        <f>VALUE(月點數BO!E13)</f>
        <v>94</v>
      </c>
      <c r="G159" s="207">
        <f>VALUE(月點數BO!F13)</f>
        <v>47</v>
      </c>
      <c r="H159" s="207">
        <f>VALUE(月點數BO!G13)</f>
        <v>68</v>
      </c>
      <c r="I159" s="207">
        <f>VALUE(月點數BO!H13)</f>
        <v>52</v>
      </c>
      <c r="J159" s="207">
        <f>VALUE(月點數BO!I13)</f>
        <v>31</v>
      </c>
      <c r="K159" s="207">
        <f>VALUE(月點數BO!J13)</f>
        <v>96</v>
      </c>
      <c r="L159" s="207">
        <f>VALUE(月點數BO!K13)</f>
        <v>123</v>
      </c>
      <c r="M159" s="207">
        <f>VALUE(月點數BO!L13)</f>
        <v>56</v>
      </c>
      <c r="N159" s="207">
        <f>VALUE(月點數BO!M13)</f>
        <v>0</v>
      </c>
      <c r="O159" s="207">
        <f>VALUE(月點數BO!N13)</f>
        <v>0</v>
      </c>
      <c r="P159" s="207">
        <f>VALUE(月點數BO!O13)</f>
        <v>95</v>
      </c>
      <c r="R159" s="240"/>
      <c r="S159" s="241"/>
    </row>
    <row r="160" spans="1:19" x14ac:dyDescent="0.25">
      <c r="A160" s="699" t="s">
        <v>28</v>
      </c>
      <c r="B160" s="700"/>
      <c r="C160" s="701"/>
      <c r="D160" s="207">
        <f>VALUE(月點數BO!C14)</f>
        <v>0</v>
      </c>
      <c r="E160" s="207">
        <f>VALUE(月點數BO!D14)</f>
        <v>3</v>
      </c>
      <c r="F160" s="207">
        <f>VALUE(月點數BO!E14)</f>
        <v>0</v>
      </c>
      <c r="G160" s="207">
        <f>VALUE(月點數BO!F14)</f>
        <v>1</v>
      </c>
      <c r="H160" s="207">
        <f>VALUE(月點數BO!G14)</f>
        <v>0</v>
      </c>
      <c r="I160" s="207">
        <f>VALUE(月點數BO!H14)</f>
        <v>1</v>
      </c>
      <c r="J160" s="207">
        <f>VALUE(月點數BO!I14)</f>
        <v>1</v>
      </c>
      <c r="K160" s="207">
        <f>VALUE(月點數BO!J14)</f>
        <v>0</v>
      </c>
      <c r="L160" s="207">
        <f>VALUE(月點數BO!K14)</f>
        <v>0</v>
      </c>
      <c r="M160" s="207">
        <f>VALUE(月點數BO!L14)</f>
        <v>1</v>
      </c>
      <c r="N160" s="207">
        <f>VALUE(月點數BO!M14)</f>
        <v>0</v>
      </c>
      <c r="O160" s="207">
        <f>VALUE(月點數BO!N14)</f>
        <v>0</v>
      </c>
      <c r="P160" s="207">
        <f>VALUE(月點數BO!O14)</f>
        <v>1</v>
      </c>
      <c r="R160" s="240"/>
      <c r="S160" s="241"/>
    </row>
    <row r="161" spans="1:19" ht="14" thickBot="1" x14ac:dyDescent="0.3">
      <c r="A161" s="696" t="s">
        <v>50</v>
      </c>
      <c r="B161" s="697"/>
      <c r="C161" s="698"/>
      <c r="D161" s="211">
        <f>SUM(D155:D160)</f>
        <v>1421</v>
      </c>
      <c r="E161" s="211">
        <f t="shared" ref="E161:P161" si="13">SUM(E155:E160)</f>
        <v>1307</v>
      </c>
      <c r="F161" s="211">
        <f t="shared" si="13"/>
        <v>1245</v>
      </c>
      <c r="G161" s="211">
        <f t="shared" si="13"/>
        <v>896</v>
      </c>
      <c r="H161" s="211">
        <f t="shared" si="13"/>
        <v>918</v>
      </c>
      <c r="I161" s="211">
        <f t="shared" si="13"/>
        <v>1102</v>
      </c>
      <c r="J161" s="211">
        <f t="shared" si="13"/>
        <v>1131</v>
      </c>
      <c r="K161" s="211">
        <f t="shared" si="13"/>
        <v>1325</v>
      </c>
      <c r="L161" s="211">
        <f t="shared" si="13"/>
        <v>1514</v>
      </c>
      <c r="M161" s="211">
        <f t="shared" si="13"/>
        <v>1186</v>
      </c>
      <c r="N161" s="211">
        <f t="shared" si="13"/>
        <v>0</v>
      </c>
      <c r="O161" s="211">
        <f t="shared" si="13"/>
        <v>0</v>
      </c>
      <c r="P161" s="211">
        <f t="shared" si="13"/>
        <v>1205</v>
      </c>
      <c r="R161" s="702"/>
      <c r="S161" s="703"/>
    </row>
    <row r="162" spans="1:19" ht="16.5" customHeight="1" thickBot="1" x14ac:dyDescent="0.35">
      <c r="A162" s="704" t="s">
        <v>31</v>
      </c>
      <c r="B162" s="705"/>
      <c r="C162" s="706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" thickBot="1" x14ac:dyDescent="0.35">
      <c r="A163" s="693" t="s">
        <v>32</v>
      </c>
      <c r="B163" s="694"/>
      <c r="C163" s="695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" thickBot="1" x14ac:dyDescent="0.35">
      <c r="A164" s="693" t="s">
        <v>33</v>
      </c>
      <c r="B164" s="694"/>
      <c r="C164" s="695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 x14ac:dyDescent="0.35">
      <c r="A165" s="693" t="s">
        <v>34</v>
      </c>
      <c r="B165" s="694"/>
      <c r="C165" s="695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 x14ac:dyDescent="0.3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" thickBot="1" x14ac:dyDescent="0.35">
      <c r="A167" s="690" t="s">
        <v>30</v>
      </c>
      <c r="B167" s="691"/>
      <c r="C167" s="692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5" x14ac:dyDescent="0.4"/>
  <cols>
    <col min="1" max="1" width="3.36328125" style="114" customWidth="1"/>
    <col min="2" max="2" width="4.453125" style="114" customWidth="1"/>
    <col min="3" max="3" width="11.36328125" style="114" customWidth="1"/>
    <col min="4" max="4" width="10.36328125" style="114" customWidth="1"/>
    <col min="5" max="5" width="10" style="114" customWidth="1"/>
    <col min="6" max="6" width="10.90625" style="114" bestFit="1" customWidth="1"/>
    <col min="7" max="8" width="11.26953125" style="114" bestFit="1" customWidth="1"/>
    <col min="9" max="15" width="10.36328125" style="114" customWidth="1"/>
    <col min="16" max="16" width="9.6328125" style="114" bestFit="1" customWidth="1"/>
    <col min="17" max="17" width="11.6328125" style="114" bestFit="1" customWidth="1"/>
    <col min="18" max="16384" width="9" style="114"/>
  </cols>
  <sheetData>
    <row r="1" spans="1:17" ht="14" thickBot="1" x14ac:dyDescent="0.45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 x14ac:dyDescent="0.3">
      <c r="A2" s="728" t="s">
        <v>1</v>
      </c>
      <c r="B2" s="729"/>
      <c r="C2" s="729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 x14ac:dyDescent="0.4">
      <c r="A3" s="754" t="s">
        <v>9</v>
      </c>
      <c r="B3" s="755"/>
      <c r="C3" s="756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 x14ac:dyDescent="0.2">
      <c r="A4" s="123"/>
      <c r="B4" s="757" t="s">
        <v>10</v>
      </c>
      <c r="C4" s="758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 x14ac:dyDescent="0.3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 x14ac:dyDescent="0.3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 x14ac:dyDescent="0.3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 x14ac:dyDescent="0.3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 x14ac:dyDescent="0.3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 x14ac:dyDescent="0.3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 x14ac:dyDescent="0.3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 x14ac:dyDescent="0.3">
      <c r="A12" s="126"/>
      <c r="B12" s="759" t="s">
        <v>17</v>
      </c>
      <c r="C12" s="760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 x14ac:dyDescent="0.3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 x14ac:dyDescent="0.3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 x14ac:dyDescent="0.3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 x14ac:dyDescent="0.3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 x14ac:dyDescent="0.3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 x14ac:dyDescent="0.2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 x14ac:dyDescent="0.3">
      <c r="A19" s="761" t="s">
        <v>36</v>
      </c>
      <c r="B19" s="762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 x14ac:dyDescent="0.3">
      <c r="A20" s="763"/>
      <c r="B20" s="764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" thickBot="1" x14ac:dyDescent="0.35">
      <c r="A21" s="765"/>
      <c r="B21" s="766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 x14ac:dyDescent="0.45">
      <c r="A22" s="151" t="s">
        <v>281</v>
      </c>
      <c r="B22" s="152"/>
      <c r="C22" s="153"/>
      <c r="P22" s="154"/>
      <c r="Q22" s="121"/>
    </row>
    <row r="23" spans="1:17" ht="14" thickBot="1" x14ac:dyDescent="0.45">
      <c r="A23" s="112" t="s">
        <v>271</v>
      </c>
      <c r="B23" s="112"/>
      <c r="C23" s="112"/>
      <c r="Q23" s="121"/>
    </row>
    <row r="24" spans="1:17" ht="13.5" x14ac:dyDescent="0.3">
      <c r="A24" s="728" t="s">
        <v>1</v>
      </c>
      <c r="B24" s="729"/>
      <c r="C24" s="729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 x14ac:dyDescent="0.4">
      <c r="A25" s="754" t="s">
        <v>9</v>
      </c>
      <c r="B25" s="755"/>
      <c r="C25" s="756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 x14ac:dyDescent="0.2">
      <c r="A26" s="123"/>
      <c r="B26" s="757" t="s">
        <v>10</v>
      </c>
      <c r="C26" s="758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 x14ac:dyDescent="0.3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 x14ac:dyDescent="0.3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 x14ac:dyDescent="0.3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 x14ac:dyDescent="0.3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 x14ac:dyDescent="0.3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 x14ac:dyDescent="0.3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 x14ac:dyDescent="0.3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 x14ac:dyDescent="0.3">
      <c r="A34" s="126"/>
      <c r="B34" s="759" t="s">
        <v>17</v>
      </c>
      <c r="C34" s="760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 x14ac:dyDescent="0.3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 x14ac:dyDescent="0.3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 x14ac:dyDescent="0.3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 x14ac:dyDescent="0.3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 x14ac:dyDescent="0.3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 x14ac:dyDescent="0.2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 x14ac:dyDescent="0.3">
      <c r="A41" s="761" t="s">
        <v>36</v>
      </c>
      <c r="B41" s="762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 x14ac:dyDescent="0.3">
      <c r="A42" s="763"/>
      <c r="B42" s="764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" thickBot="1" x14ac:dyDescent="0.35">
      <c r="A43" s="765"/>
      <c r="B43" s="766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 x14ac:dyDescent="0.3">
      <c r="A44" s="151" t="s">
        <v>282</v>
      </c>
      <c r="B44" s="158"/>
      <c r="C44" s="159"/>
    </row>
    <row r="45" spans="1:17" ht="14" thickBot="1" x14ac:dyDescent="0.45">
      <c r="A45" s="112" t="s">
        <v>272</v>
      </c>
      <c r="B45" s="112"/>
      <c r="C45" s="112"/>
      <c r="Q45" s="121"/>
    </row>
    <row r="46" spans="1:17" ht="13.5" x14ac:dyDescent="0.3">
      <c r="A46" s="728" t="s">
        <v>1</v>
      </c>
      <c r="B46" s="729"/>
      <c r="C46" s="729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 x14ac:dyDescent="0.2">
      <c r="A47" s="754" t="s">
        <v>9</v>
      </c>
      <c r="B47" s="755"/>
      <c r="C47" s="756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 x14ac:dyDescent="0.2">
      <c r="A48" s="123"/>
      <c r="B48" s="757" t="s">
        <v>10</v>
      </c>
      <c r="C48" s="758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 x14ac:dyDescent="0.3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 x14ac:dyDescent="0.3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 x14ac:dyDescent="0.3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 x14ac:dyDescent="0.3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 x14ac:dyDescent="0.3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 x14ac:dyDescent="0.3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 x14ac:dyDescent="0.3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" thickBot="1" x14ac:dyDescent="0.35">
      <c r="A56" s="169"/>
      <c r="B56" s="773" t="s">
        <v>17</v>
      </c>
      <c r="C56" s="767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 x14ac:dyDescent="0.3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5" x14ac:dyDescent="0.3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 x14ac:dyDescent="0.3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 x14ac:dyDescent="0.3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 x14ac:dyDescent="0.3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 x14ac:dyDescent="0.2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 x14ac:dyDescent="0.3">
      <c r="A63" s="761" t="s">
        <v>36</v>
      </c>
      <c r="B63" s="762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 x14ac:dyDescent="0.3">
      <c r="A64" s="763"/>
      <c r="B64" s="764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" thickBot="1" x14ac:dyDescent="0.35">
      <c r="A65" s="765"/>
      <c r="B65" s="766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 x14ac:dyDescent="0.3">
      <c r="A66" s="151" t="s">
        <v>283</v>
      </c>
      <c r="B66" s="158"/>
      <c r="C66" s="159"/>
    </row>
    <row r="67" spans="1:19" ht="14" thickBot="1" x14ac:dyDescent="0.45">
      <c r="A67" s="112" t="s">
        <v>274</v>
      </c>
      <c r="B67" s="112"/>
      <c r="C67" s="112"/>
    </row>
    <row r="68" spans="1:19" ht="13.5" x14ac:dyDescent="0.3">
      <c r="A68" s="728" t="s">
        <v>1</v>
      </c>
      <c r="B68" s="729"/>
      <c r="C68" s="729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 x14ac:dyDescent="0.3">
      <c r="A69" s="768" t="s">
        <v>11</v>
      </c>
      <c r="B69" s="769"/>
      <c r="C69" s="769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02"/>
      <c r="S69" s="703"/>
    </row>
    <row r="70" spans="1:19" ht="13.5" x14ac:dyDescent="0.3">
      <c r="A70" s="736" t="s">
        <v>276</v>
      </c>
      <c r="B70" s="737"/>
      <c r="C70" s="737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02"/>
      <c r="S70" s="703"/>
    </row>
    <row r="71" spans="1:19" ht="13.5" x14ac:dyDescent="0.3">
      <c r="A71" s="736" t="s">
        <v>12</v>
      </c>
      <c r="B71" s="737"/>
      <c r="C71" s="737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02"/>
      <c r="S71" s="703"/>
    </row>
    <row r="72" spans="1:19" ht="13.5" x14ac:dyDescent="0.3">
      <c r="A72" s="736" t="s">
        <v>13</v>
      </c>
      <c r="B72" s="737"/>
      <c r="C72" s="737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02"/>
      <c r="S72" s="703"/>
    </row>
    <row r="73" spans="1:19" ht="13.5" x14ac:dyDescent="0.3">
      <c r="A73" s="736" t="s">
        <v>14</v>
      </c>
      <c r="B73" s="737"/>
      <c r="C73" s="737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02"/>
      <c r="S73" s="703"/>
    </row>
    <row r="74" spans="1:19" ht="13.5" x14ac:dyDescent="0.3">
      <c r="A74" s="736" t="s">
        <v>15</v>
      </c>
      <c r="B74" s="737"/>
      <c r="C74" s="737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02"/>
      <c r="S74" s="703"/>
    </row>
    <row r="75" spans="1:19" ht="13.5" x14ac:dyDescent="0.3">
      <c r="A75" s="736" t="s">
        <v>16</v>
      </c>
      <c r="B75" s="737"/>
      <c r="C75" s="737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02"/>
      <c r="S75" s="703"/>
    </row>
    <row r="76" spans="1:19" ht="13.5" x14ac:dyDescent="0.3">
      <c r="A76" s="707" t="s">
        <v>17</v>
      </c>
      <c r="B76" s="708"/>
      <c r="C76" s="708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02"/>
      <c r="S76" s="703"/>
    </row>
    <row r="77" spans="1:19" ht="14" thickBot="1" x14ac:dyDescent="0.35">
      <c r="A77" s="749" t="s">
        <v>284</v>
      </c>
      <c r="B77" s="750"/>
      <c r="C77" s="750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02"/>
      <c r="S77" s="703"/>
    </row>
    <row r="78" spans="1:19" ht="12.75" hidden="1" customHeight="1" x14ac:dyDescent="0.2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3" x14ac:dyDescent="0.3">
      <c r="A79" s="151" t="s">
        <v>285</v>
      </c>
      <c r="R79" s="194"/>
      <c r="S79" s="194"/>
    </row>
    <row r="80" spans="1:19" ht="14" thickBot="1" x14ac:dyDescent="0.45">
      <c r="A80" s="112" t="s">
        <v>277</v>
      </c>
      <c r="B80" s="112"/>
      <c r="C80" s="112"/>
      <c r="R80" s="194"/>
      <c r="S80" s="194"/>
    </row>
    <row r="81" spans="1:21" ht="13.5" x14ac:dyDescent="0.3">
      <c r="A81" s="728" t="s">
        <v>1</v>
      </c>
      <c r="B81" s="729"/>
      <c r="C81" s="729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02"/>
      <c r="S81" s="703"/>
    </row>
    <row r="82" spans="1:21" s="198" customFormat="1" x14ac:dyDescent="0.25">
      <c r="A82" s="741" t="s">
        <v>52</v>
      </c>
      <c r="B82" s="742"/>
      <c r="C82" s="742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02"/>
      <c r="S82" s="703"/>
      <c r="T82" s="114"/>
      <c r="U82" s="114"/>
    </row>
    <row r="83" spans="1:21" s="198" customFormat="1" x14ac:dyDescent="0.25">
      <c r="A83" s="711" t="s">
        <v>53</v>
      </c>
      <c r="B83" s="712"/>
      <c r="C83" s="712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02"/>
      <c r="S83" s="703"/>
      <c r="T83" s="114"/>
      <c r="U83" s="114"/>
    </row>
    <row r="84" spans="1:21" s="198" customFormat="1" x14ac:dyDescent="0.25">
      <c r="A84" s="711" t="s">
        <v>54</v>
      </c>
      <c r="B84" s="712"/>
      <c r="C84" s="712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02"/>
      <c r="S84" s="703"/>
      <c r="T84" s="114"/>
      <c r="U84" s="114"/>
    </row>
    <row r="85" spans="1:21" s="198" customFormat="1" x14ac:dyDescent="0.25">
      <c r="A85" s="718" t="s">
        <v>55</v>
      </c>
      <c r="B85" s="719"/>
      <c r="C85" s="720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02"/>
      <c r="S85" s="703"/>
      <c r="T85" s="114"/>
      <c r="U85" s="114"/>
    </row>
    <row r="86" spans="1:21" s="198" customFormat="1" x14ac:dyDescent="0.25">
      <c r="A86" s="711" t="s">
        <v>276</v>
      </c>
      <c r="B86" s="712"/>
      <c r="C86" s="712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02"/>
      <c r="S86" s="703"/>
      <c r="T86" s="114"/>
      <c r="U86" s="114"/>
    </row>
    <row r="87" spans="1:21" s="198" customFormat="1" x14ac:dyDescent="0.25">
      <c r="A87" s="711" t="s">
        <v>12</v>
      </c>
      <c r="B87" s="712"/>
      <c r="C87" s="712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02"/>
      <c r="S87" s="703"/>
      <c r="T87" s="114"/>
      <c r="U87" s="114"/>
    </row>
    <row r="88" spans="1:21" s="198" customFormat="1" x14ac:dyDescent="0.25">
      <c r="A88" s="711" t="s">
        <v>13</v>
      </c>
      <c r="B88" s="712"/>
      <c r="C88" s="712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02"/>
      <c r="S88" s="703"/>
      <c r="T88" s="114"/>
      <c r="U88" s="114"/>
    </row>
    <row r="89" spans="1:21" s="198" customFormat="1" x14ac:dyDescent="0.25">
      <c r="A89" s="711" t="s">
        <v>14</v>
      </c>
      <c r="B89" s="712"/>
      <c r="C89" s="712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02"/>
      <c r="S89" s="703"/>
      <c r="T89" s="114"/>
      <c r="U89" s="114"/>
    </row>
    <row r="90" spans="1:21" s="198" customFormat="1" x14ac:dyDescent="0.25">
      <c r="A90" s="711" t="s">
        <v>15</v>
      </c>
      <c r="B90" s="712"/>
      <c r="C90" s="712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02"/>
      <c r="S90" s="703"/>
      <c r="T90" s="114"/>
      <c r="U90" s="114"/>
    </row>
    <row r="91" spans="1:21" s="197" customFormat="1" ht="13" thickBot="1" x14ac:dyDescent="0.3">
      <c r="A91" s="734" t="s">
        <v>16</v>
      </c>
      <c r="B91" s="735"/>
      <c r="C91" s="735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02"/>
      <c r="S91" s="703"/>
      <c r="T91" s="114"/>
      <c r="U91" s="114"/>
    </row>
    <row r="92" spans="1:21" ht="13" x14ac:dyDescent="0.3">
      <c r="A92" s="151"/>
      <c r="B92" s="203"/>
      <c r="C92" s="203"/>
      <c r="R92" s="194"/>
      <c r="S92" s="194"/>
    </row>
    <row r="93" spans="1:21" ht="14" thickBot="1" x14ac:dyDescent="0.45">
      <c r="A93" s="112" t="s">
        <v>278</v>
      </c>
      <c r="B93" s="112"/>
      <c r="C93" s="112"/>
      <c r="R93" s="194"/>
      <c r="S93" s="194"/>
    </row>
    <row r="94" spans="1:21" ht="13.5" x14ac:dyDescent="0.3">
      <c r="A94" s="728" t="s">
        <v>1</v>
      </c>
      <c r="B94" s="729"/>
      <c r="C94" s="729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02"/>
      <c r="S94" s="703"/>
    </row>
    <row r="95" spans="1:21" x14ac:dyDescent="0.25">
      <c r="A95" s="721" t="s">
        <v>11</v>
      </c>
      <c r="B95" s="722"/>
      <c r="C95" s="722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02"/>
      <c r="S95" s="703"/>
    </row>
    <row r="96" spans="1:21" x14ac:dyDescent="0.25">
      <c r="A96" s="709" t="s">
        <v>276</v>
      </c>
      <c r="B96" s="710"/>
      <c r="C96" s="710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02"/>
      <c r="S96" s="703"/>
    </row>
    <row r="97" spans="1:19" x14ac:dyDescent="0.25">
      <c r="A97" s="709" t="s">
        <v>12</v>
      </c>
      <c r="B97" s="710"/>
      <c r="C97" s="710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02"/>
      <c r="S97" s="703"/>
    </row>
    <row r="98" spans="1:19" x14ac:dyDescent="0.25">
      <c r="A98" s="709" t="s">
        <v>13</v>
      </c>
      <c r="B98" s="710"/>
      <c r="C98" s="710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02"/>
      <c r="S98" s="703"/>
    </row>
    <row r="99" spans="1:19" x14ac:dyDescent="0.25">
      <c r="A99" s="709" t="s">
        <v>14</v>
      </c>
      <c r="B99" s="710"/>
      <c r="C99" s="710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02"/>
      <c r="S99" s="703"/>
    </row>
    <row r="100" spans="1:19" x14ac:dyDescent="0.25">
      <c r="A100" s="709" t="s">
        <v>15</v>
      </c>
      <c r="B100" s="710"/>
      <c r="C100" s="710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02"/>
      <c r="S100" s="703"/>
    </row>
    <row r="101" spans="1:19" x14ac:dyDescent="0.25">
      <c r="A101" s="716" t="s">
        <v>16</v>
      </c>
      <c r="B101" s="717"/>
      <c r="C101" s="717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02"/>
      <c r="S101" s="703"/>
    </row>
    <row r="102" spans="1:19" ht="13.5" x14ac:dyDescent="0.3">
      <c r="A102" s="707" t="s">
        <v>17</v>
      </c>
      <c r="B102" s="708"/>
      <c r="C102" s="708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02"/>
      <c r="S102" s="703"/>
    </row>
    <row r="103" spans="1:19" ht="14" thickBot="1" x14ac:dyDescent="0.3">
      <c r="A103" s="770" t="s">
        <v>284</v>
      </c>
      <c r="B103" s="771"/>
      <c r="C103" s="772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02"/>
      <c r="S103" s="703"/>
    </row>
    <row r="104" spans="1:19" ht="13" x14ac:dyDescent="0.3">
      <c r="A104" s="151" t="s">
        <v>282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P5" sqref="P5"/>
    </sheetView>
  </sheetViews>
  <sheetFormatPr defaultColWidth="9" defaultRowHeight="12.5" x14ac:dyDescent="0.4"/>
  <cols>
    <col min="1" max="1" width="3.36328125" style="343" customWidth="1"/>
    <col min="2" max="2" width="4.453125" style="343" customWidth="1"/>
    <col min="3" max="3" width="24.26953125" style="343" bestFit="1" customWidth="1"/>
    <col min="4" max="4" width="10.36328125" style="343" customWidth="1"/>
    <col min="5" max="5" width="10" style="343" customWidth="1"/>
    <col min="6" max="6" width="11.08984375" style="343" bestFit="1" customWidth="1"/>
    <col min="7" max="8" width="11.453125" style="343" bestFit="1" customWidth="1"/>
    <col min="9" max="15" width="10.36328125" style="343" customWidth="1"/>
    <col min="16" max="16" width="10.36328125" style="343" bestFit="1" customWidth="1"/>
    <col min="17" max="18" width="9" style="343"/>
    <col min="19" max="19" width="17.90625" style="343" bestFit="1" customWidth="1"/>
    <col min="20" max="20" width="13.453125" style="343" bestFit="1" customWidth="1"/>
    <col min="21" max="21" width="17.90625" style="343" bestFit="1" customWidth="1"/>
    <col min="22" max="22" width="13.453125" style="343" bestFit="1" customWidth="1"/>
    <col min="23" max="23" width="17.90625" style="343" bestFit="1" customWidth="1"/>
    <col min="24" max="24" width="13.26953125" style="343" bestFit="1" customWidth="1"/>
    <col min="25" max="25" width="17.90625" style="343" bestFit="1" customWidth="1"/>
    <col min="26" max="26" width="13.26953125" style="343" bestFit="1" customWidth="1"/>
    <col min="27" max="27" width="17.90625" style="343" bestFit="1" customWidth="1"/>
    <col min="28" max="28" width="13.453125" style="343" bestFit="1" customWidth="1"/>
    <col min="29" max="29" width="26.08984375" style="343" bestFit="1" customWidth="1"/>
    <col min="30" max="30" width="21.36328125" style="343" bestFit="1" customWidth="1"/>
    <col min="31" max="16384" width="9" style="343"/>
  </cols>
  <sheetData>
    <row r="1" spans="1:240" ht="14" thickBot="1" x14ac:dyDescent="0.45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 x14ac:dyDescent="0.3">
      <c r="A2" s="728" t="s">
        <v>1</v>
      </c>
      <c r="B2" s="729"/>
      <c r="C2" s="729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 x14ac:dyDescent="0.4">
      <c r="A3" s="754" t="s">
        <v>9</v>
      </c>
      <c r="B3" s="755"/>
      <c r="C3" s="756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578925172.42000008</v>
      </c>
      <c r="P3" s="347">
        <f>P4+P11+P16+P24</f>
        <v>548180327.21149743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 x14ac:dyDescent="0.4">
      <c r="A4" s="123"/>
      <c r="B4" s="757" t="s">
        <v>10</v>
      </c>
      <c r="C4" s="758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325765374.67000002</v>
      </c>
      <c r="P4" s="349">
        <f>SUM(P5:P10)</f>
        <v>324419518.28833336</v>
      </c>
    </row>
    <row r="5" spans="1:240" ht="13.5" x14ac:dyDescent="0.3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277734691</v>
      </c>
      <c r="P5" s="350">
        <f t="shared" ref="P5:P10" si="0">AVERAGE(D5:O5)</f>
        <v>281751314.42666668</v>
      </c>
    </row>
    <row r="6" spans="1:240" ht="13.5" x14ac:dyDescent="0.3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6811858.1900000004</v>
      </c>
      <c r="P6" s="350">
        <f t="shared" si="0"/>
        <v>6373737.0408333326</v>
      </c>
    </row>
    <row r="7" spans="1:240" ht="13.5" x14ac:dyDescent="0.3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10675769.74</v>
      </c>
      <c r="P7" s="350">
        <f t="shared" si="0"/>
        <v>5561278.4241666663</v>
      </c>
    </row>
    <row r="8" spans="1:240" ht="13.5" x14ac:dyDescent="0.3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21114101.260000002</v>
      </c>
      <c r="P8" s="350">
        <f t="shared" si="0"/>
        <v>19708685.091666665</v>
      </c>
    </row>
    <row r="9" spans="1:240" ht="13.5" x14ac:dyDescent="0.3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 x14ac:dyDescent="0.3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9428954.4800000004</v>
      </c>
      <c r="P10" s="350">
        <f t="shared" si="0"/>
        <v>11024503.305</v>
      </c>
    </row>
    <row r="11" spans="1:240" ht="13.5" x14ac:dyDescent="0.3">
      <c r="A11" s="126"/>
      <c r="B11" s="759" t="s">
        <v>17</v>
      </c>
      <c r="C11" s="760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10533517.16</v>
      </c>
      <c r="P11" s="351">
        <f>SUM(P12:P15)</f>
        <v>10884202.832500001</v>
      </c>
    </row>
    <row r="12" spans="1:240" ht="13.5" x14ac:dyDescent="0.3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 x14ac:dyDescent="0.3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1583769.81</v>
      </c>
      <c r="P13" s="350">
        <f>AVERAGE(D13:O13)</f>
        <v>2290330.6</v>
      </c>
    </row>
    <row r="14" spans="1:240" ht="13.5" x14ac:dyDescent="0.3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243658</v>
      </c>
      <c r="P14" s="350">
        <f>AVERAGE(D14:O14)</f>
        <v>247721.60833333331</v>
      </c>
    </row>
    <row r="15" spans="1:240" ht="13.5" x14ac:dyDescent="0.3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8706089.3499999996</v>
      </c>
      <c r="P15" s="350">
        <f>AVERAGE(D15:O15)</f>
        <v>8346150.6241666675</v>
      </c>
    </row>
    <row r="16" spans="1:240" ht="13.5" x14ac:dyDescent="0.2">
      <c r="A16" s="126"/>
      <c r="B16" s="757" t="s">
        <v>22</v>
      </c>
      <c r="C16" s="758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238247806.37</v>
      </c>
      <c r="P16" s="351">
        <f>SUM(P17:P23)</f>
        <v>211083612.08447304</v>
      </c>
    </row>
    <row r="17" spans="1:240" ht="13.5" x14ac:dyDescent="0.3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210636909.06</v>
      </c>
      <c r="P17" s="350">
        <f t="shared" ref="P17:P23" si="1">AVERAGE(D17:O17)</f>
        <v>183974037.31620681</v>
      </c>
    </row>
    <row r="18" spans="1:240" ht="13.5" x14ac:dyDescent="0.3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1797328.74</v>
      </c>
      <c r="P18" s="350">
        <f t="shared" si="1"/>
        <v>2241655.0688219168</v>
      </c>
    </row>
    <row r="19" spans="1:240" ht="14.25" customHeight="1" x14ac:dyDescent="0.3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8326204.3499999996</v>
      </c>
      <c r="P19" s="350">
        <f t="shared" si="1"/>
        <v>7858174.079646416</v>
      </c>
    </row>
    <row r="20" spans="1:240" ht="13.5" x14ac:dyDescent="0.3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12167012.77</v>
      </c>
      <c r="P20" s="350">
        <f t="shared" si="1"/>
        <v>11679388.06606725</v>
      </c>
    </row>
    <row r="21" spans="1:240" ht="13.5" x14ac:dyDescent="0.3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5048293.0999999996</v>
      </c>
      <c r="P21" s="350">
        <f t="shared" si="1"/>
        <v>5054198.5003707511</v>
      </c>
    </row>
    <row r="22" spans="1:240" ht="13.5" x14ac:dyDescent="0.3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</v>
      </c>
      <c r="P22" s="350">
        <f t="shared" si="1"/>
        <v>113359.05335991668</v>
      </c>
    </row>
    <row r="23" spans="1:240" ht="14" thickBot="1" x14ac:dyDescent="0.25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 x14ac:dyDescent="0.2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4378474.2200000007</v>
      </c>
      <c r="P24" s="355">
        <f>SUM(P25:P29)</f>
        <v>1792994.0061909999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 x14ac:dyDescent="0.3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 x14ac:dyDescent="0.3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152002.76999999999</v>
      </c>
      <c r="P26" s="363">
        <f t="shared" si="2"/>
        <v>131466.47023391668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 x14ac:dyDescent="0.3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 x14ac:dyDescent="0.3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" thickBot="1" x14ac:dyDescent="0.35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4065295.45</v>
      </c>
      <c r="P29" s="363">
        <f t="shared" si="2"/>
        <v>1500351.5359570833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 x14ac:dyDescent="0.3">
      <c r="A30" s="761" t="s">
        <v>36</v>
      </c>
      <c r="B30" s="762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2524392.87</v>
      </c>
      <c r="P30" s="378">
        <f t="shared" si="2"/>
        <v>2652637.1525089601</v>
      </c>
    </row>
    <row r="31" spans="1:240" ht="13.5" x14ac:dyDescent="0.3">
      <c r="A31" s="763"/>
      <c r="B31" s="764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 x14ac:dyDescent="0.3">
      <c r="A32" s="763"/>
      <c r="B32" s="764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" thickBot="1" x14ac:dyDescent="0.35">
      <c r="A33" s="765"/>
      <c r="B33" s="766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 x14ac:dyDescent="0.45">
      <c r="A34" s="151"/>
      <c r="B34" s="152"/>
      <c r="C34" s="153"/>
      <c r="P34" s="381"/>
    </row>
    <row r="35" spans="1:240" ht="14" thickBot="1" x14ac:dyDescent="0.45">
      <c r="A35" s="342" t="s">
        <v>271</v>
      </c>
      <c r="B35" s="342"/>
      <c r="C35" s="342"/>
    </row>
    <row r="36" spans="1:240" ht="13.5" x14ac:dyDescent="0.3">
      <c r="A36" s="728" t="s">
        <v>1</v>
      </c>
      <c r="B36" s="729"/>
      <c r="C36" s="729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 x14ac:dyDescent="0.4">
      <c r="A37" s="754" t="s">
        <v>9</v>
      </c>
      <c r="B37" s="755"/>
      <c r="C37" s="756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 x14ac:dyDescent="0.4">
      <c r="A38" s="123"/>
      <c r="B38" s="757" t="s">
        <v>10</v>
      </c>
      <c r="C38" s="758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 x14ac:dyDescent="0.3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 x14ac:dyDescent="0.3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 x14ac:dyDescent="0.3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 x14ac:dyDescent="0.3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 x14ac:dyDescent="0.3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 x14ac:dyDescent="0.3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 x14ac:dyDescent="0.3">
      <c r="A45" s="126"/>
      <c r="B45" s="759" t="s">
        <v>17</v>
      </c>
      <c r="C45" s="760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 x14ac:dyDescent="0.3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 x14ac:dyDescent="0.3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 x14ac:dyDescent="0.3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 x14ac:dyDescent="0.3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 x14ac:dyDescent="0.3">
      <c r="A50" s="126"/>
      <c r="B50" s="759" t="s">
        <v>22</v>
      </c>
      <c r="C50" s="760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 x14ac:dyDescent="0.3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 x14ac:dyDescent="0.3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 x14ac:dyDescent="0.3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 x14ac:dyDescent="0.3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 x14ac:dyDescent="0.3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 x14ac:dyDescent="0.3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" thickBot="1" x14ac:dyDescent="0.45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 x14ac:dyDescent="0.2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 x14ac:dyDescent="0.3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 x14ac:dyDescent="0.3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 x14ac:dyDescent="0.3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 x14ac:dyDescent="0.3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 x14ac:dyDescent="0.35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 x14ac:dyDescent="0.3">
      <c r="A64" s="761" t="s">
        <v>36</v>
      </c>
      <c r="B64" s="762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 x14ac:dyDescent="0.3">
      <c r="A65" s="763"/>
      <c r="B65" s="764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 x14ac:dyDescent="0.3">
      <c r="A66" s="763"/>
      <c r="B66" s="764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" thickBot="1" x14ac:dyDescent="0.35">
      <c r="A67" s="765"/>
      <c r="B67" s="766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 x14ac:dyDescent="0.3">
      <c r="A68" s="151"/>
      <c r="B68" s="158"/>
      <c r="C68" s="159"/>
    </row>
    <row r="69" spans="1:240" ht="14.15" hidden="1" customHeight="1" thickBot="1" x14ac:dyDescent="0.45">
      <c r="A69" s="342" t="s">
        <v>272</v>
      </c>
      <c r="B69" s="342"/>
      <c r="C69" s="342"/>
      <c r="Q69" s="343">
        <v>1617672.23</v>
      </c>
    </row>
    <row r="70" spans="1:240" ht="13.5" hidden="1" customHeight="1" x14ac:dyDescent="0.3">
      <c r="A70" s="728" t="s">
        <v>1</v>
      </c>
      <c r="B70" s="729"/>
      <c r="C70" s="729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 x14ac:dyDescent="0.2">
      <c r="A71" s="754" t="s">
        <v>9</v>
      </c>
      <c r="B71" s="755"/>
      <c r="C71" s="756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 x14ac:dyDescent="0.2">
      <c r="A72" s="123"/>
      <c r="B72" s="757" t="s">
        <v>10</v>
      </c>
      <c r="C72" s="758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 x14ac:dyDescent="0.3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 x14ac:dyDescent="0.3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 x14ac:dyDescent="0.3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 x14ac:dyDescent="0.3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 x14ac:dyDescent="0.3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 x14ac:dyDescent="0.3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5" hidden="1" customHeight="1" thickBot="1" x14ac:dyDescent="0.35">
      <c r="A79" s="126"/>
      <c r="B79" s="759" t="s">
        <v>17</v>
      </c>
      <c r="C79" s="767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 x14ac:dyDescent="0.3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 x14ac:dyDescent="0.3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 x14ac:dyDescent="0.2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 x14ac:dyDescent="0.2">
      <c r="A83" s="126"/>
      <c r="B83" s="757" t="s">
        <v>22</v>
      </c>
      <c r="C83" s="758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 x14ac:dyDescent="0.3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 x14ac:dyDescent="0.3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 x14ac:dyDescent="0.3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 x14ac:dyDescent="0.3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 x14ac:dyDescent="0.3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 x14ac:dyDescent="0.3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 x14ac:dyDescent="0.2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 x14ac:dyDescent="0.3">
      <c r="A91" s="761" t="s">
        <v>36</v>
      </c>
      <c r="B91" s="762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 x14ac:dyDescent="0.3">
      <c r="A92" s="763"/>
      <c r="B92" s="764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 x14ac:dyDescent="0.3">
      <c r="A93" s="763"/>
      <c r="B93" s="764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5" hidden="1" customHeight="1" thickBot="1" x14ac:dyDescent="0.35">
      <c r="A94" s="765"/>
      <c r="B94" s="766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 x14ac:dyDescent="0.3">
      <c r="A95" s="151"/>
      <c r="B95" s="158"/>
      <c r="C95" s="159"/>
    </row>
    <row r="96" spans="1:240" ht="14" thickBot="1" x14ac:dyDescent="0.45">
      <c r="A96" s="342" t="s">
        <v>274</v>
      </c>
      <c r="B96" s="342"/>
      <c r="C96" s="342"/>
    </row>
    <row r="97" spans="1:18" ht="13.5" x14ac:dyDescent="0.3">
      <c r="A97" s="728" t="s">
        <v>1</v>
      </c>
      <c r="B97" s="729"/>
      <c r="C97" s="729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 x14ac:dyDescent="0.3">
      <c r="A98" s="768" t="s">
        <v>11</v>
      </c>
      <c r="B98" s="769"/>
      <c r="C98" s="769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98.1</v>
      </c>
      <c r="P98" s="422">
        <v>98.202627166666659</v>
      </c>
    </row>
    <row r="99" spans="1:18" ht="13.5" x14ac:dyDescent="0.3">
      <c r="A99" s="736" t="s">
        <v>12</v>
      </c>
      <c r="B99" s="737"/>
      <c r="C99" s="737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</v>
      </c>
      <c r="P99" s="422">
        <v>99.740275916666675</v>
      </c>
    </row>
    <row r="100" spans="1:18" ht="13.5" x14ac:dyDescent="0.3">
      <c r="A100" s="736" t="s">
        <v>13</v>
      </c>
      <c r="B100" s="737"/>
      <c r="C100" s="737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82.7</v>
      </c>
      <c r="P100" s="422">
        <v>76.173119583333332</v>
      </c>
    </row>
    <row r="101" spans="1:18" ht="13.5" x14ac:dyDescent="0.3">
      <c r="A101" s="736" t="s">
        <v>14</v>
      </c>
      <c r="B101" s="737"/>
      <c r="C101" s="737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99.4</v>
      </c>
      <c r="P101" s="422">
        <v>99.39079774999999</v>
      </c>
    </row>
    <row r="102" spans="1:18" ht="13.5" x14ac:dyDescent="0.3">
      <c r="A102" s="736" t="s">
        <v>21</v>
      </c>
      <c r="B102" s="737"/>
      <c r="C102" s="737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93.9</v>
      </c>
      <c r="P102" s="422">
        <v>93.545044166666671</v>
      </c>
    </row>
    <row r="103" spans="1:18" ht="13.5" x14ac:dyDescent="0.3">
      <c r="A103" s="736" t="s">
        <v>16</v>
      </c>
      <c r="B103" s="737"/>
      <c r="C103" s="737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98.2</v>
      </c>
      <c r="P103" s="422">
        <v>98.820241666666661</v>
      </c>
    </row>
    <row r="104" spans="1:18" ht="13.5" x14ac:dyDescent="0.3">
      <c r="A104" s="707" t="s">
        <v>17</v>
      </c>
      <c r="B104" s="708"/>
      <c r="C104" s="708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93.8</v>
      </c>
      <c r="P104" s="422">
        <v>80.933333333333323</v>
      </c>
    </row>
    <row r="105" spans="1:18" ht="13.5" x14ac:dyDescent="0.3">
      <c r="A105" s="746" t="s">
        <v>49</v>
      </c>
      <c r="B105" s="747"/>
      <c r="C105" s="748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98.2</v>
      </c>
      <c r="P105" s="424">
        <v>98.223968666666664</v>
      </c>
    </row>
    <row r="106" spans="1:18" ht="17" x14ac:dyDescent="0.3">
      <c r="A106" s="736" t="s">
        <v>276</v>
      </c>
      <c r="B106" s="737"/>
      <c r="C106" s="737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97.1</v>
      </c>
      <c r="P106" s="422">
        <v>97.32332991666668</v>
      </c>
      <c r="R106" s="555"/>
    </row>
    <row r="107" spans="1:18" ht="17" x14ac:dyDescent="0.3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100</v>
      </c>
      <c r="P107" s="422">
        <v>99.66018716666666</v>
      </c>
      <c r="R107" s="555"/>
    </row>
    <row r="108" spans="1:18" ht="17" x14ac:dyDescent="0.3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94.1</v>
      </c>
      <c r="P108" s="422">
        <v>88.215528833333337</v>
      </c>
      <c r="R108" s="555"/>
    </row>
    <row r="109" spans="1:18" ht="17" x14ac:dyDescent="0.3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</v>
      </c>
      <c r="P109" s="422">
        <v>96.877690333333319</v>
      </c>
      <c r="R109" s="555"/>
    </row>
    <row r="110" spans="1:18" ht="17" x14ac:dyDescent="0.3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96</v>
      </c>
      <c r="P110" s="422">
        <v>96.990130250000007</v>
      </c>
      <c r="R110" s="555"/>
    </row>
    <row r="111" spans="1:18" ht="17" x14ac:dyDescent="0.3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5"/>
    </row>
    <row r="112" spans="1:18" ht="17" x14ac:dyDescent="0.3">
      <c r="A112" s="784" t="s">
        <v>50</v>
      </c>
      <c r="B112" s="785"/>
      <c r="C112" s="785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97.2</v>
      </c>
      <c r="P112" s="424">
        <v>97.074126166666659</v>
      </c>
      <c r="R112" s="555"/>
    </row>
    <row r="113" spans="1:240" ht="17" x14ac:dyDescent="0.3">
      <c r="A113" s="737" t="s">
        <v>31</v>
      </c>
      <c r="B113" s="737"/>
      <c r="C113" s="737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5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 x14ac:dyDescent="0.3">
      <c r="A114" s="737" t="s">
        <v>32</v>
      </c>
      <c r="B114" s="737"/>
      <c r="C114" s="737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 x14ac:dyDescent="0.3">
      <c r="A115" s="737" t="s">
        <v>33</v>
      </c>
      <c r="B115" s="737"/>
      <c r="C115" s="737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 x14ac:dyDescent="0.3">
      <c r="A116" s="737" t="s">
        <v>34</v>
      </c>
      <c r="B116" s="737"/>
      <c r="C116" s="737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 x14ac:dyDescent="0.3">
      <c r="A117" s="737" t="s">
        <v>35</v>
      </c>
      <c r="B117" s="737"/>
      <c r="C117" s="737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 x14ac:dyDescent="0.3">
      <c r="A118" s="786" t="s">
        <v>30</v>
      </c>
      <c r="B118" s="786"/>
      <c r="C118" s="786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99.5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3" x14ac:dyDescent="0.3">
      <c r="A119" s="151"/>
    </row>
    <row r="120" spans="1:240" ht="14" thickBot="1" x14ac:dyDescent="0.45">
      <c r="A120" s="342" t="s">
        <v>277</v>
      </c>
      <c r="B120" s="342"/>
      <c r="C120" s="342"/>
    </row>
    <row r="121" spans="1:240" ht="13.5" x14ac:dyDescent="0.3">
      <c r="A121" s="728" t="s">
        <v>1</v>
      </c>
      <c r="B121" s="729"/>
      <c r="C121" s="729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 x14ac:dyDescent="0.25">
      <c r="A122" s="711" t="s">
        <v>52</v>
      </c>
      <c r="B122" s="712"/>
      <c r="C122" s="712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 x14ac:dyDescent="0.25">
      <c r="A123" s="711" t="s">
        <v>53</v>
      </c>
      <c r="B123" s="712"/>
      <c r="C123" s="712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98.4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 x14ac:dyDescent="0.25">
      <c r="A124" s="711" t="s">
        <v>54</v>
      </c>
      <c r="B124" s="712"/>
      <c r="C124" s="712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98.9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 x14ac:dyDescent="0.25">
      <c r="A125" s="718" t="s">
        <v>55</v>
      </c>
      <c r="B125" s="719"/>
      <c r="C125" s="720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98.2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 x14ac:dyDescent="0.25">
      <c r="A126" s="711" t="s">
        <v>12</v>
      </c>
      <c r="B126" s="712"/>
      <c r="C126" s="712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 x14ac:dyDescent="0.25">
      <c r="A127" s="711" t="s">
        <v>13</v>
      </c>
      <c r="B127" s="712"/>
      <c r="C127" s="712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83.9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 x14ac:dyDescent="0.25">
      <c r="A128" s="711" t="s">
        <v>14</v>
      </c>
      <c r="B128" s="712"/>
      <c r="C128" s="712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 x14ac:dyDescent="0.25">
      <c r="A129" s="711" t="s">
        <v>21</v>
      </c>
      <c r="B129" s="712"/>
      <c r="C129" s="712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95.2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3" thickBot="1" x14ac:dyDescent="0.3">
      <c r="A130" s="734" t="s">
        <v>16</v>
      </c>
      <c r="B130" s="735"/>
      <c r="C130" s="735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98.1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 x14ac:dyDescent="0.25">
      <c r="A131" s="711" t="s">
        <v>23</v>
      </c>
      <c r="B131" s="712"/>
      <c r="C131" s="712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97.7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 x14ac:dyDescent="0.25">
      <c r="A132" s="699" t="s">
        <v>24</v>
      </c>
      <c r="B132" s="700"/>
      <c r="C132" s="701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100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 x14ac:dyDescent="0.25">
      <c r="A133" s="699" t="s">
        <v>25</v>
      </c>
      <c r="B133" s="700"/>
      <c r="C133" s="701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94.9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 x14ac:dyDescent="0.25">
      <c r="A134" s="699" t="s">
        <v>26</v>
      </c>
      <c r="B134" s="700"/>
      <c r="C134" s="701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98.3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 x14ac:dyDescent="0.25">
      <c r="A135" s="699" t="s">
        <v>27</v>
      </c>
      <c r="B135" s="700"/>
      <c r="C135" s="701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96.2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3" thickBot="1" x14ac:dyDescent="0.3">
      <c r="A136" s="776" t="s">
        <v>28</v>
      </c>
      <c r="B136" s="777"/>
      <c r="C136" s="778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 x14ac:dyDescent="0.25">
      <c r="A137" s="779" t="s">
        <v>31</v>
      </c>
      <c r="B137" s="780"/>
      <c r="C137" s="781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 x14ac:dyDescent="0.25">
      <c r="A138" s="782" t="s">
        <v>32</v>
      </c>
      <c r="B138" s="700"/>
      <c r="C138" s="701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 x14ac:dyDescent="0.25">
      <c r="A139" s="782" t="s">
        <v>33</v>
      </c>
      <c r="B139" s="700"/>
      <c r="C139" s="701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 x14ac:dyDescent="0.25">
      <c r="A140" s="782" t="s">
        <v>34</v>
      </c>
      <c r="B140" s="700"/>
      <c r="C140" s="701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3" thickBot="1" x14ac:dyDescent="0.3">
      <c r="A141" s="783" t="s">
        <v>35</v>
      </c>
      <c r="B141" s="777"/>
      <c r="C141" s="778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3" x14ac:dyDescent="0.3">
      <c r="A142" s="151"/>
      <c r="B142" s="203"/>
      <c r="C142" s="203"/>
    </row>
    <row r="143" spans="1:240" ht="14" thickBot="1" x14ac:dyDescent="0.45">
      <c r="A143" s="342" t="s">
        <v>278</v>
      </c>
      <c r="B143" s="342"/>
      <c r="C143" s="342"/>
    </row>
    <row r="144" spans="1:240" ht="13.5" x14ac:dyDescent="0.3">
      <c r="A144" s="728" t="s">
        <v>1</v>
      </c>
      <c r="B144" s="729"/>
      <c r="C144" s="729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 x14ac:dyDescent="0.25">
      <c r="A145" s="721" t="s">
        <v>11</v>
      </c>
      <c r="B145" s="722"/>
      <c r="C145" s="722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5686</v>
      </c>
      <c r="P145" s="452">
        <v>58147</v>
      </c>
    </row>
    <row r="146" spans="1:240" x14ac:dyDescent="0.25">
      <c r="A146" s="709" t="s">
        <v>12</v>
      </c>
      <c r="B146" s="710"/>
      <c r="C146" s="710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10</v>
      </c>
      <c r="P146" s="452">
        <v>417</v>
      </c>
    </row>
    <row r="147" spans="1:240" x14ac:dyDescent="0.25">
      <c r="A147" s="709" t="s">
        <v>13</v>
      </c>
      <c r="B147" s="710"/>
      <c r="C147" s="710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62</v>
      </c>
      <c r="P147" s="452">
        <v>2314</v>
      </c>
    </row>
    <row r="148" spans="1:240" x14ac:dyDescent="0.25">
      <c r="A148" s="709" t="s">
        <v>14</v>
      </c>
      <c r="B148" s="710"/>
      <c r="C148" s="710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322</v>
      </c>
      <c r="P148" s="452">
        <v>3468</v>
      </c>
    </row>
    <row r="149" spans="1:240" x14ac:dyDescent="0.25">
      <c r="A149" s="709" t="s">
        <v>21</v>
      </c>
      <c r="B149" s="710"/>
      <c r="C149" s="710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823</v>
      </c>
      <c r="P149" s="452">
        <v>8782</v>
      </c>
    </row>
    <row r="150" spans="1:240" x14ac:dyDescent="0.25">
      <c r="A150" s="716" t="s">
        <v>16</v>
      </c>
      <c r="B150" s="717"/>
      <c r="C150" s="717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253</v>
      </c>
      <c r="P150" s="452">
        <v>1611</v>
      </c>
    </row>
    <row r="151" spans="1:240" ht="13.5" x14ac:dyDescent="0.3">
      <c r="A151" s="707" t="s">
        <v>17</v>
      </c>
      <c r="B151" s="708"/>
      <c r="C151" s="708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12</v>
      </c>
      <c r="P151" s="452">
        <v>302.33333333333331</v>
      </c>
    </row>
    <row r="152" spans="1:240" ht="13.5" x14ac:dyDescent="0.3">
      <c r="A152" s="713" t="s">
        <v>49</v>
      </c>
      <c r="B152" s="714"/>
      <c r="C152" s="715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7168</v>
      </c>
      <c r="P152" s="453">
        <v>75041.333333333328</v>
      </c>
    </row>
    <row r="153" spans="1:240" x14ac:dyDescent="0.25">
      <c r="A153" s="711" t="s">
        <v>23</v>
      </c>
      <c r="B153" s="712"/>
      <c r="C153" s="712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1379</v>
      </c>
      <c r="P153" s="452">
        <v>12108</v>
      </c>
    </row>
    <row r="154" spans="1:240" x14ac:dyDescent="0.25">
      <c r="A154" s="699" t="s">
        <v>24</v>
      </c>
      <c r="B154" s="700"/>
      <c r="C154" s="701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0</v>
      </c>
      <c r="P154" s="452">
        <v>24</v>
      </c>
    </row>
    <row r="155" spans="1:240" x14ac:dyDescent="0.25">
      <c r="A155" s="699" t="s">
        <v>25</v>
      </c>
      <c r="B155" s="700"/>
      <c r="C155" s="701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30</v>
      </c>
      <c r="P155" s="452">
        <v>1473</v>
      </c>
    </row>
    <row r="156" spans="1:240" x14ac:dyDescent="0.25">
      <c r="A156" s="699" t="s">
        <v>26</v>
      </c>
      <c r="B156" s="700"/>
      <c r="C156" s="701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203</v>
      </c>
      <c r="P156" s="452">
        <v>3598</v>
      </c>
    </row>
    <row r="157" spans="1:240" x14ac:dyDescent="0.25">
      <c r="A157" s="699" t="s">
        <v>27</v>
      </c>
      <c r="B157" s="700"/>
      <c r="C157" s="701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64</v>
      </c>
      <c r="P157" s="452">
        <v>451</v>
      </c>
    </row>
    <row r="158" spans="1:240" x14ac:dyDescent="0.25">
      <c r="A158" s="699" t="s">
        <v>28</v>
      </c>
      <c r="B158" s="700"/>
      <c r="C158" s="701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0</v>
      </c>
      <c r="P158" s="452">
        <v>14</v>
      </c>
    </row>
    <row r="159" spans="1:240" ht="14" thickBot="1" x14ac:dyDescent="0.25">
      <c r="A159" s="696" t="s">
        <v>50</v>
      </c>
      <c r="B159" s="697"/>
      <c r="C159" s="698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1676</v>
      </c>
      <c r="P159" s="455">
        <v>17668</v>
      </c>
    </row>
    <row r="160" spans="1:240" x14ac:dyDescent="0.25">
      <c r="A160" s="774" t="s">
        <v>31</v>
      </c>
      <c r="B160" s="775"/>
      <c r="C160" s="775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 x14ac:dyDescent="0.25">
      <c r="A161" s="709" t="s">
        <v>32</v>
      </c>
      <c r="B161" s="710"/>
      <c r="C161" s="710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 x14ac:dyDescent="0.25">
      <c r="A162" s="709" t="s">
        <v>33</v>
      </c>
      <c r="B162" s="710"/>
      <c r="C162" s="710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 x14ac:dyDescent="0.25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 x14ac:dyDescent="0.25">
      <c r="A164" s="716" t="s">
        <v>35</v>
      </c>
      <c r="B164" s="717"/>
      <c r="C164" s="717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" thickBot="1" x14ac:dyDescent="0.25">
      <c r="A165" s="770" t="s">
        <v>30</v>
      </c>
      <c r="B165" s="771"/>
      <c r="C165" s="772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" x14ac:dyDescent="0.4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" x14ac:dyDescent="0.4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" x14ac:dyDescent="0.4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" x14ac:dyDescent="0.4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" x14ac:dyDescent="0.4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" x14ac:dyDescent="0.4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" x14ac:dyDescent="0.4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" x14ac:dyDescent="0.4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" x14ac:dyDescent="0.4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" x14ac:dyDescent="0.4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" x14ac:dyDescent="0.4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" x14ac:dyDescent="0.4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" x14ac:dyDescent="0.4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" x14ac:dyDescent="0.4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" x14ac:dyDescent="0.4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" x14ac:dyDescent="0.4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" x14ac:dyDescent="0.4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" x14ac:dyDescent="0.4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" x14ac:dyDescent="0.4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" x14ac:dyDescent="0.4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L46" sqref="L46"/>
    </sheetView>
  </sheetViews>
  <sheetFormatPr defaultColWidth="9" defaultRowHeight="12.5" x14ac:dyDescent="0.4"/>
  <cols>
    <col min="1" max="1" width="3.36328125" style="343" customWidth="1"/>
    <col min="2" max="2" width="4.453125" style="343" customWidth="1"/>
    <col min="3" max="3" width="24.26953125" style="343" bestFit="1" customWidth="1"/>
    <col min="4" max="4" width="10.36328125" style="343" customWidth="1"/>
    <col min="5" max="5" width="10" style="343" customWidth="1"/>
    <col min="6" max="6" width="11.08984375" style="343" bestFit="1" customWidth="1"/>
    <col min="7" max="8" width="11.453125" style="343" bestFit="1" customWidth="1"/>
    <col min="9" max="15" width="10.36328125" style="343" customWidth="1"/>
    <col min="16" max="16" width="10.36328125" style="343" bestFit="1" customWidth="1"/>
    <col min="17" max="17" width="19.7265625" style="343" customWidth="1"/>
    <col min="18" max="18" width="3.36328125" style="343" customWidth="1"/>
    <col min="19" max="19" width="12.7265625" style="343" customWidth="1"/>
    <col min="20" max="23" width="9.6328125" style="343" bestFit="1" customWidth="1"/>
    <col min="24" max="29" width="10.08984375" style="343" bestFit="1" customWidth="1"/>
    <col min="30" max="16384" width="9" style="343"/>
  </cols>
  <sheetData>
    <row r="1" spans="1:256" ht="14" thickBot="1" x14ac:dyDescent="0.45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 x14ac:dyDescent="0.3">
      <c r="A2" s="728" t="s">
        <v>1</v>
      </c>
      <c r="B2" s="729"/>
      <c r="C2" s="729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99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 x14ac:dyDescent="0.2">
      <c r="A3" s="754" t="s">
        <v>9</v>
      </c>
      <c r="B3" s="755"/>
      <c r="C3" s="756"/>
      <c r="D3" s="467">
        <f>D4+D11+D16</f>
        <v>586896841.77528787</v>
      </c>
      <c r="E3" s="467">
        <f t="shared" ref="E3:O3" si="0">E4+E11+E16</f>
        <v>577650587.27452612</v>
      </c>
      <c r="F3" s="467">
        <f t="shared" si="0"/>
        <v>577923169.63265753</v>
      </c>
      <c r="G3" s="467">
        <f t="shared" si="0"/>
        <v>572016981.82581627</v>
      </c>
      <c r="H3" s="467">
        <f t="shared" si="0"/>
        <v>566483026.12922704</v>
      </c>
      <c r="I3" s="467">
        <f t="shared" si="0"/>
        <v>544782040.18356049</v>
      </c>
      <c r="J3" s="467">
        <f t="shared" si="0"/>
        <v>543410982.0947051</v>
      </c>
      <c r="K3" s="467">
        <f t="shared" si="0"/>
        <v>548898295.94280851</v>
      </c>
      <c r="L3" s="467">
        <f t="shared" si="0"/>
        <v>531941755.47241509</v>
      </c>
      <c r="M3" s="467">
        <f t="shared" si="0"/>
        <v>528709702.49196374</v>
      </c>
      <c r="N3" s="467">
        <f t="shared" si="0"/>
        <v>547045220.53323877</v>
      </c>
      <c r="O3" s="467">
        <f t="shared" si="0"/>
        <v>567089575.8259064</v>
      </c>
      <c r="P3" s="467">
        <f>P4+P11+P16+P24</f>
        <v>629578831.3002696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 x14ac:dyDescent="0.2">
      <c r="A4" s="123"/>
      <c r="B4" s="757" t="s">
        <v>10</v>
      </c>
      <c r="C4" s="758"/>
      <c r="D4" s="351">
        <f>SUM(D5:D10)</f>
        <v>348736296.20599359</v>
      </c>
      <c r="E4" s="351">
        <f t="shared" ref="E4:O4" si="1">SUM(E5:E10)</f>
        <v>350363936.72417545</v>
      </c>
      <c r="F4" s="351">
        <f t="shared" si="1"/>
        <v>347000823.10997212</v>
      </c>
      <c r="G4" s="351">
        <f t="shared" si="1"/>
        <v>345621549.37545872</v>
      </c>
      <c r="H4" s="351">
        <f t="shared" si="1"/>
        <v>343552985.32492054</v>
      </c>
      <c r="I4" s="351">
        <f t="shared" si="1"/>
        <v>326410704.39598554</v>
      </c>
      <c r="J4" s="351">
        <f t="shared" si="1"/>
        <v>327329757.8229351</v>
      </c>
      <c r="K4" s="351">
        <f t="shared" si="1"/>
        <v>325002569.27828842</v>
      </c>
      <c r="L4" s="351">
        <f t="shared" si="1"/>
        <v>313022379.25867927</v>
      </c>
      <c r="M4" s="351">
        <f t="shared" si="1"/>
        <v>311494317.78401929</v>
      </c>
      <c r="N4" s="351">
        <f t="shared" si="1"/>
        <v>329888865.86503339</v>
      </c>
      <c r="O4" s="351">
        <f t="shared" si="1"/>
        <v>346692399.10788912</v>
      </c>
      <c r="P4" s="351">
        <f>SUM(P5:P10)</f>
        <v>334593048.68777925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 x14ac:dyDescent="0.3">
      <c r="A5" s="126"/>
      <c r="B5" s="127"/>
      <c r="C5" s="128" t="s">
        <v>11</v>
      </c>
      <c r="D5" s="350">
        <v>300495758.86027563</v>
      </c>
      <c r="E5" s="350">
        <v>302825510.44914973</v>
      </c>
      <c r="F5" s="350">
        <v>300729897.64127737</v>
      </c>
      <c r="G5" s="350">
        <v>300722632.26954645</v>
      </c>
      <c r="H5" s="350">
        <v>299861286.73782527</v>
      </c>
      <c r="I5" s="350">
        <v>283499382.17448181</v>
      </c>
      <c r="J5" s="350">
        <v>284551757.8855716</v>
      </c>
      <c r="K5" s="350">
        <v>282657851.39576364</v>
      </c>
      <c r="L5" s="350">
        <v>272546550.5420143</v>
      </c>
      <c r="M5" s="350">
        <v>271569713.39692378</v>
      </c>
      <c r="N5" s="350">
        <v>286691574.37752742</v>
      </c>
      <c r="O5" s="350">
        <v>299656105.43690866</v>
      </c>
      <c r="P5" s="350">
        <f t="shared" ref="P5:P10" si="2">AVERAGE(D5:O5)</f>
        <v>290484001.76393884</v>
      </c>
      <c r="R5" s="469">
        <f>0</f>
        <v>0</v>
      </c>
      <c r="S5" s="470">
        <f>$D5</f>
        <v>300495758.86027563</v>
      </c>
      <c r="T5" s="469">
        <f>SUM($D5:$E5)/2</f>
        <v>301660634.65471268</v>
      </c>
      <c r="U5" s="469">
        <f>SUM($D5:$F5)/3</f>
        <v>301350388.98356754</v>
      </c>
      <c r="V5" s="469">
        <f>SUM($D5:$G5)/4</f>
        <v>301193449.80506229</v>
      </c>
      <c r="W5" s="469">
        <f>SUM($D5:$H5)/5</f>
        <v>300927017.19161493</v>
      </c>
      <c r="X5" s="469">
        <f>SUM($D5:$I5)/6</f>
        <v>298022411.35542607</v>
      </c>
      <c r="Y5" s="469">
        <f t="shared" ref="Y5:Y10" si="3">SUM($D5:$J5)/7</f>
        <v>296098032.28830397</v>
      </c>
      <c r="Z5" s="469">
        <f>SUM($D5:$K5)/8</f>
        <v>294418009.67673647</v>
      </c>
      <c r="AA5" s="469">
        <f>SUM($D5:$L5)/9</f>
        <v>291987847.5506562</v>
      </c>
      <c r="AB5" s="469">
        <f>SUM($D5:$M5)/10</f>
        <v>289946034.13528299</v>
      </c>
      <c r="AC5" s="469">
        <f>SUM($D5:$N5)/11</f>
        <v>289650174.15730518</v>
      </c>
    </row>
    <row r="6" spans="1:256" ht="13.5" x14ac:dyDescent="0.3">
      <c r="A6" s="126"/>
      <c r="B6" s="127"/>
      <c r="C6" s="128" t="s">
        <v>12</v>
      </c>
      <c r="D6" s="350">
        <v>6757204.8252985002</v>
      </c>
      <c r="E6" s="350">
        <v>7084772.4493877497</v>
      </c>
      <c r="F6" s="350">
        <v>6814102.1975432504</v>
      </c>
      <c r="G6" s="350">
        <v>6143515.4134405004</v>
      </c>
      <c r="H6" s="350">
        <v>5817287.8454297502</v>
      </c>
      <c r="I6" s="350">
        <v>5668562.858064251</v>
      </c>
      <c r="J6" s="350">
        <v>5418299.2274190001</v>
      </c>
      <c r="K6" s="350">
        <v>5319075.5029565003</v>
      </c>
      <c r="L6" s="350">
        <v>5145577.6430102503</v>
      </c>
      <c r="M6" s="350">
        <v>5188499.3892470002</v>
      </c>
      <c r="N6" s="350">
        <v>5870618.0425402503</v>
      </c>
      <c r="O6" s="350">
        <v>6418664.1681450009</v>
      </c>
      <c r="P6" s="350">
        <f>AVERAGE(D6:O6)</f>
        <v>5970514.9635401675</v>
      </c>
      <c r="R6" s="469">
        <f>0</f>
        <v>0</v>
      </c>
      <c r="S6" s="470">
        <f t="shared" ref="S6:S33" si="4">$D6</f>
        <v>6757204.8252985002</v>
      </c>
      <c r="T6" s="469">
        <f>SUM($D6:$E6)/2</f>
        <v>6920988.6373431254</v>
      </c>
      <c r="U6" s="469">
        <f t="shared" ref="U6:U33" si="5">SUM($D6:$F6)/3</f>
        <v>6885359.8240765007</v>
      </c>
      <c r="V6" s="469">
        <f t="shared" ref="V6:V33" si="6">SUM($D6:$G6)/4</f>
        <v>6699898.7214175006</v>
      </c>
      <c r="W6" s="469">
        <f t="shared" ref="W6:W33" si="7">SUM($D6:$H6)/5</f>
        <v>6523376.5462199505</v>
      </c>
      <c r="X6" s="469">
        <f t="shared" ref="X6:X33" si="8">SUM($D6:$I6)/6</f>
        <v>6380907.5981940003</v>
      </c>
      <c r="Y6" s="469">
        <f t="shared" si="3"/>
        <v>6243392.1166547155</v>
      </c>
      <c r="Z6" s="469">
        <f t="shared" ref="Z6:Z33" si="9">SUM($D6:$K6)/8</f>
        <v>6127852.5399424387</v>
      </c>
      <c r="AA6" s="469">
        <f t="shared" ref="AA6:AA33" si="10">SUM($D6:$L6)/9</f>
        <v>6018710.8847277509</v>
      </c>
      <c r="AB6" s="469">
        <f t="shared" ref="AB6:AB32" si="11">SUM($D6:$M6)/10</f>
        <v>5935689.7351796757</v>
      </c>
      <c r="AC6" s="469">
        <f t="shared" ref="AC6:AC33" si="12">SUM($D6:$N6)/11</f>
        <v>5929774.1267579105</v>
      </c>
    </row>
    <row r="7" spans="1:256" ht="13.5" x14ac:dyDescent="0.3">
      <c r="A7" s="126"/>
      <c r="B7" s="127"/>
      <c r="C7" s="128" t="s">
        <v>13</v>
      </c>
      <c r="D7" s="350">
        <v>10206428.9123565</v>
      </c>
      <c r="E7" s="350">
        <v>9765466.2422129996</v>
      </c>
      <c r="F7" s="350">
        <v>8978744.759009501</v>
      </c>
      <c r="G7" s="350">
        <v>8298315.2758062501</v>
      </c>
      <c r="H7" s="350">
        <v>7794994.3155912505</v>
      </c>
      <c r="I7" s="350">
        <v>7683899.2505372502</v>
      </c>
      <c r="J7" s="350">
        <v>7692900.3107519988</v>
      </c>
      <c r="K7" s="350">
        <v>6845065.0182787497</v>
      </c>
      <c r="L7" s="350">
        <v>5651032.9317197502</v>
      </c>
      <c r="M7" s="350">
        <v>5490858.0462359991</v>
      </c>
      <c r="N7" s="350">
        <v>7096237.7060345002</v>
      </c>
      <c r="O7" s="350">
        <v>9336735.1023922488</v>
      </c>
      <c r="P7" s="350">
        <f>AVERAGE(D7:O7)</f>
        <v>7903389.8225772502</v>
      </c>
      <c r="R7" s="469">
        <f>0</f>
        <v>0</v>
      </c>
      <c r="S7" s="470">
        <f t="shared" si="4"/>
        <v>10206428.9123565</v>
      </c>
      <c r="T7" s="469">
        <f t="shared" ref="T7:T33" si="13">SUM($D7:$E7)/2</f>
        <v>9985947.5772847496</v>
      </c>
      <c r="U7" s="469">
        <f t="shared" si="5"/>
        <v>9650213.3045263346</v>
      </c>
      <c r="V7" s="469">
        <f t="shared" si="6"/>
        <v>9312238.7973463126</v>
      </c>
      <c r="W7" s="469">
        <f t="shared" si="7"/>
        <v>9008789.9009953011</v>
      </c>
      <c r="X7" s="469">
        <f t="shared" si="8"/>
        <v>8787974.7925856262</v>
      </c>
      <c r="Y7" s="469">
        <f t="shared" si="3"/>
        <v>8631535.5808951072</v>
      </c>
      <c r="Z7" s="469">
        <f t="shared" si="9"/>
        <v>8408226.7605680637</v>
      </c>
      <c r="AA7" s="469">
        <f t="shared" si="10"/>
        <v>8101871.8906960292</v>
      </c>
      <c r="AB7" s="469">
        <f t="shared" si="11"/>
        <v>7840770.5062500257</v>
      </c>
      <c r="AC7" s="469">
        <f t="shared" si="12"/>
        <v>7773085.7062304318</v>
      </c>
    </row>
    <row r="8" spans="1:256" ht="13.5" x14ac:dyDescent="0.3">
      <c r="A8" s="126"/>
      <c r="B8" s="127"/>
      <c r="C8" s="128" t="s">
        <v>14</v>
      </c>
      <c r="D8" s="350">
        <v>19522774.960038252</v>
      </c>
      <c r="E8" s="350">
        <v>18419757.634593248</v>
      </c>
      <c r="F8" s="350">
        <v>18429650.139608249</v>
      </c>
      <c r="G8" s="350">
        <v>18698223.354300503</v>
      </c>
      <c r="H8" s="350">
        <v>18097092.637096252</v>
      </c>
      <c r="I8" s="350">
        <v>17986028.274730749</v>
      </c>
      <c r="J8" s="350">
        <v>18729571.782526501</v>
      </c>
      <c r="K8" s="350">
        <v>19029715.354838498</v>
      </c>
      <c r="L8" s="350">
        <v>18501243.741935249</v>
      </c>
      <c r="M8" s="350">
        <v>18508136.068548001</v>
      </c>
      <c r="N8" s="350">
        <v>19461750.521774001</v>
      </c>
      <c r="O8" s="350">
        <v>20100223.095967501</v>
      </c>
      <c r="P8" s="350">
        <f t="shared" si="2"/>
        <v>18790347.29716308</v>
      </c>
      <c r="R8" s="469">
        <f>0</f>
        <v>0</v>
      </c>
      <c r="S8" s="470">
        <f t="shared" si="4"/>
        <v>19522774.960038252</v>
      </c>
      <c r="T8" s="469">
        <f t="shared" si="13"/>
        <v>18971266.29731575</v>
      </c>
      <c r="U8" s="469">
        <f t="shared" si="5"/>
        <v>18790727.578079917</v>
      </c>
      <c r="V8" s="469">
        <f t="shared" si="6"/>
        <v>18767601.522135064</v>
      </c>
      <c r="W8" s="469">
        <f t="shared" si="7"/>
        <v>18633499.745127302</v>
      </c>
      <c r="X8" s="469">
        <f t="shared" si="8"/>
        <v>18525587.833394542</v>
      </c>
      <c r="Y8" s="469">
        <f t="shared" si="3"/>
        <v>18554728.397556249</v>
      </c>
      <c r="Z8" s="469">
        <f t="shared" si="9"/>
        <v>18614101.76721653</v>
      </c>
      <c r="AA8" s="469">
        <f t="shared" si="10"/>
        <v>18601561.986629721</v>
      </c>
      <c r="AB8" s="469">
        <f t="shared" si="11"/>
        <v>18592219.394821547</v>
      </c>
      <c r="AC8" s="469">
        <f t="shared" si="12"/>
        <v>18671267.679089952</v>
      </c>
    </row>
    <row r="9" spans="1:256" ht="13.5" x14ac:dyDescent="0.3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 x14ac:dyDescent="0.3">
      <c r="A10" s="126"/>
      <c r="B10" s="132"/>
      <c r="C10" s="128" t="s">
        <v>16</v>
      </c>
      <c r="D10" s="350">
        <v>11754128.648024749</v>
      </c>
      <c r="E10" s="350">
        <v>12268429.94883175</v>
      </c>
      <c r="F10" s="350">
        <v>12048428.37253375</v>
      </c>
      <c r="G10" s="350">
        <v>11758863.062364999</v>
      </c>
      <c r="H10" s="350">
        <v>11982323.788977999</v>
      </c>
      <c r="I10" s="350">
        <v>11572831.838171501</v>
      </c>
      <c r="J10" s="350">
        <v>10937228.616666</v>
      </c>
      <c r="K10" s="350">
        <v>11150862.006451</v>
      </c>
      <c r="L10" s="350">
        <v>11177974.399999751</v>
      </c>
      <c r="M10" s="350">
        <v>10737110.883064501</v>
      </c>
      <c r="N10" s="350">
        <v>10768685.21715725</v>
      </c>
      <c r="O10" s="350">
        <v>11180671.304475751</v>
      </c>
      <c r="P10" s="350">
        <f t="shared" si="2"/>
        <v>11444794.840559915</v>
      </c>
      <c r="R10" s="469">
        <f>0</f>
        <v>0</v>
      </c>
      <c r="S10" s="470">
        <f t="shared" si="4"/>
        <v>11754128.648024749</v>
      </c>
      <c r="T10" s="469">
        <f t="shared" si="13"/>
        <v>12011279.298428249</v>
      </c>
      <c r="U10" s="469">
        <f t="shared" si="5"/>
        <v>12023662.32313008</v>
      </c>
      <c r="V10" s="469">
        <f t="shared" si="6"/>
        <v>11957462.50793881</v>
      </c>
      <c r="W10" s="469">
        <f t="shared" si="7"/>
        <v>11962434.764146646</v>
      </c>
      <c r="X10" s="469">
        <f t="shared" si="8"/>
        <v>11897500.943150789</v>
      </c>
      <c r="Y10" s="469">
        <f t="shared" si="3"/>
        <v>11760319.182224391</v>
      </c>
      <c r="Z10" s="469">
        <f t="shared" si="9"/>
        <v>11684137.035252716</v>
      </c>
      <c r="AA10" s="469">
        <f t="shared" si="10"/>
        <v>11627896.742446832</v>
      </c>
      <c r="AB10" s="469">
        <f t="shared" si="11"/>
        <v>11538818.156508598</v>
      </c>
      <c r="AC10" s="469">
        <f t="shared" si="12"/>
        <v>11468806.07111302</v>
      </c>
    </row>
    <row r="11" spans="1:256" ht="13.5" x14ac:dyDescent="0.3">
      <c r="A11" s="126"/>
      <c r="B11" s="759" t="s">
        <v>17</v>
      </c>
      <c r="C11" s="760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11458812.393713834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 x14ac:dyDescent="0.3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 x14ac:dyDescent="0.3">
      <c r="A13" s="126"/>
      <c r="B13" s="127"/>
      <c r="C13" s="134" t="s">
        <v>19</v>
      </c>
      <c r="D13" s="350">
        <v>1466031.072016</v>
      </c>
      <c r="E13" s="350">
        <v>1395413.6048385</v>
      </c>
      <c r="F13" s="350">
        <v>1571119.2701610001</v>
      </c>
      <c r="G13" s="350">
        <v>2162896.3709674999</v>
      </c>
      <c r="H13" s="350">
        <v>3075747.8467739997</v>
      </c>
      <c r="I13" s="350">
        <v>3420676.2983869999</v>
      </c>
      <c r="J13" s="350">
        <v>3559153.0120967501</v>
      </c>
      <c r="K13" s="350">
        <v>3923210.0658600004</v>
      </c>
      <c r="L13" s="350">
        <v>3279686.1962360004</v>
      </c>
      <c r="M13" s="350">
        <v>2222609.2599455002</v>
      </c>
      <c r="N13" s="350">
        <v>1762534.2666392501</v>
      </c>
      <c r="O13" s="350">
        <v>1589466.0639245</v>
      </c>
      <c r="P13" s="350">
        <f>AVERAGE(D13:O13)</f>
        <v>2452378.610653833</v>
      </c>
      <c r="R13" s="469">
        <f>0</f>
        <v>0</v>
      </c>
      <c r="S13" s="470">
        <f t="shared" si="4"/>
        <v>1466031.072016</v>
      </c>
      <c r="T13" s="469">
        <f t="shared" si="13"/>
        <v>1430722.33842725</v>
      </c>
      <c r="U13" s="469">
        <f t="shared" si="5"/>
        <v>1477521.3156718332</v>
      </c>
      <c r="V13" s="469">
        <f t="shared" si="6"/>
        <v>1648865.0794957499</v>
      </c>
      <c r="W13" s="469">
        <f t="shared" si="7"/>
        <v>1934241.6329513998</v>
      </c>
      <c r="X13" s="469">
        <f t="shared" si="8"/>
        <v>2181980.743857333</v>
      </c>
      <c r="Y13" s="469">
        <f>SUM($D13:$J13)/7</f>
        <v>2378719.6393201067</v>
      </c>
      <c r="Z13" s="469">
        <f t="shared" si="9"/>
        <v>2571780.9426375935</v>
      </c>
      <c r="AA13" s="469">
        <f t="shared" si="10"/>
        <v>2650437.0819263053</v>
      </c>
      <c r="AB13" s="469">
        <f t="shared" si="11"/>
        <v>2607654.299728225</v>
      </c>
      <c r="AC13" s="469">
        <f t="shared" si="12"/>
        <v>2530825.2058110456</v>
      </c>
    </row>
    <row r="14" spans="1:256" ht="13.5" x14ac:dyDescent="0.3">
      <c r="A14" s="126"/>
      <c r="B14" s="127"/>
      <c r="C14" s="233" t="s">
        <v>20</v>
      </c>
      <c r="D14" s="350">
        <v>348515.54386099998</v>
      </c>
      <c r="E14" s="350">
        <v>348587.07118974999</v>
      </c>
      <c r="F14" s="350">
        <v>343787.93882049999</v>
      </c>
      <c r="G14" s="350">
        <v>338987.35483850003</v>
      </c>
      <c r="H14" s="350">
        <v>303775.23924700002</v>
      </c>
      <c r="I14" s="350">
        <v>292951.18817149999</v>
      </c>
      <c r="J14" s="350">
        <v>316103.303763</v>
      </c>
      <c r="K14" s="350">
        <v>310255.36021474999</v>
      </c>
      <c r="L14" s="350">
        <v>281405.46236524999</v>
      </c>
      <c r="M14" s="350">
        <v>265382.84139749996</v>
      </c>
      <c r="N14" s="350">
        <v>260300.40611524999</v>
      </c>
      <c r="O14" s="350">
        <v>297724.07836000004</v>
      </c>
      <c r="P14" s="350">
        <f>AVERAGE(D14:O14)</f>
        <v>308981.31569533335</v>
      </c>
      <c r="R14" s="469">
        <f>0</f>
        <v>0</v>
      </c>
      <c r="S14" s="470">
        <f t="shared" si="4"/>
        <v>348515.54386099998</v>
      </c>
      <c r="T14" s="469">
        <f t="shared" si="13"/>
        <v>348551.30752537498</v>
      </c>
      <c r="U14" s="469">
        <f t="shared" si="5"/>
        <v>346963.51795708336</v>
      </c>
      <c r="V14" s="469">
        <f t="shared" si="6"/>
        <v>344969.47717743751</v>
      </c>
      <c r="W14" s="469">
        <f t="shared" si="7"/>
        <v>336730.62959135004</v>
      </c>
      <c r="X14" s="469">
        <f t="shared" si="8"/>
        <v>329434.05602137506</v>
      </c>
      <c r="Y14" s="469">
        <f>SUM($D14:$J14)/7</f>
        <v>327529.66284160718</v>
      </c>
      <c r="Z14" s="469">
        <f t="shared" si="9"/>
        <v>325370.37501324998</v>
      </c>
      <c r="AA14" s="469">
        <f t="shared" si="10"/>
        <v>320485.38471902779</v>
      </c>
      <c r="AB14" s="469">
        <f t="shared" si="11"/>
        <v>314975.13038687501</v>
      </c>
      <c r="AC14" s="469">
        <f t="shared" si="12"/>
        <v>310004.70090763638</v>
      </c>
    </row>
    <row r="15" spans="1:256" ht="13.5" x14ac:dyDescent="0.3">
      <c r="A15" s="126"/>
      <c r="B15" s="127"/>
      <c r="C15" s="233" t="s">
        <v>21</v>
      </c>
      <c r="D15" s="350">
        <v>9307029.102094749</v>
      </c>
      <c r="E15" s="350">
        <v>9325139.8926577494</v>
      </c>
      <c r="F15" s="350">
        <v>8757490.88826425</v>
      </c>
      <c r="G15" s="350">
        <v>8733981.1338707507</v>
      </c>
      <c r="H15" s="350">
        <v>8842556.1392470002</v>
      </c>
      <c r="I15" s="350">
        <v>8425512.0075262506</v>
      </c>
      <c r="J15" s="350">
        <v>8396825.5521497503</v>
      </c>
      <c r="K15" s="350">
        <v>8678978.5905907508</v>
      </c>
      <c r="L15" s="350">
        <v>8255687.2537630005</v>
      </c>
      <c r="M15" s="350">
        <v>8194120.0881717494</v>
      </c>
      <c r="N15" s="350">
        <v>8625125.8686692491</v>
      </c>
      <c r="O15" s="350">
        <v>8826983.0913707502</v>
      </c>
      <c r="P15" s="350">
        <f>AVERAGE(D15:O15)</f>
        <v>8697452.467364667</v>
      </c>
      <c r="R15" s="469">
        <f>0</f>
        <v>0</v>
      </c>
      <c r="S15" s="470">
        <f t="shared" si="4"/>
        <v>9307029.102094749</v>
      </c>
      <c r="T15" s="469">
        <f t="shared" si="13"/>
        <v>9316084.4973762482</v>
      </c>
      <c r="U15" s="469">
        <f t="shared" si="5"/>
        <v>9129886.6276722495</v>
      </c>
      <c r="V15" s="469">
        <f t="shared" si="6"/>
        <v>9030910.2542218752</v>
      </c>
      <c r="W15" s="469">
        <f t="shared" si="7"/>
        <v>8993239.4312268998</v>
      </c>
      <c r="X15" s="469">
        <f t="shared" si="8"/>
        <v>8898618.1939434577</v>
      </c>
      <c r="Y15" s="469">
        <f>SUM($D15:$J15)/7</f>
        <v>8826933.5308300722</v>
      </c>
      <c r="Z15" s="469">
        <f t="shared" si="9"/>
        <v>8808439.1633001566</v>
      </c>
      <c r="AA15" s="469">
        <f t="shared" si="10"/>
        <v>8747022.2844626959</v>
      </c>
      <c r="AB15" s="469">
        <f t="shared" si="11"/>
        <v>8691732.0648336001</v>
      </c>
      <c r="AC15" s="469">
        <f t="shared" si="12"/>
        <v>8685676.9560913872</v>
      </c>
    </row>
    <row r="16" spans="1:256" ht="13.5" x14ac:dyDescent="0.2">
      <c r="A16" s="126"/>
      <c r="B16" s="757" t="s">
        <v>22</v>
      </c>
      <c r="C16" s="758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283526970.21877646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 x14ac:dyDescent="0.3">
      <c r="A17" s="126"/>
      <c r="B17" s="127"/>
      <c r="C17" s="128" t="s">
        <v>23</v>
      </c>
      <c r="D17" s="350">
        <v>259946301.07624826</v>
      </c>
      <c r="E17" s="350">
        <v>256635636.39398783</v>
      </c>
      <c r="F17" s="350">
        <v>259486724.47462422</v>
      </c>
      <c r="G17" s="350">
        <v>253928974.49526501</v>
      </c>
      <c r="H17" s="350">
        <v>243726451.14449635</v>
      </c>
      <c r="I17" s="350">
        <v>242762284.00014922</v>
      </c>
      <c r="J17" s="350">
        <v>253628308.83370933</v>
      </c>
      <c r="K17" s="350">
        <v>256540943.71770126</v>
      </c>
      <c r="L17" s="350">
        <v>258524386.11048305</v>
      </c>
      <c r="M17" s="350">
        <v>262018935.01648533</v>
      </c>
      <c r="N17" s="350">
        <v>266893409.06768295</v>
      </c>
      <c r="O17" s="350">
        <v>271445926.64978403</v>
      </c>
      <c r="P17" s="350">
        <f t="shared" ref="P17:P23" si="14">AVERAGE(D17:O17)</f>
        <v>257128190.08171806</v>
      </c>
      <c r="R17" s="469">
        <f>0</f>
        <v>0</v>
      </c>
      <c r="S17" s="470">
        <f t="shared" si="4"/>
        <v>259946301.07624826</v>
      </c>
      <c r="T17" s="469">
        <f t="shared" si="13"/>
        <v>258290968.73511803</v>
      </c>
      <c r="U17" s="469">
        <f t="shared" si="5"/>
        <v>258689553.98162007</v>
      </c>
      <c r="V17" s="469">
        <f t="shared" si="6"/>
        <v>257499409.11003131</v>
      </c>
      <c r="W17" s="469">
        <f t="shared" si="7"/>
        <v>254744817.51692432</v>
      </c>
      <c r="X17" s="469">
        <f t="shared" si="8"/>
        <v>252747728.59746182</v>
      </c>
      <c r="Y17" s="469">
        <f t="shared" ref="Y17:Y23" si="15">SUM($D17:$J17)/7</f>
        <v>252873525.77406859</v>
      </c>
      <c r="Z17" s="469">
        <f t="shared" si="9"/>
        <v>253331953.01702267</v>
      </c>
      <c r="AA17" s="469">
        <f t="shared" si="10"/>
        <v>253908890.02740717</v>
      </c>
      <c r="AB17" s="469">
        <f t="shared" si="11"/>
        <v>254719894.52631497</v>
      </c>
      <c r="AC17" s="469">
        <f t="shared" si="12"/>
        <v>255826577.66643932</v>
      </c>
    </row>
    <row r="18" spans="1:256" ht="13.5" x14ac:dyDescent="0.3">
      <c r="A18" s="126"/>
      <c r="B18" s="127"/>
      <c r="C18" s="134" t="s">
        <v>24</v>
      </c>
      <c r="D18" s="350">
        <v>1998862.5994722294</v>
      </c>
      <c r="E18" s="350">
        <v>1997807.756641472</v>
      </c>
      <c r="F18" s="350">
        <v>2050247.9230848721</v>
      </c>
      <c r="G18" s="350">
        <v>2079170.2166695765</v>
      </c>
      <c r="H18" s="350">
        <v>2079356.1620721605</v>
      </c>
      <c r="I18" s="350">
        <v>2085465.8856139246</v>
      </c>
      <c r="J18" s="350">
        <v>2208301.1838684627</v>
      </c>
      <c r="K18" s="350">
        <v>2268487.9705136237</v>
      </c>
      <c r="L18" s="350">
        <v>2321588.5901329354</v>
      </c>
      <c r="M18" s="350">
        <v>2224226.003587543</v>
      </c>
      <c r="N18" s="350">
        <v>2225912.3336233259</v>
      </c>
      <c r="O18" s="350">
        <v>2292342.1052040774</v>
      </c>
      <c r="P18" s="350">
        <f t="shared" si="14"/>
        <v>2152647.394207017</v>
      </c>
      <c r="R18" s="469">
        <f>0</f>
        <v>0</v>
      </c>
      <c r="S18" s="470">
        <f t="shared" si="4"/>
        <v>1998862.5994722294</v>
      </c>
      <c r="T18" s="469">
        <f t="shared" si="13"/>
        <v>1998335.1780568506</v>
      </c>
      <c r="U18" s="469">
        <f t="shared" si="5"/>
        <v>2015639.4263995243</v>
      </c>
      <c r="V18" s="469">
        <f t="shared" si="6"/>
        <v>2031522.1239670373</v>
      </c>
      <c r="W18" s="469">
        <f t="shared" si="7"/>
        <v>2041088.9315880619</v>
      </c>
      <c r="X18" s="469">
        <f t="shared" si="8"/>
        <v>2048485.0905923722</v>
      </c>
      <c r="Y18" s="469">
        <f t="shared" si="15"/>
        <v>2071315.961060385</v>
      </c>
      <c r="Z18" s="469">
        <f t="shared" si="9"/>
        <v>2095962.4622420399</v>
      </c>
      <c r="AA18" s="469">
        <f t="shared" si="10"/>
        <v>2121032.0320076952</v>
      </c>
      <c r="AB18" s="469">
        <f t="shared" si="11"/>
        <v>2131351.42916568</v>
      </c>
      <c r="AC18" s="469">
        <f t="shared" si="12"/>
        <v>2139947.8750254661</v>
      </c>
    </row>
    <row r="19" spans="1:256" ht="13.5" x14ac:dyDescent="0.3">
      <c r="A19" s="126"/>
      <c r="B19" s="127"/>
      <c r="C19" s="134" t="s">
        <v>25</v>
      </c>
      <c r="D19" s="350">
        <v>8446933.1565500759</v>
      </c>
      <c r="E19" s="350">
        <v>6837065.7436033059</v>
      </c>
      <c r="F19" s="350">
        <v>5688526.9044024255</v>
      </c>
      <c r="G19" s="350">
        <v>5917104.4063725118</v>
      </c>
      <c r="H19" s="350">
        <v>5673644.6316201864</v>
      </c>
      <c r="I19" s="350">
        <v>5708504.8287524637</v>
      </c>
      <c r="J19" s="350">
        <v>6335000.1519423034</v>
      </c>
      <c r="K19" s="350">
        <v>6695582.8072023187</v>
      </c>
      <c r="L19" s="350">
        <v>6994736.2569613112</v>
      </c>
      <c r="M19" s="350">
        <v>6976444.8506525615</v>
      </c>
      <c r="N19" s="350">
        <v>7084008.1498191189</v>
      </c>
      <c r="O19" s="350">
        <v>7279822.0969657544</v>
      </c>
      <c r="P19" s="350">
        <f t="shared" si="14"/>
        <v>6636447.8320703618</v>
      </c>
      <c r="R19" s="469">
        <f>0</f>
        <v>0</v>
      </c>
      <c r="S19" s="470">
        <f t="shared" si="4"/>
        <v>8446933.1565500759</v>
      </c>
      <c r="T19" s="469">
        <f t="shared" si="13"/>
        <v>7641999.4500766909</v>
      </c>
      <c r="U19" s="469">
        <f t="shared" si="5"/>
        <v>6990841.9348519361</v>
      </c>
      <c r="V19" s="469">
        <f t="shared" si="6"/>
        <v>6722407.5527320802</v>
      </c>
      <c r="W19" s="469">
        <f t="shared" si="7"/>
        <v>6512654.968509702</v>
      </c>
      <c r="X19" s="469">
        <f t="shared" si="8"/>
        <v>6378629.945216828</v>
      </c>
      <c r="Y19" s="469">
        <f t="shared" si="15"/>
        <v>6372397.1176061826</v>
      </c>
      <c r="Z19" s="469">
        <f t="shared" si="9"/>
        <v>6412795.328805699</v>
      </c>
      <c r="AA19" s="469">
        <f t="shared" si="10"/>
        <v>6477455.4319340996</v>
      </c>
      <c r="AB19" s="469">
        <f t="shared" si="11"/>
        <v>6527354.3738059457</v>
      </c>
      <c r="AC19" s="469">
        <f t="shared" si="12"/>
        <v>6577959.2625344163</v>
      </c>
    </row>
    <row r="20" spans="1:256" ht="13.5" x14ac:dyDescent="0.3">
      <c r="A20" s="126"/>
      <c r="B20" s="127"/>
      <c r="C20" s="134" t="s">
        <v>26</v>
      </c>
      <c r="D20" s="350">
        <v>10861763.179336485</v>
      </c>
      <c r="E20" s="350">
        <v>10252167.560006242</v>
      </c>
      <c r="F20" s="350">
        <v>10103022.82975268</v>
      </c>
      <c r="G20" s="350">
        <v>10360255.687040582</v>
      </c>
      <c r="H20" s="350">
        <v>10373819.470369428</v>
      </c>
      <c r="I20" s="350">
        <v>10305630.53808363</v>
      </c>
      <c r="J20" s="350">
        <v>10941146.25539645</v>
      </c>
      <c r="K20" s="350">
        <v>11357944.219239075</v>
      </c>
      <c r="L20" s="350">
        <v>11668662.490385754</v>
      </c>
      <c r="M20" s="350">
        <v>11305971.380565252</v>
      </c>
      <c r="N20" s="350">
        <v>11289405.391843969</v>
      </c>
      <c r="O20" s="350">
        <v>11587203.317055311</v>
      </c>
      <c r="P20" s="350">
        <f t="shared" si="14"/>
        <v>10867249.359922906</v>
      </c>
      <c r="R20" s="469">
        <f>0</f>
        <v>0</v>
      </c>
      <c r="S20" s="470">
        <f t="shared" si="4"/>
        <v>10861763.179336485</v>
      </c>
      <c r="T20" s="469">
        <f t="shared" si="13"/>
        <v>10556965.369671363</v>
      </c>
      <c r="U20" s="469">
        <f t="shared" si="5"/>
        <v>10405651.189698469</v>
      </c>
      <c r="V20" s="469">
        <f t="shared" si="6"/>
        <v>10394302.314033996</v>
      </c>
      <c r="W20" s="469">
        <f t="shared" si="7"/>
        <v>10390205.745301083</v>
      </c>
      <c r="X20" s="469">
        <f t="shared" si="8"/>
        <v>10376109.877431506</v>
      </c>
      <c r="Y20" s="469">
        <f t="shared" si="15"/>
        <v>10456829.359997928</v>
      </c>
      <c r="Z20" s="469">
        <f t="shared" si="9"/>
        <v>10569468.717403071</v>
      </c>
      <c r="AA20" s="469">
        <f t="shared" si="10"/>
        <v>10691601.358845592</v>
      </c>
      <c r="AB20" s="469">
        <f t="shared" si="11"/>
        <v>10753038.361017559</v>
      </c>
      <c r="AC20" s="469">
        <f t="shared" si="12"/>
        <v>10801799.000183595</v>
      </c>
    </row>
    <row r="21" spans="1:256" ht="13.5" x14ac:dyDescent="0.3">
      <c r="A21" s="126"/>
      <c r="B21" s="127"/>
      <c r="C21" s="134" t="s">
        <v>27</v>
      </c>
      <c r="D21" s="350">
        <v>6392521.9945582021</v>
      </c>
      <c r="E21" s="350">
        <v>6043328.770999372</v>
      </c>
      <c r="F21" s="350">
        <v>6119618.1744797276</v>
      </c>
      <c r="G21" s="350">
        <v>6161777.0563623831</v>
      </c>
      <c r="H21" s="350">
        <v>6248420.6389158517</v>
      </c>
      <c r="I21" s="350">
        <v>6273332.067176871</v>
      </c>
      <c r="J21" s="350">
        <v>6666251.5389497802</v>
      </c>
      <c r="K21" s="350">
        <v>6914280.1030716505</v>
      </c>
      <c r="L21" s="350">
        <v>7118428.4814993963</v>
      </c>
      <c r="M21" s="350">
        <v>6864337.3770850748</v>
      </c>
      <c r="N21" s="350">
        <v>6802461.922685273</v>
      </c>
      <c r="O21" s="350">
        <v>6979893.3559197001</v>
      </c>
      <c r="P21" s="350">
        <f t="shared" si="14"/>
        <v>6548720.956808608</v>
      </c>
      <c r="R21" s="469">
        <f>0</f>
        <v>0</v>
      </c>
      <c r="S21" s="470">
        <f t="shared" si="4"/>
        <v>6392521.9945582021</v>
      </c>
      <c r="T21" s="469">
        <f t="shared" si="13"/>
        <v>6217925.3827787871</v>
      </c>
      <c r="U21" s="469">
        <f t="shared" si="5"/>
        <v>6185156.3133457676</v>
      </c>
      <c r="V21" s="469">
        <f t="shared" si="6"/>
        <v>6179311.4990999214</v>
      </c>
      <c r="W21" s="469">
        <f t="shared" si="7"/>
        <v>6193133.3270631079</v>
      </c>
      <c r="X21" s="469">
        <f t="shared" si="8"/>
        <v>6206499.7837487347</v>
      </c>
      <c r="Y21" s="469">
        <f t="shared" si="15"/>
        <v>6272178.6059203129</v>
      </c>
      <c r="Z21" s="469">
        <f t="shared" si="9"/>
        <v>6352441.2930642301</v>
      </c>
      <c r="AA21" s="469">
        <f t="shared" si="10"/>
        <v>6437550.9806681378</v>
      </c>
      <c r="AB21" s="469">
        <f t="shared" si="11"/>
        <v>6480229.6203098316</v>
      </c>
      <c r="AC21" s="469">
        <f t="shared" si="12"/>
        <v>6509523.4659803268</v>
      </c>
    </row>
    <row r="22" spans="1:256" ht="13.5" x14ac:dyDescent="0.3">
      <c r="A22" s="126"/>
      <c r="B22" s="127"/>
      <c r="C22" s="134" t="s">
        <v>28</v>
      </c>
      <c r="D22" s="350">
        <v>200659.50359259197</v>
      </c>
      <c r="E22" s="350">
        <v>159356.10271436843</v>
      </c>
      <c r="F22" s="350">
        <v>179699.87169065716</v>
      </c>
      <c r="G22" s="350">
        <v>184885.58915340176</v>
      </c>
      <c r="H22" s="350">
        <v>183323.22246576444</v>
      </c>
      <c r="I22" s="350">
        <v>183495.82489795121</v>
      </c>
      <c r="J22" s="350">
        <v>196226.38988759718</v>
      </c>
      <c r="K22" s="350">
        <v>204728.76799125149</v>
      </c>
      <c r="L22" s="350">
        <v>210997.3754741723</v>
      </c>
      <c r="M22" s="350">
        <v>205334.08017001461</v>
      </c>
      <c r="N22" s="350">
        <v>205431.41807360586</v>
      </c>
      <c r="O22" s="350">
        <v>210436.98248311947</v>
      </c>
      <c r="P22" s="350">
        <f t="shared" si="14"/>
        <v>193714.59404954137</v>
      </c>
      <c r="R22" s="469">
        <f>0</f>
        <v>0</v>
      </c>
      <c r="S22" s="470">
        <f t="shared" si="4"/>
        <v>200659.50359259197</v>
      </c>
      <c r="T22" s="469">
        <f t="shared" si="13"/>
        <v>180007.8031534802</v>
      </c>
      <c r="U22" s="469">
        <f t="shared" si="5"/>
        <v>179905.15933253919</v>
      </c>
      <c r="V22" s="469">
        <f t="shared" si="6"/>
        <v>181150.26678775484</v>
      </c>
      <c r="W22" s="469">
        <f t="shared" si="7"/>
        <v>181584.85792335676</v>
      </c>
      <c r="X22" s="469">
        <f t="shared" si="8"/>
        <v>181903.3524191225</v>
      </c>
      <c r="Y22" s="469">
        <f t="shared" si="15"/>
        <v>183949.50062890461</v>
      </c>
      <c r="Z22" s="469">
        <f t="shared" si="9"/>
        <v>186546.90904919797</v>
      </c>
      <c r="AA22" s="469">
        <f t="shared" si="10"/>
        <v>189263.62754086178</v>
      </c>
      <c r="AB22" s="469">
        <f t="shared" si="11"/>
        <v>190870.67280377707</v>
      </c>
      <c r="AC22" s="469">
        <f t="shared" si="12"/>
        <v>192194.37691921604</v>
      </c>
    </row>
    <row r="23" spans="1:256" ht="14" thickBot="1" x14ac:dyDescent="0.25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 x14ac:dyDescent="0.3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 x14ac:dyDescent="0.3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 x14ac:dyDescent="0.3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 x14ac:dyDescent="0.3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 x14ac:dyDescent="0.3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" thickBot="1" x14ac:dyDescent="0.35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 x14ac:dyDescent="0.3">
      <c r="A30" s="787" t="s">
        <v>36</v>
      </c>
      <c r="B30" s="788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 x14ac:dyDescent="0.3">
      <c r="A31" s="763"/>
      <c r="B31" s="764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 x14ac:dyDescent="0.3">
      <c r="A32" s="763"/>
      <c r="B32" s="764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" thickBot="1" x14ac:dyDescent="0.35">
      <c r="A33" s="765"/>
      <c r="B33" s="766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M4" sqref="M4"/>
    </sheetView>
  </sheetViews>
  <sheetFormatPr defaultColWidth="9" defaultRowHeight="17" x14ac:dyDescent="0.4"/>
  <cols>
    <col min="1" max="1" width="14.453125" style="486" customWidth="1"/>
    <col min="2" max="13" width="16.26953125" style="486" bestFit="1" customWidth="1"/>
    <col min="14" max="14" width="16.08984375" style="486" bestFit="1" customWidth="1"/>
    <col min="15" max="16384" width="9" style="486"/>
  </cols>
  <sheetData>
    <row r="1" spans="1:14" x14ac:dyDescent="0.4">
      <c r="A1" s="342" t="s">
        <v>289</v>
      </c>
    </row>
    <row r="2" spans="1:14" ht="17.5" thickBot="1" x14ac:dyDescent="0.45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 x14ac:dyDescent="0.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 x14ac:dyDescent="0.4">
      <c r="A4" s="491" t="s">
        <v>290</v>
      </c>
      <c r="B4" s="492">
        <v>300495758.86027563</v>
      </c>
      <c r="C4" s="492">
        <v>302825510.44914973</v>
      </c>
      <c r="D4" s="492">
        <v>300729897.64127737</v>
      </c>
      <c r="E4" s="492">
        <v>300722632.26954645</v>
      </c>
      <c r="F4" s="492">
        <v>299861286.73782527</v>
      </c>
      <c r="G4" s="492">
        <v>283499382.17448181</v>
      </c>
      <c r="H4" s="492">
        <v>284551757.8855716</v>
      </c>
      <c r="I4" s="492">
        <v>282657851.39576364</v>
      </c>
      <c r="J4" s="492">
        <v>272546550.5420143</v>
      </c>
      <c r="K4" s="492">
        <v>271569713.39692378</v>
      </c>
      <c r="L4" s="492">
        <v>285691574.377527</v>
      </c>
      <c r="M4" s="492">
        <v>293656105.43690902</v>
      </c>
      <c r="N4" s="493">
        <f>SUM(B4:M4)/12</f>
        <v>289900668.43060553</v>
      </c>
    </row>
    <row r="5" spans="1:14" x14ac:dyDescent="0.4">
      <c r="A5" s="494" t="s">
        <v>291</v>
      </c>
      <c r="B5" s="492">
        <v>144576136.45589519</v>
      </c>
      <c r="C5" s="492">
        <v>142506177.4917047</v>
      </c>
      <c r="D5" s="492">
        <v>141401650.7698966</v>
      </c>
      <c r="E5" s="492">
        <v>141968118.24565902</v>
      </c>
      <c r="F5" s="492">
        <v>142642220.78163132</v>
      </c>
      <c r="G5" s="492">
        <v>137127942.76218119</v>
      </c>
      <c r="H5" s="492">
        <v>131019196.19887377</v>
      </c>
      <c r="I5" s="492">
        <v>127681347.52927002</v>
      </c>
      <c r="J5" s="492">
        <v>123504570.69437857</v>
      </c>
      <c r="K5" s="492">
        <v>128623210.40107656</v>
      </c>
      <c r="L5" s="492">
        <v>133508139.08436</v>
      </c>
      <c r="M5" s="492">
        <v>138799486.63342601</v>
      </c>
      <c r="N5" s="493">
        <f>SUM(B5:M5)/12</f>
        <v>136113183.08736274</v>
      </c>
    </row>
    <row r="6" spans="1:14" x14ac:dyDescent="0.4">
      <c r="A6" s="494" t="s">
        <v>292</v>
      </c>
      <c r="B6" s="492">
        <v>120262889.54555224</v>
      </c>
      <c r="C6" s="492">
        <v>123007207.89098281</v>
      </c>
      <c r="D6" s="492">
        <v>121566348.59425555</v>
      </c>
      <c r="E6" s="492">
        <v>122620458.48901448</v>
      </c>
      <c r="F6" s="492">
        <v>123425621.10899495</v>
      </c>
      <c r="G6" s="492">
        <v>113901200.07571405</v>
      </c>
      <c r="H6" s="492">
        <v>120794313.42153034</v>
      </c>
      <c r="I6" s="492">
        <v>120572727.09457186</v>
      </c>
      <c r="J6" s="492">
        <v>114241833.31391549</v>
      </c>
      <c r="K6" s="492">
        <v>108875694.72314903</v>
      </c>
      <c r="L6" s="492">
        <v>118465465.314229</v>
      </c>
      <c r="M6" s="492">
        <v>119779183.02504601</v>
      </c>
      <c r="N6" s="493">
        <f>SUM(B6:M6)/12</f>
        <v>118959411.88307965</v>
      </c>
    </row>
    <row r="7" spans="1:14" ht="17.5" thickBot="1" x14ac:dyDescent="0.45">
      <c r="A7" s="495" t="s">
        <v>293</v>
      </c>
      <c r="B7" s="496">
        <v>35656732.858828157</v>
      </c>
      <c r="C7" s="496">
        <v>37312125.066462249</v>
      </c>
      <c r="D7" s="496">
        <v>37761898.277125254</v>
      </c>
      <c r="E7" s="496">
        <v>36134055.534872964</v>
      </c>
      <c r="F7" s="496">
        <v>33793444.847199053</v>
      </c>
      <c r="G7" s="496">
        <v>32470239.336586591</v>
      </c>
      <c r="H7" s="496">
        <v>32738248.265167497</v>
      </c>
      <c r="I7" s="496">
        <v>34403776.771921746</v>
      </c>
      <c r="J7" s="496">
        <v>34800146.533720247</v>
      </c>
      <c r="K7" s="496">
        <v>34070808.272698186</v>
      </c>
      <c r="L7" s="496">
        <v>33717969.978938408</v>
      </c>
      <c r="M7" s="497">
        <v>34077435.778436877</v>
      </c>
      <c r="N7" s="498">
        <f>SUM(B7:M7)/12</f>
        <v>34744740.126829766</v>
      </c>
    </row>
    <row r="8" spans="1:14" x14ac:dyDescent="0.4">
      <c r="B8" s="542"/>
      <c r="C8" s="542"/>
      <c r="D8" s="542"/>
      <c r="E8" s="542"/>
      <c r="F8" s="542"/>
      <c r="G8" s="542"/>
      <c r="H8" s="542"/>
      <c r="I8" s="542"/>
      <c r="J8" s="542"/>
      <c r="K8" s="542"/>
      <c r="L8" s="542"/>
      <c r="M8" s="542"/>
      <c r="N8" s="552"/>
    </row>
    <row r="9" spans="1:14" x14ac:dyDescent="0.4">
      <c r="E9" s="541"/>
      <c r="F9" s="541"/>
      <c r="G9" s="541"/>
      <c r="H9" s="541"/>
      <c r="I9" s="541"/>
      <c r="J9" s="541"/>
      <c r="K9" s="541"/>
      <c r="L9" s="541"/>
      <c r="M9" s="541"/>
    </row>
    <row r="10" spans="1:14" x14ac:dyDescent="0.4">
      <c r="E10" s="541"/>
      <c r="F10" s="541"/>
      <c r="G10" s="541"/>
      <c r="H10" s="541"/>
      <c r="I10" s="541"/>
      <c r="J10" s="541"/>
      <c r="K10" s="541"/>
      <c r="L10" s="541"/>
      <c r="M10" s="541"/>
    </row>
    <row r="11" spans="1:14" x14ac:dyDescent="0.4">
      <c r="B11" s="551"/>
      <c r="C11" s="551"/>
      <c r="D11" s="551"/>
      <c r="E11" s="551"/>
      <c r="F11" s="551"/>
      <c r="G11" s="551"/>
      <c r="H11" s="551"/>
      <c r="I11" s="551"/>
      <c r="J11" s="551"/>
      <c r="K11" s="551"/>
      <c r="L11" s="551"/>
      <c r="M11" s="551"/>
      <c r="N11" s="551"/>
    </row>
    <row r="12" spans="1:14" x14ac:dyDescent="0.4"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</row>
    <row r="13" spans="1:14" x14ac:dyDescent="0.4">
      <c r="B13" s="551"/>
      <c r="C13" s="551"/>
      <c r="D13" s="551"/>
      <c r="E13" s="551"/>
      <c r="F13" s="551"/>
      <c r="G13" s="551"/>
      <c r="H13" s="551"/>
      <c r="I13" s="551"/>
      <c r="J13" s="551"/>
      <c r="K13" s="551"/>
      <c r="L13" s="551"/>
      <c r="M13" s="551"/>
      <c r="N13" s="551"/>
    </row>
    <row r="14" spans="1:14" x14ac:dyDescent="0.4">
      <c r="B14" s="542"/>
      <c r="C14" s="542"/>
      <c r="D14" s="542"/>
      <c r="E14" s="542"/>
      <c r="F14" s="542"/>
      <c r="G14" s="542"/>
      <c r="H14" s="542"/>
      <c r="I14" s="542"/>
      <c r="J14" s="542"/>
      <c r="K14" s="542"/>
      <c r="L14" s="542"/>
      <c r="M14" s="542"/>
    </row>
    <row r="15" spans="1:14" x14ac:dyDescent="0.4">
      <c r="B15" s="542"/>
      <c r="C15" s="542"/>
      <c r="D15" s="542"/>
      <c r="E15" s="542"/>
      <c r="F15" s="542"/>
      <c r="G15" s="542"/>
      <c r="H15" s="542"/>
      <c r="I15" s="542"/>
      <c r="J15" s="542"/>
      <c r="K15" s="542"/>
      <c r="L15" s="542"/>
      <c r="M15" s="542"/>
    </row>
    <row r="16" spans="1:14" x14ac:dyDescent="0.4">
      <c r="B16" s="542"/>
      <c r="C16" s="542"/>
      <c r="D16" s="542"/>
      <c r="E16" s="542"/>
      <c r="F16" s="542"/>
      <c r="G16" s="542"/>
      <c r="H16" s="542"/>
      <c r="I16" s="542"/>
      <c r="J16" s="542"/>
      <c r="K16" s="542"/>
      <c r="L16" s="542"/>
      <c r="M16" s="542"/>
      <c r="N16" s="542"/>
    </row>
    <row r="17" spans="2:14" x14ac:dyDescent="0.4">
      <c r="B17" s="542"/>
      <c r="C17" s="542"/>
      <c r="D17" s="542"/>
      <c r="E17" s="542"/>
      <c r="F17" s="542"/>
      <c r="G17" s="542"/>
      <c r="H17" s="542"/>
      <c r="I17" s="542"/>
      <c r="J17" s="542"/>
      <c r="K17" s="542"/>
      <c r="L17" s="542"/>
      <c r="M17" s="542"/>
      <c r="N17" s="542"/>
    </row>
    <row r="18" spans="2:14" x14ac:dyDescent="0.4">
      <c r="B18" s="542"/>
      <c r="C18" s="542"/>
      <c r="D18" s="542"/>
      <c r="E18" s="542"/>
      <c r="F18" s="542"/>
      <c r="G18" s="542"/>
      <c r="H18" s="542"/>
      <c r="I18" s="542"/>
      <c r="J18" s="542"/>
      <c r="K18" s="542"/>
      <c r="L18" s="542"/>
      <c r="M18" s="542"/>
      <c r="N18" s="542"/>
    </row>
    <row r="22" spans="2:14" x14ac:dyDescent="0.4">
      <c r="B22" s="542"/>
      <c r="C22" s="542"/>
      <c r="D22" s="542"/>
      <c r="E22" s="542"/>
      <c r="F22" s="542"/>
      <c r="G22" s="542"/>
      <c r="H22" s="542"/>
      <c r="I22" s="542"/>
      <c r="J22" s="542"/>
      <c r="K22" s="542"/>
      <c r="L22" s="542"/>
      <c r="M22" s="542"/>
      <c r="N22" s="542"/>
    </row>
    <row r="23" spans="2:14" x14ac:dyDescent="0.4">
      <c r="B23" s="542"/>
      <c r="C23" s="542"/>
      <c r="D23" s="542"/>
      <c r="E23" s="542"/>
      <c r="F23" s="542"/>
      <c r="G23" s="542"/>
      <c r="H23" s="542"/>
      <c r="I23" s="542"/>
      <c r="J23" s="542"/>
      <c r="K23" s="542"/>
      <c r="L23" s="542"/>
      <c r="M23" s="542"/>
      <c r="N23" s="542"/>
    </row>
    <row r="24" spans="2:14" x14ac:dyDescent="0.4">
      <c r="B24" s="542"/>
      <c r="C24" s="542"/>
      <c r="D24" s="542"/>
      <c r="E24" s="542"/>
      <c r="F24" s="542"/>
      <c r="G24" s="542"/>
      <c r="H24" s="542"/>
      <c r="I24" s="542"/>
      <c r="J24" s="542"/>
      <c r="K24" s="542"/>
      <c r="L24" s="542"/>
      <c r="M24" s="542"/>
      <c r="N24" s="542"/>
    </row>
    <row r="25" spans="2:14" x14ac:dyDescent="0.4">
      <c r="B25" s="542"/>
      <c r="C25" s="542"/>
      <c r="D25" s="542"/>
      <c r="E25" s="542"/>
      <c r="F25" s="542"/>
      <c r="G25" s="542"/>
      <c r="H25" s="542"/>
      <c r="I25" s="542"/>
      <c r="J25" s="542"/>
      <c r="K25" s="542"/>
      <c r="L25" s="542"/>
      <c r="M25" s="542"/>
      <c r="N25" s="542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7" x14ac:dyDescent="0.4"/>
  <cols>
    <col min="3" max="11" width="9.453125" bestFit="1" customWidth="1"/>
    <col min="12" max="33" width="10.453125" bestFit="1" customWidth="1"/>
  </cols>
  <sheetData>
    <row r="1" spans="1:34" x14ac:dyDescent="0.4">
      <c r="A1" s="502" t="s">
        <v>294</v>
      </c>
      <c r="B1" s="502" t="s">
        <v>295</v>
      </c>
      <c r="C1" s="502" t="s">
        <v>296</v>
      </c>
      <c r="D1" s="502" t="s">
        <v>297</v>
      </c>
      <c r="E1" s="502" t="s">
        <v>298</v>
      </c>
      <c r="F1" s="502" t="s">
        <v>299</v>
      </c>
      <c r="G1" s="502" t="s">
        <v>300</v>
      </c>
      <c r="H1" s="502" t="s">
        <v>301</v>
      </c>
      <c r="I1" s="502" t="s">
        <v>302</v>
      </c>
      <c r="J1" s="502" t="s">
        <v>303</v>
      </c>
      <c r="K1" s="502" t="s">
        <v>304</v>
      </c>
      <c r="L1" s="502" t="s">
        <v>305</v>
      </c>
      <c r="M1" s="502" t="s">
        <v>306</v>
      </c>
      <c r="N1" s="502" t="s">
        <v>307</v>
      </c>
      <c r="O1" s="502" t="s">
        <v>308</v>
      </c>
      <c r="P1" s="502" t="s">
        <v>309</v>
      </c>
      <c r="Q1" s="502" t="s">
        <v>310</v>
      </c>
      <c r="R1" s="502" t="s">
        <v>311</v>
      </c>
      <c r="S1" s="502" t="s">
        <v>312</v>
      </c>
      <c r="T1" s="502" t="s">
        <v>313</v>
      </c>
      <c r="U1" s="502" t="s">
        <v>314</v>
      </c>
      <c r="V1" s="502" t="s">
        <v>315</v>
      </c>
      <c r="W1" s="502" t="s">
        <v>316</v>
      </c>
      <c r="X1" s="502" t="s">
        <v>317</v>
      </c>
      <c r="Y1" s="502" t="s">
        <v>318</v>
      </c>
      <c r="Z1" s="502" t="s">
        <v>319</v>
      </c>
      <c r="AA1" s="502" t="s">
        <v>320</v>
      </c>
      <c r="AB1" s="502" t="s">
        <v>321</v>
      </c>
      <c r="AC1" s="502" t="s">
        <v>322</v>
      </c>
      <c r="AD1" s="502" t="s">
        <v>323</v>
      </c>
      <c r="AE1" s="502" t="s">
        <v>324</v>
      </c>
      <c r="AF1" s="502" t="s">
        <v>325</v>
      </c>
      <c r="AG1" s="502" t="s">
        <v>326</v>
      </c>
      <c r="AH1" t="s">
        <v>327</v>
      </c>
    </row>
    <row r="2" spans="1:34" x14ac:dyDescent="0.4">
      <c r="A2" s="502" t="s">
        <v>328</v>
      </c>
      <c r="B2" s="502" t="s">
        <v>236</v>
      </c>
      <c r="C2" s="525" t="s">
        <v>329</v>
      </c>
      <c r="D2" s="525" t="s">
        <v>330</v>
      </c>
      <c r="E2" s="525" t="s">
        <v>331</v>
      </c>
      <c r="F2" s="525" t="s">
        <v>332</v>
      </c>
      <c r="G2" s="525" t="s">
        <v>333</v>
      </c>
      <c r="H2" s="525" t="s">
        <v>334</v>
      </c>
      <c r="I2" s="525" t="s">
        <v>335</v>
      </c>
      <c r="J2" s="525" t="s">
        <v>336</v>
      </c>
      <c r="K2" s="525" t="s">
        <v>337</v>
      </c>
      <c r="L2" s="525" t="s">
        <v>338</v>
      </c>
      <c r="M2" s="525" t="s">
        <v>339</v>
      </c>
      <c r="N2" s="525" t="s">
        <v>340</v>
      </c>
      <c r="O2" s="525" t="s">
        <v>341</v>
      </c>
      <c r="P2" s="525" t="s">
        <v>342</v>
      </c>
      <c r="Q2" s="525" t="s">
        <v>343</v>
      </c>
      <c r="R2" s="525" t="s">
        <v>344</v>
      </c>
      <c r="S2" s="525" t="s">
        <v>345</v>
      </c>
      <c r="T2" s="525" t="s">
        <v>346</v>
      </c>
      <c r="U2" s="525" t="s">
        <v>347</v>
      </c>
      <c r="V2" s="525" t="s">
        <v>348</v>
      </c>
      <c r="W2" s="525" t="s">
        <v>349</v>
      </c>
      <c r="X2" s="525" t="s">
        <v>350</v>
      </c>
      <c r="Y2" s="525" t="s">
        <v>351</v>
      </c>
      <c r="Z2" s="525" t="s">
        <v>352</v>
      </c>
      <c r="AA2" s="525" t="s">
        <v>353</v>
      </c>
      <c r="AB2" s="525" t="s">
        <v>354</v>
      </c>
      <c r="AC2" s="525" t="s">
        <v>355</v>
      </c>
      <c r="AD2" s="525" t="s">
        <v>356</v>
      </c>
      <c r="AE2" s="525" t="s">
        <v>357</v>
      </c>
      <c r="AF2" s="525" t="s">
        <v>358</v>
      </c>
      <c r="AG2" s="525"/>
      <c r="AH2" s="501">
        <v>45628.229173113403</v>
      </c>
    </row>
    <row r="3" spans="1:34" x14ac:dyDescent="0.4">
      <c r="A3" s="502" t="s">
        <v>328</v>
      </c>
      <c r="B3" s="502" t="s">
        <v>359</v>
      </c>
      <c r="C3" s="502" t="s">
        <v>112</v>
      </c>
      <c r="D3" s="502" t="s">
        <v>106</v>
      </c>
      <c r="E3" s="502" t="s">
        <v>107</v>
      </c>
      <c r="F3" s="502" t="s">
        <v>108</v>
      </c>
      <c r="G3" s="502" t="s">
        <v>109</v>
      </c>
      <c r="H3" s="502" t="s">
        <v>110</v>
      </c>
      <c r="I3" s="502" t="s">
        <v>111</v>
      </c>
      <c r="J3" s="502" t="s">
        <v>112</v>
      </c>
      <c r="K3" s="502" t="s">
        <v>106</v>
      </c>
      <c r="L3" s="502" t="s">
        <v>107</v>
      </c>
      <c r="M3" s="502" t="s">
        <v>108</v>
      </c>
      <c r="N3" s="502" t="s">
        <v>109</v>
      </c>
      <c r="O3" s="502" t="s">
        <v>110</v>
      </c>
      <c r="P3" s="502" t="s">
        <v>111</v>
      </c>
      <c r="Q3" s="502" t="s">
        <v>112</v>
      </c>
      <c r="R3" s="502" t="s">
        <v>106</v>
      </c>
      <c r="S3" s="502" t="s">
        <v>107</v>
      </c>
      <c r="T3" s="502" t="s">
        <v>108</v>
      </c>
      <c r="U3" s="502" t="s">
        <v>109</v>
      </c>
      <c r="V3" s="502" t="s">
        <v>110</v>
      </c>
      <c r="W3" s="502" t="s">
        <v>111</v>
      </c>
      <c r="X3" s="502" t="s">
        <v>112</v>
      </c>
      <c r="Y3" s="502" t="s">
        <v>106</v>
      </c>
      <c r="Z3" s="502" t="s">
        <v>107</v>
      </c>
      <c r="AA3" s="502" t="s">
        <v>108</v>
      </c>
      <c r="AB3" s="502" t="s">
        <v>109</v>
      </c>
      <c r="AC3" s="502" t="s">
        <v>110</v>
      </c>
      <c r="AD3" s="502" t="s">
        <v>111</v>
      </c>
      <c r="AE3" s="502" t="s">
        <v>112</v>
      </c>
      <c r="AF3" s="502" t="s">
        <v>106</v>
      </c>
      <c r="AG3" s="502"/>
      <c r="AH3" s="501">
        <v>45628.229173113403</v>
      </c>
    </row>
    <row r="5" spans="1:34" x14ac:dyDescent="0.4">
      <c r="C5" s="550"/>
    </row>
    <row r="6" spans="1:34" x14ac:dyDescent="0.4">
      <c r="C6" s="550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7" x14ac:dyDescent="0.4"/>
  <cols>
    <col min="3" max="3" width="10.453125" bestFit="1" customWidth="1"/>
    <col min="4" max="4" width="9.453125" customWidth="1"/>
    <col min="5" max="7" width="10.453125" bestFit="1" customWidth="1"/>
    <col min="27" max="27" width="11.453125" customWidth="1"/>
    <col min="28" max="28" width="13.26953125" customWidth="1"/>
    <col min="35" max="36" width="10.453125" bestFit="1" customWidth="1"/>
  </cols>
  <sheetData>
    <row r="1" spans="1:37" x14ac:dyDescent="0.4">
      <c r="A1" s="1" t="s">
        <v>294</v>
      </c>
      <c r="B1" s="1" t="s">
        <v>360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361</v>
      </c>
      <c r="AI1" s="1" t="s">
        <v>362</v>
      </c>
    </row>
    <row r="2" spans="1:37" x14ac:dyDescent="0.4">
      <c r="A2" s="1" t="s">
        <v>328</v>
      </c>
      <c r="B2" s="1" t="s">
        <v>363</v>
      </c>
      <c r="C2" s="1" t="s">
        <v>364</v>
      </c>
      <c r="D2" s="1" t="s">
        <v>365</v>
      </c>
      <c r="E2" s="1" t="s">
        <v>366</v>
      </c>
      <c r="F2" s="1" t="s">
        <v>367</v>
      </c>
      <c r="G2" s="1" t="s">
        <v>368</v>
      </c>
      <c r="H2" s="1" t="s">
        <v>369</v>
      </c>
      <c r="I2" s="1" t="s">
        <v>370</v>
      </c>
      <c r="J2" s="1" t="s">
        <v>371</v>
      </c>
      <c r="K2" s="1" t="s">
        <v>372</v>
      </c>
      <c r="L2" s="1" t="s">
        <v>373</v>
      </c>
      <c r="M2" s="1" t="s">
        <v>374</v>
      </c>
      <c r="N2" s="1" t="s">
        <v>375</v>
      </c>
      <c r="O2" s="1" t="s">
        <v>376</v>
      </c>
      <c r="P2" s="1" t="s">
        <v>377</v>
      </c>
      <c r="Q2" s="1" t="s">
        <v>378</v>
      </c>
      <c r="R2" s="1" t="s">
        <v>379</v>
      </c>
      <c r="S2" s="1" t="s">
        <v>380</v>
      </c>
      <c r="T2" s="1" t="s">
        <v>381</v>
      </c>
      <c r="U2" s="1" t="s">
        <v>382</v>
      </c>
      <c r="V2" s="1" t="s">
        <v>383</v>
      </c>
      <c r="W2" s="1" t="s">
        <v>384</v>
      </c>
      <c r="X2" s="1" t="s">
        <v>385</v>
      </c>
      <c r="Y2" s="1" t="s">
        <v>386</v>
      </c>
      <c r="Z2" s="1" t="s">
        <v>387</v>
      </c>
      <c r="AA2" s="306" t="s">
        <v>388</v>
      </c>
      <c r="AB2" s="1" t="s">
        <v>389</v>
      </c>
      <c r="AC2" s="1" t="s">
        <v>390</v>
      </c>
      <c r="AD2" s="1" t="s">
        <v>391</v>
      </c>
      <c r="AE2" s="1" t="s">
        <v>392</v>
      </c>
      <c r="AF2" s="1" t="s">
        <v>393</v>
      </c>
      <c r="AG2" s="1" t="s">
        <v>394</v>
      </c>
      <c r="AH2" s="1" t="s">
        <v>395</v>
      </c>
      <c r="AI2" s="1" t="s">
        <v>396</v>
      </c>
      <c r="AJ2">
        <v>214520184</v>
      </c>
      <c r="AK2" s="501">
        <v>43056.229202361101</v>
      </c>
    </row>
    <row r="3" spans="1:37" x14ac:dyDescent="0.4">
      <c r="A3" s="1" t="s">
        <v>328</v>
      </c>
      <c r="B3" s="1" t="s">
        <v>397</v>
      </c>
      <c r="C3" s="1" t="s">
        <v>398</v>
      </c>
      <c r="D3" s="1" t="s">
        <v>398</v>
      </c>
      <c r="E3" s="1" t="s">
        <v>399</v>
      </c>
      <c r="F3" s="1" t="s">
        <v>400</v>
      </c>
      <c r="G3" s="1" t="s">
        <v>401</v>
      </c>
      <c r="H3" s="1" t="s">
        <v>402</v>
      </c>
      <c r="I3" s="1" t="s">
        <v>403</v>
      </c>
      <c r="J3" s="1" t="s">
        <v>404</v>
      </c>
      <c r="K3" s="1" t="s">
        <v>404</v>
      </c>
      <c r="L3" s="1" t="s">
        <v>405</v>
      </c>
      <c r="M3" s="1" t="s">
        <v>406</v>
      </c>
      <c r="N3" s="1" t="s">
        <v>407</v>
      </c>
      <c r="O3" s="1" t="s">
        <v>408</v>
      </c>
      <c r="P3" s="1" t="s">
        <v>409</v>
      </c>
      <c r="Q3" s="1" t="s">
        <v>410</v>
      </c>
      <c r="R3" s="1" t="s">
        <v>410</v>
      </c>
      <c r="S3" s="1" t="s">
        <v>411</v>
      </c>
      <c r="T3" s="1" t="s">
        <v>412</v>
      </c>
      <c r="U3" s="1" t="s">
        <v>413</v>
      </c>
      <c r="V3" s="1" t="s">
        <v>414</v>
      </c>
      <c r="W3" s="1" t="s">
        <v>415</v>
      </c>
      <c r="X3" s="1" t="s">
        <v>416</v>
      </c>
      <c r="Y3" s="1" t="s">
        <v>416</v>
      </c>
      <c r="Z3" s="1" t="s">
        <v>417</v>
      </c>
      <c r="AA3" s="1" t="s">
        <v>418</v>
      </c>
      <c r="AB3" s="1" t="s">
        <v>419</v>
      </c>
      <c r="AC3" s="1" t="s">
        <v>420</v>
      </c>
      <c r="AD3" s="1" t="s">
        <v>421</v>
      </c>
      <c r="AE3" s="1" t="s">
        <v>422</v>
      </c>
      <c r="AF3" s="1" t="s">
        <v>423</v>
      </c>
      <c r="AG3" s="1" t="s">
        <v>394</v>
      </c>
      <c r="AH3" s="1" t="s">
        <v>424</v>
      </c>
      <c r="AI3" s="1" t="s">
        <v>425</v>
      </c>
      <c r="AJ3">
        <v>129394202</v>
      </c>
      <c r="AK3" s="501">
        <v>43056.229202361101</v>
      </c>
    </row>
    <row r="4" spans="1:37" x14ac:dyDescent="0.4">
      <c r="A4" s="1" t="s">
        <v>328</v>
      </c>
      <c r="B4" s="1" t="s">
        <v>426</v>
      </c>
      <c r="C4" s="1" t="s">
        <v>427</v>
      </c>
      <c r="D4" s="1" t="s">
        <v>427</v>
      </c>
      <c r="E4" s="1" t="s">
        <v>428</v>
      </c>
      <c r="F4" s="1" t="s">
        <v>429</v>
      </c>
      <c r="G4" s="1" t="s">
        <v>430</v>
      </c>
      <c r="H4" s="1" t="s">
        <v>431</v>
      </c>
      <c r="I4" s="1" t="s">
        <v>432</v>
      </c>
      <c r="J4" s="1" t="s">
        <v>433</v>
      </c>
      <c r="K4" s="1" t="s">
        <v>433</v>
      </c>
      <c r="L4" s="1" t="s">
        <v>434</v>
      </c>
      <c r="M4" s="1" t="s">
        <v>435</v>
      </c>
      <c r="N4" s="1" t="s">
        <v>436</v>
      </c>
      <c r="O4" s="1" t="s">
        <v>437</v>
      </c>
      <c r="P4" s="1" t="s">
        <v>438</v>
      </c>
      <c r="Q4" s="1" t="s">
        <v>439</v>
      </c>
      <c r="R4" s="1" t="s">
        <v>439</v>
      </c>
      <c r="S4" s="1" t="s">
        <v>440</v>
      </c>
      <c r="T4" s="1" t="s">
        <v>441</v>
      </c>
      <c r="U4" s="1" t="s">
        <v>442</v>
      </c>
      <c r="V4" s="1" t="s">
        <v>443</v>
      </c>
      <c r="W4" s="1" t="s">
        <v>444</v>
      </c>
      <c r="X4" s="1" t="s">
        <v>445</v>
      </c>
      <c r="Y4" s="1" t="s">
        <v>445</v>
      </c>
      <c r="Z4" s="1" t="s">
        <v>446</v>
      </c>
      <c r="AA4" s="1" t="s">
        <v>447</v>
      </c>
      <c r="AB4" s="1" t="s">
        <v>448</v>
      </c>
      <c r="AC4" s="1" t="s">
        <v>449</v>
      </c>
      <c r="AD4" s="1" t="s">
        <v>450</v>
      </c>
      <c r="AE4" s="1" t="s">
        <v>451</v>
      </c>
      <c r="AF4" s="1" t="s">
        <v>451</v>
      </c>
      <c r="AG4" s="1" t="s">
        <v>394</v>
      </c>
      <c r="AH4" s="1" t="s">
        <v>394</v>
      </c>
      <c r="AI4" s="1" t="s">
        <v>452</v>
      </c>
      <c r="AJ4">
        <v>7407477</v>
      </c>
      <c r="AK4" s="501">
        <v>43056.229202361101</v>
      </c>
    </row>
    <row r="5" spans="1:37" x14ac:dyDescent="0.4">
      <c r="A5" s="1" t="s">
        <v>328</v>
      </c>
      <c r="B5" s="1" t="s">
        <v>453</v>
      </c>
      <c r="C5" s="1" t="s">
        <v>454</v>
      </c>
      <c r="D5" s="1" t="s">
        <v>454</v>
      </c>
      <c r="E5" s="1" t="s">
        <v>455</v>
      </c>
      <c r="F5" s="1" t="s">
        <v>456</v>
      </c>
      <c r="G5" s="1" t="s">
        <v>457</v>
      </c>
      <c r="H5" s="1" t="s">
        <v>458</v>
      </c>
      <c r="I5" s="1" t="s">
        <v>459</v>
      </c>
      <c r="J5" s="1" t="s">
        <v>460</v>
      </c>
      <c r="K5" s="1" t="s">
        <v>460</v>
      </c>
      <c r="L5" s="1" t="s">
        <v>461</v>
      </c>
      <c r="M5" s="1" t="s">
        <v>462</v>
      </c>
      <c r="N5" s="1" t="s">
        <v>463</v>
      </c>
      <c r="O5" s="1" t="s">
        <v>464</v>
      </c>
      <c r="P5" s="1" t="s">
        <v>465</v>
      </c>
      <c r="Q5" s="1" t="s">
        <v>466</v>
      </c>
      <c r="R5" s="1" t="s">
        <v>466</v>
      </c>
      <c r="S5" s="1" t="s">
        <v>467</v>
      </c>
      <c r="T5" s="1" t="s">
        <v>468</v>
      </c>
      <c r="U5" s="1" t="s">
        <v>469</v>
      </c>
      <c r="V5" s="1" t="s">
        <v>470</v>
      </c>
      <c r="W5" s="1" t="s">
        <v>471</v>
      </c>
      <c r="X5" s="1" t="s">
        <v>472</v>
      </c>
      <c r="Y5" s="1" t="s">
        <v>472</v>
      </c>
      <c r="Z5" s="1" t="s">
        <v>473</v>
      </c>
      <c r="AA5" s="1" t="s">
        <v>474</v>
      </c>
      <c r="AB5" s="1" t="s">
        <v>475</v>
      </c>
      <c r="AC5" s="1" t="s">
        <v>476</v>
      </c>
      <c r="AD5" s="1" t="s">
        <v>477</v>
      </c>
      <c r="AE5" s="1" t="s">
        <v>478</v>
      </c>
      <c r="AF5" s="1" t="s">
        <v>478</v>
      </c>
      <c r="AG5" s="1" t="s">
        <v>394</v>
      </c>
      <c r="AH5" s="1" t="s">
        <v>394</v>
      </c>
      <c r="AI5" s="1" t="s">
        <v>479</v>
      </c>
      <c r="AJ5">
        <v>19279658</v>
      </c>
      <c r="AK5" s="501">
        <v>43056.229202361101</v>
      </c>
    </row>
    <row r="6" spans="1:37" x14ac:dyDescent="0.4">
      <c r="A6" s="1" t="s">
        <v>328</v>
      </c>
      <c r="B6" s="1" t="s">
        <v>480</v>
      </c>
      <c r="C6" s="1" t="s">
        <v>481</v>
      </c>
      <c r="D6" s="1" t="s">
        <v>481</v>
      </c>
      <c r="E6" s="1" t="s">
        <v>482</v>
      </c>
      <c r="F6" s="1" t="s">
        <v>483</v>
      </c>
      <c r="G6" s="1" t="s">
        <v>484</v>
      </c>
      <c r="H6" s="1" t="s">
        <v>485</v>
      </c>
      <c r="I6" s="1" t="s">
        <v>486</v>
      </c>
      <c r="J6" s="1" t="s">
        <v>487</v>
      </c>
      <c r="K6" s="1" t="s">
        <v>487</v>
      </c>
      <c r="L6" s="1" t="s">
        <v>488</v>
      </c>
      <c r="M6" s="1" t="s">
        <v>489</v>
      </c>
      <c r="N6" s="1" t="s">
        <v>490</v>
      </c>
      <c r="O6" s="1" t="s">
        <v>491</v>
      </c>
      <c r="P6" s="1" t="s">
        <v>492</v>
      </c>
      <c r="Q6" s="1" t="s">
        <v>493</v>
      </c>
      <c r="R6" s="1" t="s">
        <v>494</v>
      </c>
      <c r="S6" s="1" t="s">
        <v>495</v>
      </c>
      <c r="T6" s="1" t="s">
        <v>496</v>
      </c>
      <c r="U6" s="1" t="s">
        <v>497</v>
      </c>
      <c r="V6" s="1" t="s">
        <v>498</v>
      </c>
      <c r="W6" s="1" t="s">
        <v>499</v>
      </c>
      <c r="X6" s="1" t="s">
        <v>500</v>
      </c>
      <c r="Y6" s="1" t="s">
        <v>501</v>
      </c>
      <c r="Z6" s="1" t="s">
        <v>502</v>
      </c>
      <c r="AA6" s="1" t="s">
        <v>503</v>
      </c>
      <c r="AB6" s="1" t="s">
        <v>504</v>
      </c>
      <c r="AC6" s="1" t="s">
        <v>505</v>
      </c>
      <c r="AD6" s="1" t="s">
        <v>506</v>
      </c>
      <c r="AE6" s="1" t="s">
        <v>507</v>
      </c>
      <c r="AF6" s="1" t="s">
        <v>508</v>
      </c>
      <c r="AG6" s="1" t="s">
        <v>394</v>
      </c>
      <c r="AH6" s="1" t="s">
        <v>509</v>
      </c>
      <c r="AI6" s="1" t="s">
        <v>510</v>
      </c>
      <c r="AJ6">
        <v>19767518</v>
      </c>
      <c r="AK6" s="501">
        <v>43056.229202361101</v>
      </c>
    </row>
    <row r="7" spans="1:37" x14ac:dyDescent="0.4">
      <c r="A7" s="1" t="s">
        <v>328</v>
      </c>
      <c r="B7" s="1" t="s">
        <v>511</v>
      </c>
      <c r="C7" s="1" t="s">
        <v>394</v>
      </c>
      <c r="D7" s="1" t="s">
        <v>394</v>
      </c>
      <c r="E7" s="1" t="s">
        <v>394</v>
      </c>
      <c r="F7" s="1" t="s">
        <v>394</v>
      </c>
      <c r="G7" s="1" t="s">
        <v>394</v>
      </c>
      <c r="H7" s="1" t="s">
        <v>394</v>
      </c>
      <c r="I7" s="1" t="s">
        <v>394</v>
      </c>
      <c r="J7" s="1" t="s">
        <v>394</v>
      </c>
      <c r="K7" s="1" t="s">
        <v>394</v>
      </c>
      <c r="L7" s="1" t="s">
        <v>394</v>
      </c>
      <c r="M7" s="1" t="s">
        <v>394</v>
      </c>
      <c r="N7" s="1" t="s">
        <v>394</v>
      </c>
      <c r="O7" s="1" t="s">
        <v>394</v>
      </c>
      <c r="P7" s="1" t="s">
        <v>394</v>
      </c>
      <c r="Q7" s="1" t="s">
        <v>394</v>
      </c>
      <c r="R7" s="1" t="s">
        <v>394</v>
      </c>
      <c r="S7" s="1" t="s">
        <v>394</v>
      </c>
      <c r="T7" s="1" t="s">
        <v>394</v>
      </c>
      <c r="U7" s="1" t="s">
        <v>394</v>
      </c>
      <c r="V7" s="1" t="s">
        <v>394</v>
      </c>
      <c r="W7" s="1" t="s">
        <v>394</v>
      </c>
      <c r="X7" s="1" t="s">
        <v>394</v>
      </c>
      <c r="Y7" s="1" t="s">
        <v>394</v>
      </c>
      <c r="Z7" s="1" t="s">
        <v>394</v>
      </c>
      <c r="AA7" s="1" t="s">
        <v>394</v>
      </c>
      <c r="AB7" s="1" t="s">
        <v>394</v>
      </c>
      <c r="AC7" s="1" t="s">
        <v>394</v>
      </c>
      <c r="AD7" s="1" t="s">
        <v>394</v>
      </c>
      <c r="AE7" s="1" t="s">
        <v>394</v>
      </c>
      <c r="AF7" s="1" t="s">
        <v>394</v>
      </c>
      <c r="AG7" s="1" t="s">
        <v>394</v>
      </c>
      <c r="AH7" s="1" t="s">
        <v>394</v>
      </c>
      <c r="AI7" s="1" t="s">
        <v>394</v>
      </c>
      <c r="AJ7">
        <v>0</v>
      </c>
      <c r="AK7" s="501">
        <v>43056.229202361101</v>
      </c>
    </row>
    <row r="8" spans="1:37" x14ac:dyDescent="0.4">
      <c r="A8" s="1" t="s">
        <v>328</v>
      </c>
      <c r="B8" s="1" t="s">
        <v>512</v>
      </c>
      <c r="C8" s="1" t="s">
        <v>513</v>
      </c>
      <c r="D8" s="1" t="s">
        <v>513</v>
      </c>
      <c r="E8" s="1" t="s">
        <v>514</v>
      </c>
      <c r="F8" s="1" t="s">
        <v>515</v>
      </c>
      <c r="G8" s="1" t="s">
        <v>516</v>
      </c>
      <c r="H8" s="1" t="s">
        <v>517</v>
      </c>
      <c r="I8" s="1" t="s">
        <v>518</v>
      </c>
      <c r="J8" s="1" t="s">
        <v>519</v>
      </c>
      <c r="K8" s="1" t="s">
        <v>519</v>
      </c>
      <c r="L8" s="1" t="s">
        <v>520</v>
      </c>
      <c r="M8" s="1" t="s">
        <v>521</v>
      </c>
      <c r="N8" s="1" t="s">
        <v>522</v>
      </c>
      <c r="O8" s="1" t="s">
        <v>523</v>
      </c>
      <c r="P8" s="1" t="s">
        <v>524</v>
      </c>
      <c r="Q8" s="1" t="s">
        <v>525</v>
      </c>
      <c r="R8" s="1" t="s">
        <v>525</v>
      </c>
      <c r="S8" s="1" t="s">
        <v>526</v>
      </c>
      <c r="T8" s="1" t="s">
        <v>527</v>
      </c>
      <c r="U8" s="1" t="s">
        <v>528</v>
      </c>
      <c r="V8" s="1" t="s">
        <v>529</v>
      </c>
      <c r="W8" s="1" t="s">
        <v>530</v>
      </c>
      <c r="X8" s="1" t="s">
        <v>531</v>
      </c>
      <c r="Y8" s="1" t="s">
        <v>531</v>
      </c>
      <c r="Z8" s="1" t="s">
        <v>532</v>
      </c>
      <c r="AA8" s="1" t="s">
        <v>533</v>
      </c>
      <c r="AB8" s="1" t="s">
        <v>534</v>
      </c>
      <c r="AC8" s="1" t="s">
        <v>535</v>
      </c>
      <c r="AD8" s="1" t="s">
        <v>536</v>
      </c>
      <c r="AE8" s="1" t="s">
        <v>537</v>
      </c>
      <c r="AF8" s="1" t="s">
        <v>538</v>
      </c>
      <c r="AG8" s="1" t="s">
        <v>394</v>
      </c>
      <c r="AH8" s="1" t="s">
        <v>539</v>
      </c>
      <c r="AI8" s="1" t="s">
        <v>540</v>
      </c>
      <c r="AJ8">
        <v>7768697</v>
      </c>
      <c r="AK8" s="501">
        <v>43056.229202361101</v>
      </c>
    </row>
    <row r="9" spans="1:37" x14ac:dyDescent="0.4">
      <c r="A9" s="1" t="s">
        <v>328</v>
      </c>
      <c r="B9" s="1" t="s">
        <v>541</v>
      </c>
      <c r="C9" s="1" t="s">
        <v>394</v>
      </c>
      <c r="D9" s="1" t="s">
        <v>394</v>
      </c>
      <c r="E9" s="1" t="s">
        <v>394</v>
      </c>
      <c r="F9" s="1" t="s">
        <v>394</v>
      </c>
      <c r="G9" s="1" t="s">
        <v>394</v>
      </c>
      <c r="H9" s="1" t="s">
        <v>394</v>
      </c>
      <c r="I9" s="1" t="s">
        <v>394</v>
      </c>
      <c r="J9" s="1" t="s">
        <v>394</v>
      </c>
      <c r="K9" s="1" t="s">
        <v>394</v>
      </c>
      <c r="L9" s="1" t="s">
        <v>394</v>
      </c>
      <c r="M9" s="1" t="s">
        <v>394</v>
      </c>
      <c r="N9" s="1" t="s">
        <v>394</v>
      </c>
      <c r="O9" s="1" t="s">
        <v>394</v>
      </c>
      <c r="P9" s="1" t="s">
        <v>394</v>
      </c>
      <c r="Q9" s="1" t="s">
        <v>394</v>
      </c>
      <c r="R9" s="1" t="s">
        <v>394</v>
      </c>
      <c r="S9" s="1" t="s">
        <v>394</v>
      </c>
      <c r="T9" s="1" t="s">
        <v>394</v>
      </c>
      <c r="U9" s="1" t="s">
        <v>394</v>
      </c>
      <c r="V9" s="1" t="s">
        <v>394</v>
      </c>
      <c r="W9" s="1" t="s">
        <v>394</v>
      </c>
      <c r="X9" s="1" t="s">
        <v>394</v>
      </c>
      <c r="Y9" s="1" t="s">
        <v>394</v>
      </c>
      <c r="Z9" s="1" t="s">
        <v>394</v>
      </c>
      <c r="AA9" s="1" t="s">
        <v>394</v>
      </c>
      <c r="AB9" s="1" t="s">
        <v>394</v>
      </c>
      <c r="AC9" s="1" t="s">
        <v>394</v>
      </c>
      <c r="AD9" s="1" t="s">
        <v>394</v>
      </c>
      <c r="AE9" s="1" t="s">
        <v>394</v>
      </c>
      <c r="AF9" s="1" t="s">
        <v>394</v>
      </c>
      <c r="AG9" s="1" t="s">
        <v>394</v>
      </c>
      <c r="AH9" s="1" t="s">
        <v>394</v>
      </c>
      <c r="AI9" s="1" t="s">
        <v>394</v>
      </c>
      <c r="AJ9">
        <v>0</v>
      </c>
      <c r="AK9" s="501">
        <v>43056.229202361101</v>
      </c>
    </row>
    <row r="10" spans="1:37" x14ac:dyDescent="0.4">
      <c r="A10" s="1" t="s">
        <v>328</v>
      </c>
      <c r="B10" s="1" t="s">
        <v>542</v>
      </c>
      <c r="C10" s="1" t="s">
        <v>543</v>
      </c>
      <c r="D10" s="1" t="s">
        <v>543</v>
      </c>
      <c r="E10" s="1" t="s">
        <v>544</v>
      </c>
      <c r="F10" s="1" t="s">
        <v>545</v>
      </c>
      <c r="G10" s="1" t="s">
        <v>546</v>
      </c>
      <c r="H10" s="1" t="s">
        <v>547</v>
      </c>
      <c r="I10" s="1" t="s">
        <v>548</v>
      </c>
      <c r="J10" s="1" t="s">
        <v>549</v>
      </c>
      <c r="K10" s="1" t="s">
        <v>549</v>
      </c>
      <c r="L10" s="1" t="s">
        <v>550</v>
      </c>
      <c r="M10" s="1" t="s">
        <v>551</v>
      </c>
      <c r="N10" s="1" t="s">
        <v>552</v>
      </c>
      <c r="O10" s="1" t="s">
        <v>553</v>
      </c>
      <c r="P10" s="1" t="s">
        <v>554</v>
      </c>
      <c r="Q10" s="1" t="s">
        <v>555</v>
      </c>
      <c r="R10" s="1" t="s">
        <v>555</v>
      </c>
      <c r="S10" s="1" t="s">
        <v>556</v>
      </c>
      <c r="T10" s="1" t="s">
        <v>557</v>
      </c>
      <c r="U10" s="1" t="s">
        <v>558</v>
      </c>
      <c r="V10" s="1" t="s">
        <v>559</v>
      </c>
      <c r="W10" s="1" t="s">
        <v>560</v>
      </c>
      <c r="X10" s="1" t="s">
        <v>561</v>
      </c>
      <c r="Y10" s="1" t="s">
        <v>561</v>
      </c>
      <c r="Z10" s="1" t="s">
        <v>562</v>
      </c>
      <c r="AA10" s="1" t="s">
        <v>563</v>
      </c>
      <c r="AB10" s="1" t="s">
        <v>564</v>
      </c>
      <c r="AC10" s="1" t="s">
        <v>565</v>
      </c>
      <c r="AD10" s="1" t="s">
        <v>566</v>
      </c>
      <c r="AE10" s="1" t="s">
        <v>567</v>
      </c>
      <c r="AF10" s="1" t="s">
        <v>567</v>
      </c>
      <c r="AG10" s="1" t="s">
        <v>394</v>
      </c>
      <c r="AH10" s="1" t="s">
        <v>394</v>
      </c>
      <c r="AI10" s="1" t="s">
        <v>568</v>
      </c>
      <c r="AJ10">
        <v>2782946</v>
      </c>
      <c r="AK10" s="501">
        <v>43056.229202361101</v>
      </c>
    </row>
    <row r="11" spans="1:37" x14ac:dyDescent="0.4">
      <c r="A11" s="1" t="s">
        <v>328</v>
      </c>
      <c r="B11" s="1" t="s">
        <v>569</v>
      </c>
      <c r="C11" s="1" t="s">
        <v>570</v>
      </c>
      <c r="D11" s="1" t="s">
        <v>570</v>
      </c>
      <c r="E11" s="1" t="s">
        <v>570</v>
      </c>
      <c r="F11" s="1" t="s">
        <v>570</v>
      </c>
      <c r="G11" s="1" t="s">
        <v>570</v>
      </c>
      <c r="H11" s="1" t="s">
        <v>570</v>
      </c>
      <c r="I11" s="1" t="s">
        <v>570</v>
      </c>
      <c r="J11" s="1" t="s">
        <v>570</v>
      </c>
      <c r="K11" s="1" t="s">
        <v>570</v>
      </c>
      <c r="L11" s="1" t="s">
        <v>570</v>
      </c>
      <c r="M11" s="1" t="s">
        <v>570</v>
      </c>
      <c r="N11" s="1" t="s">
        <v>570</v>
      </c>
      <c r="O11" s="1" t="s">
        <v>570</v>
      </c>
      <c r="P11" s="1" t="s">
        <v>570</v>
      </c>
      <c r="Q11" s="1" t="s">
        <v>570</v>
      </c>
      <c r="R11" s="1" t="s">
        <v>570</v>
      </c>
      <c r="S11" s="1" t="s">
        <v>570</v>
      </c>
      <c r="T11" s="1" t="s">
        <v>570</v>
      </c>
      <c r="U11" s="1" t="s">
        <v>570</v>
      </c>
      <c r="V11" s="1" t="s">
        <v>570</v>
      </c>
      <c r="W11" s="1" t="s">
        <v>570</v>
      </c>
      <c r="X11" s="1" t="s">
        <v>570</v>
      </c>
      <c r="Y11" s="1" t="s">
        <v>570</v>
      </c>
      <c r="Z11" s="1" t="s">
        <v>570</v>
      </c>
      <c r="AA11" s="1" t="s">
        <v>570</v>
      </c>
      <c r="AB11" s="1" t="s">
        <v>570</v>
      </c>
      <c r="AC11" s="1" t="s">
        <v>570</v>
      </c>
      <c r="AD11" s="1" t="s">
        <v>570</v>
      </c>
      <c r="AE11" s="1" t="s">
        <v>570</v>
      </c>
      <c r="AF11" s="1" t="s">
        <v>570</v>
      </c>
      <c r="AG11" s="1" t="s">
        <v>394</v>
      </c>
      <c r="AH11" s="1" t="s">
        <v>394</v>
      </c>
      <c r="AI11" s="1" t="s">
        <v>570</v>
      </c>
      <c r="AJ11">
        <v>118299</v>
      </c>
      <c r="AK11" s="501">
        <v>43056.229202361101</v>
      </c>
    </row>
    <row r="12" spans="1:37" x14ac:dyDescent="0.4">
      <c r="A12" s="1" t="s">
        <v>328</v>
      </c>
      <c r="B12" s="1" t="s">
        <v>571</v>
      </c>
      <c r="C12" s="1" t="s">
        <v>394</v>
      </c>
      <c r="D12" s="1" t="s">
        <v>394</v>
      </c>
      <c r="E12" s="1" t="s">
        <v>394</v>
      </c>
      <c r="F12" s="1" t="s">
        <v>394</v>
      </c>
      <c r="G12" s="1" t="s">
        <v>394</v>
      </c>
      <c r="H12" s="1" t="s">
        <v>394</v>
      </c>
      <c r="I12" s="1" t="s">
        <v>394</v>
      </c>
      <c r="J12" s="1" t="s">
        <v>394</v>
      </c>
      <c r="K12" s="1" t="s">
        <v>394</v>
      </c>
      <c r="L12" s="1" t="s">
        <v>394</v>
      </c>
      <c r="M12" s="1" t="s">
        <v>394</v>
      </c>
      <c r="N12" s="1" t="s">
        <v>394</v>
      </c>
      <c r="O12" s="1" t="s">
        <v>394</v>
      </c>
      <c r="P12" s="1" t="s">
        <v>394</v>
      </c>
      <c r="Q12" s="1" t="s">
        <v>394</v>
      </c>
      <c r="R12" s="1" t="s">
        <v>394</v>
      </c>
      <c r="S12" s="1" t="s">
        <v>394</v>
      </c>
      <c r="T12" s="1" t="s">
        <v>394</v>
      </c>
      <c r="U12" s="1" t="s">
        <v>394</v>
      </c>
      <c r="V12" s="1" t="s">
        <v>394</v>
      </c>
      <c r="W12" s="1" t="s">
        <v>394</v>
      </c>
      <c r="X12" s="1" t="s">
        <v>394</v>
      </c>
      <c r="Y12" s="1" t="s">
        <v>394</v>
      </c>
      <c r="Z12" s="1" t="s">
        <v>394</v>
      </c>
      <c r="AA12" s="1" t="s">
        <v>394</v>
      </c>
      <c r="AB12" s="1" t="s">
        <v>394</v>
      </c>
      <c r="AC12" s="1" t="s">
        <v>394</v>
      </c>
      <c r="AD12" s="1" t="s">
        <v>394</v>
      </c>
      <c r="AE12" s="1" t="s">
        <v>394</v>
      </c>
      <c r="AF12" s="1" t="s">
        <v>394</v>
      </c>
      <c r="AG12" s="1" t="s">
        <v>394</v>
      </c>
      <c r="AH12" s="1" t="s">
        <v>394</v>
      </c>
      <c r="AI12" s="1" t="s">
        <v>394</v>
      </c>
      <c r="AJ12">
        <v>0</v>
      </c>
      <c r="AK12" s="501">
        <v>43056.229202361101</v>
      </c>
    </row>
    <row r="13" spans="1:37" x14ac:dyDescent="0.4">
      <c r="A13" s="1" t="s">
        <v>328</v>
      </c>
      <c r="B13" s="1" t="s">
        <v>572</v>
      </c>
      <c r="C13" s="1" t="s">
        <v>573</v>
      </c>
      <c r="D13" s="1" t="s">
        <v>573</v>
      </c>
      <c r="E13" s="1" t="s">
        <v>574</v>
      </c>
      <c r="F13" s="1" t="s">
        <v>575</v>
      </c>
      <c r="G13" s="1" t="s">
        <v>576</v>
      </c>
      <c r="H13" s="1" t="s">
        <v>577</v>
      </c>
      <c r="I13" s="1" t="s">
        <v>578</v>
      </c>
      <c r="J13" s="1" t="s">
        <v>579</v>
      </c>
      <c r="K13" s="1" t="s">
        <v>579</v>
      </c>
      <c r="L13" s="1" t="s">
        <v>580</v>
      </c>
      <c r="M13" s="1" t="s">
        <v>581</v>
      </c>
      <c r="N13" s="1" t="s">
        <v>582</v>
      </c>
      <c r="O13" s="1" t="s">
        <v>583</v>
      </c>
      <c r="P13" s="1" t="s">
        <v>584</v>
      </c>
      <c r="Q13" s="1" t="s">
        <v>585</v>
      </c>
      <c r="R13" s="1" t="s">
        <v>585</v>
      </c>
      <c r="S13" s="1" t="s">
        <v>586</v>
      </c>
      <c r="T13" s="1" t="s">
        <v>587</v>
      </c>
      <c r="U13" s="1" t="s">
        <v>588</v>
      </c>
      <c r="V13" s="1" t="s">
        <v>589</v>
      </c>
      <c r="W13" s="1" t="s">
        <v>590</v>
      </c>
      <c r="X13" s="1" t="s">
        <v>591</v>
      </c>
      <c r="Y13" s="1" t="s">
        <v>591</v>
      </c>
      <c r="Z13" s="1" t="s">
        <v>592</v>
      </c>
      <c r="AA13" s="1" t="s">
        <v>593</v>
      </c>
      <c r="AB13" s="1" t="s">
        <v>594</v>
      </c>
      <c r="AC13" s="1" t="s">
        <v>595</v>
      </c>
      <c r="AD13" s="1" t="s">
        <v>596</v>
      </c>
      <c r="AE13" s="1" t="s">
        <v>597</v>
      </c>
      <c r="AF13" s="1" t="s">
        <v>597</v>
      </c>
      <c r="AG13" s="1" t="s">
        <v>394</v>
      </c>
      <c r="AH13" s="1" t="s">
        <v>394</v>
      </c>
      <c r="AI13" s="1" t="s">
        <v>598</v>
      </c>
      <c r="AJ13">
        <v>1823954</v>
      </c>
      <c r="AK13" s="501">
        <v>43056.229202361101</v>
      </c>
    </row>
    <row r="14" spans="1:37" x14ac:dyDescent="0.4">
      <c r="A14" s="1" t="s">
        <v>328</v>
      </c>
      <c r="B14" s="1" t="s">
        <v>599</v>
      </c>
      <c r="C14" s="1" t="s">
        <v>600</v>
      </c>
      <c r="D14" s="1" t="s">
        <v>600</v>
      </c>
      <c r="E14" s="1" t="s">
        <v>601</v>
      </c>
      <c r="F14" s="1" t="s">
        <v>602</v>
      </c>
      <c r="G14" s="1" t="s">
        <v>603</v>
      </c>
      <c r="H14" s="1" t="s">
        <v>604</v>
      </c>
      <c r="I14" s="1" t="s">
        <v>605</v>
      </c>
      <c r="J14" s="1" t="s">
        <v>606</v>
      </c>
      <c r="K14" s="1" t="s">
        <v>606</v>
      </c>
      <c r="L14" s="1" t="s">
        <v>607</v>
      </c>
      <c r="M14" s="1" t="s">
        <v>607</v>
      </c>
      <c r="N14" s="1" t="s">
        <v>608</v>
      </c>
      <c r="O14" s="1" t="s">
        <v>609</v>
      </c>
      <c r="P14" s="1" t="s">
        <v>610</v>
      </c>
      <c r="Q14" s="1" t="s">
        <v>611</v>
      </c>
      <c r="R14" s="1" t="s">
        <v>611</v>
      </c>
      <c r="S14" s="1" t="s">
        <v>612</v>
      </c>
      <c r="T14" s="1" t="s">
        <v>612</v>
      </c>
      <c r="U14" s="1" t="s">
        <v>613</v>
      </c>
      <c r="V14" s="1" t="s">
        <v>614</v>
      </c>
      <c r="W14" s="1" t="s">
        <v>615</v>
      </c>
      <c r="X14" s="1" t="s">
        <v>616</v>
      </c>
      <c r="Y14" s="1" t="s">
        <v>616</v>
      </c>
      <c r="Z14" s="1" t="s">
        <v>617</v>
      </c>
      <c r="AA14" s="1" t="s">
        <v>617</v>
      </c>
      <c r="AB14" s="1" t="s">
        <v>618</v>
      </c>
      <c r="AC14" s="1" t="s">
        <v>619</v>
      </c>
      <c r="AD14" s="1" t="s">
        <v>620</v>
      </c>
      <c r="AE14" s="1" t="s">
        <v>621</v>
      </c>
      <c r="AF14" s="1" t="s">
        <v>621</v>
      </c>
      <c r="AG14" s="1" t="s">
        <v>394</v>
      </c>
      <c r="AH14" s="1" t="s">
        <v>394</v>
      </c>
      <c r="AI14" s="1" t="s">
        <v>622</v>
      </c>
      <c r="AJ14">
        <v>542080</v>
      </c>
      <c r="AK14" s="501">
        <v>43056.229202361101</v>
      </c>
    </row>
    <row r="15" spans="1:37" x14ac:dyDescent="0.4">
      <c r="A15" s="1" t="s">
        <v>328</v>
      </c>
      <c r="B15" s="1" t="s">
        <v>623</v>
      </c>
      <c r="C15" s="1" t="s">
        <v>624</v>
      </c>
      <c r="D15" s="1" t="s">
        <v>624</v>
      </c>
      <c r="E15" s="1" t="s">
        <v>625</v>
      </c>
      <c r="F15" s="1" t="s">
        <v>626</v>
      </c>
      <c r="G15" s="1" t="s">
        <v>626</v>
      </c>
      <c r="H15" s="1" t="s">
        <v>627</v>
      </c>
      <c r="I15" s="1" t="s">
        <v>628</v>
      </c>
      <c r="J15" s="1" t="s">
        <v>629</v>
      </c>
      <c r="K15" s="1" t="s">
        <v>629</v>
      </c>
      <c r="L15" s="1" t="s">
        <v>629</v>
      </c>
      <c r="M15" s="1" t="s">
        <v>629</v>
      </c>
      <c r="N15" s="1" t="s">
        <v>630</v>
      </c>
      <c r="O15" s="1" t="s">
        <v>631</v>
      </c>
      <c r="P15" s="1" t="s">
        <v>632</v>
      </c>
      <c r="Q15" s="1" t="s">
        <v>633</v>
      </c>
      <c r="R15" s="1" t="s">
        <v>633</v>
      </c>
      <c r="S15" s="1" t="s">
        <v>634</v>
      </c>
      <c r="T15" s="1" t="s">
        <v>635</v>
      </c>
      <c r="U15" s="1" t="s">
        <v>636</v>
      </c>
      <c r="V15" s="1" t="s">
        <v>637</v>
      </c>
      <c r="W15" s="1" t="s">
        <v>638</v>
      </c>
      <c r="X15" s="1" t="s">
        <v>639</v>
      </c>
      <c r="Y15" s="1" t="s">
        <v>639</v>
      </c>
      <c r="Z15" s="1" t="s">
        <v>640</v>
      </c>
      <c r="AA15" s="1" t="s">
        <v>641</v>
      </c>
      <c r="AB15" s="1" t="s">
        <v>642</v>
      </c>
      <c r="AC15" s="1" t="s">
        <v>643</v>
      </c>
      <c r="AD15" s="1" t="s">
        <v>644</v>
      </c>
      <c r="AE15" s="1" t="s">
        <v>644</v>
      </c>
      <c r="AF15" s="1" t="s">
        <v>644</v>
      </c>
      <c r="AG15" s="1" t="s">
        <v>394</v>
      </c>
      <c r="AH15" s="1" t="s">
        <v>394</v>
      </c>
      <c r="AI15" s="1" t="s">
        <v>645</v>
      </c>
      <c r="AJ15">
        <v>3162040</v>
      </c>
      <c r="AK15" s="501">
        <v>43056.229202361101</v>
      </c>
    </row>
    <row r="16" spans="1:37" x14ac:dyDescent="0.4">
      <c r="A16" s="1" t="s">
        <v>328</v>
      </c>
      <c r="B16" s="1" t="s">
        <v>646</v>
      </c>
      <c r="C16" s="1" t="s">
        <v>647</v>
      </c>
      <c r="D16" s="1" t="s">
        <v>647</v>
      </c>
      <c r="E16" s="1" t="s">
        <v>648</v>
      </c>
      <c r="F16" s="1" t="s">
        <v>649</v>
      </c>
      <c r="G16" s="1" t="s">
        <v>650</v>
      </c>
      <c r="H16" s="1" t="s">
        <v>651</v>
      </c>
      <c r="I16" s="1" t="s">
        <v>652</v>
      </c>
      <c r="J16" s="1" t="s">
        <v>653</v>
      </c>
      <c r="K16" s="1" t="s">
        <v>653</v>
      </c>
      <c r="L16" s="1" t="s">
        <v>654</v>
      </c>
      <c r="M16" s="1" t="s">
        <v>655</v>
      </c>
      <c r="N16" s="1" t="s">
        <v>656</v>
      </c>
      <c r="O16" s="1" t="s">
        <v>657</v>
      </c>
      <c r="P16" s="1" t="s">
        <v>658</v>
      </c>
      <c r="Q16" s="1" t="s">
        <v>659</v>
      </c>
      <c r="R16" s="1" t="s">
        <v>659</v>
      </c>
      <c r="S16" s="1" t="s">
        <v>660</v>
      </c>
      <c r="T16" s="1" t="s">
        <v>661</v>
      </c>
      <c r="U16" s="1" t="s">
        <v>662</v>
      </c>
      <c r="V16" s="1" t="s">
        <v>663</v>
      </c>
      <c r="W16" s="1" t="s">
        <v>664</v>
      </c>
      <c r="X16" s="1" t="s">
        <v>665</v>
      </c>
      <c r="Y16" s="1" t="s">
        <v>665</v>
      </c>
      <c r="Z16" s="1" t="s">
        <v>666</v>
      </c>
      <c r="AA16" s="1" t="s">
        <v>667</v>
      </c>
      <c r="AB16" s="1" t="s">
        <v>668</v>
      </c>
      <c r="AC16" s="1" t="s">
        <v>669</v>
      </c>
      <c r="AD16" s="1" t="s">
        <v>670</v>
      </c>
      <c r="AE16" s="1" t="s">
        <v>671</v>
      </c>
      <c r="AF16" s="1" t="s">
        <v>672</v>
      </c>
      <c r="AG16" s="1" t="s">
        <v>394</v>
      </c>
      <c r="AH16" s="1" t="s">
        <v>673</v>
      </c>
      <c r="AI16" s="1" t="s">
        <v>674</v>
      </c>
      <c r="AJ16">
        <v>9930178</v>
      </c>
      <c r="AK16" s="501">
        <v>43056.229202361101</v>
      </c>
    </row>
    <row r="17" spans="1:37" x14ac:dyDescent="0.4">
      <c r="A17" s="1" t="s">
        <v>328</v>
      </c>
      <c r="B17" s="1" t="s">
        <v>675</v>
      </c>
      <c r="C17" s="1" t="s">
        <v>676</v>
      </c>
      <c r="D17" s="1" t="s">
        <v>676</v>
      </c>
      <c r="E17" s="1" t="s">
        <v>677</v>
      </c>
      <c r="F17" s="1" t="s">
        <v>678</v>
      </c>
      <c r="G17" s="1" t="s">
        <v>679</v>
      </c>
      <c r="H17" s="1" t="s">
        <v>680</v>
      </c>
      <c r="I17" s="1" t="s">
        <v>681</v>
      </c>
      <c r="J17" s="1" t="s">
        <v>682</v>
      </c>
      <c r="K17" s="1" t="s">
        <v>683</v>
      </c>
      <c r="L17" s="1" t="s">
        <v>684</v>
      </c>
      <c r="M17" s="1" t="s">
        <v>685</v>
      </c>
      <c r="N17" s="1" t="s">
        <v>686</v>
      </c>
      <c r="O17" s="1" t="s">
        <v>687</v>
      </c>
      <c r="P17" s="1" t="s">
        <v>688</v>
      </c>
      <c r="Q17" s="1" t="s">
        <v>689</v>
      </c>
      <c r="R17" s="1" t="s">
        <v>689</v>
      </c>
      <c r="S17" s="1" t="s">
        <v>690</v>
      </c>
      <c r="T17" s="1" t="s">
        <v>691</v>
      </c>
      <c r="U17" s="1" t="s">
        <v>692</v>
      </c>
      <c r="V17" s="1" t="s">
        <v>693</v>
      </c>
      <c r="W17" s="1" t="s">
        <v>694</v>
      </c>
      <c r="X17" s="1" t="s">
        <v>695</v>
      </c>
      <c r="Y17" s="1" t="s">
        <v>695</v>
      </c>
      <c r="Z17" s="1" t="s">
        <v>696</v>
      </c>
      <c r="AA17" s="1" t="s">
        <v>697</v>
      </c>
      <c r="AB17" s="1" t="s">
        <v>698</v>
      </c>
      <c r="AC17" s="1" t="s">
        <v>699</v>
      </c>
      <c r="AD17" s="1" t="s">
        <v>700</v>
      </c>
      <c r="AE17" s="1" t="s">
        <v>701</v>
      </c>
      <c r="AF17" s="1" t="s">
        <v>702</v>
      </c>
      <c r="AG17" s="1" t="s">
        <v>394</v>
      </c>
      <c r="AH17" s="1" t="s">
        <v>703</v>
      </c>
      <c r="AI17" s="1" t="s">
        <v>704</v>
      </c>
      <c r="AJ17">
        <v>12733138</v>
      </c>
      <c r="AK17" s="501">
        <v>43056.229202361101</v>
      </c>
    </row>
    <row r="18" spans="1:37" x14ac:dyDescent="0.4">
      <c r="A18" s="1" t="s">
        <v>328</v>
      </c>
      <c r="B18" s="500" t="s">
        <v>705</v>
      </c>
      <c r="C18" s="1" t="s">
        <v>706</v>
      </c>
      <c r="D18" s="1" t="s">
        <v>706</v>
      </c>
      <c r="E18" s="1" t="s">
        <v>707</v>
      </c>
      <c r="F18" s="1" t="s">
        <v>708</v>
      </c>
      <c r="G18" s="1" t="s">
        <v>709</v>
      </c>
      <c r="H18" s="1" t="s">
        <v>710</v>
      </c>
      <c r="I18" s="1" t="s">
        <v>711</v>
      </c>
      <c r="J18" s="1" t="s">
        <v>712</v>
      </c>
      <c r="K18" s="1" t="s">
        <v>712</v>
      </c>
      <c r="L18" s="1" t="s">
        <v>713</v>
      </c>
      <c r="M18" s="1" t="s">
        <v>714</v>
      </c>
      <c r="N18" s="1" t="s">
        <v>715</v>
      </c>
      <c r="O18" s="1" t="s">
        <v>716</v>
      </c>
      <c r="P18" s="1" t="s">
        <v>717</v>
      </c>
      <c r="Q18" s="1" t="s">
        <v>718</v>
      </c>
      <c r="R18" s="1" t="s">
        <v>718</v>
      </c>
      <c r="S18" s="1" t="s">
        <v>719</v>
      </c>
      <c r="T18" s="1" t="s">
        <v>720</v>
      </c>
      <c r="U18" s="1" t="s">
        <v>721</v>
      </c>
      <c r="V18" s="1" t="s">
        <v>722</v>
      </c>
      <c r="W18" s="1" t="s">
        <v>723</v>
      </c>
      <c r="X18" s="1" t="s">
        <v>724</v>
      </c>
      <c r="Y18" s="1" t="s">
        <v>724</v>
      </c>
      <c r="Z18" s="1" t="s">
        <v>725</v>
      </c>
      <c r="AA18" s="1" t="s">
        <v>726</v>
      </c>
      <c r="AB18" s="1" t="s">
        <v>727</v>
      </c>
      <c r="AC18" s="1" t="s">
        <v>728</v>
      </c>
      <c r="AD18" s="1" t="s">
        <v>729</v>
      </c>
      <c r="AE18" s="1" t="s">
        <v>730</v>
      </c>
      <c r="AF18" s="1" t="s">
        <v>730</v>
      </c>
      <c r="AG18" s="1" t="s">
        <v>394</v>
      </c>
      <c r="AH18" s="1" t="s">
        <v>394</v>
      </c>
      <c r="AI18" s="1" t="s">
        <v>731</v>
      </c>
      <c r="AJ18">
        <v>948824</v>
      </c>
      <c r="AK18" s="501">
        <v>43056.229202361101</v>
      </c>
    </row>
    <row r="19" spans="1:37" x14ac:dyDescent="0.4">
      <c r="A19" s="1" t="s">
        <v>328</v>
      </c>
      <c r="B19" s="1" t="s">
        <v>732</v>
      </c>
      <c r="C19" s="1" t="s">
        <v>733</v>
      </c>
      <c r="D19" s="1" t="s">
        <v>733</v>
      </c>
      <c r="E19" s="1" t="s">
        <v>733</v>
      </c>
      <c r="F19" s="1" t="s">
        <v>733</v>
      </c>
      <c r="G19" s="1" t="s">
        <v>733</v>
      </c>
      <c r="H19" s="1" t="s">
        <v>733</v>
      </c>
      <c r="I19" s="1" t="s">
        <v>733</v>
      </c>
      <c r="J19" s="1" t="s">
        <v>733</v>
      </c>
      <c r="K19" s="1" t="s">
        <v>733</v>
      </c>
      <c r="L19" s="1" t="s">
        <v>733</v>
      </c>
      <c r="M19" s="1" t="s">
        <v>733</v>
      </c>
      <c r="N19" s="1" t="s">
        <v>733</v>
      </c>
      <c r="O19" s="1" t="s">
        <v>733</v>
      </c>
      <c r="P19" s="1" t="s">
        <v>733</v>
      </c>
      <c r="Q19" s="1" t="s">
        <v>733</v>
      </c>
      <c r="R19" s="1" t="s">
        <v>733</v>
      </c>
      <c r="S19" s="1" t="s">
        <v>733</v>
      </c>
      <c r="T19" s="1" t="s">
        <v>733</v>
      </c>
      <c r="U19" s="1" t="s">
        <v>733</v>
      </c>
      <c r="V19" s="1" t="s">
        <v>733</v>
      </c>
      <c r="W19" s="1" t="s">
        <v>733</v>
      </c>
      <c r="X19" s="1" t="s">
        <v>733</v>
      </c>
      <c r="Y19" s="1" t="s">
        <v>733</v>
      </c>
      <c r="Z19" s="1" t="s">
        <v>733</v>
      </c>
      <c r="AA19" s="1" t="s">
        <v>733</v>
      </c>
      <c r="AB19" s="1" t="s">
        <v>733</v>
      </c>
      <c r="AC19" s="1" t="s">
        <v>733</v>
      </c>
      <c r="AD19" s="1" t="s">
        <v>733</v>
      </c>
      <c r="AE19" s="1" t="s">
        <v>733</v>
      </c>
      <c r="AF19" s="1" t="s">
        <v>733</v>
      </c>
      <c r="AG19" s="1" t="s">
        <v>394</v>
      </c>
      <c r="AH19" s="1" t="s">
        <v>394</v>
      </c>
      <c r="AI19" s="1" t="s">
        <v>733</v>
      </c>
      <c r="AJ19">
        <v>1995934</v>
      </c>
      <c r="AK19" s="501">
        <v>43056.229202361101</v>
      </c>
    </row>
    <row r="20" spans="1:37" x14ac:dyDescent="0.4">
      <c r="A20" s="1" t="s">
        <v>328</v>
      </c>
      <c r="B20" s="1" t="s">
        <v>734</v>
      </c>
      <c r="C20" s="1" t="s">
        <v>735</v>
      </c>
      <c r="D20" s="1" t="s">
        <v>735</v>
      </c>
      <c r="E20" s="1" t="s">
        <v>735</v>
      </c>
      <c r="F20" s="1" t="s">
        <v>735</v>
      </c>
      <c r="G20" s="1" t="s">
        <v>735</v>
      </c>
      <c r="H20" s="1" t="s">
        <v>735</v>
      </c>
      <c r="I20" s="1" t="s">
        <v>735</v>
      </c>
      <c r="J20" s="1" t="s">
        <v>735</v>
      </c>
      <c r="K20" s="1" t="s">
        <v>735</v>
      </c>
      <c r="L20" s="1" t="s">
        <v>735</v>
      </c>
      <c r="M20" s="1" t="s">
        <v>735</v>
      </c>
      <c r="N20" s="1" t="s">
        <v>735</v>
      </c>
      <c r="O20" s="1" t="s">
        <v>735</v>
      </c>
      <c r="P20" s="1" t="s">
        <v>735</v>
      </c>
      <c r="Q20" s="1" t="s">
        <v>735</v>
      </c>
      <c r="R20" s="1" t="s">
        <v>735</v>
      </c>
      <c r="S20" s="1" t="s">
        <v>735</v>
      </c>
      <c r="T20" s="1" t="s">
        <v>735</v>
      </c>
      <c r="U20" s="1" t="s">
        <v>735</v>
      </c>
      <c r="V20" s="1" t="s">
        <v>735</v>
      </c>
      <c r="W20" s="1" t="s">
        <v>735</v>
      </c>
      <c r="X20" s="1" t="s">
        <v>735</v>
      </c>
      <c r="Y20" s="1" t="s">
        <v>735</v>
      </c>
      <c r="Z20" s="1" t="s">
        <v>735</v>
      </c>
      <c r="AA20" s="1" t="s">
        <v>735</v>
      </c>
      <c r="AB20" s="1" t="s">
        <v>735</v>
      </c>
      <c r="AC20" s="1" t="s">
        <v>735</v>
      </c>
      <c r="AD20" s="1" t="s">
        <v>735</v>
      </c>
      <c r="AE20" s="1" t="s">
        <v>735</v>
      </c>
      <c r="AF20" s="1" t="s">
        <v>735</v>
      </c>
      <c r="AG20" s="1" t="s">
        <v>394</v>
      </c>
      <c r="AH20" s="1" t="s">
        <v>394</v>
      </c>
      <c r="AI20" s="1" t="s">
        <v>735</v>
      </c>
      <c r="AJ20">
        <v>10676173</v>
      </c>
      <c r="AK20" s="501">
        <v>43056.229202361101</v>
      </c>
    </row>
    <row r="21" spans="1:37" x14ac:dyDescent="0.4">
      <c r="A21" s="1" t="s">
        <v>328</v>
      </c>
      <c r="B21" s="1" t="s">
        <v>736</v>
      </c>
      <c r="C21" s="1" t="s">
        <v>737</v>
      </c>
      <c r="D21" s="1" t="s">
        <v>737</v>
      </c>
      <c r="E21" s="1" t="s">
        <v>737</v>
      </c>
      <c r="F21" s="1" t="s">
        <v>738</v>
      </c>
      <c r="G21" s="1" t="s">
        <v>738</v>
      </c>
      <c r="H21" s="1" t="s">
        <v>738</v>
      </c>
      <c r="I21" s="1" t="s">
        <v>738</v>
      </c>
      <c r="J21" s="1" t="s">
        <v>738</v>
      </c>
      <c r="K21" s="1" t="s">
        <v>738</v>
      </c>
      <c r="L21" s="1" t="s">
        <v>738</v>
      </c>
      <c r="M21" s="1" t="s">
        <v>738</v>
      </c>
      <c r="N21" s="1" t="s">
        <v>739</v>
      </c>
      <c r="O21" s="1" t="s">
        <v>739</v>
      </c>
      <c r="P21" s="1" t="s">
        <v>739</v>
      </c>
      <c r="Q21" s="1" t="s">
        <v>739</v>
      </c>
      <c r="R21" s="1" t="s">
        <v>739</v>
      </c>
      <c r="S21" s="1" t="s">
        <v>739</v>
      </c>
      <c r="T21" s="1" t="s">
        <v>739</v>
      </c>
      <c r="U21" s="1" t="s">
        <v>740</v>
      </c>
      <c r="V21" s="1" t="s">
        <v>740</v>
      </c>
      <c r="W21" s="1" t="s">
        <v>740</v>
      </c>
      <c r="X21" s="1" t="s">
        <v>740</v>
      </c>
      <c r="Y21" s="1" t="s">
        <v>740</v>
      </c>
      <c r="Z21" s="1" t="s">
        <v>740</v>
      </c>
      <c r="AA21" s="1" t="s">
        <v>741</v>
      </c>
      <c r="AB21" s="1" t="s">
        <v>742</v>
      </c>
      <c r="AC21" s="1" t="s">
        <v>742</v>
      </c>
      <c r="AD21" s="1" t="s">
        <v>742</v>
      </c>
      <c r="AE21" s="1" t="s">
        <v>742</v>
      </c>
      <c r="AF21" s="1" t="s">
        <v>742</v>
      </c>
      <c r="AG21" s="1" t="s">
        <v>394</v>
      </c>
      <c r="AH21" s="1" t="s">
        <v>394</v>
      </c>
      <c r="AI21" s="1" t="s">
        <v>743</v>
      </c>
      <c r="AJ21">
        <v>10660622</v>
      </c>
      <c r="AK21" s="501">
        <v>43056.229202361101</v>
      </c>
    </row>
    <row r="22" spans="1:37" x14ac:dyDescent="0.4">
      <c r="A22" s="1" t="s">
        <v>328</v>
      </c>
      <c r="B22" s="1" t="s">
        <v>744</v>
      </c>
      <c r="C22" s="1" t="s">
        <v>394</v>
      </c>
      <c r="D22" s="1" t="s">
        <v>394</v>
      </c>
      <c r="E22" s="1" t="s">
        <v>394</v>
      </c>
      <c r="F22" s="1" t="s">
        <v>394</v>
      </c>
      <c r="G22" s="1" t="s">
        <v>394</v>
      </c>
      <c r="H22" s="1" t="s">
        <v>394</v>
      </c>
      <c r="I22" s="1" t="s">
        <v>394</v>
      </c>
      <c r="J22" s="1" t="s">
        <v>394</v>
      </c>
      <c r="K22" s="1" t="s">
        <v>394</v>
      </c>
      <c r="L22" s="1" t="s">
        <v>394</v>
      </c>
      <c r="M22" s="1" t="s">
        <v>394</v>
      </c>
      <c r="N22" s="1" t="s">
        <v>394</v>
      </c>
      <c r="O22" s="1" t="s">
        <v>394</v>
      </c>
      <c r="P22" s="1" t="s">
        <v>394</v>
      </c>
      <c r="Q22" s="1" t="s">
        <v>394</v>
      </c>
      <c r="R22" s="1" t="s">
        <v>394</v>
      </c>
      <c r="S22" s="1" t="s">
        <v>394</v>
      </c>
      <c r="T22" s="1" t="s">
        <v>394</v>
      </c>
      <c r="U22" s="1" t="s">
        <v>394</v>
      </c>
      <c r="V22" s="1" t="s">
        <v>394</v>
      </c>
      <c r="W22" s="1" t="s">
        <v>394</v>
      </c>
      <c r="X22" s="1" t="s">
        <v>394</v>
      </c>
      <c r="Y22" s="1" t="s">
        <v>394</v>
      </c>
      <c r="Z22" s="1" t="s">
        <v>394</v>
      </c>
      <c r="AA22" s="1" t="s">
        <v>394</v>
      </c>
      <c r="AB22" s="1" t="s">
        <v>394</v>
      </c>
      <c r="AC22" s="1" t="s">
        <v>394</v>
      </c>
      <c r="AD22" s="1" t="s">
        <v>394</v>
      </c>
      <c r="AE22" s="1" t="s">
        <v>394</v>
      </c>
      <c r="AF22" s="1" t="s">
        <v>394</v>
      </c>
      <c r="AG22" s="1" t="s">
        <v>394</v>
      </c>
      <c r="AH22" s="1" t="s">
        <v>394</v>
      </c>
      <c r="AI22" s="1" t="s">
        <v>394</v>
      </c>
      <c r="AJ22">
        <v>473816</v>
      </c>
      <c r="AK22" s="501">
        <v>43056.229202361101</v>
      </c>
    </row>
    <row r="23" spans="1:37" x14ac:dyDescent="0.4">
      <c r="A23" s="1" t="s">
        <v>328</v>
      </c>
      <c r="B23" s="500" t="s">
        <v>745</v>
      </c>
      <c r="C23" s="1" t="s">
        <v>394</v>
      </c>
      <c r="D23" s="1" t="s">
        <v>394</v>
      </c>
      <c r="E23" s="1" t="s">
        <v>394</v>
      </c>
      <c r="F23" s="1" t="s">
        <v>394</v>
      </c>
      <c r="G23" s="1" t="s">
        <v>394</v>
      </c>
      <c r="H23" s="1" t="s">
        <v>394</v>
      </c>
      <c r="I23" s="1" t="s">
        <v>394</v>
      </c>
      <c r="J23" s="1" t="s">
        <v>394</v>
      </c>
      <c r="K23" s="1" t="s">
        <v>394</v>
      </c>
      <c r="L23" s="1" t="s">
        <v>394</v>
      </c>
      <c r="M23" s="1" t="s">
        <v>394</v>
      </c>
      <c r="N23" s="1" t="s">
        <v>394</v>
      </c>
      <c r="O23" s="1" t="s">
        <v>394</v>
      </c>
      <c r="P23" s="1" t="s">
        <v>394</v>
      </c>
      <c r="Q23" s="1" t="s">
        <v>394</v>
      </c>
      <c r="R23" s="1" t="s">
        <v>394</v>
      </c>
      <c r="S23" s="1" t="s">
        <v>394</v>
      </c>
      <c r="T23" s="1" t="s">
        <v>394</v>
      </c>
      <c r="U23" s="1" t="s">
        <v>394</v>
      </c>
      <c r="V23" s="1" t="s">
        <v>394</v>
      </c>
      <c r="W23" s="1" t="s">
        <v>394</v>
      </c>
      <c r="X23" s="1" t="s">
        <v>394</v>
      </c>
      <c r="Y23" s="1" t="s">
        <v>394</v>
      </c>
      <c r="Z23" s="1" t="s">
        <v>394</v>
      </c>
      <c r="AA23" s="1" t="s">
        <v>394</v>
      </c>
      <c r="AB23" s="1" t="s">
        <v>394</v>
      </c>
      <c r="AC23" s="1" t="s">
        <v>394</v>
      </c>
      <c r="AD23" s="1" t="s">
        <v>394</v>
      </c>
      <c r="AE23" s="1" t="s">
        <v>394</v>
      </c>
      <c r="AF23" s="1" t="s">
        <v>394</v>
      </c>
      <c r="AG23" s="1" t="s">
        <v>394</v>
      </c>
      <c r="AH23" s="1" t="s">
        <v>394</v>
      </c>
      <c r="AI23" s="1" t="s">
        <v>394</v>
      </c>
      <c r="AJ23">
        <v>732707</v>
      </c>
      <c r="AK23" s="501">
        <v>43056.229202361101</v>
      </c>
    </row>
    <row r="24" spans="1:37" x14ac:dyDescent="0.4">
      <c r="A24" s="1" t="s">
        <v>328</v>
      </c>
      <c r="B24" s="500" t="s">
        <v>746</v>
      </c>
      <c r="C24" s="1" t="s">
        <v>747</v>
      </c>
      <c r="D24" s="1" t="s">
        <v>747</v>
      </c>
      <c r="E24" s="1" t="s">
        <v>748</v>
      </c>
      <c r="F24" s="1" t="s">
        <v>749</v>
      </c>
      <c r="G24" s="1" t="s">
        <v>750</v>
      </c>
      <c r="H24" s="1" t="s">
        <v>751</v>
      </c>
      <c r="I24" s="1" t="s">
        <v>752</v>
      </c>
      <c r="J24" s="1" t="s">
        <v>753</v>
      </c>
      <c r="K24" s="1" t="s">
        <v>753</v>
      </c>
      <c r="L24" s="1" t="s">
        <v>754</v>
      </c>
      <c r="M24" s="1" t="s">
        <v>755</v>
      </c>
      <c r="N24" s="1" t="s">
        <v>756</v>
      </c>
      <c r="O24" s="1" t="s">
        <v>757</v>
      </c>
      <c r="P24" s="1" t="s">
        <v>758</v>
      </c>
      <c r="Q24" s="1" t="s">
        <v>759</v>
      </c>
      <c r="R24" s="1" t="s">
        <v>760</v>
      </c>
      <c r="S24" s="1" t="s">
        <v>761</v>
      </c>
      <c r="T24" s="1" t="s">
        <v>762</v>
      </c>
      <c r="U24" s="1" t="s">
        <v>763</v>
      </c>
      <c r="V24" s="1" t="s">
        <v>764</v>
      </c>
      <c r="W24" s="1" t="s">
        <v>765</v>
      </c>
      <c r="X24" s="1" t="s">
        <v>766</v>
      </c>
      <c r="Y24" s="1" t="s">
        <v>767</v>
      </c>
      <c r="Z24" s="1" t="s">
        <v>768</v>
      </c>
      <c r="AA24" s="1" t="s">
        <v>769</v>
      </c>
      <c r="AB24" s="1" t="s">
        <v>770</v>
      </c>
      <c r="AC24" s="1" t="s">
        <v>771</v>
      </c>
      <c r="AD24" s="1" t="s">
        <v>772</v>
      </c>
      <c r="AE24" s="1" t="s">
        <v>773</v>
      </c>
      <c r="AF24" s="1" t="s">
        <v>773</v>
      </c>
      <c r="AG24" s="1" t="s">
        <v>394</v>
      </c>
      <c r="AH24" s="1" t="s">
        <v>394</v>
      </c>
      <c r="AI24" s="1" t="s">
        <v>774</v>
      </c>
      <c r="AJ24">
        <v>884880</v>
      </c>
      <c r="AK24" s="501">
        <v>43056.229202361101</v>
      </c>
    </row>
    <row r="25" spans="1:37" x14ac:dyDescent="0.4">
      <c r="A25" s="1" t="s">
        <v>328</v>
      </c>
      <c r="B25" s="500" t="s">
        <v>775</v>
      </c>
      <c r="C25" s="1" t="s">
        <v>776</v>
      </c>
      <c r="D25" s="1" t="s">
        <v>776</v>
      </c>
      <c r="E25" s="1" t="s">
        <v>777</v>
      </c>
      <c r="F25" s="1" t="s">
        <v>778</v>
      </c>
      <c r="G25" s="1" t="s">
        <v>779</v>
      </c>
      <c r="H25" s="1" t="s">
        <v>780</v>
      </c>
      <c r="I25" s="1" t="s">
        <v>781</v>
      </c>
      <c r="J25" s="1" t="s">
        <v>782</v>
      </c>
      <c r="K25" s="1" t="s">
        <v>782</v>
      </c>
      <c r="L25" s="1" t="s">
        <v>783</v>
      </c>
      <c r="M25" s="1" t="s">
        <v>784</v>
      </c>
      <c r="N25" s="1" t="s">
        <v>785</v>
      </c>
      <c r="O25" s="1" t="s">
        <v>786</v>
      </c>
      <c r="P25" s="1" t="s">
        <v>787</v>
      </c>
      <c r="Q25" s="1" t="s">
        <v>788</v>
      </c>
      <c r="R25" s="1" t="s">
        <v>788</v>
      </c>
      <c r="S25" s="1" t="s">
        <v>789</v>
      </c>
      <c r="T25" s="1" t="s">
        <v>790</v>
      </c>
      <c r="U25" s="1" t="s">
        <v>791</v>
      </c>
      <c r="V25" s="1" t="s">
        <v>792</v>
      </c>
      <c r="W25" s="1" t="s">
        <v>793</v>
      </c>
      <c r="X25" s="1" t="s">
        <v>794</v>
      </c>
      <c r="Y25" s="1" t="s">
        <v>794</v>
      </c>
      <c r="Z25" s="1" t="s">
        <v>795</v>
      </c>
      <c r="AA25" s="1" t="s">
        <v>796</v>
      </c>
      <c r="AB25" s="1" t="s">
        <v>797</v>
      </c>
      <c r="AC25" s="1" t="s">
        <v>798</v>
      </c>
      <c r="AD25" s="1" t="s">
        <v>799</v>
      </c>
      <c r="AE25" s="1" t="s">
        <v>800</v>
      </c>
      <c r="AF25" s="1" t="s">
        <v>800</v>
      </c>
      <c r="AG25" s="1" t="s">
        <v>394</v>
      </c>
      <c r="AH25" s="1" t="s">
        <v>394</v>
      </c>
      <c r="AI25" s="1" t="s">
        <v>801</v>
      </c>
      <c r="AJ25">
        <v>0</v>
      </c>
      <c r="AK25" s="501">
        <v>43056.229202361101</v>
      </c>
    </row>
    <row r="26" spans="1:37" x14ac:dyDescent="0.4">
      <c r="A26" s="1"/>
      <c r="B26" s="50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1">
        <v>43056.229202361101</v>
      </c>
    </row>
    <row r="27" spans="1:37" x14ac:dyDescent="0.4">
      <c r="A27" s="1"/>
      <c r="B27" s="50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1">
        <v>43056.229202361101</v>
      </c>
    </row>
    <row r="28" spans="1:37" x14ac:dyDescent="0.4">
      <c r="A28" s="1"/>
      <c r="B28" s="50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1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" x14ac:dyDescent="0.4"/>
  <sheetData>
    <row r="1" spans="1:35" x14ac:dyDescent="0.4">
      <c r="A1" s="1" t="s">
        <v>294</v>
      </c>
      <c r="B1" s="1" t="s">
        <v>360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802</v>
      </c>
    </row>
    <row r="2" spans="1:35" x14ac:dyDescent="0.4">
      <c r="A2" s="1" t="s">
        <v>328</v>
      </c>
      <c r="B2" s="285" t="s">
        <v>363</v>
      </c>
      <c r="C2" s="1" t="s">
        <v>803</v>
      </c>
      <c r="D2" s="1" t="s">
        <v>804</v>
      </c>
      <c r="E2" s="1" t="s">
        <v>805</v>
      </c>
      <c r="F2" s="1" t="s">
        <v>806</v>
      </c>
      <c r="G2" s="1" t="s">
        <v>807</v>
      </c>
      <c r="H2" s="1" t="s">
        <v>808</v>
      </c>
      <c r="I2" s="1" t="s">
        <v>806</v>
      </c>
      <c r="J2" s="1" t="s">
        <v>809</v>
      </c>
      <c r="K2" s="1" t="s">
        <v>804</v>
      </c>
      <c r="L2" s="1" t="s">
        <v>810</v>
      </c>
      <c r="M2" s="1" t="s">
        <v>811</v>
      </c>
      <c r="N2" s="1" t="s">
        <v>812</v>
      </c>
      <c r="O2" s="1" t="s">
        <v>805</v>
      </c>
      <c r="P2" s="1" t="s">
        <v>808</v>
      </c>
      <c r="Q2" s="1" t="s">
        <v>805</v>
      </c>
      <c r="R2" s="1" t="s">
        <v>804</v>
      </c>
      <c r="S2" s="1" t="s">
        <v>808</v>
      </c>
      <c r="T2" s="1" t="s">
        <v>808</v>
      </c>
      <c r="U2" s="1" t="s">
        <v>806</v>
      </c>
      <c r="V2" s="1" t="s">
        <v>813</v>
      </c>
      <c r="W2" s="1" t="s">
        <v>814</v>
      </c>
      <c r="X2" s="1" t="s">
        <v>808</v>
      </c>
      <c r="Y2" s="1" t="s">
        <v>804</v>
      </c>
      <c r="Z2" s="1" t="s">
        <v>815</v>
      </c>
      <c r="AA2" s="1" t="s">
        <v>807</v>
      </c>
      <c r="AB2" s="1" t="s">
        <v>815</v>
      </c>
      <c r="AC2" s="1" t="s">
        <v>815</v>
      </c>
      <c r="AD2" s="1" t="s">
        <v>810</v>
      </c>
      <c r="AE2" s="1" t="s">
        <v>816</v>
      </c>
      <c r="AF2" s="1" t="s">
        <v>804</v>
      </c>
      <c r="AG2" s="1" t="s">
        <v>804</v>
      </c>
      <c r="AH2" s="1" t="s">
        <v>805</v>
      </c>
      <c r="AI2" s="501">
        <v>44412.229194178202</v>
      </c>
    </row>
    <row r="3" spans="1:35" x14ac:dyDescent="0.4">
      <c r="A3" s="1" t="s">
        <v>328</v>
      </c>
      <c r="B3" s="285" t="s">
        <v>397</v>
      </c>
      <c r="C3" s="1" t="s">
        <v>817</v>
      </c>
      <c r="D3" s="1" t="s">
        <v>804</v>
      </c>
      <c r="E3" s="1" t="s">
        <v>810</v>
      </c>
      <c r="F3" s="1" t="s">
        <v>807</v>
      </c>
      <c r="G3" s="1" t="s">
        <v>809</v>
      </c>
      <c r="H3" s="1" t="s">
        <v>808</v>
      </c>
      <c r="I3" s="1" t="s">
        <v>818</v>
      </c>
      <c r="J3" s="1" t="s">
        <v>819</v>
      </c>
      <c r="K3" s="1" t="s">
        <v>804</v>
      </c>
      <c r="L3" s="1" t="s">
        <v>813</v>
      </c>
      <c r="M3" s="1" t="s">
        <v>811</v>
      </c>
      <c r="N3" s="1" t="s">
        <v>820</v>
      </c>
      <c r="O3" s="1" t="s">
        <v>821</v>
      </c>
      <c r="P3" s="1" t="s">
        <v>806</v>
      </c>
      <c r="Q3" s="1" t="s">
        <v>806</v>
      </c>
      <c r="R3" s="1" t="s">
        <v>804</v>
      </c>
      <c r="S3" s="1" t="s">
        <v>822</v>
      </c>
      <c r="T3" s="1" t="s">
        <v>823</v>
      </c>
      <c r="U3" s="1" t="s">
        <v>810</v>
      </c>
      <c r="V3" s="1" t="s">
        <v>821</v>
      </c>
      <c r="W3" s="1" t="s">
        <v>818</v>
      </c>
      <c r="X3" s="1" t="s">
        <v>810</v>
      </c>
      <c r="Y3" s="1" t="s">
        <v>804</v>
      </c>
      <c r="Z3" s="1" t="s">
        <v>810</v>
      </c>
      <c r="AA3" s="1" t="s">
        <v>808</v>
      </c>
      <c r="AB3" s="1" t="s">
        <v>810</v>
      </c>
      <c r="AC3" s="1" t="s">
        <v>809</v>
      </c>
      <c r="AD3" s="1" t="s">
        <v>807</v>
      </c>
      <c r="AE3" s="1" t="s">
        <v>824</v>
      </c>
      <c r="AF3" s="1" t="s">
        <v>804</v>
      </c>
      <c r="AG3" s="1" t="s">
        <v>804</v>
      </c>
      <c r="AH3" s="1" t="s">
        <v>806</v>
      </c>
      <c r="AI3" s="501">
        <v>44412.229194178202</v>
      </c>
    </row>
    <row r="4" spans="1:35" x14ac:dyDescent="0.4">
      <c r="A4" s="1" t="s">
        <v>328</v>
      </c>
      <c r="B4" s="285" t="s">
        <v>426</v>
      </c>
      <c r="C4" s="1" t="s">
        <v>811</v>
      </c>
      <c r="D4" s="1" t="s">
        <v>804</v>
      </c>
      <c r="E4" s="1" t="s">
        <v>811</v>
      </c>
      <c r="F4" s="1" t="s">
        <v>811</v>
      </c>
      <c r="G4" s="1" t="s">
        <v>811</v>
      </c>
      <c r="H4" s="1" t="s">
        <v>811</v>
      </c>
      <c r="I4" s="1" t="s">
        <v>811</v>
      </c>
      <c r="J4" s="1" t="s">
        <v>811</v>
      </c>
      <c r="K4" s="1" t="s">
        <v>804</v>
      </c>
      <c r="L4" s="1" t="s">
        <v>811</v>
      </c>
      <c r="M4" s="1" t="s">
        <v>811</v>
      </c>
      <c r="N4" s="1" t="s">
        <v>811</v>
      </c>
      <c r="O4" s="1" t="s">
        <v>811</v>
      </c>
      <c r="P4" s="1" t="s">
        <v>811</v>
      </c>
      <c r="Q4" s="1" t="s">
        <v>811</v>
      </c>
      <c r="R4" s="1" t="s">
        <v>804</v>
      </c>
      <c r="S4" s="1" t="s">
        <v>811</v>
      </c>
      <c r="T4" s="1" t="s">
        <v>811</v>
      </c>
      <c r="U4" s="1" t="s">
        <v>811</v>
      </c>
      <c r="V4" s="1" t="s">
        <v>811</v>
      </c>
      <c r="W4" s="1" t="s">
        <v>811</v>
      </c>
      <c r="X4" s="1" t="s">
        <v>811</v>
      </c>
      <c r="Y4" s="1" t="s">
        <v>804</v>
      </c>
      <c r="Z4" s="1" t="s">
        <v>811</v>
      </c>
      <c r="AA4" s="1" t="s">
        <v>811</v>
      </c>
      <c r="AB4" s="1" t="s">
        <v>811</v>
      </c>
      <c r="AC4" s="1" t="s">
        <v>811</v>
      </c>
      <c r="AD4" s="1" t="s">
        <v>811</v>
      </c>
      <c r="AE4" s="1" t="s">
        <v>811</v>
      </c>
      <c r="AF4" s="1" t="s">
        <v>804</v>
      </c>
      <c r="AG4" s="1" t="s">
        <v>804</v>
      </c>
      <c r="AH4" s="1" t="s">
        <v>811</v>
      </c>
      <c r="AI4" s="501">
        <v>44412.229194178202</v>
      </c>
    </row>
    <row r="5" spans="1:35" x14ac:dyDescent="0.4">
      <c r="A5" s="1" t="s">
        <v>328</v>
      </c>
      <c r="B5" s="285" t="s">
        <v>453</v>
      </c>
      <c r="C5" s="1" t="s">
        <v>825</v>
      </c>
      <c r="D5" s="1" t="s">
        <v>804</v>
      </c>
      <c r="E5" s="1" t="s">
        <v>826</v>
      </c>
      <c r="F5" s="1" t="s">
        <v>827</v>
      </c>
      <c r="G5" s="1" t="s">
        <v>828</v>
      </c>
      <c r="H5" s="1" t="s">
        <v>829</v>
      </c>
      <c r="I5" s="1" t="s">
        <v>811</v>
      </c>
      <c r="J5" s="1" t="s">
        <v>811</v>
      </c>
      <c r="K5" s="1" t="s">
        <v>804</v>
      </c>
      <c r="L5" s="1" t="s">
        <v>830</v>
      </c>
      <c r="M5" s="1" t="s">
        <v>811</v>
      </c>
      <c r="N5" s="1" t="s">
        <v>831</v>
      </c>
      <c r="O5" s="1" t="s">
        <v>832</v>
      </c>
      <c r="P5" s="1" t="s">
        <v>833</v>
      </c>
      <c r="Q5" s="1" t="s">
        <v>834</v>
      </c>
      <c r="R5" s="1" t="s">
        <v>804</v>
      </c>
      <c r="S5" s="1" t="s">
        <v>835</v>
      </c>
      <c r="T5" s="1" t="s">
        <v>836</v>
      </c>
      <c r="U5" s="1" t="s">
        <v>837</v>
      </c>
      <c r="V5" s="1" t="s">
        <v>838</v>
      </c>
      <c r="W5" s="1" t="s">
        <v>839</v>
      </c>
      <c r="X5" s="1" t="s">
        <v>840</v>
      </c>
      <c r="Y5" s="1" t="s">
        <v>804</v>
      </c>
      <c r="Z5" s="1" t="s">
        <v>841</v>
      </c>
      <c r="AA5" s="1" t="s">
        <v>842</v>
      </c>
      <c r="AB5" s="1" t="s">
        <v>832</v>
      </c>
      <c r="AC5" s="1" t="s">
        <v>843</v>
      </c>
      <c r="AD5" s="1" t="s">
        <v>844</v>
      </c>
      <c r="AE5" s="1" t="s">
        <v>845</v>
      </c>
      <c r="AF5" s="1" t="s">
        <v>804</v>
      </c>
      <c r="AG5" s="1" t="s">
        <v>804</v>
      </c>
      <c r="AH5" s="1" t="s">
        <v>846</v>
      </c>
      <c r="AI5" s="501">
        <v>44412.229194178202</v>
      </c>
    </row>
    <row r="6" spans="1:35" x14ac:dyDescent="0.4">
      <c r="A6" s="1" t="s">
        <v>328</v>
      </c>
      <c r="B6" s="285" t="s">
        <v>480</v>
      </c>
      <c r="C6" s="1" t="s">
        <v>847</v>
      </c>
      <c r="D6" s="1" t="s">
        <v>804</v>
      </c>
      <c r="E6" s="1" t="s">
        <v>828</v>
      </c>
      <c r="F6" s="1" t="s">
        <v>848</v>
      </c>
      <c r="G6" s="1" t="s">
        <v>815</v>
      </c>
      <c r="H6" s="1" t="s">
        <v>849</v>
      </c>
      <c r="I6" s="1" t="s">
        <v>850</v>
      </c>
      <c r="J6" s="1" t="s">
        <v>851</v>
      </c>
      <c r="K6" s="1" t="s">
        <v>804</v>
      </c>
      <c r="L6" s="1" t="s">
        <v>828</v>
      </c>
      <c r="M6" s="1" t="s">
        <v>811</v>
      </c>
      <c r="N6" s="1" t="s">
        <v>814</v>
      </c>
      <c r="O6" s="1" t="s">
        <v>847</v>
      </c>
      <c r="P6" s="1" t="s">
        <v>828</v>
      </c>
      <c r="Q6" s="1" t="s">
        <v>847</v>
      </c>
      <c r="R6" s="1" t="s">
        <v>804</v>
      </c>
      <c r="S6" s="1" t="s">
        <v>816</v>
      </c>
      <c r="T6" s="1" t="s">
        <v>849</v>
      </c>
      <c r="U6" s="1" t="s">
        <v>850</v>
      </c>
      <c r="V6" s="1" t="s">
        <v>852</v>
      </c>
      <c r="W6" s="1" t="s">
        <v>852</v>
      </c>
      <c r="X6" s="1" t="s">
        <v>852</v>
      </c>
      <c r="Y6" s="1" t="s">
        <v>804</v>
      </c>
      <c r="Z6" s="1" t="s">
        <v>851</v>
      </c>
      <c r="AA6" s="1" t="s">
        <v>851</v>
      </c>
      <c r="AB6" s="1" t="s">
        <v>853</v>
      </c>
      <c r="AC6" s="1" t="s">
        <v>852</v>
      </c>
      <c r="AD6" s="1" t="s">
        <v>854</v>
      </c>
      <c r="AE6" s="1" t="s">
        <v>853</v>
      </c>
      <c r="AF6" s="1" t="s">
        <v>804</v>
      </c>
      <c r="AG6" s="1" t="s">
        <v>804</v>
      </c>
      <c r="AH6" s="1" t="s">
        <v>855</v>
      </c>
      <c r="AI6" s="501">
        <v>44412.229194178202</v>
      </c>
    </row>
    <row r="7" spans="1:35" x14ac:dyDescent="0.4">
      <c r="A7" s="1" t="s">
        <v>328</v>
      </c>
      <c r="B7" s="285" t="s">
        <v>511</v>
      </c>
      <c r="C7" s="1" t="s">
        <v>804</v>
      </c>
      <c r="D7" s="1" t="s">
        <v>804</v>
      </c>
      <c r="E7" s="1" t="s">
        <v>804</v>
      </c>
      <c r="F7" s="1" t="s">
        <v>804</v>
      </c>
      <c r="G7" s="1" t="s">
        <v>804</v>
      </c>
      <c r="H7" s="1" t="s">
        <v>804</v>
      </c>
      <c r="I7" s="1" t="s">
        <v>804</v>
      </c>
      <c r="J7" s="1" t="s">
        <v>804</v>
      </c>
      <c r="K7" s="1" t="s">
        <v>804</v>
      </c>
      <c r="L7" s="1" t="s">
        <v>804</v>
      </c>
      <c r="M7" s="1" t="s">
        <v>804</v>
      </c>
      <c r="N7" s="1" t="s">
        <v>804</v>
      </c>
      <c r="O7" s="1" t="s">
        <v>804</v>
      </c>
      <c r="P7" s="1" t="s">
        <v>804</v>
      </c>
      <c r="Q7" s="1" t="s">
        <v>804</v>
      </c>
      <c r="R7" s="1" t="s">
        <v>804</v>
      </c>
      <c r="S7" s="1" t="s">
        <v>804</v>
      </c>
      <c r="T7" s="1" t="s">
        <v>804</v>
      </c>
      <c r="U7" s="1" t="s">
        <v>804</v>
      </c>
      <c r="V7" s="1" t="s">
        <v>804</v>
      </c>
      <c r="W7" s="1" t="s">
        <v>804</v>
      </c>
      <c r="X7" s="1" t="s">
        <v>804</v>
      </c>
      <c r="Y7" s="1" t="s">
        <v>804</v>
      </c>
      <c r="Z7" s="1" t="s">
        <v>804</v>
      </c>
      <c r="AA7" s="1" t="s">
        <v>804</v>
      </c>
      <c r="AB7" s="1" t="s">
        <v>804</v>
      </c>
      <c r="AC7" s="1" t="s">
        <v>804</v>
      </c>
      <c r="AD7" s="1" t="s">
        <v>804</v>
      </c>
      <c r="AE7" s="1" t="s">
        <v>804</v>
      </c>
      <c r="AF7" s="1" t="s">
        <v>804</v>
      </c>
      <c r="AG7" s="1" t="s">
        <v>804</v>
      </c>
      <c r="AH7" s="1" t="s">
        <v>804</v>
      </c>
      <c r="AI7" s="501">
        <v>44412.229194178202</v>
      </c>
    </row>
    <row r="8" spans="1:35" x14ac:dyDescent="0.4">
      <c r="A8" s="1" t="s">
        <v>328</v>
      </c>
      <c r="B8" s="285" t="s">
        <v>512</v>
      </c>
      <c r="C8" s="1" t="s">
        <v>856</v>
      </c>
      <c r="D8" s="1" t="s">
        <v>804</v>
      </c>
      <c r="E8" s="1" t="s">
        <v>857</v>
      </c>
      <c r="F8" s="1" t="s">
        <v>858</v>
      </c>
      <c r="G8" s="1" t="s">
        <v>809</v>
      </c>
      <c r="H8" s="1" t="s">
        <v>810</v>
      </c>
      <c r="I8" s="1" t="s">
        <v>859</v>
      </c>
      <c r="J8" s="1" t="s">
        <v>860</v>
      </c>
      <c r="K8" s="1" t="s">
        <v>804</v>
      </c>
      <c r="L8" s="1" t="s">
        <v>803</v>
      </c>
      <c r="M8" s="1" t="s">
        <v>811</v>
      </c>
      <c r="N8" s="1" t="s">
        <v>861</v>
      </c>
      <c r="O8" s="1" t="s">
        <v>862</v>
      </c>
      <c r="P8" s="1" t="s">
        <v>814</v>
      </c>
      <c r="Q8" s="1" t="s">
        <v>812</v>
      </c>
      <c r="R8" s="1" t="s">
        <v>804</v>
      </c>
      <c r="S8" s="1" t="s">
        <v>814</v>
      </c>
      <c r="T8" s="1" t="s">
        <v>863</v>
      </c>
      <c r="U8" s="1" t="s">
        <v>810</v>
      </c>
      <c r="V8" s="1" t="s">
        <v>808</v>
      </c>
      <c r="W8" s="1" t="s">
        <v>828</v>
      </c>
      <c r="X8" s="1" t="s">
        <v>864</v>
      </c>
      <c r="Y8" s="1" t="s">
        <v>804</v>
      </c>
      <c r="Z8" s="1" t="s">
        <v>865</v>
      </c>
      <c r="AA8" s="1" t="s">
        <v>850</v>
      </c>
      <c r="AB8" s="1" t="s">
        <v>848</v>
      </c>
      <c r="AC8" s="1" t="s">
        <v>828</v>
      </c>
      <c r="AD8" s="1" t="s">
        <v>850</v>
      </c>
      <c r="AE8" s="1" t="s">
        <v>851</v>
      </c>
      <c r="AF8" s="1" t="s">
        <v>804</v>
      </c>
      <c r="AG8" s="1" t="s">
        <v>804</v>
      </c>
      <c r="AH8" s="1" t="s">
        <v>866</v>
      </c>
      <c r="AI8" s="501">
        <v>44412.229194178202</v>
      </c>
    </row>
    <row r="9" spans="1:35" x14ac:dyDescent="0.4">
      <c r="A9" s="1" t="s">
        <v>328</v>
      </c>
      <c r="B9" s="285" t="s">
        <v>867</v>
      </c>
      <c r="C9" s="1" t="s">
        <v>868</v>
      </c>
      <c r="D9" s="1" t="s">
        <v>804</v>
      </c>
      <c r="E9" s="1" t="s">
        <v>811</v>
      </c>
      <c r="F9" s="1" t="s">
        <v>811</v>
      </c>
      <c r="G9" s="1" t="s">
        <v>811</v>
      </c>
      <c r="H9" s="1" t="s">
        <v>811</v>
      </c>
      <c r="I9" s="1" t="s">
        <v>811</v>
      </c>
      <c r="J9" s="1" t="s">
        <v>811</v>
      </c>
      <c r="K9" s="1" t="s">
        <v>804</v>
      </c>
      <c r="L9" s="1" t="s">
        <v>829</v>
      </c>
      <c r="M9" s="1" t="s">
        <v>811</v>
      </c>
      <c r="N9" s="1" t="s">
        <v>811</v>
      </c>
      <c r="O9" s="1" t="s">
        <v>811</v>
      </c>
      <c r="P9" s="1" t="s">
        <v>811</v>
      </c>
      <c r="Q9" s="1" t="s">
        <v>811</v>
      </c>
      <c r="R9" s="1" t="s">
        <v>804</v>
      </c>
      <c r="S9" s="1" t="s">
        <v>869</v>
      </c>
      <c r="T9" s="1" t="s">
        <v>839</v>
      </c>
      <c r="U9" s="1" t="s">
        <v>833</v>
      </c>
      <c r="V9" s="1" t="s">
        <v>842</v>
      </c>
      <c r="W9" s="1" t="s">
        <v>833</v>
      </c>
      <c r="X9" s="1" t="s">
        <v>811</v>
      </c>
      <c r="Y9" s="1" t="s">
        <v>804</v>
      </c>
      <c r="Z9" s="1" t="s">
        <v>811</v>
      </c>
      <c r="AA9" s="1" t="s">
        <v>811</v>
      </c>
      <c r="AB9" s="1" t="s">
        <v>870</v>
      </c>
      <c r="AC9" s="1" t="s">
        <v>811</v>
      </c>
      <c r="AD9" s="1" t="s">
        <v>811</v>
      </c>
      <c r="AE9" s="1" t="s">
        <v>842</v>
      </c>
      <c r="AF9" s="1" t="s">
        <v>804</v>
      </c>
      <c r="AG9" s="1" t="s">
        <v>804</v>
      </c>
      <c r="AH9" s="1" t="s">
        <v>871</v>
      </c>
      <c r="AI9" s="501">
        <v>44412.229194178202</v>
      </c>
    </row>
    <row r="10" spans="1:35" x14ac:dyDescent="0.4">
      <c r="A10" s="1" t="s">
        <v>328</v>
      </c>
      <c r="B10" s="285" t="s">
        <v>872</v>
      </c>
      <c r="C10" s="1" t="s">
        <v>873</v>
      </c>
      <c r="D10" s="1" t="s">
        <v>804</v>
      </c>
      <c r="E10" s="1" t="s">
        <v>821</v>
      </c>
      <c r="F10" s="1" t="s">
        <v>823</v>
      </c>
      <c r="G10" s="1" t="s">
        <v>823</v>
      </c>
      <c r="H10" s="1" t="s">
        <v>805</v>
      </c>
      <c r="I10" s="1" t="s">
        <v>808</v>
      </c>
      <c r="J10" s="1" t="s">
        <v>823</v>
      </c>
      <c r="K10" s="1" t="s">
        <v>804</v>
      </c>
      <c r="L10" s="1" t="s">
        <v>813</v>
      </c>
      <c r="M10" s="1" t="s">
        <v>811</v>
      </c>
      <c r="N10" s="1" t="s">
        <v>862</v>
      </c>
      <c r="O10" s="1" t="s">
        <v>813</v>
      </c>
      <c r="P10" s="1" t="s">
        <v>813</v>
      </c>
      <c r="Q10" s="1" t="s">
        <v>805</v>
      </c>
      <c r="R10" s="1" t="s">
        <v>804</v>
      </c>
      <c r="S10" s="1" t="s">
        <v>808</v>
      </c>
      <c r="T10" s="1" t="s">
        <v>821</v>
      </c>
      <c r="U10" s="1" t="s">
        <v>808</v>
      </c>
      <c r="V10" s="1" t="s">
        <v>822</v>
      </c>
      <c r="W10" s="1" t="s">
        <v>816</v>
      </c>
      <c r="X10" s="1" t="s">
        <v>810</v>
      </c>
      <c r="Y10" s="1" t="s">
        <v>804</v>
      </c>
      <c r="Z10" s="1" t="s">
        <v>815</v>
      </c>
      <c r="AA10" s="1" t="s">
        <v>808</v>
      </c>
      <c r="AB10" s="1" t="s">
        <v>814</v>
      </c>
      <c r="AC10" s="1" t="s">
        <v>816</v>
      </c>
      <c r="AD10" s="1" t="s">
        <v>814</v>
      </c>
      <c r="AE10" s="1" t="s">
        <v>847</v>
      </c>
      <c r="AF10" s="1" t="s">
        <v>804</v>
      </c>
      <c r="AG10" s="1" t="s">
        <v>804</v>
      </c>
      <c r="AH10" s="1" t="s">
        <v>813</v>
      </c>
      <c r="AI10" s="501">
        <v>44412.229194178202</v>
      </c>
    </row>
    <row r="11" spans="1:35" x14ac:dyDescent="0.4">
      <c r="A11" s="1" t="s">
        <v>328</v>
      </c>
      <c r="B11" s="285" t="s">
        <v>874</v>
      </c>
      <c r="C11" s="1" t="s">
        <v>811</v>
      </c>
      <c r="D11" s="1" t="s">
        <v>804</v>
      </c>
      <c r="E11" s="1" t="s">
        <v>811</v>
      </c>
      <c r="F11" s="1" t="s">
        <v>811</v>
      </c>
      <c r="G11" s="1" t="s">
        <v>811</v>
      </c>
      <c r="H11" s="1" t="s">
        <v>811</v>
      </c>
      <c r="I11" s="1" t="s">
        <v>811</v>
      </c>
      <c r="J11" s="1" t="s">
        <v>811</v>
      </c>
      <c r="K11" s="1" t="s">
        <v>804</v>
      </c>
      <c r="L11" s="1" t="s">
        <v>811</v>
      </c>
      <c r="M11" s="1" t="s">
        <v>811</v>
      </c>
      <c r="N11" s="1" t="s">
        <v>811</v>
      </c>
      <c r="O11" s="1" t="s">
        <v>811</v>
      </c>
      <c r="P11" s="1" t="s">
        <v>811</v>
      </c>
      <c r="Q11" s="1" t="s">
        <v>811</v>
      </c>
      <c r="R11" s="1" t="s">
        <v>804</v>
      </c>
      <c r="S11" s="1" t="s">
        <v>811</v>
      </c>
      <c r="T11" s="1" t="s">
        <v>811</v>
      </c>
      <c r="U11" s="1" t="s">
        <v>811</v>
      </c>
      <c r="V11" s="1" t="s">
        <v>811</v>
      </c>
      <c r="W11" s="1" t="s">
        <v>811</v>
      </c>
      <c r="X11" s="1" t="s">
        <v>811</v>
      </c>
      <c r="Y11" s="1" t="s">
        <v>804</v>
      </c>
      <c r="Z11" s="1" t="s">
        <v>811</v>
      </c>
      <c r="AA11" s="1" t="s">
        <v>811</v>
      </c>
      <c r="AB11" s="1" t="s">
        <v>811</v>
      </c>
      <c r="AC11" s="1" t="s">
        <v>811</v>
      </c>
      <c r="AD11" s="1" t="s">
        <v>811</v>
      </c>
      <c r="AE11" s="1" t="s">
        <v>811</v>
      </c>
      <c r="AF11" s="1" t="s">
        <v>804</v>
      </c>
      <c r="AG11" s="1" t="s">
        <v>804</v>
      </c>
      <c r="AH11" s="1" t="s">
        <v>811</v>
      </c>
      <c r="AI11" s="501">
        <v>44412.229194178202</v>
      </c>
    </row>
    <row r="12" spans="1:35" x14ac:dyDescent="0.4">
      <c r="A12" s="1" t="s">
        <v>328</v>
      </c>
      <c r="B12" s="285" t="s">
        <v>875</v>
      </c>
      <c r="C12" s="1" t="s">
        <v>811</v>
      </c>
      <c r="D12" s="1" t="s">
        <v>804</v>
      </c>
      <c r="E12" s="1" t="s">
        <v>818</v>
      </c>
      <c r="F12" s="1" t="s">
        <v>806</v>
      </c>
      <c r="G12" s="1" t="s">
        <v>811</v>
      </c>
      <c r="H12" s="1" t="s">
        <v>876</v>
      </c>
      <c r="I12" s="1" t="s">
        <v>877</v>
      </c>
      <c r="J12" s="1" t="s">
        <v>878</v>
      </c>
      <c r="K12" s="1" t="s">
        <v>804</v>
      </c>
      <c r="L12" s="1" t="s">
        <v>809</v>
      </c>
      <c r="M12" s="1" t="s">
        <v>811</v>
      </c>
      <c r="N12" s="1" t="s">
        <v>814</v>
      </c>
      <c r="O12" s="1" t="s">
        <v>806</v>
      </c>
      <c r="P12" s="1" t="s">
        <v>811</v>
      </c>
      <c r="Q12" s="1" t="s">
        <v>811</v>
      </c>
      <c r="R12" s="1" t="s">
        <v>804</v>
      </c>
      <c r="S12" s="1" t="s">
        <v>823</v>
      </c>
      <c r="T12" s="1" t="s">
        <v>811</v>
      </c>
      <c r="U12" s="1" t="s">
        <v>879</v>
      </c>
      <c r="V12" s="1" t="s">
        <v>811</v>
      </c>
      <c r="W12" s="1" t="s">
        <v>811</v>
      </c>
      <c r="X12" s="1" t="s">
        <v>811</v>
      </c>
      <c r="Y12" s="1" t="s">
        <v>804</v>
      </c>
      <c r="Z12" s="1" t="s">
        <v>876</v>
      </c>
      <c r="AA12" s="1" t="s">
        <v>821</v>
      </c>
      <c r="AB12" s="1" t="s">
        <v>811</v>
      </c>
      <c r="AC12" s="1" t="s">
        <v>811</v>
      </c>
      <c r="AD12" s="1" t="s">
        <v>880</v>
      </c>
      <c r="AE12" s="1" t="s">
        <v>811</v>
      </c>
      <c r="AF12" s="1" t="s">
        <v>804</v>
      </c>
      <c r="AG12" s="1" t="s">
        <v>804</v>
      </c>
      <c r="AH12" s="1" t="s">
        <v>808</v>
      </c>
      <c r="AI12" s="501">
        <v>44412.229194178202</v>
      </c>
    </row>
    <row r="13" spans="1:35" x14ac:dyDescent="0.4">
      <c r="A13" s="1" t="s">
        <v>328</v>
      </c>
      <c r="B13" s="285" t="s">
        <v>881</v>
      </c>
      <c r="C13" s="1" t="s">
        <v>848</v>
      </c>
      <c r="D13" s="1" t="s">
        <v>804</v>
      </c>
      <c r="E13" s="1" t="s">
        <v>805</v>
      </c>
      <c r="F13" s="1" t="s">
        <v>882</v>
      </c>
      <c r="G13" s="1" t="s">
        <v>818</v>
      </c>
      <c r="H13" s="1" t="s">
        <v>823</v>
      </c>
      <c r="I13" s="1" t="s">
        <v>808</v>
      </c>
      <c r="J13" s="1" t="s">
        <v>822</v>
      </c>
      <c r="K13" s="1" t="s">
        <v>804</v>
      </c>
      <c r="L13" s="1" t="s">
        <v>806</v>
      </c>
      <c r="M13" s="1" t="s">
        <v>811</v>
      </c>
      <c r="N13" s="1" t="s">
        <v>883</v>
      </c>
      <c r="O13" s="1" t="s">
        <v>884</v>
      </c>
      <c r="P13" s="1" t="s">
        <v>864</v>
      </c>
      <c r="Q13" s="1" t="s">
        <v>815</v>
      </c>
      <c r="R13" s="1" t="s">
        <v>804</v>
      </c>
      <c r="S13" s="1" t="s">
        <v>877</v>
      </c>
      <c r="T13" s="1" t="s">
        <v>885</v>
      </c>
      <c r="U13" s="1" t="s">
        <v>824</v>
      </c>
      <c r="V13" s="1" t="s">
        <v>856</v>
      </c>
      <c r="W13" s="1" t="s">
        <v>866</v>
      </c>
      <c r="X13" s="1" t="s">
        <v>886</v>
      </c>
      <c r="Y13" s="1" t="s">
        <v>804</v>
      </c>
      <c r="Z13" s="1" t="s">
        <v>887</v>
      </c>
      <c r="AA13" s="1" t="s">
        <v>878</v>
      </c>
      <c r="AB13" s="1" t="s">
        <v>856</v>
      </c>
      <c r="AC13" s="1" t="s">
        <v>888</v>
      </c>
      <c r="AD13" s="1" t="s">
        <v>879</v>
      </c>
      <c r="AE13" s="1" t="s">
        <v>889</v>
      </c>
      <c r="AF13" s="1" t="s">
        <v>804</v>
      </c>
      <c r="AG13" s="1" t="s">
        <v>804</v>
      </c>
      <c r="AH13" s="1" t="s">
        <v>862</v>
      </c>
      <c r="AI13" s="501">
        <v>44412.229194178202</v>
      </c>
    </row>
    <row r="14" spans="1:35" x14ac:dyDescent="0.4">
      <c r="A14" s="1" t="s">
        <v>328</v>
      </c>
      <c r="B14" s="285" t="s">
        <v>890</v>
      </c>
      <c r="C14" s="1" t="s">
        <v>811</v>
      </c>
      <c r="D14" s="1" t="s">
        <v>804</v>
      </c>
      <c r="E14" s="1" t="s">
        <v>811</v>
      </c>
      <c r="F14" s="1" t="s">
        <v>811</v>
      </c>
      <c r="G14" s="1" t="s">
        <v>811</v>
      </c>
      <c r="H14" s="1" t="s">
        <v>859</v>
      </c>
      <c r="I14" s="1" t="s">
        <v>811</v>
      </c>
      <c r="J14" s="1" t="s">
        <v>811</v>
      </c>
      <c r="K14" s="1" t="s">
        <v>804</v>
      </c>
      <c r="L14" s="1" t="s">
        <v>811</v>
      </c>
      <c r="M14" s="1" t="s">
        <v>811</v>
      </c>
      <c r="N14" s="1" t="s">
        <v>886</v>
      </c>
      <c r="O14" s="1" t="s">
        <v>819</v>
      </c>
      <c r="P14" s="1" t="s">
        <v>859</v>
      </c>
      <c r="Q14" s="1" t="s">
        <v>816</v>
      </c>
      <c r="R14" s="1" t="s">
        <v>804</v>
      </c>
      <c r="S14" s="1" t="s">
        <v>857</v>
      </c>
      <c r="T14" s="1" t="s">
        <v>891</v>
      </c>
      <c r="U14" s="1" t="s">
        <v>892</v>
      </c>
      <c r="V14" s="1" t="s">
        <v>893</v>
      </c>
      <c r="W14" s="1" t="s">
        <v>844</v>
      </c>
      <c r="X14" s="1" t="s">
        <v>894</v>
      </c>
      <c r="Y14" s="1" t="s">
        <v>804</v>
      </c>
      <c r="Z14" s="1" t="s">
        <v>895</v>
      </c>
      <c r="AA14" s="1" t="s">
        <v>811</v>
      </c>
      <c r="AB14" s="1" t="s">
        <v>896</v>
      </c>
      <c r="AC14" s="1" t="s">
        <v>811</v>
      </c>
      <c r="AD14" s="1" t="s">
        <v>815</v>
      </c>
      <c r="AE14" s="1" t="s">
        <v>808</v>
      </c>
      <c r="AF14" s="1" t="s">
        <v>804</v>
      </c>
      <c r="AG14" s="1" t="s">
        <v>804</v>
      </c>
      <c r="AH14" s="1" t="s">
        <v>897</v>
      </c>
      <c r="AI14" s="501">
        <v>44412.229194178202</v>
      </c>
    </row>
    <row r="15" spans="1:35" x14ac:dyDescent="0.4">
      <c r="A15" s="1" t="s">
        <v>328</v>
      </c>
      <c r="B15" s="285" t="s">
        <v>898</v>
      </c>
      <c r="C15" s="1" t="s">
        <v>804</v>
      </c>
      <c r="D15" s="1" t="s">
        <v>804</v>
      </c>
      <c r="E15" s="1" t="s">
        <v>804</v>
      </c>
      <c r="F15" s="1" t="s">
        <v>804</v>
      </c>
      <c r="G15" s="1" t="s">
        <v>804</v>
      </c>
      <c r="H15" s="1" t="s">
        <v>804</v>
      </c>
      <c r="I15" s="1" t="s">
        <v>804</v>
      </c>
      <c r="J15" s="1" t="s">
        <v>804</v>
      </c>
      <c r="K15" s="1" t="s">
        <v>804</v>
      </c>
      <c r="L15" s="1" t="s">
        <v>804</v>
      </c>
      <c r="M15" s="1" t="s">
        <v>804</v>
      </c>
      <c r="N15" s="1" t="s">
        <v>804</v>
      </c>
      <c r="O15" s="1" t="s">
        <v>804</v>
      </c>
      <c r="P15" s="1" t="s">
        <v>804</v>
      </c>
      <c r="Q15" s="1" t="s">
        <v>804</v>
      </c>
      <c r="R15" s="1" t="s">
        <v>804</v>
      </c>
      <c r="S15" s="1" t="s">
        <v>804</v>
      </c>
      <c r="T15" s="1" t="s">
        <v>804</v>
      </c>
      <c r="U15" s="1" t="s">
        <v>804</v>
      </c>
      <c r="V15" s="1" t="s">
        <v>804</v>
      </c>
      <c r="W15" s="1" t="s">
        <v>804</v>
      </c>
      <c r="X15" s="1" t="s">
        <v>804</v>
      </c>
      <c r="Y15" s="1" t="s">
        <v>804</v>
      </c>
      <c r="Z15" s="1" t="s">
        <v>804</v>
      </c>
      <c r="AA15" s="1" t="s">
        <v>804</v>
      </c>
      <c r="AB15" s="1" t="s">
        <v>804</v>
      </c>
      <c r="AC15" s="1" t="s">
        <v>804</v>
      </c>
      <c r="AD15" s="1" t="s">
        <v>804</v>
      </c>
      <c r="AE15" s="1" t="s">
        <v>804</v>
      </c>
      <c r="AF15" s="1" t="s">
        <v>804</v>
      </c>
      <c r="AG15" s="1" t="s">
        <v>804</v>
      </c>
      <c r="AH15" s="1" t="s">
        <v>804</v>
      </c>
      <c r="AI15" s="501">
        <v>44412.229194178202</v>
      </c>
    </row>
    <row r="16" spans="1:35" x14ac:dyDescent="0.4">
      <c r="A16" s="1" t="s">
        <v>328</v>
      </c>
      <c r="B16" s="285" t="s">
        <v>899</v>
      </c>
      <c r="C16" s="1" t="s">
        <v>885</v>
      </c>
      <c r="D16" s="1" t="s">
        <v>804</v>
      </c>
      <c r="E16" s="1" t="s">
        <v>822</v>
      </c>
      <c r="F16" s="1" t="s">
        <v>809</v>
      </c>
      <c r="G16" s="1" t="s">
        <v>823</v>
      </c>
      <c r="H16" s="1" t="s">
        <v>808</v>
      </c>
      <c r="I16" s="1" t="s">
        <v>873</v>
      </c>
      <c r="J16" s="1" t="s">
        <v>885</v>
      </c>
      <c r="K16" s="1" t="s">
        <v>804</v>
      </c>
      <c r="L16" s="1" t="s">
        <v>810</v>
      </c>
      <c r="M16" s="1" t="s">
        <v>811</v>
      </c>
      <c r="N16" s="1" t="s">
        <v>900</v>
      </c>
      <c r="O16" s="1" t="s">
        <v>803</v>
      </c>
      <c r="P16" s="1" t="s">
        <v>823</v>
      </c>
      <c r="Q16" s="1" t="s">
        <v>805</v>
      </c>
      <c r="R16" s="1" t="s">
        <v>804</v>
      </c>
      <c r="S16" s="1" t="s">
        <v>805</v>
      </c>
      <c r="T16" s="1" t="s">
        <v>873</v>
      </c>
      <c r="U16" s="1" t="s">
        <v>809</v>
      </c>
      <c r="V16" s="1" t="s">
        <v>818</v>
      </c>
      <c r="W16" s="1" t="s">
        <v>824</v>
      </c>
      <c r="X16" s="1" t="s">
        <v>803</v>
      </c>
      <c r="Y16" s="1" t="s">
        <v>804</v>
      </c>
      <c r="Z16" s="1" t="s">
        <v>820</v>
      </c>
      <c r="AA16" s="1" t="s">
        <v>873</v>
      </c>
      <c r="AB16" s="1" t="s">
        <v>808</v>
      </c>
      <c r="AC16" s="1" t="s">
        <v>866</v>
      </c>
      <c r="AD16" s="1" t="s">
        <v>818</v>
      </c>
      <c r="AE16" s="1" t="s">
        <v>856</v>
      </c>
      <c r="AF16" s="1" t="s">
        <v>804</v>
      </c>
      <c r="AG16" s="1" t="s">
        <v>804</v>
      </c>
      <c r="AH16" s="1" t="s">
        <v>809</v>
      </c>
      <c r="AI16" s="501">
        <v>44412.229194178202</v>
      </c>
    </row>
    <row r="17" spans="1:35" x14ac:dyDescent="0.4">
      <c r="A17" s="1" t="s">
        <v>328</v>
      </c>
      <c r="B17" s="275" t="s">
        <v>901</v>
      </c>
      <c r="C17" s="1" t="s">
        <v>804</v>
      </c>
      <c r="D17" s="1" t="s">
        <v>804</v>
      </c>
      <c r="E17" s="1" t="s">
        <v>804</v>
      </c>
      <c r="F17" s="1" t="s">
        <v>804</v>
      </c>
      <c r="G17" s="1" t="s">
        <v>804</v>
      </c>
      <c r="H17" s="1" t="s">
        <v>804</v>
      </c>
      <c r="I17" s="1" t="s">
        <v>804</v>
      </c>
      <c r="J17" s="1" t="s">
        <v>804</v>
      </c>
      <c r="K17" s="1" t="s">
        <v>804</v>
      </c>
      <c r="L17" s="1" t="s">
        <v>804</v>
      </c>
      <c r="M17" s="1" t="s">
        <v>804</v>
      </c>
      <c r="N17" s="1" t="s">
        <v>804</v>
      </c>
      <c r="O17" s="1" t="s">
        <v>804</v>
      </c>
      <c r="P17" s="1" t="s">
        <v>804</v>
      </c>
      <c r="Q17" s="1" t="s">
        <v>804</v>
      </c>
      <c r="R17" s="1" t="s">
        <v>804</v>
      </c>
      <c r="S17" s="1" t="s">
        <v>804</v>
      </c>
      <c r="T17" s="1" t="s">
        <v>804</v>
      </c>
      <c r="U17" s="1" t="s">
        <v>804</v>
      </c>
      <c r="V17" s="1" t="s">
        <v>804</v>
      </c>
      <c r="W17" s="1" t="s">
        <v>804</v>
      </c>
      <c r="X17" s="1" t="s">
        <v>804</v>
      </c>
      <c r="Y17" s="1" t="s">
        <v>804</v>
      </c>
      <c r="Z17" s="1" t="s">
        <v>804</v>
      </c>
      <c r="AA17" s="1" t="s">
        <v>804</v>
      </c>
      <c r="AB17" s="1" t="s">
        <v>804</v>
      </c>
      <c r="AC17" s="1" t="s">
        <v>804</v>
      </c>
      <c r="AD17" s="1" t="s">
        <v>804</v>
      </c>
      <c r="AE17" s="1" t="s">
        <v>804</v>
      </c>
      <c r="AF17" s="1" t="s">
        <v>804</v>
      </c>
      <c r="AG17" s="1" t="s">
        <v>804</v>
      </c>
      <c r="AH17" s="1" t="s">
        <v>804</v>
      </c>
      <c r="AI17" s="501">
        <v>44412.229194178202</v>
      </c>
    </row>
    <row r="18" spans="1:35" x14ac:dyDescent="0.4">
      <c r="A18" s="1" t="s">
        <v>328</v>
      </c>
      <c r="B18" s="275" t="s">
        <v>902</v>
      </c>
      <c r="C18" s="1" t="s">
        <v>804</v>
      </c>
      <c r="D18" s="1" t="s">
        <v>804</v>
      </c>
      <c r="E18" s="1" t="s">
        <v>804</v>
      </c>
      <c r="F18" s="1" t="s">
        <v>804</v>
      </c>
      <c r="G18" s="1" t="s">
        <v>804</v>
      </c>
      <c r="H18" s="1" t="s">
        <v>804</v>
      </c>
      <c r="I18" s="1" t="s">
        <v>804</v>
      </c>
      <c r="J18" s="1" t="s">
        <v>804</v>
      </c>
      <c r="K18" s="1" t="s">
        <v>804</v>
      </c>
      <c r="L18" s="1" t="s">
        <v>804</v>
      </c>
      <c r="M18" s="1" t="s">
        <v>804</v>
      </c>
      <c r="N18" s="1" t="s">
        <v>804</v>
      </c>
      <c r="O18" s="1" t="s">
        <v>804</v>
      </c>
      <c r="P18" s="1" t="s">
        <v>804</v>
      </c>
      <c r="Q18" s="1" t="s">
        <v>804</v>
      </c>
      <c r="R18" s="1" t="s">
        <v>804</v>
      </c>
      <c r="S18" s="1" t="s">
        <v>804</v>
      </c>
      <c r="T18" s="1" t="s">
        <v>804</v>
      </c>
      <c r="U18" s="1" t="s">
        <v>804</v>
      </c>
      <c r="V18" s="1" t="s">
        <v>804</v>
      </c>
      <c r="W18" s="1" t="s">
        <v>804</v>
      </c>
      <c r="X18" s="1" t="s">
        <v>804</v>
      </c>
      <c r="Y18" s="1" t="s">
        <v>804</v>
      </c>
      <c r="Z18" s="1" t="s">
        <v>804</v>
      </c>
      <c r="AA18" s="1" t="s">
        <v>804</v>
      </c>
      <c r="AB18" s="1" t="s">
        <v>804</v>
      </c>
      <c r="AC18" s="1" t="s">
        <v>804</v>
      </c>
      <c r="AD18" s="1" t="s">
        <v>804</v>
      </c>
      <c r="AE18" s="1" t="s">
        <v>804</v>
      </c>
      <c r="AF18" s="1" t="s">
        <v>804</v>
      </c>
      <c r="AG18" s="1" t="s">
        <v>804</v>
      </c>
      <c r="AH18" s="1" t="s">
        <v>804</v>
      </c>
      <c r="AI18" s="501">
        <v>44412.229194178202</v>
      </c>
    </row>
    <row r="19" spans="1:35" x14ac:dyDescent="0.4">
      <c r="A19" s="1" t="s">
        <v>328</v>
      </c>
      <c r="B19" s="275" t="s">
        <v>903</v>
      </c>
      <c r="C19" s="1" t="s">
        <v>804</v>
      </c>
      <c r="D19" s="1" t="s">
        <v>804</v>
      </c>
      <c r="E19" s="1" t="s">
        <v>804</v>
      </c>
      <c r="F19" s="1" t="s">
        <v>804</v>
      </c>
      <c r="G19" s="1" t="s">
        <v>804</v>
      </c>
      <c r="H19" s="1" t="s">
        <v>804</v>
      </c>
      <c r="I19" s="1" t="s">
        <v>804</v>
      </c>
      <c r="J19" s="1" t="s">
        <v>804</v>
      </c>
      <c r="K19" s="1" t="s">
        <v>804</v>
      </c>
      <c r="L19" s="1" t="s">
        <v>804</v>
      </c>
      <c r="M19" s="1" t="s">
        <v>804</v>
      </c>
      <c r="N19" s="1" t="s">
        <v>804</v>
      </c>
      <c r="O19" s="1" t="s">
        <v>804</v>
      </c>
      <c r="P19" s="1" t="s">
        <v>804</v>
      </c>
      <c r="Q19" s="1" t="s">
        <v>804</v>
      </c>
      <c r="R19" s="1" t="s">
        <v>804</v>
      </c>
      <c r="S19" s="1" t="s">
        <v>804</v>
      </c>
      <c r="T19" s="1" t="s">
        <v>804</v>
      </c>
      <c r="U19" s="1" t="s">
        <v>804</v>
      </c>
      <c r="V19" s="1" t="s">
        <v>804</v>
      </c>
      <c r="W19" s="1" t="s">
        <v>804</v>
      </c>
      <c r="X19" s="1" t="s">
        <v>804</v>
      </c>
      <c r="Y19" s="1" t="s">
        <v>804</v>
      </c>
      <c r="Z19" s="1" t="s">
        <v>804</v>
      </c>
      <c r="AA19" s="1" t="s">
        <v>804</v>
      </c>
      <c r="AB19" s="1" t="s">
        <v>804</v>
      </c>
      <c r="AC19" s="1" t="s">
        <v>804</v>
      </c>
      <c r="AD19" s="1" t="s">
        <v>804</v>
      </c>
      <c r="AE19" s="1" t="s">
        <v>804</v>
      </c>
      <c r="AF19" s="1" t="s">
        <v>804</v>
      </c>
      <c r="AG19" s="1" t="s">
        <v>804</v>
      </c>
      <c r="AH19" s="1" t="s">
        <v>804</v>
      </c>
      <c r="AI19" s="501">
        <v>44412.229194178202</v>
      </c>
    </row>
    <row r="20" spans="1:35" x14ac:dyDescent="0.4">
      <c r="A20" s="1" t="s">
        <v>328</v>
      </c>
      <c r="B20" s="275" t="s">
        <v>904</v>
      </c>
      <c r="C20" s="1" t="s">
        <v>804</v>
      </c>
      <c r="D20" s="1" t="s">
        <v>804</v>
      </c>
      <c r="E20" s="1" t="s">
        <v>804</v>
      </c>
      <c r="F20" s="1" t="s">
        <v>804</v>
      </c>
      <c r="G20" s="1" t="s">
        <v>804</v>
      </c>
      <c r="H20" s="1" t="s">
        <v>804</v>
      </c>
      <c r="I20" s="1" t="s">
        <v>804</v>
      </c>
      <c r="J20" s="1" t="s">
        <v>804</v>
      </c>
      <c r="K20" s="1" t="s">
        <v>804</v>
      </c>
      <c r="L20" s="1" t="s">
        <v>804</v>
      </c>
      <c r="M20" s="1" t="s">
        <v>804</v>
      </c>
      <c r="N20" s="1" t="s">
        <v>804</v>
      </c>
      <c r="O20" s="1" t="s">
        <v>804</v>
      </c>
      <c r="P20" s="1" t="s">
        <v>804</v>
      </c>
      <c r="Q20" s="1" t="s">
        <v>804</v>
      </c>
      <c r="R20" s="1" t="s">
        <v>804</v>
      </c>
      <c r="S20" s="1" t="s">
        <v>804</v>
      </c>
      <c r="T20" s="1" t="s">
        <v>804</v>
      </c>
      <c r="U20" s="1" t="s">
        <v>804</v>
      </c>
      <c r="V20" s="1" t="s">
        <v>804</v>
      </c>
      <c r="W20" s="1" t="s">
        <v>804</v>
      </c>
      <c r="X20" s="1" t="s">
        <v>804</v>
      </c>
      <c r="Y20" s="1" t="s">
        <v>804</v>
      </c>
      <c r="Z20" s="1" t="s">
        <v>804</v>
      </c>
      <c r="AA20" s="1" t="s">
        <v>804</v>
      </c>
      <c r="AB20" s="1" t="s">
        <v>804</v>
      </c>
      <c r="AC20" s="1" t="s">
        <v>804</v>
      </c>
      <c r="AD20" s="1" t="s">
        <v>804</v>
      </c>
      <c r="AE20" s="1" t="s">
        <v>804</v>
      </c>
      <c r="AF20" s="1" t="s">
        <v>804</v>
      </c>
      <c r="AG20" s="1" t="s">
        <v>804</v>
      </c>
      <c r="AH20" s="1" t="s">
        <v>804</v>
      </c>
      <c r="AI20" s="501">
        <v>44412.229194178202</v>
      </c>
    </row>
    <row r="21" spans="1:35" x14ac:dyDescent="0.4">
      <c r="A21" s="1" t="s">
        <v>328</v>
      </c>
      <c r="B21" s="275" t="s">
        <v>905</v>
      </c>
      <c r="C21" s="1" t="s">
        <v>811</v>
      </c>
      <c r="D21" s="1" t="s">
        <v>804</v>
      </c>
      <c r="E21" s="1" t="s">
        <v>811</v>
      </c>
      <c r="F21" s="1" t="s">
        <v>811</v>
      </c>
      <c r="G21" s="1" t="s">
        <v>811</v>
      </c>
      <c r="H21" s="1" t="s">
        <v>811</v>
      </c>
      <c r="I21" s="1" t="s">
        <v>811</v>
      </c>
      <c r="J21" s="1" t="s">
        <v>811</v>
      </c>
      <c r="K21" s="1" t="s">
        <v>804</v>
      </c>
      <c r="L21" s="1" t="s">
        <v>811</v>
      </c>
      <c r="M21" s="1" t="s">
        <v>811</v>
      </c>
      <c r="N21" s="1" t="s">
        <v>811</v>
      </c>
      <c r="O21" s="1" t="s">
        <v>811</v>
      </c>
      <c r="P21" s="1" t="s">
        <v>811</v>
      </c>
      <c r="Q21" s="1" t="s">
        <v>811</v>
      </c>
      <c r="R21" s="1" t="s">
        <v>804</v>
      </c>
      <c r="S21" s="1" t="s">
        <v>811</v>
      </c>
      <c r="T21" s="1" t="s">
        <v>811</v>
      </c>
      <c r="U21" s="1" t="s">
        <v>811</v>
      </c>
      <c r="V21" s="1" t="s">
        <v>811</v>
      </c>
      <c r="W21" s="1" t="s">
        <v>811</v>
      </c>
      <c r="X21" s="1" t="s">
        <v>811</v>
      </c>
      <c r="Y21" s="1" t="s">
        <v>804</v>
      </c>
      <c r="Z21" s="1" t="s">
        <v>811</v>
      </c>
      <c r="AA21" s="1" t="s">
        <v>811</v>
      </c>
      <c r="AB21" s="1" t="s">
        <v>811</v>
      </c>
      <c r="AC21" s="1" t="s">
        <v>811</v>
      </c>
      <c r="AD21" s="1" t="s">
        <v>811</v>
      </c>
      <c r="AE21" s="1" t="s">
        <v>811</v>
      </c>
      <c r="AF21" s="1" t="s">
        <v>804</v>
      </c>
      <c r="AG21" s="1" t="s">
        <v>804</v>
      </c>
      <c r="AH21" s="1" t="s">
        <v>811</v>
      </c>
      <c r="AI21" s="501">
        <v>44412.229194178202</v>
      </c>
    </row>
    <row r="22" spans="1:35" x14ac:dyDescent="0.4">
      <c r="A22" s="1" t="s">
        <v>328</v>
      </c>
      <c r="B22" s="275" t="s">
        <v>906</v>
      </c>
      <c r="C22" s="1" t="s">
        <v>804</v>
      </c>
      <c r="D22" s="1" t="s">
        <v>804</v>
      </c>
      <c r="E22" s="1" t="s">
        <v>804</v>
      </c>
      <c r="F22" s="1" t="s">
        <v>804</v>
      </c>
      <c r="G22" s="1" t="s">
        <v>804</v>
      </c>
      <c r="H22" s="1" t="s">
        <v>804</v>
      </c>
      <c r="I22" s="1" t="s">
        <v>804</v>
      </c>
      <c r="J22" s="1" t="s">
        <v>804</v>
      </c>
      <c r="K22" s="1" t="s">
        <v>804</v>
      </c>
      <c r="L22" s="1" t="s">
        <v>804</v>
      </c>
      <c r="M22" s="1" t="s">
        <v>804</v>
      </c>
      <c r="N22" s="1" t="s">
        <v>804</v>
      </c>
      <c r="O22" s="1" t="s">
        <v>804</v>
      </c>
      <c r="P22" s="1" t="s">
        <v>804</v>
      </c>
      <c r="Q22" s="1" t="s">
        <v>804</v>
      </c>
      <c r="R22" s="1" t="s">
        <v>804</v>
      </c>
      <c r="S22" s="1" t="s">
        <v>804</v>
      </c>
      <c r="T22" s="1" t="s">
        <v>804</v>
      </c>
      <c r="U22" s="1" t="s">
        <v>804</v>
      </c>
      <c r="V22" s="1" t="s">
        <v>804</v>
      </c>
      <c r="W22" s="1" t="s">
        <v>804</v>
      </c>
      <c r="X22" s="1" t="s">
        <v>804</v>
      </c>
      <c r="Y22" s="1" t="s">
        <v>804</v>
      </c>
      <c r="Z22" s="1" t="s">
        <v>804</v>
      </c>
      <c r="AA22" s="1" t="s">
        <v>804</v>
      </c>
      <c r="AB22" s="1" t="s">
        <v>804</v>
      </c>
      <c r="AC22" s="1" t="s">
        <v>804</v>
      </c>
      <c r="AD22" s="1" t="s">
        <v>804</v>
      </c>
      <c r="AE22" s="1" t="s">
        <v>804</v>
      </c>
      <c r="AF22" s="1" t="s">
        <v>804</v>
      </c>
      <c r="AG22" s="1" t="s">
        <v>804</v>
      </c>
      <c r="AH22" s="1" t="s">
        <v>804</v>
      </c>
      <c r="AI22" s="501">
        <v>44412.229194178202</v>
      </c>
    </row>
    <row r="23" spans="1:35" x14ac:dyDescent="0.4">
      <c r="A23" s="502" t="s">
        <v>328</v>
      </c>
      <c r="B23" s="275" t="s">
        <v>907</v>
      </c>
      <c r="C23" s="502" t="s">
        <v>908</v>
      </c>
      <c r="D23" s="502" t="s">
        <v>804</v>
      </c>
      <c r="E23" s="502" t="s">
        <v>909</v>
      </c>
      <c r="F23" s="502" t="s">
        <v>910</v>
      </c>
      <c r="G23" s="502" t="s">
        <v>880</v>
      </c>
      <c r="H23" s="502" t="s">
        <v>829</v>
      </c>
      <c r="I23" s="502" t="s">
        <v>886</v>
      </c>
      <c r="J23" s="502" t="s">
        <v>910</v>
      </c>
      <c r="K23" s="502" t="s">
        <v>804</v>
      </c>
      <c r="L23" s="502" t="s">
        <v>910</v>
      </c>
      <c r="M23" s="502" t="s">
        <v>811</v>
      </c>
      <c r="N23" s="502" t="s">
        <v>911</v>
      </c>
      <c r="O23" s="502" t="s">
        <v>912</v>
      </c>
      <c r="P23" s="502" t="s">
        <v>860</v>
      </c>
      <c r="Q23" s="502" t="s">
        <v>913</v>
      </c>
      <c r="R23" s="502" t="s">
        <v>804</v>
      </c>
      <c r="S23" s="502" t="s">
        <v>914</v>
      </c>
      <c r="T23" s="502" t="s">
        <v>896</v>
      </c>
      <c r="U23" s="502" t="s">
        <v>886</v>
      </c>
      <c r="V23" s="502" t="s">
        <v>856</v>
      </c>
      <c r="W23" s="502" t="s">
        <v>866</v>
      </c>
      <c r="X23" s="502" t="s">
        <v>806</v>
      </c>
      <c r="Y23" s="502" t="s">
        <v>804</v>
      </c>
      <c r="Z23" s="502" t="s">
        <v>915</v>
      </c>
      <c r="AA23" s="502" t="s">
        <v>916</v>
      </c>
      <c r="AB23" s="502" t="s">
        <v>917</v>
      </c>
      <c r="AC23" s="502" t="s">
        <v>820</v>
      </c>
      <c r="AD23" s="502" t="s">
        <v>806</v>
      </c>
      <c r="AE23" s="502" t="s">
        <v>864</v>
      </c>
      <c r="AF23" s="502" t="s">
        <v>804</v>
      </c>
      <c r="AG23" s="502" t="s">
        <v>804</v>
      </c>
      <c r="AH23" s="502" t="s">
        <v>861</v>
      </c>
      <c r="AI23" s="501">
        <v>44412.229194178202</v>
      </c>
    </row>
    <row r="24" spans="1:35" x14ac:dyDescent="0.4">
      <c r="B24" s="275"/>
    </row>
    <row r="25" spans="1:35" x14ac:dyDescent="0.4">
      <c r="B25" s="275"/>
    </row>
    <row r="26" spans="1:35" x14ac:dyDescent="0.4">
      <c r="B26" s="275"/>
    </row>
    <row r="27" spans="1:35" x14ac:dyDescent="0.4">
      <c r="B27" s="275"/>
    </row>
    <row r="28" spans="1:35" x14ac:dyDescent="0.4">
      <c r="B28" s="275"/>
    </row>
    <row r="29" spans="1:35" x14ac:dyDescent="0.4">
      <c r="B29" s="275"/>
    </row>
    <row r="30" spans="1:35" x14ac:dyDescent="0.4">
      <c r="B30" s="275"/>
    </row>
    <row r="31" spans="1:35" x14ac:dyDescent="0.4">
      <c r="B31" s="275"/>
    </row>
    <row r="32" spans="1:35" x14ac:dyDescent="0.4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" x14ac:dyDescent="0.4"/>
  <sheetData>
    <row r="1" spans="1:36" x14ac:dyDescent="0.4">
      <c r="A1" s="1" t="s">
        <v>294</v>
      </c>
      <c r="B1" s="1" t="s">
        <v>360</v>
      </c>
      <c r="C1" s="1" t="s">
        <v>918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802</v>
      </c>
    </row>
    <row r="2" spans="1:36" x14ac:dyDescent="0.4">
      <c r="A2" s="1" t="s">
        <v>328</v>
      </c>
      <c r="B2" s="275" t="s">
        <v>363</v>
      </c>
      <c r="C2" s="1" t="s">
        <v>236</v>
      </c>
      <c r="D2" s="1" t="s">
        <v>806</v>
      </c>
      <c r="E2" s="1" t="s">
        <v>804</v>
      </c>
      <c r="F2" s="1" t="s">
        <v>805</v>
      </c>
      <c r="G2" s="1" t="s">
        <v>806</v>
      </c>
      <c r="H2" s="1" t="s">
        <v>808</v>
      </c>
      <c r="I2" s="1" t="s">
        <v>807</v>
      </c>
      <c r="J2" s="1" t="s">
        <v>807</v>
      </c>
      <c r="K2" s="1" t="s">
        <v>805</v>
      </c>
      <c r="L2" s="1" t="s">
        <v>804</v>
      </c>
      <c r="M2" s="1" t="s">
        <v>822</v>
      </c>
      <c r="N2" s="1" t="s">
        <v>811</v>
      </c>
      <c r="O2" s="1" t="s">
        <v>913</v>
      </c>
      <c r="P2" s="1" t="s">
        <v>813</v>
      </c>
      <c r="Q2" s="1" t="s">
        <v>813</v>
      </c>
      <c r="R2" s="1" t="s">
        <v>859</v>
      </c>
      <c r="S2" s="1" t="s">
        <v>804</v>
      </c>
      <c r="T2" s="1" t="s">
        <v>805</v>
      </c>
      <c r="U2" s="1" t="s">
        <v>823</v>
      </c>
      <c r="V2" s="1" t="s">
        <v>808</v>
      </c>
      <c r="W2" s="1" t="s">
        <v>815</v>
      </c>
      <c r="X2" s="1" t="s">
        <v>859</v>
      </c>
      <c r="Y2" s="1" t="s">
        <v>813</v>
      </c>
      <c r="Z2" s="1" t="s">
        <v>804</v>
      </c>
      <c r="AA2" s="1" t="s">
        <v>828</v>
      </c>
      <c r="AB2" s="1" t="s">
        <v>805</v>
      </c>
      <c r="AC2" s="1" t="s">
        <v>814</v>
      </c>
      <c r="AD2" s="1" t="s">
        <v>814</v>
      </c>
      <c r="AE2" s="1" t="s">
        <v>815</v>
      </c>
      <c r="AF2" s="1" t="s">
        <v>816</v>
      </c>
      <c r="AG2" s="1" t="s">
        <v>804</v>
      </c>
      <c r="AH2" s="1" t="s">
        <v>804</v>
      </c>
      <c r="AI2" s="1" t="s">
        <v>813</v>
      </c>
      <c r="AJ2" s="501">
        <v>43056.229596249999</v>
      </c>
    </row>
    <row r="3" spans="1:36" x14ac:dyDescent="0.4">
      <c r="A3" s="1" t="s">
        <v>328</v>
      </c>
      <c r="B3" s="275" t="s">
        <v>363</v>
      </c>
      <c r="C3" s="1" t="s">
        <v>237</v>
      </c>
      <c r="D3" s="1" t="s">
        <v>818</v>
      </c>
      <c r="E3" s="1" t="s">
        <v>804</v>
      </c>
      <c r="F3" s="1" t="s">
        <v>822</v>
      </c>
      <c r="G3" s="1" t="s">
        <v>805</v>
      </c>
      <c r="H3" s="1" t="s">
        <v>821</v>
      </c>
      <c r="I3" s="1" t="s">
        <v>810</v>
      </c>
      <c r="J3" s="1" t="s">
        <v>813</v>
      </c>
      <c r="K3" s="1" t="s">
        <v>818</v>
      </c>
      <c r="L3" s="1" t="s">
        <v>804</v>
      </c>
      <c r="M3" s="1" t="s">
        <v>810</v>
      </c>
      <c r="N3" s="1" t="s">
        <v>811</v>
      </c>
      <c r="O3" s="1" t="s">
        <v>803</v>
      </c>
      <c r="P3" s="1" t="s">
        <v>813</v>
      </c>
      <c r="Q3" s="1" t="s">
        <v>813</v>
      </c>
      <c r="R3" s="1" t="s">
        <v>807</v>
      </c>
      <c r="S3" s="1" t="s">
        <v>804</v>
      </c>
      <c r="T3" s="1" t="s">
        <v>810</v>
      </c>
      <c r="U3" s="1" t="s">
        <v>822</v>
      </c>
      <c r="V3" s="1" t="s">
        <v>810</v>
      </c>
      <c r="W3" s="1" t="s">
        <v>810</v>
      </c>
      <c r="X3" s="1" t="s">
        <v>848</v>
      </c>
      <c r="Y3" s="1" t="s">
        <v>808</v>
      </c>
      <c r="Z3" s="1" t="s">
        <v>804</v>
      </c>
      <c r="AA3" s="1" t="s">
        <v>813</v>
      </c>
      <c r="AB3" s="1" t="s">
        <v>810</v>
      </c>
      <c r="AC3" s="1" t="s">
        <v>814</v>
      </c>
      <c r="AD3" s="1" t="s">
        <v>859</v>
      </c>
      <c r="AE3" s="1" t="s">
        <v>816</v>
      </c>
      <c r="AF3" s="1" t="s">
        <v>816</v>
      </c>
      <c r="AG3" s="1" t="s">
        <v>804</v>
      </c>
      <c r="AH3" s="1" t="s">
        <v>804</v>
      </c>
      <c r="AI3" s="1" t="s">
        <v>813</v>
      </c>
      <c r="AJ3" s="501">
        <v>43056.229596249999</v>
      </c>
    </row>
    <row r="4" spans="1:36" x14ac:dyDescent="0.4">
      <c r="A4" s="1" t="s">
        <v>328</v>
      </c>
      <c r="B4" s="275" t="s">
        <v>363</v>
      </c>
      <c r="C4" s="1" t="s">
        <v>919</v>
      </c>
      <c r="D4" s="1" t="s">
        <v>848</v>
      </c>
      <c r="E4" s="1" t="s">
        <v>804</v>
      </c>
      <c r="F4" s="1" t="s">
        <v>828</v>
      </c>
      <c r="G4" s="1" t="s">
        <v>816</v>
      </c>
      <c r="H4" s="1" t="s">
        <v>816</v>
      </c>
      <c r="I4" s="1" t="s">
        <v>920</v>
      </c>
      <c r="J4" s="1" t="s">
        <v>849</v>
      </c>
      <c r="K4" s="1" t="s">
        <v>847</v>
      </c>
      <c r="L4" s="1" t="s">
        <v>804</v>
      </c>
      <c r="M4" s="1" t="s">
        <v>921</v>
      </c>
      <c r="N4" s="1" t="s">
        <v>811</v>
      </c>
      <c r="O4" s="1" t="s">
        <v>820</v>
      </c>
      <c r="P4" s="1" t="s">
        <v>849</v>
      </c>
      <c r="Q4" s="1" t="s">
        <v>849</v>
      </c>
      <c r="R4" s="1" t="s">
        <v>921</v>
      </c>
      <c r="S4" s="1" t="s">
        <v>804</v>
      </c>
      <c r="T4" s="1" t="s">
        <v>847</v>
      </c>
      <c r="U4" s="1" t="s">
        <v>921</v>
      </c>
      <c r="V4" s="1" t="s">
        <v>855</v>
      </c>
      <c r="W4" s="1" t="s">
        <v>855</v>
      </c>
      <c r="X4" s="1" t="s">
        <v>921</v>
      </c>
      <c r="Y4" s="1" t="s">
        <v>859</v>
      </c>
      <c r="Z4" s="1" t="s">
        <v>804</v>
      </c>
      <c r="AA4" s="1" t="s">
        <v>855</v>
      </c>
      <c r="AB4" s="1" t="s">
        <v>847</v>
      </c>
      <c r="AC4" s="1" t="s">
        <v>855</v>
      </c>
      <c r="AD4" s="1" t="s">
        <v>850</v>
      </c>
      <c r="AE4" s="1" t="s">
        <v>855</v>
      </c>
      <c r="AF4" s="1" t="s">
        <v>853</v>
      </c>
      <c r="AG4" s="1" t="s">
        <v>804</v>
      </c>
      <c r="AH4" s="1" t="s">
        <v>804</v>
      </c>
      <c r="AI4" s="1" t="s">
        <v>828</v>
      </c>
      <c r="AJ4" s="501">
        <v>43056.229596249999</v>
      </c>
    </row>
    <row r="5" spans="1:36" x14ac:dyDescent="0.4">
      <c r="A5" s="1" t="s">
        <v>328</v>
      </c>
      <c r="B5" s="275" t="s">
        <v>363</v>
      </c>
      <c r="C5" s="1" t="s">
        <v>922</v>
      </c>
      <c r="D5" s="1" t="s">
        <v>823</v>
      </c>
      <c r="E5" s="1" t="s">
        <v>804</v>
      </c>
      <c r="F5" s="1" t="s">
        <v>822</v>
      </c>
      <c r="G5" s="1" t="s">
        <v>805</v>
      </c>
      <c r="H5" s="1" t="s">
        <v>805</v>
      </c>
      <c r="I5" s="1" t="s">
        <v>805</v>
      </c>
      <c r="J5" s="1" t="s">
        <v>805</v>
      </c>
      <c r="K5" s="1" t="s">
        <v>806</v>
      </c>
      <c r="L5" s="1" t="s">
        <v>804</v>
      </c>
      <c r="M5" s="1" t="s">
        <v>815</v>
      </c>
      <c r="N5" s="1" t="s">
        <v>811</v>
      </c>
      <c r="O5" s="1" t="s">
        <v>824</v>
      </c>
      <c r="P5" s="1" t="s">
        <v>822</v>
      </c>
      <c r="Q5" s="1" t="s">
        <v>822</v>
      </c>
      <c r="R5" s="1" t="s">
        <v>810</v>
      </c>
      <c r="S5" s="1" t="s">
        <v>804</v>
      </c>
      <c r="T5" s="1" t="s">
        <v>810</v>
      </c>
      <c r="U5" s="1" t="s">
        <v>813</v>
      </c>
      <c r="V5" s="1" t="s">
        <v>810</v>
      </c>
      <c r="W5" s="1" t="s">
        <v>815</v>
      </c>
      <c r="X5" s="1" t="s">
        <v>816</v>
      </c>
      <c r="Y5" s="1" t="s">
        <v>813</v>
      </c>
      <c r="Z5" s="1" t="s">
        <v>804</v>
      </c>
      <c r="AA5" s="1" t="s">
        <v>816</v>
      </c>
      <c r="AB5" s="1" t="s">
        <v>810</v>
      </c>
      <c r="AC5" s="1" t="s">
        <v>859</v>
      </c>
      <c r="AD5" s="1" t="s">
        <v>816</v>
      </c>
      <c r="AE5" s="1" t="s">
        <v>859</v>
      </c>
      <c r="AF5" s="1" t="s">
        <v>847</v>
      </c>
      <c r="AG5" s="1" t="s">
        <v>804</v>
      </c>
      <c r="AH5" s="1" t="s">
        <v>804</v>
      </c>
      <c r="AI5" s="1" t="s">
        <v>810</v>
      </c>
      <c r="AJ5" s="501">
        <v>43056.229596249999</v>
      </c>
    </row>
    <row r="6" spans="1:36" x14ac:dyDescent="0.4">
      <c r="A6" s="1" t="s">
        <v>328</v>
      </c>
      <c r="B6" s="275" t="s">
        <v>397</v>
      </c>
      <c r="C6" s="1" t="s">
        <v>922</v>
      </c>
      <c r="D6" s="1" t="s">
        <v>883</v>
      </c>
      <c r="E6" s="1" t="s">
        <v>804</v>
      </c>
      <c r="F6" s="1" t="s">
        <v>859</v>
      </c>
      <c r="G6" s="1" t="s">
        <v>815</v>
      </c>
      <c r="H6" s="1" t="s">
        <v>805</v>
      </c>
      <c r="I6" s="1" t="s">
        <v>859</v>
      </c>
      <c r="J6" s="1" t="s">
        <v>821</v>
      </c>
      <c r="K6" s="1" t="s">
        <v>900</v>
      </c>
      <c r="L6" s="1" t="s">
        <v>804</v>
      </c>
      <c r="M6" s="1" t="s">
        <v>816</v>
      </c>
      <c r="N6" s="1" t="s">
        <v>811</v>
      </c>
      <c r="O6" s="1" t="s">
        <v>823</v>
      </c>
      <c r="P6" s="1" t="s">
        <v>814</v>
      </c>
      <c r="Q6" s="1" t="s">
        <v>810</v>
      </c>
      <c r="R6" s="1" t="s">
        <v>814</v>
      </c>
      <c r="S6" s="1" t="s">
        <v>804</v>
      </c>
      <c r="T6" s="1" t="s">
        <v>816</v>
      </c>
      <c r="U6" s="1" t="s">
        <v>859</v>
      </c>
      <c r="V6" s="1" t="s">
        <v>816</v>
      </c>
      <c r="W6" s="1" t="s">
        <v>816</v>
      </c>
      <c r="X6" s="1" t="s">
        <v>810</v>
      </c>
      <c r="Y6" s="1" t="s">
        <v>921</v>
      </c>
      <c r="Z6" s="1" t="s">
        <v>804</v>
      </c>
      <c r="AA6" s="1" t="s">
        <v>847</v>
      </c>
      <c r="AB6" s="1" t="s">
        <v>814</v>
      </c>
      <c r="AC6" s="1" t="s">
        <v>814</v>
      </c>
      <c r="AD6" s="1" t="s">
        <v>810</v>
      </c>
      <c r="AE6" s="1" t="s">
        <v>816</v>
      </c>
      <c r="AF6" s="1" t="s">
        <v>806</v>
      </c>
      <c r="AG6" s="1" t="s">
        <v>804</v>
      </c>
      <c r="AH6" s="1" t="s">
        <v>804</v>
      </c>
      <c r="AI6" s="1" t="s">
        <v>815</v>
      </c>
      <c r="AJ6" s="501">
        <v>43056.229596249999</v>
      </c>
    </row>
    <row r="7" spans="1:36" x14ac:dyDescent="0.4">
      <c r="A7" s="1" t="s">
        <v>328</v>
      </c>
      <c r="B7" s="275" t="s">
        <v>426</v>
      </c>
      <c r="C7" s="1" t="s">
        <v>922</v>
      </c>
      <c r="D7" s="1" t="s">
        <v>811</v>
      </c>
      <c r="E7" s="1" t="s">
        <v>804</v>
      </c>
      <c r="F7" s="1" t="s">
        <v>811</v>
      </c>
      <c r="G7" s="1" t="s">
        <v>811</v>
      </c>
      <c r="H7" s="1" t="s">
        <v>811</v>
      </c>
      <c r="I7" s="1" t="s">
        <v>811</v>
      </c>
      <c r="J7" s="1" t="s">
        <v>811</v>
      </c>
      <c r="K7" s="1" t="s">
        <v>811</v>
      </c>
      <c r="L7" s="1" t="s">
        <v>804</v>
      </c>
      <c r="M7" s="1" t="s">
        <v>811</v>
      </c>
      <c r="N7" s="1" t="s">
        <v>811</v>
      </c>
      <c r="O7" s="1" t="s">
        <v>811</v>
      </c>
      <c r="P7" s="1" t="s">
        <v>811</v>
      </c>
      <c r="Q7" s="1" t="s">
        <v>811</v>
      </c>
      <c r="R7" s="1" t="s">
        <v>811</v>
      </c>
      <c r="S7" s="1" t="s">
        <v>804</v>
      </c>
      <c r="T7" s="1" t="s">
        <v>811</v>
      </c>
      <c r="U7" s="1" t="s">
        <v>811</v>
      </c>
      <c r="V7" s="1" t="s">
        <v>811</v>
      </c>
      <c r="W7" s="1" t="s">
        <v>811</v>
      </c>
      <c r="X7" s="1" t="s">
        <v>811</v>
      </c>
      <c r="Y7" s="1" t="s">
        <v>811</v>
      </c>
      <c r="Z7" s="1" t="s">
        <v>804</v>
      </c>
      <c r="AA7" s="1" t="s">
        <v>811</v>
      </c>
      <c r="AB7" s="1" t="s">
        <v>811</v>
      </c>
      <c r="AC7" s="1" t="s">
        <v>811</v>
      </c>
      <c r="AD7" s="1" t="s">
        <v>811</v>
      </c>
      <c r="AE7" s="1" t="s">
        <v>811</v>
      </c>
      <c r="AF7" s="1" t="s">
        <v>811</v>
      </c>
      <c r="AG7" s="1" t="s">
        <v>804</v>
      </c>
      <c r="AH7" s="1" t="s">
        <v>804</v>
      </c>
      <c r="AI7" s="1" t="s">
        <v>811</v>
      </c>
      <c r="AJ7" s="501">
        <v>43056.229596249999</v>
      </c>
    </row>
    <row r="8" spans="1:36" x14ac:dyDescent="0.4">
      <c r="A8" s="1" t="s">
        <v>328</v>
      </c>
      <c r="B8" s="275" t="s">
        <v>453</v>
      </c>
      <c r="C8" s="1" t="s">
        <v>922</v>
      </c>
      <c r="D8" s="1" t="s">
        <v>923</v>
      </c>
      <c r="E8" s="1" t="s">
        <v>804</v>
      </c>
      <c r="F8" s="1" t="s">
        <v>924</v>
      </c>
      <c r="G8" s="1" t="s">
        <v>827</v>
      </c>
      <c r="H8" s="1" t="s">
        <v>832</v>
      </c>
      <c r="I8" s="1" t="s">
        <v>925</v>
      </c>
      <c r="J8" s="1" t="s">
        <v>811</v>
      </c>
      <c r="K8" s="1" t="s">
        <v>811</v>
      </c>
      <c r="L8" s="1" t="s">
        <v>804</v>
      </c>
      <c r="M8" s="1" t="s">
        <v>926</v>
      </c>
      <c r="N8" s="1" t="s">
        <v>811</v>
      </c>
      <c r="O8" s="1" t="s">
        <v>844</v>
      </c>
      <c r="P8" s="1" t="s">
        <v>832</v>
      </c>
      <c r="Q8" s="1" t="s">
        <v>829</v>
      </c>
      <c r="R8" s="1" t="s">
        <v>927</v>
      </c>
      <c r="S8" s="1" t="s">
        <v>804</v>
      </c>
      <c r="T8" s="1" t="s">
        <v>835</v>
      </c>
      <c r="U8" s="1" t="s">
        <v>928</v>
      </c>
      <c r="V8" s="1" t="s">
        <v>923</v>
      </c>
      <c r="W8" s="1" t="s">
        <v>929</v>
      </c>
      <c r="X8" s="1" t="s">
        <v>925</v>
      </c>
      <c r="Y8" s="1" t="s">
        <v>831</v>
      </c>
      <c r="Z8" s="1" t="s">
        <v>804</v>
      </c>
      <c r="AA8" s="1" t="s">
        <v>841</v>
      </c>
      <c r="AB8" s="1" t="s">
        <v>833</v>
      </c>
      <c r="AC8" s="1" t="s">
        <v>842</v>
      </c>
      <c r="AD8" s="1" t="s">
        <v>870</v>
      </c>
      <c r="AE8" s="1" t="s">
        <v>930</v>
      </c>
      <c r="AF8" s="1" t="s">
        <v>845</v>
      </c>
      <c r="AG8" s="1" t="s">
        <v>804</v>
      </c>
      <c r="AH8" s="1" t="s">
        <v>804</v>
      </c>
      <c r="AI8" s="1" t="s">
        <v>931</v>
      </c>
      <c r="AJ8" s="501">
        <v>43056.229596249999</v>
      </c>
    </row>
    <row r="9" spans="1:36" x14ac:dyDescent="0.4">
      <c r="A9" s="1" t="s">
        <v>328</v>
      </c>
      <c r="B9" s="275" t="s">
        <v>480</v>
      </c>
      <c r="C9" s="1" t="s">
        <v>922</v>
      </c>
      <c r="D9" s="1" t="s">
        <v>847</v>
      </c>
      <c r="E9" s="1" t="s">
        <v>804</v>
      </c>
      <c r="F9" s="1" t="s">
        <v>828</v>
      </c>
      <c r="G9" s="1" t="s">
        <v>847</v>
      </c>
      <c r="H9" s="1" t="s">
        <v>815</v>
      </c>
      <c r="I9" s="1" t="s">
        <v>849</v>
      </c>
      <c r="J9" s="1" t="s">
        <v>850</v>
      </c>
      <c r="K9" s="1" t="s">
        <v>851</v>
      </c>
      <c r="L9" s="1" t="s">
        <v>804</v>
      </c>
      <c r="M9" s="1" t="s">
        <v>828</v>
      </c>
      <c r="N9" s="1" t="s">
        <v>811</v>
      </c>
      <c r="O9" s="1" t="s">
        <v>814</v>
      </c>
      <c r="P9" s="1" t="s">
        <v>847</v>
      </c>
      <c r="Q9" s="1" t="s">
        <v>828</v>
      </c>
      <c r="R9" s="1" t="s">
        <v>847</v>
      </c>
      <c r="S9" s="1" t="s">
        <v>804</v>
      </c>
      <c r="T9" s="1" t="s">
        <v>816</v>
      </c>
      <c r="U9" s="1" t="s">
        <v>849</v>
      </c>
      <c r="V9" s="1" t="s">
        <v>850</v>
      </c>
      <c r="W9" s="1" t="s">
        <v>852</v>
      </c>
      <c r="X9" s="1" t="s">
        <v>852</v>
      </c>
      <c r="Y9" s="1" t="s">
        <v>852</v>
      </c>
      <c r="Z9" s="1" t="s">
        <v>804</v>
      </c>
      <c r="AA9" s="1" t="s">
        <v>851</v>
      </c>
      <c r="AB9" s="1" t="s">
        <v>851</v>
      </c>
      <c r="AC9" s="1" t="s">
        <v>853</v>
      </c>
      <c r="AD9" s="1" t="s">
        <v>852</v>
      </c>
      <c r="AE9" s="1" t="s">
        <v>854</v>
      </c>
      <c r="AF9" s="1" t="s">
        <v>852</v>
      </c>
      <c r="AG9" s="1" t="s">
        <v>804</v>
      </c>
      <c r="AH9" s="1" t="s">
        <v>804</v>
      </c>
      <c r="AI9" s="1" t="s">
        <v>849</v>
      </c>
      <c r="AJ9" s="501">
        <v>43056.229596249999</v>
      </c>
    </row>
    <row r="10" spans="1:36" x14ac:dyDescent="0.4">
      <c r="A10" s="1" t="s">
        <v>328</v>
      </c>
      <c r="B10" s="275" t="s">
        <v>511</v>
      </c>
      <c r="C10" s="1" t="s">
        <v>922</v>
      </c>
      <c r="D10" s="1" t="s">
        <v>804</v>
      </c>
      <c r="E10" s="1" t="s">
        <v>804</v>
      </c>
      <c r="F10" s="1" t="s">
        <v>804</v>
      </c>
      <c r="G10" s="1" t="s">
        <v>804</v>
      </c>
      <c r="H10" s="1" t="s">
        <v>804</v>
      </c>
      <c r="I10" s="1" t="s">
        <v>804</v>
      </c>
      <c r="J10" s="1" t="s">
        <v>804</v>
      </c>
      <c r="K10" s="1" t="s">
        <v>804</v>
      </c>
      <c r="L10" s="1" t="s">
        <v>804</v>
      </c>
      <c r="M10" s="1" t="s">
        <v>804</v>
      </c>
      <c r="N10" s="1" t="s">
        <v>804</v>
      </c>
      <c r="O10" s="1" t="s">
        <v>804</v>
      </c>
      <c r="P10" s="1" t="s">
        <v>804</v>
      </c>
      <c r="Q10" s="1" t="s">
        <v>804</v>
      </c>
      <c r="R10" s="1" t="s">
        <v>804</v>
      </c>
      <c r="S10" s="1" t="s">
        <v>804</v>
      </c>
      <c r="T10" s="1" t="s">
        <v>804</v>
      </c>
      <c r="U10" s="1" t="s">
        <v>804</v>
      </c>
      <c r="V10" s="1" t="s">
        <v>804</v>
      </c>
      <c r="W10" s="1" t="s">
        <v>804</v>
      </c>
      <c r="X10" s="1" t="s">
        <v>804</v>
      </c>
      <c r="Y10" s="1" t="s">
        <v>804</v>
      </c>
      <c r="Z10" s="1" t="s">
        <v>804</v>
      </c>
      <c r="AA10" s="1" t="s">
        <v>804</v>
      </c>
      <c r="AB10" s="1" t="s">
        <v>804</v>
      </c>
      <c r="AC10" s="1" t="s">
        <v>804</v>
      </c>
      <c r="AD10" s="1" t="s">
        <v>804</v>
      </c>
      <c r="AE10" s="1" t="s">
        <v>804</v>
      </c>
      <c r="AF10" s="1" t="s">
        <v>804</v>
      </c>
      <c r="AG10" s="1" t="s">
        <v>804</v>
      </c>
      <c r="AH10" s="1" t="s">
        <v>804</v>
      </c>
      <c r="AI10" s="1" t="s">
        <v>804</v>
      </c>
      <c r="AJ10" s="501">
        <v>43056.229596249999</v>
      </c>
    </row>
    <row r="11" spans="1:36" x14ac:dyDescent="0.4">
      <c r="A11" s="1" t="s">
        <v>328</v>
      </c>
      <c r="B11" s="275" t="s">
        <v>512</v>
      </c>
      <c r="C11" s="1" t="s">
        <v>922</v>
      </c>
      <c r="D11" s="1" t="s">
        <v>856</v>
      </c>
      <c r="E11" s="1" t="s">
        <v>804</v>
      </c>
      <c r="F11" s="1" t="s">
        <v>857</v>
      </c>
      <c r="G11" s="1" t="s">
        <v>932</v>
      </c>
      <c r="H11" s="1" t="s">
        <v>809</v>
      </c>
      <c r="I11" s="1" t="s">
        <v>813</v>
      </c>
      <c r="J11" s="1" t="s">
        <v>859</v>
      </c>
      <c r="K11" s="1" t="s">
        <v>860</v>
      </c>
      <c r="L11" s="1" t="s">
        <v>804</v>
      </c>
      <c r="M11" s="1" t="s">
        <v>803</v>
      </c>
      <c r="N11" s="1" t="s">
        <v>811</v>
      </c>
      <c r="O11" s="1" t="s">
        <v>861</v>
      </c>
      <c r="P11" s="1" t="s">
        <v>862</v>
      </c>
      <c r="Q11" s="1" t="s">
        <v>814</v>
      </c>
      <c r="R11" s="1" t="s">
        <v>812</v>
      </c>
      <c r="S11" s="1" t="s">
        <v>804</v>
      </c>
      <c r="T11" s="1" t="s">
        <v>814</v>
      </c>
      <c r="U11" s="1" t="s">
        <v>933</v>
      </c>
      <c r="V11" s="1" t="s">
        <v>814</v>
      </c>
      <c r="W11" s="1" t="s">
        <v>808</v>
      </c>
      <c r="X11" s="1" t="s">
        <v>828</v>
      </c>
      <c r="Y11" s="1" t="s">
        <v>864</v>
      </c>
      <c r="Z11" s="1" t="s">
        <v>804</v>
      </c>
      <c r="AA11" s="1" t="s">
        <v>865</v>
      </c>
      <c r="AB11" s="1" t="s">
        <v>850</v>
      </c>
      <c r="AC11" s="1" t="s">
        <v>848</v>
      </c>
      <c r="AD11" s="1" t="s">
        <v>828</v>
      </c>
      <c r="AE11" s="1" t="s">
        <v>850</v>
      </c>
      <c r="AF11" s="1" t="s">
        <v>851</v>
      </c>
      <c r="AG11" s="1" t="s">
        <v>804</v>
      </c>
      <c r="AH11" s="1" t="s">
        <v>804</v>
      </c>
      <c r="AI11" s="1" t="s">
        <v>866</v>
      </c>
      <c r="AJ11" s="501">
        <v>43056.229596249999</v>
      </c>
    </row>
    <row r="12" spans="1:36" x14ac:dyDescent="0.4">
      <c r="A12" s="1" t="s">
        <v>328</v>
      </c>
      <c r="B12" s="275" t="s">
        <v>874</v>
      </c>
      <c r="C12" s="1" t="s">
        <v>922</v>
      </c>
      <c r="D12" s="1" t="s">
        <v>811</v>
      </c>
      <c r="E12" s="1" t="s">
        <v>804</v>
      </c>
      <c r="F12" s="1" t="s">
        <v>811</v>
      </c>
      <c r="G12" s="1" t="s">
        <v>811</v>
      </c>
      <c r="H12" s="1" t="s">
        <v>811</v>
      </c>
      <c r="I12" s="1" t="s">
        <v>811</v>
      </c>
      <c r="J12" s="1" t="s">
        <v>811</v>
      </c>
      <c r="K12" s="1" t="s">
        <v>811</v>
      </c>
      <c r="L12" s="1" t="s">
        <v>804</v>
      </c>
      <c r="M12" s="1" t="s">
        <v>811</v>
      </c>
      <c r="N12" s="1" t="s">
        <v>811</v>
      </c>
      <c r="O12" s="1" t="s">
        <v>811</v>
      </c>
      <c r="P12" s="1" t="s">
        <v>811</v>
      </c>
      <c r="Q12" s="1" t="s">
        <v>811</v>
      </c>
      <c r="R12" s="1" t="s">
        <v>811</v>
      </c>
      <c r="S12" s="1" t="s">
        <v>804</v>
      </c>
      <c r="T12" s="1" t="s">
        <v>811</v>
      </c>
      <c r="U12" s="1" t="s">
        <v>811</v>
      </c>
      <c r="V12" s="1" t="s">
        <v>811</v>
      </c>
      <c r="W12" s="1" t="s">
        <v>811</v>
      </c>
      <c r="X12" s="1" t="s">
        <v>811</v>
      </c>
      <c r="Y12" s="1" t="s">
        <v>811</v>
      </c>
      <c r="Z12" s="1" t="s">
        <v>804</v>
      </c>
      <c r="AA12" s="1" t="s">
        <v>811</v>
      </c>
      <c r="AB12" s="1" t="s">
        <v>811</v>
      </c>
      <c r="AC12" s="1" t="s">
        <v>811</v>
      </c>
      <c r="AD12" s="1" t="s">
        <v>811</v>
      </c>
      <c r="AE12" s="1" t="s">
        <v>811</v>
      </c>
      <c r="AF12" s="1" t="s">
        <v>811</v>
      </c>
      <c r="AG12" s="1" t="s">
        <v>804</v>
      </c>
      <c r="AH12" s="1" t="s">
        <v>804</v>
      </c>
      <c r="AI12" s="1" t="s">
        <v>811</v>
      </c>
      <c r="AJ12" s="501">
        <v>43056.229596249999</v>
      </c>
    </row>
    <row r="13" spans="1:36" x14ac:dyDescent="0.4">
      <c r="A13" s="1" t="s">
        <v>328</v>
      </c>
      <c r="B13" s="275" t="s">
        <v>875</v>
      </c>
      <c r="C13" s="1" t="s">
        <v>922</v>
      </c>
      <c r="D13" s="1" t="s">
        <v>811</v>
      </c>
      <c r="E13" s="1" t="s">
        <v>804</v>
      </c>
      <c r="F13" s="1" t="s">
        <v>811</v>
      </c>
      <c r="G13" s="1" t="s">
        <v>811</v>
      </c>
      <c r="H13" s="1" t="s">
        <v>811</v>
      </c>
      <c r="I13" s="1" t="s">
        <v>913</v>
      </c>
      <c r="J13" s="1" t="s">
        <v>877</v>
      </c>
      <c r="K13" s="1" t="s">
        <v>878</v>
      </c>
      <c r="L13" s="1" t="s">
        <v>804</v>
      </c>
      <c r="M13" s="1" t="s">
        <v>811</v>
      </c>
      <c r="N13" s="1" t="s">
        <v>811</v>
      </c>
      <c r="O13" s="1" t="s">
        <v>814</v>
      </c>
      <c r="P13" s="1" t="s">
        <v>811</v>
      </c>
      <c r="Q13" s="1" t="s">
        <v>811</v>
      </c>
      <c r="R13" s="1" t="s">
        <v>811</v>
      </c>
      <c r="S13" s="1" t="s">
        <v>804</v>
      </c>
      <c r="T13" s="1" t="s">
        <v>807</v>
      </c>
      <c r="U13" s="1" t="s">
        <v>811</v>
      </c>
      <c r="V13" s="1" t="s">
        <v>888</v>
      </c>
      <c r="W13" s="1" t="s">
        <v>811</v>
      </c>
      <c r="X13" s="1" t="s">
        <v>811</v>
      </c>
      <c r="Y13" s="1" t="s">
        <v>811</v>
      </c>
      <c r="Z13" s="1" t="s">
        <v>804</v>
      </c>
      <c r="AA13" s="1" t="s">
        <v>841</v>
      </c>
      <c r="AB13" s="1" t="s">
        <v>821</v>
      </c>
      <c r="AC13" s="1" t="s">
        <v>811</v>
      </c>
      <c r="AD13" s="1" t="s">
        <v>811</v>
      </c>
      <c r="AE13" s="1" t="s">
        <v>811</v>
      </c>
      <c r="AF13" s="1" t="s">
        <v>811</v>
      </c>
      <c r="AG13" s="1" t="s">
        <v>804</v>
      </c>
      <c r="AH13" s="1" t="s">
        <v>804</v>
      </c>
      <c r="AI13" s="1" t="s">
        <v>816</v>
      </c>
      <c r="AJ13" s="501">
        <v>43056.229596249999</v>
      </c>
    </row>
    <row r="14" spans="1:36" x14ac:dyDescent="0.4">
      <c r="A14" s="1" t="s">
        <v>328</v>
      </c>
      <c r="B14" s="275" t="s">
        <v>881</v>
      </c>
      <c r="C14" s="1" t="s">
        <v>922</v>
      </c>
      <c r="D14" s="1" t="s">
        <v>920</v>
      </c>
      <c r="E14" s="1" t="s">
        <v>804</v>
      </c>
      <c r="F14" s="1" t="s">
        <v>810</v>
      </c>
      <c r="G14" s="1" t="s">
        <v>882</v>
      </c>
      <c r="H14" s="1" t="s">
        <v>809</v>
      </c>
      <c r="I14" s="1" t="s">
        <v>821</v>
      </c>
      <c r="J14" s="1" t="s">
        <v>815</v>
      </c>
      <c r="K14" s="1" t="s">
        <v>822</v>
      </c>
      <c r="L14" s="1" t="s">
        <v>804</v>
      </c>
      <c r="M14" s="1" t="s">
        <v>808</v>
      </c>
      <c r="N14" s="1" t="s">
        <v>811</v>
      </c>
      <c r="O14" s="1" t="s">
        <v>912</v>
      </c>
      <c r="P14" s="1" t="s">
        <v>917</v>
      </c>
      <c r="Q14" s="1" t="s">
        <v>873</v>
      </c>
      <c r="R14" s="1" t="s">
        <v>816</v>
      </c>
      <c r="S14" s="1" t="s">
        <v>804</v>
      </c>
      <c r="T14" s="1" t="s">
        <v>877</v>
      </c>
      <c r="U14" s="1" t="s">
        <v>803</v>
      </c>
      <c r="V14" s="1" t="s">
        <v>824</v>
      </c>
      <c r="W14" s="1" t="s">
        <v>885</v>
      </c>
      <c r="X14" s="1" t="s">
        <v>806</v>
      </c>
      <c r="Y14" s="1" t="s">
        <v>817</v>
      </c>
      <c r="Z14" s="1" t="s">
        <v>804</v>
      </c>
      <c r="AA14" s="1" t="s">
        <v>914</v>
      </c>
      <c r="AB14" s="1" t="s">
        <v>896</v>
      </c>
      <c r="AC14" s="1" t="s">
        <v>900</v>
      </c>
      <c r="AD14" s="1" t="s">
        <v>860</v>
      </c>
      <c r="AE14" s="1" t="s">
        <v>864</v>
      </c>
      <c r="AF14" s="1" t="s">
        <v>897</v>
      </c>
      <c r="AG14" s="1" t="s">
        <v>804</v>
      </c>
      <c r="AH14" s="1" t="s">
        <v>804</v>
      </c>
      <c r="AI14" s="1" t="s">
        <v>882</v>
      </c>
      <c r="AJ14" s="501">
        <v>43056.229596249999</v>
      </c>
    </row>
    <row r="15" spans="1:36" x14ac:dyDescent="0.4">
      <c r="A15" s="1" t="s">
        <v>328</v>
      </c>
      <c r="B15" s="275" t="s">
        <v>890</v>
      </c>
      <c r="C15" s="1" t="s">
        <v>922</v>
      </c>
      <c r="D15" s="1" t="s">
        <v>811</v>
      </c>
      <c r="E15" s="1" t="s">
        <v>804</v>
      </c>
      <c r="F15" s="1" t="s">
        <v>811</v>
      </c>
      <c r="G15" s="1" t="s">
        <v>811</v>
      </c>
      <c r="H15" s="1" t="s">
        <v>811</v>
      </c>
      <c r="I15" s="1" t="s">
        <v>859</v>
      </c>
      <c r="J15" s="1" t="s">
        <v>811</v>
      </c>
      <c r="K15" s="1" t="s">
        <v>811</v>
      </c>
      <c r="L15" s="1" t="s">
        <v>804</v>
      </c>
      <c r="M15" s="1" t="s">
        <v>811</v>
      </c>
      <c r="N15" s="1" t="s">
        <v>811</v>
      </c>
      <c r="O15" s="1" t="s">
        <v>886</v>
      </c>
      <c r="P15" s="1" t="s">
        <v>819</v>
      </c>
      <c r="Q15" s="1" t="s">
        <v>859</v>
      </c>
      <c r="R15" s="1" t="s">
        <v>816</v>
      </c>
      <c r="S15" s="1" t="s">
        <v>804</v>
      </c>
      <c r="T15" s="1" t="s">
        <v>912</v>
      </c>
      <c r="U15" s="1" t="s">
        <v>842</v>
      </c>
      <c r="V15" s="1" t="s">
        <v>892</v>
      </c>
      <c r="W15" s="1" t="s">
        <v>893</v>
      </c>
      <c r="X15" s="1" t="s">
        <v>844</v>
      </c>
      <c r="Y15" s="1" t="s">
        <v>934</v>
      </c>
      <c r="Z15" s="1" t="s">
        <v>804</v>
      </c>
      <c r="AA15" s="1" t="s">
        <v>895</v>
      </c>
      <c r="AB15" s="1" t="s">
        <v>811</v>
      </c>
      <c r="AC15" s="1" t="s">
        <v>896</v>
      </c>
      <c r="AD15" s="1" t="s">
        <v>811</v>
      </c>
      <c r="AE15" s="1" t="s">
        <v>811</v>
      </c>
      <c r="AF15" s="1" t="s">
        <v>811</v>
      </c>
      <c r="AG15" s="1" t="s">
        <v>804</v>
      </c>
      <c r="AH15" s="1" t="s">
        <v>804</v>
      </c>
      <c r="AI15" s="1" t="s">
        <v>819</v>
      </c>
      <c r="AJ15" s="501">
        <v>43056.229596249999</v>
      </c>
    </row>
    <row r="16" spans="1:36" x14ac:dyDescent="0.4">
      <c r="A16" s="1" t="s">
        <v>328</v>
      </c>
      <c r="B16" s="275" t="s">
        <v>898</v>
      </c>
      <c r="C16" s="1" t="s">
        <v>922</v>
      </c>
      <c r="D16" s="1" t="s">
        <v>804</v>
      </c>
      <c r="E16" s="1" t="s">
        <v>804</v>
      </c>
      <c r="F16" s="1" t="s">
        <v>804</v>
      </c>
      <c r="G16" s="1" t="s">
        <v>804</v>
      </c>
      <c r="H16" s="1" t="s">
        <v>804</v>
      </c>
      <c r="I16" s="1" t="s">
        <v>804</v>
      </c>
      <c r="J16" s="1" t="s">
        <v>804</v>
      </c>
      <c r="K16" s="1" t="s">
        <v>804</v>
      </c>
      <c r="L16" s="1" t="s">
        <v>804</v>
      </c>
      <c r="M16" s="1" t="s">
        <v>804</v>
      </c>
      <c r="N16" s="1" t="s">
        <v>804</v>
      </c>
      <c r="O16" s="1" t="s">
        <v>804</v>
      </c>
      <c r="P16" s="1" t="s">
        <v>804</v>
      </c>
      <c r="Q16" s="1" t="s">
        <v>804</v>
      </c>
      <c r="R16" s="1" t="s">
        <v>804</v>
      </c>
      <c r="S16" s="1" t="s">
        <v>804</v>
      </c>
      <c r="T16" s="1" t="s">
        <v>804</v>
      </c>
      <c r="U16" s="1" t="s">
        <v>804</v>
      </c>
      <c r="V16" s="1" t="s">
        <v>804</v>
      </c>
      <c r="W16" s="1" t="s">
        <v>804</v>
      </c>
      <c r="X16" s="1" t="s">
        <v>804</v>
      </c>
      <c r="Y16" s="1" t="s">
        <v>804</v>
      </c>
      <c r="Z16" s="1" t="s">
        <v>804</v>
      </c>
      <c r="AA16" s="1" t="s">
        <v>804</v>
      </c>
      <c r="AB16" s="1" t="s">
        <v>804</v>
      </c>
      <c r="AC16" s="1" t="s">
        <v>804</v>
      </c>
      <c r="AD16" s="1" t="s">
        <v>804</v>
      </c>
      <c r="AE16" s="1" t="s">
        <v>804</v>
      </c>
      <c r="AF16" s="1" t="s">
        <v>804</v>
      </c>
      <c r="AG16" s="1" t="s">
        <v>804</v>
      </c>
      <c r="AH16" s="1" t="s">
        <v>804</v>
      </c>
      <c r="AI16" s="1" t="s">
        <v>804</v>
      </c>
      <c r="AJ16" s="501">
        <v>43056.229596249999</v>
      </c>
    </row>
    <row r="17" spans="1:36" x14ac:dyDescent="0.4">
      <c r="A17" s="1" t="s">
        <v>328</v>
      </c>
      <c r="B17" s="275" t="s">
        <v>935</v>
      </c>
      <c r="C17" s="1" t="s">
        <v>922</v>
      </c>
      <c r="D17" s="1" t="s">
        <v>804</v>
      </c>
      <c r="E17" s="1" t="s">
        <v>804</v>
      </c>
      <c r="F17" s="1" t="s">
        <v>804</v>
      </c>
      <c r="G17" s="1" t="s">
        <v>804</v>
      </c>
      <c r="H17" s="1" t="s">
        <v>804</v>
      </c>
      <c r="I17" s="1" t="s">
        <v>804</v>
      </c>
      <c r="J17" s="1" t="s">
        <v>804</v>
      </c>
      <c r="K17" s="1" t="s">
        <v>804</v>
      </c>
      <c r="L17" s="1" t="s">
        <v>804</v>
      </c>
      <c r="M17" s="1" t="s">
        <v>804</v>
      </c>
      <c r="N17" s="1" t="s">
        <v>804</v>
      </c>
      <c r="O17" s="1" t="s">
        <v>804</v>
      </c>
      <c r="P17" s="1" t="s">
        <v>804</v>
      </c>
      <c r="Q17" s="1" t="s">
        <v>804</v>
      </c>
      <c r="R17" s="1" t="s">
        <v>804</v>
      </c>
      <c r="S17" s="1" t="s">
        <v>804</v>
      </c>
      <c r="T17" s="1" t="s">
        <v>804</v>
      </c>
      <c r="U17" s="1" t="s">
        <v>804</v>
      </c>
      <c r="V17" s="1" t="s">
        <v>804</v>
      </c>
      <c r="W17" s="1" t="s">
        <v>804</v>
      </c>
      <c r="X17" s="1" t="s">
        <v>804</v>
      </c>
      <c r="Y17" s="1" t="s">
        <v>804</v>
      </c>
      <c r="Z17" s="1" t="s">
        <v>804</v>
      </c>
      <c r="AA17" s="1" t="s">
        <v>804</v>
      </c>
      <c r="AB17" s="1" t="s">
        <v>804</v>
      </c>
      <c r="AC17" s="1" t="s">
        <v>804</v>
      </c>
      <c r="AD17" s="1" t="s">
        <v>804</v>
      </c>
      <c r="AE17" s="1" t="s">
        <v>804</v>
      </c>
      <c r="AF17" s="1" t="s">
        <v>804</v>
      </c>
      <c r="AG17" s="1" t="s">
        <v>804</v>
      </c>
      <c r="AH17" s="1" t="s">
        <v>804</v>
      </c>
      <c r="AI17" s="1" t="s">
        <v>804</v>
      </c>
      <c r="AJ17" s="501">
        <v>43056.229596249999</v>
      </c>
    </row>
    <row r="18" spans="1:36" x14ac:dyDescent="0.4">
      <c r="A18" s="1" t="s">
        <v>328</v>
      </c>
      <c r="B18" s="275" t="s">
        <v>936</v>
      </c>
      <c r="C18" s="1" t="s">
        <v>922</v>
      </c>
      <c r="D18" s="1" t="s">
        <v>804</v>
      </c>
      <c r="E18" s="1" t="s">
        <v>804</v>
      </c>
      <c r="F18" s="1" t="s">
        <v>804</v>
      </c>
      <c r="G18" s="1" t="s">
        <v>804</v>
      </c>
      <c r="H18" s="1" t="s">
        <v>804</v>
      </c>
      <c r="I18" s="1" t="s">
        <v>804</v>
      </c>
      <c r="J18" s="1" t="s">
        <v>804</v>
      </c>
      <c r="K18" s="1" t="s">
        <v>804</v>
      </c>
      <c r="L18" s="1" t="s">
        <v>804</v>
      </c>
      <c r="M18" s="1" t="s">
        <v>804</v>
      </c>
      <c r="N18" s="1" t="s">
        <v>804</v>
      </c>
      <c r="O18" s="1" t="s">
        <v>804</v>
      </c>
      <c r="P18" s="1" t="s">
        <v>804</v>
      </c>
      <c r="Q18" s="1" t="s">
        <v>804</v>
      </c>
      <c r="R18" s="1" t="s">
        <v>804</v>
      </c>
      <c r="S18" s="1" t="s">
        <v>804</v>
      </c>
      <c r="T18" s="1" t="s">
        <v>804</v>
      </c>
      <c r="U18" s="1" t="s">
        <v>804</v>
      </c>
      <c r="V18" s="1" t="s">
        <v>804</v>
      </c>
      <c r="W18" s="1" t="s">
        <v>804</v>
      </c>
      <c r="X18" s="1" t="s">
        <v>804</v>
      </c>
      <c r="Y18" s="1" t="s">
        <v>804</v>
      </c>
      <c r="Z18" s="1" t="s">
        <v>804</v>
      </c>
      <c r="AA18" s="1" t="s">
        <v>804</v>
      </c>
      <c r="AB18" s="1" t="s">
        <v>804</v>
      </c>
      <c r="AC18" s="1" t="s">
        <v>804</v>
      </c>
      <c r="AD18" s="1" t="s">
        <v>804</v>
      </c>
      <c r="AE18" s="1" t="s">
        <v>804</v>
      </c>
      <c r="AF18" s="1" t="s">
        <v>804</v>
      </c>
      <c r="AG18" s="1" t="s">
        <v>804</v>
      </c>
      <c r="AH18" s="1" t="s">
        <v>804</v>
      </c>
      <c r="AI18" s="1" t="s">
        <v>804</v>
      </c>
      <c r="AJ18" s="501">
        <v>43056.229596249999</v>
      </c>
    </row>
    <row r="19" spans="1:36" x14ac:dyDescent="0.4">
      <c r="A19" s="1" t="s">
        <v>328</v>
      </c>
      <c r="B19" s="275" t="s">
        <v>937</v>
      </c>
      <c r="C19" s="1" t="s">
        <v>922</v>
      </c>
      <c r="D19" s="1" t="s">
        <v>804</v>
      </c>
      <c r="E19" s="1" t="s">
        <v>804</v>
      </c>
      <c r="F19" s="1" t="s">
        <v>804</v>
      </c>
      <c r="G19" s="1" t="s">
        <v>804</v>
      </c>
      <c r="H19" s="1" t="s">
        <v>804</v>
      </c>
      <c r="I19" s="1" t="s">
        <v>804</v>
      </c>
      <c r="J19" s="1" t="s">
        <v>804</v>
      </c>
      <c r="K19" s="1" t="s">
        <v>804</v>
      </c>
      <c r="L19" s="1" t="s">
        <v>804</v>
      </c>
      <c r="M19" s="1" t="s">
        <v>804</v>
      </c>
      <c r="N19" s="1" t="s">
        <v>804</v>
      </c>
      <c r="O19" s="1" t="s">
        <v>804</v>
      </c>
      <c r="P19" s="1" t="s">
        <v>804</v>
      </c>
      <c r="Q19" s="1" t="s">
        <v>804</v>
      </c>
      <c r="R19" s="1" t="s">
        <v>804</v>
      </c>
      <c r="S19" s="1" t="s">
        <v>804</v>
      </c>
      <c r="T19" s="1" t="s">
        <v>804</v>
      </c>
      <c r="U19" s="1" t="s">
        <v>804</v>
      </c>
      <c r="V19" s="1" t="s">
        <v>804</v>
      </c>
      <c r="W19" s="1" t="s">
        <v>804</v>
      </c>
      <c r="X19" s="1" t="s">
        <v>804</v>
      </c>
      <c r="Y19" s="1" t="s">
        <v>804</v>
      </c>
      <c r="Z19" s="1" t="s">
        <v>804</v>
      </c>
      <c r="AA19" s="1" t="s">
        <v>804</v>
      </c>
      <c r="AB19" s="1" t="s">
        <v>804</v>
      </c>
      <c r="AC19" s="1" t="s">
        <v>804</v>
      </c>
      <c r="AD19" s="1" t="s">
        <v>804</v>
      </c>
      <c r="AE19" s="1" t="s">
        <v>804</v>
      </c>
      <c r="AF19" s="1" t="s">
        <v>804</v>
      </c>
      <c r="AG19" s="1" t="s">
        <v>804</v>
      </c>
      <c r="AH19" s="1" t="s">
        <v>804</v>
      </c>
      <c r="AI19" s="1" t="s">
        <v>804</v>
      </c>
      <c r="AJ19" s="501">
        <v>43056.229596249999</v>
      </c>
    </row>
    <row r="20" spans="1:36" x14ac:dyDescent="0.4">
      <c r="A20" s="1" t="s">
        <v>328</v>
      </c>
      <c r="B20" s="275" t="s">
        <v>938</v>
      </c>
      <c r="C20" s="1" t="s">
        <v>922</v>
      </c>
      <c r="D20" s="1" t="s">
        <v>804</v>
      </c>
      <c r="E20" s="1" t="s">
        <v>804</v>
      </c>
      <c r="F20" s="1" t="s">
        <v>804</v>
      </c>
      <c r="G20" s="1" t="s">
        <v>804</v>
      </c>
      <c r="H20" s="1" t="s">
        <v>804</v>
      </c>
      <c r="I20" s="1" t="s">
        <v>804</v>
      </c>
      <c r="J20" s="1" t="s">
        <v>804</v>
      </c>
      <c r="K20" s="1" t="s">
        <v>804</v>
      </c>
      <c r="L20" s="1" t="s">
        <v>804</v>
      </c>
      <c r="M20" s="1" t="s">
        <v>804</v>
      </c>
      <c r="N20" s="1" t="s">
        <v>804</v>
      </c>
      <c r="O20" s="1" t="s">
        <v>804</v>
      </c>
      <c r="P20" s="1" t="s">
        <v>804</v>
      </c>
      <c r="Q20" s="1" t="s">
        <v>804</v>
      </c>
      <c r="R20" s="1" t="s">
        <v>804</v>
      </c>
      <c r="S20" s="1" t="s">
        <v>804</v>
      </c>
      <c r="T20" s="1" t="s">
        <v>804</v>
      </c>
      <c r="U20" s="1" t="s">
        <v>804</v>
      </c>
      <c r="V20" s="1" t="s">
        <v>804</v>
      </c>
      <c r="W20" s="1" t="s">
        <v>804</v>
      </c>
      <c r="X20" s="1" t="s">
        <v>804</v>
      </c>
      <c r="Y20" s="1" t="s">
        <v>804</v>
      </c>
      <c r="Z20" s="1" t="s">
        <v>804</v>
      </c>
      <c r="AA20" s="1" t="s">
        <v>804</v>
      </c>
      <c r="AB20" s="1" t="s">
        <v>804</v>
      </c>
      <c r="AC20" s="1" t="s">
        <v>804</v>
      </c>
      <c r="AD20" s="1" t="s">
        <v>804</v>
      </c>
      <c r="AE20" s="1" t="s">
        <v>804</v>
      </c>
      <c r="AF20" s="1" t="s">
        <v>804</v>
      </c>
      <c r="AG20" s="1" t="s">
        <v>804</v>
      </c>
      <c r="AH20" s="1" t="s">
        <v>804</v>
      </c>
      <c r="AI20" s="1" t="s">
        <v>804</v>
      </c>
      <c r="AJ20" s="501">
        <v>43056.229596249999</v>
      </c>
    </row>
    <row r="21" spans="1:36" x14ac:dyDescent="0.4">
      <c r="A21" s="1" t="s">
        <v>328</v>
      </c>
      <c r="B21" s="275" t="s">
        <v>939</v>
      </c>
      <c r="C21" s="1" t="s">
        <v>922</v>
      </c>
      <c r="D21" s="1" t="s">
        <v>804</v>
      </c>
      <c r="E21" s="1" t="s">
        <v>804</v>
      </c>
      <c r="F21" s="1" t="s">
        <v>804</v>
      </c>
      <c r="G21" s="1" t="s">
        <v>804</v>
      </c>
      <c r="H21" s="1" t="s">
        <v>804</v>
      </c>
      <c r="I21" s="1" t="s">
        <v>804</v>
      </c>
      <c r="J21" s="1" t="s">
        <v>804</v>
      </c>
      <c r="K21" s="1" t="s">
        <v>804</v>
      </c>
      <c r="L21" s="1" t="s">
        <v>804</v>
      </c>
      <c r="M21" s="1" t="s">
        <v>804</v>
      </c>
      <c r="N21" s="1" t="s">
        <v>804</v>
      </c>
      <c r="O21" s="1" t="s">
        <v>804</v>
      </c>
      <c r="P21" s="1" t="s">
        <v>804</v>
      </c>
      <c r="Q21" s="1" t="s">
        <v>804</v>
      </c>
      <c r="R21" s="1" t="s">
        <v>804</v>
      </c>
      <c r="S21" s="1" t="s">
        <v>804</v>
      </c>
      <c r="T21" s="1" t="s">
        <v>804</v>
      </c>
      <c r="U21" s="1" t="s">
        <v>804</v>
      </c>
      <c r="V21" s="1" t="s">
        <v>804</v>
      </c>
      <c r="W21" s="1" t="s">
        <v>804</v>
      </c>
      <c r="X21" s="1" t="s">
        <v>804</v>
      </c>
      <c r="Y21" s="1" t="s">
        <v>804</v>
      </c>
      <c r="Z21" s="1" t="s">
        <v>804</v>
      </c>
      <c r="AA21" s="1" t="s">
        <v>804</v>
      </c>
      <c r="AB21" s="1" t="s">
        <v>804</v>
      </c>
      <c r="AC21" s="1" t="s">
        <v>804</v>
      </c>
      <c r="AD21" s="1" t="s">
        <v>804</v>
      </c>
      <c r="AE21" s="1" t="s">
        <v>804</v>
      </c>
      <c r="AF21" s="1" t="s">
        <v>804</v>
      </c>
      <c r="AG21" s="1" t="s">
        <v>804</v>
      </c>
      <c r="AH21" s="1" t="s">
        <v>804</v>
      </c>
      <c r="AI21" s="1" t="s">
        <v>804</v>
      </c>
      <c r="AJ21" s="501">
        <v>43056.229596249999</v>
      </c>
    </row>
    <row r="22" spans="1:36" x14ac:dyDescent="0.4">
      <c r="A22" s="502" t="s">
        <v>328</v>
      </c>
      <c r="B22" s="502" t="s">
        <v>940</v>
      </c>
      <c r="C22" s="502" t="s">
        <v>922</v>
      </c>
      <c r="D22" s="502" t="s">
        <v>817</v>
      </c>
      <c r="E22" s="502" t="s">
        <v>804</v>
      </c>
      <c r="F22" s="502" t="s">
        <v>926</v>
      </c>
      <c r="G22" s="502" t="s">
        <v>941</v>
      </c>
      <c r="H22" s="502" t="s">
        <v>886</v>
      </c>
      <c r="I22" s="502" t="s">
        <v>896</v>
      </c>
      <c r="J22" s="502" t="s">
        <v>888</v>
      </c>
      <c r="K22" s="502" t="s">
        <v>878</v>
      </c>
      <c r="L22" s="502" t="s">
        <v>804</v>
      </c>
      <c r="M22" s="502" t="s">
        <v>908</v>
      </c>
      <c r="N22" s="502" t="s">
        <v>811</v>
      </c>
      <c r="O22" s="502" t="s">
        <v>858</v>
      </c>
      <c r="P22" s="502" t="s">
        <v>877</v>
      </c>
      <c r="Q22" s="502" t="s">
        <v>913</v>
      </c>
      <c r="R22" s="502" t="s">
        <v>812</v>
      </c>
      <c r="S22" s="502" t="s">
        <v>804</v>
      </c>
      <c r="T22" s="502" t="s">
        <v>926</v>
      </c>
      <c r="U22" s="502" t="s">
        <v>860</v>
      </c>
      <c r="V22" s="502" t="s">
        <v>942</v>
      </c>
      <c r="W22" s="502" t="s">
        <v>873</v>
      </c>
      <c r="X22" s="502" t="s">
        <v>821</v>
      </c>
      <c r="Y22" s="502" t="s">
        <v>822</v>
      </c>
      <c r="Z22" s="502" t="s">
        <v>804</v>
      </c>
      <c r="AA22" s="502" t="s">
        <v>908</v>
      </c>
      <c r="AB22" s="502" t="s">
        <v>820</v>
      </c>
      <c r="AC22" s="502" t="s">
        <v>883</v>
      </c>
      <c r="AD22" s="502" t="s">
        <v>821</v>
      </c>
      <c r="AE22" s="502" t="s">
        <v>810</v>
      </c>
      <c r="AF22" s="502" t="s">
        <v>873</v>
      </c>
      <c r="AG22" s="502" t="s">
        <v>804</v>
      </c>
      <c r="AH22" s="502" t="s">
        <v>804</v>
      </c>
      <c r="AI22" s="502" t="s">
        <v>879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" x14ac:dyDescent="0.4"/>
  <sheetData>
    <row r="1" spans="1:35" x14ac:dyDescent="0.4">
      <c r="A1" s="1" t="s">
        <v>294</v>
      </c>
      <c r="B1" s="1" t="s">
        <v>360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943</v>
      </c>
    </row>
    <row r="2" spans="1:35" x14ac:dyDescent="0.4">
      <c r="A2" s="1" t="s">
        <v>328</v>
      </c>
      <c r="B2" s="275" t="s">
        <v>363</v>
      </c>
      <c r="C2" s="1" t="s">
        <v>944</v>
      </c>
      <c r="D2" s="1" t="s">
        <v>394</v>
      </c>
      <c r="E2" s="1" t="s">
        <v>945</v>
      </c>
      <c r="F2" s="1" t="s">
        <v>946</v>
      </c>
      <c r="G2" s="1" t="s">
        <v>947</v>
      </c>
      <c r="H2" s="1" t="s">
        <v>948</v>
      </c>
      <c r="I2" s="1"/>
      <c r="J2" s="1" t="s">
        <v>949</v>
      </c>
      <c r="K2" s="1" t="s">
        <v>394</v>
      </c>
      <c r="L2" s="1" t="s">
        <v>950</v>
      </c>
      <c r="M2" s="1" t="s">
        <v>394</v>
      </c>
      <c r="N2" s="1" t="s">
        <v>951</v>
      </c>
      <c r="O2" s="1" t="s">
        <v>952</v>
      </c>
      <c r="P2" s="1" t="s">
        <v>953</v>
      </c>
      <c r="Q2" s="1" t="s">
        <v>954</v>
      </c>
      <c r="R2" s="1" t="s">
        <v>394</v>
      </c>
      <c r="S2" s="1" t="s">
        <v>955</v>
      </c>
      <c r="T2" s="1" t="s">
        <v>956</v>
      </c>
      <c r="U2" s="1" t="s">
        <v>957</v>
      </c>
      <c r="V2" s="1" t="s">
        <v>958</v>
      </c>
      <c r="W2" s="1" t="s">
        <v>959</v>
      </c>
      <c r="X2" s="1" t="s">
        <v>960</v>
      </c>
      <c r="Y2" s="1" t="s">
        <v>394</v>
      </c>
      <c r="Z2" s="1" t="s">
        <v>961</v>
      </c>
      <c r="AA2" s="1" t="s">
        <v>962</v>
      </c>
      <c r="AB2" s="1" t="s">
        <v>963</v>
      </c>
      <c r="AC2" s="1" t="s">
        <v>964</v>
      </c>
      <c r="AD2" s="1" t="s">
        <v>965</v>
      </c>
      <c r="AE2" s="1" t="s">
        <v>966</v>
      </c>
      <c r="AF2" s="1" t="s">
        <v>394</v>
      </c>
      <c r="AG2" s="1" t="s">
        <v>394</v>
      </c>
      <c r="AH2" s="1" t="s">
        <v>967</v>
      </c>
      <c r="AI2" s="501">
        <v>43056.2297915741</v>
      </c>
    </row>
    <row r="3" spans="1:35" x14ac:dyDescent="0.4">
      <c r="A3" s="1" t="s">
        <v>328</v>
      </c>
      <c r="B3" s="275" t="s">
        <v>397</v>
      </c>
      <c r="C3" s="1" t="s">
        <v>968</v>
      </c>
      <c r="D3" s="1" t="s">
        <v>394</v>
      </c>
      <c r="E3" s="1" t="s">
        <v>969</v>
      </c>
      <c r="F3" s="1" t="s">
        <v>970</v>
      </c>
      <c r="G3" s="1" t="s">
        <v>971</v>
      </c>
      <c r="H3" s="1" t="s">
        <v>972</v>
      </c>
      <c r="I3" s="1"/>
      <c r="J3" s="1" t="s">
        <v>973</v>
      </c>
      <c r="K3" s="1" t="s">
        <v>394</v>
      </c>
      <c r="L3" s="1" t="s">
        <v>974</v>
      </c>
      <c r="M3" s="1" t="s">
        <v>394</v>
      </c>
      <c r="N3" s="1" t="s">
        <v>975</v>
      </c>
      <c r="O3" s="1" t="s">
        <v>976</v>
      </c>
      <c r="P3" s="1" t="s">
        <v>977</v>
      </c>
      <c r="Q3" s="1" t="s">
        <v>978</v>
      </c>
      <c r="R3" s="1" t="s">
        <v>394</v>
      </c>
      <c r="S3" s="1" t="s">
        <v>979</v>
      </c>
      <c r="T3" s="1" t="s">
        <v>980</v>
      </c>
      <c r="U3" s="1" t="s">
        <v>981</v>
      </c>
      <c r="V3" s="1" t="s">
        <v>977</v>
      </c>
      <c r="W3" s="1" t="s">
        <v>971</v>
      </c>
      <c r="X3" s="1" t="s">
        <v>982</v>
      </c>
      <c r="Y3" s="1" t="s">
        <v>394</v>
      </c>
      <c r="Z3" s="1" t="s">
        <v>978</v>
      </c>
      <c r="AA3" s="1" t="s">
        <v>983</v>
      </c>
      <c r="AB3" s="1" t="s">
        <v>984</v>
      </c>
      <c r="AC3" s="1" t="s">
        <v>985</v>
      </c>
      <c r="AD3" s="1" t="s">
        <v>969</v>
      </c>
      <c r="AE3" s="1" t="s">
        <v>984</v>
      </c>
      <c r="AF3" s="1" t="s">
        <v>394</v>
      </c>
      <c r="AG3" s="1" t="s">
        <v>394</v>
      </c>
      <c r="AH3" s="1" t="s">
        <v>986</v>
      </c>
      <c r="AI3" s="501">
        <v>43056.2297915741</v>
      </c>
    </row>
    <row r="4" spans="1:35" x14ac:dyDescent="0.4">
      <c r="A4" s="1" t="s">
        <v>328</v>
      </c>
      <c r="B4" s="275" t="s">
        <v>426</v>
      </c>
      <c r="C4" s="1" t="s">
        <v>394</v>
      </c>
      <c r="D4" s="1" t="s">
        <v>394</v>
      </c>
      <c r="E4" s="1" t="s">
        <v>394</v>
      </c>
      <c r="F4" s="1" t="s">
        <v>394</v>
      </c>
      <c r="G4" s="1" t="s">
        <v>394</v>
      </c>
      <c r="H4" s="1" t="s">
        <v>394</v>
      </c>
      <c r="I4" s="1"/>
      <c r="J4" s="1" t="s">
        <v>394</v>
      </c>
      <c r="K4" s="1" t="s">
        <v>394</v>
      </c>
      <c r="L4" s="1" t="s">
        <v>394</v>
      </c>
      <c r="M4" s="1" t="s">
        <v>394</v>
      </c>
      <c r="N4" s="1" t="s">
        <v>394</v>
      </c>
      <c r="O4" s="1" t="s">
        <v>394</v>
      </c>
      <c r="P4" s="1" t="s">
        <v>394</v>
      </c>
      <c r="Q4" s="1" t="s">
        <v>394</v>
      </c>
      <c r="R4" s="1" t="s">
        <v>394</v>
      </c>
      <c r="S4" s="1" t="s">
        <v>394</v>
      </c>
      <c r="T4" s="1" t="s">
        <v>394</v>
      </c>
      <c r="U4" s="1" t="s">
        <v>394</v>
      </c>
      <c r="V4" s="1" t="s">
        <v>394</v>
      </c>
      <c r="W4" s="1" t="s">
        <v>394</v>
      </c>
      <c r="X4" s="1" t="s">
        <v>394</v>
      </c>
      <c r="Y4" s="1" t="s">
        <v>394</v>
      </c>
      <c r="Z4" s="1" t="s">
        <v>394</v>
      </c>
      <c r="AA4" s="1" t="s">
        <v>394</v>
      </c>
      <c r="AB4" s="1" t="s">
        <v>394</v>
      </c>
      <c r="AC4" s="1" t="s">
        <v>394</v>
      </c>
      <c r="AD4" s="1" t="s">
        <v>394</v>
      </c>
      <c r="AE4" s="1" t="s">
        <v>394</v>
      </c>
      <c r="AF4" s="1" t="s">
        <v>394</v>
      </c>
      <c r="AG4" s="1" t="s">
        <v>394</v>
      </c>
      <c r="AH4" s="1" t="s">
        <v>804</v>
      </c>
      <c r="AI4" s="501">
        <v>43056.2297915741</v>
      </c>
    </row>
    <row r="5" spans="1:35" x14ac:dyDescent="0.4">
      <c r="A5" s="1" t="s">
        <v>328</v>
      </c>
      <c r="B5" s="275" t="s">
        <v>453</v>
      </c>
      <c r="C5" s="1" t="s">
        <v>987</v>
      </c>
      <c r="D5" s="1" t="s">
        <v>394</v>
      </c>
      <c r="E5" s="1" t="s">
        <v>988</v>
      </c>
      <c r="F5" s="1" t="s">
        <v>989</v>
      </c>
      <c r="G5" s="1" t="s">
        <v>990</v>
      </c>
      <c r="H5" s="1" t="s">
        <v>991</v>
      </c>
      <c r="I5" s="1"/>
      <c r="J5" s="1" t="s">
        <v>394</v>
      </c>
      <c r="K5" s="1" t="s">
        <v>394</v>
      </c>
      <c r="L5" s="1" t="s">
        <v>991</v>
      </c>
      <c r="M5" s="1" t="s">
        <v>394</v>
      </c>
      <c r="N5" s="1" t="s">
        <v>992</v>
      </c>
      <c r="O5" s="1" t="s">
        <v>990</v>
      </c>
      <c r="P5" s="1" t="s">
        <v>990</v>
      </c>
      <c r="Q5" s="1" t="s">
        <v>993</v>
      </c>
      <c r="R5" s="1" t="s">
        <v>394</v>
      </c>
      <c r="S5" s="1" t="s">
        <v>987</v>
      </c>
      <c r="T5" s="1" t="s">
        <v>992</v>
      </c>
      <c r="U5" s="1" t="s">
        <v>989</v>
      </c>
      <c r="V5" s="1" t="s">
        <v>987</v>
      </c>
      <c r="W5" s="1" t="s">
        <v>990</v>
      </c>
      <c r="X5" s="1" t="s">
        <v>994</v>
      </c>
      <c r="Y5" s="1" t="s">
        <v>394</v>
      </c>
      <c r="Z5" s="1" t="s">
        <v>991</v>
      </c>
      <c r="AA5" s="1" t="s">
        <v>991</v>
      </c>
      <c r="AB5" s="1" t="s">
        <v>990</v>
      </c>
      <c r="AC5" s="1" t="s">
        <v>990</v>
      </c>
      <c r="AD5" s="1" t="s">
        <v>994</v>
      </c>
      <c r="AE5" s="1" t="s">
        <v>991</v>
      </c>
      <c r="AF5" s="1" t="s">
        <v>394</v>
      </c>
      <c r="AG5" s="1" t="s">
        <v>394</v>
      </c>
      <c r="AH5" s="1" t="s">
        <v>995</v>
      </c>
      <c r="AI5" s="501">
        <v>43056.2297915741</v>
      </c>
    </row>
    <row r="6" spans="1:35" x14ac:dyDescent="0.4">
      <c r="A6" s="1" t="s">
        <v>328</v>
      </c>
      <c r="B6" s="275" t="s">
        <v>480</v>
      </c>
      <c r="C6" s="1" t="s">
        <v>996</v>
      </c>
      <c r="D6" s="1" t="s">
        <v>394</v>
      </c>
      <c r="E6" s="1" t="s">
        <v>973</v>
      </c>
      <c r="F6" s="1" t="s">
        <v>968</v>
      </c>
      <c r="G6" s="1" t="s">
        <v>997</v>
      </c>
      <c r="H6" s="1" t="s">
        <v>998</v>
      </c>
      <c r="I6" s="1"/>
      <c r="J6" s="1" t="s">
        <v>987</v>
      </c>
      <c r="K6" s="1" t="s">
        <v>394</v>
      </c>
      <c r="L6" s="1" t="s">
        <v>999</v>
      </c>
      <c r="M6" s="1" t="s">
        <v>394</v>
      </c>
      <c r="N6" s="1" t="s">
        <v>978</v>
      </c>
      <c r="O6" s="1" t="s">
        <v>1000</v>
      </c>
      <c r="P6" s="1" t="s">
        <v>1001</v>
      </c>
      <c r="Q6" s="1" t="s">
        <v>973</v>
      </c>
      <c r="R6" s="1" t="s">
        <v>394</v>
      </c>
      <c r="S6" s="1" t="s">
        <v>979</v>
      </c>
      <c r="T6" s="1" t="s">
        <v>1002</v>
      </c>
      <c r="U6" s="1" t="s">
        <v>1003</v>
      </c>
      <c r="V6" s="1" t="s">
        <v>990</v>
      </c>
      <c r="W6" s="1" t="s">
        <v>994</v>
      </c>
      <c r="X6" s="1" t="s">
        <v>989</v>
      </c>
      <c r="Y6" s="1" t="s">
        <v>394</v>
      </c>
      <c r="Z6" s="1" t="s">
        <v>1003</v>
      </c>
      <c r="AA6" s="1" t="s">
        <v>1003</v>
      </c>
      <c r="AB6" s="1" t="s">
        <v>994</v>
      </c>
      <c r="AC6" s="1" t="s">
        <v>989</v>
      </c>
      <c r="AD6" s="1" t="s">
        <v>991</v>
      </c>
      <c r="AE6" s="1" t="s">
        <v>992</v>
      </c>
      <c r="AF6" s="1" t="s">
        <v>394</v>
      </c>
      <c r="AG6" s="1" t="s">
        <v>394</v>
      </c>
      <c r="AH6" s="1" t="s">
        <v>1004</v>
      </c>
      <c r="AI6" s="501">
        <v>43056.2297915741</v>
      </c>
    </row>
    <row r="7" spans="1:35" x14ac:dyDescent="0.4">
      <c r="A7" s="1" t="s">
        <v>328</v>
      </c>
      <c r="B7" s="275" t="s">
        <v>511</v>
      </c>
      <c r="C7" s="1" t="s">
        <v>394</v>
      </c>
      <c r="D7" s="1" t="s">
        <v>394</v>
      </c>
      <c r="E7" s="1" t="s">
        <v>394</v>
      </c>
      <c r="F7" s="1" t="s">
        <v>394</v>
      </c>
      <c r="G7" s="1" t="s">
        <v>394</v>
      </c>
      <c r="H7" s="1" t="s">
        <v>394</v>
      </c>
      <c r="I7" s="1"/>
      <c r="J7" s="1" t="s">
        <v>394</v>
      </c>
      <c r="K7" s="1" t="s">
        <v>394</v>
      </c>
      <c r="L7" s="1" t="s">
        <v>394</v>
      </c>
      <c r="M7" s="1" t="s">
        <v>394</v>
      </c>
      <c r="N7" s="1" t="s">
        <v>394</v>
      </c>
      <c r="O7" s="1" t="s">
        <v>394</v>
      </c>
      <c r="P7" s="1" t="s">
        <v>394</v>
      </c>
      <c r="Q7" s="1" t="s">
        <v>394</v>
      </c>
      <c r="R7" s="1" t="s">
        <v>394</v>
      </c>
      <c r="S7" s="1" t="s">
        <v>394</v>
      </c>
      <c r="T7" s="1" t="s">
        <v>394</v>
      </c>
      <c r="U7" s="1" t="s">
        <v>394</v>
      </c>
      <c r="V7" s="1" t="s">
        <v>394</v>
      </c>
      <c r="W7" s="1" t="s">
        <v>394</v>
      </c>
      <c r="X7" s="1" t="s">
        <v>394</v>
      </c>
      <c r="Y7" s="1" t="s">
        <v>394</v>
      </c>
      <c r="Z7" s="1" t="s">
        <v>394</v>
      </c>
      <c r="AA7" s="1" t="s">
        <v>394</v>
      </c>
      <c r="AB7" s="1" t="s">
        <v>394</v>
      </c>
      <c r="AC7" s="1" t="s">
        <v>394</v>
      </c>
      <c r="AD7" s="1" t="s">
        <v>394</v>
      </c>
      <c r="AE7" s="1" t="s">
        <v>394</v>
      </c>
      <c r="AF7" s="1" t="s">
        <v>394</v>
      </c>
      <c r="AG7" s="1" t="s">
        <v>394</v>
      </c>
      <c r="AH7" s="1" t="s">
        <v>804</v>
      </c>
      <c r="AI7" s="501">
        <v>43056.2297915741</v>
      </c>
    </row>
    <row r="8" spans="1:35" x14ac:dyDescent="0.4">
      <c r="A8" s="1" t="s">
        <v>328</v>
      </c>
      <c r="B8" s="275" t="s">
        <v>512</v>
      </c>
      <c r="C8" s="1" t="s">
        <v>998</v>
      </c>
      <c r="D8" s="1" t="s">
        <v>394</v>
      </c>
      <c r="E8" s="1" t="s">
        <v>1005</v>
      </c>
      <c r="F8" s="1" t="s">
        <v>984</v>
      </c>
      <c r="G8" s="1" t="s">
        <v>988</v>
      </c>
      <c r="H8" s="1" t="s">
        <v>1006</v>
      </c>
      <c r="I8" s="1"/>
      <c r="J8" s="1" t="s">
        <v>1007</v>
      </c>
      <c r="K8" s="1" t="s">
        <v>394</v>
      </c>
      <c r="L8" s="1" t="s">
        <v>1001</v>
      </c>
      <c r="M8" s="1" t="s">
        <v>394</v>
      </c>
      <c r="N8" s="1" t="s">
        <v>999</v>
      </c>
      <c r="O8" s="1" t="s">
        <v>998</v>
      </c>
      <c r="P8" s="1" t="s">
        <v>993</v>
      </c>
      <c r="Q8" s="1" t="s">
        <v>1001</v>
      </c>
      <c r="R8" s="1" t="s">
        <v>394</v>
      </c>
      <c r="S8" s="1" t="s">
        <v>1006</v>
      </c>
      <c r="T8" s="1" t="s">
        <v>1008</v>
      </c>
      <c r="U8" s="1" t="s">
        <v>1006</v>
      </c>
      <c r="V8" s="1" t="s">
        <v>1009</v>
      </c>
      <c r="W8" s="1" t="s">
        <v>992</v>
      </c>
      <c r="X8" s="1" t="s">
        <v>996</v>
      </c>
      <c r="Y8" s="1" t="s">
        <v>394</v>
      </c>
      <c r="Z8" s="1" t="s">
        <v>990</v>
      </c>
      <c r="AA8" s="1" t="s">
        <v>990</v>
      </c>
      <c r="AB8" s="1" t="s">
        <v>992</v>
      </c>
      <c r="AC8" s="1" t="s">
        <v>994</v>
      </c>
      <c r="AD8" s="1" t="s">
        <v>990</v>
      </c>
      <c r="AE8" s="1" t="s">
        <v>990</v>
      </c>
      <c r="AF8" s="1" t="s">
        <v>394</v>
      </c>
      <c r="AG8" s="1" t="s">
        <v>394</v>
      </c>
      <c r="AH8" s="1" t="s">
        <v>1010</v>
      </c>
      <c r="AI8" s="501">
        <v>43056.2297915741</v>
      </c>
    </row>
    <row r="9" spans="1:35" x14ac:dyDescent="0.4">
      <c r="A9" s="1" t="s">
        <v>328</v>
      </c>
      <c r="B9" s="275" t="s">
        <v>867</v>
      </c>
      <c r="C9" s="1" t="s">
        <v>991</v>
      </c>
      <c r="D9" s="1" t="s">
        <v>394</v>
      </c>
      <c r="E9" s="1" t="s">
        <v>394</v>
      </c>
      <c r="F9" s="1" t="s">
        <v>394</v>
      </c>
      <c r="G9" s="1" t="s">
        <v>394</v>
      </c>
      <c r="H9" s="1" t="s">
        <v>394</v>
      </c>
      <c r="I9" s="1"/>
      <c r="J9" s="1" t="s">
        <v>394</v>
      </c>
      <c r="K9" s="1" t="s">
        <v>394</v>
      </c>
      <c r="L9" s="1" t="s">
        <v>991</v>
      </c>
      <c r="M9" s="1" t="s">
        <v>394</v>
      </c>
      <c r="N9" s="1" t="s">
        <v>394</v>
      </c>
      <c r="O9" s="1" t="s">
        <v>394</v>
      </c>
      <c r="P9" s="1" t="s">
        <v>394</v>
      </c>
      <c r="Q9" s="1" t="s">
        <v>394</v>
      </c>
      <c r="R9" s="1" t="s">
        <v>394</v>
      </c>
      <c r="S9" s="1" t="s">
        <v>990</v>
      </c>
      <c r="T9" s="1" t="s">
        <v>991</v>
      </c>
      <c r="U9" s="1" t="s">
        <v>991</v>
      </c>
      <c r="V9" s="1" t="s">
        <v>991</v>
      </c>
      <c r="W9" s="1" t="s">
        <v>991</v>
      </c>
      <c r="X9" s="1" t="s">
        <v>394</v>
      </c>
      <c r="Y9" s="1" t="s">
        <v>394</v>
      </c>
      <c r="Z9" s="1" t="s">
        <v>394</v>
      </c>
      <c r="AA9" s="1" t="s">
        <v>394</v>
      </c>
      <c r="AB9" s="1" t="s">
        <v>991</v>
      </c>
      <c r="AC9" s="1" t="s">
        <v>394</v>
      </c>
      <c r="AD9" s="1" t="s">
        <v>394</v>
      </c>
      <c r="AE9" s="1" t="s">
        <v>991</v>
      </c>
      <c r="AF9" s="1" t="s">
        <v>394</v>
      </c>
      <c r="AG9" s="1" t="s">
        <v>394</v>
      </c>
      <c r="AH9" s="1" t="s">
        <v>1011</v>
      </c>
      <c r="AI9" s="501">
        <v>43056.2297915741</v>
      </c>
    </row>
    <row r="10" spans="1:35" x14ac:dyDescent="0.4">
      <c r="A10" s="1" t="s">
        <v>328</v>
      </c>
      <c r="B10" s="275" t="s">
        <v>874</v>
      </c>
      <c r="C10" s="1" t="s">
        <v>394</v>
      </c>
      <c r="D10" s="1" t="s">
        <v>394</v>
      </c>
      <c r="E10" s="1" t="s">
        <v>394</v>
      </c>
      <c r="F10" s="1" t="s">
        <v>394</v>
      </c>
      <c r="G10" s="1" t="s">
        <v>394</v>
      </c>
      <c r="H10" s="1" t="s">
        <v>394</v>
      </c>
      <c r="I10" s="1"/>
      <c r="J10" s="1" t="s">
        <v>394</v>
      </c>
      <c r="K10" s="1" t="s">
        <v>394</v>
      </c>
      <c r="L10" s="1" t="s">
        <v>394</v>
      </c>
      <c r="M10" s="1" t="s">
        <v>394</v>
      </c>
      <c r="N10" s="1" t="s">
        <v>394</v>
      </c>
      <c r="O10" s="1" t="s">
        <v>394</v>
      </c>
      <c r="P10" s="1" t="s">
        <v>394</v>
      </c>
      <c r="Q10" s="1" t="s">
        <v>394</v>
      </c>
      <c r="R10" s="1" t="s">
        <v>394</v>
      </c>
      <c r="S10" s="1" t="s">
        <v>394</v>
      </c>
      <c r="T10" s="1" t="s">
        <v>394</v>
      </c>
      <c r="U10" s="1" t="s">
        <v>394</v>
      </c>
      <c r="V10" s="1" t="s">
        <v>394</v>
      </c>
      <c r="W10" s="1" t="s">
        <v>394</v>
      </c>
      <c r="X10" s="1" t="s">
        <v>394</v>
      </c>
      <c r="Y10" s="1" t="s">
        <v>394</v>
      </c>
      <c r="Z10" s="1" t="s">
        <v>394</v>
      </c>
      <c r="AA10" s="1" t="s">
        <v>394</v>
      </c>
      <c r="AB10" s="1" t="s">
        <v>394</v>
      </c>
      <c r="AC10" s="1" t="s">
        <v>394</v>
      </c>
      <c r="AD10" s="1" t="s">
        <v>394</v>
      </c>
      <c r="AE10" s="1" t="s">
        <v>394</v>
      </c>
      <c r="AF10" s="1" t="s">
        <v>394</v>
      </c>
      <c r="AG10" s="1" t="s">
        <v>394</v>
      </c>
      <c r="AH10" s="1" t="s">
        <v>804</v>
      </c>
      <c r="AI10" s="501">
        <v>43056.2297915741</v>
      </c>
    </row>
    <row r="11" spans="1:35" x14ac:dyDescent="0.4">
      <c r="A11" s="1" t="s">
        <v>328</v>
      </c>
      <c r="B11" s="275" t="s">
        <v>875</v>
      </c>
      <c r="C11" s="1" t="s">
        <v>394</v>
      </c>
      <c r="D11" s="1" t="s">
        <v>394</v>
      </c>
      <c r="E11" s="1" t="s">
        <v>991</v>
      </c>
      <c r="F11" s="1" t="s">
        <v>991</v>
      </c>
      <c r="G11" s="1" t="s">
        <v>394</v>
      </c>
      <c r="H11" s="1" t="s">
        <v>990</v>
      </c>
      <c r="I11" s="1"/>
      <c r="J11" s="1" t="s">
        <v>990</v>
      </c>
      <c r="K11" s="1" t="s">
        <v>394</v>
      </c>
      <c r="L11" s="1" t="s">
        <v>991</v>
      </c>
      <c r="M11" s="1" t="s">
        <v>394</v>
      </c>
      <c r="N11" s="1" t="s">
        <v>991</v>
      </c>
      <c r="O11" s="1" t="s">
        <v>991</v>
      </c>
      <c r="P11" s="1" t="s">
        <v>394</v>
      </c>
      <c r="Q11" s="1" t="s">
        <v>394</v>
      </c>
      <c r="R11" s="1" t="s">
        <v>394</v>
      </c>
      <c r="S11" s="1" t="s">
        <v>991</v>
      </c>
      <c r="T11" s="1" t="s">
        <v>394</v>
      </c>
      <c r="U11" s="1" t="s">
        <v>990</v>
      </c>
      <c r="V11" s="1" t="s">
        <v>394</v>
      </c>
      <c r="W11" s="1" t="s">
        <v>394</v>
      </c>
      <c r="X11" s="1" t="s">
        <v>394</v>
      </c>
      <c r="Y11" s="1" t="s">
        <v>394</v>
      </c>
      <c r="Z11" s="1" t="s">
        <v>990</v>
      </c>
      <c r="AA11" s="1" t="s">
        <v>991</v>
      </c>
      <c r="AB11" s="1" t="s">
        <v>394</v>
      </c>
      <c r="AC11" s="1" t="s">
        <v>394</v>
      </c>
      <c r="AD11" s="1" t="s">
        <v>990</v>
      </c>
      <c r="AE11" s="1" t="s">
        <v>394</v>
      </c>
      <c r="AF11" s="1" t="s">
        <v>394</v>
      </c>
      <c r="AG11" s="1" t="s">
        <v>394</v>
      </c>
      <c r="AH11" s="1" t="s">
        <v>1012</v>
      </c>
      <c r="AI11" s="501">
        <v>43056.2297915741</v>
      </c>
    </row>
    <row r="12" spans="1:35" x14ac:dyDescent="0.4">
      <c r="A12" s="1" t="s">
        <v>328</v>
      </c>
      <c r="B12" s="275" t="s">
        <v>881</v>
      </c>
      <c r="C12" s="1" t="s">
        <v>989</v>
      </c>
      <c r="D12" s="1" t="s">
        <v>394</v>
      </c>
      <c r="E12" s="1" t="s">
        <v>987</v>
      </c>
      <c r="F12" s="1" t="s">
        <v>1013</v>
      </c>
      <c r="G12" s="1" t="s">
        <v>1003</v>
      </c>
      <c r="H12" s="1" t="s">
        <v>1003</v>
      </c>
      <c r="I12" s="1"/>
      <c r="J12" s="1" t="s">
        <v>994</v>
      </c>
      <c r="K12" s="1" t="s">
        <v>394</v>
      </c>
      <c r="L12" s="1" t="s">
        <v>1009</v>
      </c>
      <c r="M12" s="1" t="s">
        <v>394</v>
      </c>
      <c r="N12" s="1" t="s">
        <v>1014</v>
      </c>
      <c r="O12" s="1" t="s">
        <v>968</v>
      </c>
      <c r="P12" s="1" t="s">
        <v>1002</v>
      </c>
      <c r="Q12" s="1" t="s">
        <v>993</v>
      </c>
      <c r="R12" s="1" t="s">
        <v>394</v>
      </c>
      <c r="S12" s="1" t="s">
        <v>1015</v>
      </c>
      <c r="T12" s="1" t="s">
        <v>1013</v>
      </c>
      <c r="U12" s="1" t="s">
        <v>1015</v>
      </c>
      <c r="V12" s="1" t="s">
        <v>1015</v>
      </c>
      <c r="W12" s="1" t="s">
        <v>988</v>
      </c>
      <c r="X12" s="1" t="s">
        <v>982</v>
      </c>
      <c r="Y12" s="1" t="s">
        <v>394</v>
      </c>
      <c r="Z12" s="1" t="s">
        <v>1016</v>
      </c>
      <c r="AA12" s="1" t="s">
        <v>1017</v>
      </c>
      <c r="AB12" s="1" t="s">
        <v>1015</v>
      </c>
      <c r="AC12" s="1" t="s">
        <v>1007</v>
      </c>
      <c r="AD12" s="1" t="s">
        <v>982</v>
      </c>
      <c r="AE12" s="1" t="s">
        <v>1001</v>
      </c>
      <c r="AF12" s="1" t="s">
        <v>394</v>
      </c>
      <c r="AG12" s="1" t="s">
        <v>394</v>
      </c>
      <c r="AH12" s="1" t="s">
        <v>1018</v>
      </c>
      <c r="AI12" s="501">
        <v>43056.2297915741</v>
      </c>
    </row>
    <row r="13" spans="1:35" x14ac:dyDescent="0.4">
      <c r="A13" s="1" t="s">
        <v>328</v>
      </c>
      <c r="B13" s="275" t="s">
        <v>890</v>
      </c>
      <c r="C13" s="1" t="s">
        <v>394</v>
      </c>
      <c r="D13" s="1" t="s">
        <v>394</v>
      </c>
      <c r="E13" s="1" t="s">
        <v>394</v>
      </c>
      <c r="F13" s="1" t="s">
        <v>394</v>
      </c>
      <c r="G13" s="1" t="s">
        <v>394</v>
      </c>
      <c r="H13" s="1" t="s">
        <v>991</v>
      </c>
      <c r="I13" s="1"/>
      <c r="J13" s="1" t="s">
        <v>394</v>
      </c>
      <c r="K13" s="1" t="s">
        <v>394</v>
      </c>
      <c r="L13" s="1" t="s">
        <v>394</v>
      </c>
      <c r="M13" s="1" t="s">
        <v>394</v>
      </c>
      <c r="N13" s="1" t="s">
        <v>992</v>
      </c>
      <c r="O13" s="1" t="s">
        <v>994</v>
      </c>
      <c r="P13" s="1" t="s">
        <v>991</v>
      </c>
      <c r="Q13" s="1" t="s">
        <v>991</v>
      </c>
      <c r="R13" s="1" t="s">
        <v>394</v>
      </c>
      <c r="S13" s="1" t="s">
        <v>989</v>
      </c>
      <c r="T13" s="1" t="s">
        <v>1009</v>
      </c>
      <c r="U13" s="1" t="s">
        <v>998</v>
      </c>
      <c r="V13" s="1" t="s">
        <v>1015</v>
      </c>
      <c r="W13" s="1" t="s">
        <v>998</v>
      </c>
      <c r="X13" s="1" t="s">
        <v>987</v>
      </c>
      <c r="Y13" s="1" t="s">
        <v>394</v>
      </c>
      <c r="Z13" s="1" t="s">
        <v>989</v>
      </c>
      <c r="AA13" s="1" t="s">
        <v>394</v>
      </c>
      <c r="AB13" s="1" t="s">
        <v>989</v>
      </c>
      <c r="AC13" s="1" t="s">
        <v>394</v>
      </c>
      <c r="AD13" s="1" t="s">
        <v>991</v>
      </c>
      <c r="AE13" s="1" t="s">
        <v>991</v>
      </c>
      <c r="AF13" s="1" t="s">
        <v>394</v>
      </c>
      <c r="AG13" s="1" t="s">
        <v>394</v>
      </c>
      <c r="AH13" s="1" t="s">
        <v>1019</v>
      </c>
      <c r="AI13" s="501">
        <v>43056.2297915741</v>
      </c>
    </row>
    <row r="14" spans="1:35" x14ac:dyDescent="0.4">
      <c r="A14" s="1" t="s">
        <v>328</v>
      </c>
      <c r="B14" s="275" t="s">
        <v>898</v>
      </c>
      <c r="C14" s="1" t="s">
        <v>394</v>
      </c>
      <c r="D14" s="1" t="s">
        <v>394</v>
      </c>
      <c r="E14" s="1" t="s">
        <v>394</v>
      </c>
      <c r="F14" s="1" t="s">
        <v>394</v>
      </c>
      <c r="G14" s="1" t="s">
        <v>394</v>
      </c>
      <c r="H14" s="1" t="s">
        <v>394</v>
      </c>
      <c r="I14" s="1"/>
      <c r="J14" s="1" t="s">
        <v>394</v>
      </c>
      <c r="K14" s="1" t="s">
        <v>394</v>
      </c>
      <c r="L14" s="1" t="s">
        <v>394</v>
      </c>
      <c r="M14" s="1" t="s">
        <v>394</v>
      </c>
      <c r="N14" s="1" t="s">
        <v>394</v>
      </c>
      <c r="O14" s="1" t="s">
        <v>394</v>
      </c>
      <c r="P14" s="1" t="s">
        <v>394</v>
      </c>
      <c r="Q14" s="1" t="s">
        <v>394</v>
      </c>
      <c r="R14" s="1" t="s">
        <v>394</v>
      </c>
      <c r="S14" s="1" t="s">
        <v>394</v>
      </c>
      <c r="T14" s="1" t="s">
        <v>394</v>
      </c>
      <c r="U14" s="1" t="s">
        <v>394</v>
      </c>
      <c r="V14" s="1" t="s">
        <v>394</v>
      </c>
      <c r="W14" s="1" t="s">
        <v>394</v>
      </c>
      <c r="X14" s="1" t="s">
        <v>394</v>
      </c>
      <c r="Y14" s="1" t="s">
        <v>394</v>
      </c>
      <c r="Z14" s="1" t="s">
        <v>394</v>
      </c>
      <c r="AA14" s="1" t="s">
        <v>991</v>
      </c>
      <c r="AB14" s="1" t="s">
        <v>394</v>
      </c>
      <c r="AC14" s="1" t="s">
        <v>394</v>
      </c>
      <c r="AD14" s="1" t="s">
        <v>394</v>
      </c>
      <c r="AE14" s="1" t="s">
        <v>394</v>
      </c>
      <c r="AF14" s="1" t="s">
        <v>394</v>
      </c>
      <c r="AG14" s="1" t="s">
        <v>394</v>
      </c>
      <c r="AH14" s="1" t="s">
        <v>236</v>
      </c>
      <c r="AI14" s="501">
        <v>43056.2297915741</v>
      </c>
    </row>
    <row r="15" spans="1:35" x14ac:dyDescent="0.4">
      <c r="A15" s="1" t="s">
        <v>328</v>
      </c>
      <c r="B15" s="275" t="s">
        <v>935</v>
      </c>
      <c r="C15" s="1" t="s">
        <v>394</v>
      </c>
      <c r="D15" s="1" t="s">
        <v>394</v>
      </c>
      <c r="E15" s="1" t="s">
        <v>394</v>
      </c>
      <c r="F15" s="1" t="s">
        <v>394</v>
      </c>
      <c r="G15" s="1" t="s">
        <v>394</v>
      </c>
      <c r="H15" s="1" t="s">
        <v>394</v>
      </c>
      <c r="I15" s="1"/>
      <c r="J15" s="1" t="s">
        <v>394</v>
      </c>
      <c r="K15" s="1" t="s">
        <v>394</v>
      </c>
      <c r="L15" s="1" t="s">
        <v>394</v>
      </c>
      <c r="M15" s="1" t="s">
        <v>394</v>
      </c>
      <c r="N15" s="1" t="s">
        <v>394</v>
      </c>
      <c r="O15" s="1" t="s">
        <v>394</v>
      </c>
      <c r="P15" s="1" t="s">
        <v>394</v>
      </c>
      <c r="Q15" s="1" t="s">
        <v>394</v>
      </c>
      <c r="R15" s="1" t="s">
        <v>394</v>
      </c>
      <c r="S15" s="1" t="s">
        <v>394</v>
      </c>
      <c r="T15" s="1" t="s">
        <v>394</v>
      </c>
      <c r="U15" s="1" t="s">
        <v>394</v>
      </c>
      <c r="V15" s="1" t="s">
        <v>394</v>
      </c>
      <c r="W15" s="1" t="s">
        <v>394</v>
      </c>
      <c r="X15" s="1" t="s">
        <v>394</v>
      </c>
      <c r="Y15" s="1" t="s">
        <v>394</v>
      </c>
      <c r="Z15" s="1" t="s">
        <v>394</v>
      </c>
      <c r="AA15" s="1" t="s">
        <v>394</v>
      </c>
      <c r="AB15" s="1" t="s">
        <v>394</v>
      </c>
      <c r="AC15" s="1" t="s">
        <v>394</v>
      </c>
      <c r="AD15" s="1" t="s">
        <v>394</v>
      </c>
      <c r="AE15" s="1" t="s">
        <v>394</v>
      </c>
      <c r="AF15" s="1" t="s">
        <v>394</v>
      </c>
      <c r="AG15" s="1" t="s">
        <v>394</v>
      </c>
      <c r="AH15" s="1" t="s">
        <v>804</v>
      </c>
      <c r="AI15" s="501">
        <v>43056.2297915741</v>
      </c>
    </row>
    <row r="16" spans="1:35" x14ac:dyDescent="0.4">
      <c r="A16" s="1" t="s">
        <v>328</v>
      </c>
      <c r="B16" s="275" t="s">
        <v>936</v>
      </c>
      <c r="C16" s="1" t="s">
        <v>394</v>
      </c>
      <c r="D16" s="1" t="s">
        <v>394</v>
      </c>
      <c r="E16" s="1" t="s">
        <v>394</v>
      </c>
      <c r="F16" s="1" t="s">
        <v>394</v>
      </c>
      <c r="G16" s="1" t="s">
        <v>394</v>
      </c>
      <c r="H16" s="1" t="s">
        <v>394</v>
      </c>
      <c r="I16" s="1"/>
      <c r="J16" s="1" t="s">
        <v>394</v>
      </c>
      <c r="K16" s="1" t="s">
        <v>394</v>
      </c>
      <c r="L16" s="1" t="s">
        <v>394</v>
      </c>
      <c r="M16" s="1" t="s">
        <v>394</v>
      </c>
      <c r="N16" s="1" t="s">
        <v>394</v>
      </c>
      <c r="O16" s="1" t="s">
        <v>394</v>
      </c>
      <c r="P16" s="1" t="s">
        <v>394</v>
      </c>
      <c r="Q16" s="1" t="s">
        <v>394</v>
      </c>
      <c r="R16" s="1" t="s">
        <v>394</v>
      </c>
      <c r="S16" s="1" t="s">
        <v>394</v>
      </c>
      <c r="T16" s="1" t="s">
        <v>394</v>
      </c>
      <c r="U16" s="1" t="s">
        <v>394</v>
      </c>
      <c r="V16" s="1" t="s">
        <v>394</v>
      </c>
      <c r="W16" s="1" t="s">
        <v>394</v>
      </c>
      <c r="X16" s="1" t="s">
        <v>394</v>
      </c>
      <c r="Y16" s="1" t="s">
        <v>394</v>
      </c>
      <c r="Z16" s="1" t="s">
        <v>394</v>
      </c>
      <c r="AA16" s="1" t="s">
        <v>394</v>
      </c>
      <c r="AB16" s="1" t="s">
        <v>394</v>
      </c>
      <c r="AC16" s="1" t="s">
        <v>394</v>
      </c>
      <c r="AD16" s="1" t="s">
        <v>394</v>
      </c>
      <c r="AE16" s="1" t="s">
        <v>394</v>
      </c>
      <c r="AF16" s="1" t="s">
        <v>394</v>
      </c>
      <c r="AG16" s="1" t="s">
        <v>394</v>
      </c>
      <c r="AH16" s="1" t="s">
        <v>804</v>
      </c>
      <c r="AI16" s="501">
        <v>43056.2297915741</v>
      </c>
    </row>
    <row r="17" spans="1:35" x14ac:dyDescent="0.4">
      <c r="A17" s="1" t="s">
        <v>328</v>
      </c>
      <c r="B17" s="275" t="s">
        <v>937</v>
      </c>
      <c r="C17" s="1" t="s">
        <v>394</v>
      </c>
      <c r="D17" s="1" t="s">
        <v>394</v>
      </c>
      <c r="E17" s="1" t="s">
        <v>394</v>
      </c>
      <c r="F17" s="1" t="s">
        <v>394</v>
      </c>
      <c r="G17" s="1" t="s">
        <v>394</v>
      </c>
      <c r="H17" s="1" t="s">
        <v>394</v>
      </c>
      <c r="I17" s="1"/>
      <c r="J17" s="1" t="s">
        <v>394</v>
      </c>
      <c r="K17" s="1" t="s">
        <v>394</v>
      </c>
      <c r="L17" s="1" t="s">
        <v>394</v>
      </c>
      <c r="M17" s="1" t="s">
        <v>394</v>
      </c>
      <c r="N17" s="1" t="s">
        <v>394</v>
      </c>
      <c r="O17" s="1" t="s">
        <v>394</v>
      </c>
      <c r="P17" s="1" t="s">
        <v>394</v>
      </c>
      <c r="Q17" s="1" t="s">
        <v>394</v>
      </c>
      <c r="R17" s="1" t="s">
        <v>394</v>
      </c>
      <c r="S17" s="1" t="s">
        <v>394</v>
      </c>
      <c r="T17" s="1" t="s">
        <v>394</v>
      </c>
      <c r="U17" s="1" t="s">
        <v>394</v>
      </c>
      <c r="V17" s="1" t="s">
        <v>394</v>
      </c>
      <c r="W17" s="1" t="s">
        <v>394</v>
      </c>
      <c r="X17" s="1" t="s">
        <v>394</v>
      </c>
      <c r="Y17" s="1" t="s">
        <v>394</v>
      </c>
      <c r="Z17" s="1" t="s">
        <v>394</v>
      </c>
      <c r="AA17" s="1" t="s">
        <v>394</v>
      </c>
      <c r="AB17" s="1" t="s">
        <v>394</v>
      </c>
      <c r="AC17" s="1" t="s">
        <v>394</v>
      </c>
      <c r="AD17" s="1" t="s">
        <v>394</v>
      </c>
      <c r="AE17" s="1" t="s">
        <v>394</v>
      </c>
      <c r="AF17" s="1" t="s">
        <v>394</v>
      </c>
      <c r="AG17" s="1" t="s">
        <v>394</v>
      </c>
      <c r="AH17" s="1" t="s">
        <v>804</v>
      </c>
      <c r="AI17" s="501">
        <v>43056.2297915741</v>
      </c>
    </row>
    <row r="18" spans="1:35" x14ac:dyDescent="0.4">
      <c r="A18" s="1" t="s">
        <v>328</v>
      </c>
      <c r="B18" s="275" t="s">
        <v>938</v>
      </c>
      <c r="C18" s="1" t="s">
        <v>394</v>
      </c>
      <c r="D18" s="1" t="s">
        <v>394</v>
      </c>
      <c r="E18" s="1" t="s">
        <v>394</v>
      </c>
      <c r="F18" s="1" t="s">
        <v>394</v>
      </c>
      <c r="G18" s="1" t="s">
        <v>394</v>
      </c>
      <c r="H18" s="1" t="s">
        <v>394</v>
      </c>
      <c r="I18" s="1"/>
      <c r="J18" s="1" t="s">
        <v>394</v>
      </c>
      <c r="K18" s="1" t="s">
        <v>394</v>
      </c>
      <c r="L18" s="1" t="s">
        <v>394</v>
      </c>
      <c r="M18" s="1" t="s">
        <v>394</v>
      </c>
      <c r="N18" s="1" t="s">
        <v>394</v>
      </c>
      <c r="O18" s="1" t="s">
        <v>394</v>
      </c>
      <c r="P18" s="1" t="s">
        <v>394</v>
      </c>
      <c r="Q18" s="1" t="s">
        <v>394</v>
      </c>
      <c r="R18" s="1" t="s">
        <v>394</v>
      </c>
      <c r="S18" s="1" t="s">
        <v>394</v>
      </c>
      <c r="T18" s="1" t="s">
        <v>394</v>
      </c>
      <c r="U18" s="1" t="s">
        <v>394</v>
      </c>
      <c r="V18" s="1" t="s">
        <v>394</v>
      </c>
      <c r="W18" s="1" t="s">
        <v>394</v>
      </c>
      <c r="X18" s="1" t="s">
        <v>394</v>
      </c>
      <c r="Y18" s="1" t="s">
        <v>394</v>
      </c>
      <c r="Z18" s="1" t="s">
        <v>394</v>
      </c>
      <c r="AA18" s="1" t="s">
        <v>394</v>
      </c>
      <c r="AB18" s="1" t="s">
        <v>394</v>
      </c>
      <c r="AC18" s="1" t="s">
        <v>394</v>
      </c>
      <c r="AD18" s="1" t="s">
        <v>394</v>
      </c>
      <c r="AE18" s="1" t="s">
        <v>394</v>
      </c>
      <c r="AF18" s="1" t="s">
        <v>394</v>
      </c>
      <c r="AG18" s="1" t="s">
        <v>394</v>
      </c>
      <c r="AH18" s="1" t="s">
        <v>804</v>
      </c>
      <c r="AI18" s="501">
        <v>43056.2297915741</v>
      </c>
    </row>
    <row r="19" spans="1:35" x14ac:dyDescent="0.4">
      <c r="A19" s="1" t="s">
        <v>328</v>
      </c>
      <c r="B19" s="275" t="s">
        <v>939</v>
      </c>
      <c r="C19" s="1" t="s">
        <v>394</v>
      </c>
      <c r="D19" s="1" t="s">
        <v>394</v>
      </c>
      <c r="E19" s="1" t="s">
        <v>394</v>
      </c>
      <c r="F19" s="1" t="s">
        <v>394</v>
      </c>
      <c r="G19" s="1" t="s">
        <v>394</v>
      </c>
      <c r="H19" s="1" t="s">
        <v>394</v>
      </c>
      <c r="I19" s="1"/>
      <c r="J19" s="1" t="s">
        <v>394</v>
      </c>
      <c r="K19" s="1" t="s">
        <v>394</v>
      </c>
      <c r="L19" s="1" t="s">
        <v>394</v>
      </c>
      <c r="M19" s="1" t="s">
        <v>394</v>
      </c>
      <c r="N19" s="1" t="s">
        <v>394</v>
      </c>
      <c r="O19" s="1" t="s">
        <v>394</v>
      </c>
      <c r="P19" s="1" t="s">
        <v>394</v>
      </c>
      <c r="Q19" s="1" t="s">
        <v>394</v>
      </c>
      <c r="R19" s="1" t="s">
        <v>394</v>
      </c>
      <c r="S19" s="1" t="s">
        <v>394</v>
      </c>
      <c r="T19" s="1" t="s">
        <v>394</v>
      </c>
      <c r="U19" s="1" t="s">
        <v>394</v>
      </c>
      <c r="V19" s="1" t="s">
        <v>394</v>
      </c>
      <c r="W19" s="1" t="s">
        <v>394</v>
      </c>
      <c r="X19" s="1" t="s">
        <v>394</v>
      </c>
      <c r="Y19" s="1" t="s">
        <v>394</v>
      </c>
      <c r="Z19" s="1" t="s">
        <v>394</v>
      </c>
      <c r="AA19" s="1" t="s">
        <v>394</v>
      </c>
      <c r="AB19" s="1" t="s">
        <v>394</v>
      </c>
      <c r="AC19" s="1" t="s">
        <v>394</v>
      </c>
      <c r="AD19" s="1" t="s">
        <v>394</v>
      </c>
      <c r="AE19" s="1" t="s">
        <v>394</v>
      </c>
      <c r="AF19" s="1" t="s">
        <v>394</v>
      </c>
      <c r="AG19" s="1" t="s">
        <v>394</v>
      </c>
      <c r="AH19" s="1" t="s">
        <v>804</v>
      </c>
      <c r="AI19" s="501">
        <v>43056.2297915741</v>
      </c>
    </row>
    <row r="20" spans="1:35" x14ac:dyDescent="0.4">
      <c r="A20" s="502" t="s">
        <v>328</v>
      </c>
      <c r="B20" s="275" t="s">
        <v>940</v>
      </c>
      <c r="C20" s="502" t="s">
        <v>973</v>
      </c>
      <c r="D20" s="502" t="s">
        <v>394</v>
      </c>
      <c r="E20" s="502" t="s">
        <v>1020</v>
      </c>
      <c r="F20" s="502" t="s">
        <v>983</v>
      </c>
      <c r="G20" s="502" t="s">
        <v>1021</v>
      </c>
      <c r="H20" s="502" t="s">
        <v>997</v>
      </c>
      <c r="I20" s="502"/>
      <c r="J20" s="502" t="s">
        <v>1022</v>
      </c>
      <c r="K20" s="502" t="s">
        <v>394</v>
      </c>
      <c r="L20" s="502" t="s">
        <v>1023</v>
      </c>
      <c r="M20" s="502" t="s">
        <v>394</v>
      </c>
      <c r="N20" s="502" t="s">
        <v>1024</v>
      </c>
      <c r="O20" s="502" t="s">
        <v>1005</v>
      </c>
      <c r="P20" s="502" t="s">
        <v>1005</v>
      </c>
      <c r="Q20" s="502" t="s">
        <v>1007</v>
      </c>
      <c r="R20" s="502" t="s">
        <v>394</v>
      </c>
      <c r="S20" s="502" t="s">
        <v>1025</v>
      </c>
      <c r="T20" s="502" t="s">
        <v>968</v>
      </c>
      <c r="U20" s="502" t="s">
        <v>978</v>
      </c>
      <c r="V20" s="502" t="s">
        <v>996</v>
      </c>
      <c r="W20" s="502" t="s">
        <v>1013</v>
      </c>
      <c r="X20" s="502" t="s">
        <v>1026</v>
      </c>
      <c r="Y20" s="502" t="s">
        <v>394</v>
      </c>
      <c r="Z20" s="502" t="s">
        <v>983</v>
      </c>
      <c r="AA20" s="502" t="s">
        <v>982</v>
      </c>
      <c r="AB20" s="502" t="s">
        <v>1000</v>
      </c>
      <c r="AC20" s="502" t="s">
        <v>1013</v>
      </c>
      <c r="AD20" s="502" t="s">
        <v>1026</v>
      </c>
      <c r="AE20" s="502" t="s">
        <v>1001</v>
      </c>
      <c r="AF20" s="502" t="s">
        <v>394</v>
      </c>
      <c r="AG20" s="502" t="s">
        <v>394</v>
      </c>
      <c r="AH20" s="502" t="s">
        <v>1027</v>
      </c>
    </row>
    <row r="21" spans="1:35" x14ac:dyDescent="0.4">
      <c r="B21" s="275"/>
    </row>
    <row r="22" spans="1:35" x14ac:dyDescent="0.4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" x14ac:dyDescent="0.4"/>
  <cols>
    <col min="3" max="7" width="10.453125" bestFit="1" customWidth="1"/>
    <col min="8" max="8" width="10.26953125" customWidth="1"/>
    <col min="34" max="34" width="9.453125" bestFit="1" customWidth="1"/>
    <col min="35" max="35" width="11" customWidth="1"/>
  </cols>
  <sheetData>
    <row r="1" spans="1:35" ht="18" customHeight="1" x14ac:dyDescent="0.4">
      <c r="A1" s="1" t="s">
        <v>294</v>
      </c>
      <c r="B1" s="1" t="s">
        <v>918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362</v>
      </c>
    </row>
    <row r="2" spans="1:35" x14ac:dyDescent="0.4">
      <c r="A2" s="1" t="s">
        <v>328</v>
      </c>
      <c r="B2" s="1" t="s">
        <v>236</v>
      </c>
      <c r="C2" s="1" t="s">
        <v>1028</v>
      </c>
      <c r="D2" s="1" t="s">
        <v>1029</v>
      </c>
      <c r="E2" s="1" t="s">
        <v>1030</v>
      </c>
      <c r="F2" s="1" t="s">
        <v>1031</v>
      </c>
      <c r="G2" s="1" t="s">
        <v>1032</v>
      </c>
      <c r="H2" s="1" t="s">
        <v>1033</v>
      </c>
      <c r="I2" s="1" t="s">
        <v>1034</v>
      </c>
      <c r="J2" s="1" t="s">
        <v>1035</v>
      </c>
      <c r="K2" s="1" t="s">
        <v>1036</v>
      </c>
      <c r="L2" s="1" t="s">
        <v>1037</v>
      </c>
      <c r="M2" s="1" t="s">
        <v>1038</v>
      </c>
      <c r="N2" s="1" t="s">
        <v>1039</v>
      </c>
      <c r="O2" s="1" t="s">
        <v>1040</v>
      </c>
      <c r="P2" s="1" t="s">
        <v>1041</v>
      </c>
      <c r="Q2" s="1" t="s">
        <v>1042</v>
      </c>
      <c r="R2" s="1" t="s">
        <v>1043</v>
      </c>
      <c r="S2" s="1" t="s">
        <v>1044</v>
      </c>
      <c r="T2" s="1" t="s">
        <v>1045</v>
      </c>
      <c r="U2" s="1" t="s">
        <v>1046</v>
      </c>
      <c r="V2" s="1" t="s">
        <v>1047</v>
      </c>
      <c r="W2" s="1" t="s">
        <v>1048</v>
      </c>
      <c r="X2" s="1" t="s">
        <v>1049</v>
      </c>
      <c r="Y2" s="1" t="s">
        <v>1050</v>
      </c>
      <c r="Z2" s="1" t="s">
        <v>1051</v>
      </c>
      <c r="AA2" s="1" t="s">
        <v>1052</v>
      </c>
      <c r="AB2" s="1" t="s">
        <v>1053</v>
      </c>
      <c r="AC2" s="1" t="s">
        <v>1054</v>
      </c>
      <c r="AD2" s="1" t="s">
        <v>1055</v>
      </c>
      <c r="AE2" s="1" t="s">
        <v>1056</v>
      </c>
      <c r="AF2" s="1" t="s">
        <v>1057</v>
      </c>
      <c r="AG2" s="1" t="s">
        <v>394</v>
      </c>
      <c r="AH2" s="1" t="s">
        <v>1058</v>
      </c>
      <c r="AI2" s="501">
        <v>43056.229888680602</v>
      </c>
    </row>
    <row r="3" spans="1:35" x14ac:dyDescent="0.4">
      <c r="A3" s="1" t="s">
        <v>328</v>
      </c>
      <c r="B3" s="1" t="s">
        <v>237</v>
      </c>
      <c r="C3" s="1" t="s">
        <v>1059</v>
      </c>
      <c r="D3" s="1" t="s">
        <v>1059</v>
      </c>
      <c r="E3" s="1" t="s">
        <v>1060</v>
      </c>
      <c r="F3" s="1" t="s">
        <v>1061</v>
      </c>
      <c r="G3" s="1" t="s">
        <v>1062</v>
      </c>
      <c r="H3" s="1" t="s">
        <v>1063</v>
      </c>
      <c r="I3" s="1" t="s">
        <v>1064</v>
      </c>
      <c r="J3" s="1" t="s">
        <v>1065</v>
      </c>
      <c r="K3" s="1" t="s">
        <v>1065</v>
      </c>
      <c r="L3" s="1" t="s">
        <v>1066</v>
      </c>
      <c r="M3" s="1" t="s">
        <v>1067</v>
      </c>
      <c r="N3" s="1" t="s">
        <v>1068</v>
      </c>
      <c r="O3" s="1" t="s">
        <v>1069</v>
      </c>
      <c r="P3" s="1" t="s">
        <v>1070</v>
      </c>
      <c r="Q3" s="1" t="s">
        <v>1071</v>
      </c>
      <c r="R3" s="1" t="s">
        <v>1072</v>
      </c>
      <c r="S3" s="1" t="s">
        <v>1073</v>
      </c>
      <c r="T3" s="1" t="s">
        <v>1074</v>
      </c>
      <c r="U3" s="1" t="s">
        <v>1075</v>
      </c>
      <c r="V3" s="1" t="s">
        <v>1076</v>
      </c>
      <c r="W3" s="1" t="s">
        <v>1077</v>
      </c>
      <c r="X3" s="1" t="s">
        <v>1078</v>
      </c>
      <c r="Y3" s="1" t="s">
        <v>1079</v>
      </c>
      <c r="Z3" s="1" t="s">
        <v>1080</v>
      </c>
      <c r="AA3" s="1" t="s">
        <v>1081</v>
      </c>
      <c r="AB3" s="1" t="s">
        <v>1082</v>
      </c>
      <c r="AC3" s="1" t="s">
        <v>1083</v>
      </c>
      <c r="AD3" s="1" t="s">
        <v>1084</v>
      </c>
      <c r="AE3" s="1" t="s">
        <v>1085</v>
      </c>
      <c r="AF3" s="1" t="s">
        <v>1086</v>
      </c>
      <c r="AG3" s="1" t="s">
        <v>394</v>
      </c>
      <c r="AH3" s="1" t="s">
        <v>1087</v>
      </c>
      <c r="AI3" s="501">
        <v>43056.229888680602</v>
      </c>
    </row>
    <row r="4" spans="1:35" x14ac:dyDescent="0.4">
      <c r="A4" s="1" t="s">
        <v>328</v>
      </c>
      <c r="B4" s="1" t="s">
        <v>919</v>
      </c>
      <c r="C4" s="1" t="s">
        <v>1088</v>
      </c>
      <c r="D4" s="1" t="s">
        <v>1088</v>
      </c>
      <c r="E4" s="1" t="s">
        <v>1089</v>
      </c>
      <c r="F4" s="1" t="s">
        <v>1090</v>
      </c>
      <c r="G4" s="1" t="s">
        <v>1091</v>
      </c>
      <c r="H4" s="1" t="s">
        <v>1092</v>
      </c>
      <c r="I4" s="1" t="s">
        <v>1093</v>
      </c>
      <c r="J4" s="1" t="s">
        <v>1094</v>
      </c>
      <c r="K4" s="1" t="s">
        <v>1094</v>
      </c>
      <c r="L4" s="1" t="s">
        <v>1095</v>
      </c>
      <c r="M4" s="1" t="s">
        <v>1096</v>
      </c>
      <c r="N4" s="1" t="s">
        <v>1097</v>
      </c>
      <c r="O4" s="1" t="s">
        <v>1098</v>
      </c>
      <c r="P4" s="1" t="s">
        <v>1099</v>
      </c>
      <c r="Q4" s="1" t="s">
        <v>1100</v>
      </c>
      <c r="R4" s="1" t="s">
        <v>1101</v>
      </c>
      <c r="S4" s="1" t="s">
        <v>1102</v>
      </c>
      <c r="T4" s="1" t="s">
        <v>1103</v>
      </c>
      <c r="U4" s="1" t="s">
        <v>1104</v>
      </c>
      <c r="V4" s="1" t="s">
        <v>1105</v>
      </c>
      <c r="W4" s="1" t="s">
        <v>1106</v>
      </c>
      <c r="X4" s="1" t="s">
        <v>1107</v>
      </c>
      <c r="Y4" s="1" t="s">
        <v>1107</v>
      </c>
      <c r="Z4" s="1" t="s">
        <v>1108</v>
      </c>
      <c r="AA4" s="306" t="s">
        <v>1109</v>
      </c>
      <c r="AB4" s="1" t="s">
        <v>1110</v>
      </c>
      <c r="AC4" s="1" t="s">
        <v>1111</v>
      </c>
      <c r="AD4" s="1" t="s">
        <v>1112</v>
      </c>
      <c r="AE4" s="1" t="s">
        <v>1113</v>
      </c>
      <c r="AF4" s="1" t="s">
        <v>1114</v>
      </c>
      <c r="AG4" s="1" t="s">
        <v>394</v>
      </c>
      <c r="AH4" s="1" t="s">
        <v>1115</v>
      </c>
      <c r="AI4" s="501">
        <v>43056.229888680602</v>
      </c>
    </row>
    <row r="5" spans="1:35" x14ac:dyDescent="0.4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" x14ac:dyDescent="0.4"/>
  <sheetData>
    <row r="1" spans="1:36" x14ac:dyDescent="0.4">
      <c r="A1" s="1" t="s">
        <v>294</v>
      </c>
      <c r="B1" s="1" t="s">
        <v>360</v>
      </c>
      <c r="C1" s="1" t="s">
        <v>918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362</v>
      </c>
    </row>
    <row r="2" spans="1:36" x14ac:dyDescent="0.4">
      <c r="A2" s="1" t="s">
        <v>328</v>
      </c>
      <c r="B2" s="1" t="s">
        <v>72</v>
      </c>
      <c r="C2" s="1" t="s">
        <v>236</v>
      </c>
      <c r="D2" s="1" t="s">
        <v>1116</v>
      </c>
      <c r="E2" s="1" t="s">
        <v>1116</v>
      </c>
      <c r="F2" s="1" t="s">
        <v>1117</v>
      </c>
      <c r="G2" s="1" t="s">
        <v>1118</v>
      </c>
      <c r="H2" s="1" t="s">
        <v>1119</v>
      </c>
      <c r="I2" s="1" t="s">
        <v>1120</v>
      </c>
      <c r="J2" s="1" t="s">
        <v>1121</v>
      </c>
      <c r="K2" s="1" t="s">
        <v>1122</v>
      </c>
      <c r="L2" s="1" t="s">
        <v>1122</v>
      </c>
      <c r="M2" s="1" t="s">
        <v>1123</v>
      </c>
      <c r="N2" s="1" t="s">
        <v>1123</v>
      </c>
      <c r="O2" s="1" t="s">
        <v>1124</v>
      </c>
      <c r="P2" s="1" t="s">
        <v>1125</v>
      </c>
      <c r="Q2" s="1" t="s">
        <v>1126</v>
      </c>
      <c r="R2" s="1" t="s">
        <v>1127</v>
      </c>
      <c r="S2" s="1" t="s">
        <v>1127</v>
      </c>
      <c r="T2" s="1" t="s">
        <v>1128</v>
      </c>
      <c r="U2" s="1" t="s">
        <v>1129</v>
      </c>
      <c r="V2" s="1" t="s">
        <v>1130</v>
      </c>
      <c r="W2" s="1" t="s">
        <v>1131</v>
      </c>
      <c r="X2" s="1" t="s">
        <v>1132</v>
      </c>
      <c r="Y2" s="1" t="s">
        <v>1133</v>
      </c>
      <c r="Z2" s="1" t="s">
        <v>1133</v>
      </c>
      <c r="AA2" s="1" t="s">
        <v>1134</v>
      </c>
      <c r="AB2" s="1" t="s">
        <v>1135</v>
      </c>
      <c r="AC2" s="1" t="s">
        <v>1136</v>
      </c>
      <c r="AD2" s="1" t="s">
        <v>1137</v>
      </c>
      <c r="AE2" s="1" t="s">
        <v>1138</v>
      </c>
      <c r="AF2" s="1" t="s">
        <v>1139</v>
      </c>
      <c r="AG2" s="1" t="s">
        <v>1139</v>
      </c>
      <c r="AH2" s="1" t="s">
        <v>394</v>
      </c>
      <c r="AI2" s="1" t="s">
        <v>1140</v>
      </c>
      <c r="AJ2" s="501">
        <v>43056.229889050897</v>
      </c>
    </row>
    <row r="3" spans="1:36" x14ac:dyDescent="0.4">
      <c r="A3" s="1" t="s">
        <v>328</v>
      </c>
      <c r="B3" s="1" t="s">
        <v>72</v>
      </c>
      <c r="C3" s="1" t="s">
        <v>237</v>
      </c>
      <c r="D3" s="1" t="s">
        <v>1141</v>
      </c>
      <c r="E3" s="1" t="s">
        <v>1141</v>
      </c>
      <c r="F3" s="1" t="s">
        <v>1142</v>
      </c>
      <c r="G3" s="1" t="s">
        <v>1143</v>
      </c>
      <c r="H3" s="1" t="s">
        <v>1144</v>
      </c>
      <c r="I3" s="1" t="s">
        <v>1145</v>
      </c>
      <c r="J3" s="1" t="s">
        <v>1146</v>
      </c>
      <c r="K3" s="1" t="s">
        <v>1147</v>
      </c>
      <c r="L3" s="1" t="s">
        <v>1147</v>
      </c>
      <c r="M3" s="1" t="s">
        <v>1148</v>
      </c>
      <c r="N3" s="1" t="s">
        <v>1148</v>
      </c>
      <c r="O3" s="1" t="s">
        <v>1149</v>
      </c>
      <c r="P3" s="1" t="s">
        <v>1150</v>
      </c>
      <c r="Q3" s="1" t="s">
        <v>1151</v>
      </c>
      <c r="R3" s="1" t="s">
        <v>1152</v>
      </c>
      <c r="S3" s="1" t="s">
        <v>1152</v>
      </c>
      <c r="T3" s="1" t="s">
        <v>1153</v>
      </c>
      <c r="U3" s="1" t="s">
        <v>1154</v>
      </c>
      <c r="V3" s="1" t="s">
        <v>1155</v>
      </c>
      <c r="W3" s="1" t="s">
        <v>1156</v>
      </c>
      <c r="X3" s="1" t="s">
        <v>1157</v>
      </c>
      <c r="Y3" s="1" t="s">
        <v>1158</v>
      </c>
      <c r="Z3" s="1" t="s">
        <v>1158</v>
      </c>
      <c r="AA3" s="1" t="s">
        <v>1159</v>
      </c>
      <c r="AB3" s="1" t="s">
        <v>1160</v>
      </c>
      <c r="AC3" s="1" t="s">
        <v>1161</v>
      </c>
      <c r="AD3" s="1" t="s">
        <v>1162</v>
      </c>
      <c r="AE3" s="1" t="s">
        <v>1163</v>
      </c>
      <c r="AF3" s="1" t="s">
        <v>1164</v>
      </c>
      <c r="AG3" s="1" t="s">
        <v>1164</v>
      </c>
      <c r="AH3" s="1" t="s">
        <v>394</v>
      </c>
      <c r="AI3" s="1" t="s">
        <v>1165</v>
      </c>
      <c r="AJ3" s="501">
        <v>43056.229889050897</v>
      </c>
    </row>
    <row r="4" spans="1:36" x14ac:dyDescent="0.4">
      <c r="A4" s="1" t="s">
        <v>328</v>
      </c>
      <c r="B4" s="1" t="s">
        <v>72</v>
      </c>
      <c r="C4" s="1" t="s">
        <v>919</v>
      </c>
      <c r="D4" s="1" t="s">
        <v>1166</v>
      </c>
      <c r="E4" s="1" t="s">
        <v>1166</v>
      </c>
      <c r="F4" s="1" t="s">
        <v>1167</v>
      </c>
      <c r="G4" s="1" t="s">
        <v>1167</v>
      </c>
      <c r="H4" s="1" t="s">
        <v>1168</v>
      </c>
      <c r="I4" s="1" t="s">
        <v>1169</v>
      </c>
      <c r="J4" s="1" t="s">
        <v>1170</v>
      </c>
      <c r="K4" s="1" t="s">
        <v>1170</v>
      </c>
      <c r="L4" s="1" t="s">
        <v>1170</v>
      </c>
      <c r="M4" s="1" t="s">
        <v>1171</v>
      </c>
      <c r="N4" s="1" t="s">
        <v>1171</v>
      </c>
      <c r="O4" s="1" t="s">
        <v>1172</v>
      </c>
      <c r="P4" s="1" t="s">
        <v>1173</v>
      </c>
      <c r="Q4" s="1" t="s">
        <v>1174</v>
      </c>
      <c r="R4" s="1" t="s">
        <v>1175</v>
      </c>
      <c r="S4" s="1" t="s">
        <v>1175</v>
      </c>
      <c r="T4" s="1" t="s">
        <v>1176</v>
      </c>
      <c r="U4" s="1" t="s">
        <v>1177</v>
      </c>
      <c r="V4" s="1" t="s">
        <v>1178</v>
      </c>
      <c r="W4" s="1" t="s">
        <v>1179</v>
      </c>
      <c r="X4" s="1" t="s">
        <v>1179</v>
      </c>
      <c r="Y4" s="1" t="s">
        <v>1180</v>
      </c>
      <c r="Z4" s="1" t="s">
        <v>1180</v>
      </c>
      <c r="AA4" s="1" t="s">
        <v>1181</v>
      </c>
      <c r="AB4" s="1" t="s">
        <v>1182</v>
      </c>
      <c r="AC4" s="1" t="s">
        <v>1183</v>
      </c>
      <c r="AD4" s="1" t="s">
        <v>1184</v>
      </c>
      <c r="AE4" s="1" t="s">
        <v>1185</v>
      </c>
      <c r="AF4" s="1" t="s">
        <v>1185</v>
      </c>
      <c r="AG4" s="1" t="s">
        <v>1186</v>
      </c>
      <c r="AH4" s="1" t="s">
        <v>394</v>
      </c>
      <c r="AI4" s="1" t="s">
        <v>1187</v>
      </c>
      <c r="AJ4" s="501">
        <v>43056.229889050897</v>
      </c>
    </row>
    <row r="5" spans="1:36" x14ac:dyDescent="0.4">
      <c r="A5" s="1" t="s">
        <v>328</v>
      </c>
      <c r="B5" s="1" t="s">
        <v>238</v>
      </c>
      <c r="C5" s="1" t="s">
        <v>236</v>
      </c>
      <c r="D5" s="1" t="s">
        <v>394</v>
      </c>
      <c r="E5" s="1" t="s">
        <v>394</v>
      </c>
      <c r="F5" s="1" t="s">
        <v>394</v>
      </c>
      <c r="G5" s="1" t="s">
        <v>394</v>
      </c>
      <c r="H5" s="1" t="s">
        <v>394</v>
      </c>
      <c r="I5" s="1" t="s">
        <v>394</v>
      </c>
      <c r="J5" s="1" t="s">
        <v>394</v>
      </c>
      <c r="K5" s="1" t="s">
        <v>394</v>
      </c>
      <c r="L5" s="1" t="s">
        <v>394</v>
      </c>
      <c r="M5" s="1" t="s">
        <v>394</v>
      </c>
      <c r="N5" s="1" t="s">
        <v>394</v>
      </c>
      <c r="O5" s="1" t="s">
        <v>394</v>
      </c>
      <c r="P5" s="1" t="s">
        <v>394</v>
      </c>
      <c r="Q5" s="1" t="s">
        <v>394</v>
      </c>
      <c r="R5" s="1" t="s">
        <v>394</v>
      </c>
      <c r="S5" s="1" t="s">
        <v>394</v>
      </c>
      <c r="T5" s="1" t="s">
        <v>394</v>
      </c>
      <c r="U5" s="1" t="s">
        <v>394</v>
      </c>
      <c r="V5" s="1" t="s">
        <v>394</v>
      </c>
      <c r="W5" s="1" t="s">
        <v>394</v>
      </c>
      <c r="X5" s="1" t="s">
        <v>394</v>
      </c>
      <c r="Y5" s="1" t="s">
        <v>394</v>
      </c>
      <c r="Z5" s="1" t="s">
        <v>394</v>
      </c>
      <c r="AA5" s="1" t="s">
        <v>394</v>
      </c>
      <c r="AB5" s="1" t="s">
        <v>394</v>
      </c>
      <c r="AC5" s="1" t="s">
        <v>394</v>
      </c>
      <c r="AD5" s="1" t="s">
        <v>394</v>
      </c>
      <c r="AE5" s="1" t="s">
        <v>394</v>
      </c>
      <c r="AF5" s="1" t="s">
        <v>394</v>
      </c>
      <c r="AG5" s="1" t="s">
        <v>394</v>
      </c>
      <c r="AH5" s="1" t="s">
        <v>394</v>
      </c>
      <c r="AI5" s="1" t="s">
        <v>394</v>
      </c>
      <c r="AJ5" s="501">
        <v>43056.229889050897</v>
      </c>
    </row>
    <row r="6" spans="1:36" x14ac:dyDescent="0.4">
      <c r="A6" s="1" t="s">
        <v>328</v>
      </c>
      <c r="B6" s="1" t="s">
        <v>238</v>
      </c>
      <c r="C6" s="1" t="s">
        <v>237</v>
      </c>
      <c r="D6" s="1" t="s">
        <v>394</v>
      </c>
      <c r="E6" s="1" t="s">
        <v>394</v>
      </c>
      <c r="F6" s="1" t="s">
        <v>394</v>
      </c>
      <c r="G6" s="1" t="s">
        <v>394</v>
      </c>
      <c r="H6" s="1" t="s">
        <v>394</v>
      </c>
      <c r="I6" s="1" t="s">
        <v>394</v>
      </c>
      <c r="J6" s="1" t="s">
        <v>394</v>
      </c>
      <c r="K6" s="1" t="s">
        <v>394</v>
      </c>
      <c r="L6" s="1" t="s">
        <v>394</v>
      </c>
      <c r="M6" s="1" t="s">
        <v>394</v>
      </c>
      <c r="N6" s="1" t="s">
        <v>394</v>
      </c>
      <c r="O6" s="1" t="s">
        <v>394</v>
      </c>
      <c r="P6" s="1" t="s">
        <v>394</v>
      </c>
      <c r="Q6" s="1" t="s">
        <v>394</v>
      </c>
      <c r="R6" s="1" t="s">
        <v>394</v>
      </c>
      <c r="S6" s="1" t="s">
        <v>394</v>
      </c>
      <c r="T6" s="1" t="s">
        <v>394</v>
      </c>
      <c r="U6" s="1" t="s">
        <v>394</v>
      </c>
      <c r="V6" s="1" t="s">
        <v>394</v>
      </c>
      <c r="W6" s="1" t="s">
        <v>394</v>
      </c>
      <c r="X6" s="1" t="s">
        <v>394</v>
      </c>
      <c r="Y6" s="1" t="s">
        <v>394</v>
      </c>
      <c r="Z6" s="1" t="s">
        <v>394</v>
      </c>
      <c r="AA6" s="1" t="s">
        <v>394</v>
      </c>
      <c r="AB6" s="1" t="s">
        <v>394</v>
      </c>
      <c r="AC6" s="1" t="s">
        <v>394</v>
      </c>
      <c r="AD6" s="1" t="s">
        <v>394</v>
      </c>
      <c r="AE6" s="1" t="s">
        <v>394</v>
      </c>
      <c r="AF6" s="1" t="s">
        <v>394</v>
      </c>
      <c r="AG6" s="1" t="s">
        <v>394</v>
      </c>
      <c r="AH6" s="1" t="s">
        <v>394</v>
      </c>
      <c r="AI6" s="1" t="s">
        <v>394</v>
      </c>
      <c r="AJ6" s="501">
        <v>43056.229889050897</v>
      </c>
    </row>
    <row r="7" spans="1:36" x14ac:dyDescent="0.4">
      <c r="A7" s="1" t="s">
        <v>328</v>
      </c>
      <c r="B7" s="1" t="s">
        <v>245</v>
      </c>
      <c r="C7" s="1" t="s">
        <v>236</v>
      </c>
      <c r="D7" s="1" t="s">
        <v>1188</v>
      </c>
      <c r="E7" s="1" t="s">
        <v>1188</v>
      </c>
      <c r="F7" s="1" t="s">
        <v>1189</v>
      </c>
      <c r="G7" s="1" t="s">
        <v>1190</v>
      </c>
      <c r="H7" s="1" t="s">
        <v>1191</v>
      </c>
      <c r="I7" s="1" t="s">
        <v>1192</v>
      </c>
      <c r="J7" s="1" t="s">
        <v>1193</v>
      </c>
      <c r="K7" s="1" t="s">
        <v>1193</v>
      </c>
      <c r="L7" s="1" t="s">
        <v>1193</v>
      </c>
      <c r="M7" s="1" t="s">
        <v>1194</v>
      </c>
      <c r="N7" s="1" t="s">
        <v>1194</v>
      </c>
      <c r="O7" s="1" t="s">
        <v>1195</v>
      </c>
      <c r="P7" s="1" t="s">
        <v>1196</v>
      </c>
      <c r="Q7" s="1" t="s">
        <v>1197</v>
      </c>
      <c r="R7" s="1" t="s">
        <v>1198</v>
      </c>
      <c r="S7" s="1" t="s">
        <v>1198</v>
      </c>
      <c r="T7" s="1" t="s">
        <v>1199</v>
      </c>
      <c r="U7" s="1" t="s">
        <v>1200</v>
      </c>
      <c r="V7" s="1" t="s">
        <v>1201</v>
      </c>
      <c r="W7" s="1" t="s">
        <v>1202</v>
      </c>
      <c r="X7" s="1" t="s">
        <v>1203</v>
      </c>
      <c r="Y7" s="1" t="s">
        <v>1204</v>
      </c>
      <c r="Z7" s="1" t="s">
        <v>1204</v>
      </c>
      <c r="AA7" s="1" t="s">
        <v>1205</v>
      </c>
      <c r="AB7" s="1" t="s">
        <v>1206</v>
      </c>
      <c r="AC7" s="1" t="s">
        <v>1207</v>
      </c>
      <c r="AD7" s="1" t="s">
        <v>1208</v>
      </c>
      <c r="AE7" s="1" t="s">
        <v>1209</v>
      </c>
      <c r="AF7" s="1" t="s">
        <v>1210</v>
      </c>
      <c r="AG7" s="1" t="s">
        <v>1210</v>
      </c>
      <c r="AH7" s="1" t="s">
        <v>394</v>
      </c>
      <c r="AI7" s="1" t="s">
        <v>1211</v>
      </c>
      <c r="AJ7" s="501">
        <v>43056.229889050897</v>
      </c>
    </row>
    <row r="8" spans="1:36" x14ac:dyDescent="0.4">
      <c r="A8" s="1" t="s">
        <v>328</v>
      </c>
      <c r="B8" s="1" t="s">
        <v>239</v>
      </c>
      <c r="C8" s="1" t="s">
        <v>236</v>
      </c>
      <c r="D8" s="1" t="s">
        <v>394</v>
      </c>
      <c r="E8" s="1" t="s">
        <v>394</v>
      </c>
      <c r="F8" s="1" t="s">
        <v>394</v>
      </c>
      <c r="G8" s="1" t="s">
        <v>394</v>
      </c>
      <c r="H8" s="1" t="s">
        <v>394</v>
      </c>
      <c r="I8" s="1" t="s">
        <v>394</v>
      </c>
      <c r="J8" s="1" t="s">
        <v>394</v>
      </c>
      <c r="K8" s="1" t="s">
        <v>394</v>
      </c>
      <c r="L8" s="1" t="s">
        <v>394</v>
      </c>
      <c r="M8" s="1" t="s">
        <v>394</v>
      </c>
      <c r="N8" s="1" t="s">
        <v>394</v>
      </c>
      <c r="O8" s="1" t="s">
        <v>394</v>
      </c>
      <c r="P8" s="1" t="s">
        <v>394</v>
      </c>
      <c r="Q8" s="1" t="s">
        <v>394</v>
      </c>
      <c r="R8" s="1" t="s">
        <v>394</v>
      </c>
      <c r="S8" s="1" t="s">
        <v>394</v>
      </c>
      <c r="T8" s="1" t="s">
        <v>394</v>
      </c>
      <c r="U8" s="1" t="s">
        <v>394</v>
      </c>
      <c r="V8" s="1" t="s">
        <v>394</v>
      </c>
      <c r="W8" s="1" t="s">
        <v>394</v>
      </c>
      <c r="X8" s="1" t="s">
        <v>394</v>
      </c>
      <c r="Y8" s="1" t="s">
        <v>394</v>
      </c>
      <c r="Z8" s="1" t="s">
        <v>394</v>
      </c>
      <c r="AA8" s="1" t="s">
        <v>394</v>
      </c>
      <c r="AB8" s="1" t="s">
        <v>394</v>
      </c>
      <c r="AC8" s="1" t="s">
        <v>394</v>
      </c>
      <c r="AD8" s="1" t="s">
        <v>394</v>
      </c>
      <c r="AE8" s="1" t="s">
        <v>394</v>
      </c>
      <c r="AF8" s="1" t="s">
        <v>394</v>
      </c>
      <c r="AG8" s="1" t="s">
        <v>394</v>
      </c>
      <c r="AH8" s="1" t="s">
        <v>394</v>
      </c>
      <c r="AI8" s="1" t="s">
        <v>394</v>
      </c>
      <c r="AJ8" s="501">
        <v>43056.229889050897</v>
      </c>
    </row>
    <row r="9" spans="1:36" x14ac:dyDescent="0.4">
      <c r="A9" s="1" t="s">
        <v>328</v>
      </c>
      <c r="B9" s="1" t="s">
        <v>239</v>
      </c>
      <c r="C9" s="1" t="s">
        <v>237</v>
      </c>
      <c r="D9" s="1" t="s">
        <v>394</v>
      </c>
      <c r="E9" s="1" t="s">
        <v>394</v>
      </c>
      <c r="F9" s="1" t="s">
        <v>394</v>
      </c>
      <c r="G9" s="1" t="s">
        <v>394</v>
      </c>
      <c r="H9" s="1" t="s">
        <v>394</v>
      </c>
      <c r="I9" s="1" t="s">
        <v>394</v>
      </c>
      <c r="J9" s="1" t="s">
        <v>394</v>
      </c>
      <c r="K9" s="1" t="s">
        <v>394</v>
      </c>
      <c r="L9" s="1" t="s">
        <v>394</v>
      </c>
      <c r="M9" s="1" t="s">
        <v>394</v>
      </c>
      <c r="N9" s="1" t="s">
        <v>394</v>
      </c>
      <c r="O9" s="1" t="s">
        <v>394</v>
      </c>
      <c r="P9" s="1" t="s">
        <v>394</v>
      </c>
      <c r="Q9" s="1" t="s">
        <v>394</v>
      </c>
      <c r="R9" s="1" t="s">
        <v>394</v>
      </c>
      <c r="S9" s="1" t="s">
        <v>394</v>
      </c>
      <c r="T9" s="1" t="s">
        <v>394</v>
      </c>
      <c r="U9" s="1" t="s">
        <v>394</v>
      </c>
      <c r="V9" s="1" t="s">
        <v>394</v>
      </c>
      <c r="W9" s="1" t="s">
        <v>394</v>
      </c>
      <c r="X9" s="1" t="s">
        <v>394</v>
      </c>
      <c r="Y9" s="1" t="s">
        <v>394</v>
      </c>
      <c r="Z9" s="1" t="s">
        <v>394</v>
      </c>
      <c r="AA9" s="1" t="s">
        <v>394</v>
      </c>
      <c r="AB9" s="1" t="s">
        <v>394</v>
      </c>
      <c r="AC9" s="1" t="s">
        <v>394</v>
      </c>
      <c r="AD9" s="1" t="s">
        <v>394</v>
      </c>
      <c r="AE9" s="1" t="s">
        <v>394</v>
      </c>
      <c r="AF9" s="1" t="s">
        <v>394</v>
      </c>
      <c r="AG9" s="1" t="s">
        <v>394</v>
      </c>
      <c r="AH9" s="1" t="s">
        <v>394</v>
      </c>
      <c r="AI9" s="1" t="s">
        <v>394</v>
      </c>
      <c r="AJ9" s="501">
        <v>43056.229889050897</v>
      </c>
    </row>
    <row r="10" spans="1:36" x14ac:dyDescent="0.4">
      <c r="A10" s="1" t="s">
        <v>328</v>
      </c>
      <c r="B10" s="1" t="s">
        <v>240</v>
      </c>
      <c r="C10" s="1" t="s">
        <v>236</v>
      </c>
      <c r="D10" s="1" t="s">
        <v>394</v>
      </c>
      <c r="E10" s="1" t="s">
        <v>394</v>
      </c>
      <c r="F10" s="1" t="s">
        <v>394</v>
      </c>
      <c r="G10" s="1" t="s">
        <v>394</v>
      </c>
      <c r="H10" s="1" t="s">
        <v>394</v>
      </c>
      <c r="I10" s="1" t="s">
        <v>394</v>
      </c>
      <c r="J10" s="1" t="s">
        <v>394</v>
      </c>
      <c r="K10" s="1" t="s">
        <v>394</v>
      </c>
      <c r="L10" s="1" t="s">
        <v>394</v>
      </c>
      <c r="M10" s="1" t="s">
        <v>394</v>
      </c>
      <c r="N10" s="1" t="s">
        <v>394</v>
      </c>
      <c r="O10" s="1" t="s">
        <v>394</v>
      </c>
      <c r="P10" s="1" t="s">
        <v>394</v>
      </c>
      <c r="Q10" s="1" t="s">
        <v>394</v>
      </c>
      <c r="R10" s="1" t="s">
        <v>394</v>
      </c>
      <c r="S10" s="1" t="s">
        <v>394</v>
      </c>
      <c r="T10" s="1" t="s">
        <v>394</v>
      </c>
      <c r="U10" s="1" t="s">
        <v>394</v>
      </c>
      <c r="V10" s="1" t="s">
        <v>394</v>
      </c>
      <c r="W10" s="1" t="s">
        <v>394</v>
      </c>
      <c r="X10" s="1" t="s">
        <v>394</v>
      </c>
      <c r="Y10" s="1" t="s">
        <v>394</v>
      </c>
      <c r="Z10" s="1" t="s">
        <v>394</v>
      </c>
      <c r="AA10" s="1" t="s">
        <v>394</v>
      </c>
      <c r="AB10" s="1" t="s">
        <v>394</v>
      </c>
      <c r="AC10" s="1" t="s">
        <v>394</v>
      </c>
      <c r="AD10" s="1" t="s">
        <v>394</v>
      </c>
      <c r="AE10" s="1" t="s">
        <v>394</v>
      </c>
      <c r="AF10" s="1" t="s">
        <v>394</v>
      </c>
      <c r="AG10" s="1" t="s">
        <v>394</v>
      </c>
      <c r="AH10" s="1" t="s">
        <v>394</v>
      </c>
      <c r="AI10" s="1" t="s">
        <v>394</v>
      </c>
      <c r="AJ10" s="501">
        <v>43056.229889050897</v>
      </c>
    </row>
    <row r="11" spans="1:36" x14ac:dyDescent="0.4">
      <c r="A11" s="1" t="s">
        <v>328</v>
      </c>
      <c r="B11" s="1" t="s">
        <v>240</v>
      </c>
      <c r="C11" s="1" t="s">
        <v>237</v>
      </c>
      <c r="D11" s="1" t="s">
        <v>394</v>
      </c>
      <c r="E11" s="1" t="s">
        <v>394</v>
      </c>
      <c r="F11" s="1" t="s">
        <v>394</v>
      </c>
      <c r="G11" s="1" t="s">
        <v>394</v>
      </c>
      <c r="H11" s="1" t="s">
        <v>394</v>
      </c>
      <c r="I11" s="1" t="s">
        <v>394</v>
      </c>
      <c r="J11" s="1" t="s">
        <v>394</v>
      </c>
      <c r="K11" s="1" t="s">
        <v>394</v>
      </c>
      <c r="L11" s="1" t="s">
        <v>394</v>
      </c>
      <c r="M11" s="1" t="s">
        <v>394</v>
      </c>
      <c r="N11" s="1" t="s">
        <v>394</v>
      </c>
      <c r="O11" s="1" t="s">
        <v>394</v>
      </c>
      <c r="P11" s="1" t="s">
        <v>394</v>
      </c>
      <c r="Q11" s="1" t="s">
        <v>394</v>
      </c>
      <c r="R11" s="1" t="s">
        <v>394</v>
      </c>
      <c r="S11" s="1" t="s">
        <v>394</v>
      </c>
      <c r="T11" s="1" t="s">
        <v>394</v>
      </c>
      <c r="U11" s="1" t="s">
        <v>394</v>
      </c>
      <c r="V11" s="1" t="s">
        <v>394</v>
      </c>
      <c r="W11" s="1" t="s">
        <v>394</v>
      </c>
      <c r="X11" s="1" t="s">
        <v>394</v>
      </c>
      <c r="Y11" s="1" t="s">
        <v>394</v>
      </c>
      <c r="Z11" s="1" t="s">
        <v>394</v>
      </c>
      <c r="AA11" s="1" t="s">
        <v>394</v>
      </c>
      <c r="AB11" s="1" t="s">
        <v>394</v>
      </c>
      <c r="AC11" s="1" t="s">
        <v>394</v>
      </c>
      <c r="AD11" s="1" t="s">
        <v>394</v>
      </c>
      <c r="AE11" s="1" t="s">
        <v>394</v>
      </c>
      <c r="AF11" s="1" t="s">
        <v>394</v>
      </c>
      <c r="AG11" s="1" t="s">
        <v>394</v>
      </c>
      <c r="AH11" s="1" t="s">
        <v>394</v>
      </c>
      <c r="AI11" s="1" t="s">
        <v>394</v>
      </c>
      <c r="AJ11" s="501">
        <v>43056.229889050897</v>
      </c>
    </row>
    <row r="12" spans="1:36" x14ac:dyDescent="0.4">
      <c r="A12" s="1" t="s">
        <v>328</v>
      </c>
      <c r="B12" s="1" t="s">
        <v>241</v>
      </c>
      <c r="C12" s="1" t="s">
        <v>237</v>
      </c>
      <c r="D12" s="1" t="s">
        <v>394</v>
      </c>
      <c r="E12" s="1" t="s">
        <v>394</v>
      </c>
      <c r="F12" s="1" t="s">
        <v>394</v>
      </c>
      <c r="G12" s="1" t="s">
        <v>394</v>
      </c>
      <c r="H12" s="1" t="s">
        <v>394</v>
      </c>
      <c r="I12" s="1" t="s">
        <v>394</v>
      </c>
      <c r="J12" s="1" t="s">
        <v>394</v>
      </c>
      <c r="K12" s="1" t="s">
        <v>394</v>
      </c>
      <c r="L12" s="1" t="s">
        <v>394</v>
      </c>
      <c r="M12" s="1" t="s">
        <v>394</v>
      </c>
      <c r="N12" s="1" t="s">
        <v>394</v>
      </c>
      <c r="O12" s="1" t="s">
        <v>394</v>
      </c>
      <c r="P12" s="1" t="s">
        <v>394</v>
      </c>
      <c r="Q12" s="1" t="s">
        <v>394</v>
      </c>
      <c r="R12" s="1" t="s">
        <v>394</v>
      </c>
      <c r="S12" s="1" t="s">
        <v>394</v>
      </c>
      <c r="T12" s="1" t="s">
        <v>394</v>
      </c>
      <c r="U12" s="1" t="s">
        <v>394</v>
      </c>
      <c r="V12" s="1" t="s">
        <v>394</v>
      </c>
      <c r="W12" s="1" t="s">
        <v>394</v>
      </c>
      <c r="X12" s="1" t="s">
        <v>394</v>
      </c>
      <c r="Y12" s="1" t="s">
        <v>394</v>
      </c>
      <c r="Z12" s="1" t="s">
        <v>394</v>
      </c>
      <c r="AA12" s="1" t="s">
        <v>394</v>
      </c>
      <c r="AB12" s="1" t="s">
        <v>394</v>
      </c>
      <c r="AC12" s="1" t="s">
        <v>394</v>
      </c>
      <c r="AD12" s="1" t="s">
        <v>394</v>
      </c>
      <c r="AE12" s="1" t="s">
        <v>394</v>
      </c>
      <c r="AF12" s="1" t="s">
        <v>394</v>
      </c>
      <c r="AG12" s="1" t="s">
        <v>394</v>
      </c>
      <c r="AH12" s="1" t="s">
        <v>394</v>
      </c>
      <c r="AI12" s="1" t="s">
        <v>394</v>
      </c>
      <c r="AJ12" s="501">
        <v>43056.229889050897</v>
      </c>
    </row>
    <row r="13" spans="1:36" x14ac:dyDescent="0.4">
      <c r="A13" s="1" t="s">
        <v>328</v>
      </c>
      <c r="B13" s="1" t="s">
        <v>242</v>
      </c>
      <c r="C13" s="1" t="s">
        <v>237</v>
      </c>
      <c r="D13" s="1" t="s">
        <v>394</v>
      </c>
      <c r="E13" s="1" t="s">
        <v>394</v>
      </c>
      <c r="F13" s="1" t="s">
        <v>394</v>
      </c>
      <c r="G13" s="1" t="s">
        <v>394</v>
      </c>
      <c r="H13" s="1" t="s">
        <v>394</v>
      </c>
      <c r="I13" s="1" t="s">
        <v>394</v>
      </c>
      <c r="J13" s="1" t="s">
        <v>394</v>
      </c>
      <c r="K13" s="1" t="s">
        <v>394</v>
      </c>
      <c r="L13" s="1" t="s">
        <v>394</v>
      </c>
      <c r="M13" s="1" t="s">
        <v>394</v>
      </c>
      <c r="N13" s="1" t="s">
        <v>394</v>
      </c>
      <c r="O13" s="1" t="s">
        <v>394</v>
      </c>
      <c r="P13" s="1" t="s">
        <v>394</v>
      </c>
      <c r="Q13" s="1" t="s">
        <v>394</v>
      </c>
      <c r="R13" s="1" t="s">
        <v>394</v>
      </c>
      <c r="S13" s="1" t="s">
        <v>394</v>
      </c>
      <c r="T13" s="1" t="s">
        <v>394</v>
      </c>
      <c r="U13" s="1" t="s">
        <v>394</v>
      </c>
      <c r="V13" s="1" t="s">
        <v>394</v>
      </c>
      <c r="W13" s="1" t="s">
        <v>394</v>
      </c>
      <c r="X13" s="1" t="s">
        <v>394</v>
      </c>
      <c r="Y13" s="1" t="s">
        <v>394</v>
      </c>
      <c r="Z13" s="1" t="s">
        <v>394</v>
      </c>
      <c r="AA13" s="1" t="s">
        <v>394</v>
      </c>
      <c r="AB13" s="1" t="s">
        <v>394</v>
      </c>
      <c r="AC13" s="1" t="s">
        <v>394</v>
      </c>
      <c r="AD13" s="1" t="s">
        <v>394</v>
      </c>
      <c r="AE13" s="1" t="s">
        <v>394</v>
      </c>
      <c r="AF13" s="1" t="s">
        <v>394</v>
      </c>
      <c r="AG13" s="1" t="s">
        <v>394</v>
      </c>
      <c r="AH13" s="1" t="s">
        <v>394</v>
      </c>
      <c r="AI13" s="1" t="s">
        <v>394</v>
      </c>
      <c r="AJ13" s="501">
        <v>43056.229889050897</v>
      </c>
    </row>
    <row r="14" spans="1:36" x14ac:dyDescent="0.4">
      <c r="A14" s="1" t="s">
        <v>328</v>
      </c>
      <c r="B14" s="1" t="s">
        <v>1212</v>
      </c>
      <c r="C14" s="1" t="s">
        <v>237</v>
      </c>
      <c r="D14" s="1" t="s">
        <v>394</v>
      </c>
      <c r="E14" s="1" t="s">
        <v>394</v>
      </c>
      <c r="F14" s="1" t="s">
        <v>394</v>
      </c>
      <c r="G14" s="1" t="s">
        <v>394</v>
      </c>
      <c r="H14" s="1" t="s">
        <v>394</v>
      </c>
      <c r="I14" s="1" t="s">
        <v>394</v>
      </c>
      <c r="J14" s="1" t="s">
        <v>394</v>
      </c>
      <c r="K14" s="1" t="s">
        <v>394</v>
      </c>
      <c r="L14" s="1" t="s">
        <v>394</v>
      </c>
      <c r="M14" s="1" t="s">
        <v>394</v>
      </c>
      <c r="N14" s="1" t="s">
        <v>394</v>
      </c>
      <c r="O14" s="1" t="s">
        <v>394</v>
      </c>
      <c r="P14" s="1" t="s">
        <v>394</v>
      </c>
      <c r="Q14" s="1" t="s">
        <v>394</v>
      </c>
      <c r="R14" s="1" t="s">
        <v>394</v>
      </c>
      <c r="S14" s="1" t="s">
        <v>394</v>
      </c>
      <c r="T14" s="1" t="s">
        <v>394</v>
      </c>
      <c r="U14" s="1" t="s">
        <v>394</v>
      </c>
      <c r="V14" s="1" t="s">
        <v>394</v>
      </c>
      <c r="W14" s="1" t="s">
        <v>394</v>
      </c>
      <c r="X14" s="1" t="s">
        <v>394</v>
      </c>
      <c r="Y14" s="1" t="s">
        <v>394</v>
      </c>
      <c r="Z14" s="1" t="s">
        <v>394</v>
      </c>
      <c r="AA14" s="1" t="s">
        <v>394</v>
      </c>
      <c r="AB14" s="1" t="s">
        <v>394</v>
      </c>
      <c r="AC14" s="1" t="s">
        <v>394</v>
      </c>
      <c r="AD14" s="1" t="s">
        <v>394</v>
      </c>
      <c r="AE14" s="1" t="s">
        <v>394</v>
      </c>
      <c r="AF14" s="1" t="s">
        <v>394</v>
      </c>
      <c r="AG14" s="1" t="s">
        <v>394</v>
      </c>
      <c r="AH14" s="1" t="s">
        <v>394</v>
      </c>
      <c r="AI14" s="1" t="s">
        <v>394</v>
      </c>
      <c r="AJ14" s="501">
        <v>43056.229889050897</v>
      </c>
    </row>
    <row r="15" spans="1:36" x14ac:dyDescent="0.4">
      <c r="A15" s="1" t="s">
        <v>328</v>
      </c>
      <c r="B15" s="1" t="s">
        <v>243</v>
      </c>
      <c r="C15" s="1" t="s">
        <v>237</v>
      </c>
      <c r="D15" s="1" t="s">
        <v>1213</v>
      </c>
      <c r="E15" s="1" t="s">
        <v>1213</v>
      </c>
      <c r="F15" s="1" t="s">
        <v>1213</v>
      </c>
      <c r="G15" s="1" t="s">
        <v>1214</v>
      </c>
      <c r="H15" s="1" t="s">
        <v>1215</v>
      </c>
      <c r="I15" s="1" t="s">
        <v>1215</v>
      </c>
      <c r="J15" s="1" t="s">
        <v>1215</v>
      </c>
      <c r="K15" s="1" t="s">
        <v>1215</v>
      </c>
      <c r="L15" s="1" t="s">
        <v>1215</v>
      </c>
      <c r="M15" s="1" t="s">
        <v>1215</v>
      </c>
      <c r="N15" s="1" t="s">
        <v>1215</v>
      </c>
      <c r="O15" s="1" t="s">
        <v>1215</v>
      </c>
      <c r="P15" s="1" t="s">
        <v>1216</v>
      </c>
      <c r="Q15" s="1" t="s">
        <v>1216</v>
      </c>
      <c r="R15" s="1" t="s">
        <v>1216</v>
      </c>
      <c r="S15" s="1" t="s">
        <v>1216</v>
      </c>
      <c r="T15" s="1" t="s">
        <v>1216</v>
      </c>
      <c r="U15" s="1" t="s">
        <v>1216</v>
      </c>
      <c r="V15" s="1" t="s">
        <v>1217</v>
      </c>
      <c r="W15" s="1" t="s">
        <v>1218</v>
      </c>
      <c r="X15" s="1" t="s">
        <v>394</v>
      </c>
      <c r="Y15" s="1" t="s">
        <v>394</v>
      </c>
      <c r="Z15" s="1" t="s">
        <v>394</v>
      </c>
      <c r="AA15" s="1" t="s">
        <v>394</v>
      </c>
      <c r="AB15" s="1" t="s">
        <v>394</v>
      </c>
      <c r="AC15" s="1" t="s">
        <v>394</v>
      </c>
      <c r="AD15" s="1" t="s">
        <v>394</v>
      </c>
      <c r="AE15" s="1" t="s">
        <v>394</v>
      </c>
      <c r="AF15" s="1" t="s">
        <v>394</v>
      </c>
      <c r="AG15" s="1" t="s">
        <v>394</v>
      </c>
      <c r="AH15" s="1" t="s">
        <v>394</v>
      </c>
      <c r="AI15" s="1" t="s">
        <v>1219</v>
      </c>
      <c r="AJ15" s="501">
        <v>43056.229889050897</v>
      </c>
    </row>
    <row r="16" spans="1:36" x14ac:dyDescent="0.4">
      <c r="A16" s="1" t="s">
        <v>328</v>
      </c>
      <c r="B16" s="1" t="s">
        <v>244</v>
      </c>
      <c r="C16" s="1" t="s">
        <v>237</v>
      </c>
      <c r="D16" s="1" t="s">
        <v>394</v>
      </c>
      <c r="E16" s="1" t="s">
        <v>394</v>
      </c>
      <c r="F16" s="1" t="s">
        <v>394</v>
      </c>
      <c r="G16" s="1" t="s">
        <v>394</v>
      </c>
      <c r="H16" s="1" t="s">
        <v>394</v>
      </c>
      <c r="I16" s="1" t="s">
        <v>394</v>
      </c>
      <c r="J16" s="1" t="s">
        <v>394</v>
      </c>
      <c r="K16" s="1" t="s">
        <v>394</v>
      </c>
      <c r="L16" s="1" t="s">
        <v>394</v>
      </c>
      <c r="M16" s="1" t="s">
        <v>394</v>
      </c>
      <c r="N16" s="1" t="s">
        <v>394</v>
      </c>
      <c r="O16" s="1" t="s">
        <v>394</v>
      </c>
      <c r="P16" s="1" t="s">
        <v>394</v>
      </c>
      <c r="Q16" s="1" t="s">
        <v>394</v>
      </c>
      <c r="R16" s="1" t="s">
        <v>394</v>
      </c>
      <c r="S16" s="1" t="s">
        <v>394</v>
      </c>
      <c r="T16" s="1" t="s">
        <v>394</v>
      </c>
      <c r="U16" s="1" t="s">
        <v>394</v>
      </c>
      <c r="V16" s="1" t="s">
        <v>394</v>
      </c>
      <c r="W16" s="1" t="s">
        <v>394</v>
      </c>
      <c r="X16" s="1" t="s">
        <v>394</v>
      </c>
      <c r="Y16" s="1" t="s">
        <v>394</v>
      </c>
      <c r="Z16" s="1" t="s">
        <v>394</v>
      </c>
      <c r="AA16" s="1" t="s">
        <v>394</v>
      </c>
      <c r="AB16" s="1" t="s">
        <v>394</v>
      </c>
      <c r="AC16" s="1" t="s">
        <v>394</v>
      </c>
      <c r="AD16" s="1" t="s">
        <v>394</v>
      </c>
      <c r="AE16" s="1" t="s">
        <v>394</v>
      </c>
      <c r="AF16" s="1" t="s">
        <v>394</v>
      </c>
      <c r="AG16" s="1" t="s">
        <v>394</v>
      </c>
      <c r="AH16" s="1" t="s">
        <v>394</v>
      </c>
      <c r="AI16" s="1" t="s">
        <v>394</v>
      </c>
      <c r="AJ16" s="501">
        <v>43056.229889050897</v>
      </c>
    </row>
    <row r="17" spans="1:36" x14ac:dyDescent="0.4">
      <c r="A17" s="1" t="s">
        <v>328</v>
      </c>
      <c r="B17" s="1" t="s">
        <v>249</v>
      </c>
      <c r="C17" s="1" t="s">
        <v>236</v>
      </c>
      <c r="D17" s="1" t="s">
        <v>394</v>
      </c>
      <c r="E17" s="1" t="s">
        <v>394</v>
      </c>
      <c r="F17" s="1" t="s">
        <v>394</v>
      </c>
      <c r="G17" s="1" t="s">
        <v>394</v>
      </c>
      <c r="H17" s="1" t="s">
        <v>394</v>
      </c>
      <c r="I17" s="1" t="s">
        <v>394</v>
      </c>
      <c r="J17" s="1" t="s">
        <v>394</v>
      </c>
      <c r="K17" s="1" t="s">
        <v>394</v>
      </c>
      <c r="L17" s="1" t="s">
        <v>394</v>
      </c>
      <c r="M17" s="1" t="s">
        <v>394</v>
      </c>
      <c r="N17" s="1" t="s">
        <v>394</v>
      </c>
      <c r="O17" s="1" t="s">
        <v>394</v>
      </c>
      <c r="P17" s="1" t="s">
        <v>394</v>
      </c>
      <c r="Q17" s="1" t="s">
        <v>394</v>
      </c>
      <c r="R17" s="1" t="s">
        <v>394</v>
      </c>
      <c r="S17" s="1" t="s">
        <v>394</v>
      </c>
      <c r="T17" s="1" t="s">
        <v>394</v>
      </c>
      <c r="U17" s="1" t="s">
        <v>394</v>
      </c>
      <c r="V17" s="1" t="s">
        <v>394</v>
      </c>
      <c r="W17" s="1" t="s">
        <v>394</v>
      </c>
      <c r="X17" s="1" t="s">
        <v>394</v>
      </c>
      <c r="Y17" s="1" t="s">
        <v>394</v>
      </c>
      <c r="Z17" s="1" t="s">
        <v>394</v>
      </c>
      <c r="AA17" s="1" t="s">
        <v>394</v>
      </c>
      <c r="AB17" s="1" t="s">
        <v>394</v>
      </c>
      <c r="AC17" s="1" t="s">
        <v>394</v>
      </c>
      <c r="AD17" s="1" t="s">
        <v>394</v>
      </c>
      <c r="AE17" s="1" t="s">
        <v>394</v>
      </c>
      <c r="AF17" s="1" t="s">
        <v>394</v>
      </c>
      <c r="AG17" s="1" t="s">
        <v>394</v>
      </c>
      <c r="AH17" s="1" t="s">
        <v>394</v>
      </c>
      <c r="AI17" s="1" t="s">
        <v>394</v>
      </c>
      <c r="AJ17" s="501">
        <v>43056.229889050897</v>
      </c>
    </row>
    <row r="18" spans="1:36" x14ac:dyDescent="0.4">
      <c r="A18" s="1" t="s">
        <v>328</v>
      </c>
      <c r="B18" s="1" t="s">
        <v>250</v>
      </c>
      <c r="C18" s="1" t="s">
        <v>237</v>
      </c>
      <c r="D18" s="1" t="s">
        <v>394</v>
      </c>
      <c r="E18" s="1" t="s">
        <v>394</v>
      </c>
      <c r="F18" s="1" t="s">
        <v>394</v>
      </c>
      <c r="G18" s="1" t="s">
        <v>394</v>
      </c>
      <c r="H18" s="1" t="s">
        <v>394</v>
      </c>
      <c r="I18" s="1" t="s">
        <v>394</v>
      </c>
      <c r="J18" s="1" t="s">
        <v>394</v>
      </c>
      <c r="K18" s="1" t="s">
        <v>394</v>
      </c>
      <c r="L18" s="1" t="s">
        <v>394</v>
      </c>
      <c r="M18" s="1" t="s">
        <v>394</v>
      </c>
      <c r="N18" s="1" t="s">
        <v>394</v>
      </c>
      <c r="O18" s="1" t="s">
        <v>394</v>
      </c>
      <c r="P18" s="1" t="s">
        <v>394</v>
      </c>
      <c r="Q18" s="1" t="s">
        <v>394</v>
      </c>
      <c r="R18" s="1" t="s">
        <v>394</v>
      </c>
      <c r="S18" s="1" t="s">
        <v>394</v>
      </c>
      <c r="T18" s="1" t="s">
        <v>394</v>
      </c>
      <c r="U18" s="1" t="s">
        <v>394</v>
      </c>
      <c r="V18" s="1" t="s">
        <v>394</v>
      </c>
      <c r="W18" s="1" t="s">
        <v>394</v>
      </c>
      <c r="X18" s="1" t="s">
        <v>394</v>
      </c>
      <c r="Y18" s="1" t="s">
        <v>394</v>
      </c>
      <c r="Z18" s="1" t="s">
        <v>394</v>
      </c>
      <c r="AA18" s="1" t="s">
        <v>394</v>
      </c>
      <c r="AB18" s="1" t="s">
        <v>394</v>
      </c>
      <c r="AC18" s="1" t="s">
        <v>394</v>
      </c>
      <c r="AD18" s="1" t="s">
        <v>394</v>
      </c>
      <c r="AE18" s="1" t="s">
        <v>394</v>
      </c>
      <c r="AF18" s="1" t="s">
        <v>394</v>
      </c>
      <c r="AG18" s="1" t="s">
        <v>394</v>
      </c>
      <c r="AH18" s="1" t="s">
        <v>394</v>
      </c>
      <c r="AI18" s="1" t="s">
        <v>394</v>
      </c>
      <c r="AJ18" s="501">
        <v>43056.229889050897</v>
      </c>
    </row>
    <row r="19" spans="1:36" x14ac:dyDescent="0.4">
      <c r="A19" s="1" t="s">
        <v>328</v>
      </c>
      <c r="B19" s="1" t="s">
        <v>246</v>
      </c>
      <c r="C19" s="1" t="s">
        <v>237</v>
      </c>
      <c r="D19" s="1" t="s">
        <v>394</v>
      </c>
      <c r="E19" s="1" t="s">
        <v>394</v>
      </c>
      <c r="F19" s="1" t="s">
        <v>394</v>
      </c>
      <c r="G19" s="1" t="s">
        <v>394</v>
      </c>
      <c r="H19" s="1" t="s">
        <v>394</v>
      </c>
      <c r="I19" s="1" t="s">
        <v>394</v>
      </c>
      <c r="J19" s="1" t="s">
        <v>394</v>
      </c>
      <c r="K19" s="1" t="s">
        <v>394</v>
      </c>
      <c r="L19" s="1" t="s">
        <v>394</v>
      </c>
      <c r="M19" s="1" t="s">
        <v>394</v>
      </c>
      <c r="N19" s="1" t="s">
        <v>394</v>
      </c>
      <c r="O19" s="1" t="s">
        <v>394</v>
      </c>
      <c r="P19" s="1" t="s">
        <v>394</v>
      </c>
      <c r="Q19" s="1" t="s">
        <v>394</v>
      </c>
      <c r="R19" s="1" t="s">
        <v>394</v>
      </c>
      <c r="S19" s="1" t="s">
        <v>394</v>
      </c>
      <c r="T19" s="1" t="s">
        <v>394</v>
      </c>
      <c r="U19" s="1" t="s">
        <v>394</v>
      </c>
      <c r="V19" s="1" t="s">
        <v>394</v>
      </c>
      <c r="W19" s="1" t="s">
        <v>394</v>
      </c>
      <c r="X19" s="1" t="s">
        <v>394</v>
      </c>
      <c r="Y19" s="1" t="s">
        <v>394</v>
      </c>
      <c r="Z19" s="1" t="s">
        <v>394</v>
      </c>
      <c r="AA19" s="1" t="s">
        <v>394</v>
      </c>
      <c r="AB19" s="1" t="s">
        <v>394</v>
      </c>
      <c r="AC19" s="1" t="s">
        <v>394</v>
      </c>
      <c r="AD19" s="1" t="s">
        <v>394</v>
      </c>
      <c r="AE19" s="1" t="s">
        <v>394</v>
      </c>
      <c r="AF19" s="1" t="s">
        <v>394</v>
      </c>
      <c r="AG19" s="1" t="s">
        <v>394</v>
      </c>
      <c r="AH19" s="1" t="s">
        <v>394</v>
      </c>
      <c r="AI19" s="1" t="s">
        <v>394</v>
      </c>
      <c r="AJ19" s="501">
        <v>43056.229889050897</v>
      </c>
    </row>
    <row r="20" spans="1:36" x14ac:dyDescent="0.4">
      <c r="A20" s="1" t="s">
        <v>328</v>
      </c>
      <c r="B20" s="1" t="s">
        <v>248</v>
      </c>
      <c r="C20" s="1" t="s">
        <v>237</v>
      </c>
      <c r="D20" s="1" t="s">
        <v>394</v>
      </c>
      <c r="E20" s="1" t="s">
        <v>394</v>
      </c>
      <c r="F20" s="1" t="s">
        <v>394</v>
      </c>
      <c r="G20" s="1" t="s">
        <v>394</v>
      </c>
      <c r="H20" s="1" t="s">
        <v>394</v>
      </c>
      <c r="I20" s="1" t="s">
        <v>394</v>
      </c>
      <c r="J20" s="1" t="s">
        <v>394</v>
      </c>
      <c r="K20" s="1" t="s">
        <v>394</v>
      </c>
      <c r="L20" s="1" t="s">
        <v>394</v>
      </c>
      <c r="M20" s="1" t="s">
        <v>394</v>
      </c>
      <c r="N20" s="1" t="s">
        <v>394</v>
      </c>
      <c r="O20" s="1" t="s">
        <v>394</v>
      </c>
      <c r="P20" s="1" t="s">
        <v>394</v>
      </c>
      <c r="Q20" s="1" t="s">
        <v>394</v>
      </c>
      <c r="R20" s="1" t="s">
        <v>394</v>
      </c>
      <c r="S20" s="1" t="s">
        <v>394</v>
      </c>
      <c r="T20" s="1" t="s">
        <v>394</v>
      </c>
      <c r="U20" s="1" t="s">
        <v>394</v>
      </c>
      <c r="V20" s="1" t="s">
        <v>394</v>
      </c>
      <c r="W20" s="1" t="s">
        <v>394</v>
      </c>
      <c r="X20" s="1" t="s">
        <v>394</v>
      </c>
      <c r="Y20" s="1" t="s">
        <v>394</v>
      </c>
      <c r="Z20" s="1" t="s">
        <v>394</v>
      </c>
      <c r="AA20" s="1" t="s">
        <v>394</v>
      </c>
      <c r="AB20" s="1" t="s">
        <v>394</v>
      </c>
      <c r="AC20" s="1" t="s">
        <v>394</v>
      </c>
      <c r="AD20" s="1" t="s">
        <v>394</v>
      </c>
      <c r="AE20" s="1" t="s">
        <v>394</v>
      </c>
      <c r="AF20" s="1" t="s">
        <v>394</v>
      </c>
      <c r="AG20" s="1" t="s">
        <v>394</v>
      </c>
      <c r="AH20" s="1" t="s">
        <v>394</v>
      </c>
      <c r="AI20" s="1" t="s">
        <v>394</v>
      </c>
      <c r="AJ20" s="501">
        <v>43056.229889050897</v>
      </c>
    </row>
    <row r="21" spans="1:36" x14ac:dyDescent="0.4">
      <c r="A21" s="1" t="s">
        <v>328</v>
      </c>
      <c r="B21" s="1" t="s">
        <v>247</v>
      </c>
      <c r="C21" s="1" t="s">
        <v>237</v>
      </c>
      <c r="D21" s="1" t="s">
        <v>394</v>
      </c>
      <c r="E21" s="1" t="s">
        <v>394</v>
      </c>
      <c r="F21" s="1" t="s">
        <v>394</v>
      </c>
      <c r="G21" s="1" t="s">
        <v>394</v>
      </c>
      <c r="H21" s="1" t="s">
        <v>394</v>
      </c>
      <c r="I21" s="1" t="s">
        <v>394</v>
      </c>
      <c r="J21" s="1" t="s">
        <v>394</v>
      </c>
      <c r="K21" s="1" t="s">
        <v>394</v>
      </c>
      <c r="L21" s="1" t="s">
        <v>394</v>
      </c>
      <c r="M21" s="1" t="s">
        <v>394</v>
      </c>
      <c r="N21" s="1" t="s">
        <v>394</v>
      </c>
      <c r="O21" s="1" t="s">
        <v>394</v>
      </c>
      <c r="P21" s="1" t="s">
        <v>394</v>
      </c>
      <c r="Q21" s="1" t="s">
        <v>394</v>
      </c>
      <c r="R21" s="1" t="s">
        <v>394</v>
      </c>
      <c r="S21" s="1" t="s">
        <v>394</v>
      </c>
      <c r="T21" s="1" t="s">
        <v>394</v>
      </c>
      <c r="U21" s="1" t="s">
        <v>394</v>
      </c>
      <c r="V21" s="1" t="s">
        <v>394</v>
      </c>
      <c r="W21" s="1" t="s">
        <v>394</v>
      </c>
      <c r="X21" s="1" t="s">
        <v>394</v>
      </c>
      <c r="Y21" s="1" t="s">
        <v>394</v>
      </c>
      <c r="Z21" s="1" t="s">
        <v>394</v>
      </c>
      <c r="AA21" s="1" t="s">
        <v>394</v>
      </c>
      <c r="AB21" s="1" t="s">
        <v>394</v>
      </c>
      <c r="AC21" s="1" t="s">
        <v>394</v>
      </c>
      <c r="AD21" s="1" t="s">
        <v>394</v>
      </c>
      <c r="AE21" s="1" t="s">
        <v>394</v>
      </c>
      <c r="AF21" s="1" t="s">
        <v>394</v>
      </c>
      <c r="AG21" s="1" t="s">
        <v>394</v>
      </c>
      <c r="AH21" s="1" t="s">
        <v>394</v>
      </c>
      <c r="AI21" s="1" t="s">
        <v>394</v>
      </c>
      <c r="AJ21" s="501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" x14ac:dyDescent="0.4"/>
  <cols>
    <col min="16" max="16" width="10.7265625" customWidth="1"/>
    <col min="17" max="17" width="11.7265625" customWidth="1"/>
    <col min="21" max="21" width="16.08984375" customWidth="1"/>
  </cols>
  <sheetData>
    <row r="1" spans="1:29" x14ac:dyDescent="0.4">
      <c r="A1" s="1" t="s">
        <v>1220</v>
      </c>
      <c r="B1" s="1" t="s">
        <v>360</v>
      </c>
      <c r="C1" s="1" t="s">
        <v>1221</v>
      </c>
      <c r="D1" s="1" t="s">
        <v>1222</v>
      </c>
      <c r="E1" s="1" t="s">
        <v>1223</v>
      </c>
      <c r="F1" s="1" t="s">
        <v>1224</v>
      </c>
      <c r="G1" s="1" t="s">
        <v>1225</v>
      </c>
      <c r="H1" s="1" t="s">
        <v>1226</v>
      </c>
      <c r="I1" s="1" t="s">
        <v>1227</v>
      </c>
      <c r="J1" s="1" t="s">
        <v>1228</v>
      </c>
      <c r="K1" s="1" t="s">
        <v>1229</v>
      </c>
      <c r="L1" s="1" t="s">
        <v>1230</v>
      </c>
      <c r="M1" s="1" t="s">
        <v>1231</v>
      </c>
      <c r="N1" s="1" t="s">
        <v>1232</v>
      </c>
      <c r="O1" s="1" t="s">
        <v>362</v>
      </c>
      <c r="P1" s="1" t="s">
        <v>1233</v>
      </c>
      <c r="Q1" s="1" t="s">
        <v>1234</v>
      </c>
      <c r="R1" s="1" t="s">
        <v>1235</v>
      </c>
      <c r="S1" s="1" t="s">
        <v>1236</v>
      </c>
      <c r="T1" s="1" t="s">
        <v>1237</v>
      </c>
      <c r="U1" s="1" t="s">
        <v>1238</v>
      </c>
      <c r="V1" s="1" t="s">
        <v>1239</v>
      </c>
      <c r="W1" s="1" t="s">
        <v>1240</v>
      </c>
      <c r="X1" s="1" t="s">
        <v>1241</v>
      </c>
      <c r="Y1" s="1" t="s">
        <v>1242</v>
      </c>
      <c r="Z1" s="1" t="s">
        <v>1243</v>
      </c>
      <c r="AA1" s="1" t="s">
        <v>1244</v>
      </c>
      <c r="AB1" s="1" t="s">
        <v>1245</v>
      </c>
    </row>
    <row r="2" spans="1:29" x14ac:dyDescent="0.4">
      <c r="A2" s="1" t="s">
        <v>1246</v>
      </c>
      <c r="B2" s="1" t="s">
        <v>363</v>
      </c>
      <c r="C2" s="1" t="s">
        <v>1247</v>
      </c>
      <c r="D2" s="1" t="s">
        <v>1248</v>
      </c>
      <c r="E2" s="1" t="s">
        <v>1249</v>
      </c>
      <c r="F2" s="1" t="s">
        <v>1250</v>
      </c>
      <c r="G2" s="1" t="s">
        <v>1251</v>
      </c>
      <c r="H2" s="1" t="s">
        <v>1252</v>
      </c>
      <c r="I2" s="1" t="s">
        <v>1253</v>
      </c>
      <c r="J2" s="1" t="s">
        <v>1254</v>
      </c>
      <c r="K2" s="1" t="s">
        <v>1255</v>
      </c>
      <c r="L2" s="1" t="s">
        <v>1256</v>
      </c>
      <c r="M2" s="1" t="s">
        <v>394</v>
      </c>
      <c r="N2" s="1" t="s">
        <v>394</v>
      </c>
      <c r="O2" s="1" t="s">
        <v>1257</v>
      </c>
      <c r="P2" s="1" t="s">
        <v>1258</v>
      </c>
      <c r="Q2" s="1" t="s">
        <v>1259</v>
      </c>
      <c r="R2" s="1" t="s">
        <v>1260</v>
      </c>
      <c r="S2" s="1" t="s">
        <v>1261</v>
      </c>
      <c r="T2" s="1" t="s">
        <v>1262</v>
      </c>
      <c r="U2" s="1" t="s">
        <v>1263</v>
      </c>
      <c r="V2" s="1" t="s">
        <v>1264</v>
      </c>
      <c r="W2" s="1" t="s">
        <v>1265</v>
      </c>
      <c r="X2" s="1" t="s">
        <v>1266</v>
      </c>
      <c r="Y2" s="1" t="s">
        <v>1267</v>
      </c>
      <c r="Z2" s="1" t="s">
        <v>394</v>
      </c>
      <c r="AA2" s="1" t="s">
        <v>394</v>
      </c>
      <c r="AB2" s="1" t="s">
        <v>1268</v>
      </c>
      <c r="AC2" s="501">
        <v>43045.229882731503</v>
      </c>
    </row>
    <row r="3" spans="1:29" x14ac:dyDescent="0.4">
      <c r="A3" s="1" t="s">
        <v>1246</v>
      </c>
      <c r="B3" s="1" t="s">
        <v>397</v>
      </c>
      <c r="C3" s="1" t="s">
        <v>1269</v>
      </c>
      <c r="D3" s="1" t="s">
        <v>1270</v>
      </c>
      <c r="E3" s="1" t="s">
        <v>1271</v>
      </c>
      <c r="F3" s="1" t="s">
        <v>1272</v>
      </c>
      <c r="G3" s="1" t="s">
        <v>1273</v>
      </c>
      <c r="H3" s="1" t="s">
        <v>1274</v>
      </c>
      <c r="I3" s="1" t="s">
        <v>1275</v>
      </c>
      <c r="J3" s="1" t="s">
        <v>1276</v>
      </c>
      <c r="K3" s="1" t="s">
        <v>1277</v>
      </c>
      <c r="L3" s="1" t="s">
        <v>1278</v>
      </c>
      <c r="M3" s="1" t="s">
        <v>394</v>
      </c>
      <c r="N3" s="1" t="s">
        <v>394</v>
      </c>
      <c r="O3" s="1" t="s">
        <v>1279</v>
      </c>
      <c r="P3" s="1" t="s">
        <v>1280</v>
      </c>
      <c r="Q3" s="1" t="s">
        <v>1281</v>
      </c>
      <c r="R3" s="1" t="s">
        <v>1282</v>
      </c>
      <c r="S3" s="1" t="s">
        <v>1283</v>
      </c>
      <c r="T3" s="1" t="s">
        <v>1284</v>
      </c>
      <c r="U3" s="1" t="s">
        <v>1285</v>
      </c>
      <c r="V3" s="1" t="s">
        <v>1286</v>
      </c>
      <c r="W3" s="1" t="s">
        <v>1287</v>
      </c>
      <c r="X3" s="1" t="s">
        <v>1288</v>
      </c>
      <c r="Y3" s="1" t="s">
        <v>1289</v>
      </c>
      <c r="Z3" s="1" t="s">
        <v>394</v>
      </c>
      <c r="AA3" s="1" t="s">
        <v>394</v>
      </c>
      <c r="AB3" s="1" t="s">
        <v>1290</v>
      </c>
      <c r="AC3" s="501">
        <v>43045.229882731503</v>
      </c>
    </row>
    <row r="4" spans="1:29" x14ac:dyDescent="0.4">
      <c r="A4" s="1" t="s">
        <v>1246</v>
      </c>
      <c r="B4" s="1" t="s">
        <v>426</v>
      </c>
      <c r="C4" s="1" t="s">
        <v>1291</v>
      </c>
      <c r="D4" s="1" t="s">
        <v>1292</v>
      </c>
      <c r="E4" s="1" t="s">
        <v>1293</v>
      </c>
      <c r="F4" s="1" t="s">
        <v>1294</v>
      </c>
      <c r="G4" s="1" t="s">
        <v>1295</v>
      </c>
      <c r="H4" s="1" t="s">
        <v>1296</v>
      </c>
      <c r="I4" s="1" t="s">
        <v>1297</v>
      </c>
      <c r="J4" s="1" t="s">
        <v>1298</v>
      </c>
      <c r="K4" s="1" t="s">
        <v>1299</v>
      </c>
      <c r="L4" s="1" t="s">
        <v>1300</v>
      </c>
      <c r="M4" s="1" t="s">
        <v>394</v>
      </c>
      <c r="N4" s="1" t="s">
        <v>394</v>
      </c>
      <c r="O4" s="1" t="s">
        <v>1301</v>
      </c>
      <c r="P4" s="1" t="s">
        <v>1302</v>
      </c>
      <c r="Q4" s="1" t="s">
        <v>1303</v>
      </c>
      <c r="R4" s="1" t="s">
        <v>1304</v>
      </c>
      <c r="S4" s="1" t="s">
        <v>1305</v>
      </c>
      <c r="T4" s="1" t="s">
        <v>1306</v>
      </c>
      <c r="U4" s="1" t="s">
        <v>1307</v>
      </c>
      <c r="V4" s="1" t="s">
        <v>1308</v>
      </c>
      <c r="W4" s="1" t="s">
        <v>1309</v>
      </c>
      <c r="X4" s="1" t="s">
        <v>1310</v>
      </c>
      <c r="Y4" s="1" t="s">
        <v>1311</v>
      </c>
      <c r="Z4" s="1" t="s">
        <v>394</v>
      </c>
      <c r="AA4" s="1" t="s">
        <v>394</v>
      </c>
      <c r="AB4" s="1" t="s">
        <v>1312</v>
      </c>
      <c r="AC4" s="501">
        <v>43045.229882731503</v>
      </c>
    </row>
    <row r="5" spans="1:29" x14ac:dyDescent="0.4">
      <c r="A5" s="1" t="s">
        <v>1246</v>
      </c>
      <c r="B5" s="1" t="s">
        <v>453</v>
      </c>
      <c r="C5" s="1" t="s">
        <v>1313</v>
      </c>
      <c r="D5" s="1" t="s">
        <v>1314</v>
      </c>
      <c r="E5" s="1" t="s">
        <v>1315</v>
      </c>
      <c r="F5" s="1" t="s">
        <v>1316</v>
      </c>
      <c r="G5" s="1" t="s">
        <v>1317</v>
      </c>
      <c r="H5" s="1" t="s">
        <v>1318</v>
      </c>
      <c r="I5" s="1" t="s">
        <v>1319</v>
      </c>
      <c r="J5" s="1" t="s">
        <v>1320</v>
      </c>
      <c r="K5" s="1" t="s">
        <v>1321</v>
      </c>
      <c r="L5" s="1" t="s">
        <v>1322</v>
      </c>
      <c r="M5" s="1" t="s">
        <v>394</v>
      </c>
      <c r="N5" s="1" t="s">
        <v>394</v>
      </c>
      <c r="O5" s="1" t="s">
        <v>1323</v>
      </c>
      <c r="P5" s="1" t="s">
        <v>1324</v>
      </c>
      <c r="Q5" s="1" t="s">
        <v>1325</v>
      </c>
      <c r="R5" s="1" t="s">
        <v>1326</v>
      </c>
      <c r="S5" s="1" t="s">
        <v>1327</v>
      </c>
      <c r="T5" s="1" t="s">
        <v>1328</v>
      </c>
      <c r="U5" s="1" t="s">
        <v>1329</v>
      </c>
      <c r="V5" s="1" t="s">
        <v>1330</v>
      </c>
      <c r="W5" s="1" t="s">
        <v>1331</v>
      </c>
      <c r="X5" s="1" t="s">
        <v>1332</v>
      </c>
      <c r="Y5" s="1" t="s">
        <v>1333</v>
      </c>
      <c r="Z5" s="1" t="s">
        <v>394</v>
      </c>
      <c r="AA5" s="1" t="s">
        <v>394</v>
      </c>
      <c r="AB5" s="1" t="s">
        <v>1334</v>
      </c>
      <c r="AC5" s="501">
        <v>43045.229882731503</v>
      </c>
    </row>
    <row r="6" spans="1:29" x14ac:dyDescent="0.4">
      <c r="A6" s="1" t="s">
        <v>1246</v>
      </c>
      <c r="B6" s="1" t="s">
        <v>480</v>
      </c>
      <c r="C6" s="1" t="s">
        <v>1335</v>
      </c>
      <c r="D6" s="1" t="s">
        <v>1336</v>
      </c>
      <c r="E6" s="1" t="s">
        <v>1337</v>
      </c>
      <c r="F6" s="1" t="s">
        <v>1338</v>
      </c>
      <c r="G6" s="1" t="s">
        <v>1339</v>
      </c>
      <c r="H6" s="1" t="s">
        <v>1340</v>
      </c>
      <c r="I6" s="1" t="s">
        <v>1341</v>
      </c>
      <c r="J6" s="1" t="s">
        <v>1342</v>
      </c>
      <c r="K6" s="1" t="s">
        <v>1343</v>
      </c>
      <c r="L6" s="1" t="s">
        <v>1344</v>
      </c>
      <c r="M6" s="1" t="s">
        <v>394</v>
      </c>
      <c r="N6" s="1" t="s">
        <v>394</v>
      </c>
      <c r="O6" s="1" t="s">
        <v>1345</v>
      </c>
      <c r="P6" s="1" t="s">
        <v>1346</v>
      </c>
      <c r="Q6" s="1" t="s">
        <v>1347</v>
      </c>
      <c r="R6" s="1" t="s">
        <v>1348</v>
      </c>
      <c r="S6" s="1" t="s">
        <v>1349</v>
      </c>
      <c r="T6" s="1" t="s">
        <v>1350</v>
      </c>
      <c r="U6" s="1" t="s">
        <v>1351</v>
      </c>
      <c r="V6" s="1" t="s">
        <v>1352</v>
      </c>
      <c r="W6" s="1" t="s">
        <v>1353</v>
      </c>
      <c r="X6" s="1" t="s">
        <v>1354</v>
      </c>
      <c r="Y6" s="1" t="s">
        <v>1355</v>
      </c>
      <c r="Z6" s="1" t="s">
        <v>394</v>
      </c>
      <c r="AA6" s="1" t="s">
        <v>394</v>
      </c>
      <c r="AB6" s="1" t="s">
        <v>1356</v>
      </c>
      <c r="AC6" s="501">
        <v>43045.229882731503</v>
      </c>
    </row>
    <row r="7" spans="1:29" x14ac:dyDescent="0.4">
      <c r="A7" s="1" t="s">
        <v>1246</v>
      </c>
      <c r="B7" s="1" t="s">
        <v>511</v>
      </c>
      <c r="C7" s="1" t="s">
        <v>394</v>
      </c>
      <c r="D7" s="1" t="s">
        <v>394</v>
      </c>
      <c r="E7" s="1" t="s">
        <v>394</v>
      </c>
      <c r="F7" s="1" t="s">
        <v>394</v>
      </c>
      <c r="G7" s="1" t="s">
        <v>394</v>
      </c>
      <c r="H7" s="1" t="s">
        <v>394</v>
      </c>
      <c r="I7" s="1" t="s">
        <v>394</v>
      </c>
      <c r="J7" s="1" t="s">
        <v>394</v>
      </c>
      <c r="K7" s="1" t="s">
        <v>394</v>
      </c>
      <c r="L7" s="1" t="s">
        <v>394</v>
      </c>
      <c r="M7" s="1" t="s">
        <v>394</v>
      </c>
      <c r="N7" s="1" t="s">
        <v>394</v>
      </c>
      <c r="O7" s="1" t="s">
        <v>394</v>
      </c>
      <c r="P7" s="1" t="s">
        <v>394</v>
      </c>
      <c r="Q7" s="1" t="s">
        <v>394</v>
      </c>
      <c r="R7" s="1" t="s">
        <v>394</v>
      </c>
      <c r="S7" s="1" t="s">
        <v>394</v>
      </c>
      <c r="T7" s="1" t="s">
        <v>394</v>
      </c>
      <c r="U7" s="1" t="s">
        <v>394</v>
      </c>
      <c r="V7" s="1" t="s">
        <v>394</v>
      </c>
      <c r="W7" s="1" t="s">
        <v>394</v>
      </c>
      <c r="X7" s="1" t="s">
        <v>394</v>
      </c>
      <c r="Y7" s="1" t="s">
        <v>394</v>
      </c>
      <c r="Z7" s="1" t="s">
        <v>394</v>
      </c>
      <c r="AA7" s="1" t="s">
        <v>394</v>
      </c>
      <c r="AB7" s="1" t="s">
        <v>394</v>
      </c>
      <c r="AC7" s="501">
        <v>43045.229882731503</v>
      </c>
    </row>
    <row r="8" spans="1:29" x14ac:dyDescent="0.4">
      <c r="A8" s="1" t="s">
        <v>1246</v>
      </c>
      <c r="B8" s="1" t="s">
        <v>512</v>
      </c>
      <c r="C8" s="1" t="s">
        <v>1357</v>
      </c>
      <c r="D8" s="1" t="s">
        <v>1358</v>
      </c>
      <c r="E8" s="1" t="s">
        <v>1359</v>
      </c>
      <c r="F8" s="1" t="s">
        <v>1360</v>
      </c>
      <c r="G8" s="1" t="s">
        <v>1361</v>
      </c>
      <c r="H8" s="1" t="s">
        <v>1362</v>
      </c>
      <c r="I8" s="1" t="s">
        <v>1363</v>
      </c>
      <c r="J8" s="1" t="s">
        <v>1364</v>
      </c>
      <c r="K8" s="1" t="s">
        <v>1365</v>
      </c>
      <c r="L8" s="1" t="s">
        <v>1366</v>
      </c>
      <c r="M8" s="1" t="s">
        <v>394</v>
      </c>
      <c r="N8" s="1" t="s">
        <v>394</v>
      </c>
      <c r="O8" s="1" t="s">
        <v>1367</v>
      </c>
      <c r="P8" s="1" t="s">
        <v>1368</v>
      </c>
      <c r="Q8" s="1" t="s">
        <v>1369</v>
      </c>
      <c r="R8" s="1" t="s">
        <v>1370</v>
      </c>
      <c r="S8" s="1" t="s">
        <v>1371</v>
      </c>
      <c r="T8" s="1" t="s">
        <v>1372</v>
      </c>
      <c r="U8" s="1" t="s">
        <v>1373</v>
      </c>
      <c r="V8" s="1" t="s">
        <v>1374</v>
      </c>
      <c r="W8" s="1" t="s">
        <v>1375</v>
      </c>
      <c r="X8" s="1" t="s">
        <v>1376</v>
      </c>
      <c r="Y8" s="1" t="s">
        <v>1377</v>
      </c>
      <c r="Z8" s="1" t="s">
        <v>394</v>
      </c>
      <c r="AA8" s="1" t="s">
        <v>394</v>
      </c>
      <c r="AB8" s="1" t="s">
        <v>1378</v>
      </c>
      <c r="AC8" s="501">
        <v>43045.229882731503</v>
      </c>
    </row>
    <row r="9" spans="1:29" x14ac:dyDescent="0.4">
      <c r="A9" s="1" t="s">
        <v>1246</v>
      </c>
      <c r="B9" s="1" t="s">
        <v>541</v>
      </c>
      <c r="C9" s="1" t="s">
        <v>394</v>
      </c>
      <c r="D9" s="1" t="s">
        <v>394</v>
      </c>
      <c r="E9" s="1" t="s">
        <v>394</v>
      </c>
      <c r="F9" s="1" t="s">
        <v>394</v>
      </c>
      <c r="G9" s="1" t="s">
        <v>394</v>
      </c>
      <c r="H9" s="1" t="s">
        <v>394</v>
      </c>
      <c r="I9" s="1" t="s">
        <v>394</v>
      </c>
      <c r="J9" s="1" t="s">
        <v>394</v>
      </c>
      <c r="K9" s="1" t="s">
        <v>394</v>
      </c>
      <c r="L9" s="1" t="s">
        <v>394</v>
      </c>
      <c r="M9" s="1" t="s">
        <v>394</v>
      </c>
      <c r="N9" s="1" t="s">
        <v>394</v>
      </c>
      <c r="O9" s="1" t="s">
        <v>394</v>
      </c>
      <c r="P9" s="1" t="s">
        <v>394</v>
      </c>
      <c r="Q9" s="1" t="s">
        <v>394</v>
      </c>
      <c r="R9" s="1" t="s">
        <v>394</v>
      </c>
      <c r="S9" s="1" t="s">
        <v>394</v>
      </c>
      <c r="T9" s="1" t="s">
        <v>394</v>
      </c>
      <c r="U9" s="1" t="s">
        <v>394</v>
      </c>
      <c r="V9" s="1" t="s">
        <v>394</v>
      </c>
      <c r="W9" s="1" t="s">
        <v>394</v>
      </c>
      <c r="X9" s="1" t="s">
        <v>394</v>
      </c>
      <c r="Y9" s="1" t="s">
        <v>394</v>
      </c>
      <c r="Z9" s="1" t="s">
        <v>394</v>
      </c>
      <c r="AA9" s="1" t="s">
        <v>394</v>
      </c>
      <c r="AB9" s="1" t="s">
        <v>394</v>
      </c>
      <c r="AC9" s="501">
        <v>43045.229882731503</v>
      </c>
    </row>
    <row r="10" spans="1:29" x14ac:dyDescent="0.4">
      <c r="A10" s="1" t="s">
        <v>1246</v>
      </c>
      <c r="B10" s="1" t="s">
        <v>542</v>
      </c>
      <c r="C10" s="1" t="s">
        <v>1379</v>
      </c>
      <c r="D10" s="1" t="s">
        <v>1380</v>
      </c>
      <c r="E10" s="1" t="s">
        <v>1381</v>
      </c>
      <c r="F10" s="1" t="s">
        <v>1382</v>
      </c>
      <c r="G10" s="1" t="s">
        <v>1383</v>
      </c>
      <c r="H10" s="1" t="s">
        <v>1384</v>
      </c>
      <c r="I10" s="1" t="s">
        <v>1385</v>
      </c>
      <c r="J10" s="1" t="s">
        <v>1386</v>
      </c>
      <c r="K10" s="1" t="s">
        <v>1387</v>
      </c>
      <c r="L10" s="1" t="s">
        <v>1388</v>
      </c>
      <c r="M10" s="1" t="s">
        <v>394</v>
      </c>
      <c r="N10" s="1" t="s">
        <v>394</v>
      </c>
      <c r="O10" s="1" t="s">
        <v>1389</v>
      </c>
      <c r="P10" s="1" t="s">
        <v>1390</v>
      </c>
      <c r="Q10" s="1" t="s">
        <v>1391</v>
      </c>
      <c r="R10" s="1" t="s">
        <v>1392</v>
      </c>
      <c r="S10" s="1" t="s">
        <v>1393</v>
      </c>
      <c r="T10" s="1" t="s">
        <v>1394</v>
      </c>
      <c r="U10" s="1" t="s">
        <v>1395</v>
      </c>
      <c r="V10" s="1" t="s">
        <v>1396</v>
      </c>
      <c r="W10" s="1" t="s">
        <v>1397</v>
      </c>
      <c r="X10" s="1" t="s">
        <v>1398</v>
      </c>
      <c r="Y10" s="1" t="s">
        <v>1399</v>
      </c>
      <c r="Z10" s="1" t="s">
        <v>394</v>
      </c>
      <c r="AA10" s="1" t="s">
        <v>394</v>
      </c>
      <c r="AB10" s="1" t="s">
        <v>1400</v>
      </c>
      <c r="AC10" s="501">
        <v>43045.229882731503</v>
      </c>
    </row>
    <row r="11" spans="1:29" x14ac:dyDescent="0.4">
      <c r="A11" s="1" t="s">
        <v>1246</v>
      </c>
      <c r="B11" s="1" t="s">
        <v>569</v>
      </c>
      <c r="C11" s="1" t="s">
        <v>570</v>
      </c>
      <c r="D11" s="1" t="s">
        <v>570</v>
      </c>
      <c r="E11" s="1" t="s">
        <v>1401</v>
      </c>
      <c r="F11" s="1" t="s">
        <v>1402</v>
      </c>
      <c r="G11" s="1" t="s">
        <v>1403</v>
      </c>
      <c r="H11" s="1" t="s">
        <v>1404</v>
      </c>
      <c r="I11" s="1" t="s">
        <v>1405</v>
      </c>
      <c r="J11" s="1" t="s">
        <v>1406</v>
      </c>
      <c r="K11" s="1" t="s">
        <v>1407</v>
      </c>
      <c r="L11" s="1" t="s">
        <v>570</v>
      </c>
      <c r="M11" s="1" t="s">
        <v>394</v>
      </c>
      <c r="N11" s="1" t="s">
        <v>394</v>
      </c>
      <c r="O11" s="1" t="s">
        <v>1408</v>
      </c>
      <c r="P11" s="1" t="s">
        <v>570</v>
      </c>
      <c r="Q11" s="1" t="s">
        <v>570</v>
      </c>
      <c r="R11" s="1" t="s">
        <v>1409</v>
      </c>
      <c r="S11" s="1" t="s">
        <v>1403</v>
      </c>
      <c r="T11" s="1" t="s">
        <v>1403</v>
      </c>
      <c r="U11" s="1" t="s">
        <v>570</v>
      </c>
      <c r="V11" s="1" t="s">
        <v>570</v>
      </c>
      <c r="W11" s="1" t="s">
        <v>1410</v>
      </c>
      <c r="X11" s="1" t="s">
        <v>570</v>
      </c>
      <c r="Y11" s="1" t="s">
        <v>570</v>
      </c>
      <c r="Z11" s="1" t="s">
        <v>394</v>
      </c>
      <c r="AA11" s="1" t="s">
        <v>394</v>
      </c>
      <c r="AB11" s="1" t="s">
        <v>1411</v>
      </c>
      <c r="AC11" s="501">
        <v>43045.229882731503</v>
      </c>
    </row>
    <row r="12" spans="1:29" x14ac:dyDescent="0.4">
      <c r="A12" s="1" t="s">
        <v>1246</v>
      </c>
      <c r="B12" s="1" t="s">
        <v>571</v>
      </c>
      <c r="C12" s="1" t="s">
        <v>394</v>
      </c>
      <c r="D12" s="1" t="s">
        <v>394</v>
      </c>
      <c r="E12" s="1" t="s">
        <v>394</v>
      </c>
      <c r="F12" s="1" t="s">
        <v>394</v>
      </c>
      <c r="G12" s="1" t="s">
        <v>394</v>
      </c>
      <c r="H12" s="1" t="s">
        <v>394</v>
      </c>
      <c r="I12" s="1" t="s">
        <v>394</v>
      </c>
      <c r="J12" s="1" t="s">
        <v>394</v>
      </c>
      <c r="K12" s="1" t="s">
        <v>394</v>
      </c>
      <c r="L12" s="1" t="s">
        <v>394</v>
      </c>
      <c r="M12" s="1" t="s">
        <v>394</v>
      </c>
      <c r="N12" s="1" t="s">
        <v>394</v>
      </c>
      <c r="O12" s="1" t="s">
        <v>394</v>
      </c>
      <c r="P12" s="1" t="s">
        <v>394</v>
      </c>
      <c r="Q12" s="1" t="s">
        <v>394</v>
      </c>
      <c r="R12" s="1" t="s">
        <v>394</v>
      </c>
      <c r="S12" s="1" t="s">
        <v>394</v>
      </c>
      <c r="T12" s="1" t="s">
        <v>394</v>
      </c>
      <c r="U12" s="1" t="s">
        <v>394</v>
      </c>
      <c r="V12" s="1" t="s">
        <v>394</v>
      </c>
      <c r="W12" s="1" t="s">
        <v>394</v>
      </c>
      <c r="X12" s="1" t="s">
        <v>394</v>
      </c>
      <c r="Y12" s="1" t="s">
        <v>394</v>
      </c>
      <c r="Z12" s="1" t="s">
        <v>394</v>
      </c>
      <c r="AA12" s="1" t="s">
        <v>394</v>
      </c>
      <c r="AB12" s="1" t="s">
        <v>394</v>
      </c>
      <c r="AC12" s="501">
        <v>43045.229882731503</v>
      </c>
    </row>
    <row r="13" spans="1:29" x14ac:dyDescent="0.4">
      <c r="A13" s="1" t="s">
        <v>1246</v>
      </c>
      <c r="B13" s="1" t="s">
        <v>572</v>
      </c>
      <c r="C13" s="1" t="s">
        <v>1412</v>
      </c>
      <c r="D13" s="1" t="s">
        <v>1413</v>
      </c>
      <c r="E13" s="1" t="s">
        <v>1414</v>
      </c>
      <c r="F13" s="1" t="s">
        <v>1415</v>
      </c>
      <c r="G13" s="1" t="s">
        <v>1416</v>
      </c>
      <c r="H13" s="1" t="s">
        <v>1417</v>
      </c>
      <c r="I13" s="1" t="s">
        <v>1418</v>
      </c>
      <c r="J13" s="1" t="s">
        <v>1419</v>
      </c>
      <c r="K13" s="1" t="s">
        <v>1420</v>
      </c>
      <c r="L13" s="1" t="s">
        <v>1421</v>
      </c>
      <c r="M13" s="1" t="s">
        <v>394</v>
      </c>
      <c r="N13" s="1" t="s">
        <v>394</v>
      </c>
      <c r="O13" s="1" t="s">
        <v>1422</v>
      </c>
      <c r="P13" s="1" t="s">
        <v>1423</v>
      </c>
      <c r="Q13" s="1" t="s">
        <v>1424</v>
      </c>
      <c r="R13" s="1" t="s">
        <v>1425</v>
      </c>
      <c r="S13" s="1" t="s">
        <v>1426</v>
      </c>
      <c r="T13" s="1" t="s">
        <v>1427</v>
      </c>
      <c r="U13" s="1" t="s">
        <v>1428</v>
      </c>
      <c r="V13" s="1" t="s">
        <v>1429</v>
      </c>
      <c r="W13" s="1" t="s">
        <v>1430</v>
      </c>
      <c r="X13" s="1" t="s">
        <v>1431</v>
      </c>
      <c r="Y13" s="1" t="s">
        <v>1432</v>
      </c>
      <c r="Z13" s="1" t="s">
        <v>394</v>
      </c>
      <c r="AA13" s="1" t="s">
        <v>394</v>
      </c>
      <c r="AB13" s="1" t="s">
        <v>1433</v>
      </c>
      <c r="AC13" s="501">
        <v>43045.229882731503</v>
      </c>
    </row>
    <row r="14" spans="1:29" x14ac:dyDescent="0.4">
      <c r="A14" s="1" t="s">
        <v>1246</v>
      </c>
      <c r="B14" s="1" t="s">
        <v>599</v>
      </c>
      <c r="C14" s="1" t="s">
        <v>1434</v>
      </c>
      <c r="D14" s="1" t="s">
        <v>1435</v>
      </c>
      <c r="E14" s="1" t="s">
        <v>1436</v>
      </c>
      <c r="F14" s="1" t="s">
        <v>1437</v>
      </c>
      <c r="G14" s="1" t="s">
        <v>1438</v>
      </c>
      <c r="H14" s="1" t="s">
        <v>1439</v>
      </c>
      <c r="I14" s="1" t="s">
        <v>1440</v>
      </c>
      <c r="J14" s="1" t="s">
        <v>1441</v>
      </c>
      <c r="K14" s="1" t="s">
        <v>1442</v>
      </c>
      <c r="L14" s="1" t="s">
        <v>1443</v>
      </c>
      <c r="M14" s="1" t="s">
        <v>394</v>
      </c>
      <c r="N14" s="1" t="s">
        <v>394</v>
      </c>
      <c r="O14" s="1" t="s">
        <v>1444</v>
      </c>
      <c r="P14" s="1" t="s">
        <v>1445</v>
      </c>
      <c r="Q14" s="1" t="s">
        <v>1446</v>
      </c>
      <c r="R14" s="1" t="s">
        <v>1447</v>
      </c>
      <c r="S14" s="1" t="s">
        <v>1448</v>
      </c>
      <c r="T14" s="1" t="s">
        <v>1449</v>
      </c>
      <c r="U14" s="1" t="s">
        <v>1450</v>
      </c>
      <c r="V14" s="1" t="s">
        <v>1451</v>
      </c>
      <c r="W14" s="1" t="s">
        <v>1452</v>
      </c>
      <c r="X14" s="1" t="s">
        <v>1453</v>
      </c>
      <c r="Y14" s="1" t="s">
        <v>1454</v>
      </c>
      <c r="Z14" s="1" t="s">
        <v>394</v>
      </c>
      <c r="AA14" s="1" t="s">
        <v>394</v>
      </c>
      <c r="AB14" s="1" t="s">
        <v>1455</v>
      </c>
      <c r="AC14" s="501">
        <v>43045.229882731503</v>
      </c>
    </row>
    <row r="15" spans="1:29" x14ac:dyDescent="0.4">
      <c r="A15" s="1" t="s">
        <v>1246</v>
      </c>
      <c r="B15" s="1" t="s">
        <v>623</v>
      </c>
      <c r="C15" s="1" t="s">
        <v>1456</v>
      </c>
      <c r="D15" s="1" t="s">
        <v>1457</v>
      </c>
      <c r="E15" s="1" t="s">
        <v>1458</v>
      </c>
      <c r="F15" s="1" t="s">
        <v>1459</v>
      </c>
      <c r="G15" s="1" t="s">
        <v>1460</v>
      </c>
      <c r="H15" s="1" t="s">
        <v>1461</v>
      </c>
      <c r="I15" s="1" t="s">
        <v>1462</v>
      </c>
      <c r="J15" s="1" t="s">
        <v>1463</v>
      </c>
      <c r="K15" s="1" t="s">
        <v>1464</v>
      </c>
      <c r="L15" s="1" t="s">
        <v>1465</v>
      </c>
      <c r="M15" s="1" t="s">
        <v>394</v>
      </c>
      <c r="N15" s="1" t="s">
        <v>394</v>
      </c>
      <c r="O15" s="1" t="s">
        <v>1466</v>
      </c>
      <c r="P15" s="1" t="s">
        <v>1467</v>
      </c>
      <c r="Q15" s="1" t="s">
        <v>1468</v>
      </c>
      <c r="R15" s="1" t="s">
        <v>1467</v>
      </c>
      <c r="S15" s="1" t="s">
        <v>1467</v>
      </c>
      <c r="T15" s="1" t="s">
        <v>1469</v>
      </c>
      <c r="U15" s="1" t="s">
        <v>1470</v>
      </c>
      <c r="V15" s="1" t="s">
        <v>394</v>
      </c>
      <c r="W15" s="1" t="s">
        <v>394</v>
      </c>
      <c r="X15" s="1" t="s">
        <v>394</v>
      </c>
      <c r="Y15" s="1" t="s">
        <v>624</v>
      </c>
      <c r="Z15" s="1" t="s">
        <v>394</v>
      </c>
      <c r="AA15" s="1" t="s">
        <v>394</v>
      </c>
      <c r="AB15" s="1" t="s">
        <v>1471</v>
      </c>
      <c r="AC15" s="501">
        <v>43045.229882731503</v>
      </c>
    </row>
    <row r="16" spans="1:29" x14ac:dyDescent="0.4">
      <c r="A16" s="1" t="s">
        <v>1246</v>
      </c>
      <c r="B16" s="1" t="s">
        <v>1472</v>
      </c>
      <c r="C16" s="1" t="s">
        <v>394</v>
      </c>
      <c r="D16" s="1" t="s">
        <v>394</v>
      </c>
      <c r="E16" s="1" t="s">
        <v>394</v>
      </c>
      <c r="F16" s="1" t="s">
        <v>394</v>
      </c>
      <c r="G16" s="1" t="s">
        <v>394</v>
      </c>
      <c r="H16" s="1" t="s">
        <v>394</v>
      </c>
      <c r="I16" s="1" t="s">
        <v>394</v>
      </c>
      <c r="J16" s="1" t="s">
        <v>394</v>
      </c>
      <c r="K16" s="1" t="s">
        <v>394</v>
      </c>
      <c r="L16" s="1" t="s">
        <v>394</v>
      </c>
      <c r="M16" s="1" t="s">
        <v>394</v>
      </c>
      <c r="N16" s="1" t="s">
        <v>394</v>
      </c>
      <c r="O16" s="1" t="s">
        <v>394</v>
      </c>
      <c r="P16" s="1" t="s">
        <v>394</v>
      </c>
      <c r="Q16" s="1" t="s">
        <v>394</v>
      </c>
      <c r="R16" s="1" t="s">
        <v>394</v>
      </c>
      <c r="S16" s="1" t="s">
        <v>394</v>
      </c>
      <c r="T16" s="1" t="s">
        <v>394</v>
      </c>
      <c r="U16" s="1" t="s">
        <v>394</v>
      </c>
      <c r="V16" s="1" t="s">
        <v>394</v>
      </c>
      <c r="W16" s="1" t="s">
        <v>394</v>
      </c>
      <c r="X16" s="1" t="s">
        <v>394</v>
      </c>
      <c r="Y16" s="1" t="s">
        <v>394</v>
      </c>
      <c r="Z16" s="1" t="s">
        <v>394</v>
      </c>
      <c r="AA16" s="1" t="s">
        <v>394</v>
      </c>
      <c r="AB16" s="1" t="s">
        <v>394</v>
      </c>
      <c r="AC16" s="501">
        <v>43045.229882731503</v>
      </c>
    </row>
    <row r="17" spans="1:29" x14ac:dyDescent="0.4">
      <c r="A17" s="1" t="s">
        <v>1246</v>
      </c>
      <c r="B17" s="1" t="s">
        <v>646</v>
      </c>
      <c r="C17" s="1" t="s">
        <v>1473</v>
      </c>
      <c r="D17" s="1" t="s">
        <v>1474</v>
      </c>
      <c r="E17" s="1" t="s">
        <v>1475</v>
      </c>
      <c r="F17" s="1" t="s">
        <v>1476</v>
      </c>
      <c r="G17" s="1" t="s">
        <v>1477</v>
      </c>
      <c r="H17" s="1" t="s">
        <v>1478</v>
      </c>
      <c r="I17" s="1" t="s">
        <v>1479</v>
      </c>
      <c r="J17" s="1" t="s">
        <v>1480</v>
      </c>
      <c r="K17" s="1" t="s">
        <v>1481</v>
      </c>
      <c r="L17" s="1" t="s">
        <v>1482</v>
      </c>
      <c r="M17" s="1" t="s">
        <v>394</v>
      </c>
      <c r="N17" s="1" t="s">
        <v>394</v>
      </c>
      <c r="O17" s="1" t="s">
        <v>1483</v>
      </c>
      <c r="P17" s="1" t="s">
        <v>1484</v>
      </c>
      <c r="Q17" s="1" t="s">
        <v>1485</v>
      </c>
      <c r="R17" s="1" t="s">
        <v>1486</v>
      </c>
      <c r="S17" s="1" t="s">
        <v>1487</v>
      </c>
      <c r="T17" s="1" t="s">
        <v>1488</v>
      </c>
      <c r="U17" s="1" t="s">
        <v>1489</v>
      </c>
      <c r="V17" s="1" t="s">
        <v>1490</v>
      </c>
      <c r="W17" s="1" t="s">
        <v>1491</v>
      </c>
      <c r="X17" s="1" t="s">
        <v>1492</v>
      </c>
      <c r="Y17" s="1" t="s">
        <v>1493</v>
      </c>
      <c r="Z17" s="1" t="s">
        <v>394</v>
      </c>
      <c r="AA17" s="1" t="s">
        <v>394</v>
      </c>
      <c r="AB17" s="1" t="s">
        <v>1494</v>
      </c>
      <c r="AC17" s="501">
        <v>43045.229882731503</v>
      </c>
    </row>
    <row r="18" spans="1:29" x14ac:dyDescent="0.4">
      <c r="A18" s="1" t="s">
        <v>1246</v>
      </c>
      <c r="B18" s="500" t="s">
        <v>675</v>
      </c>
      <c r="C18" s="1" t="s">
        <v>1495</v>
      </c>
      <c r="D18" s="1" t="s">
        <v>1496</v>
      </c>
      <c r="E18" s="1" t="s">
        <v>1497</v>
      </c>
      <c r="F18" s="1" t="s">
        <v>1498</v>
      </c>
      <c r="G18" s="1" t="s">
        <v>1499</v>
      </c>
      <c r="H18" s="1" t="s">
        <v>1500</v>
      </c>
      <c r="I18" s="1" t="s">
        <v>1501</v>
      </c>
      <c r="J18" s="1" t="s">
        <v>1502</v>
      </c>
      <c r="K18" s="1" t="s">
        <v>1503</v>
      </c>
      <c r="L18" s="1" t="s">
        <v>1504</v>
      </c>
      <c r="M18" s="1" t="s">
        <v>394</v>
      </c>
      <c r="N18" s="1" t="s">
        <v>394</v>
      </c>
      <c r="O18" s="1" t="s">
        <v>1505</v>
      </c>
      <c r="P18" s="1" t="s">
        <v>1506</v>
      </c>
      <c r="Q18" s="1" t="s">
        <v>1507</v>
      </c>
      <c r="R18" s="1" t="s">
        <v>1508</v>
      </c>
      <c r="S18" s="1" t="s">
        <v>1509</v>
      </c>
      <c r="T18" s="1" t="s">
        <v>1510</v>
      </c>
      <c r="U18" s="1" t="s">
        <v>1511</v>
      </c>
      <c r="V18" s="1" t="s">
        <v>1512</v>
      </c>
      <c r="W18" s="1" t="s">
        <v>1513</v>
      </c>
      <c r="X18" s="1" t="s">
        <v>1514</v>
      </c>
      <c r="Y18" s="1" t="s">
        <v>1515</v>
      </c>
      <c r="Z18" s="1" t="s">
        <v>394</v>
      </c>
      <c r="AA18" s="1" t="s">
        <v>394</v>
      </c>
      <c r="AB18" s="1" t="s">
        <v>1516</v>
      </c>
      <c r="AC18" s="501">
        <v>43045.229882731503</v>
      </c>
    </row>
    <row r="19" spans="1:29" x14ac:dyDescent="0.4">
      <c r="A19" s="1" t="s">
        <v>1246</v>
      </c>
      <c r="B19" s="1" t="s">
        <v>705</v>
      </c>
      <c r="C19" s="1" t="s">
        <v>1517</v>
      </c>
      <c r="D19" s="1" t="s">
        <v>1518</v>
      </c>
      <c r="E19" s="1" t="s">
        <v>1519</v>
      </c>
      <c r="F19" s="1" t="s">
        <v>1520</v>
      </c>
      <c r="G19" s="1" t="s">
        <v>1521</v>
      </c>
      <c r="H19" s="1" t="s">
        <v>1522</v>
      </c>
      <c r="I19" s="1" t="s">
        <v>1523</v>
      </c>
      <c r="J19" s="1" t="s">
        <v>1524</v>
      </c>
      <c r="K19" s="1" t="s">
        <v>1525</v>
      </c>
      <c r="L19" s="1" t="s">
        <v>1526</v>
      </c>
      <c r="M19" s="1" t="s">
        <v>394</v>
      </c>
      <c r="N19" s="1" t="s">
        <v>394</v>
      </c>
      <c r="O19" s="1" t="s">
        <v>1527</v>
      </c>
      <c r="P19" s="1" t="s">
        <v>1528</v>
      </c>
      <c r="Q19" s="1" t="s">
        <v>1529</v>
      </c>
      <c r="R19" s="1" t="s">
        <v>1530</v>
      </c>
      <c r="S19" s="1" t="s">
        <v>1531</v>
      </c>
      <c r="T19" s="1" t="s">
        <v>1532</v>
      </c>
      <c r="U19" s="1" t="s">
        <v>1533</v>
      </c>
      <c r="V19" s="1" t="s">
        <v>1534</v>
      </c>
      <c r="W19" s="1" t="s">
        <v>1535</v>
      </c>
      <c r="X19" s="1" t="s">
        <v>1536</v>
      </c>
      <c r="Y19" s="1" t="s">
        <v>1537</v>
      </c>
      <c r="Z19" s="1" t="s">
        <v>394</v>
      </c>
      <c r="AA19" s="1" t="s">
        <v>394</v>
      </c>
      <c r="AB19" s="1" t="s">
        <v>1538</v>
      </c>
      <c r="AC19" s="501">
        <v>43045.229882731503</v>
      </c>
    </row>
    <row r="20" spans="1:29" x14ac:dyDescent="0.4">
      <c r="A20" s="1" t="s">
        <v>1246</v>
      </c>
      <c r="B20" s="1" t="s">
        <v>732</v>
      </c>
      <c r="C20" s="1" t="s">
        <v>733</v>
      </c>
      <c r="D20" s="1" t="s">
        <v>733</v>
      </c>
      <c r="E20" s="1" t="s">
        <v>733</v>
      </c>
      <c r="F20" s="1" t="s">
        <v>733</v>
      </c>
      <c r="G20" s="1" t="s">
        <v>733</v>
      </c>
      <c r="H20" s="1" t="s">
        <v>733</v>
      </c>
      <c r="I20" s="1" t="s">
        <v>733</v>
      </c>
      <c r="J20" s="1" t="s">
        <v>733</v>
      </c>
      <c r="K20" s="1" t="s">
        <v>733</v>
      </c>
      <c r="L20" s="1" t="s">
        <v>733</v>
      </c>
      <c r="M20" s="1" t="s">
        <v>394</v>
      </c>
      <c r="N20" s="1" t="s">
        <v>394</v>
      </c>
      <c r="O20" s="1" t="s">
        <v>733</v>
      </c>
      <c r="P20" s="1" t="s">
        <v>733</v>
      </c>
      <c r="Q20" s="1" t="s">
        <v>733</v>
      </c>
      <c r="R20" s="1" t="s">
        <v>733</v>
      </c>
      <c r="S20" s="1" t="s">
        <v>733</v>
      </c>
      <c r="T20" s="1" t="s">
        <v>733</v>
      </c>
      <c r="U20" s="1" t="s">
        <v>733</v>
      </c>
      <c r="V20" s="1" t="s">
        <v>733</v>
      </c>
      <c r="W20" s="1" t="s">
        <v>733</v>
      </c>
      <c r="X20" s="1" t="s">
        <v>733</v>
      </c>
      <c r="Y20" s="1" t="s">
        <v>733</v>
      </c>
      <c r="Z20" s="1" t="s">
        <v>394</v>
      </c>
      <c r="AA20" s="1" t="s">
        <v>394</v>
      </c>
      <c r="AB20" s="1" t="s">
        <v>733</v>
      </c>
      <c r="AC20" s="501">
        <v>43045.229882731503</v>
      </c>
    </row>
    <row r="21" spans="1:29" x14ac:dyDescent="0.4">
      <c r="A21" s="1" t="s">
        <v>1246</v>
      </c>
      <c r="B21" s="1" t="s">
        <v>734</v>
      </c>
      <c r="C21" s="1" t="s">
        <v>1539</v>
      </c>
      <c r="D21" s="1" t="s">
        <v>1539</v>
      </c>
      <c r="E21" s="1" t="s">
        <v>1539</v>
      </c>
      <c r="F21" s="1" t="s">
        <v>1539</v>
      </c>
      <c r="G21" s="1" t="s">
        <v>1539</v>
      </c>
      <c r="H21" s="1" t="s">
        <v>1539</v>
      </c>
      <c r="I21" s="1" t="s">
        <v>1539</v>
      </c>
      <c r="J21" s="1" t="s">
        <v>1539</v>
      </c>
      <c r="K21" s="1" t="s">
        <v>735</v>
      </c>
      <c r="L21" s="1" t="s">
        <v>735</v>
      </c>
      <c r="M21" s="1" t="s">
        <v>394</v>
      </c>
      <c r="N21" s="1" t="s">
        <v>394</v>
      </c>
      <c r="O21" s="1" t="s">
        <v>1540</v>
      </c>
      <c r="P21" s="1" t="s">
        <v>1539</v>
      </c>
      <c r="Q21" s="1" t="s">
        <v>1539</v>
      </c>
      <c r="R21" s="1" t="s">
        <v>1539</v>
      </c>
      <c r="S21" s="1" t="s">
        <v>1539</v>
      </c>
      <c r="T21" s="1" t="s">
        <v>1539</v>
      </c>
      <c r="U21" s="1" t="s">
        <v>1539</v>
      </c>
      <c r="V21" s="1" t="s">
        <v>1539</v>
      </c>
      <c r="W21" s="1" t="s">
        <v>1539</v>
      </c>
      <c r="X21" s="1" t="s">
        <v>735</v>
      </c>
      <c r="Y21" s="1" t="s">
        <v>735</v>
      </c>
      <c r="Z21" s="1" t="s">
        <v>394</v>
      </c>
      <c r="AA21" s="1" t="s">
        <v>394</v>
      </c>
      <c r="AB21" s="1" t="s">
        <v>1540</v>
      </c>
      <c r="AC21" s="501">
        <v>43045.229882731503</v>
      </c>
    </row>
    <row r="22" spans="1:29" x14ac:dyDescent="0.4">
      <c r="A22" s="1" t="s">
        <v>1246</v>
      </c>
      <c r="B22" s="1" t="s">
        <v>736</v>
      </c>
      <c r="C22" s="1" t="s">
        <v>1541</v>
      </c>
      <c r="D22" s="1" t="s">
        <v>1542</v>
      </c>
      <c r="E22" s="1" t="s">
        <v>1543</v>
      </c>
      <c r="F22" s="1" t="s">
        <v>1544</v>
      </c>
      <c r="G22" s="1" t="s">
        <v>1545</v>
      </c>
      <c r="H22" s="1" t="s">
        <v>1546</v>
      </c>
      <c r="I22" s="1" t="s">
        <v>1547</v>
      </c>
      <c r="J22" s="1" t="s">
        <v>1548</v>
      </c>
      <c r="K22" s="1" t="s">
        <v>1549</v>
      </c>
      <c r="L22" s="1" t="s">
        <v>1550</v>
      </c>
      <c r="M22" s="1" t="s">
        <v>394</v>
      </c>
      <c r="N22" s="1" t="s">
        <v>394</v>
      </c>
      <c r="O22" s="1" t="s">
        <v>1551</v>
      </c>
      <c r="P22" s="1" t="s">
        <v>1541</v>
      </c>
      <c r="Q22" s="1" t="s">
        <v>1552</v>
      </c>
      <c r="R22" s="1" t="s">
        <v>1553</v>
      </c>
      <c r="S22" s="1" t="s">
        <v>1554</v>
      </c>
      <c r="T22" s="1" t="s">
        <v>1555</v>
      </c>
      <c r="U22" s="1" t="s">
        <v>1556</v>
      </c>
      <c r="V22" s="1" t="s">
        <v>1557</v>
      </c>
      <c r="W22" s="1" t="s">
        <v>1558</v>
      </c>
      <c r="X22" s="1" t="s">
        <v>1559</v>
      </c>
      <c r="Y22" s="1" t="s">
        <v>737</v>
      </c>
      <c r="Z22" s="1" t="s">
        <v>394</v>
      </c>
      <c r="AA22" s="1" t="s">
        <v>394</v>
      </c>
      <c r="AB22" s="1" t="s">
        <v>1560</v>
      </c>
      <c r="AC22" s="501">
        <v>43045.229882731503</v>
      </c>
    </row>
    <row r="23" spans="1:29" x14ac:dyDescent="0.4">
      <c r="A23" s="1" t="s">
        <v>1246</v>
      </c>
      <c r="B23" s="500" t="s">
        <v>744</v>
      </c>
      <c r="C23" s="1" t="s">
        <v>394</v>
      </c>
      <c r="D23" s="1" t="s">
        <v>394</v>
      </c>
      <c r="E23" s="1" t="s">
        <v>394</v>
      </c>
      <c r="F23" s="1" t="s">
        <v>394</v>
      </c>
      <c r="G23" s="1" t="s">
        <v>394</v>
      </c>
      <c r="H23" s="1" t="s">
        <v>394</v>
      </c>
      <c r="I23" s="1" t="s">
        <v>394</v>
      </c>
      <c r="J23" s="1" t="s">
        <v>394</v>
      </c>
      <c r="K23" s="1" t="s">
        <v>394</v>
      </c>
      <c r="L23" s="1" t="s">
        <v>394</v>
      </c>
      <c r="M23" s="1" t="s">
        <v>394</v>
      </c>
      <c r="N23" s="1" t="s">
        <v>394</v>
      </c>
      <c r="O23" s="1" t="s">
        <v>394</v>
      </c>
      <c r="P23" s="1" t="s">
        <v>394</v>
      </c>
      <c r="Q23" s="1" t="s">
        <v>394</v>
      </c>
      <c r="R23" s="1" t="s">
        <v>394</v>
      </c>
      <c r="S23" s="1" t="s">
        <v>394</v>
      </c>
      <c r="T23" s="1" t="s">
        <v>394</v>
      </c>
      <c r="U23" s="1" t="s">
        <v>394</v>
      </c>
      <c r="V23" s="1" t="s">
        <v>394</v>
      </c>
      <c r="W23" s="1" t="s">
        <v>394</v>
      </c>
      <c r="X23" s="1" t="s">
        <v>394</v>
      </c>
      <c r="Y23" s="1" t="s">
        <v>394</v>
      </c>
      <c r="Z23" s="1" t="s">
        <v>394</v>
      </c>
      <c r="AA23" s="1" t="s">
        <v>394</v>
      </c>
      <c r="AB23" s="1" t="s">
        <v>394</v>
      </c>
      <c r="AC23" s="501">
        <v>43045.229882731503</v>
      </c>
    </row>
    <row r="24" spans="1:29" x14ac:dyDescent="0.4">
      <c r="A24" s="1" t="s">
        <v>1246</v>
      </c>
      <c r="B24" s="500" t="s">
        <v>745</v>
      </c>
      <c r="C24" s="1" t="s">
        <v>394</v>
      </c>
      <c r="D24" s="1" t="s">
        <v>394</v>
      </c>
      <c r="E24" s="1" t="s">
        <v>394</v>
      </c>
      <c r="F24" s="1" t="s">
        <v>394</v>
      </c>
      <c r="G24" s="1" t="s">
        <v>394</v>
      </c>
      <c r="H24" s="1" t="s">
        <v>394</v>
      </c>
      <c r="I24" s="1" t="s">
        <v>394</v>
      </c>
      <c r="J24" s="1" t="s">
        <v>394</v>
      </c>
      <c r="K24" s="1" t="s">
        <v>394</v>
      </c>
      <c r="L24" s="1" t="s">
        <v>394</v>
      </c>
      <c r="M24" s="1" t="s">
        <v>394</v>
      </c>
      <c r="N24" s="1" t="s">
        <v>394</v>
      </c>
      <c r="O24" s="1" t="s">
        <v>394</v>
      </c>
      <c r="P24" s="1" t="s">
        <v>394</v>
      </c>
      <c r="Q24" s="1" t="s">
        <v>394</v>
      </c>
      <c r="R24" s="1" t="s">
        <v>394</v>
      </c>
      <c r="S24" s="1" t="s">
        <v>394</v>
      </c>
      <c r="T24" s="1" t="s">
        <v>394</v>
      </c>
      <c r="U24" s="1" t="s">
        <v>394</v>
      </c>
      <c r="V24" s="1" t="s">
        <v>394</v>
      </c>
      <c r="W24" s="1" t="s">
        <v>394</v>
      </c>
      <c r="X24" s="1" t="s">
        <v>394</v>
      </c>
      <c r="Y24" s="1" t="s">
        <v>394</v>
      </c>
      <c r="Z24" s="1" t="s">
        <v>394</v>
      </c>
      <c r="AA24" s="1" t="s">
        <v>394</v>
      </c>
      <c r="AB24" s="1" t="s">
        <v>394</v>
      </c>
      <c r="AC24" s="501">
        <v>43045.229882731503</v>
      </c>
    </row>
    <row r="25" spans="1:29" x14ac:dyDescent="0.4">
      <c r="A25" s="1" t="s">
        <v>1246</v>
      </c>
      <c r="B25" s="500" t="s">
        <v>746</v>
      </c>
      <c r="C25" s="1" t="s">
        <v>1561</v>
      </c>
      <c r="D25" s="1" t="s">
        <v>1562</v>
      </c>
      <c r="E25" s="1" t="s">
        <v>1563</v>
      </c>
      <c r="F25" s="1" t="s">
        <v>1564</v>
      </c>
      <c r="G25" s="1" t="s">
        <v>1565</v>
      </c>
      <c r="H25" s="1" t="s">
        <v>1566</v>
      </c>
      <c r="I25" s="1" t="s">
        <v>1567</v>
      </c>
      <c r="J25" s="1" t="s">
        <v>1568</v>
      </c>
      <c r="K25" s="1" t="s">
        <v>1569</v>
      </c>
      <c r="L25" s="1" t="s">
        <v>1570</v>
      </c>
      <c r="M25" s="1" t="s">
        <v>394</v>
      </c>
      <c r="N25" s="1" t="s">
        <v>394</v>
      </c>
      <c r="O25" s="1" t="s">
        <v>1571</v>
      </c>
      <c r="P25" s="1" t="s">
        <v>1572</v>
      </c>
      <c r="Q25" s="1" t="s">
        <v>1573</v>
      </c>
      <c r="R25" s="1" t="s">
        <v>1574</v>
      </c>
      <c r="S25" s="1" t="s">
        <v>1575</v>
      </c>
      <c r="T25" s="1" t="s">
        <v>1576</v>
      </c>
      <c r="U25" s="1" t="s">
        <v>1577</v>
      </c>
      <c r="V25" s="1" t="s">
        <v>1578</v>
      </c>
      <c r="W25" s="1" t="s">
        <v>1579</v>
      </c>
      <c r="X25" s="1" t="s">
        <v>1580</v>
      </c>
      <c r="Y25" s="1" t="s">
        <v>1581</v>
      </c>
      <c r="Z25" s="1" t="s">
        <v>394</v>
      </c>
      <c r="AA25" s="1" t="s">
        <v>394</v>
      </c>
      <c r="AB25" s="1" t="s">
        <v>1582</v>
      </c>
      <c r="AC25" s="501">
        <v>43045.229882731503</v>
      </c>
    </row>
    <row r="26" spans="1:29" x14ac:dyDescent="0.4">
      <c r="A26" s="1" t="s">
        <v>1246</v>
      </c>
      <c r="B26" s="500" t="s">
        <v>775</v>
      </c>
      <c r="C26" s="1" t="s">
        <v>1583</v>
      </c>
      <c r="D26" s="1" t="s">
        <v>1584</v>
      </c>
      <c r="E26" s="1" t="s">
        <v>1585</v>
      </c>
      <c r="F26" s="1" t="s">
        <v>1586</v>
      </c>
      <c r="G26" s="1" t="s">
        <v>1587</v>
      </c>
      <c r="H26" s="1" t="s">
        <v>1588</v>
      </c>
      <c r="I26" s="1" t="s">
        <v>1589</v>
      </c>
      <c r="J26" s="1" t="s">
        <v>1590</v>
      </c>
      <c r="K26" s="1" t="s">
        <v>1591</v>
      </c>
      <c r="L26" s="1" t="s">
        <v>1592</v>
      </c>
      <c r="M26" s="1" t="s">
        <v>394</v>
      </c>
      <c r="N26" s="1" t="s">
        <v>394</v>
      </c>
      <c r="O26" s="1" t="s">
        <v>1593</v>
      </c>
      <c r="P26" s="1" t="s">
        <v>1594</v>
      </c>
      <c r="Q26" s="1" t="s">
        <v>1595</v>
      </c>
      <c r="R26" s="1" t="s">
        <v>1596</v>
      </c>
      <c r="S26" s="1" t="s">
        <v>1597</v>
      </c>
      <c r="T26" s="1" t="s">
        <v>1598</v>
      </c>
      <c r="U26" s="1" t="s">
        <v>1599</v>
      </c>
      <c r="V26" s="1" t="s">
        <v>1600</v>
      </c>
      <c r="W26" s="1" t="s">
        <v>1601</v>
      </c>
      <c r="X26" s="1" t="s">
        <v>1602</v>
      </c>
      <c r="Y26" s="1" t="s">
        <v>1603</v>
      </c>
      <c r="Z26" s="1" t="s">
        <v>394</v>
      </c>
      <c r="AA26" s="1" t="s">
        <v>394</v>
      </c>
      <c r="AB26" s="1" t="s">
        <v>1604</v>
      </c>
      <c r="AC26" s="501">
        <v>43045.229882731503</v>
      </c>
    </row>
    <row r="27" spans="1:29" x14ac:dyDescent="0.4">
      <c r="A27" s="1"/>
      <c r="B27" s="50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501">
        <v>43045.229882731503</v>
      </c>
    </row>
    <row r="28" spans="1:29" x14ac:dyDescent="0.4">
      <c r="A28" s="1"/>
      <c r="B28" s="50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501">
        <v>43045.229882731503</v>
      </c>
    </row>
    <row r="29" spans="1:29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9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9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9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051"/>
  <sheetViews>
    <sheetView workbookViewId="0">
      <selection activeCell="J14" sqref="J14"/>
    </sheetView>
  </sheetViews>
  <sheetFormatPr defaultRowHeight="17" x14ac:dyDescent="0.4"/>
  <cols>
    <col min="3" max="3" width="11.90625" customWidth="1"/>
    <col min="10" max="10" width="11.26953125" customWidth="1"/>
  </cols>
  <sheetData>
    <row r="1" spans="1:17" x14ac:dyDescent="0.4">
      <c r="A1" s="1" t="s">
        <v>1220</v>
      </c>
      <c r="B1" s="1" t="s">
        <v>360</v>
      </c>
      <c r="C1" s="1" t="s">
        <v>1221</v>
      </c>
      <c r="D1" s="1" t="s">
        <v>1222</v>
      </c>
      <c r="E1" s="1" t="s">
        <v>1223</v>
      </c>
      <c r="F1" s="1" t="s">
        <v>1224</v>
      </c>
      <c r="G1" s="1" t="s">
        <v>1225</v>
      </c>
      <c r="H1" s="1" t="s">
        <v>1226</v>
      </c>
      <c r="I1" s="1" t="s">
        <v>1227</v>
      </c>
      <c r="J1" s="1" t="s">
        <v>1228</v>
      </c>
      <c r="K1" s="1" t="s">
        <v>1229</v>
      </c>
      <c r="L1" s="1" t="s">
        <v>1230</v>
      </c>
      <c r="M1" s="1" t="s">
        <v>1231</v>
      </c>
      <c r="N1" s="1" t="s">
        <v>1232</v>
      </c>
      <c r="O1" s="1" t="s">
        <v>802</v>
      </c>
    </row>
    <row r="2" spans="1:17" x14ac:dyDescent="0.4">
      <c r="A2" s="1" t="s">
        <v>1246</v>
      </c>
      <c r="B2" s="275" t="s">
        <v>363</v>
      </c>
      <c r="C2" s="1" t="s">
        <v>822</v>
      </c>
      <c r="D2" s="1" t="s">
        <v>813</v>
      </c>
      <c r="E2" s="1" t="s">
        <v>859</v>
      </c>
      <c r="F2" s="1" t="s">
        <v>859</v>
      </c>
      <c r="G2" s="1" t="s">
        <v>822</v>
      </c>
      <c r="H2" s="1" t="s">
        <v>805</v>
      </c>
      <c r="I2" s="1" t="s">
        <v>821</v>
      </c>
      <c r="J2" s="1" t="s">
        <v>805</v>
      </c>
      <c r="K2" s="1" t="s">
        <v>821</v>
      </c>
      <c r="L2" s="1" t="s">
        <v>805</v>
      </c>
      <c r="M2" s="1" t="s">
        <v>804</v>
      </c>
      <c r="N2" s="1" t="s">
        <v>804</v>
      </c>
      <c r="O2" s="1" t="s">
        <v>813</v>
      </c>
      <c r="P2" s="501"/>
      <c r="Q2" s="501"/>
    </row>
    <row r="3" spans="1:17" x14ac:dyDescent="0.4">
      <c r="A3" s="1" t="s">
        <v>1246</v>
      </c>
      <c r="B3" s="275" t="s">
        <v>397</v>
      </c>
      <c r="C3" s="1" t="s">
        <v>821</v>
      </c>
      <c r="D3" s="1" t="s">
        <v>810</v>
      </c>
      <c r="E3" s="1" t="s">
        <v>814</v>
      </c>
      <c r="F3" s="1" t="s">
        <v>816</v>
      </c>
      <c r="G3" s="1" t="s">
        <v>859</v>
      </c>
      <c r="H3" s="1" t="s">
        <v>822</v>
      </c>
      <c r="I3" s="1" t="s">
        <v>822</v>
      </c>
      <c r="J3" s="1" t="s">
        <v>810</v>
      </c>
      <c r="K3" s="1" t="s">
        <v>823</v>
      </c>
      <c r="L3" s="1" t="s">
        <v>813</v>
      </c>
      <c r="M3" s="1" t="s">
        <v>804</v>
      </c>
      <c r="N3" s="1" t="s">
        <v>804</v>
      </c>
      <c r="O3" s="1" t="s">
        <v>810</v>
      </c>
      <c r="P3" s="501"/>
      <c r="Q3" s="501"/>
    </row>
    <row r="4" spans="1:17" x14ac:dyDescent="0.4">
      <c r="A4" s="1" t="s">
        <v>1246</v>
      </c>
      <c r="B4" s="275" t="s">
        <v>426</v>
      </c>
      <c r="C4" s="1" t="s">
        <v>920</v>
      </c>
      <c r="D4" s="1" t="s">
        <v>854</v>
      </c>
      <c r="E4" s="1" t="s">
        <v>811</v>
      </c>
      <c r="F4" s="1" t="s">
        <v>811</v>
      </c>
      <c r="G4" s="1" t="s">
        <v>811</v>
      </c>
      <c r="H4" s="1" t="s">
        <v>854</v>
      </c>
      <c r="I4" s="1" t="s">
        <v>811</v>
      </c>
      <c r="J4" s="1" t="s">
        <v>854</v>
      </c>
      <c r="K4" s="1" t="s">
        <v>811</v>
      </c>
      <c r="L4" s="1" t="s">
        <v>854</v>
      </c>
      <c r="M4" s="1" t="s">
        <v>804</v>
      </c>
      <c r="N4" s="1" t="s">
        <v>804</v>
      </c>
      <c r="O4" s="1" t="s">
        <v>852</v>
      </c>
      <c r="P4" s="501"/>
      <c r="Q4" s="501"/>
    </row>
    <row r="5" spans="1:17" x14ac:dyDescent="0.4">
      <c r="A5" s="1" t="s">
        <v>1246</v>
      </c>
      <c r="B5" s="275" t="s">
        <v>453</v>
      </c>
      <c r="C5" s="1" t="s">
        <v>1605</v>
      </c>
      <c r="D5" s="1" t="s">
        <v>1606</v>
      </c>
      <c r="E5" s="1" t="s">
        <v>805</v>
      </c>
      <c r="F5" s="1" t="s">
        <v>1607</v>
      </c>
      <c r="G5" s="1" t="s">
        <v>1608</v>
      </c>
      <c r="H5" s="1" t="s">
        <v>934</v>
      </c>
      <c r="I5" s="1" t="s">
        <v>1609</v>
      </c>
      <c r="J5" s="1" t="s">
        <v>1610</v>
      </c>
      <c r="K5" s="1" t="s">
        <v>1611</v>
      </c>
      <c r="L5" s="1" t="s">
        <v>1612</v>
      </c>
      <c r="M5" s="1" t="s">
        <v>804</v>
      </c>
      <c r="N5" s="1" t="s">
        <v>804</v>
      </c>
      <c r="O5" s="1" t="s">
        <v>1613</v>
      </c>
      <c r="P5" s="501"/>
      <c r="Q5" s="501"/>
    </row>
    <row r="6" spans="1:17" x14ac:dyDescent="0.4">
      <c r="A6" s="1" t="s">
        <v>1246</v>
      </c>
      <c r="B6" s="275" t="s">
        <v>480</v>
      </c>
      <c r="C6" s="1" t="s">
        <v>853</v>
      </c>
      <c r="D6" s="1" t="s">
        <v>849</v>
      </c>
      <c r="E6" s="1" t="s">
        <v>851</v>
      </c>
      <c r="F6" s="1" t="s">
        <v>855</v>
      </c>
      <c r="G6" s="1" t="s">
        <v>853</v>
      </c>
      <c r="H6" s="1" t="s">
        <v>850</v>
      </c>
      <c r="I6" s="1" t="s">
        <v>853</v>
      </c>
      <c r="J6" s="1" t="s">
        <v>850</v>
      </c>
      <c r="K6" s="1" t="s">
        <v>850</v>
      </c>
      <c r="L6" s="1" t="s">
        <v>851</v>
      </c>
      <c r="M6" s="1" t="s">
        <v>804</v>
      </c>
      <c r="N6" s="1" t="s">
        <v>804</v>
      </c>
      <c r="O6" s="1" t="s">
        <v>850</v>
      </c>
      <c r="P6" s="501"/>
      <c r="Q6" s="501"/>
    </row>
    <row r="7" spans="1:17" x14ac:dyDescent="0.4">
      <c r="A7" s="1" t="s">
        <v>1246</v>
      </c>
      <c r="B7" s="275" t="s">
        <v>511</v>
      </c>
      <c r="C7" s="1" t="s">
        <v>804</v>
      </c>
      <c r="D7" s="1" t="s">
        <v>804</v>
      </c>
      <c r="E7" s="1" t="s">
        <v>804</v>
      </c>
      <c r="F7" s="1" t="s">
        <v>804</v>
      </c>
      <c r="G7" s="1" t="s">
        <v>804</v>
      </c>
      <c r="H7" s="1" t="s">
        <v>804</v>
      </c>
      <c r="I7" s="1" t="s">
        <v>804</v>
      </c>
      <c r="J7" s="1" t="s">
        <v>804</v>
      </c>
      <c r="K7" s="1" t="s">
        <v>804</v>
      </c>
      <c r="L7" s="1" t="s">
        <v>804</v>
      </c>
      <c r="M7" s="1" t="s">
        <v>804</v>
      </c>
      <c r="N7" s="1" t="s">
        <v>804</v>
      </c>
      <c r="O7" s="1" t="s">
        <v>804</v>
      </c>
      <c r="P7" s="501"/>
      <c r="Q7" s="501"/>
    </row>
    <row r="8" spans="1:17" x14ac:dyDescent="0.4">
      <c r="A8" s="1" t="s">
        <v>1246</v>
      </c>
      <c r="B8" s="275" t="s">
        <v>512</v>
      </c>
      <c r="C8" s="1" t="s">
        <v>813</v>
      </c>
      <c r="D8" s="1" t="s">
        <v>859</v>
      </c>
      <c r="E8" s="1" t="s">
        <v>847</v>
      </c>
      <c r="F8" s="1" t="s">
        <v>921</v>
      </c>
      <c r="G8" s="1" t="s">
        <v>813</v>
      </c>
      <c r="H8" s="1" t="s">
        <v>822</v>
      </c>
      <c r="I8" s="1" t="s">
        <v>821</v>
      </c>
      <c r="J8" s="1" t="s">
        <v>816</v>
      </c>
      <c r="K8" s="1" t="s">
        <v>808</v>
      </c>
      <c r="L8" s="1" t="s">
        <v>873</v>
      </c>
      <c r="M8" s="1" t="s">
        <v>804</v>
      </c>
      <c r="N8" s="1" t="s">
        <v>804</v>
      </c>
      <c r="O8" s="1" t="s">
        <v>810</v>
      </c>
      <c r="P8" s="501"/>
      <c r="Q8" s="501"/>
    </row>
    <row r="9" spans="1:17" x14ac:dyDescent="0.4">
      <c r="A9" s="1" t="s">
        <v>1246</v>
      </c>
      <c r="B9" s="275" t="s">
        <v>867</v>
      </c>
      <c r="C9" s="1" t="s">
        <v>816</v>
      </c>
      <c r="D9" s="1" t="s">
        <v>819</v>
      </c>
      <c r="E9" s="1" t="s">
        <v>915</v>
      </c>
      <c r="F9" s="1" t="s">
        <v>853</v>
      </c>
      <c r="G9" s="1" t="s">
        <v>885</v>
      </c>
      <c r="H9" s="1" t="s">
        <v>864</v>
      </c>
      <c r="I9" s="1" t="s">
        <v>811</v>
      </c>
      <c r="J9" s="1" t="s">
        <v>815</v>
      </c>
      <c r="K9" s="1" t="s">
        <v>1614</v>
      </c>
      <c r="L9" s="1" t="s">
        <v>926</v>
      </c>
      <c r="M9" s="1" t="s">
        <v>804</v>
      </c>
      <c r="N9" s="1" t="s">
        <v>804</v>
      </c>
      <c r="O9" s="1" t="s">
        <v>913</v>
      </c>
      <c r="P9" s="501"/>
      <c r="Q9" s="501"/>
    </row>
    <row r="10" spans="1:17" x14ac:dyDescent="0.4">
      <c r="A10" s="1" t="s">
        <v>1246</v>
      </c>
      <c r="B10" s="275" t="s">
        <v>872</v>
      </c>
      <c r="C10" s="1" t="s">
        <v>815</v>
      </c>
      <c r="D10" s="1" t="s">
        <v>810</v>
      </c>
      <c r="E10" s="1" t="s">
        <v>859</v>
      </c>
      <c r="F10" s="1" t="s">
        <v>816</v>
      </c>
      <c r="G10" s="1" t="s">
        <v>815</v>
      </c>
      <c r="H10" s="1" t="s">
        <v>813</v>
      </c>
      <c r="I10" s="1" t="s">
        <v>808</v>
      </c>
      <c r="J10" s="1" t="s">
        <v>813</v>
      </c>
      <c r="K10" s="1" t="s">
        <v>805</v>
      </c>
      <c r="L10" s="1" t="s">
        <v>813</v>
      </c>
      <c r="M10" s="1" t="s">
        <v>804</v>
      </c>
      <c r="N10" s="1" t="s">
        <v>804</v>
      </c>
      <c r="O10" s="1" t="s">
        <v>810</v>
      </c>
      <c r="P10" s="501"/>
      <c r="Q10" s="501"/>
    </row>
    <row r="11" spans="1:17" x14ac:dyDescent="0.4">
      <c r="A11" s="1" t="s">
        <v>1246</v>
      </c>
      <c r="B11" s="275" t="s">
        <v>874</v>
      </c>
      <c r="C11" s="1" t="s">
        <v>812</v>
      </c>
      <c r="D11" s="1" t="s">
        <v>865</v>
      </c>
      <c r="E11" s="1" t="s">
        <v>811</v>
      </c>
      <c r="F11" s="1" t="s">
        <v>811</v>
      </c>
      <c r="G11" s="1" t="s">
        <v>865</v>
      </c>
      <c r="H11" s="1" t="s">
        <v>811</v>
      </c>
      <c r="I11" s="1" t="s">
        <v>852</v>
      </c>
      <c r="J11" s="1" t="s">
        <v>811</v>
      </c>
      <c r="K11" s="1" t="s">
        <v>811</v>
      </c>
      <c r="L11" s="1" t="s">
        <v>811</v>
      </c>
      <c r="M11" s="1" t="s">
        <v>804</v>
      </c>
      <c r="N11" s="1" t="s">
        <v>804</v>
      </c>
      <c r="O11" s="1" t="s">
        <v>851</v>
      </c>
      <c r="P11" s="501"/>
      <c r="Q11" s="501"/>
    </row>
    <row r="12" spans="1:17" x14ac:dyDescent="0.4">
      <c r="A12" s="1" t="s">
        <v>1246</v>
      </c>
      <c r="B12" s="275" t="s">
        <v>875</v>
      </c>
      <c r="C12" s="1" t="s">
        <v>879</v>
      </c>
      <c r="D12" s="1" t="s">
        <v>812</v>
      </c>
      <c r="E12" s="1" t="s">
        <v>824</v>
      </c>
      <c r="F12" s="1" t="s">
        <v>821</v>
      </c>
      <c r="G12" s="1" t="s">
        <v>913</v>
      </c>
      <c r="H12" s="1" t="s">
        <v>821</v>
      </c>
      <c r="I12" s="1" t="s">
        <v>809</v>
      </c>
      <c r="J12" s="1" t="s">
        <v>848</v>
      </c>
      <c r="K12" s="1" t="s">
        <v>859</v>
      </c>
      <c r="L12" s="1" t="s">
        <v>823</v>
      </c>
      <c r="M12" s="1" t="s">
        <v>804</v>
      </c>
      <c r="N12" s="1" t="s">
        <v>804</v>
      </c>
      <c r="O12" s="1" t="s">
        <v>818</v>
      </c>
      <c r="P12" s="501"/>
      <c r="Q12" s="501"/>
    </row>
    <row r="13" spans="1:17" x14ac:dyDescent="0.4">
      <c r="A13" s="1" t="s">
        <v>1246</v>
      </c>
      <c r="B13" s="275" t="s">
        <v>881</v>
      </c>
      <c r="C13" s="1" t="s">
        <v>803</v>
      </c>
      <c r="D13" s="1" t="s">
        <v>883</v>
      </c>
      <c r="E13" s="1" t="s">
        <v>916</v>
      </c>
      <c r="F13" s="1" t="s">
        <v>877</v>
      </c>
      <c r="G13" s="1" t="s">
        <v>807</v>
      </c>
      <c r="H13" s="1" t="s">
        <v>820</v>
      </c>
      <c r="I13" s="1" t="s">
        <v>873</v>
      </c>
      <c r="J13" s="1" t="s">
        <v>912</v>
      </c>
      <c r="K13" s="1" t="s">
        <v>885</v>
      </c>
      <c r="L13" s="1" t="s">
        <v>820</v>
      </c>
      <c r="M13" s="1" t="s">
        <v>804</v>
      </c>
      <c r="N13" s="1" t="s">
        <v>804</v>
      </c>
      <c r="O13" s="1" t="s">
        <v>882</v>
      </c>
      <c r="P13" s="501"/>
      <c r="Q13" s="501"/>
    </row>
    <row r="14" spans="1:17" x14ac:dyDescent="0.4">
      <c r="A14" s="1" t="s">
        <v>1246</v>
      </c>
      <c r="B14" s="275" t="s">
        <v>890</v>
      </c>
      <c r="C14" s="1" t="s">
        <v>1615</v>
      </c>
      <c r="D14" s="1" t="s">
        <v>1616</v>
      </c>
      <c r="E14" s="1" t="s">
        <v>886</v>
      </c>
      <c r="F14" s="1" t="s">
        <v>877</v>
      </c>
      <c r="G14" s="1" t="s">
        <v>912</v>
      </c>
      <c r="H14" s="1" t="s">
        <v>882</v>
      </c>
      <c r="I14" s="1" t="s">
        <v>822</v>
      </c>
      <c r="J14" s="1" t="s">
        <v>896</v>
      </c>
      <c r="K14" s="1" t="s">
        <v>876</v>
      </c>
      <c r="L14" s="1" t="s">
        <v>877</v>
      </c>
      <c r="M14" s="1" t="s">
        <v>804</v>
      </c>
      <c r="N14" s="1" t="s">
        <v>804</v>
      </c>
      <c r="O14" s="1" t="s">
        <v>829</v>
      </c>
      <c r="P14" s="501"/>
      <c r="Q14" s="501"/>
    </row>
    <row r="15" spans="1:17" x14ac:dyDescent="0.4">
      <c r="A15" s="1" t="s">
        <v>1246</v>
      </c>
      <c r="B15" s="275" t="s">
        <v>898</v>
      </c>
      <c r="C15" s="1" t="s">
        <v>804</v>
      </c>
      <c r="D15" s="1" t="s">
        <v>804</v>
      </c>
      <c r="E15" s="1" t="s">
        <v>811</v>
      </c>
      <c r="F15" s="1" t="s">
        <v>835</v>
      </c>
      <c r="G15" s="1" t="s">
        <v>804</v>
      </c>
      <c r="H15" s="1" t="s">
        <v>804</v>
      </c>
      <c r="I15" s="1" t="s">
        <v>804</v>
      </c>
      <c r="J15" s="1" t="s">
        <v>811</v>
      </c>
      <c r="K15" s="1" t="s">
        <v>804</v>
      </c>
      <c r="L15" s="1" t="s">
        <v>804</v>
      </c>
      <c r="M15" s="1" t="s">
        <v>804</v>
      </c>
      <c r="N15" s="1" t="s">
        <v>804</v>
      </c>
      <c r="O15" s="1" t="s">
        <v>1617</v>
      </c>
      <c r="P15" s="501"/>
      <c r="Q15" s="501"/>
    </row>
    <row r="16" spans="1:17" x14ac:dyDescent="0.4">
      <c r="A16" s="1" t="s">
        <v>1246</v>
      </c>
      <c r="B16" s="275" t="s">
        <v>899</v>
      </c>
      <c r="C16" s="1" t="s">
        <v>803</v>
      </c>
      <c r="D16" s="1" t="s">
        <v>873</v>
      </c>
      <c r="E16" s="1" t="s">
        <v>821</v>
      </c>
      <c r="F16" s="1" t="s">
        <v>822</v>
      </c>
      <c r="G16" s="1" t="s">
        <v>822</v>
      </c>
      <c r="H16" s="1" t="s">
        <v>813</v>
      </c>
      <c r="I16" s="1" t="s">
        <v>810</v>
      </c>
      <c r="J16" s="1" t="s">
        <v>806</v>
      </c>
      <c r="K16" s="1" t="s">
        <v>873</v>
      </c>
      <c r="L16" s="1" t="s">
        <v>808</v>
      </c>
      <c r="M16" s="1" t="s">
        <v>804</v>
      </c>
      <c r="N16" s="1" t="s">
        <v>804</v>
      </c>
      <c r="O16" s="1" t="s">
        <v>806</v>
      </c>
      <c r="P16" s="501"/>
      <c r="Q16" s="501"/>
    </row>
    <row r="17" spans="1:17" x14ac:dyDescent="0.4">
      <c r="A17" s="1" t="s">
        <v>1246</v>
      </c>
      <c r="B17" s="275" t="s">
        <v>901</v>
      </c>
      <c r="C17" s="1" t="s">
        <v>804</v>
      </c>
      <c r="D17" s="1" t="s">
        <v>804</v>
      </c>
      <c r="E17" s="1" t="s">
        <v>804</v>
      </c>
      <c r="F17" s="1" t="s">
        <v>804</v>
      </c>
      <c r="G17" s="1" t="s">
        <v>804</v>
      </c>
      <c r="H17" s="1" t="s">
        <v>804</v>
      </c>
      <c r="I17" s="1" t="s">
        <v>804</v>
      </c>
      <c r="J17" s="1" t="s">
        <v>804</v>
      </c>
      <c r="K17" s="1" t="s">
        <v>804</v>
      </c>
      <c r="L17" s="1" t="s">
        <v>804</v>
      </c>
      <c r="M17" s="1" t="s">
        <v>804</v>
      </c>
      <c r="N17" s="1" t="s">
        <v>804</v>
      </c>
      <c r="O17" s="1" t="s">
        <v>804</v>
      </c>
      <c r="P17" s="501"/>
      <c r="Q17" s="501"/>
    </row>
    <row r="18" spans="1:17" x14ac:dyDescent="0.4">
      <c r="A18" s="1" t="s">
        <v>1246</v>
      </c>
      <c r="B18" s="275" t="s">
        <v>902</v>
      </c>
      <c r="C18" s="1" t="s">
        <v>804</v>
      </c>
      <c r="D18" s="1" t="s">
        <v>804</v>
      </c>
      <c r="E18" s="1" t="s">
        <v>804</v>
      </c>
      <c r="F18" s="1" t="s">
        <v>804</v>
      </c>
      <c r="G18" s="1" t="s">
        <v>804</v>
      </c>
      <c r="H18" s="1" t="s">
        <v>804</v>
      </c>
      <c r="I18" s="1" t="s">
        <v>804</v>
      </c>
      <c r="J18" s="1" t="s">
        <v>804</v>
      </c>
      <c r="K18" s="1" t="s">
        <v>804</v>
      </c>
      <c r="L18" s="1" t="s">
        <v>804</v>
      </c>
      <c r="M18" s="1" t="s">
        <v>804</v>
      </c>
      <c r="N18" s="1" t="s">
        <v>804</v>
      </c>
      <c r="O18" s="1" t="s">
        <v>804</v>
      </c>
      <c r="P18" s="501"/>
      <c r="Q18" s="501"/>
    </row>
    <row r="19" spans="1:17" x14ac:dyDescent="0.4">
      <c r="A19" s="1" t="s">
        <v>1246</v>
      </c>
      <c r="B19" s="275" t="s">
        <v>903</v>
      </c>
      <c r="C19" s="1" t="s">
        <v>804</v>
      </c>
      <c r="D19" s="1" t="s">
        <v>804</v>
      </c>
      <c r="E19" s="1" t="s">
        <v>804</v>
      </c>
      <c r="F19" s="1" t="s">
        <v>804</v>
      </c>
      <c r="G19" s="1" t="s">
        <v>804</v>
      </c>
      <c r="H19" s="1" t="s">
        <v>804</v>
      </c>
      <c r="I19" s="1" t="s">
        <v>804</v>
      </c>
      <c r="J19" s="1" t="s">
        <v>804</v>
      </c>
      <c r="K19" s="1" t="s">
        <v>804</v>
      </c>
      <c r="L19" s="1" t="s">
        <v>804</v>
      </c>
      <c r="M19" s="1" t="s">
        <v>804</v>
      </c>
      <c r="N19" s="1" t="s">
        <v>804</v>
      </c>
      <c r="O19" s="1" t="s">
        <v>804</v>
      </c>
      <c r="P19" s="501"/>
      <c r="Q19" s="501"/>
    </row>
    <row r="20" spans="1:17" x14ac:dyDescent="0.4">
      <c r="A20" s="1" t="s">
        <v>1246</v>
      </c>
      <c r="B20" s="275" t="s">
        <v>904</v>
      </c>
      <c r="C20" s="1" t="s">
        <v>804</v>
      </c>
      <c r="D20" s="1" t="s">
        <v>804</v>
      </c>
      <c r="E20" s="1" t="s">
        <v>804</v>
      </c>
      <c r="F20" s="1" t="s">
        <v>804</v>
      </c>
      <c r="G20" s="1" t="s">
        <v>804</v>
      </c>
      <c r="H20" s="1" t="s">
        <v>804</v>
      </c>
      <c r="I20" s="1" t="s">
        <v>804</v>
      </c>
      <c r="J20" s="1" t="s">
        <v>804</v>
      </c>
      <c r="K20" s="1" t="s">
        <v>804</v>
      </c>
      <c r="L20" s="1" t="s">
        <v>804</v>
      </c>
      <c r="M20" s="1" t="s">
        <v>804</v>
      </c>
      <c r="N20" s="1" t="s">
        <v>804</v>
      </c>
      <c r="O20" s="1" t="s">
        <v>804</v>
      </c>
      <c r="P20" s="501"/>
      <c r="Q20" s="501"/>
    </row>
    <row r="21" spans="1:17" x14ac:dyDescent="0.4">
      <c r="A21" s="1" t="s">
        <v>1246</v>
      </c>
      <c r="B21" s="275" t="s">
        <v>905</v>
      </c>
      <c r="C21" s="1" t="s">
        <v>1618</v>
      </c>
      <c r="D21" s="1" t="s">
        <v>1619</v>
      </c>
      <c r="E21" s="1" t="s">
        <v>1614</v>
      </c>
      <c r="F21" s="1" t="s">
        <v>811</v>
      </c>
      <c r="G21" s="1" t="s">
        <v>811</v>
      </c>
      <c r="H21" s="1" t="s">
        <v>811</v>
      </c>
      <c r="I21" s="1" t="s">
        <v>811</v>
      </c>
      <c r="J21" s="1" t="s">
        <v>811</v>
      </c>
      <c r="K21" s="1" t="s">
        <v>813</v>
      </c>
      <c r="L21" s="1" t="s">
        <v>811</v>
      </c>
      <c r="M21" s="1" t="s">
        <v>804</v>
      </c>
      <c r="N21" s="1" t="s">
        <v>804</v>
      </c>
      <c r="O21" s="1" t="s">
        <v>883</v>
      </c>
      <c r="P21" s="501"/>
      <c r="Q21" s="501"/>
    </row>
    <row r="22" spans="1:17" x14ac:dyDescent="0.4">
      <c r="A22" s="1" t="s">
        <v>1246</v>
      </c>
      <c r="B22" s="275" t="s">
        <v>906</v>
      </c>
      <c r="C22" s="1" t="s">
        <v>804</v>
      </c>
      <c r="D22" s="1" t="s">
        <v>804</v>
      </c>
      <c r="E22" s="1" t="s">
        <v>804</v>
      </c>
      <c r="F22" s="1" t="s">
        <v>804</v>
      </c>
      <c r="G22" s="1" t="s">
        <v>804</v>
      </c>
      <c r="H22" s="1" t="s">
        <v>804</v>
      </c>
      <c r="I22" s="1" t="s">
        <v>804</v>
      </c>
      <c r="J22" s="1" t="s">
        <v>804</v>
      </c>
      <c r="K22" s="1" t="s">
        <v>804</v>
      </c>
      <c r="L22" s="1" t="s">
        <v>804</v>
      </c>
      <c r="M22" s="1" t="s">
        <v>804</v>
      </c>
      <c r="N22" s="1" t="s">
        <v>804</v>
      </c>
      <c r="O22" s="1" t="s">
        <v>804</v>
      </c>
      <c r="P22" s="501"/>
    </row>
    <row r="23" spans="1:17" x14ac:dyDescent="0.4">
      <c r="A23" s="1" t="s">
        <v>1246</v>
      </c>
      <c r="B23" s="275" t="s">
        <v>907</v>
      </c>
      <c r="C23" s="1" t="s">
        <v>819</v>
      </c>
      <c r="D23" s="1" t="s">
        <v>819</v>
      </c>
      <c r="E23" s="1" t="s">
        <v>917</v>
      </c>
      <c r="F23" s="1" t="s">
        <v>864</v>
      </c>
      <c r="G23" s="1" t="s">
        <v>917</v>
      </c>
      <c r="H23" s="1" t="s">
        <v>897</v>
      </c>
      <c r="I23" s="1" t="s">
        <v>909</v>
      </c>
      <c r="J23" s="1" t="s">
        <v>914</v>
      </c>
      <c r="K23" s="1" t="s">
        <v>817</v>
      </c>
      <c r="L23" s="1" t="s">
        <v>1620</v>
      </c>
      <c r="M23" s="1" t="s">
        <v>804</v>
      </c>
      <c r="N23" s="1" t="s">
        <v>804</v>
      </c>
      <c r="O23" s="1" t="s">
        <v>1621</v>
      </c>
    </row>
    <row r="24" spans="1:17" x14ac:dyDescent="0.4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7" x14ac:dyDescent="0.4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7" x14ac:dyDescent="0.4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7" x14ac:dyDescent="0.4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7" x14ac:dyDescent="0.4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7" x14ac:dyDescent="0.4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7" x14ac:dyDescent="0.4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7" x14ac:dyDescent="0.4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7" x14ac:dyDescent="0.4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4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4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4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4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4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4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4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4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4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4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4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4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4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4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4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4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4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4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4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4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4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4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4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4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4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4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4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4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4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4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4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4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4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4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4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4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4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4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4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4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4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4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4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4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4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4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4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4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4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4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4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4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4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4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4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4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4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4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4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4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4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4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4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4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4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4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4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4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4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4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4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4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4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4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4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4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4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4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4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4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4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4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4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4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4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4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4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4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4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4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4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4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4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4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4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4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4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4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4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4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4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4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4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4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4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4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4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4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4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4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4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4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4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4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4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4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4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4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4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4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4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4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4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4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4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4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4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4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4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4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4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4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4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4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4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4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4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4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4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4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4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4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4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4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4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4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4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4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4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4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4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4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4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4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4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4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4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4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4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4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4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4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4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4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4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4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4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4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4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4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4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4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4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4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4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4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4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4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4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4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4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4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4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4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4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4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4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4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4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4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4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4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4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4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4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4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4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4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4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4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4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4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4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4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4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4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4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4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4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4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4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4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4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4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4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4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4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4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4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4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4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4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4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4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4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4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4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4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4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4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4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4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4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4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4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4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4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4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4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4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4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4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4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4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4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4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4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4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4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4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4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4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4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4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4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4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4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4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4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4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4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4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4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4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4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4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4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4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4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4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x14ac:dyDescent="0.4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x14ac:dyDescent="0.4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4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4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4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4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x14ac:dyDescent="0.4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4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4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4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x14ac:dyDescent="0.4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x14ac:dyDescent="0.4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x14ac:dyDescent="0.4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x14ac:dyDescent="0.4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4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x14ac:dyDescent="0.4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4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4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4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4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x14ac:dyDescent="0.4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x14ac:dyDescent="0.4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x14ac:dyDescent="0.4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x14ac:dyDescent="0.4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x14ac:dyDescent="0.4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4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x14ac:dyDescent="0.4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x14ac:dyDescent="0.4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x14ac:dyDescent="0.4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x14ac:dyDescent="0.4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4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x14ac:dyDescent="0.4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x14ac:dyDescent="0.4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x14ac:dyDescent="0.4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x14ac:dyDescent="0.4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x14ac:dyDescent="0.4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x14ac:dyDescent="0.4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x14ac:dyDescent="0.4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4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x14ac:dyDescent="0.4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x14ac:dyDescent="0.4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x14ac:dyDescent="0.4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x14ac:dyDescent="0.4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x14ac:dyDescent="0.4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x14ac:dyDescent="0.4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x14ac:dyDescent="0.4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x14ac:dyDescent="0.4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4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x14ac:dyDescent="0.4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x14ac:dyDescent="0.4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x14ac:dyDescent="0.4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x14ac:dyDescent="0.4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x14ac:dyDescent="0.4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x14ac:dyDescent="0.4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x14ac:dyDescent="0.4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x14ac:dyDescent="0.4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x14ac:dyDescent="0.4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x14ac:dyDescent="0.4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x14ac:dyDescent="0.4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x14ac:dyDescent="0.4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x14ac:dyDescent="0.4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x14ac:dyDescent="0.4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x14ac:dyDescent="0.4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x14ac:dyDescent="0.4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x14ac:dyDescent="0.4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x14ac:dyDescent="0.4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x14ac:dyDescent="0.4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x14ac:dyDescent="0.4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x14ac:dyDescent="0.4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x14ac:dyDescent="0.4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x14ac:dyDescent="0.4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x14ac:dyDescent="0.4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x14ac:dyDescent="0.4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x14ac:dyDescent="0.4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x14ac:dyDescent="0.4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x14ac:dyDescent="0.4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x14ac:dyDescent="0.4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x14ac:dyDescent="0.4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x14ac:dyDescent="0.4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x14ac:dyDescent="0.4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x14ac:dyDescent="0.4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x14ac:dyDescent="0.4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x14ac:dyDescent="0.4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x14ac:dyDescent="0.4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x14ac:dyDescent="0.4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x14ac:dyDescent="0.4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x14ac:dyDescent="0.4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x14ac:dyDescent="0.4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x14ac:dyDescent="0.4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x14ac:dyDescent="0.4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x14ac:dyDescent="0.4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x14ac:dyDescent="0.4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x14ac:dyDescent="0.4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x14ac:dyDescent="0.4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x14ac:dyDescent="0.4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x14ac:dyDescent="0.4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x14ac:dyDescent="0.4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x14ac:dyDescent="0.4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x14ac:dyDescent="0.4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x14ac:dyDescent="0.4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x14ac:dyDescent="0.4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x14ac:dyDescent="0.4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x14ac:dyDescent="0.4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x14ac:dyDescent="0.4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x14ac:dyDescent="0.4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x14ac:dyDescent="0.4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x14ac:dyDescent="0.4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x14ac:dyDescent="0.4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x14ac:dyDescent="0.4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x14ac:dyDescent="0.4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x14ac:dyDescent="0.4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x14ac:dyDescent="0.4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x14ac:dyDescent="0.4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x14ac:dyDescent="0.4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x14ac:dyDescent="0.4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x14ac:dyDescent="0.4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x14ac:dyDescent="0.4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x14ac:dyDescent="0.4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x14ac:dyDescent="0.4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x14ac:dyDescent="0.4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x14ac:dyDescent="0.4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x14ac:dyDescent="0.4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x14ac:dyDescent="0.4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x14ac:dyDescent="0.4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x14ac:dyDescent="0.4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x14ac:dyDescent="0.4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x14ac:dyDescent="0.4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x14ac:dyDescent="0.4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x14ac:dyDescent="0.4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x14ac:dyDescent="0.4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x14ac:dyDescent="0.4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x14ac:dyDescent="0.4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x14ac:dyDescent="0.4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x14ac:dyDescent="0.4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x14ac:dyDescent="0.4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x14ac:dyDescent="0.4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x14ac:dyDescent="0.4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x14ac:dyDescent="0.4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x14ac:dyDescent="0.4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x14ac:dyDescent="0.4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x14ac:dyDescent="0.4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x14ac:dyDescent="0.4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x14ac:dyDescent="0.4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x14ac:dyDescent="0.4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x14ac:dyDescent="0.4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x14ac:dyDescent="0.4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x14ac:dyDescent="0.4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x14ac:dyDescent="0.4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x14ac:dyDescent="0.4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x14ac:dyDescent="0.4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x14ac:dyDescent="0.4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x14ac:dyDescent="0.4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x14ac:dyDescent="0.4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x14ac:dyDescent="0.4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x14ac:dyDescent="0.4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x14ac:dyDescent="0.4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x14ac:dyDescent="0.4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x14ac:dyDescent="0.4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x14ac:dyDescent="0.4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x14ac:dyDescent="0.4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x14ac:dyDescent="0.4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x14ac:dyDescent="0.4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x14ac:dyDescent="0.4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x14ac:dyDescent="0.4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x14ac:dyDescent="0.4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x14ac:dyDescent="0.4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x14ac:dyDescent="0.4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x14ac:dyDescent="0.4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x14ac:dyDescent="0.4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x14ac:dyDescent="0.4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x14ac:dyDescent="0.4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x14ac:dyDescent="0.4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x14ac:dyDescent="0.4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x14ac:dyDescent="0.4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x14ac:dyDescent="0.4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x14ac:dyDescent="0.4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x14ac:dyDescent="0.4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x14ac:dyDescent="0.4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x14ac:dyDescent="0.4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x14ac:dyDescent="0.4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x14ac:dyDescent="0.4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x14ac:dyDescent="0.4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x14ac:dyDescent="0.4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x14ac:dyDescent="0.4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x14ac:dyDescent="0.4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x14ac:dyDescent="0.4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x14ac:dyDescent="0.4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x14ac:dyDescent="0.4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x14ac:dyDescent="0.4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x14ac:dyDescent="0.4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x14ac:dyDescent="0.4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x14ac:dyDescent="0.4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x14ac:dyDescent="0.4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x14ac:dyDescent="0.4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x14ac:dyDescent="0.4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x14ac:dyDescent="0.4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x14ac:dyDescent="0.4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x14ac:dyDescent="0.4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x14ac:dyDescent="0.4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x14ac:dyDescent="0.4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x14ac:dyDescent="0.4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x14ac:dyDescent="0.4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x14ac:dyDescent="0.4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x14ac:dyDescent="0.4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x14ac:dyDescent="0.4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x14ac:dyDescent="0.4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x14ac:dyDescent="0.4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x14ac:dyDescent="0.4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x14ac:dyDescent="0.4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x14ac:dyDescent="0.4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x14ac:dyDescent="0.4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x14ac:dyDescent="0.4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x14ac:dyDescent="0.4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x14ac:dyDescent="0.4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x14ac:dyDescent="0.4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x14ac:dyDescent="0.4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x14ac:dyDescent="0.4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x14ac:dyDescent="0.4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x14ac:dyDescent="0.4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x14ac:dyDescent="0.4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x14ac:dyDescent="0.4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x14ac:dyDescent="0.4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x14ac:dyDescent="0.4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x14ac:dyDescent="0.4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x14ac:dyDescent="0.4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x14ac:dyDescent="0.4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x14ac:dyDescent="0.4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x14ac:dyDescent="0.4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x14ac:dyDescent="0.4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x14ac:dyDescent="0.4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x14ac:dyDescent="0.4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x14ac:dyDescent="0.4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x14ac:dyDescent="0.4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x14ac:dyDescent="0.4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x14ac:dyDescent="0.4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x14ac:dyDescent="0.4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x14ac:dyDescent="0.4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x14ac:dyDescent="0.4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x14ac:dyDescent="0.4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x14ac:dyDescent="0.4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x14ac:dyDescent="0.4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x14ac:dyDescent="0.4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x14ac:dyDescent="0.4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x14ac:dyDescent="0.4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x14ac:dyDescent="0.4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x14ac:dyDescent="0.4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x14ac:dyDescent="0.4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x14ac:dyDescent="0.4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x14ac:dyDescent="0.4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x14ac:dyDescent="0.4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x14ac:dyDescent="0.4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x14ac:dyDescent="0.4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x14ac:dyDescent="0.4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x14ac:dyDescent="0.4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x14ac:dyDescent="0.4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x14ac:dyDescent="0.4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x14ac:dyDescent="0.4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x14ac:dyDescent="0.4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x14ac:dyDescent="0.4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x14ac:dyDescent="0.4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x14ac:dyDescent="0.4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x14ac:dyDescent="0.4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x14ac:dyDescent="0.4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x14ac:dyDescent="0.4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x14ac:dyDescent="0.4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x14ac:dyDescent="0.4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x14ac:dyDescent="0.4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x14ac:dyDescent="0.4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x14ac:dyDescent="0.4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x14ac:dyDescent="0.4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x14ac:dyDescent="0.4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x14ac:dyDescent="0.4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x14ac:dyDescent="0.4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x14ac:dyDescent="0.4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x14ac:dyDescent="0.4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x14ac:dyDescent="0.4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x14ac:dyDescent="0.4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x14ac:dyDescent="0.4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x14ac:dyDescent="0.4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x14ac:dyDescent="0.4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x14ac:dyDescent="0.4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x14ac:dyDescent="0.4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x14ac:dyDescent="0.4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x14ac:dyDescent="0.4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x14ac:dyDescent="0.4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x14ac:dyDescent="0.4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x14ac:dyDescent="0.4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x14ac:dyDescent="0.4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x14ac:dyDescent="0.4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x14ac:dyDescent="0.4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x14ac:dyDescent="0.4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x14ac:dyDescent="0.4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x14ac:dyDescent="0.4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x14ac:dyDescent="0.4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x14ac:dyDescent="0.4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x14ac:dyDescent="0.4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x14ac:dyDescent="0.4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x14ac:dyDescent="0.4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x14ac:dyDescent="0.4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x14ac:dyDescent="0.4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x14ac:dyDescent="0.4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x14ac:dyDescent="0.4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x14ac:dyDescent="0.4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x14ac:dyDescent="0.4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x14ac:dyDescent="0.4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x14ac:dyDescent="0.4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x14ac:dyDescent="0.4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x14ac:dyDescent="0.4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x14ac:dyDescent="0.4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x14ac:dyDescent="0.4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x14ac:dyDescent="0.4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x14ac:dyDescent="0.4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x14ac:dyDescent="0.4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x14ac:dyDescent="0.4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x14ac:dyDescent="0.4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x14ac:dyDescent="0.4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x14ac:dyDescent="0.4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x14ac:dyDescent="0.4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x14ac:dyDescent="0.4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x14ac:dyDescent="0.4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x14ac:dyDescent="0.4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x14ac:dyDescent="0.4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x14ac:dyDescent="0.4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x14ac:dyDescent="0.4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x14ac:dyDescent="0.4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x14ac:dyDescent="0.4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x14ac:dyDescent="0.4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x14ac:dyDescent="0.4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x14ac:dyDescent="0.4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x14ac:dyDescent="0.4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x14ac:dyDescent="0.4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x14ac:dyDescent="0.4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x14ac:dyDescent="0.4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x14ac:dyDescent="0.4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x14ac:dyDescent="0.4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x14ac:dyDescent="0.4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x14ac:dyDescent="0.4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x14ac:dyDescent="0.4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x14ac:dyDescent="0.4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x14ac:dyDescent="0.4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x14ac:dyDescent="0.4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x14ac:dyDescent="0.4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x14ac:dyDescent="0.4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x14ac:dyDescent="0.4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x14ac:dyDescent="0.4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x14ac:dyDescent="0.4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x14ac:dyDescent="0.4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x14ac:dyDescent="0.4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x14ac:dyDescent="0.4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x14ac:dyDescent="0.4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x14ac:dyDescent="0.4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x14ac:dyDescent="0.4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x14ac:dyDescent="0.4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x14ac:dyDescent="0.4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x14ac:dyDescent="0.4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x14ac:dyDescent="0.4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x14ac:dyDescent="0.4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x14ac:dyDescent="0.4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x14ac:dyDescent="0.4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x14ac:dyDescent="0.4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x14ac:dyDescent="0.4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x14ac:dyDescent="0.4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x14ac:dyDescent="0.4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x14ac:dyDescent="0.4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x14ac:dyDescent="0.4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x14ac:dyDescent="0.4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x14ac:dyDescent="0.4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x14ac:dyDescent="0.4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x14ac:dyDescent="0.4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x14ac:dyDescent="0.4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x14ac:dyDescent="0.4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x14ac:dyDescent="0.4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x14ac:dyDescent="0.4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x14ac:dyDescent="0.4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x14ac:dyDescent="0.4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x14ac:dyDescent="0.4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x14ac:dyDescent="0.4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x14ac:dyDescent="0.4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x14ac:dyDescent="0.4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x14ac:dyDescent="0.4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x14ac:dyDescent="0.4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x14ac:dyDescent="0.4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x14ac:dyDescent="0.4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x14ac:dyDescent="0.4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x14ac:dyDescent="0.4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x14ac:dyDescent="0.4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x14ac:dyDescent="0.4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x14ac:dyDescent="0.4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x14ac:dyDescent="0.4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x14ac:dyDescent="0.4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x14ac:dyDescent="0.4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x14ac:dyDescent="0.4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x14ac:dyDescent="0.4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x14ac:dyDescent="0.4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x14ac:dyDescent="0.4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x14ac:dyDescent="0.4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x14ac:dyDescent="0.4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x14ac:dyDescent="0.4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x14ac:dyDescent="0.4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x14ac:dyDescent="0.4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x14ac:dyDescent="0.4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x14ac:dyDescent="0.4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x14ac:dyDescent="0.4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x14ac:dyDescent="0.4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x14ac:dyDescent="0.4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x14ac:dyDescent="0.4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x14ac:dyDescent="0.4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x14ac:dyDescent="0.4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x14ac:dyDescent="0.4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x14ac:dyDescent="0.4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x14ac:dyDescent="0.4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x14ac:dyDescent="0.4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x14ac:dyDescent="0.4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x14ac:dyDescent="0.4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x14ac:dyDescent="0.4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x14ac:dyDescent="0.4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x14ac:dyDescent="0.4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x14ac:dyDescent="0.4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x14ac:dyDescent="0.4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x14ac:dyDescent="0.4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x14ac:dyDescent="0.4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x14ac:dyDescent="0.4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x14ac:dyDescent="0.4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x14ac:dyDescent="0.4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x14ac:dyDescent="0.4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x14ac:dyDescent="0.4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x14ac:dyDescent="0.4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x14ac:dyDescent="0.4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x14ac:dyDescent="0.4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x14ac:dyDescent="0.4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x14ac:dyDescent="0.4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x14ac:dyDescent="0.4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x14ac:dyDescent="0.4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x14ac:dyDescent="0.4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x14ac:dyDescent="0.4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x14ac:dyDescent="0.4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x14ac:dyDescent="0.4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x14ac:dyDescent="0.4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x14ac:dyDescent="0.4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x14ac:dyDescent="0.4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x14ac:dyDescent="0.4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x14ac:dyDescent="0.4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x14ac:dyDescent="0.4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x14ac:dyDescent="0.4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x14ac:dyDescent="0.4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x14ac:dyDescent="0.4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x14ac:dyDescent="0.4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x14ac:dyDescent="0.4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x14ac:dyDescent="0.4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x14ac:dyDescent="0.4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x14ac:dyDescent="0.4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x14ac:dyDescent="0.4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x14ac:dyDescent="0.4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x14ac:dyDescent="0.4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x14ac:dyDescent="0.4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x14ac:dyDescent="0.4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x14ac:dyDescent="0.4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x14ac:dyDescent="0.4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x14ac:dyDescent="0.4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x14ac:dyDescent="0.4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x14ac:dyDescent="0.4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x14ac:dyDescent="0.4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x14ac:dyDescent="0.4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x14ac:dyDescent="0.4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x14ac:dyDescent="0.4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x14ac:dyDescent="0.4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x14ac:dyDescent="0.4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x14ac:dyDescent="0.4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x14ac:dyDescent="0.4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x14ac:dyDescent="0.4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x14ac:dyDescent="0.4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x14ac:dyDescent="0.4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x14ac:dyDescent="0.4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x14ac:dyDescent="0.4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x14ac:dyDescent="0.4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x14ac:dyDescent="0.4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x14ac:dyDescent="0.4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x14ac:dyDescent="0.4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x14ac:dyDescent="0.4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x14ac:dyDescent="0.4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x14ac:dyDescent="0.4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x14ac:dyDescent="0.4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x14ac:dyDescent="0.4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x14ac:dyDescent="0.4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x14ac:dyDescent="0.4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x14ac:dyDescent="0.4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x14ac:dyDescent="0.4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x14ac:dyDescent="0.4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x14ac:dyDescent="0.4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x14ac:dyDescent="0.4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x14ac:dyDescent="0.4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x14ac:dyDescent="0.4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x14ac:dyDescent="0.4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x14ac:dyDescent="0.4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x14ac:dyDescent="0.4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x14ac:dyDescent="0.4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x14ac:dyDescent="0.4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x14ac:dyDescent="0.4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x14ac:dyDescent="0.4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x14ac:dyDescent="0.4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x14ac:dyDescent="0.4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x14ac:dyDescent="0.4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x14ac:dyDescent="0.4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x14ac:dyDescent="0.4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x14ac:dyDescent="0.4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x14ac:dyDescent="0.4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x14ac:dyDescent="0.4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x14ac:dyDescent="0.4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x14ac:dyDescent="0.4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x14ac:dyDescent="0.4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x14ac:dyDescent="0.4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x14ac:dyDescent="0.4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x14ac:dyDescent="0.4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x14ac:dyDescent="0.4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x14ac:dyDescent="0.4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x14ac:dyDescent="0.4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x14ac:dyDescent="0.4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x14ac:dyDescent="0.4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x14ac:dyDescent="0.4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x14ac:dyDescent="0.4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x14ac:dyDescent="0.4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x14ac:dyDescent="0.4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x14ac:dyDescent="0.4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x14ac:dyDescent="0.4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x14ac:dyDescent="0.4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x14ac:dyDescent="0.4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x14ac:dyDescent="0.4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x14ac:dyDescent="0.4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x14ac:dyDescent="0.4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x14ac:dyDescent="0.4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x14ac:dyDescent="0.4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x14ac:dyDescent="0.4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x14ac:dyDescent="0.4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x14ac:dyDescent="0.4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x14ac:dyDescent="0.4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x14ac:dyDescent="0.4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x14ac:dyDescent="0.4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x14ac:dyDescent="0.4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x14ac:dyDescent="0.4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x14ac:dyDescent="0.4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x14ac:dyDescent="0.4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x14ac:dyDescent="0.4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x14ac:dyDescent="0.4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x14ac:dyDescent="0.4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x14ac:dyDescent="0.4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x14ac:dyDescent="0.4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x14ac:dyDescent="0.4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x14ac:dyDescent="0.4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x14ac:dyDescent="0.4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x14ac:dyDescent="0.4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x14ac:dyDescent="0.4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x14ac:dyDescent="0.4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x14ac:dyDescent="0.4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x14ac:dyDescent="0.4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x14ac:dyDescent="0.4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x14ac:dyDescent="0.4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x14ac:dyDescent="0.4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x14ac:dyDescent="0.4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x14ac:dyDescent="0.4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x14ac:dyDescent="0.4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x14ac:dyDescent="0.4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x14ac:dyDescent="0.4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x14ac:dyDescent="0.4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x14ac:dyDescent="0.4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x14ac:dyDescent="0.4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x14ac:dyDescent="0.4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x14ac:dyDescent="0.4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x14ac:dyDescent="0.4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x14ac:dyDescent="0.4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x14ac:dyDescent="0.4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x14ac:dyDescent="0.4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x14ac:dyDescent="0.4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x14ac:dyDescent="0.4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x14ac:dyDescent="0.4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x14ac:dyDescent="0.4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x14ac:dyDescent="0.4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x14ac:dyDescent="0.4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x14ac:dyDescent="0.4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x14ac:dyDescent="0.4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x14ac:dyDescent="0.4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x14ac:dyDescent="0.4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x14ac:dyDescent="0.4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x14ac:dyDescent="0.4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x14ac:dyDescent="0.4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x14ac:dyDescent="0.4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x14ac:dyDescent="0.4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x14ac:dyDescent="0.4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x14ac:dyDescent="0.4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x14ac:dyDescent="0.4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x14ac:dyDescent="0.4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x14ac:dyDescent="0.4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x14ac:dyDescent="0.4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x14ac:dyDescent="0.4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x14ac:dyDescent="0.4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x14ac:dyDescent="0.4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x14ac:dyDescent="0.4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x14ac:dyDescent="0.4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x14ac:dyDescent="0.4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x14ac:dyDescent="0.4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x14ac:dyDescent="0.4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x14ac:dyDescent="0.4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x14ac:dyDescent="0.4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x14ac:dyDescent="0.4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x14ac:dyDescent="0.4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x14ac:dyDescent="0.4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x14ac:dyDescent="0.4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x14ac:dyDescent="0.4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x14ac:dyDescent="0.4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x14ac:dyDescent="0.4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x14ac:dyDescent="0.4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x14ac:dyDescent="0.4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x14ac:dyDescent="0.4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x14ac:dyDescent="0.4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x14ac:dyDescent="0.4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x14ac:dyDescent="0.4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x14ac:dyDescent="0.4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x14ac:dyDescent="0.4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x14ac:dyDescent="0.4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x14ac:dyDescent="0.4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x14ac:dyDescent="0.4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x14ac:dyDescent="0.4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x14ac:dyDescent="0.4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x14ac:dyDescent="0.4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x14ac:dyDescent="0.4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x14ac:dyDescent="0.4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x14ac:dyDescent="0.4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x14ac:dyDescent="0.4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x14ac:dyDescent="0.4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x14ac:dyDescent="0.4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x14ac:dyDescent="0.4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x14ac:dyDescent="0.4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x14ac:dyDescent="0.4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x14ac:dyDescent="0.4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x14ac:dyDescent="0.4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x14ac:dyDescent="0.4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x14ac:dyDescent="0.4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x14ac:dyDescent="0.4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x14ac:dyDescent="0.4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x14ac:dyDescent="0.4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x14ac:dyDescent="0.4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x14ac:dyDescent="0.4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x14ac:dyDescent="0.4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x14ac:dyDescent="0.4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x14ac:dyDescent="0.4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x14ac:dyDescent="0.4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x14ac:dyDescent="0.4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x14ac:dyDescent="0.4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x14ac:dyDescent="0.4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x14ac:dyDescent="0.4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x14ac:dyDescent="0.4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x14ac:dyDescent="0.4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x14ac:dyDescent="0.4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x14ac:dyDescent="0.4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x14ac:dyDescent="0.4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x14ac:dyDescent="0.4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x14ac:dyDescent="0.4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x14ac:dyDescent="0.4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x14ac:dyDescent="0.4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x14ac:dyDescent="0.4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x14ac:dyDescent="0.4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x14ac:dyDescent="0.4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x14ac:dyDescent="0.4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x14ac:dyDescent="0.4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x14ac:dyDescent="0.4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x14ac:dyDescent="0.4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x14ac:dyDescent="0.4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x14ac:dyDescent="0.4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x14ac:dyDescent="0.4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x14ac:dyDescent="0.4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x14ac:dyDescent="0.4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x14ac:dyDescent="0.4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x14ac:dyDescent="0.4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x14ac:dyDescent="0.4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x14ac:dyDescent="0.4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x14ac:dyDescent="0.4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x14ac:dyDescent="0.4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x14ac:dyDescent="0.4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x14ac:dyDescent="0.4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x14ac:dyDescent="0.4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x14ac:dyDescent="0.4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x14ac:dyDescent="0.4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x14ac:dyDescent="0.4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x14ac:dyDescent="0.4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x14ac:dyDescent="0.4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x14ac:dyDescent="0.4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x14ac:dyDescent="0.4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x14ac:dyDescent="0.4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x14ac:dyDescent="0.4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x14ac:dyDescent="0.4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x14ac:dyDescent="0.4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x14ac:dyDescent="0.4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x14ac:dyDescent="0.4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x14ac:dyDescent="0.4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x14ac:dyDescent="0.4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x14ac:dyDescent="0.4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x14ac:dyDescent="0.4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x14ac:dyDescent="0.4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x14ac:dyDescent="0.4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x14ac:dyDescent="0.4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x14ac:dyDescent="0.4">
      <c r="A1002" s="1"/>
      <c r="B1002" s="27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x14ac:dyDescent="0.4">
      <c r="A1003" s="1"/>
      <c r="B1003" s="27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x14ac:dyDescent="0.4">
      <c r="A1004" s="1"/>
      <c r="B1004" s="27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x14ac:dyDescent="0.4">
      <c r="A1005" s="1"/>
      <c r="B1005" s="27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x14ac:dyDescent="0.4">
      <c r="A1006" s="1"/>
      <c r="B1006" s="27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x14ac:dyDescent="0.4">
      <c r="A1007" s="1"/>
      <c r="B1007" s="27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x14ac:dyDescent="0.4">
      <c r="A1008" s="1"/>
      <c r="B1008" s="275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x14ac:dyDescent="0.4">
      <c r="A1009" s="1"/>
      <c r="B1009" s="275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x14ac:dyDescent="0.4">
      <c r="A1010" s="1"/>
      <c r="B1010" s="275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x14ac:dyDescent="0.4">
      <c r="A1011" s="1"/>
      <c r="B1011" s="275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x14ac:dyDescent="0.4">
      <c r="A1012" s="1"/>
      <c r="B1012" s="275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x14ac:dyDescent="0.4">
      <c r="A1013" s="1"/>
      <c r="B1013" s="275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x14ac:dyDescent="0.4">
      <c r="A1014" s="1"/>
      <c r="B1014" s="275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x14ac:dyDescent="0.4">
      <c r="A1015" s="1"/>
      <c r="B1015" s="275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x14ac:dyDescent="0.4">
      <c r="A1016" s="1"/>
      <c r="B1016" s="275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x14ac:dyDescent="0.4">
      <c r="A1017" s="1"/>
      <c r="B1017" s="275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x14ac:dyDescent="0.4">
      <c r="A1018" s="1"/>
      <c r="B1018" s="275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x14ac:dyDescent="0.4">
      <c r="A1019" s="1"/>
      <c r="B1019" s="275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 x14ac:dyDescent="0.4">
      <c r="A1020" s="1"/>
      <c r="B1020" s="275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 spans="1:15" x14ac:dyDescent="0.4">
      <c r="A1021" s="1"/>
      <c r="B1021" s="275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 spans="1:15" x14ac:dyDescent="0.4">
      <c r="A1022" s="1"/>
      <c r="B1022" s="275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 spans="1:15" x14ac:dyDescent="0.4">
      <c r="A1023" s="1"/>
      <c r="B1023" s="275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 spans="1:15" x14ac:dyDescent="0.4">
      <c r="A1024" s="1"/>
      <c r="B1024" s="275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 spans="1:15" x14ac:dyDescent="0.4">
      <c r="A1025" s="1"/>
      <c r="B1025" s="275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 spans="1:15" x14ac:dyDescent="0.4">
      <c r="A1026" s="1"/>
      <c r="B1026" s="275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 spans="1:15" x14ac:dyDescent="0.4">
      <c r="A1027" s="1"/>
      <c r="B1027" s="275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 spans="1:15" x14ac:dyDescent="0.4">
      <c r="A1028" s="1"/>
      <c r="B1028" s="275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r="1029" spans="1:15" x14ac:dyDescent="0.4">
      <c r="A1029" s="1"/>
      <c r="B1029" s="275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r="1030" spans="1:15" x14ac:dyDescent="0.4">
      <c r="A1030" s="1"/>
      <c r="B1030" s="275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r="1031" spans="1:15" x14ac:dyDescent="0.4">
      <c r="A1031" s="1"/>
      <c r="B1031" s="275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 spans="1:15" x14ac:dyDescent="0.4">
      <c r="A1032" s="1"/>
      <c r="B1032" s="275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 spans="1:15" x14ac:dyDescent="0.4">
      <c r="A1033" s="1"/>
      <c r="B1033" s="275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 spans="1:15" x14ac:dyDescent="0.4">
      <c r="A1034" s="1"/>
      <c r="B1034" s="275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 x14ac:dyDescent="0.4">
      <c r="A1035" s="1"/>
      <c r="B1035" s="275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r="1036" spans="1:15" x14ac:dyDescent="0.4">
      <c r="A1036" s="1"/>
      <c r="B1036" s="275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 spans="1:15" x14ac:dyDescent="0.4">
      <c r="A1037" s="1"/>
      <c r="B1037" s="275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r="1038" spans="1:15" x14ac:dyDescent="0.4">
      <c r="A1038" s="1"/>
      <c r="B1038" s="275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  <row r="1039" spans="1:15" x14ac:dyDescent="0.4">
      <c r="A1039" s="1"/>
      <c r="B1039" s="275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</row>
    <row r="1040" spans="1:15" x14ac:dyDescent="0.4">
      <c r="A1040" s="1"/>
      <c r="B1040" s="275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 x14ac:dyDescent="0.4">
      <c r="A1041" s="1"/>
      <c r="B1041" s="275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</row>
    <row r="1042" spans="1:15" x14ac:dyDescent="0.4">
      <c r="A1042" s="1"/>
      <c r="B1042" s="275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</row>
    <row r="1043" spans="1:15" x14ac:dyDescent="0.4">
      <c r="A1043" s="1"/>
      <c r="B1043" s="275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r="1044" spans="1:15" x14ac:dyDescent="0.4">
      <c r="A1044" s="1"/>
      <c r="B1044" s="275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</row>
    <row r="1045" spans="1:15" x14ac:dyDescent="0.4">
      <c r="A1045" s="1"/>
      <c r="B1045" s="275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</row>
    <row r="1046" spans="1:15" x14ac:dyDescent="0.4">
      <c r="A1046" s="1"/>
      <c r="B1046" s="275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</row>
    <row r="1047" spans="1:15" x14ac:dyDescent="0.4">
      <c r="A1047" s="1"/>
      <c r="B1047" s="275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r="1048" spans="1:15" x14ac:dyDescent="0.4">
      <c r="A1048" s="1"/>
      <c r="B1048" s="275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r="1049" spans="1:15" x14ac:dyDescent="0.4">
      <c r="A1049" s="1"/>
      <c r="B1049" s="275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r="1050" spans="1:15" x14ac:dyDescent="0.4">
      <c r="A1050" s="1"/>
      <c r="B1050" s="275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r="1051" spans="1:15" x14ac:dyDescent="0.4">
      <c r="A1051" s="1"/>
      <c r="B1051" s="275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001"/>
  <sheetViews>
    <sheetView workbookViewId="0">
      <selection activeCell="D6" sqref="D6"/>
    </sheetView>
  </sheetViews>
  <sheetFormatPr defaultRowHeight="17" x14ac:dyDescent="0.4"/>
  <sheetData>
    <row r="1" spans="1:17" x14ac:dyDescent="0.4">
      <c r="A1" s="1" t="s">
        <v>1220</v>
      </c>
      <c r="B1" s="1" t="s">
        <v>360</v>
      </c>
      <c r="C1" s="1" t="s">
        <v>918</v>
      </c>
      <c r="D1" s="1" t="s">
        <v>1221</v>
      </c>
      <c r="E1" s="1" t="s">
        <v>1222</v>
      </c>
      <c r="F1" s="1" t="s">
        <v>1223</v>
      </c>
      <c r="G1" s="1" t="s">
        <v>1224</v>
      </c>
      <c r="H1" s="1" t="s">
        <v>1225</v>
      </c>
      <c r="I1" s="1" t="s">
        <v>1226</v>
      </c>
      <c r="J1" s="1" t="s">
        <v>1227</v>
      </c>
      <c r="K1" s="1" t="s">
        <v>1228</v>
      </c>
      <c r="L1" s="1" t="s">
        <v>1229</v>
      </c>
      <c r="M1" s="1" t="s">
        <v>1230</v>
      </c>
      <c r="N1" s="1" t="s">
        <v>1231</v>
      </c>
      <c r="O1" s="1" t="s">
        <v>1232</v>
      </c>
      <c r="P1" s="1" t="s">
        <v>802</v>
      </c>
    </row>
    <row r="2" spans="1:17" x14ac:dyDescent="0.4">
      <c r="A2" s="1" t="s">
        <v>1246</v>
      </c>
      <c r="B2" s="275" t="s">
        <v>363</v>
      </c>
      <c r="C2" s="1" t="s">
        <v>236</v>
      </c>
      <c r="D2" s="1" t="s">
        <v>810</v>
      </c>
      <c r="E2" s="1" t="s">
        <v>808</v>
      </c>
      <c r="F2" s="1" t="s">
        <v>816</v>
      </c>
      <c r="G2" s="1" t="s">
        <v>848</v>
      </c>
      <c r="H2" s="1" t="s">
        <v>859</v>
      </c>
      <c r="I2" s="1" t="s">
        <v>810</v>
      </c>
      <c r="J2" s="1" t="s">
        <v>808</v>
      </c>
      <c r="K2" s="1" t="s">
        <v>821</v>
      </c>
      <c r="L2" s="1" t="s">
        <v>807</v>
      </c>
      <c r="M2" s="1" t="s">
        <v>805</v>
      </c>
      <c r="N2" s="1" t="s">
        <v>804</v>
      </c>
      <c r="O2" s="1" t="s">
        <v>804</v>
      </c>
      <c r="P2" s="1" t="s">
        <v>810</v>
      </c>
      <c r="Q2" s="501">
        <v>43045.229883090302</v>
      </c>
    </row>
    <row r="3" spans="1:17" x14ac:dyDescent="0.4">
      <c r="A3" s="1" t="s">
        <v>1246</v>
      </c>
      <c r="B3" s="275" t="s">
        <v>363</v>
      </c>
      <c r="C3" s="1" t="s">
        <v>237</v>
      </c>
      <c r="D3" s="1" t="s">
        <v>814</v>
      </c>
      <c r="E3" s="1" t="s">
        <v>814</v>
      </c>
      <c r="F3" s="1" t="s">
        <v>816</v>
      </c>
      <c r="G3" s="1" t="s">
        <v>848</v>
      </c>
      <c r="H3" s="1" t="s">
        <v>822</v>
      </c>
      <c r="I3" s="1" t="s">
        <v>808</v>
      </c>
      <c r="J3" s="1" t="s">
        <v>808</v>
      </c>
      <c r="K3" s="1" t="s">
        <v>815</v>
      </c>
      <c r="L3" s="1" t="s">
        <v>813</v>
      </c>
      <c r="M3" s="1" t="s">
        <v>813</v>
      </c>
      <c r="N3" s="1" t="s">
        <v>804</v>
      </c>
      <c r="O3" s="1" t="s">
        <v>804</v>
      </c>
      <c r="P3" s="1" t="s">
        <v>822</v>
      </c>
      <c r="Q3" s="501">
        <v>43045.229883090302</v>
      </c>
    </row>
    <row r="4" spans="1:17" x14ac:dyDescent="0.4">
      <c r="A4" s="1" t="s">
        <v>1246</v>
      </c>
      <c r="B4" s="275" t="s">
        <v>363</v>
      </c>
      <c r="C4" s="1" t="s">
        <v>919</v>
      </c>
      <c r="D4" s="1" t="s">
        <v>855</v>
      </c>
      <c r="E4" s="1" t="s">
        <v>855</v>
      </c>
      <c r="F4" s="1" t="s">
        <v>850</v>
      </c>
      <c r="G4" s="1" t="s">
        <v>850</v>
      </c>
      <c r="H4" s="1" t="s">
        <v>849</v>
      </c>
      <c r="I4" s="1" t="s">
        <v>920</v>
      </c>
      <c r="J4" s="1" t="s">
        <v>855</v>
      </c>
      <c r="K4" s="1" t="s">
        <v>920</v>
      </c>
      <c r="L4" s="1" t="s">
        <v>849</v>
      </c>
      <c r="M4" s="1" t="s">
        <v>920</v>
      </c>
      <c r="N4" s="1" t="s">
        <v>804</v>
      </c>
      <c r="O4" s="1" t="s">
        <v>804</v>
      </c>
      <c r="P4" s="1" t="s">
        <v>849</v>
      </c>
      <c r="Q4" s="501">
        <v>43045.229883090302</v>
      </c>
    </row>
    <row r="5" spans="1:17" x14ac:dyDescent="0.4">
      <c r="A5" s="1" t="s">
        <v>1246</v>
      </c>
      <c r="B5" s="275" t="s">
        <v>363</v>
      </c>
      <c r="C5" s="1" t="s">
        <v>922</v>
      </c>
      <c r="D5" s="1" t="s">
        <v>815</v>
      </c>
      <c r="E5" s="1" t="s">
        <v>822</v>
      </c>
      <c r="F5" s="1" t="s">
        <v>848</v>
      </c>
      <c r="G5" s="1" t="s">
        <v>848</v>
      </c>
      <c r="H5" s="1" t="s">
        <v>859</v>
      </c>
      <c r="I5" s="1" t="s">
        <v>810</v>
      </c>
      <c r="J5" s="1" t="s">
        <v>813</v>
      </c>
      <c r="K5" s="1" t="s">
        <v>810</v>
      </c>
      <c r="L5" s="1" t="s">
        <v>805</v>
      </c>
      <c r="M5" s="1" t="s">
        <v>810</v>
      </c>
      <c r="N5" s="1" t="s">
        <v>804</v>
      </c>
      <c r="O5" s="1" t="s">
        <v>804</v>
      </c>
      <c r="P5" s="1" t="s">
        <v>815</v>
      </c>
      <c r="Q5" s="501">
        <v>43045.229883090302</v>
      </c>
    </row>
    <row r="6" spans="1:17" x14ac:dyDescent="0.4">
      <c r="A6" s="1" t="s">
        <v>1246</v>
      </c>
      <c r="B6" s="275" t="s">
        <v>397</v>
      </c>
      <c r="C6" s="1" t="s">
        <v>922</v>
      </c>
      <c r="D6" s="1" t="s">
        <v>822</v>
      </c>
      <c r="E6" s="1" t="s">
        <v>848</v>
      </c>
      <c r="F6" s="1" t="s">
        <v>828</v>
      </c>
      <c r="G6" s="1" t="s">
        <v>849</v>
      </c>
      <c r="H6" s="1" t="s">
        <v>920</v>
      </c>
      <c r="I6" s="1" t="s">
        <v>921</v>
      </c>
      <c r="J6" s="1" t="s">
        <v>921</v>
      </c>
      <c r="K6" s="1" t="s">
        <v>847</v>
      </c>
      <c r="L6" s="1" t="s">
        <v>822</v>
      </c>
      <c r="M6" s="1" t="s">
        <v>816</v>
      </c>
      <c r="N6" s="1" t="s">
        <v>804</v>
      </c>
      <c r="O6" s="1" t="s">
        <v>804</v>
      </c>
      <c r="P6" s="1" t="s">
        <v>847</v>
      </c>
      <c r="Q6" s="501">
        <v>43045.229883090302</v>
      </c>
    </row>
    <row r="7" spans="1:17" x14ac:dyDescent="0.4">
      <c r="A7" s="1" t="s">
        <v>1246</v>
      </c>
      <c r="B7" s="275" t="s">
        <v>426</v>
      </c>
      <c r="C7" s="1" t="s">
        <v>922</v>
      </c>
      <c r="D7" s="1" t="s">
        <v>849</v>
      </c>
      <c r="E7" s="1" t="s">
        <v>854</v>
      </c>
      <c r="F7" s="1" t="s">
        <v>854</v>
      </c>
      <c r="G7" s="1" t="s">
        <v>854</v>
      </c>
      <c r="H7" s="1" t="s">
        <v>854</v>
      </c>
      <c r="I7" s="1" t="s">
        <v>854</v>
      </c>
      <c r="J7" s="1" t="s">
        <v>811</v>
      </c>
      <c r="K7" s="1" t="s">
        <v>854</v>
      </c>
      <c r="L7" s="1" t="s">
        <v>854</v>
      </c>
      <c r="M7" s="1" t="s">
        <v>854</v>
      </c>
      <c r="N7" s="1" t="s">
        <v>804</v>
      </c>
      <c r="O7" s="1" t="s">
        <v>804</v>
      </c>
      <c r="P7" s="1" t="s">
        <v>852</v>
      </c>
      <c r="Q7" s="501">
        <v>43045.229883090302</v>
      </c>
    </row>
    <row r="8" spans="1:17" x14ac:dyDescent="0.4">
      <c r="A8" s="1" t="s">
        <v>1246</v>
      </c>
      <c r="B8" s="275" t="s">
        <v>453</v>
      </c>
      <c r="C8" s="1" t="s">
        <v>922</v>
      </c>
      <c r="D8" s="1" t="s">
        <v>1622</v>
      </c>
      <c r="E8" s="1" t="s">
        <v>1621</v>
      </c>
      <c r="F8" s="1" t="s">
        <v>876</v>
      </c>
      <c r="G8" s="1" t="s">
        <v>1623</v>
      </c>
      <c r="H8" s="1" t="s">
        <v>908</v>
      </c>
      <c r="I8" s="1" t="s">
        <v>1624</v>
      </c>
      <c r="J8" s="1" t="s">
        <v>1611</v>
      </c>
      <c r="K8" s="1" t="s">
        <v>1625</v>
      </c>
      <c r="L8" s="1" t="s">
        <v>1626</v>
      </c>
      <c r="M8" s="1" t="s">
        <v>1627</v>
      </c>
      <c r="N8" s="1" t="s">
        <v>804</v>
      </c>
      <c r="O8" s="1" t="s">
        <v>804</v>
      </c>
      <c r="P8" s="1" t="s">
        <v>1628</v>
      </c>
      <c r="Q8" s="501">
        <v>43045.229883090302</v>
      </c>
    </row>
    <row r="9" spans="1:17" x14ac:dyDescent="0.4">
      <c r="A9" s="1" t="s">
        <v>1246</v>
      </c>
      <c r="B9" s="275" t="s">
        <v>480</v>
      </c>
      <c r="C9" s="1" t="s">
        <v>922</v>
      </c>
      <c r="D9" s="1" t="s">
        <v>853</v>
      </c>
      <c r="E9" s="1" t="s">
        <v>849</v>
      </c>
      <c r="F9" s="1" t="s">
        <v>851</v>
      </c>
      <c r="G9" s="1" t="s">
        <v>855</v>
      </c>
      <c r="H9" s="1" t="s">
        <v>865</v>
      </c>
      <c r="I9" s="1" t="s">
        <v>850</v>
      </c>
      <c r="J9" s="1" t="s">
        <v>853</v>
      </c>
      <c r="K9" s="1" t="s">
        <v>850</v>
      </c>
      <c r="L9" s="1" t="s">
        <v>850</v>
      </c>
      <c r="M9" s="1" t="s">
        <v>851</v>
      </c>
      <c r="N9" s="1" t="s">
        <v>804</v>
      </c>
      <c r="O9" s="1" t="s">
        <v>804</v>
      </c>
      <c r="P9" s="1" t="s">
        <v>851</v>
      </c>
      <c r="Q9" s="501">
        <v>43045.229883090302</v>
      </c>
    </row>
    <row r="10" spans="1:17" x14ac:dyDescent="0.4">
      <c r="A10" s="1" t="s">
        <v>1246</v>
      </c>
      <c r="B10" s="275" t="s">
        <v>511</v>
      </c>
      <c r="C10" s="1" t="s">
        <v>922</v>
      </c>
      <c r="D10" s="1" t="s">
        <v>804</v>
      </c>
      <c r="E10" s="1" t="s">
        <v>804</v>
      </c>
      <c r="F10" s="1" t="s">
        <v>804</v>
      </c>
      <c r="G10" s="1" t="s">
        <v>804</v>
      </c>
      <c r="H10" s="1" t="s">
        <v>804</v>
      </c>
      <c r="I10" s="1" t="s">
        <v>804</v>
      </c>
      <c r="J10" s="1" t="s">
        <v>804</v>
      </c>
      <c r="K10" s="1" t="s">
        <v>804</v>
      </c>
      <c r="L10" s="1" t="s">
        <v>804</v>
      </c>
      <c r="M10" s="1" t="s">
        <v>804</v>
      </c>
      <c r="N10" s="1" t="s">
        <v>804</v>
      </c>
      <c r="O10" s="1" t="s">
        <v>804</v>
      </c>
      <c r="P10" s="1" t="s">
        <v>804</v>
      </c>
      <c r="Q10" s="501">
        <v>43045.229883090302</v>
      </c>
    </row>
    <row r="11" spans="1:17" x14ac:dyDescent="0.4">
      <c r="A11" s="1" t="s">
        <v>1246</v>
      </c>
      <c r="B11" s="275" t="s">
        <v>512</v>
      </c>
      <c r="C11" s="1" t="s">
        <v>922</v>
      </c>
      <c r="D11" s="1" t="s">
        <v>813</v>
      </c>
      <c r="E11" s="1" t="s">
        <v>859</v>
      </c>
      <c r="F11" s="1" t="s">
        <v>847</v>
      </c>
      <c r="G11" s="1" t="s">
        <v>921</v>
      </c>
      <c r="H11" s="1" t="s">
        <v>813</v>
      </c>
      <c r="I11" s="1" t="s">
        <v>810</v>
      </c>
      <c r="J11" s="1" t="s">
        <v>806</v>
      </c>
      <c r="K11" s="1" t="s">
        <v>816</v>
      </c>
      <c r="L11" s="1" t="s">
        <v>805</v>
      </c>
      <c r="M11" s="1" t="s">
        <v>873</v>
      </c>
      <c r="N11" s="1" t="s">
        <v>804</v>
      </c>
      <c r="O11" s="1" t="s">
        <v>804</v>
      </c>
      <c r="P11" s="1" t="s">
        <v>822</v>
      </c>
      <c r="Q11" s="501">
        <v>43045.229883090302</v>
      </c>
    </row>
    <row r="12" spans="1:17" x14ac:dyDescent="0.4">
      <c r="A12" s="1" t="s">
        <v>1246</v>
      </c>
      <c r="B12" s="275" t="s">
        <v>874</v>
      </c>
      <c r="C12" s="1" t="s">
        <v>922</v>
      </c>
      <c r="D12" s="1" t="s">
        <v>864</v>
      </c>
      <c r="E12" s="1" t="s">
        <v>851</v>
      </c>
      <c r="F12" s="1" t="s">
        <v>811</v>
      </c>
      <c r="G12" s="1" t="s">
        <v>811</v>
      </c>
      <c r="H12" s="1" t="s">
        <v>865</v>
      </c>
      <c r="I12" s="1" t="s">
        <v>811</v>
      </c>
      <c r="J12" s="1" t="s">
        <v>852</v>
      </c>
      <c r="K12" s="1" t="s">
        <v>811</v>
      </c>
      <c r="L12" s="1" t="s">
        <v>811</v>
      </c>
      <c r="M12" s="1" t="s">
        <v>811</v>
      </c>
      <c r="N12" s="1" t="s">
        <v>804</v>
      </c>
      <c r="O12" s="1" t="s">
        <v>804</v>
      </c>
      <c r="P12" s="1" t="s">
        <v>851</v>
      </c>
      <c r="Q12" s="501">
        <v>43045.229883090302</v>
      </c>
    </row>
    <row r="13" spans="1:17" x14ac:dyDescent="0.4">
      <c r="A13" s="1" t="s">
        <v>1246</v>
      </c>
      <c r="B13" s="275" t="s">
        <v>875</v>
      </c>
      <c r="C13" s="1" t="s">
        <v>922</v>
      </c>
      <c r="D13" s="1" t="s">
        <v>860</v>
      </c>
      <c r="E13" s="1" t="s">
        <v>914</v>
      </c>
      <c r="F13" s="1" t="s">
        <v>818</v>
      </c>
      <c r="G13" s="1" t="s">
        <v>921</v>
      </c>
      <c r="H13" s="1" t="s">
        <v>859</v>
      </c>
      <c r="I13" s="1" t="s">
        <v>822</v>
      </c>
      <c r="J13" s="1" t="s">
        <v>821</v>
      </c>
      <c r="K13" s="1" t="s">
        <v>847</v>
      </c>
      <c r="L13" s="1" t="s">
        <v>816</v>
      </c>
      <c r="M13" s="1" t="s">
        <v>859</v>
      </c>
      <c r="N13" s="1" t="s">
        <v>804</v>
      </c>
      <c r="O13" s="1" t="s">
        <v>804</v>
      </c>
      <c r="P13" s="1" t="s">
        <v>807</v>
      </c>
      <c r="Q13" s="501">
        <v>43045.229883090302</v>
      </c>
    </row>
    <row r="14" spans="1:17" x14ac:dyDescent="0.4">
      <c r="A14" s="1" t="s">
        <v>1246</v>
      </c>
      <c r="B14" s="275" t="s">
        <v>881</v>
      </c>
      <c r="C14" s="1" t="s">
        <v>922</v>
      </c>
      <c r="D14" s="1" t="s">
        <v>809</v>
      </c>
      <c r="E14" s="1" t="s">
        <v>913</v>
      </c>
      <c r="F14" s="1" t="s">
        <v>913</v>
      </c>
      <c r="G14" s="1" t="s">
        <v>818</v>
      </c>
      <c r="H14" s="1" t="s">
        <v>808</v>
      </c>
      <c r="I14" s="1" t="s">
        <v>873</v>
      </c>
      <c r="J14" s="1" t="s">
        <v>823</v>
      </c>
      <c r="K14" s="1" t="s">
        <v>823</v>
      </c>
      <c r="L14" s="1" t="s">
        <v>900</v>
      </c>
      <c r="M14" s="1" t="s">
        <v>866</v>
      </c>
      <c r="N14" s="1" t="s">
        <v>804</v>
      </c>
      <c r="O14" s="1" t="s">
        <v>804</v>
      </c>
      <c r="P14" s="1" t="s">
        <v>818</v>
      </c>
      <c r="Q14" s="501">
        <v>43045.229883090302</v>
      </c>
    </row>
    <row r="15" spans="1:17" x14ac:dyDescent="0.4">
      <c r="A15" s="1" t="s">
        <v>1246</v>
      </c>
      <c r="B15" s="275" t="s">
        <v>890</v>
      </c>
      <c r="C15" s="1" t="s">
        <v>922</v>
      </c>
      <c r="D15" s="1" t="s">
        <v>1629</v>
      </c>
      <c r="E15" s="1" t="s">
        <v>1630</v>
      </c>
      <c r="F15" s="1" t="s">
        <v>886</v>
      </c>
      <c r="G15" s="1" t="s">
        <v>877</v>
      </c>
      <c r="H15" s="1" t="s">
        <v>857</v>
      </c>
      <c r="I15" s="1" t="s">
        <v>824</v>
      </c>
      <c r="J15" s="1" t="s">
        <v>810</v>
      </c>
      <c r="K15" s="1" t="s">
        <v>1621</v>
      </c>
      <c r="L15" s="1" t="s">
        <v>876</v>
      </c>
      <c r="M15" s="1" t="s">
        <v>900</v>
      </c>
      <c r="N15" s="1" t="s">
        <v>804</v>
      </c>
      <c r="O15" s="1" t="s">
        <v>804</v>
      </c>
      <c r="P15" s="1" t="s">
        <v>1607</v>
      </c>
      <c r="Q15" s="501">
        <v>43045.229883090302</v>
      </c>
    </row>
    <row r="16" spans="1:17" x14ac:dyDescent="0.4">
      <c r="A16" s="1" t="s">
        <v>1246</v>
      </c>
      <c r="B16" s="275" t="s">
        <v>898</v>
      </c>
      <c r="C16" s="1" t="s">
        <v>922</v>
      </c>
      <c r="D16" s="1" t="s">
        <v>804</v>
      </c>
      <c r="E16" s="1" t="s">
        <v>804</v>
      </c>
      <c r="F16" s="1" t="s">
        <v>804</v>
      </c>
      <c r="G16" s="1" t="s">
        <v>804</v>
      </c>
      <c r="H16" s="1" t="s">
        <v>804</v>
      </c>
      <c r="I16" s="1" t="s">
        <v>804</v>
      </c>
      <c r="J16" s="1" t="s">
        <v>804</v>
      </c>
      <c r="K16" s="1" t="s">
        <v>804</v>
      </c>
      <c r="L16" s="1" t="s">
        <v>804</v>
      </c>
      <c r="M16" s="1" t="s">
        <v>804</v>
      </c>
      <c r="N16" s="1" t="s">
        <v>804</v>
      </c>
      <c r="O16" s="1" t="s">
        <v>804</v>
      </c>
      <c r="P16" s="1" t="s">
        <v>804</v>
      </c>
      <c r="Q16" s="501">
        <v>43045.229883090302</v>
      </c>
    </row>
    <row r="17" spans="1:17" x14ac:dyDescent="0.4">
      <c r="A17" s="1" t="s">
        <v>1246</v>
      </c>
      <c r="B17" s="275" t="s">
        <v>935</v>
      </c>
      <c r="C17" s="1" t="s">
        <v>922</v>
      </c>
      <c r="D17" s="1" t="s">
        <v>804</v>
      </c>
      <c r="E17" s="1" t="s">
        <v>804</v>
      </c>
      <c r="F17" s="1" t="s">
        <v>804</v>
      </c>
      <c r="G17" s="1" t="s">
        <v>804</v>
      </c>
      <c r="H17" s="1" t="s">
        <v>804</v>
      </c>
      <c r="I17" s="1" t="s">
        <v>804</v>
      </c>
      <c r="J17" s="1" t="s">
        <v>804</v>
      </c>
      <c r="K17" s="1" t="s">
        <v>804</v>
      </c>
      <c r="L17" s="1" t="s">
        <v>804</v>
      </c>
      <c r="M17" s="1" t="s">
        <v>804</v>
      </c>
      <c r="N17" s="1" t="s">
        <v>804</v>
      </c>
      <c r="O17" s="1" t="s">
        <v>804</v>
      </c>
      <c r="P17" s="1" t="s">
        <v>804</v>
      </c>
      <c r="Q17" s="501">
        <v>43045.229883090302</v>
      </c>
    </row>
    <row r="18" spans="1:17" x14ac:dyDescent="0.4">
      <c r="A18" s="1" t="s">
        <v>1246</v>
      </c>
      <c r="B18" s="275" t="s">
        <v>936</v>
      </c>
      <c r="C18" s="1" t="s">
        <v>922</v>
      </c>
      <c r="D18" s="1" t="s">
        <v>804</v>
      </c>
      <c r="E18" s="1" t="s">
        <v>804</v>
      </c>
      <c r="F18" s="1" t="s">
        <v>804</v>
      </c>
      <c r="G18" s="1" t="s">
        <v>804</v>
      </c>
      <c r="H18" s="1" t="s">
        <v>804</v>
      </c>
      <c r="I18" s="1" t="s">
        <v>804</v>
      </c>
      <c r="J18" s="1" t="s">
        <v>804</v>
      </c>
      <c r="K18" s="1" t="s">
        <v>804</v>
      </c>
      <c r="L18" s="1" t="s">
        <v>804</v>
      </c>
      <c r="M18" s="1" t="s">
        <v>804</v>
      </c>
      <c r="N18" s="1" t="s">
        <v>804</v>
      </c>
      <c r="O18" s="1" t="s">
        <v>804</v>
      </c>
      <c r="P18" s="1" t="s">
        <v>804</v>
      </c>
      <c r="Q18" s="501">
        <v>43045.229883090302</v>
      </c>
    </row>
    <row r="19" spans="1:17" x14ac:dyDescent="0.4">
      <c r="A19" s="1" t="s">
        <v>1246</v>
      </c>
      <c r="B19" s="275" t="s">
        <v>937</v>
      </c>
      <c r="C19" s="1" t="s">
        <v>922</v>
      </c>
      <c r="D19" s="1" t="s">
        <v>804</v>
      </c>
      <c r="E19" s="1" t="s">
        <v>804</v>
      </c>
      <c r="F19" s="1" t="s">
        <v>804</v>
      </c>
      <c r="G19" s="1" t="s">
        <v>804</v>
      </c>
      <c r="H19" s="1" t="s">
        <v>804</v>
      </c>
      <c r="I19" s="1" t="s">
        <v>804</v>
      </c>
      <c r="J19" s="1" t="s">
        <v>804</v>
      </c>
      <c r="K19" s="1" t="s">
        <v>804</v>
      </c>
      <c r="L19" s="1" t="s">
        <v>804</v>
      </c>
      <c r="M19" s="1" t="s">
        <v>804</v>
      </c>
      <c r="N19" s="1" t="s">
        <v>804</v>
      </c>
      <c r="O19" s="1" t="s">
        <v>804</v>
      </c>
      <c r="P19" s="1" t="s">
        <v>804</v>
      </c>
      <c r="Q19" s="501">
        <v>43045.229883090302</v>
      </c>
    </row>
    <row r="20" spans="1:17" x14ac:dyDescent="0.4">
      <c r="A20" s="1" t="s">
        <v>1246</v>
      </c>
      <c r="B20" s="275" t="s">
        <v>938</v>
      </c>
      <c r="C20" s="1" t="s">
        <v>922</v>
      </c>
      <c r="D20" s="1" t="s">
        <v>804</v>
      </c>
      <c r="E20" s="1" t="s">
        <v>804</v>
      </c>
      <c r="F20" s="1" t="s">
        <v>804</v>
      </c>
      <c r="G20" s="1" t="s">
        <v>804</v>
      </c>
      <c r="H20" s="1" t="s">
        <v>804</v>
      </c>
      <c r="I20" s="1" t="s">
        <v>804</v>
      </c>
      <c r="J20" s="1" t="s">
        <v>804</v>
      </c>
      <c r="K20" s="1" t="s">
        <v>804</v>
      </c>
      <c r="L20" s="1" t="s">
        <v>804</v>
      </c>
      <c r="M20" s="1" t="s">
        <v>804</v>
      </c>
      <c r="N20" s="1" t="s">
        <v>804</v>
      </c>
      <c r="O20" s="1" t="s">
        <v>804</v>
      </c>
      <c r="P20" s="1" t="s">
        <v>804</v>
      </c>
      <c r="Q20" s="501">
        <v>43045.229883090302</v>
      </c>
    </row>
    <row r="21" spans="1:17" x14ac:dyDescent="0.4">
      <c r="A21" s="1" t="s">
        <v>1246</v>
      </c>
      <c r="B21" s="275" t="s">
        <v>939</v>
      </c>
      <c r="C21" s="1" t="s">
        <v>922</v>
      </c>
      <c r="D21" s="1" t="s">
        <v>804</v>
      </c>
      <c r="E21" s="1" t="s">
        <v>804</v>
      </c>
      <c r="F21" s="1" t="s">
        <v>804</v>
      </c>
      <c r="G21" s="1" t="s">
        <v>804</v>
      </c>
      <c r="H21" s="1" t="s">
        <v>804</v>
      </c>
      <c r="I21" s="1" t="s">
        <v>804</v>
      </c>
      <c r="J21" s="1" t="s">
        <v>804</v>
      </c>
      <c r="K21" s="1" t="s">
        <v>804</v>
      </c>
      <c r="L21" s="1" t="s">
        <v>804</v>
      </c>
      <c r="M21" s="1" t="s">
        <v>804</v>
      </c>
      <c r="N21" s="1" t="s">
        <v>804</v>
      </c>
      <c r="O21" s="1" t="s">
        <v>804</v>
      </c>
      <c r="P21" s="1" t="s">
        <v>804</v>
      </c>
      <c r="Q21" s="501">
        <v>43045.229883090302</v>
      </c>
    </row>
    <row r="22" spans="1:17" x14ac:dyDescent="0.4">
      <c r="A22" s="1" t="s">
        <v>1246</v>
      </c>
      <c r="B22" s="275" t="s">
        <v>940</v>
      </c>
      <c r="C22" s="1" t="s">
        <v>922</v>
      </c>
      <c r="D22" s="1" t="s">
        <v>812</v>
      </c>
      <c r="E22" s="1" t="s">
        <v>885</v>
      </c>
      <c r="F22" s="1" t="s">
        <v>913</v>
      </c>
      <c r="G22" s="1" t="s">
        <v>803</v>
      </c>
      <c r="H22" s="1" t="s">
        <v>913</v>
      </c>
      <c r="I22" s="1" t="s">
        <v>883</v>
      </c>
      <c r="J22" s="1" t="s">
        <v>1625</v>
      </c>
      <c r="K22" s="1" t="s">
        <v>830</v>
      </c>
      <c r="L22" s="1" t="s">
        <v>871</v>
      </c>
      <c r="M22" s="1" t="s">
        <v>886</v>
      </c>
      <c r="N22" s="1" t="s">
        <v>804</v>
      </c>
      <c r="O22" s="1" t="s">
        <v>804</v>
      </c>
      <c r="P22" s="1" t="s">
        <v>871</v>
      </c>
    </row>
    <row r="23" spans="1:17" x14ac:dyDescent="0.4">
      <c r="A23" s="1"/>
      <c r="B23" s="27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7" x14ac:dyDescent="0.4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7" x14ac:dyDescent="0.4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7" x14ac:dyDescent="0.4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7" x14ac:dyDescent="0.4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7" x14ac:dyDescent="0.4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7" x14ac:dyDescent="0.4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7" x14ac:dyDescent="0.4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7" x14ac:dyDescent="0.4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7" x14ac:dyDescent="0.4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4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4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4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4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4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4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4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4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4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4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4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4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4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4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4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4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4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4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4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4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4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4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4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4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4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4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4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4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4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4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4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4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4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4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4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4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4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4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4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4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4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4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4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4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4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4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4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4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4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4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4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4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4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4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4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4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4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4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4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4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4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4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4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4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4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4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4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4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4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4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4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4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4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4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4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4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4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4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4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4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4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4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4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4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4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4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4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4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4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4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4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4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4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4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4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4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4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4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4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4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4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4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4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4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4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4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4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4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4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4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4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4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4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4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4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4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4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4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4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4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4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4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4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4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4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4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4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4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4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4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4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4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4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4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4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4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4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4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4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4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4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4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4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4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4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4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4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4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4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4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4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4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4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4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4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4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4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4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4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4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4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4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4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4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4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x14ac:dyDescent="0.4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x14ac:dyDescent="0.4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x14ac:dyDescent="0.4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x14ac:dyDescent="0.4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4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4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4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x14ac:dyDescent="0.4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x14ac:dyDescent="0.4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4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x14ac:dyDescent="0.4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4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4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4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4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4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x14ac:dyDescent="0.4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x14ac:dyDescent="0.4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4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x14ac:dyDescent="0.4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x14ac:dyDescent="0.4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x14ac:dyDescent="0.4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x14ac:dyDescent="0.4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x14ac:dyDescent="0.4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4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4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x14ac:dyDescent="0.4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4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x14ac:dyDescent="0.4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x14ac:dyDescent="0.4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4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x14ac:dyDescent="0.4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4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x14ac:dyDescent="0.4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4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4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4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4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4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4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4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4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4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x14ac:dyDescent="0.4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4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4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4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4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x14ac:dyDescent="0.4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x14ac:dyDescent="0.4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4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4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4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x14ac:dyDescent="0.4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4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x14ac:dyDescent="0.4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4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x14ac:dyDescent="0.4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4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x14ac:dyDescent="0.4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4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x14ac:dyDescent="0.4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x14ac:dyDescent="0.4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4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4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4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4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4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4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4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x14ac:dyDescent="0.4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x14ac:dyDescent="0.4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4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x14ac:dyDescent="0.4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4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x14ac:dyDescent="0.4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x14ac:dyDescent="0.4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x14ac:dyDescent="0.4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x14ac:dyDescent="0.4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x14ac:dyDescent="0.4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x14ac:dyDescent="0.4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x14ac:dyDescent="0.4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4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4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4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4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4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4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4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4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4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x14ac:dyDescent="0.4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x14ac:dyDescent="0.4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x14ac:dyDescent="0.4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x14ac:dyDescent="0.4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x14ac:dyDescent="0.4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x14ac:dyDescent="0.4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x14ac:dyDescent="0.4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x14ac:dyDescent="0.4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x14ac:dyDescent="0.4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x14ac:dyDescent="0.4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x14ac:dyDescent="0.4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x14ac:dyDescent="0.4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x14ac:dyDescent="0.4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x14ac:dyDescent="0.4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x14ac:dyDescent="0.4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x14ac:dyDescent="0.4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x14ac:dyDescent="0.4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x14ac:dyDescent="0.4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x14ac:dyDescent="0.4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x14ac:dyDescent="0.4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x14ac:dyDescent="0.4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x14ac:dyDescent="0.4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x14ac:dyDescent="0.4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x14ac:dyDescent="0.4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x14ac:dyDescent="0.4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x14ac:dyDescent="0.4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x14ac:dyDescent="0.4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x14ac:dyDescent="0.4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x14ac:dyDescent="0.4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x14ac:dyDescent="0.4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x14ac:dyDescent="0.4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x14ac:dyDescent="0.4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x14ac:dyDescent="0.4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x14ac:dyDescent="0.4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x14ac:dyDescent="0.4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x14ac:dyDescent="0.4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4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4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4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x14ac:dyDescent="0.4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x14ac:dyDescent="0.4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x14ac:dyDescent="0.4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x14ac:dyDescent="0.4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x14ac:dyDescent="0.4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x14ac:dyDescent="0.4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x14ac:dyDescent="0.4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x14ac:dyDescent="0.4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4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x14ac:dyDescent="0.4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4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x14ac:dyDescent="0.4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x14ac:dyDescent="0.4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x14ac:dyDescent="0.4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x14ac:dyDescent="0.4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x14ac:dyDescent="0.4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x14ac:dyDescent="0.4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x14ac:dyDescent="0.4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x14ac:dyDescent="0.4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x14ac:dyDescent="0.4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x14ac:dyDescent="0.4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x14ac:dyDescent="0.4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x14ac:dyDescent="0.4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4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x14ac:dyDescent="0.4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x14ac:dyDescent="0.4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x14ac:dyDescent="0.4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x14ac:dyDescent="0.4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x14ac:dyDescent="0.4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x14ac:dyDescent="0.4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4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x14ac:dyDescent="0.4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x14ac:dyDescent="0.4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x14ac:dyDescent="0.4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x14ac:dyDescent="0.4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x14ac:dyDescent="0.4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x14ac:dyDescent="0.4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x14ac:dyDescent="0.4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4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4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4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x14ac:dyDescent="0.4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x14ac:dyDescent="0.4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x14ac:dyDescent="0.4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x14ac:dyDescent="0.4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x14ac:dyDescent="0.4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x14ac:dyDescent="0.4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x14ac:dyDescent="0.4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x14ac:dyDescent="0.4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x14ac:dyDescent="0.4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x14ac:dyDescent="0.4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x14ac:dyDescent="0.4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x14ac:dyDescent="0.4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x14ac:dyDescent="0.4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4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x14ac:dyDescent="0.4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x14ac:dyDescent="0.4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x14ac:dyDescent="0.4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x14ac:dyDescent="0.4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x14ac:dyDescent="0.4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x14ac:dyDescent="0.4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x14ac:dyDescent="0.4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4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x14ac:dyDescent="0.4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x14ac:dyDescent="0.4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x14ac:dyDescent="0.4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x14ac:dyDescent="0.4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x14ac:dyDescent="0.4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4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4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x14ac:dyDescent="0.4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x14ac:dyDescent="0.4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x14ac:dyDescent="0.4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x14ac:dyDescent="0.4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x14ac:dyDescent="0.4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x14ac:dyDescent="0.4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x14ac:dyDescent="0.4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x14ac:dyDescent="0.4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x14ac:dyDescent="0.4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4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4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4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x14ac:dyDescent="0.4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x14ac:dyDescent="0.4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x14ac:dyDescent="0.4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x14ac:dyDescent="0.4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x14ac:dyDescent="0.4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x14ac:dyDescent="0.4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x14ac:dyDescent="0.4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x14ac:dyDescent="0.4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x14ac:dyDescent="0.4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x14ac:dyDescent="0.4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x14ac:dyDescent="0.4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x14ac:dyDescent="0.4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x14ac:dyDescent="0.4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x14ac:dyDescent="0.4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x14ac:dyDescent="0.4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x14ac:dyDescent="0.4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x14ac:dyDescent="0.4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x14ac:dyDescent="0.4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x14ac:dyDescent="0.4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x14ac:dyDescent="0.4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x14ac:dyDescent="0.4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x14ac:dyDescent="0.4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x14ac:dyDescent="0.4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x14ac:dyDescent="0.4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x14ac:dyDescent="0.4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x14ac:dyDescent="0.4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x14ac:dyDescent="0.4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x14ac:dyDescent="0.4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x14ac:dyDescent="0.4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x14ac:dyDescent="0.4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x14ac:dyDescent="0.4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x14ac:dyDescent="0.4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x14ac:dyDescent="0.4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x14ac:dyDescent="0.4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x14ac:dyDescent="0.4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x14ac:dyDescent="0.4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x14ac:dyDescent="0.4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x14ac:dyDescent="0.4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x14ac:dyDescent="0.4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x14ac:dyDescent="0.4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x14ac:dyDescent="0.4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x14ac:dyDescent="0.4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x14ac:dyDescent="0.4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x14ac:dyDescent="0.4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x14ac:dyDescent="0.4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x14ac:dyDescent="0.4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x14ac:dyDescent="0.4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x14ac:dyDescent="0.4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x14ac:dyDescent="0.4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x14ac:dyDescent="0.4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x14ac:dyDescent="0.4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x14ac:dyDescent="0.4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x14ac:dyDescent="0.4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x14ac:dyDescent="0.4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x14ac:dyDescent="0.4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x14ac:dyDescent="0.4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x14ac:dyDescent="0.4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x14ac:dyDescent="0.4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x14ac:dyDescent="0.4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x14ac:dyDescent="0.4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x14ac:dyDescent="0.4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x14ac:dyDescent="0.4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x14ac:dyDescent="0.4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x14ac:dyDescent="0.4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x14ac:dyDescent="0.4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x14ac:dyDescent="0.4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x14ac:dyDescent="0.4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x14ac:dyDescent="0.4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x14ac:dyDescent="0.4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x14ac:dyDescent="0.4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x14ac:dyDescent="0.4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x14ac:dyDescent="0.4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x14ac:dyDescent="0.4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x14ac:dyDescent="0.4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x14ac:dyDescent="0.4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x14ac:dyDescent="0.4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x14ac:dyDescent="0.4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x14ac:dyDescent="0.4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x14ac:dyDescent="0.4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x14ac:dyDescent="0.4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x14ac:dyDescent="0.4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x14ac:dyDescent="0.4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x14ac:dyDescent="0.4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x14ac:dyDescent="0.4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x14ac:dyDescent="0.4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x14ac:dyDescent="0.4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x14ac:dyDescent="0.4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x14ac:dyDescent="0.4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x14ac:dyDescent="0.4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x14ac:dyDescent="0.4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x14ac:dyDescent="0.4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x14ac:dyDescent="0.4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x14ac:dyDescent="0.4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x14ac:dyDescent="0.4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x14ac:dyDescent="0.4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x14ac:dyDescent="0.4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x14ac:dyDescent="0.4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x14ac:dyDescent="0.4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x14ac:dyDescent="0.4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x14ac:dyDescent="0.4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x14ac:dyDescent="0.4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x14ac:dyDescent="0.4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x14ac:dyDescent="0.4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x14ac:dyDescent="0.4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x14ac:dyDescent="0.4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x14ac:dyDescent="0.4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x14ac:dyDescent="0.4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x14ac:dyDescent="0.4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x14ac:dyDescent="0.4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x14ac:dyDescent="0.4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x14ac:dyDescent="0.4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x14ac:dyDescent="0.4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x14ac:dyDescent="0.4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x14ac:dyDescent="0.4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x14ac:dyDescent="0.4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x14ac:dyDescent="0.4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x14ac:dyDescent="0.4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x14ac:dyDescent="0.4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x14ac:dyDescent="0.4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x14ac:dyDescent="0.4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x14ac:dyDescent="0.4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x14ac:dyDescent="0.4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x14ac:dyDescent="0.4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x14ac:dyDescent="0.4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x14ac:dyDescent="0.4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x14ac:dyDescent="0.4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x14ac:dyDescent="0.4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x14ac:dyDescent="0.4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x14ac:dyDescent="0.4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x14ac:dyDescent="0.4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x14ac:dyDescent="0.4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x14ac:dyDescent="0.4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x14ac:dyDescent="0.4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x14ac:dyDescent="0.4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x14ac:dyDescent="0.4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x14ac:dyDescent="0.4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x14ac:dyDescent="0.4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x14ac:dyDescent="0.4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x14ac:dyDescent="0.4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x14ac:dyDescent="0.4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x14ac:dyDescent="0.4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x14ac:dyDescent="0.4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x14ac:dyDescent="0.4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x14ac:dyDescent="0.4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x14ac:dyDescent="0.4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x14ac:dyDescent="0.4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x14ac:dyDescent="0.4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x14ac:dyDescent="0.4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x14ac:dyDescent="0.4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x14ac:dyDescent="0.4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x14ac:dyDescent="0.4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x14ac:dyDescent="0.4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x14ac:dyDescent="0.4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x14ac:dyDescent="0.4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x14ac:dyDescent="0.4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x14ac:dyDescent="0.4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x14ac:dyDescent="0.4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x14ac:dyDescent="0.4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x14ac:dyDescent="0.4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x14ac:dyDescent="0.4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x14ac:dyDescent="0.4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x14ac:dyDescent="0.4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x14ac:dyDescent="0.4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x14ac:dyDescent="0.4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x14ac:dyDescent="0.4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x14ac:dyDescent="0.4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x14ac:dyDescent="0.4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x14ac:dyDescent="0.4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x14ac:dyDescent="0.4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x14ac:dyDescent="0.4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x14ac:dyDescent="0.4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x14ac:dyDescent="0.4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x14ac:dyDescent="0.4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x14ac:dyDescent="0.4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x14ac:dyDescent="0.4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x14ac:dyDescent="0.4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x14ac:dyDescent="0.4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x14ac:dyDescent="0.4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x14ac:dyDescent="0.4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x14ac:dyDescent="0.4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x14ac:dyDescent="0.4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x14ac:dyDescent="0.4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x14ac:dyDescent="0.4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x14ac:dyDescent="0.4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x14ac:dyDescent="0.4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x14ac:dyDescent="0.4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4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4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x14ac:dyDescent="0.4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x14ac:dyDescent="0.4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x14ac:dyDescent="0.4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x14ac:dyDescent="0.4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x14ac:dyDescent="0.4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x14ac:dyDescent="0.4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x14ac:dyDescent="0.4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x14ac:dyDescent="0.4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x14ac:dyDescent="0.4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x14ac:dyDescent="0.4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x14ac:dyDescent="0.4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x14ac:dyDescent="0.4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x14ac:dyDescent="0.4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x14ac:dyDescent="0.4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x14ac:dyDescent="0.4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x14ac:dyDescent="0.4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x14ac:dyDescent="0.4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x14ac:dyDescent="0.4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x14ac:dyDescent="0.4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x14ac:dyDescent="0.4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x14ac:dyDescent="0.4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x14ac:dyDescent="0.4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x14ac:dyDescent="0.4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x14ac:dyDescent="0.4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x14ac:dyDescent="0.4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x14ac:dyDescent="0.4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x14ac:dyDescent="0.4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x14ac:dyDescent="0.4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x14ac:dyDescent="0.4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x14ac:dyDescent="0.4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x14ac:dyDescent="0.4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x14ac:dyDescent="0.4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x14ac:dyDescent="0.4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x14ac:dyDescent="0.4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x14ac:dyDescent="0.4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x14ac:dyDescent="0.4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x14ac:dyDescent="0.4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x14ac:dyDescent="0.4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x14ac:dyDescent="0.4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x14ac:dyDescent="0.4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x14ac:dyDescent="0.4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x14ac:dyDescent="0.4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x14ac:dyDescent="0.4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x14ac:dyDescent="0.4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x14ac:dyDescent="0.4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x14ac:dyDescent="0.4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x14ac:dyDescent="0.4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x14ac:dyDescent="0.4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x14ac:dyDescent="0.4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x14ac:dyDescent="0.4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x14ac:dyDescent="0.4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x14ac:dyDescent="0.4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x14ac:dyDescent="0.4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x14ac:dyDescent="0.4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x14ac:dyDescent="0.4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x14ac:dyDescent="0.4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x14ac:dyDescent="0.4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x14ac:dyDescent="0.4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x14ac:dyDescent="0.4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x14ac:dyDescent="0.4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x14ac:dyDescent="0.4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x14ac:dyDescent="0.4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x14ac:dyDescent="0.4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x14ac:dyDescent="0.4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x14ac:dyDescent="0.4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x14ac:dyDescent="0.4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x14ac:dyDescent="0.4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x14ac:dyDescent="0.4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x14ac:dyDescent="0.4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x14ac:dyDescent="0.4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x14ac:dyDescent="0.4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x14ac:dyDescent="0.4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x14ac:dyDescent="0.4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x14ac:dyDescent="0.4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x14ac:dyDescent="0.4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x14ac:dyDescent="0.4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x14ac:dyDescent="0.4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x14ac:dyDescent="0.4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x14ac:dyDescent="0.4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x14ac:dyDescent="0.4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x14ac:dyDescent="0.4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x14ac:dyDescent="0.4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x14ac:dyDescent="0.4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x14ac:dyDescent="0.4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x14ac:dyDescent="0.4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x14ac:dyDescent="0.4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x14ac:dyDescent="0.4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x14ac:dyDescent="0.4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x14ac:dyDescent="0.4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x14ac:dyDescent="0.4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x14ac:dyDescent="0.4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x14ac:dyDescent="0.4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x14ac:dyDescent="0.4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x14ac:dyDescent="0.4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x14ac:dyDescent="0.4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x14ac:dyDescent="0.4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x14ac:dyDescent="0.4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x14ac:dyDescent="0.4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x14ac:dyDescent="0.4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x14ac:dyDescent="0.4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x14ac:dyDescent="0.4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x14ac:dyDescent="0.4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x14ac:dyDescent="0.4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x14ac:dyDescent="0.4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x14ac:dyDescent="0.4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x14ac:dyDescent="0.4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x14ac:dyDescent="0.4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x14ac:dyDescent="0.4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x14ac:dyDescent="0.4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x14ac:dyDescent="0.4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x14ac:dyDescent="0.4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x14ac:dyDescent="0.4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x14ac:dyDescent="0.4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x14ac:dyDescent="0.4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x14ac:dyDescent="0.4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x14ac:dyDescent="0.4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x14ac:dyDescent="0.4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x14ac:dyDescent="0.4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x14ac:dyDescent="0.4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x14ac:dyDescent="0.4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x14ac:dyDescent="0.4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x14ac:dyDescent="0.4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x14ac:dyDescent="0.4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x14ac:dyDescent="0.4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x14ac:dyDescent="0.4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x14ac:dyDescent="0.4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x14ac:dyDescent="0.4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x14ac:dyDescent="0.4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x14ac:dyDescent="0.4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x14ac:dyDescent="0.4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x14ac:dyDescent="0.4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x14ac:dyDescent="0.4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x14ac:dyDescent="0.4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x14ac:dyDescent="0.4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x14ac:dyDescent="0.4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x14ac:dyDescent="0.4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x14ac:dyDescent="0.4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x14ac:dyDescent="0.4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x14ac:dyDescent="0.4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x14ac:dyDescent="0.4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x14ac:dyDescent="0.4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x14ac:dyDescent="0.4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x14ac:dyDescent="0.4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x14ac:dyDescent="0.4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x14ac:dyDescent="0.4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x14ac:dyDescent="0.4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x14ac:dyDescent="0.4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x14ac:dyDescent="0.4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x14ac:dyDescent="0.4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x14ac:dyDescent="0.4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x14ac:dyDescent="0.4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x14ac:dyDescent="0.4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x14ac:dyDescent="0.4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x14ac:dyDescent="0.4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x14ac:dyDescent="0.4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x14ac:dyDescent="0.4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x14ac:dyDescent="0.4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x14ac:dyDescent="0.4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x14ac:dyDescent="0.4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x14ac:dyDescent="0.4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x14ac:dyDescent="0.4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x14ac:dyDescent="0.4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x14ac:dyDescent="0.4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x14ac:dyDescent="0.4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x14ac:dyDescent="0.4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x14ac:dyDescent="0.4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x14ac:dyDescent="0.4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x14ac:dyDescent="0.4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x14ac:dyDescent="0.4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x14ac:dyDescent="0.4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x14ac:dyDescent="0.4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x14ac:dyDescent="0.4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x14ac:dyDescent="0.4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x14ac:dyDescent="0.4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x14ac:dyDescent="0.4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x14ac:dyDescent="0.4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x14ac:dyDescent="0.4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x14ac:dyDescent="0.4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x14ac:dyDescent="0.4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x14ac:dyDescent="0.4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x14ac:dyDescent="0.4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x14ac:dyDescent="0.4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x14ac:dyDescent="0.4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x14ac:dyDescent="0.4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x14ac:dyDescent="0.4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x14ac:dyDescent="0.4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x14ac:dyDescent="0.4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x14ac:dyDescent="0.4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x14ac:dyDescent="0.4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x14ac:dyDescent="0.4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x14ac:dyDescent="0.4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x14ac:dyDescent="0.4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x14ac:dyDescent="0.4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x14ac:dyDescent="0.4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x14ac:dyDescent="0.4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x14ac:dyDescent="0.4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x14ac:dyDescent="0.4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x14ac:dyDescent="0.4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x14ac:dyDescent="0.4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x14ac:dyDescent="0.4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x14ac:dyDescent="0.4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x14ac:dyDescent="0.4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x14ac:dyDescent="0.4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x14ac:dyDescent="0.4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x14ac:dyDescent="0.4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x14ac:dyDescent="0.4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x14ac:dyDescent="0.4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x14ac:dyDescent="0.4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x14ac:dyDescent="0.4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x14ac:dyDescent="0.4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x14ac:dyDescent="0.4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x14ac:dyDescent="0.4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x14ac:dyDescent="0.4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x14ac:dyDescent="0.4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x14ac:dyDescent="0.4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x14ac:dyDescent="0.4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x14ac:dyDescent="0.4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x14ac:dyDescent="0.4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x14ac:dyDescent="0.4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x14ac:dyDescent="0.4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x14ac:dyDescent="0.4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x14ac:dyDescent="0.4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x14ac:dyDescent="0.4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x14ac:dyDescent="0.4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x14ac:dyDescent="0.4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x14ac:dyDescent="0.4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x14ac:dyDescent="0.4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x14ac:dyDescent="0.4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x14ac:dyDescent="0.4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x14ac:dyDescent="0.4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x14ac:dyDescent="0.4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x14ac:dyDescent="0.4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x14ac:dyDescent="0.4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x14ac:dyDescent="0.4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x14ac:dyDescent="0.4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x14ac:dyDescent="0.4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x14ac:dyDescent="0.4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x14ac:dyDescent="0.4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x14ac:dyDescent="0.4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x14ac:dyDescent="0.4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x14ac:dyDescent="0.4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x14ac:dyDescent="0.4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x14ac:dyDescent="0.4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x14ac:dyDescent="0.4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x14ac:dyDescent="0.4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x14ac:dyDescent="0.4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x14ac:dyDescent="0.4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x14ac:dyDescent="0.4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x14ac:dyDescent="0.4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x14ac:dyDescent="0.4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x14ac:dyDescent="0.4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x14ac:dyDescent="0.4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x14ac:dyDescent="0.4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x14ac:dyDescent="0.4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x14ac:dyDescent="0.4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x14ac:dyDescent="0.4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x14ac:dyDescent="0.4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x14ac:dyDescent="0.4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x14ac:dyDescent="0.4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x14ac:dyDescent="0.4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x14ac:dyDescent="0.4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x14ac:dyDescent="0.4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x14ac:dyDescent="0.4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x14ac:dyDescent="0.4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x14ac:dyDescent="0.4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x14ac:dyDescent="0.4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x14ac:dyDescent="0.4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x14ac:dyDescent="0.4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x14ac:dyDescent="0.4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x14ac:dyDescent="0.4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x14ac:dyDescent="0.4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x14ac:dyDescent="0.4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x14ac:dyDescent="0.4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x14ac:dyDescent="0.4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x14ac:dyDescent="0.4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x14ac:dyDescent="0.4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x14ac:dyDescent="0.4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x14ac:dyDescent="0.4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x14ac:dyDescent="0.4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x14ac:dyDescent="0.4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x14ac:dyDescent="0.4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x14ac:dyDescent="0.4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x14ac:dyDescent="0.4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x14ac:dyDescent="0.4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x14ac:dyDescent="0.4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x14ac:dyDescent="0.4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x14ac:dyDescent="0.4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x14ac:dyDescent="0.4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x14ac:dyDescent="0.4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x14ac:dyDescent="0.4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x14ac:dyDescent="0.4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x14ac:dyDescent="0.4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x14ac:dyDescent="0.4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x14ac:dyDescent="0.4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x14ac:dyDescent="0.4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x14ac:dyDescent="0.4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x14ac:dyDescent="0.4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x14ac:dyDescent="0.4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x14ac:dyDescent="0.4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x14ac:dyDescent="0.4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x14ac:dyDescent="0.4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x14ac:dyDescent="0.4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x14ac:dyDescent="0.4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x14ac:dyDescent="0.4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x14ac:dyDescent="0.4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x14ac:dyDescent="0.4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x14ac:dyDescent="0.4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x14ac:dyDescent="0.4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x14ac:dyDescent="0.4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x14ac:dyDescent="0.4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x14ac:dyDescent="0.4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x14ac:dyDescent="0.4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x14ac:dyDescent="0.4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x14ac:dyDescent="0.4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x14ac:dyDescent="0.4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x14ac:dyDescent="0.4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x14ac:dyDescent="0.4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x14ac:dyDescent="0.4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x14ac:dyDescent="0.4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x14ac:dyDescent="0.4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x14ac:dyDescent="0.4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x14ac:dyDescent="0.4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x14ac:dyDescent="0.4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x14ac:dyDescent="0.4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x14ac:dyDescent="0.4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x14ac:dyDescent="0.4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x14ac:dyDescent="0.4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x14ac:dyDescent="0.4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x14ac:dyDescent="0.4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x14ac:dyDescent="0.4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x14ac:dyDescent="0.4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x14ac:dyDescent="0.4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x14ac:dyDescent="0.4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x14ac:dyDescent="0.4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x14ac:dyDescent="0.4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x14ac:dyDescent="0.4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x14ac:dyDescent="0.4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x14ac:dyDescent="0.4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x14ac:dyDescent="0.4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x14ac:dyDescent="0.4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x14ac:dyDescent="0.4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x14ac:dyDescent="0.4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x14ac:dyDescent="0.4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x14ac:dyDescent="0.4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x14ac:dyDescent="0.4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x14ac:dyDescent="0.4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x14ac:dyDescent="0.4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x14ac:dyDescent="0.4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x14ac:dyDescent="0.4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x14ac:dyDescent="0.4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x14ac:dyDescent="0.4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x14ac:dyDescent="0.4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x14ac:dyDescent="0.4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x14ac:dyDescent="0.4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x14ac:dyDescent="0.4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x14ac:dyDescent="0.4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x14ac:dyDescent="0.4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x14ac:dyDescent="0.4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x14ac:dyDescent="0.4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x14ac:dyDescent="0.4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x14ac:dyDescent="0.4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x14ac:dyDescent="0.4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x14ac:dyDescent="0.4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x14ac:dyDescent="0.4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x14ac:dyDescent="0.4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x14ac:dyDescent="0.4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x14ac:dyDescent="0.4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x14ac:dyDescent="0.4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x14ac:dyDescent="0.4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x14ac:dyDescent="0.4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x14ac:dyDescent="0.4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x14ac:dyDescent="0.4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x14ac:dyDescent="0.4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x14ac:dyDescent="0.4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x14ac:dyDescent="0.4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x14ac:dyDescent="0.4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x14ac:dyDescent="0.4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x14ac:dyDescent="0.4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x14ac:dyDescent="0.4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x14ac:dyDescent="0.4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x14ac:dyDescent="0.4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x14ac:dyDescent="0.4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x14ac:dyDescent="0.4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x14ac:dyDescent="0.4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x14ac:dyDescent="0.4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x14ac:dyDescent="0.4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x14ac:dyDescent="0.4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x14ac:dyDescent="0.4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x14ac:dyDescent="0.4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x14ac:dyDescent="0.4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x14ac:dyDescent="0.4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x14ac:dyDescent="0.4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x14ac:dyDescent="0.4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x14ac:dyDescent="0.4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x14ac:dyDescent="0.4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x14ac:dyDescent="0.4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x14ac:dyDescent="0.4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x14ac:dyDescent="0.4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x14ac:dyDescent="0.4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x14ac:dyDescent="0.4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x14ac:dyDescent="0.4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x14ac:dyDescent="0.4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x14ac:dyDescent="0.4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x14ac:dyDescent="0.4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" x14ac:dyDescent="0.4"/>
  <sheetData>
    <row r="1" spans="1:15" x14ac:dyDescent="0.4">
      <c r="A1" s="502" t="s">
        <v>1220</v>
      </c>
      <c r="B1" s="502" t="s">
        <v>360</v>
      </c>
      <c r="C1" s="502" t="s">
        <v>1221</v>
      </c>
      <c r="D1" s="502" t="s">
        <v>1222</v>
      </c>
      <c r="E1" s="502" t="s">
        <v>1223</v>
      </c>
      <c r="F1" s="502" t="s">
        <v>1224</v>
      </c>
      <c r="G1" s="502" t="s">
        <v>1225</v>
      </c>
      <c r="H1" s="502" t="s">
        <v>1226</v>
      </c>
      <c r="I1" s="502" t="s">
        <v>1227</v>
      </c>
      <c r="J1" s="502" t="s">
        <v>1228</v>
      </c>
      <c r="K1" s="502" t="s">
        <v>1229</v>
      </c>
      <c r="L1" s="502" t="s">
        <v>1230</v>
      </c>
      <c r="M1" s="502" t="s">
        <v>1231</v>
      </c>
      <c r="N1" s="502" t="s">
        <v>1232</v>
      </c>
      <c r="O1" s="502" t="s">
        <v>1631</v>
      </c>
    </row>
    <row r="2" spans="1:15" x14ac:dyDescent="0.4">
      <c r="A2" s="502" t="s">
        <v>1246</v>
      </c>
      <c r="B2" s="502" t="s">
        <v>363</v>
      </c>
      <c r="C2" s="502" t="s">
        <v>1632</v>
      </c>
      <c r="D2" s="502" t="s">
        <v>1633</v>
      </c>
      <c r="E2" s="502" t="s">
        <v>1634</v>
      </c>
      <c r="F2" s="502" t="s">
        <v>1635</v>
      </c>
      <c r="G2" s="502" t="s">
        <v>1636</v>
      </c>
      <c r="H2" s="502" t="s">
        <v>1637</v>
      </c>
      <c r="I2" s="502" t="s">
        <v>1638</v>
      </c>
      <c r="J2" s="502" t="s">
        <v>1639</v>
      </c>
      <c r="K2" s="502" t="s">
        <v>1640</v>
      </c>
      <c r="L2" s="502" t="s">
        <v>1641</v>
      </c>
      <c r="M2" s="502" t="s">
        <v>804</v>
      </c>
      <c r="N2" s="502" t="s">
        <v>804</v>
      </c>
      <c r="O2" s="502" t="s">
        <v>1642</v>
      </c>
    </row>
    <row r="3" spans="1:15" x14ac:dyDescent="0.4">
      <c r="A3" s="502" t="s">
        <v>1246</v>
      </c>
      <c r="B3" s="502" t="s">
        <v>397</v>
      </c>
      <c r="C3" s="502" t="s">
        <v>1643</v>
      </c>
      <c r="D3" s="502" t="s">
        <v>1644</v>
      </c>
      <c r="E3" s="502" t="s">
        <v>1645</v>
      </c>
      <c r="F3" s="502" t="s">
        <v>1646</v>
      </c>
      <c r="G3" s="502" t="s">
        <v>1647</v>
      </c>
      <c r="H3" s="502" t="s">
        <v>1648</v>
      </c>
      <c r="I3" s="502" t="s">
        <v>1649</v>
      </c>
      <c r="J3" s="502" t="s">
        <v>1650</v>
      </c>
      <c r="K3" s="502" t="s">
        <v>1651</v>
      </c>
      <c r="L3" s="502" t="s">
        <v>1652</v>
      </c>
      <c r="M3" s="502" t="s">
        <v>804</v>
      </c>
      <c r="N3" s="502" t="s">
        <v>804</v>
      </c>
      <c r="O3" s="502" t="s">
        <v>1653</v>
      </c>
    </row>
    <row r="4" spans="1:15" x14ac:dyDescent="0.4">
      <c r="A4" s="502" t="s">
        <v>1246</v>
      </c>
      <c r="B4" s="502" t="s">
        <v>426</v>
      </c>
      <c r="C4" s="502" t="s">
        <v>1654</v>
      </c>
      <c r="D4" s="502" t="s">
        <v>1655</v>
      </c>
      <c r="E4" s="502" t="s">
        <v>237</v>
      </c>
      <c r="F4" s="502" t="s">
        <v>1655</v>
      </c>
      <c r="G4" s="502" t="s">
        <v>236</v>
      </c>
      <c r="H4" s="502" t="s">
        <v>1656</v>
      </c>
      <c r="I4" s="502" t="s">
        <v>804</v>
      </c>
      <c r="J4" s="502" t="s">
        <v>1656</v>
      </c>
      <c r="K4" s="502" t="s">
        <v>237</v>
      </c>
      <c r="L4" s="502" t="s">
        <v>1657</v>
      </c>
      <c r="M4" s="502" t="s">
        <v>804</v>
      </c>
      <c r="N4" s="502" t="s">
        <v>804</v>
      </c>
      <c r="O4" s="502" t="s">
        <v>1658</v>
      </c>
    </row>
    <row r="5" spans="1:15" x14ac:dyDescent="0.4">
      <c r="A5" s="502" t="s">
        <v>1246</v>
      </c>
      <c r="B5" s="502" t="s">
        <v>453</v>
      </c>
      <c r="C5" s="502" t="s">
        <v>1659</v>
      </c>
      <c r="D5" s="502" t="s">
        <v>1660</v>
      </c>
      <c r="E5" s="502" t="s">
        <v>1012</v>
      </c>
      <c r="F5" s="502" t="s">
        <v>1661</v>
      </c>
      <c r="G5" s="502" t="s">
        <v>1662</v>
      </c>
      <c r="H5" s="502" t="s">
        <v>1663</v>
      </c>
      <c r="I5" s="502" t="s">
        <v>1615</v>
      </c>
      <c r="J5" s="502" t="s">
        <v>1664</v>
      </c>
      <c r="K5" s="502" t="s">
        <v>1665</v>
      </c>
      <c r="L5" s="502" t="s">
        <v>925</v>
      </c>
      <c r="M5" s="502" t="s">
        <v>804</v>
      </c>
      <c r="N5" s="502" t="s">
        <v>804</v>
      </c>
      <c r="O5" s="502" t="s">
        <v>1666</v>
      </c>
    </row>
    <row r="6" spans="1:15" x14ac:dyDescent="0.4">
      <c r="A6" s="502" t="s">
        <v>1246</v>
      </c>
      <c r="B6" s="502" t="s">
        <v>480</v>
      </c>
      <c r="C6" s="502" t="s">
        <v>1667</v>
      </c>
      <c r="D6" s="502" t="s">
        <v>1668</v>
      </c>
      <c r="E6" s="502" t="s">
        <v>1669</v>
      </c>
      <c r="F6" s="502" t="s">
        <v>1670</v>
      </c>
      <c r="G6" s="502" t="s">
        <v>1671</v>
      </c>
      <c r="H6" s="502" t="s">
        <v>1672</v>
      </c>
      <c r="I6" s="502" t="s">
        <v>1673</v>
      </c>
      <c r="J6" s="502" t="s">
        <v>1674</v>
      </c>
      <c r="K6" s="502" t="s">
        <v>1675</v>
      </c>
      <c r="L6" s="502" t="s">
        <v>1676</v>
      </c>
      <c r="M6" s="502" t="s">
        <v>804</v>
      </c>
      <c r="N6" s="502" t="s">
        <v>804</v>
      </c>
      <c r="O6" s="502" t="s">
        <v>1677</v>
      </c>
    </row>
    <row r="7" spans="1:15" x14ac:dyDescent="0.4">
      <c r="A7" s="502" t="s">
        <v>1246</v>
      </c>
      <c r="B7" s="502" t="s">
        <v>511</v>
      </c>
      <c r="C7" s="502" t="s">
        <v>804</v>
      </c>
      <c r="D7" s="502" t="s">
        <v>804</v>
      </c>
      <c r="E7" s="502" t="s">
        <v>804</v>
      </c>
      <c r="F7" s="502" t="s">
        <v>804</v>
      </c>
      <c r="G7" s="502" t="s">
        <v>804</v>
      </c>
      <c r="H7" s="502" t="s">
        <v>804</v>
      </c>
      <c r="I7" s="502" t="s">
        <v>804</v>
      </c>
      <c r="J7" s="502" t="s">
        <v>804</v>
      </c>
      <c r="K7" s="502" t="s">
        <v>804</v>
      </c>
      <c r="L7" s="502" t="s">
        <v>804</v>
      </c>
      <c r="M7" s="502" t="s">
        <v>804</v>
      </c>
      <c r="N7" s="502" t="s">
        <v>804</v>
      </c>
      <c r="O7" s="502" t="s">
        <v>804</v>
      </c>
    </row>
    <row r="8" spans="1:15" x14ac:dyDescent="0.4">
      <c r="A8" s="502" t="s">
        <v>1246</v>
      </c>
      <c r="B8" s="502" t="s">
        <v>512</v>
      </c>
      <c r="C8" s="502" t="s">
        <v>1669</v>
      </c>
      <c r="D8" s="502" t="s">
        <v>1678</v>
      </c>
      <c r="E8" s="502" t="s">
        <v>1679</v>
      </c>
      <c r="F8" s="502" t="s">
        <v>1654</v>
      </c>
      <c r="G8" s="502" t="s">
        <v>1680</v>
      </c>
      <c r="H8" s="502" t="s">
        <v>1681</v>
      </c>
      <c r="I8" s="502" t="s">
        <v>1682</v>
      </c>
      <c r="J8" s="502" t="s">
        <v>1683</v>
      </c>
      <c r="K8" s="502" t="s">
        <v>1684</v>
      </c>
      <c r="L8" s="502" t="s">
        <v>1685</v>
      </c>
      <c r="M8" s="502" t="s">
        <v>804</v>
      </c>
      <c r="N8" s="502" t="s">
        <v>804</v>
      </c>
      <c r="O8" s="502" t="s">
        <v>1681</v>
      </c>
    </row>
    <row r="9" spans="1:15" x14ac:dyDescent="0.4">
      <c r="A9" s="502" t="s">
        <v>1246</v>
      </c>
      <c r="B9" s="502" t="s">
        <v>867</v>
      </c>
      <c r="C9" s="502" t="s">
        <v>359</v>
      </c>
      <c r="D9" s="502" t="s">
        <v>1686</v>
      </c>
      <c r="E9" s="502" t="s">
        <v>1687</v>
      </c>
      <c r="F9" s="502" t="s">
        <v>236</v>
      </c>
      <c r="G9" s="502" t="s">
        <v>1012</v>
      </c>
      <c r="H9" s="502" t="s">
        <v>1617</v>
      </c>
      <c r="I9" s="502" t="s">
        <v>804</v>
      </c>
      <c r="J9" s="502" t="s">
        <v>1657</v>
      </c>
      <c r="K9" s="502" t="s">
        <v>1688</v>
      </c>
      <c r="L9" s="502" t="s">
        <v>1689</v>
      </c>
      <c r="M9" s="502" t="s">
        <v>804</v>
      </c>
      <c r="N9" s="502" t="s">
        <v>804</v>
      </c>
      <c r="O9" s="502" t="s">
        <v>1690</v>
      </c>
    </row>
    <row r="10" spans="1:15" x14ac:dyDescent="0.4">
      <c r="A10" s="502" t="s">
        <v>1246</v>
      </c>
      <c r="B10" s="502" t="s">
        <v>874</v>
      </c>
      <c r="C10" s="502" t="s">
        <v>1687</v>
      </c>
      <c r="D10" s="502" t="s">
        <v>359</v>
      </c>
      <c r="E10" s="502" t="s">
        <v>804</v>
      </c>
      <c r="F10" s="502" t="s">
        <v>804</v>
      </c>
      <c r="G10" s="502" t="s">
        <v>359</v>
      </c>
      <c r="H10" s="502" t="s">
        <v>804</v>
      </c>
      <c r="I10" s="502" t="s">
        <v>236</v>
      </c>
      <c r="J10" s="502" t="s">
        <v>804</v>
      </c>
      <c r="K10" s="502" t="s">
        <v>804</v>
      </c>
      <c r="L10" s="502" t="s">
        <v>804</v>
      </c>
      <c r="M10" s="502" t="s">
        <v>804</v>
      </c>
      <c r="N10" s="502" t="s">
        <v>804</v>
      </c>
      <c r="O10" s="502" t="s">
        <v>237</v>
      </c>
    </row>
    <row r="11" spans="1:15" x14ac:dyDescent="0.4">
      <c r="A11" s="502" t="s">
        <v>1246</v>
      </c>
      <c r="B11" s="502" t="s">
        <v>875</v>
      </c>
      <c r="C11" s="502" t="s">
        <v>1691</v>
      </c>
      <c r="D11" s="502" t="s">
        <v>1692</v>
      </c>
      <c r="E11" s="502" t="s">
        <v>1693</v>
      </c>
      <c r="F11" s="502" t="s">
        <v>1694</v>
      </c>
      <c r="G11" s="502" t="s">
        <v>1695</v>
      </c>
      <c r="H11" s="502" t="s">
        <v>1696</v>
      </c>
      <c r="I11" s="502" t="s">
        <v>1697</v>
      </c>
      <c r="J11" s="502" t="s">
        <v>1692</v>
      </c>
      <c r="K11" s="502" t="s">
        <v>1690</v>
      </c>
      <c r="L11" s="502" t="s">
        <v>1689</v>
      </c>
      <c r="M11" s="502" t="s">
        <v>804</v>
      </c>
      <c r="N11" s="502" t="s">
        <v>804</v>
      </c>
      <c r="O11" s="502" t="s">
        <v>1694</v>
      </c>
    </row>
    <row r="12" spans="1:15" x14ac:dyDescent="0.4">
      <c r="A12" s="502" t="s">
        <v>1246</v>
      </c>
      <c r="B12" s="502" t="s">
        <v>881</v>
      </c>
      <c r="C12" s="502" t="s">
        <v>1698</v>
      </c>
      <c r="D12" s="502" t="s">
        <v>1699</v>
      </c>
      <c r="E12" s="502" t="s">
        <v>1700</v>
      </c>
      <c r="F12" s="502" t="s">
        <v>1701</v>
      </c>
      <c r="G12" s="502" t="s">
        <v>1702</v>
      </c>
      <c r="H12" s="502" t="s">
        <v>1703</v>
      </c>
      <c r="I12" s="502" t="s">
        <v>1704</v>
      </c>
      <c r="J12" s="502" t="s">
        <v>1705</v>
      </c>
      <c r="K12" s="502" t="s">
        <v>1706</v>
      </c>
      <c r="L12" s="502" t="s">
        <v>1707</v>
      </c>
      <c r="M12" s="502" t="s">
        <v>804</v>
      </c>
      <c r="N12" s="502" t="s">
        <v>804</v>
      </c>
      <c r="O12" s="502" t="s">
        <v>1708</v>
      </c>
    </row>
    <row r="13" spans="1:15" x14ac:dyDescent="0.4">
      <c r="A13" s="502" t="s">
        <v>1246</v>
      </c>
      <c r="B13" s="502" t="s">
        <v>890</v>
      </c>
      <c r="C13" s="502" t="s">
        <v>1709</v>
      </c>
      <c r="D13" s="502" t="s">
        <v>1710</v>
      </c>
      <c r="E13" s="502" t="s">
        <v>861</v>
      </c>
      <c r="F13" s="502" t="s">
        <v>1711</v>
      </c>
      <c r="G13" s="502" t="s">
        <v>1712</v>
      </c>
      <c r="H13" s="502" t="s">
        <v>1713</v>
      </c>
      <c r="I13" s="502" t="s">
        <v>1696</v>
      </c>
      <c r="J13" s="502" t="s">
        <v>812</v>
      </c>
      <c r="K13" s="502" t="s">
        <v>1714</v>
      </c>
      <c r="L13" s="502" t="s">
        <v>1715</v>
      </c>
      <c r="M13" s="502" t="s">
        <v>804</v>
      </c>
      <c r="N13" s="502" t="s">
        <v>804</v>
      </c>
      <c r="O13" s="502" t="s">
        <v>879</v>
      </c>
    </row>
    <row r="14" spans="1:15" x14ac:dyDescent="0.4">
      <c r="A14" s="502" t="s">
        <v>1246</v>
      </c>
      <c r="B14" s="502" t="s">
        <v>898</v>
      </c>
      <c r="C14" s="502" t="s">
        <v>804</v>
      </c>
      <c r="D14" s="502" t="s">
        <v>237</v>
      </c>
      <c r="E14" s="502" t="s">
        <v>804</v>
      </c>
      <c r="F14" s="502" t="s">
        <v>236</v>
      </c>
      <c r="G14" s="502" t="s">
        <v>804</v>
      </c>
      <c r="H14" s="502" t="s">
        <v>236</v>
      </c>
      <c r="I14" s="502" t="s">
        <v>236</v>
      </c>
      <c r="J14" s="502" t="s">
        <v>804</v>
      </c>
      <c r="K14" s="502" t="s">
        <v>804</v>
      </c>
      <c r="L14" s="502" t="s">
        <v>236</v>
      </c>
      <c r="M14" s="502" t="s">
        <v>804</v>
      </c>
      <c r="N14" s="502" t="s">
        <v>804</v>
      </c>
      <c r="O14" s="502" t="s">
        <v>236</v>
      </c>
    </row>
    <row r="15" spans="1:15" x14ac:dyDescent="0.4">
      <c r="A15" s="502" t="s">
        <v>1246</v>
      </c>
      <c r="B15" s="502" t="s">
        <v>935</v>
      </c>
      <c r="C15" s="502" t="s">
        <v>804</v>
      </c>
      <c r="D15" s="502" t="s">
        <v>804</v>
      </c>
      <c r="E15" s="502" t="s">
        <v>804</v>
      </c>
      <c r="F15" s="502" t="s">
        <v>804</v>
      </c>
      <c r="G15" s="502" t="s">
        <v>804</v>
      </c>
      <c r="H15" s="502" t="s">
        <v>804</v>
      </c>
      <c r="I15" s="502" t="s">
        <v>804</v>
      </c>
      <c r="J15" s="502" t="s">
        <v>804</v>
      </c>
      <c r="K15" s="502" t="s">
        <v>804</v>
      </c>
      <c r="L15" s="502" t="s">
        <v>804</v>
      </c>
      <c r="M15" s="502" t="s">
        <v>804</v>
      </c>
      <c r="N15" s="502" t="s">
        <v>804</v>
      </c>
      <c r="O15" s="502" t="s">
        <v>804</v>
      </c>
    </row>
    <row r="16" spans="1:15" x14ac:dyDescent="0.4">
      <c r="A16" s="502" t="s">
        <v>1246</v>
      </c>
      <c r="B16" s="502" t="s">
        <v>936</v>
      </c>
      <c r="C16" s="502" t="s">
        <v>804</v>
      </c>
      <c r="D16" s="502" t="s">
        <v>804</v>
      </c>
      <c r="E16" s="502" t="s">
        <v>804</v>
      </c>
      <c r="F16" s="502" t="s">
        <v>804</v>
      </c>
      <c r="G16" s="502" t="s">
        <v>804</v>
      </c>
      <c r="H16" s="502" t="s">
        <v>804</v>
      </c>
      <c r="I16" s="502" t="s">
        <v>804</v>
      </c>
      <c r="J16" s="502" t="s">
        <v>804</v>
      </c>
      <c r="K16" s="502" t="s">
        <v>804</v>
      </c>
      <c r="L16" s="502" t="s">
        <v>804</v>
      </c>
      <c r="M16" s="502" t="s">
        <v>804</v>
      </c>
      <c r="N16" s="502" t="s">
        <v>804</v>
      </c>
      <c r="O16" s="502" t="s">
        <v>804</v>
      </c>
    </row>
    <row r="17" spans="1:15" x14ac:dyDescent="0.4">
      <c r="A17" s="502" t="s">
        <v>1246</v>
      </c>
      <c r="B17" s="502" t="s">
        <v>937</v>
      </c>
      <c r="C17" s="502" t="s">
        <v>804</v>
      </c>
      <c r="D17" s="502" t="s">
        <v>804</v>
      </c>
      <c r="E17" s="502" t="s">
        <v>804</v>
      </c>
      <c r="F17" s="502" t="s">
        <v>804</v>
      </c>
      <c r="G17" s="502" t="s">
        <v>804</v>
      </c>
      <c r="H17" s="502" t="s">
        <v>804</v>
      </c>
      <c r="I17" s="502" t="s">
        <v>804</v>
      </c>
      <c r="J17" s="502" t="s">
        <v>804</v>
      </c>
      <c r="K17" s="502" t="s">
        <v>804</v>
      </c>
      <c r="L17" s="502" t="s">
        <v>804</v>
      </c>
      <c r="M17" s="502" t="s">
        <v>804</v>
      </c>
      <c r="N17" s="502" t="s">
        <v>804</v>
      </c>
      <c r="O17" s="502" t="s">
        <v>804</v>
      </c>
    </row>
    <row r="18" spans="1:15" x14ac:dyDescent="0.4">
      <c r="A18" s="502" t="s">
        <v>1246</v>
      </c>
      <c r="B18" s="502" t="s">
        <v>938</v>
      </c>
      <c r="C18" s="502" t="s">
        <v>804</v>
      </c>
      <c r="D18" s="502" t="s">
        <v>804</v>
      </c>
      <c r="E18" s="502" t="s">
        <v>804</v>
      </c>
      <c r="F18" s="502" t="s">
        <v>804</v>
      </c>
      <c r="G18" s="502" t="s">
        <v>804</v>
      </c>
      <c r="H18" s="502" t="s">
        <v>804</v>
      </c>
      <c r="I18" s="502" t="s">
        <v>804</v>
      </c>
      <c r="J18" s="502" t="s">
        <v>804</v>
      </c>
      <c r="K18" s="502" t="s">
        <v>804</v>
      </c>
      <c r="L18" s="502" t="s">
        <v>804</v>
      </c>
      <c r="M18" s="502" t="s">
        <v>804</v>
      </c>
      <c r="N18" s="502" t="s">
        <v>804</v>
      </c>
      <c r="O18" s="502" t="s">
        <v>804</v>
      </c>
    </row>
    <row r="19" spans="1:15" x14ac:dyDescent="0.4">
      <c r="A19" s="502" t="s">
        <v>1246</v>
      </c>
      <c r="B19" s="502" t="s">
        <v>939</v>
      </c>
      <c r="C19" s="502" t="s">
        <v>804</v>
      </c>
      <c r="D19" s="502" t="s">
        <v>804</v>
      </c>
      <c r="E19" s="502" t="s">
        <v>804</v>
      </c>
      <c r="F19" s="502" t="s">
        <v>804</v>
      </c>
      <c r="G19" s="502" t="s">
        <v>804</v>
      </c>
      <c r="H19" s="502" t="s">
        <v>804</v>
      </c>
      <c r="I19" s="502" t="s">
        <v>804</v>
      </c>
      <c r="J19" s="502" t="s">
        <v>804</v>
      </c>
      <c r="K19" s="502" t="s">
        <v>804</v>
      </c>
      <c r="L19" s="502" t="s">
        <v>804</v>
      </c>
      <c r="M19" s="502" t="s">
        <v>804</v>
      </c>
      <c r="N19" s="502" t="s">
        <v>804</v>
      </c>
      <c r="O19" s="502" t="s">
        <v>804</v>
      </c>
    </row>
    <row r="20" spans="1:15" x14ac:dyDescent="0.4">
      <c r="A20" s="502" t="s">
        <v>1246</v>
      </c>
      <c r="B20" s="502" t="s">
        <v>940</v>
      </c>
      <c r="C20" s="502" t="s">
        <v>1716</v>
      </c>
      <c r="D20" s="502" t="s">
        <v>1717</v>
      </c>
      <c r="E20" s="502" t="s">
        <v>1718</v>
      </c>
      <c r="F20" s="502" t="s">
        <v>1719</v>
      </c>
      <c r="G20" s="502" t="s">
        <v>1720</v>
      </c>
      <c r="H20" s="502" t="s">
        <v>1721</v>
      </c>
      <c r="I20" s="502" t="s">
        <v>1722</v>
      </c>
      <c r="J20" s="502" t="s">
        <v>1723</v>
      </c>
      <c r="K20" s="502" t="s">
        <v>1724</v>
      </c>
      <c r="L20" s="502" t="s">
        <v>1725</v>
      </c>
      <c r="M20" s="502" t="s">
        <v>804</v>
      </c>
      <c r="N20" s="502" t="s">
        <v>804</v>
      </c>
      <c r="O20" s="502" t="s">
        <v>1726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9ec8f112c9c198199592d52221ac69a4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a1891ebaf50dfc74e384339ddf18d723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37239D-59F0-4EEF-ACF2-57D62CF26EBC}">
  <ds:schemaRefs>
    <ds:schemaRef ds:uri="http://schemas.microsoft.com/office/2006/metadata/properties"/>
    <ds:schemaRef ds:uri="http://schemas.microsoft.com/office/infopath/2007/PartnerControls"/>
    <ds:schemaRef ds:uri="fe44524b-bcf3-47c2-b7f6-4a5bfab68ce7"/>
    <ds:schemaRef ds:uri="5bb1daa6-2aaa-478b-9e26-ccd9af7e4865"/>
  </ds:schemaRefs>
</ds:datastoreItem>
</file>

<file path=customXml/itemProps2.xml><?xml version="1.0" encoding="utf-8"?>
<ds:datastoreItem xmlns:ds="http://schemas.openxmlformats.org/officeDocument/2006/customXml" ds:itemID="{F1413BDE-5B0A-4E90-8293-6406CD3235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44524b-bcf3-47c2-b7f6-4a5bfab68ce7"/>
    <ds:schemaRef ds:uri="5bb1daa6-2aaa-478b-9e26-ccd9af7e4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39957D-8F25-4C5A-A3A8-28652AEF88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具名範圍</vt:lpstr>
      </vt:variant>
      <vt:variant>
        <vt:i4>11</vt:i4>
      </vt:variant>
    </vt:vector>
  </HeadingPairs>
  <TitlesOfParts>
    <vt:vector size="30" baseType="lpstr">
      <vt:lpstr>當月份</vt:lpstr>
      <vt:lpstr>附件一(A庫存金額)</vt:lpstr>
      <vt:lpstr>附件二(期貨)</vt:lpstr>
      <vt:lpstr>當年月推移</vt:lpstr>
      <vt:lpstr>去年月推移_old</vt:lpstr>
      <vt:lpstr>去年月推移</vt:lpstr>
      <vt:lpstr>當年目標設定</vt:lpstr>
      <vt:lpstr>A類各進口別庫存金額目標</vt:lpstr>
      <vt:lpstr>日期</vt:lpstr>
      <vt:lpstr>庫存金額</vt:lpstr>
      <vt:lpstr>供應率ALL</vt:lpstr>
      <vt:lpstr>供應率</vt:lpstr>
      <vt:lpstr>點數BO</vt:lpstr>
      <vt:lpstr>庫存金額A類</vt:lpstr>
      <vt:lpstr>期貨金額</vt:lpstr>
      <vt:lpstr>月庫存金額</vt:lpstr>
      <vt:lpstr>月供應率ALL</vt:lpstr>
      <vt:lpstr>月供應率</vt:lpstr>
      <vt:lpstr>月點數BO</vt:lpstr>
      <vt:lpstr>日期</vt:lpstr>
      <vt:lpstr>月供應率</vt:lpstr>
      <vt:lpstr>月供應率ALL</vt:lpstr>
      <vt:lpstr>月庫存金額</vt:lpstr>
      <vt:lpstr>月點數BO</vt:lpstr>
      <vt:lpstr>供應率</vt:lpstr>
      <vt:lpstr>供應率ALL</vt:lpstr>
      <vt:lpstr>庫存金額</vt:lpstr>
      <vt:lpstr>庫存金額A類</vt:lpstr>
      <vt:lpstr>期貨金額</vt:lpstr>
      <vt:lpstr>點數BO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蔡晉毅</cp:lastModifiedBy>
  <cp:revision/>
  <dcterms:created xsi:type="dcterms:W3CDTF">2010-08-05T03:30:00Z</dcterms:created>
  <dcterms:modified xsi:type="dcterms:W3CDTF">2025-12-01T06:47:41Z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