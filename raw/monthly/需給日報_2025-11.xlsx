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2" documentId="13_ncr:1_{30BF410C-24C1-488C-A89A-D93491F82DFC}" xr6:coauthVersionLast="47" xr6:coauthVersionMax="47" xr10:uidLastSave="{26637343-CA89-4DAF-B051-A44389129A15}"/>
  <bookViews>
    <workbookView xWindow="28680" yWindow="-120" windowWidth="29040" windowHeight="15720" tabRatio="908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2" l="1"/>
  <c r="N6" i="22"/>
  <c r="N5" i="22"/>
  <c r="N4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P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P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P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P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P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P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P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P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P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P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P10" i="19"/>
  <c r="AC9" i="19"/>
  <c r="AB9" i="19"/>
  <c r="AA9" i="19"/>
  <c r="Z9" i="19"/>
  <c r="Y9" i="19"/>
  <c r="X9" i="19"/>
  <c r="W9" i="19"/>
  <c r="V9" i="19"/>
  <c r="U9" i="19"/>
  <c r="T9" i="19"/>
  <c r="S9" i="19"/>
  <c r="R9" i="19"/>
  <c r="P9" i="19"/>
  <c r="AC8" i="19"/>
  <c r="AB8" i="19"/>
  <c r="AA8" i="19"/>
  <c r="Z8" i="19"/>
  <c r="Y8" i="19"/>
  <c r="X8" i="19"/>
  <c r="W8" i="19"/>
  <c r="V8" i="19"/>
  <c r="U8" i="19"/>
  <c r="T8" i="19"/>
  <c r="S8" i="19"/>
  <c r="R8" i="19"/>
  <c r="P8" i="19"/>
  <c r="AC7" i="19"/>
  <c r="AB7" i="19"/>
  <c r="AA7" i="19"/>
  <c r="Z7" i="19"/>
  <c r="Y7" i="19"/>
  <c r="X7" i="19"/>
  <c r="W7" i="19"/>
  <c r="V7" i="19"/>
  <c r="U7" i="19"/>
  <c r="T7" i="19"/>
  <c r="S7" i="19"/>
  <c r="R7" i="19"/>
  <c r="P7" i="19"/>
  <c r="AC6" i="19"/>
  <c r="AB6" i="19"/>
  <c r="AA6" i="19"/>
  <c r="Z6" i="19"/>
  <c r="Y6" i="19"/>
  <c r="X6" i="19"/>
  <c r="W6" i="19"/>
  <c r="V6" i="19"/>
  <c r="U6" i="19"/>
  <c r="T6" i="19"/>
  <c r="S6" i="19"/>
  <c r="R6" i="19"/>
  <c r="P6" i="19"/>
  <c r="AC5" i="19"/>
  <c r="AB5" i="19"/>
  <c r="AA5" i="19"/>
  <c r="Z5" i="19"/>
  <c r="Y5" i="19"/>
  <c r="X5" i="19"/>
  <c r="W5" i="19"/>
  <c r="V5" i="19"/>
  <c r="U5" i="19"/>
  <c r="T5" i="19"/>
  <c r="S5" i="19"/>
  <c r="R5" i="19"/>
  <c r="P5" i="19"/>
  <c r="P4" i="19"/>
  <c r="O4" i="19"/>
  <c r="N4" i="19"/>
  <c r="M4" i="19"/>
  <c r="L4" i="19"/>
  <c r="K4" i="19"/>
  <c r="J4" i="19"/>
  <c r="J3" i="19" s="1"/>
  <c r="I4" i="19"/>
  <c r="I3" i="19" s="1"/>
  <c r="H4" i="19"/>
  <c r="G4" i="19"/>
  <c r="F4" i="19"/>
  <c r="E4" i="19"/>
  <c r="D4" i="19"/>
  <c r="O3" i="19"/>
  <c r="N3" i="19"/>
  <c r="M3" i="19"/>
  <c r="L3" i="19"/>
  <c r="K3" i="19"/>
  <c r="H3" i="19"/>
  <c r="G3" i="19"/>
  <c r="F3" i="19"/>
  <c r="E3" i="19"/>
  <c r="D3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67" i="20"/>
  <c r="P66" i="20"/>
  <c r="P65" i="20"/>
  <c r="P64" i="20"/>
  <c r="P63" i="20"/>
  <c r="P62" i="20"/>
  <c r="P61" i="20"/>
  <c r="P60" i="20"/>
  <c r="P59" i="20"/>
  <c r="P58" i="20" s="1"/>
  <c r="P57" i="20"/>
  <c r="P56" i="20"/>
  <c r="P55" i="20"/>
  <c r="P54" i="20"/>
  <c r="P53" i="20"/>
  <c r="P52" i="20"/>
  <c r="P51" i="20"/>
  <c r="P49" i="20"/>
  <c r="P48" i="20"/>
  <c r="P47" i="20"/>
  <c r="P46" i="20"/>
  <c r="P44" i="20"/>
  <c r="P43" i="20"/>
  <c r="P42" i="20"/>
  <c r="P41" i="20"/>
  <c r="P40" i="20"/>
  <c r="P39" i="20"/>
  <c r="P38" i="20"/>
  <c r="P33" i="20"/>
  <c r="P32" i="20"/>
  <c r="P31" i="20"/>
  <c r="P30" i="20"/>
  <c r="P29" i="20"/>
  <c r="P28" i="20"/>
  <c r="P27" i="20"/>
  <c r="P26" i="20"/>
  <c r="P25" i="20"/>
  <c r="P23" i="20"/>
  <c r="P22" i="20"/>
  <c r="P21" i="20"/>
  <c r="P20" i="20"/>
  <c r="P19" i="20"/>
  <c r="P18" i="20"/>
  <c r="P17" i="20"/>
  <c r="P16" i="20" s="1"/>
  <c r="P15" i="20"/>
  <c r="P14" i="20"/>
  <c r="P13" i="20"/>
  <c r="P12" i="20"/>
  <c r="P11" i="20"/>
  <c r="P10" i="20"/>
  <c r="P9" i="20"/>
  <c r="P8" i="20"/>
  <c r="P7" i="20"/>
  <c r="P6" i="20"/>
  <c r="P5" i="20"/>
  <c r="P4" i="20"/>
  <c r="P24" i="20" l="1"/>
  <c r="P3" i="20" s="1"/>
  <c r="P45" i="20"/>
  <c r="P50" i="20"/>
  <c r="P11" i="19"/>
  <c r="P16" i="19"/>
  <c r="P24" i="19"/>
  <c r="P37" i="20"/>
  <c r="P3" i="19" l="1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F6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<sst xmlns="http://schemas.openxmlformats.org/spreadsheetml/2006/main" count="7071" uniqueCount="1663">
  <si>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</si>
  <si>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</si>
  <si>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</si>
  <si>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</si>
  <si>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</si>
  <si>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</si>
  <si>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</si>
  <si>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</si>
  <si>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</si>
  <si>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</si>
  <si>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</si>
  <si>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</si>
  <si>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</si>
  <si>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</si>
  <si>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</si>
  <si>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</si>
  <si>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</si>
  <si>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</si>
  <si>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</si>
  <si>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</si>
  <si>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</si>
  <si>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</si>
  <si>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</si>
  <si>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</si>
  <si>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</si>
  <si>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</si>
  <si>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</si>
  <si>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</si>
  <si>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</si>
  <si>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</si>
  <si>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</si>
  <si>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</si>
  <si>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</si>
  <si>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</si>
  <si>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</si>
  <si>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</si>
  <si>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</si>
  <si>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</si>
  <si>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</si>
  <si>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</si>
  <si>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</si>
  <si>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</si>
  <si>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</si>
  <si>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</si>
  <si>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</si>
  <si>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</si>
  <si>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</si>
  <si>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</si>
  <si>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</si>
  <si>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</si>
  <si>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</si>
  <si>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</si>
  <si>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</si>
  <si>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</si>
  <si>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</si>
  <si>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</si>
  <si>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</si>
  <si>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</si>
  <si>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</si>
  <si>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</si>
  <si>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</si>
  <si>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</si>
  <si>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</si>
  <si>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</si>
  <si>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</si>
  <si>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</si>
  <si>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</si>
  <si>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</si>
  <si>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</si>
  <si>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</si>
  <si>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</si>
  <si>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</si>
  <si>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</si>
  <si>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</si>
  <si>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</si>
  <si>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</si>
  <si>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</si>
  <si>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</si>
  <si>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</si>
  <si>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</si>
  <si>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</si>
  <si>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</si>
  <si>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</si>
  <si>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</si>
  <si>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</si>
  <si>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</si>
  <si>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</si>
  <si>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</si>
  <si>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</si>
  <si>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</si>
  <si>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</si>
  <si>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</si>
  <si>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</si>
  <si>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</si>
  <si>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</si>
  <si>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</si>
  <si>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</si>
  <si>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</si>
  <si>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</si>
  <si>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</si>
  <si>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</si>
  <si>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</si>
  <si>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</si>
  <si>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</si>
  <si>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</si>
  <si>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</si>
  <si>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</si>
  <si>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</si>
  <si>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</si>
  <si>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</si>
  <si>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</si>
  <si>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</si>
  <si>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</si>
  <si>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</si>
  <si>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</si>
  <si>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</si>
  <si>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</si>
  <si>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</si>
  <si>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</si>
  <si>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</si>
  <si>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</si>
  <si>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</si>
  <si>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</si>
  <si>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</si>
  <si>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</si>
  <si>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</si>
  <si>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</si>
  <si>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</si>
  <si>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</si>
  <si>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</si>
  <si>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</si>
  <si>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</si>
  <si>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</si>
  <si>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</si>
  <si>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</si>
  <si>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</si>
  <si>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</si>
  <si>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</si>
  <si>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</si>
  <si>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</si>
  <si>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</si>
  <si>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</si>
  <si>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</si>
  <si>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</si>
  <si>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</si>
  <si>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</si>
  <si>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</si>
  <si>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</si>
  <si>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</si>
  <si>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</si>
  <si>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</si>
  <si>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</si>
  <si>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</si>
  <si>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</si>
  <si>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</si>
  <si>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</si>
  <si>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</si>
  <si>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</si>
  <si>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</si>
  <si>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</si>
  <si>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</si>
  <si>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</si>
  <si>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</si>
  <si>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</si>
  <si>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</si>
  <si>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</si>
  <si>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</si>
  <si>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</si>
  <si>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</si>
  <si>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</si>
  <si>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</si>
  <si>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</si>
  <si>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</si>
  <si>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</si>
  <si>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</si>
  <si>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</si>
  <si>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</si>
  <si>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</si>
  <si>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</si>
  <si>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</si>
  <si>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</si>
  <si>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</si>
  <si>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</si>
  <si>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</si>
  <si>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</si>
  <si>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</si>
  <si>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</si>
  <si>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</si>
  <si>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</si>
  <si>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</si>
  <si>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</si>
  <si>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</si>
  <si>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</si>
  <si>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</si>
  <si>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</si>
  <si>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</si>
  <si>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</si>
  <si>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</si>
  <si>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</si>
  <si>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</si>
  <si>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</si>
  <si>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</si>
  <si>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</si>
  <si>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</si>
  <si>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</si>
  <si>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</si>
  <si>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</si>
  <si>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</si>
  <si>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</si>
  <si>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</si>
  <si>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</si>
  <si>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</si>
  <si>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</si>
  <si>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</si>
  <si>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</si>
  <si>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</si>
  <si>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</si>
  <si>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</si>
  <si>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</si>
  <si>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</si>
  <si>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</si>
  <si>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</si>
  <si>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</si>
  <si>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</si>
  <si>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</si>
  <si>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</si>
  <si>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</si>
  <si>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</si>
  <si>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</si>
  <si>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</si>
  <si>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</si>
  <si>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</si>
  <si>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</si>
  <si>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</si>
  <si>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</si>
  <si>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</si>
  <si>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</si>
  <si>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</si>
  <si>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</si>
  <si>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</si>
  <si>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</si>
  <si>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</si>
  <si>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</si>
  <si>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</si>
  <si>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</si>
  <si>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</si>
  <si>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</si>
  <si>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</si>
  <si>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</si>
  <si>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</si>
  <si>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</si>
  <si>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</si>
  <si>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</si>
  <si>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</si>
  <si>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</si>
  <si>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</si>
  <si>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</si>
  <si>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</si>
  <si>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</si>
  <si>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</si>
  <si>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</si>
  <si>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</si>
  <si>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</si>
  <si>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</si>
  <si>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</si>
  <si>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</si>
  <si>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</si>
  <si>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</si>
  <si>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</si>
  <si>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</si>
  <si>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</si>
  <si>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</si>
  <si>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</si>
  <si>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</si>
  <si>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</si>
  <si>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</si>
  <si>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</si>
  <si>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</si>
  <si>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</si>
  <si>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</si>
  <si>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</si>
  <si>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</si>
  <si>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</si>
  <si>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</si>
  <si>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</si>
  <si>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</si>
  <si>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</si>
  <si>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</si>
  <si>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</si>
  <si>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</si>
  <si>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</si>
  <si>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</si>
  <si>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</si>
  <si>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</si>
  <si>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</si>
  <si>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</si>
  <si>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</si>
  <si>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</si>
  <si>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</si>
  <si>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</si>
  <si>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</si>
  <si>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</si>
  <si>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</si>
  <si>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</si>
  <si>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</si>
  <si>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</si>
  <si>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</si>
  <si>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</si>
  <si>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</si>
  <si>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</si>
  <si>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</si>
  <si>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</si>
  <si>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</si>
  <si>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</si>
  <si>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</si>
  <si>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</si>
  <si>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</si>
  <si>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</si>
  <si>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</si>
  <si>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</si>
  <si>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</si>
  <si>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</si>
  <si>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</si>
  <si>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</si>
  <si>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</si>
  <si>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</si>
  <si>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</si>
  <si>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</si>
  <si>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202510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</si>
  <si>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</si>
  <si>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</si>
  <si>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</si>
  <si>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</si>
  <si>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</si>
  <si>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</si>
  <si>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</si>
  <si>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</si>
  <si>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</si>
  <si>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</si>
  <si>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</si>
  <si>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</si>
  <si>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</si>
  <si>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</si>
  <si>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</si>
  <si>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</si>
  <si>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</si>
  <si>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</si>
  <si>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</si>
  <si>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</si>
  <si>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</si>
  <si>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</si>
  <si>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</si>
  <si>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</si>
  <si>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</si>
  <si>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</si>
  <si>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</si>
  <si>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</si>
  <si>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</si>
  <si>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</si>
  <si>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</si>
  <si>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</t>
  </si>
  <si>
    <t>FRCD</t>
  </si>
  <si>
    <t>DIFFAMT</t>
  </si>
  <si>
    <t>AVGAMT</t>
  </si>
  <si>
    <t>01-A</t>
  </si>
  <si>
    <t>275098840.00</t>
  </si>
  <si>
    <t>274927908.00</t>
  </si>
  <si>
    <t>275689784.00</t>
  </si>
  <si>
    <t>272158519.00</t>
  </si>
  <si>
    <t>272129588.00</t>
  </si>
  <si>
    <t>272037197.00</t>
  </si>
  <si>
    <t>271666661.00</t>
  </si>
  <si>
    <t>273140252.00</t>
  </si>
  <si>
    <t>275256956.00</t>
  </si>
  <si>
    <t>275264692.00</t>
  </si>
  <si>
    <t>267093671.00</t>
  </si>
  <si>
    <t>267087097.00</t>
  </si>
  <si>
    <t>269520650.00</t>
  </si>
  <si>
    <t>268565650.00</t>
  </si>
  <si>
    <t>268723960.00</t>
  </si>
  <si>
    <t>269941559.00</t>
  </si>
  <si>
    <t>270161274.00</t>
  </si>
  <si>
    <t>264457047.00</t>
  </si>
  <si>
    <t>264451424.00</t>
  </si>
  <si>
    <t>263914078.00</t>
  </si>
  <si>
    <t>264653943.00</t>
  </si>
  <si>
    <t>263808938.00</t>
  </si>
  <si>
    <t>266464135.00</t>
  </si>
  <si>
    <t>266464167.00</t>
  </si>
  <si>
    <t>266468136.00</t>
  </si>
  <si>
    <t>264406152.00</t>
  </si>
  <si>
    <t>265315470.00</t>
  </si>
  <si>
    <t>264736820.00</t>
  </si>
  <si>
    <t>266753471.00</t>
  </si>
  <si>
    <t>268981078.00</t>
  </si>
  <si>
    <t>266180110.00</t>
  </si>
  <si>
    <t>-2800968.00</t>
  </si>
  <si>
    <t>268887717.00</t>
  </si>
  <si>
    <t>02-D</t>
  </si>
  <si>
    <t>189086926.00</t>
  </si>
  <si>
    <t>191454544.00</t>
  </si>
  <si>
    <t>192781660.00</t>
  </si>
  <si>
    <t>191192576.00</t>
  </si>
  <si>
    <t>191770102.00</t>
  </si>
  <si>
    <t>193435090.00</t>
  </si>
  <si>
    <t>194508696.00</t>
  </si>
  <si>
    <t>194675328.00</t>
  </si>
  <si>
    <t>192733072.00</t>
  </si>
  <si>
    <t>190725449.00</t>
  </si>
  <si>
    <t>190869108.00</t>
  </si>
  <si>
    <t>188934811.00</t>
  </si>
  <si>
    <t>188665992.00</t>
  </si>
  <si>
    <t>186984208.00</t>
  </si>
  <si>
    <t>185119086.00</t>
  </si>
  <si>
    <t>182695188.00</t>
  </si>
  <si>
    <t>185000497.00</t>
  </si>
  <si>
    <t>185681367.00</t>
  </si>
  <si>
    <t>185725484.00</t>
  </si>
  <si>
    <t>185198819.00</t>
  </si>
  <si>
    <t>182635341.00</t>
  </si>
  <si>
    <t>182930794.00</t>
  </si>
  <si>
    <t>184378107.00</t>
  </si>
  <si>
    <t>186305409.00</t>
  </si>
  <si>
    <t>182120835.00</t>
  </si>
  <si>
    <t>-4184574.00</t>
  </si>
  <si>
    <t>188299895.71</t>
  </si>
  <si>
    <t>03-J</t>
  </si>
  <si>
    <t>5223447.00</t>
  </si>
  <si>
    <t>5381509.00</t>
  </si>
  <si>
    <t>5478870.00</t>
  </si>
  <si>
    <t>4191399.00</t>
  </si>
  <si>
    <t>5119958.00</t>
  </si>
  <si>
    <t>5806905.00</t>
  </si>
  <si>
    <t>7108564.00</t>
  </si>
  <si>
    <t>5029849.00</t>
  </si>
  <si>
    <t>4295035.00</t>
  </si>
  <si>
    <t>4175789.00</t>
  </si>
  <si>
    <t>4920180.00</t>
  </si>
  <si>
    <t>4001349.00</t>
  </si>
  <si>
    <t>5757715.00</t>
  </si>
  <si>
    <t>3648128.00</t>
  </si>
  <si>
    <t>3057865.00</t>
  </si>
  <si>
    <t>4161888.00</t>
  </si>
  <si>
    <t>4110123.00</t>
  </si>
  <si>
    <t>5142754.00</t>
  </si>
  <si>
    <t>3545960.00</t>
  </si>
  <si>
    <t>4859002.00</t>
  </si>
  <si>
    <t>5228953.00</t>
  </si>
  <si>
    <t>5062228.00</t>
  </si>
  <si>
    <t>7374198.00</t>
  </si>
  <si>
    <t>2311970.00</t>
  </si>
  <si>
    <t>4912234.48</t>
  </si>
  <si>
    <t>04-O</t>
  </si>
  <si>
    <t>5212761.00</t>
  </si>
  <si>
    <t>5091833.00</t>
  </si>
  <si>
    <t>5345264.00</t>
  </si>
  <si>
    <t>5300758.00</t>
  </si>
  <si>
    <t>5263116.00</t>
  </si>
  <si>
    <t>5144371.00</t>
  </si>
  <si>
    <t>5203718.00</t>
  </si>
  <si>
    <t>5088454.00</t>
  </si>
  <si>
    <t>4973957.00</t>
  </si>
  <si>
    <t>4909372.00</t>
  </si>
  <si>
    <t>4797639.00</t>
  </si>
  <si>
    <t>4702986.00</t>
  </si>
  <si>
    <t>4735294.00</t>
  </si>
  <si>
    <t>4681243.00</t>
  </si>
  <si>
    <t>4620467.00</t>
  </si>
  <si>
    <t>4774465.00</t>
  </si>
  <si>
    <t>4674681.00</t>
  </si>
  <si>
    <t>4691534.00</t>
  </si>
  <si>
    <t>4691533.00</t>
  </si>
  <si>
    <t>4672835.00</t>
  </si>
  <si>
    <t>4929221.00</t>
  </si>
  <si>
    <t>4888437.00</t>
  </si>
  <si>
    <t>5011602.00</t>
  </si>
  <si>
    <t>4934030.00</t>
  </si>
  <si>
    <t>4865624.00</t>
  </si>
  <si>
    <t>-68406.00</t>
  </si>
  <si>
    <t>4950698.68</t>
  </si>
  <si>
    <t>05-N</t>
  </si>
  <si>
    <t>21489784.00</t>
  </si>
  <si>
    <t>22821681.00</t>
  </si>
  <si>
    <t>21573725.00</t>
  </si>
  <si>
    <t>20004989.00</t>
  </si>
  <si>
    <t>20003864.00</t>
  </si>
  <si>
    <t>21494529.00</t>
  </si>
  <si>
    <t>20451532.00</t>
  </si>
  <si>
    <t>23505048.00</t>
  </si>
  <si>
    <t>20230270.00</t>
  </si>
  <si>
    <t>20025633.00</t>
  </si>
  <si>
    <t>20038796.00</t>
  </si>
  <si>
    <t>19784993.00</t>
  </si>
  <si>
    <t>19322633.00</t>
  </si>
  <si>
    <t>20615942.00</t>
  </si>
  <si>
    <t>18224810.00</t>
  </si>
  <si>
    <t>18010103.00</t>
  </si>
  <si>
    <t>18519832.00</t>
  </si>
  <si>
    <t>18749998.00</t>
  </si>
  <si>
    <t>19604907.00</t>
  </si>
  <si>
    <t>19606342.00</t>
  </si>
  <si>
    <t>19606820.00</t>
  </si>
  <si>
    <t>19497664.00</t>
  </si>
  <si>
    <t>16545568.00</t>
  </si>
  <si>
    <t>16214038.00</t>
  </si>
  <si>
    <t>16618312.00</t>
  </si>
  <si>
    <t>18785396.00</t>
  </si>
  <si>
    <t>19581890.00</t>
  </si>
  <si>
    <t>796494.00</t>
  </si>
  <si>
    <t>19770781.16</t>
  </si>
  <si>
    <t>06-C</t>
  </si>
  <si>
    <t>.00</t>
  </si>
  <si>
    <t>07-H</t>
  </si>
  <si>
    <t>16021865.00</t>
  </si>
  <si>
    <t>13999450.00</t>
  </si>
  <si>
    <t>14496048.00</t>
  </si>
  <si>
    <t>11729319.00</t>
  </si>
  <si>
    <t>11726748.00</t>
  </si>
  <si>
    <t>11722835.00</t>
  </si>
  <si>
    <t>11903684.00</t>
  </si>
  <si>
    <t>13156867.00</t>
  </si>
  <si>
    <t>14458900.00</t>
  </si>
  <si>
    <t>9543373.00</t>
  </si>
  <si>
    <t>9660897.00</t>
  </si>
  <si>
    <t>11141235.00</t>
  </si>
  <si>
    <t>10411568.00</t>
  </si>
  <si>
    <t>10469238.00</t>
  </si>
  <si>
    <t>11024543.00</t>
  </si>
  <si>
    <t>7933312.00</t>
  </si>
  <si>
    <t>6584215.00</t>
  </si>
  <si>
    <t>9482710.00</t>
  </si>
  <si>
    <t>10017861.00</t>
  </si>
  <si>
    <t>10985972.00</t>
  </si>
  <si>
    <t>10880658.00</t>
  </si>
  <si>
    <t>10968643.00</t>
  </si>
  <si>
    <t>10809094.00</t>
  </si>
  <si>
    <t>14225069.00</t>
  </si>
  <si>
    <t>15017446.00</t>
  </si>
  <si>
    <t>16691842.00</t>
  </si>
  <si>
    <t>1674396.00</t>
  </si>
  <si>
    <t>11579707.13</t>
  </si>
  <si>
    <t>08-E</t>
  </si>
  <si>
    <t>09-F</t>
  </si>
  <si>
    <t>2275724.00</t>
  </si>
  <si>
    <t>2161274.00</t>
  </si>
  <si>
    <t>1976439.00</t>
  </si>
  <si>
    <t>1931894.00</t>
  </si>
  <si>
    <t>1802204.00</t>
  </si>
  <si>
    <t>1733724.00</t>
  </si>
  <si>
    <t>1643564.00</t>
  </si>
  <si>
    <t>1558384.00</t>
  </si>
  <si>
    <t>1458979.00</t>
  </si>
  <si>
    <t>1333804.00</t>
  </si>
  <si>
    <t>1848619.00</t>
  </si>
  <si>
    <t>2164079.00</t>
  </si>
  <si>
    <t>2065744.00</t>
  </si>
  <si>
    <t>1998439.00</t>
  </si>
  <si>
    <t>1869944.00</t>
  </si>
  <si>
    <t>1835074.00</t>
  </si>
  <si>
    <t>2124564.00</t>
  </si>
  <si>
    <t>2071549.00</t>
  </si>
  <si>
    <t>2009599.00</t>
  </si>
  <si>
    <t>2091734.00</t>
  </si>
  <si>
    <t>2071714.00</t>
  </si>
  <si>
    <t>2031394.00</t>
  </si>
  <si>
    <t>2464904.00</t>
  </si>
  <si>
    <t>2388094.00</t>
  </si>
  <si>
    <t>-76810.00</t>
  </si>
  <si>
    <t>1939313.35</t>
  </si>
  <si>
    <t>10-P</t>
  </si>
  <si>
    <t>106839.00</t>
  </si>
  <si>
    <t>11-G</t>
  </si>
  <si>
    <t>12-M</t>
  </si>
  <si>
    <t>840807.00</t>
  </si>
  <si>
    <t>928061.00</t>
  </si>
  <si>
    <t>1077309.00</t>
  </si>
  <si>
    <t>1004258.00</t>
  </si>
  <si>
    <t>1092124.00</t>
  </si>
  <si>
    <t>1211525.00</t>
  </si>
  <si>
    <t>1670143.00</t>
  </si>
  <si>
    <t>1296142.00</t>
  </si>
  <si>
    <t>1381353.00</t>
  </si>
  <si>
    <t>1425748.00</t>
  </si>
  <si>
    <t>1285465.00</t>
  </si>
  <si>
    <t>1411561.00</t>
  </si>
  <si>
    <t>2041271.00</t>
  </si>
  <si>
    <t>1663682.00</t>
  </si>
  <si>
    <t>1270154.00</t>
  </si>
  <si>
    <t>1542226.00</t>
  </si>
  <si>
    <t>1370796.00</t>
  </si>
  <si>
    <t>1881636.00</t>
  </si>
  <si>
    <t>1737883.00</t>
  </si>
  <si>
    <t>1686747.00</t>
  </si>
  <si>
    <t>1312700.00</t>
  </si>
  <si>
    <t>1433400.00</t>
  </si>
  <si>
    <t>1564580.00</t>
  </si>
  <si>
    <t>1846323.00</t>
  </si>
  <si>
    <t>281743.00</t>
  </si>
  <si>
    <t>1431537.06</t>
  </si>
  <si>
    <t>13-U</t>
  </si>
  <si>
    <t>155048.00</t>
  </si>
  <si>
    <t>153428.00</t>
  </si>
  <si>
    <t>152348.00</t>
  </si>
  <si>
    <t>151808.00</t>
  </si>
  <si>
    <t>145858.00</t>
  </si>
  <si>
    <t>135198.00</t>
  </si>
  <si>
    <t>127008.00</t>
  </si>
  <si>
    <t>125928.00</t>
  </si>
  <si>
    <t>124848.00</t>
  </si>
  <si>
    <t>122688.00</t>
  </si>
  <si>
    <t>121838.00</t>
  </si>
  <si>
    <t>121298.00</t>
  </si>
  <si>
    <t>120238.00</t>
  </si>
  <si>
    <t>166488.00</t>
  </si>
  <si>
    <t>151448.00</t>
  </si>
  <si>
    <t>148208.00</t>
  </si>
  <si>
    <t>144968.00</t>
  </si>
  <si>
    <t>144428.00</t>
  </si>
  <si>
    <t>139948.00</t>
  </si>
  <si>
    <t>138686.71</t>
  </si>
  <si>
    <t>14-L</t>
  </si>
  <si>
    <t>134031.00</t>
  </si>
  <si>
    <t>122348.00</t>
  </si>
  <si>
    <t>118453.00</t>
  </si>
  <si>
    <t>114559.00</t>
  </si>
  <si>
    <t>111300.00</t>
  </si>
  <si>
    <t>107378.00</t>
  </si>
  <si>
    <t>135023.00</t>
  </si>
  <si>
    <t>131101.00</t>
  </si>
  <si>
    <t>127178.00</t>
  </si>
  <si>
    <t>123256.00</t>
  </si>
  <si>
    <t>119333.00</t>
  </si>
  <si>
    <t>115410.00</t>
  </si>
  <si>
    <t>111323.00</t>
  </si>
  <si>
    <t>-4087.00</t>
  </si>
  <si>
    <t>117926.58</t>
  </si>
  <si>
    <t>18-T</t>
  </si>
  <si>
    <t>12364767.00</t>
  </si>
  <si>
    <t>10489151.00</t>
  </si>
  <si>
    <t>8373007.00</t>
  </si>
  <si>
    <t>7739436.00</t>
  </si>
  <si>
    <t>7228976.00</t>
  </si>
  <si>
    <t>8085625.00</t>
  </si>
  <si>
    <t>7961379.00</t>
  </si>
  <si>
    <t>6989464.00</t>
  </si>
  <si>
    <t>6124108.00</t>
  </si>
  <si>
    <t>6029801.00</t>
  </si>
  <si>
    <t>6057609.00</t>
  </si>
  <si>
    <t>5741516.00</t>
  </si>
  <si>
    <t>5722896.00</t>
  </si>
  <si>
    <t>4989230.00</t>
  </si>
  <si>
    <t>5893237.00</t>
  </si>
  <si>
    <t>5969687.00</t>
  </si>
  <si>
    <t>6296414.00</t>
  </si>
  <si>
    <t>5830416.00</t>
  </si>
  <si>
    <t>5841508.00</t>
  </si>
  <si>
    <t>5772204.00</t>
  </si>
  <si>
    <t>6089578.00</t>
  </si>
  <si>
    <t>7853581.00</t>
  </si>
  <si>
    <t>8074719.00</t>
  </si>
  <si>
    <t>9744040.00</t>
  </si>
  <si>
    <t>9423868.00</t>
  </si>
  <si>
    <t>-320172.00</t>
  </si>
  <si>
    <t>7159212.19</t>
  </si>
  <si>
    <t>19-V</t>
  </si>
  <si>
    <t>11041895.00</t>
  </si>
  <si>
    <t>12299475.00</t>
  </si>
  <si>
    <t>12102402.00</t>
  </si>
  <si>
    <t>11592932.00</t>
  </si>
  <si>
    <t>12805211.00</t>
  </si>
  <si>
    <t>11976537.00</t>
  </si>
  <si>
    <t>13812598.00</t>
  </si>
  <si>
    <t>12638992.00</t>
  </si>
  <si>
    <t>12358607.00</t>
  </si>
  <si>
    <t>11813531.00</t>
  </si>
  <si>
    <t>11581737.00</t>
  </si>
  <si>
    <t>11669511.00</t>
  </si>
  <si>
    <t>12155444.00</t>
  </si>
  <si>
    <t>11187769.00</t>
  </si>
  <si>
    <t>11171240.00</t>
  </si>
  <si>
    <t>11031949.00</t>
  </si>
  <si>
    <t>10473549.00</t>
  </si>
  <si>
    <t>10441014.00</t>
  </si>
  <si>
    <t>10412818.00</t>
  </si>
  <si>
    <t>10260414.00</t>
  </si>
  <si>
    <t>9965048.00</t>
  </si>
  <si>
    <t>9656774.00</t>
  </si>
  <si>
    <t>9955493.00</t>
  </si>
  <si>
    <t>10476266.00</t>
  </si>
  <si>
    <t>520773.00</t>
  </si>
  <si>
    <t>11438337.32</t>
  </si>
  <si>
    <t>20-S</t>
  </si>
  <si>
    <t>11247965.00</t>
  </si>
  <si>
    <t>11128896.00</t>
  </si>
  <si>
    <t>11064762.00</t>
  </si>
  <si>
    <t>11049991.00</t>
  </si>
  <si>
    <t>10988175.00</t>
  </si>
  <si>
    <t>10940689.00</t>
  </si>
  <si>
    <t>10848303.00</t>
  </si>
  <si>
    <t>10810842.00</t>
  </si>
  <si>
    <t>10741731.00</t>
  </si>
  <si>
    <t>10673595.00</t>
  </si>
  <si>
    <t>10593629.00</t>
  </si>
  <si>
    <t>10517443.00</t>
  </si>
  <si>
    <t>10447928.00</t>
  </si>
  <si>
    <t>10410982.00</t>
  </si>
  <si>
    <t>10356036.00</t>
  </si>
  <si>
    <t>10276409.00</t>
  </si>
  <si>
    <t>10199444.00</t>
  </si>
  <si>
    <t>10192217.00</t>
  </si>
  <si>
    <t>10191179.00</t>
  </si>
  <si>
    <t>10109279.00</t>
  </si>
  <si>
    <t>10094535.00</t>
  </si>
  <si>
    <t>9978715.00</t>
  </si>
  <si>
    <t>9888962.00</t>
  </si>
  <si>
    <t>9771866.00</t>
  </si>
  <si>
    <t>-117096.00</t>
  </si>
  <si>
    <t>10550906.97</t>
  </si>
  <si>
    <t>21-Q</t>
  </si>
  <si>
    <t>162800.00</t>
  </si>
  <si>
    <t>22-2</t>
  </si>
  <si>
    <t>14160.00</t>
  </si>
  <si>
    <t>23-3</t>
  </si>
  <si>
    <t>91152.00</t>
  </si>
  <si>
    <t>110244.00</t>
  </si>
  <si>
    <t>67464.00</t>
  </si>
  <si>
    <t>90864.00</t>
  </si>
  <si>
    <t>84070.84</t>
  </si>
  <si>
    <t>24-4</t>
  </si>
  <si>
    <t>25-5</t>
  </si>
  <si>
    <t>26-6</t>
  </si>
  <si>
    <t>8157121.00</t>
  </si>
  <si>
    <t>8183281.00</t>
  </si>
  <si>
    <t>8816615.00</t>
  </si>
  <si>
    <t>7779633.00</t>
  </si>
  <si>
    <t>7779378.00</t>
  </si>
  <si>
    <t>7775854.00</t>
  </si>
  <si>
    <t>10437429.00</t>
  </si>
  <si>
    <t>9507169.00</t>
  </si>
  <si>
    <t>10437512.00</t>
  </si>
  <si>
    <t>8046692.00</t>
  </si>
  <si>
    <t>8366366.00</t>
  </si>
  <si>
    <t>10538266.00</t>
  </si>
  <si>
    <t>10481099.00</t>
  </si>
  <si>
    <t>9041743.00</t>
  </si>
  <si>
    <t>9804060.00</t>
  </si>
  <si>
    <t>8095845.00</t>
  </si>
  <si>
    <t>6179408.00</t>
  </si>
  <si>
    <t>8249836.00</t>
  </si>
  <si>
    <t>6565912.00</t>
  </si>
  <si>
    <t>6919520.00</t>
  </si>
  <si>
    <t>6861995.00</t>
  </si>
  <si>
    <t>5951092.00</t>
  </si>
  <si>
    <t>7705003.00</t>
  </si>
  <si>
    <t>7349495.00</t>
  </si>
  <si>
    <t>7390380.00</t>
  </si>
  <si>
    <t>8090256.00</t>
  </si>
  <si>
    <t>699876.00</t>
  </si>
  <si>
    <t>8223549.97</t>
  </si>
  <si>
    <t>27-7</t>
  </si>
  <si>
    <t>6553619.00</t>
  </si>
  <si>
    <t>6487819.00</t>
  </si>
  <si>
    <t>6640705.00</t>
  </si>
  <si>
    <t>6543905.00</t>
  </si>
  <si>
    <t>6178016.00</t>
  </si>
  <si>
    <t>6096913.00</t>
  </si>
  <si>
    <t>6006243.00</t>
  </si>
  <si>
    <t>5879443.00</t>
  </si>
  <si>
    <t>6695943.00</t>
  </si>
  <si>
    <t>6436996.00</t>
  </si>
  <si>
    <t>6357396.00</t>
  </si>
  <si>
    <t>6240356.00</t>
  </si>
  <si>
    <t>6469620.00</t>
  </si>
  <si>
    <t>6395620.00</t>
  </si>
  <si>
    <t>6306020.00</t>
  </si>
  <si>
    <t>5916480.00</t>
  </si>
  <si>
    <t>5905520.00</t>
  </si>
  <si>
    <t>6017392.00</t>
  </si>
  <si>
    <t>6693712.00</t>
  </si>
  <si>
    <t>6186807.00</t>
  </si>
  <si>
    <t>6117307.00</t>
  </si>
  <si>
    <t>6020907.00</t>
  </si>
  <si>
    <t>6066507.00</t>
  </si>
  <si>
    <t>45600.00</t>
  </si>
  <si>
    <t>6246275.42</t>
  </si>
  <si>
    <t>AVGSR</t>
  </si>
  <si>
    <t>97.9</t>
  </si>
  <si>
    <t>97.8</t>
  </si>
  <si>
    <t>98</t>
  </si>
  <si>
    <t>0</t>
  </si>
  <si>
    <t>97.7</t>
  </si>
  <si>
    <t>97.6</t>
  </si>
  <si>
    <t>98.2</t>
  </si>
  <si>
    <t>97.5</t>
  </si>
  <si>
    <t>95.7</t>
  </si>
  <si>
    <t>98.3</t>
  </si>
  <si>
    <t>100</t>
  </si>
  <si>
    <t>98.1</t>
  </si>
  <si>
    <t>98.4</t>
  </si>
  <si>
    <t>97.2</t>
  </si>
  <si>
    <t>98.5</t>
  </si>
  <si>
    <t>99.1</t>
  </si>
  <si>
    <t>97.1</t>
  </si>
  <si>
    <t>98.7</t>
  </si>
  <si>
    <t>96.6</t>
  </si>
  <si>
    <t>99.5</t>
  </si>
  <si>
    <t>99.7</t>
  </si>
  <si>
    <t>99.8</t>
  </si>
  <si>
    <t>99.3</t>
  </si>
  <si>
    <t>99.9</t>
  </si>
  <si>
    <t>79.3</t>
  </si>
  <si>
    <t>72.7</t>
  </si>
  <si>
    <t>75</t>
  </si>
  <si>
    <t>77.7</t>
  </si>
  <si>
    <t>88</t>
  </si>
  <si>
    <t>89.4</t>
  </si>
  <si>
    <t>66.6</t>
  </si>
  <si>
    <t>80.7</t>
  </si>
  <si>
    <t>82.3</t>
  </si>
  <si>
    <t>90.4</t>
  </si>
  <si>
    <t>70.5</t>
  </si>
  <si>
    <t>25</t>
  </si>
  <si>
    <t>85.2</t>
  </si>
  <si>
    <t>93.7</t>
  </si>
  <si>
    <t>88.8</t>
  </si>
  <si>
    <t>83.3</t>
  </si>
  <si>
    <t>76.4</t>
  </si>
  <si>
    <t>68.7</t>
  </si>
  <si>
    <t>95.6</t>
  </si>
  <si>
    <t>85.7</t>
  </si>
  <si>
    <t>81.7</t>
  </si>
  <si>
    <t>99.4</t>
  </si>
  <si>
    <t>99.6</t>
  </si>
  <si>
    <t>99</t>
  </si>
  <si>
    <t>90.3</t>
  </si>
  <si>
    <t>94.2</t>
  </si>
  <si>
    <t>95</t>
  </si>
  <si>
    <t>98.8</t>
  </si>
  <si>
    <t>94.6</t>
  </si>
  <si>
    <t>96.7</t>
  </si>
  <si>
    <t>95.1</t>
  </si>
  <si>
    <t>94.4</t>
  </si>
  <si>
    <t>98.6</t>
  </si>
  <si>
    <t>96.3</t>
  </si>
  <si>
    <t>08-Z</t>
  </si>
  <si>
    <t>91.6</t>
  </si>
  <si>
    <t>87.5</t>
  </si>
  <si>
    <t>86.6</t>
  </si>
  <si>
    <t>93.3</t>
  </si>
  <si>
    <t>81.2</t>
  </si>
  <si>
    <t>64.2</t>
  </si>
  <si>
    <t>81.8</t>
  </si>
  <si>
    <t>92.8</t>
  </si>
  <si>
    <t>09-@</t>
  </si>
  <si>
    <t>97.4</t>
  </si>
  <si>
    <t>10-M</t>
  </si>
  <si>
    <t>11-S</t>
  </si>
  <si>
    <t>92.5</t>
  </si>
  <si>
    <t>87.3</t>
  </si>
  <si>
    <t>12-V</t>
  </si>
  <si>
    <t>94.9</t>
  </si>
  <si>
    <t>96.9</t>
  </si>
  <si>
    <t>96.1</t>
  </si>
  <si>
    <t>95.5</t>
  </si>
  <si>
    <t>96.4</t>
  </si>
  <si>
    <t>95.4</t>
  </si>
  <si>
    <t>93.8</t>
  </si>
  <si>
    <t>96.8</t>
  </si>
  <si>
    <t>13-T</t>
  </si>
  <si>
    <t>88.7</t>
  </si>
  <si>
    <t>91.1</t>
  </si>
  <si>
    <t>91.2</t>
  </si>
  <si>
    <t>86</t>
  </si>
  <si>
    <t>92.7</t>
  </si>
  <si>
    <t>98.9</t>
  </si>
  <si>
    <t>14-P</t>
  </si>
  <si>
    <t>16-#</t>
  </si>
  <si>
    <t>96.5</t>
  </si>
  <si>
    <t>17-2</t>
  </si>
  <si>
    <t>18-3</t>
  </si>
  <si>
    <t>19-4</t>
  </si>
  <si>
    <t>20-5</t>
  </si>
  <si>
    <t>21-$</t>
  </si>
  <si>
    <t>22-7</t>
  </si>
  <si>
    <t>23-6</t>
  </si>
  <si>
    <t>95.2</t>
  </si>
  <si>
    <t>94.7</t>
  </si>
  <si>
    <t>94.1</t>
  </si>
  <si>
    <t>88.6</t>
  </si>
  <si>
    <t>93.1</t>
  </si>
  <si>
    <t>94</t>
  </si>
  <si>
    <t>91.5</t>
  </si>
  <si>
    <t>87.8</t>
  </si>
  <si>
    <t>91.4</t>
  </si>
  <si>
    <t>96</t>
  </si>
  <si>
    <t>95.9</t>
  </si>
  <si>
    <t>92.3</t>
  </si>
  <si>
    <t>92.9</t>
  </si>
  <si>
    <t>93.9</t>
  </si>
  <si>
    <t>95.3</t>
  </si>
  <si>
    <t>93.2</t>
  </si>
  <si>
    <t>IMPCD</t>
  </si>
  <si>
    <t>4</t>
  </si>
  <si>
    <t>99.2</t>
  </si>
  <si>
    <t>ALL</t>
  </si>
  <si>
    <t>97.3</t>
  </si>
  <si>
    <t>84.2</t>
  </si>
  <si>
    <t>80</t>
  </si>
  <si>
    <t>30</t>
  </si>
  <si>
    <t>78.7</t>
  </si>
  <si>
    <t>83.1</t>
  </si>
  <si>
    <t>97</t>
  </si>
  <si>
    <t>94.3</t>
  </si>
  <si>
    <t>96.2</t>
  </si>
  <si>
    <t>16-2</t>
  </si>
  <si>
    <t>17-3</t>
  </si>
  <si>
    <t>18-4</t>
  </si>
  <si>
    <t>19-5</t>
  </si>
  <si>
    <t>20-7</t>
  </si>
  <si>
    <t>21-6</t>
  </si>
  <si>
    <t>94.8</t>
  </si>
  <si>
    <t>89.3</t>
  </si>
  <si>
    <t>94.5</t>
  </si>
  <si>
    <t>93.4</t>
  </si>
  <si>
    <t>92.2</t>
  </si>
  <si>
    <t>89.9</t>
  </si>
  <si>
    <t>91.9</t>
  </si>
  <si>
    <t>SUMITEMS</t>
  </si>
  <si>
    <t>262.00</t>
  </si>
  <si>
    <t>272.00</t>
  </si>
  <si>
    <t>207.00</t>
  </si>
  <si>
    <t>152.00</t>
  </si>
  <si>
    <t>257.00</t>
  </si>
  <si>
    <t>250.00</t>
  </si>
  <si>
    <t>151.00</t>
  </si>
  <si>
    <t>288.00</t>
  </si>
  <si>
    <t>258.00</t>
  </si>
  <si>
    <t>291.00</t>
  </si>
  <si>
    <t>236.00</t>
  </si>
  <si>
    <t>230.00</t>
  </si>
  <si>
    <t>148.00</t>
  </si>
  <si>
    <t>253.00</t>
  </si>
  <si>
    <t>261.00</t>
  </si>
  <si>
    <t>279.00</t>
  </si>
  <si>
    <t>353.00</t>
  </si>
  <si>
    <t>256.00</t>
  </si>
  <si>
    <t>254.00</t>
  </si>
  <si>
    <t>193.00</t>
  </si>
  <si>
    <t>5596</t>
  </si>
  <si>
    <t>35.00</t>
  </si>
  <si>
    <t>29.00</t>
  </si>
  <si>
    <t>37.00</t>
  </si>
  <si>
    <t>27.00</t>
  </si>
  <si>
    <t>34.00</t>
  </si>
  <si>
    <t>22.00</t>
  </si>
  <si>
    <t>32.00</t>
  </si>
  <si>
    <t>54.00</t>
  </si>
  <si>
    <t>39.00</t>
  </si>
  <si>
    <t>16.00</t>
  </si>
  <si>
    <t>42.00</t>
  </si>
  <si>
    <t>10.00</t>
  </si>
  <si>
    <t>33.00</t>
  </si>
  <si>
    <t>38.00</t>
  </si>
  <si>
    <t>81.00</t>
  </si>
  <si>
    <t>66.00</t>
  </si>
  <si>
    <t>36.00</t>
  </si>
  <si>
    <t>46.00</t>
  </si>
  <si>
    <t>834</t>
  </si>
  <si>
    <t>1.00</t>
  </si>
  <si>
    <t>3.00</t>
  </si>
  <si>
    <t>8</t>
  </si>
  <si>
    <t>6.00</t>
  </si>
  <si>
    <t>5.00</t>
  </si>
  <si>
    <t>2.00</t>
  </si>
  <si>
    <t>9.00</t>
  </si>
  <si>
    <t>8.00</t>
  </si>
  <si>
    <t>90</t>
  </si>
  <si>
    <t>11.00</t>
  </si>
  <si>
    <t>15.00</t>
  </si>
  <si>
    <t>7.00</t>
  </si>
  <si>
    <t>18.00</t>
  </si>
  <si>
    <t>17.00</t>
  </si>
  <si>
    <t>4.00</t>
  </si>
  <si>
    <t>13.00</t>
  </si>
  <si>
    <t>12.00</t>
  </si>
  <si>
    <t>265</t>
  </si>
  <si>
    <t>24.00</t>
  </si>
  <si>
    <t>20.00</t>
  </si>
  <si>
    <t>19.00</t>
  </si>
  <si>
    <t>28.00</t>
  </si>
  <si>
    <t>309</t>
  </si>
  <si>
    <t>22</t>
  </si>
  <si>
    <t>273</t>
  </si>
  <si>
    <t>56</t>
  </si>
  <si>
    <t>44.00</t>
  </si>
  <si>
    <t>53.00</t>
  </si>
  <si>
    <t>41.00</t>
  </si>
  <si>
    <t>45.00</t>
  </si>
  <si>
    <t>21.00</t>
  </si>
  <si>
    <t>25.00</t>
  </si>
  <si>
    <t>23.00</t>
  </si>
  <si>
    <t>52.00</t>
  </si>
  <si>
    <t>78.00</t>
  </si>
  <si>
    <t>831</t>
  </si>
  <si>
    <t>130705205.00</t>
  </si>
  <si>
    <t>130696650.00</t>
  </si>
  <si>
    <t>133055571.00</t>
  </si>
  <si>
    <t>130492787.00</t>
  </si>
  <si>
    <t>130495574.00</t>
  </si>
  <si>
    <t>130418555.00</t>
  </si>
  <si>
    <t>131622959.00</t>
  </si>
  <si>
    <t>132652556.00</t>
  </si>
  <si>
    <t>135567352.00</t>
  </si>
  <si>
    <t>135574512.00</t>
  </si>
  <si>
    <t>131944302.00</t>
  </si>
  <si>
    <t>130563396.00</t>
  </si>
  <si>
    <t>131212285.00</t>
  </si>
  <si>
    <t>131293701.00</t>
  </si>
  <si>
    <t>132371220.00</t>
  </si>
  <si>
    <t>131671382.00</t>
  </si>
  <si>
    <t>128136012.00</t>
  </si>
  <si>
    <t>128130446.00</t>
  </si>
  <si>
    <t>125629638.00</t>
  </si>
  <si>
    <t>129190280.00</t>
  </si>
  <si>
    <t>129530255.00</t>
  </si>
  <si>
    <t>129660799.00</t>
  </si>
  <si>
    <t>129660831.00</t>
  </si>
  <si>
    <t>129661327.00</t>
  </si>
  <si>
    <t>128867653.00</t>
  </si>
  <si>
    <t>124978520.00</t>
  </si>
  <si>
    <t>123392453.00</t>
  </si>
  <si>
    <t>125598243.00</t>
  </si>
  <si>
    <t>127425127.00</t>
  </si>
  <si>
    <t>125393636.00</t>
  </si>
  <si>
    <t>129920565.45</t>
  </si>
  <si>
    <t>110288286.00</t>
  </si>
  <si>
    <t>110589584.00</t>
  </si>
  <si>
    <t>110108157.00</t>
  </si>
  <si>
    <t>109765513.00</t>
  </si>
  <si>
    <t>109733795.00</t>
  </si>
  <si>
    <t>109718423.00</t>
  </si>
  <si>
    <t>109327832.00</t>
  </si>
  <si>
    <t>109545557.00</t>
  </si>
  <si>
    <t>109553758.00</t>
  </si>
  <si>
    <t>109554334.00</t>
  </si>
  <si>
    <t>106324414.00</t>
  </si>
  <si>
    <t>106317840.00</t>
  </si>
  <si>
    <t>107362517.00</t>
  </si>
  <si>
    <t>105132025.00</t>
  </si>
  <si>
    <t>105199951.00</t>
  </si>
  <si>
    <t>105376398.00</t>
  </si>
  <si>
    <t>105217924.00</t>
  </si>
  <si>
    <t>104397775.00</t>
  </si>
  <si>
    <t>104397718.00</t>
  </si>
  <si>
    <t>105989104.00</t>
  </si>
  <si>
    <t>104355274.00</t>
  </si>
  <si>
    <t>104656287.00</t>
  </si>
  <si>
    <t>106845204.00</t>
  </si>
  <si>
    <t>105716194.00</t>
  </si>
  <si>
    <t>106874309.00</t>
  </si>
  <si>
    <t>108217467.00</t>
  </si>
  <si>
    <t>108546118.00</t>
  </si>
  <si>
    <t>109663022.00</t>
  </si>
  <si>
    <t>109168351.00</t>
  </si>
  <si>
    <t>107472049.65</t>
  </si>
  <si>
    <t>34105349.00</t>
  </si>
  <si>
    <t>33641674.00</t>
  </si>
  <si>
    <t>32526056.00</t>
  </si>
  <si>
    <t>31900219.00</t>
  </si>
  <si>
    <t>30715870.00</t>
  </si>
  <si>
    <t>30942139.00</t>
  </si>
  <si>
    <t>30135846.00</t>
  </si>
  <si>
    <t>28824955.00</t>
  </si>
  <si>
    <t>31594737.00</t>
  </si>
  <si>
    <t>32221340.00</t>
  </si>
  <si>
    <t>32230308.00</t>
  </si>
  <si>
    <t>32193941.00</t>
  </si>
  <si>
    <t>33271968.00</t>
  </si>
  <si>
    <t>31923260.00</t>
  </si>
  <si>
    <t>32295336.00</t>
  </si>
  <si>
    <t>31108389.00</t>
  </si>
  <si>
    <t>29622396.00</t>
  </si>
  <si>
    <t>29958132.00</t>
  </si>
  <si>
    <t>29961605.00</t>
  </si>
  <si>
    <t>29822305.00</t>
  </si>
  <si>
    <t>33462641.00</t>
  </si>
  <si>
    <t>33126900.00</t>
  </si>
  <si>
    <t>32609110.00</t>
  </si>
  <si>
    <t>31892929.00</t>
  </si>
  <si>
    <t>31618123.00</t>
  </si>
  <si>
    <t>31495101.90</t>
  </si>
  <si>
    <t>8115132.00</t>
  </si>
  <si>
    <t>8136378.00</t>
  </si>
  <si>
    <t>8433107.00</t>
  </si>
  <si>
    <t>8454034.00</t>
  </si>
  <si>
    <t>8227322.00</t>
  </si>
  <si>
    <t>8156492.00</t>
  </si>
  <si>
    <t>8041666.00</t>
  </si>
  <si>
    <t>8041389.00</t>
  </si>
  <si>
    <t>7840539.00</t>
  </si>
  <si>
    <t>8704157.00</t>
  </si>
  <si>
    <t>8749960.00</t>
  </si>
  <si>
    <t>8745373.00</t>
  </si>
  <si>
    <t>8685394.00</t>
  </si>
  <si>
    <t>8685416.00</t>
  </si>
  <si>
    <t>8690123.00</t>
  </si>
  <si>
    <t>8777589.00</t>
  </si>
  <si>
    <t>8806224.00</t>
  </si>
  <si>
    <t>8764603.00</t>
  </si>
  <si>
    <t>8642669.00</t>
  </si>
  <si>
    <t>8613853.00</t>
  </si>
  <si>
    <t>8288006.00</t>
  </si>
  <si>
    <t>8513121.00</t>
  </si>
  <si>
    <t>8072465.00</t>
  </si>
  <si>
    <t>8456624.52</t>
  </si>
  <si>
    <t>6040048.00</t>
  </si>
  <si>
    <t>5984031.00</t>
  </si>
  <si>
    <t>5960168.00</t>
  </si>
  <si>
    <t>5998448.00</t>
  </si>
  <si>
    <t>5970920.00</t>
  </si>
  <si>
    <t>6032090.00</t>
  </si>
  <si>
    <t>5987219.00</t>
  </si>
  <si>
    <t>5924854.00</t>
  </si>
  <si>
    <t>5801543.00</t>
  </si>
  <si>
    <t>5902360.00</t>
  </si>
  <si>
    <t>5809376.00</t>
  </si>
  <si>
    <t>5602217.00</t>
  </si>
  <si>
    <t>5727847.00</t>
  </si>
  <si>
    <t>5766020.00</t>
  </si>
  <si>
    <t>5714881.00</t>
  </si>
  <si>
    <t>5531633.00</t>
  </si>
  <si>
    <t>5473092.00</t>
  </si>
  <si>
    <t>5464954.00</t>
  </si>
  <si>
    <t>5465120.00</t>
  </si>
  <si>
    <t>5477594.00</t>
  </si>
  <si>
    <t>5448251.00</t>
  </si>
  <si>
    <t>5413325.00</t>
  </si>
  <si>
    <t>5761344.10</t>
  </si>
  <si>
    <t>329835.00</t>
  </si>
  <si>
    <t>322395.00</t>
  </si>
  <si>
    <t>322402.00</t>
  </si>
  <si>
    <t>318192.00</t>
  </si>
  <si>
    <t>510309.00</t>
  </si>
  <si>
    <t>531388.00</t>
  </si>
  <si>
    <t>125033.00</t>
  </si>
  <si>
    <t>126397.00</t>
  </si>
  <si>
    <t>128756.00</t>
  </si>
  <si>
    <t>172566.00</t>
  </si>
  <si>
    <t>170894.00</t>
  </si>
  <si>
    <t>170896.00</t>
  </si>
  <si>
    <t>328722.00</t>
  </si>
  <si>
    <t>329310.00</t>
  </si>
  <si>
    <t>286674.00</t>
  </si>
  <si>
    <t>302936.00</t>
  </si>
  <si>
    <t>303019.00</t>
  </si>
  <si>
    <t>287540.00</t>
  </si>
  <si>
    <t>192053.00</t>
  </si>
  <si>
    <t>300687.06</t>
  </si>
  <si>
    <t>2370010.00</t>
  </si>
  <si>
    <t>2370461.00</t>
  </si>
  <si>
    <t>2493427.00</t>
  </si>
  <si>
    <t>2493479.00</t>
  </si>
  <si>
    <t>2596098.00</t>
  </si>
  <si>
    <t>2590552.00</t>
  </si>
  <si>
    <t>2588682.00</t>
  </si>
  <si>
    <t>2589200.00</t>
  </si>
  <si>
    <t>2497131.00</t>
  </si>
  <si>
    <t>2569055.00</t>
  </si>
  <si>
    <t>2572801.00</t>
  </si>
  <si>
    <t>2570795.00</t>
  </si>
  <si>
    <t>2571120.00</t>
  </si>
  <si>
    <t>2572677.00</t>
  </si>
  <si>
    <t>2575467.00</t>
  </si>
  <si>
    <t>2576203.00</t>
  </si>
  <si>
    <t>2565259.00</t>
  </si>
  <si>
    <t>2568424.00</t>
  </si>
  <si>
    <t>2563176.00</t>
  </si>
  <si>
    <t>2564754.00</t>
  </si>
  <si>
    <t>2567208.00</t>
  </si>
  <si>
    <t>2558345.00</t>
  </si>
  <si>
    <t>2548523.39</t>
  </si>
  <si>
    <t>M</t>
  </si>
  <si>
    <t>21708.00</t>
  </si>
  <si>
    <t>21710.00</t>
  </si>
  <si>
    <t>21711.00</t>
  </si>
  <si>
    <t>20305.00</t>
  </si>
  <si>
    <t>20304.00</t>
  </si>
  <si>
    <t>20299.00</t>
  </si>
  <si>
    <t>20295.00</t>
  </si>
  <si>
    <t>20300.00</t>
  </si>
  <si>
    <t>20302.00</t>
  </si>
  <si>
    <t>20307.00</t>
  </si>
  <si>
    <t>53797.00</t>
  </si>
  <si>
    <t>48084.00</t>
  </si>
  <si>
    <t>43753.00</t>
  </si>
  <si>
    <t>45159.00</t>
  </si>
  <si>
    <t>5849.00</t>
  </si>
  <si>
    <t>5847.00</t>
  </si>
  <si>
    <t>26538.48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</si>
  <si>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</si>
  <si>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</si>
  <si>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</si>
  <si>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</si>
  <si>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</si>
  <si>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</si>
  <si>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</si>
  <si>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</si>
  <si>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</si>
  <si>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</si>
  <si>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</si>
  <si>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</si>
  <si>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</si>
  <si>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</si>
  <si>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</si>
  <si>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</si>
  <si>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</si>
  <si>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</si>
  <si>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</si>
  <si>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</si>
  <si>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</si>
  <si>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</si>
  <si>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</si>
  <si>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</si>
  <si>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</si>
  <si>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</si>
  <si>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2025</t>
  </si>
  <si>
    <t>292895572.45</t>
  </si>
  <si>
    <t>294277850.14</t>
  </si>
  <si>
    <t>303547104.61</t>
  </si>
  <si>
    <t>305015691.73</t>
  </si>
  <si>
    <t>298211250.68</t>
  </si>
  <si>
    <t>268957826.37</t>
  </si>
  <si>
    <t>266232218.23</t>
  </si>
  <si>
    <t>289555312.23</t>
  </si>
  <si>
    <t>267505302.97</t>
  </si>
  <si>
    <t>287355348.00</t>
  </si>
  <si>
    <t>301522048.00</t>
  </si>
  <si>
    <t>312011790.00</t>
  </si>
  <si>
    <t>307804297.00</t>
  </si>
  <si>
    <t>311952904.00</t>
  </si>
  <si>
    <t>276368546.00</t>
  </si>
  <si>
    <t>281059326.00</t>
  </si>
  <si>
    <t>268251074.00</t>
  </si>
  <si>
    <t>288168798.00</t>
  </si>
  <si>
    <t>275700668.00</t>
  </si>
  <si>
    <t>291426606.00</t>
  </si>
  <si>
    <t>213813987.06</t>
  </si>
  <si>
    <t>216421676.39</t>
  </si>
  <si>
    <t>230735445.39</t>
  </si>
  <si>
    <t>242111303.37</t>
  </si>
  <si>
    <t>244365222.23</t>
  </si>
  <si>
    <t>222947344.07</t>
  </si>
  <si>
    <t>213933395.71</t>
  </si>
  <si>
    <t>198708701.61</t>
  </si>
  <si>
    <t>181902705.73</t>
  </si>
  <si>
    <t>218326642.00</t>
  </si>
  <si>
    <t>217348722.00</t>
  </si>
  <si>
    <t>229286452.00</t>
  </si>
  <si>
    <t>234536820.00</t>
  </si>
  <si>
    <t>249410081.00</t>
  </si>
  <si>
    <t>225086945.00</t>
  </si>
  <si>
    <t>223263131.00</t>
  </si>
  <si>
    <t>202720734.00</t>
  </si>
  <si>
    <t>189668191.00</t>
  </si>
  <si>
    <t>190048063.00</t>
  </si>
  <si>
    <t>217929904.00</t>
  </si>
  <si>
    <t>6894022.48</t>
  </si>
  <si>
    <t>7273219.50</t>
  </si>
  <si>
    <t>6022622.23</t>
  </si>
  <si>
    <t>6246401.67</t>
  </si>
  <si>
    <t>5731137.97</t>
  </si>
  <si>
    <t>5495270.60</t>
  </si>
  <si>
    <t>5255297.77</t>
  </si>
  <si>
    <t>5320740.81</t>
  </si>
  <si>
    <t>5231241.90</t>
  </si>
  <si>
    <t>5941106.00</t>
  </si>
  <si>
    <t>11731801.00</t>
  </si>
  <si>
    <t>6677578.00</t>
  </si>
  <si>
    <t>7953023.00</t>
  </si>
  <si>
    <t>6400194.00</t>
  </si>
  <si>
    <t>7600695.00</t>
  </si>
  <si>
    <t>4236251.00</t>
  </si>
  <si>
    <t>7059809.00</t>
  </si>
  <si>
    <t>5352452.00</t>
  </si>
  <si>
    <t>3823169.00</t>
  </si>
  <si>
    <t>6759441.00</t>
  </si>
  <si>
    <t>11103888.48</t>
  </si>
  <si>
    <t>10717600.11</t>
  </si>
  <si>
    <t>7939466.94</t>
  </si>
  <si>
    <t>7405026.60</t>
  </si>
  <si>
    <t>5885981.32</t>
  </si>
  <si>
    <t>4603240.33</t>
  </si>
  <si>
    <t>5240019.45</t>
  </si>
  <si>
    <t>5825544.77</t>
  </si>
  <si>
    <t>5405729.67</t>
  </si>
  <si>
    <t>7125166.00</t>
  </si>
  <si>
    <t>11043043.00</t>
  </si>
  <si>
    <t>11016551.00</t>
  </si>
  <si>
    <t>6604155.00</t>
  </si>
  <si>
    <t>6800876.00</t>
  </si>
  <si>
    <t>5117407.00</t>
  </si>
  <si>
    <t>4185914.00</t>
  </si>
  <si>
    <t>5845604.00</t>
  </si>
  <si>
    <t>5889201.00</t>
  </si>
  <si>
    <t>5285095.00</t>
  </si>
  <si>
    <t>6865316.00</t>
  </si>
  <si>
    <t>21593172.87</t>
  </si>
  <si>
    <t>19382073.82</t>
  </si>
  <si>
    <t>19671570.68</t>
  </si>
  <si>
    <t>18629028.17</t>
  </si>
  <si>
    <t>19873425.61</t>
  </si>
  <si>
    <t>19417875.87</t>
  </si>
  <si>
    <t>19416991.52</t>
  </si>
  <si>
    <t>20028052.94</t>
  </si>
  <si>
    <t>20146220.67</t>
  </si>
  <si>
    <t>19795379.00</t>
  </si>
  <si>
    <t>18962815.00</t>
  </si>
  <si>
    <t>23106428.00</t>
  </si>
  <si>
    <t>21071693.00</t>
  </si>
  <si>
    <t>21065273.00</t>
  </si>
  <si>
    <t>21843172.00</t>
  </si>
  <si>
    <t>18530235.00</t>
  </si>
  <si>
    <t>22828116.00</t>
  </si>
  <si>
    <t>19959865.00</t>
  </si>
  <si>
    <t>22350347.00</t>
  </si>
  <si>
    <t>21079772.00</t>
  </si>
  <si>
    <t>9729574.06</t>
  </si>
  <si>
    <t>13250904.71</t>
  </si>
  <si>
    <t>11342667.68</t>
  </si>
  <si>
    <t>11143472.50</t>
  </si>
  <si>
    <t>11593367.87</t>
  </si>
  <si>
    <t>11533089.80</t>
  </si>
  <si>
    <t>10250653.06</t>
  </si>
  <si>
    <t>12326658.00</t>
  </si>
  <si>
    <t>11188715.47</t>
  </si>
  <si>
    <t>11373234.00</t>
  </si>
  <si>
    <t>11220240.00</t>
  </si>
  <si>
    <t>19113676.00</t>
  </si>
  <si>
    <t>13631227.00</t>
  </si>
  <si>
    <t>22844347.00</t>
  </si>
  <si>
    <t>19631221.00</t>
  </si>
  <si>
    <t>14640558.00</t>
  </si>
  <si>
    <t>22081624.00</t>
  </si>
  <si>
    <t>22112808.00</t>
  </si>
  <si>
    <t>18876531.00</t>
  </si>
  <si>
    <t>18239137.00</t>
  </si>
  <si>
    <t>1710555.94</t>
  </si>
  <si>
    <t>1534112.82</t>
  </si>
  <si>
    <t>1354194.52</t>
  </si>
  <si>
    <t>2181402.27</t>
  </si>
  <si>
    <t>2055329.90</t>
  </si>
  <si>
    <t>3218402.13</t>
  </si>
  <si>
    <t>5031748.87</t>
  </si>
  <si>
    <t>3668339.65</t>
  </si>
  <si>
    <t>2303254.90</t>
  </si>
  <si>
    <t>2561927.00</t>
  </si>
  <si>
    <t>1745249.00</t>
  </si>
  <si>
    <t>1677636.00</t>
  </si>
  <si>
    <t>1480486.00</t>
  </si>
  <si>
    <t>2642042.00</t>
  </si>
  <si>
    <t>2010192.00</t>
  </si>
  <si>
    <t>4185406.00</t>
  </si>
  <si>
    <t>4810863.00</t>
  </si>
  <si>
    <t>2401962.00</t>
  </si>
  <si>
    <t>1843699.00</t>
  </si>
  <si>
    <t>2533059.00</t>
  </si>
  <si>
    <t>97968.03</t>
  </si>
  <si>
    <t>94797.33</t>
  </si>
  <si>
    <t>91839.00</t>
  </si>
  <si>
    <t>94339.00</t>
  </si>
  <si>
    <t>109258.35</t>
  </si>
  <si>
    <t>98711.90</t>
  </si>
  <si>
    <t>105870.00</t>
  </si>
  <si>
    <t>100718.00</t>
  </si>
  <si>
    <t>93089.00</t>
  </si>
  <si>
    <t>97149.00</t>
  </si>
  <si>
    <t>100901.00</t>
  </si>
  <si>
    <t>2731882.90</t>
  </si>
  <si>
    <t>2401477.71</t>
  </si>
  <si>
    <t>1864895.61</t>
  </si>
  <si>
    <t>1992262.87</t>
  </si>
  <si>
    <t>1542560.16</t>
  </si>
  <si>
    <t>1719172.00</t>
  </si>
  <si>
    <t>1379365.87</t>
  </si>
  <si>
    <t>1827319.19</t>
  </si>
  <si>
    <t>1482058.00</t>
  </si>
  <si>
    <t>1882333.00</t>
  </si>
  <si>
    <t>4434328.00</t>
  </si>
  <si>
    <t>2190434.00</t>
  </si>
  <si>
    <t>2572318.00</t>
  </si>
  <si>
    <t>1381676.00</t>
  </si>
  <si>
    <t>2094697.00</t>
  </si>
  <si>
    <t>1710449.00</t>
  </si>
  <si>
    <t>1838782.00</t>
  </si>
  <si>
    <t>2076843.00</t>
  </si>
  <si>
    <t>1166682.00</t>
  </si>
  <si>
    <t>2162912.00</t>
  </si>
  <si>
    <t>279829.61</t>
  </si>
  <si>
    <t>312786.57</t>
  </si>
  <si>
    <t>306112.52</t>
  </si>
  <si>
    <t>267643.33</t>
  </si>
  <si>
    <t>226225.10</t>
  </si>
  <si>
    <t>203974.67</t>
  </si>
  <si>
    <t>327227.68</t>
  </si>
  <si>
    <t>255456.39</t>
  </si>
  <si>
    <t>187345.67</t>
  </si>
  <si>
    <t>262956.00</t>
  </si>
  <si>
    <t>295438.00</t>
  </si>
  <si>
    <t>352938.00</t>
  </si>
  <si>
    <t>271778.00</t>
  </si>
  <si>
    <t>243488.00</t>
  </si>
  <si>
    <t>156098.00</t>
  </si>
  <si>
    <t>391598.00</t>
  </si>
  <si>
    <t>273008.00</t>
  </si>
  <si>
    <t>237688.00</t>
  </si>
  <si>
    <t>157748.00</t>
  </si>
  <si>
    <t>264420.00</t>
  </si>
  <si>
    <t>1636322.68</t>
  </si>
  <si>
    <t>1606880.50</t>
  </si>
  <si>
    <t>1608277.81</t>
  </si>
  <si>
    <t>1614727.63</t>
  </si>
  <si>
    <t>1617368.23</t>
  </si>
  <si>
    <t>1420197.90</t>
  </si>
  <si>
    <t>1836.71</t>
  </si>
  <si>
    <t>896.61</t>
  </si>
  <si>
    <t>707.67</t>
  </si>
  <si>
    <t>1056358.00</t>
  </si>
  <si>
    <t>1605674.00</t>
  </si>
  <si>
    <t>1609870.00</t>
  </si>
  <si>
    <t>1641175.00</t>
  </si>
  <si>
    <t>3712.00</t>
  </si>
  <si>
    <t>896864.00</t>
  </si>
  <si>
    <t>17-8</t>
  </si>
  <si>
    <t>4738534.16</t>
  </si>
  <si>
    <t>6616871.43</t>
  </si>
  <si>
    <t>6569016.87</t>
  </si>
  <si>
    <t>6269507.10</t>
  </si>
  <si>
    <t>6556006.61</t>
  </si>
  <si>
    <t>6163283.43</t>
  </si>
  <si>
    <t>5806256.65</t>
  </si>
  <si>
    <t>6867741.00</t>
  </si>
  <si>
    <t>8028210.07</t>
  </si>
  <si>
    <t>6401714.00</t>
  </si>
  <si>
    <t>5742313.00</t>
  </si>
  <si>
    <t>8972166.00</t>
  </si>
  <si>
    <t>8317135.00</t>
  </si>
  <si>
    <t>9516089.00</t>
  </si>
  <si>
    <t>8732706.00</t>
  </si>
  <si>
    <t>9918985.00</t>
  </si>
  <si>
    <t>8631009.00</t>
  </si>
  <si>
    <t>12496630.00</t>
  </si>
  <si>
    <t>13604767.00</t>
  </si>
  <si>
    <t>9547978.00</t>
  </si>
  <si>
    <t>12592603.32</t>
  </si>
  <si>
    <t>10668231.32</t>
  </si>
  <si>
    <t>11760706.42</t>
  </si>
  <si>
    <t>10427096.50</t>
  </si>
  <si>
    <t>9849791.71</t>
  </si>
  <si>
    <t>9702018.47</t>
  </si>
  <si>
    <t>9450488.71</t>
  </si>
  <si>
    <t>9822519.16</t>
  </si>
  <si>
    <t>10413327.43</t>
  </si>
  <si>
    <t>10520754.00</t>
  </si>
  <si>
    <t>11062673.00</t>
  </si>
  <si>
    <t>12466503.00</t>
  </si>
  <si>
    <t>10840157.00</t>
  </si>
  <si>
    <t>10247940.00</t>
  </si>
  <si>
    <t>10635612.00</t>
  </si>
  <si>
    <t>9607589.00</t>
  </si>
  <si>
    <t>9914938.00</t>
  </si>
  <si>
    <t>9957082.00</t>
  </si>
  <si>
    <t>10930691.00</t>
  </si>
  <si>
    <t>10629243.00</t>
  </si>
  <si>
    <t>8170824.77</t>
  </si>
  <si>
    <t>16891475.68</t>
  </si>
  <si>
    <t>24401515.81</t>
  </si>
  <si>
    <t>23605583.47</t>
  </si>
  <si>
    <t>20431667.68</t>
  </si>
  <si>
    <t>17113762.97</t>
  </si>
  <si>
    <t>14204196.16</t>
  </si>
  <si>
    <t>12463471.03</t>
  </si>
  <si>
    <t>11430527.57</t>
  </si>
  <si>
    <t>16523670.00</t>
  </si>
  <si>
    <t>8141268.00</t>
  </si>
  <si>
    <t>21387425.00</t>
  </si>
  <si>
    <t>25013368.00</t>
  </si>
  <si>
    <t>22038535.00</t>
  </si>
  <si>
    <t>18904055.00</t>
  </si>
  <si>
    <t>15510521.00</t>
  </si>
  <si>
    <t>12938602.00</t>
  </si>
  <si>
    <t>11385802.00</t>
  </si>
  <si>
    <t>11317748.00</t>
  </si>
  <si>
    <t>16293036.00</t>
  </si>
  <si>
    <t>161176.00</t>
  </si>
  <si>
    <t>144841.00</t>
  </si>
  <si>
    <t>138994.00</t>
  </si>
  <si>
    <t>159046.00</t>
  </si>
  <si>
    <t>188859.81</t>
  </si>
  <si>
    <t>173142.00</t>
  </si>
  <si>
    <t>136660.58</t>
  </si>
  <si>
    <t>143607.07</t>
  </si>
  <si>
    <t>135074.61</t>
  </si>
  <si>
    <t>85219.45</t>
  </si>
  <si>
    <t>107282.40</t>
  </si>
  <si>
    <t>140876.00</t>
  </si>
  <si>
    <t>201634.00</t>
  </si>
  <si>
    <t>179314.00</t>
  </si>
  <si>
    <t>209338.00</t>
  </si>
  <si>
    <t>115978.00</t>
  </si>
  <si>
    <t>163920.00</t>
  </si>
  <si>
    <t>118257.00</t>
  </si>
  <si>
    <t>115968.00</t>
  </si>
  <si>
    <t>148284.00</t>
  </si>
  <si>
    <t>9106516.68</t>
  </si>
  <si>
    <t>9492109.11</t>
  </si>
  <si>
    <t>9381405.61</t>
  </si>
  <si>
    <t>8789643.90</t>
  </si>
  <si>
    <t>9506818.16</t>
  </si>
  <si>
    <t>9088702.67</t>
  </si>
  <si>
    <t>9162485.61</t>
  </si>
  <si>
    <t>10604485.81</t>
  </si>
  <si>
    <t>7781349.83</t>
  </si>
  <si>
    <t>9212613.00</t>
  </si>
  <si>
    <t>7670141.00</t>
  </si>
  <si>
    <t>10611816.00</t>
  </si>
  <si>
    <t>9016362.00</t>
  </si>
  <si>
    <t>11070523.00</t>
  </si>
  <si>
    <t>11313936.00</t>
  </si>
  <si>
    <t>7153933.00</t>
  </si>
  <si>
    <t>10230303.00</t>
  </si>
  <si>
    <t>7897345.00</t>
  </si>
  <si>
    <t>8011452.00</t>
  </si>
  <si>
    <t>9219535.00</t>
  </si>
  <si>
    <t>4444644.09</t>
  </si>
  <si>
    <t>5507793.46</t>
  </si>
  <si>
    <t>5928979.93</t>
  </si>
  <si>
    <t>7326142.47</t>
  </si>
  <si>
    <t>7601834.36</t>
  </si>
  <si>
    <t>9551719.36</t>
  </si>
  <si>
    <t>8043505.32</t>
  </si>
  <si>
    <t>7581007.75</t>
  </si>
  <si>
    <t>6732528.60</t>
  </si>
  <si>
    <t>6968684.00</t>
  </si>
  <si>
    <t>4802566.00</t>
  </si>
  <si>
    <t>5405462.00</t>
  </si>
  <si>
    <t>6546163.00</t>
  </si>
  <si>
    <t>7753957.00</t>
  </si>
  <si>
    <t>10222320.00</t>
  </si>
  <si>
    <t>8954402.00</t>
  </si>
  <si>
    <t>7883639.00</t>
  </si>
  <si>
    <t>7699144.00</t>
  </si>
  <si>
    <t>6630190.00</t>
  </si>
  <si>
    <t>7321983.00</t>
  </si>
  <si>
    <t>87.1</t>
  </si>
  <si>
    <t>93.5</t>
  </si>
  <si>
    <t>89</t>
  </si>
  <si>
    <t>86.5</t>
  </si>
  <si>
    <t>82.2</t>
  </si>
  <si>
    <t>83.4</t>
  </si>
  <si>
    <t>89.1</t>
  </si>
  <si>
    <t>90.7</t>
  </si>
  <si>
    <t>95.8</t>
  </si>
  <si>
    <t>83</t>
  </si>
  <si>
    <t>87.4</t>
  </si>
  <si>
    <t>92</t>
  </si>
  <si>
    <t>93</t>
  </si>
  <si>
    <t>50</t>
  </si>
  <si>
    <t>27.7</t>
  </si>
  <si>
    <t>85.5</t>
  </si>
  <si>
    <t>90.8</t>
  </si>
  <si>
    <t>92.6</t>
  </si>
  <si>
    <t>84.5</t>
  </si>
  <si>
    <t>85.9</t>
  </si>
  <si>
    <t>91.7</t>
  </si>
  <si>
    <t>82.6</t>
  </si>
  <si>
    <t>88.2</t>
  </si>
  <si>
    <t>82.9</t>
  </si>
  <si>
    <t>AVGITEMS</t>
  </si>
  <si>
    <t>4435</t>
  </si>
  <si>
    <t>5186</t>
  </si>
  <si>
    <t>4253</t>
  </si>
  <si>
    <t>3663</t>
  </si>
  <si>
    <t>4413</t>
  </si>
  <si>
    <t>5568</t>
  </si>
  <si>
    <t>6382</t>
  </si>
  <si>
    <t>5537</t>
  </si>
  <si>
    <t>5932</t>
  </si>
  <si>
    <t>5041</t>
  </si>
  <si>
    <t>884</t>
  </si>
  <si>
    <t>782</t>
  </si>
  <si>
    <t>727</t>
  </si>
  <si>
    <t>575</t>
  </si>
  <si>
    <t>594</t>
  </si>
  <si>
    <t>767</t>
  </si>
  <si>
    <t>806</t>
  </si>
  <si>
    <t>829</t>
  </si>
  <si>
    <t>1040</t>
  </si>
  <si>
    <t>778</t>
  </si>
  <si>
    <t>101</t>
  </si>
  <si>
    <t>5</t>
  </si>
  <si>
    <t>7</t>
  </si>
  <si>
    <t>15</t>
  </si>
  <si>
    <t>44</t>
  </si>
  <si>
    <t>20</t>
  </si>
  <si>
    <t>18</t>
  </si>
  <si>
    <t>37</t>
  </si>
  <si>
    <t>102</t>
  </si>
  <si>
    <t>40</t>
  </si>
  <si>
    <t>70</t>
  </si>
  <si>
    <t>143</t>
  </si>
  <si>
    <t>330</t>
  </si>
  <si>
    <t>239</t>
  </si>
  <si>
    <t>315</t>
  </si>
  <si>
    <t>157</t>
  </si>
  <si>
    <t>259</t>
  </si>
  <si>
    <t>144</t>
  </si>
  <si>
    <t>300</t>
  </si>
  <si>
    <t>299</t>
  </si>
  <si>
    <t>243</t>
  </si>
  <si>
    <t>127</t>
  </si>
  <si>
    <t>140</t>
  </si>
  <si>
    <t>218</t>
  </si>
  <si>
    <t>197</t>
  </si>
  <si>
    <t>270</t>
  </si>
  <si>
    <t>145</t>
  </si>
  <si>
    <t>227</t>
  </si>
  <si>
    <t>185</t>
  </si>
  <si>
    <t>9</t>
  </si>
  <si>
    <t>26</t>
  </si>
  <si>
    <t>35</t>
  </si>
  <si>
    <t>14</t>
  </si>
  <si>
    <t>21</t>
  </si>
  <si>
    <t>17</t>
  </si>
  <si>
    <t>27</t>
  </si>
  <si>
    <t>51</t>
  </si>
  <si>
    <t>31</t>
  </si>
  <si>
    <t>36</t>
  </si>
  <si>
    <t>260</t>
  </si>
  <si>
    <t>350</t>
  </si>
  <si>
    <t>394</t>
  </si>
  <si>
    <t>246</t>
  </si>
  <si>
    <t>203</t>
  </si>
  <si>
    <t>251</t>
  </si>
  <si>
    <t>256</t>
  </si>
  <si>
    <t>383</t>
  </si>
  <si>
    <t>336</t>
  </si>
  <si>
    <t>298</t>
  </si>
  <si>
    <t>230</t>
  </si>
  <si>
    <t>153</t>
  </si>
  <si>
    <t>47</t>
  </si>
  <si>
    <t>68</t>
  </si>
  <si>
    <t>52</t>
  </si>
  <si>
    <t>123</t>
  </si>
  <si>
    <t>570</t>
  </si>
  <si>
    <t>546</t>
  </si>
  <si>
    <t>665</t>
  </si>
  <si>
    <t>434</t>
  </si>
  <si>
    <t>640</t>
  </si>
  <si>
    <t>650</t>
  </si>
  <si>
    <t>1136</t>
  </si>
  <si>
    <t>828</t>
  </si>
  <si>
    <t>681</t>
  </si>
  <si>
    <t>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</si>
</sst>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90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176" fontId="38" fillId="5" borderId="2" xfId="4" applyNumberFormat="1" applyFont="1" applyFill="1" applyBorder="1" applyAlignment="1">
      <alignment horizontal="center"/>
    </xf>
    <xf numFmtId="176" fontId="55" fillId="5" borderId="18" xfId="4" applyNumberFormat="1" applyFont="1" applyFill="1" applyBorder="1" applyAlignment="1">
      <alignment horizontal="right" vertical="center"/>
    </xf>
    <xf numFmtId="0" fontId="38" fillId="0" borderId="0" xfId="4" applyFont="1" applyAlignment="1">
      <alignment vertical="center"/>
    </xf>
    <xf numFmtId="176" fontId="38" fillId="0" borderId="4" xfId="4" applyNumberFormat="1" applyFont="1" applyBorder="1" applyAlignment="1">
      <alignment horizontal="center"/>
    </xf>
    <xf numFmtId="176" fontId="45" fillId="0" borderId="4" xfId="4" applyNumberFormat="1" applyFont="1" applyBorder="1" applyAlignment="1">
      <alignment horizontal="center"/>
    </xf>
    <xf numFmtId="176" fontId="45" fillId="0" borderId="6" xfId="4" applyNumberFormat="1" applyFont="1" applyBorder="1" applyAlignment="1">
      <alignment horizontal="center" vertical="center"/>
    </xf>
    <xf numFmtId="176" fontId="45" fillId="0" borderId="6" xfId="4" applyNumberFormat="1" applyFont="1" applyBorder="1" applyAlignment="1">
      <alignment vertical="center"/>
    </xf>
    <xf numFmtId="176" fontId="38" fillId="0" borderId="6" xfId="4" applyNumberFormat="1" applyFont="1" applyBorder="1" applyAlignment="1">
      <alignment horizontal="right" vertical="center"/>
    </xf>
    <xf numFmtId="176" fontId="28" fillId="0" borderId="6" xfId="3" applyNumberFormat="1" applyFont="1" applyBorder="1" applyAlignment="1">
      <alignment horizontal="right" vertical="center"/>
    </xf>
    <xf numFmtId="176" fontId="28" fillId="0" borderId="7" xfId="3" applyNumberFormat="1" applyFont="1" applyBorder="1" applyAlignment="1">
      <alignment horizontal="right" vertical="center"/>
    </xf>
    <xf numFmtId="176" fontId="45" fillId="0" borderId="1" xfId="4" applyNumberFormat="1" applyFont="1" applyBorder="1" applyAlignment="1">
      <alignment horizontal="center" vertical="center"/>
    </xf>
    <xf numFmtId="176" fontId="45" fillId="0" borderId="1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right" vertical="center"/>
    </xf>
    <xf numFmtId="176" fontId="28" fillId="0" borderId="1" xfId="3" applyNumberFormat="1" applyFont="1" applyBorder="1" applyAlignment="1">
      <alignment horizontal="right" vertical="center"/>
    </xf>
    <xf numFmtId="0" fontId="38" fillId="5" borderId="25" xfId="4" applyFont="1" applyFill="1" applyBorder="1" applyAlignment="1">
      <alignment vertical="center"/>
    </xf>
    <xf numFmtId="176" fontId="38" fillId="0" borderId="10" xfId="4" applyNumberFormat="1" applyFont="1" applyBorder="1" applyAlignment="1">
      <alignment horizontal="center"/>
    </xf>
    <xf numFmtId="176" fontId="45" fillId="0" borderId="10" xfId="4" applyNumberFormat="1" applyFont="1" applyBorder="1" applyAlignment="1">
      <alignment horizontal="center"/>
    </xf>
    <xf numFmtId="176" fontId="45" fillId="0" borderId="3" xfId="4" applyNumberFormat="1" applyFont="1" applyBorder="1" applyAlignment="1">
      <alignment horizontal="center" vertical="center"/>
    </xf>
    <xf numFmtId="176" fontId="45" fillId="0" borderId="3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right" vertical="center"/>
    </xf>
    <xf numFmtId="176" fontId="28" fillId="0" borderId="3" xfId="3" applyNumberFormat="1" applyFont="1" applyBorder="1" applyAlignment="1">
      <alignment horizontal="right"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38" fillId="0" borderId="6" xfId="4" applyNumberFormat="1" applyFont="1" applyBorder="1" applyAlignment="1">
      <alignment horizontal="center" vertical="center"/>
    </xf>
    <xf numFmtId="176" fontId="38" fillId="0" borderId="6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center" vertical="center"/>
    </xf>
    <xf numFmtId="176" fontId="38" fillId="0" borderId="1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center"/>
    </xf>
    <xf numFmtId="176" fontId="38" fillId="0" borderId="3" xfId="4" applyNumberFormat="1" applyFont="1" applyBorder="1" applyAlignment="1">
      <alignment vertical="center"/>
    </xf>
    <xf numFmtId="176" fontId="28" fillId="0" borderId="19" xfId="3" applyNumberFormat="1" applyFont="1" applyBorder="1" applyAlignment="1">
      <alignment horizontal="right"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5" fillId="0" borderId="6" xfId="3" applyNumberFormat="1" applyFont="1" applyBorder="1" applyAlignment="1">
      <alignment horizontal="center"/>
    </xf>
    <xf numFmtId="180" fontId="40" fillId="0" borderId="6" xfId="3" applyNumberFormat="1" applyFont="1" applyBorder="1" applyAlignment="1">
      <alignment horizontal="center"/>
    </xf>
    <xf numFmtId="180" fontId="45" fillId="8" borderId="1" xfId="3" applyNumberFormat="1" applyFont="1" applyFill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5" fillId="0" borderId="1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5" fillId="8" borderId="6" xfId="4" applyNumberFormat="1" applyFont="1" applyFill="1" applyBorder="1" applyAlignment="1">
      <alignment horizontal="center"/>
    </xf>
    <xf numFmtId="180" fontId="56" fillId="8" borderId="6" xfId="4" applyNumberFormat="1" applyFont="1" applyFill="1" applyBorder="1" applyAlignment="1">
      <alignment horizontal="center"/>
    </xf>
    <xf numFmtId="181" fontId="56" fillId="8" borderId="14" xfId="3" applyNumberFormat="1" applyFont="1" applyFill="1" applyBorder="1" applyAlignment="1">
      <alignment horizontal="center" vertical="center"/>
    </xf>
    <xf numFmtId="181" fontId="56" fillId="8" borderId="6" xfId="3" applyNumberFormat="1" applyFont="1" applyFill="1" applyBorder="1" applyAlignment="1">
      <alignment horizontal="center" vertical="center"/>
    </xf>
    <xf numFmtId="181" fontId="43" fillId="8" borderId="6" xfId="3" applyNumberFormat="1" applyFont="1" applyFill="1" applyBorder="1" applyAlignment="1">
      <alignment horizontal="center" vertical="center"/>
    </xf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6" xfId="3" applyNumberFormat="1" applyFont="1" applyFill="1" applyBorder="1" applyAlignment="1">
      <alignment horizont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14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0" fontId="5" fillId="3" borderId="37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39" fillId="5" borderId="16" xfId="4" applyFont="1" applyFill="1" applyBorder="1" applyAlignment="1">
      <alignment horizontal="center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tabSelected="1" zoomScale="55" zoomScaleNormal="55" workbookViewId="0">
      <pane xSplit="5" ySplit="4" topLeftCell="F43" activePane="bottomRight" state="frozen"/>
      <selection pane="bottomRight" activeCell="E43" sqref="E43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511"/>
      <c r="E2" s="512"/>
      <c r="F2" s="511"/>
      <c r="G2" s="513"/>
      <c r="H2" s="5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641" t="s">
        <v>1</v>
      </c>
      <c r="B3" s="642"/>
      <c r="C3" s="643"/>
      <c r="D3" s="509" t="str">
        <f>YEAR(日期!C2)-1&amp;"/"&amp;MONTH(日期!C2)</f>
        <v>2024/10</v>
      </c>
      <c r="E3" s="509" t="str">
        <f>YEAR(日期!C2)&amp;"/"&amp;MONTH(日期!C2)</f>
        <v>2025/10</v>
      </c>
      <c r="F3" s="510">
        <f>YEAR(日期!C2)</f>
        <v>2025</v>
      </c>
      <c r="G3" s="510">
        <f>YEAR(日期!C2)</f>
        <v>2025</v>
      </c>
      <c r="H3" s="510">
        <f>YEAR(日期!C2)</f>
        <v>2025</v>
      </c>
      <c r="I3" s="527" t="str">
        <f>日期!C2</f>
        <v>2025/10/01</v>
      </c>
      <c r="J3" s="527" t="str">
        <f>日期!D2</f>
        <v>2025/10/02</v>
      </c>
      <c r="K3" s="527" t="str">
        <f>日期!E2</f>
        <v>2025/10/03</v>
      </c>
      <c r="L3" s="527" t="str">
        <f>日期!F2</f>
        <v>2025/10/04</v>
      </c>
      <c r="M3" s="527" t="str">
        <f>日期!G2</f>
        <v>2025/10/05</v>
      </c>
      <c r="N3" s="527" t="str">
        <f>日期!H2</f>
        <v>2025/10/06</v>
      </c>
      <c r="O3" s="527" t="str">
        <f>日期!I2</f>
        <v>2025/10/07</v>
      </c>
      <c r="P3" s="527" t="str">
        <f>日期!J2</f>
        <v>2025/10/08</v>
      </c>
      <c r="Q3" s="527" t="str">
        <f>日期!K2</f>
        <v>2025/10/09</v>
      </c>
      <c r="R3" s="527" t="str">
        <f>日期!L2</f>
        <v>2025/10/10</v>
      </c>
      <c r="S3" s="527" t="str">
        <f>日期!M2</f>
        <v>2025/10/11</v>
      </c>
      <c r="T3" s="527" t="str">
        <f>日期!N2</f>
        <v>2025/10/12</v>
      </c>
      <c r="U3" s="527" t="str">
        <f>日期!O2</f>
        <v>2025/10/13</v>
      </c>
      <c r="V3" s="527" t="str">
        <f>日期!P2</f>
        <v>2025/10/14</v>
      </c>
      <c r="W3" s="527" t="str">
        <f>日期!Q2</f>
        <v>2025/10/15</v>
      </c>
      <c r="X3" s="527" t="str">
        <f>日期!R2</f>
        <v>2025/10/16</v>
      </c>
      <c r="Y3" s="527" t="str">
        <f>日期!S2</f>
        <v>2025/10/17</v>
      </c>
      <c r="Z3" s="527" t="str">
        <f>日期!T2</f>
        <v>2025/10/18</v>
      </c>
      <c r="AA3" s="527" t="str">
        <f>日期!U2</f>
        <v>2025/10/19</v>
      </c>
      <c r="AB3" s="527" t="str">
        <f>日期!V2</f>
        <v>2025/10/20</v>
      </c>
      <c r="AC3" s="527" t="str">
        <f>日期!W2</f>
        <v>2025/10/21</v>
      </c>
      <c r="AD3" s="527" t="str">
        <f>日期!X2</f>
        <v>2025/10/22</v>
      </c>
      <c r="AE3" s="527" t="str">
        <f>日期!Y2</f>
        <v>2025/10/23</v>
      </c>
      <c r="AF3" s="527" t="str">
        <f>日期!Z2</f>
        <v>2025/10/24</v>
      </c>
      <c r="AG3" s="527" t="str">
        <f>日期!AA2</f>
        <v>2025/10/25</v>
      </c>
      <c r="AH3" s="527" t="str">
        <f>日期!AB2</f>
        <v>2025/10/26</v>
      </c>
      <c r="AI3" s="527" t="str">
        <f>日期!AC2</f>
        <v>2025/10/27</v>
      </c>
      <c r="AJ3" s="527" t="str">
        <f>日期!AD2</f>
        <v>2025/10/28</v>
      </c>
      <c r="AK3" s="527" t="str">
        <f>日期!AE2</f>
        <v>2025/10/29</v>
      </c>
      <c r="AL3" s="527" t="str">
        <f>日期!AF2</f>
        <v>2025/10/30</v>
      </c>
      <c r="AM3" s="527" t="str">
        <f>日期!AG2</f>
        <v>2025/10/31</v>
      </c>
      <c r="AN3" s="597" t="s">
        <v>2</v>
      </c>
      <c r="AO3" s="639" t="s">
        <v>3</v>
      </c>
    </row>
    <row r="4" spans="1:44" s="14" customFormat="1" ht="21.4" customHeight="1" thickBot="1">
      <c r="A4" s="644"/>
      <c r="B4" s="645"/>
      <c r="C4" s="646"/>
      <c r="D4" s="505" t="s">
        <v>4</v>
      </c>
      <c r="E4" s="505" t="s">
        <v>5</v>
      </c>
      <c r="F4" s="515" t="s">
        <v>6</v>
      </c>
      <c r="G4" s="515" t="s">
        <v>7</v>
      </c>
      <c r="H4" s="515" t="s">
        <v>8</v>
      </c>
      <c r="I4" s="12" t="str">
        <f>日期!C3</f>
        <v>Wed</v>
      </c>
      <c r="J4" s="12" t="str">
        <f>日期!D3</f>
        <v>Thu</v>
      </c>
      <c r="K4" s="12" t="str">
        <f>日期!E3</f>
        <v>Fri</v>
      </c>
      <c r="L4" s="12" t="str">
        <f>日期!F3</f>
        <v>Sat</v>
      </c>
      <c r="M4" s="12" t="str">
        <f>日期!G3</f>
        <v>Sun</v>
      </c>
      <c r="N4" s="12" t="str">
        <f>日期!H3</f>
        <v>Mon</v>
      </c>
      <c r="O4" s="12" t="str">
        <f>日期!I3</f>
        <v>Tue</v>
      </c>
      <c r="P4" s="12" t="str">
        <f>日期!J3</f>
        <v>Wed</v>
      </c>
      <c r="Q4" s="12" t="str">
        <f>日期!K3</f>
        <v>Thu</v>
      </c>
      <c r="R4" s="12" t="str">
        <f>日期!L3</f>
        <v>Fri</v>
      </c>
      <c r="S4" s="12" t="str">
        <f>日期!M3</f>
        <v>Sat</v>
      </c>
      <c r="T4" s="12" t="str">
        <f>日期!N3</f>
        <v>Sun</v>
      </c>
      <c r="U4" s="12" t="str">
        <f>日期!O3</f>
        <v>Mon</v>
      </c>
      <c r="V4" s="12" t="str">
        <f>日期!P3</f>
        <v>Tue</v>
      </c>
      <c r="W4" s="12" t="str">
        <f>日期!Q3</f>
        <v>Wed</v>
      </c>
      <c r="X4" s="12" t="str">
        <f>日期!R3</f>
        <v>Thu</v>
      </c>
      <c r="Y4" s="12" t="str">
        <f>日期!S3</f>
        <v>Fri</v>
      </c>
      <c r="Z4" s="12" t="str">
        <f>日期!T3</f>
        <v>Sat</v>
      </c>
      <c r="AA4" s="12" t="str">
        <f>日期!U3</f>
        <v>Sun</v>
      </c>
      <c r="AB4" s="12" t="str">
        <f>日期!V3</f>
        <v>Mon</v>
      </c>
      <c r="AC4" s="12" t="str">
        <f>日期!W3</f>
        <v>Tue</v>
      </c>
      <c r="AD4" s="12" t="str">
        <f>日期!X3</f>
        <v>Wed</v>
      </c>
      <c r="AE4" s="12" t="str">
        <f>日期!Y3</f>
        <v>Thu</v>
      </c>
      <c r="AF4" s="12" t="str">
        <f>日期!Z3</f>
        <v>Fri</v>
      </c>
      <c r="AG4" s="12" t="str">
        <f>日期!AA3</f>
        <v>Sat</v>
      </c>
      <c r="AH4" s="12" t="str">
        <f>日期!AB3</f>
        <v>Sun</v>
      </c>
      <c r="AI4" s="12" t="str">
        <f>日期!AC3</f>
        <v>Mon</v>
      </c>
      <c r="AJ4" s="12" t="str">
        <f>日期!AD3</f>
        <v>Tue</v>
      </c>
      <c r="AK4" s="12" t="str">
        <f>日期!AE3</f>
        <v>Wed</v>
      </c>
      <c r="AL4" s="12" t="str">
        <f>日期!AF3</f>
        <v>Thu</v>
      </c>
      <c r="AM4" s="12" t="str">
        <f>日期!AG3</f>
        <v>Fri</v>
      </c>
      <c r="AN4" s="632"/>
      <c r="AO4" s="640"/>
      <c r="AP4" s="13"/>
      <c r="AQ4" s="13"/>
    </row>
    <row r="5" spans="1:44" s="18" customFormat="1" ht="21.95" customHeight="1">
      <c r="A5" s="647" t="s">
        <v>9</v>
      </c>
      <c r="B5" s="648"/>
      <c r="C5" s="649"/>
      <c r="D5" s="301">
        <f>D6+D13+D18+D26</f>
        <v>528619114.74322301</v>
      </c>
      <c r="E5" s="301">
        <f>E6+E13+E18+E26</f>
        <v>611771678.68207979</v>
      </c>
      <c r="F5" s="301">
        <f>F6+F13+F18+F26</f>
        <v>627881627.26466823</v>
      </c>
      <c r="G5" s="15">
        <f>G6+G13+G18+G26</f>
        <v>587878293</v>
      </c>
      <c r="H5" s="15">
        <f>H6+H13+H18+H26</f>
        <v>600651947</v>
      </c>
      <c r="I5" s="15">
        <f t="shared" ref="I5:AM5" si="0">I6+I13+I18+I26</f>
        <v>565145520</v>
      </c>
      <c r="J5" s="15">
        <f t="shared" si="0"/>
        <v>565883261</v>
      </c>
      <c r="K5" s="15">
        <f t="shared" si="0"/>
        <v>565943889</v>
      </c>
      <c r="L5" s="15">
        <f t="shared" si="0"/>
        <v>552746368</v>
      </c>
      <c r="M5" s="15">
        <f t="shared" si="0"/>
        <v>552714611</v>
      </c>
      <c r="N5" s="15">
        <f t="shared" si="0"/>
        <v>552613658</v>
      </c>
      <c r="O5" s="15">
        <f t="shared" si="0"/>
        <v>558270994</v>
      </c>
      <c r="P5" s="15">
        <f t="shared" si="0"/>
        <v>561197348</v>
      </c>
      <c r="Q5" s="15">
        <f t="shared" si="0"/>
        <v>572923583</v>
      </c>
      <c r="R5" s="15">
        <f t="shared" si="0"/>
        <v>573097951</v>
      </c>
      <c r="S5" s="15">
        <f t="shared" si="0"/>
        <v>547439527</v>
      </c>
      <c r="T5" s="15">
        <f t="shared" si="0"/>
        <v>547432953</v>
      </c>
      <c r="U5" s="15">
        <f t="shared" si="0"/>
        <v>546828507</v>
      </c>
      <c r="V5" s="15">
        <f t="shared" si="0"/>
        <v>548449330</v>
      </c>
      <c r="W5" s="15">
        <f t="shared" si="0"/>
        <v>546294586</v>
      </c>
      <c r="X5" s="15">
        <f t="shared" si="0"/>
        <v>544362527</v>
      </c>
      <c r="Y5" s="15">
        <f t="shared" si="0"/>
        <v>548457440</v>
      </c>
      <c r="Z5" s="15">
        <f t="shared" si="0"/>
        <v>529276694</v>
      </c>
      <c r="AA5" s="15">
        <f t="shared" si="0"/>
        <v>529271071</v>
      </c>
      <c r="AB5" s="15">
        <f t="shared" si="0"/>
        <v>522399456</v>
      </c>
      <c r="AC5" s="15">
        <f t="shared" si="0"/>
        <v>531932747</v>
      </c>
      <c r="AD5" s="15">
        <f t="shared" si="0"/>
        <v>530481878</v>
      </c>
      <c r="AE5" s="15">
        <f t="shared" si="0"/>
        <v>536491401</v>
      </c>
      <c r="AF5" s="15">
        <f t="shared" si="0"/>
        <v>536492867</v>
      </c>
      <c r="AG5" s="15">
        <f t="shared" si="0"/>
        <v>536508406</v>
      </c>
      <c r="AH5" s="15">
        <f t="shared" si="0"/>
        <v>533324823</v>
      </c>
      <c r="AI5" s="15">
        <f t="shared" si="0"/>
        <v>527342390</v>
      </c>
      <c r="AJ5" s="15">
        <f t="shared" si="0"/>
        <v>530146664</v>
      </c>
      <c r="AK5" s="15">
        <f t="shared" si="0"/>
        <v>537353009</v>
      </c>
      <c r="AL5" s="15">
        <f t="shared" si="0"/>
        <v>546606064</v>
      </c>
      <c r="AM5" s="15">
        <f t="shared" si="0"/>
        <v>545368890</v>
      </c>
      <c r="AN5" s="524">
        <f>AN6+AN13+AN18+AN26</f>
        <v>-1237174</v>
      </c>
      <c r="AO5" s="238">
        <f>AO6+AO13+AO18+AO26</f>
        <v>545896722.99000001</v>
      </c>
      <c r="AP5" s="16">
        <f t="shared" ref="AP5:AP13" si="1">AJ5/10000</f>
        <v>53014.666400000002</v>
      </c>
      <c r="AQ5" s="17">
        <f t="shared" ref="AQ5:AQ13" si="2">AO5/10000</f>
        <v>54589.672298999998</v>
      </c>
    </row>
    <row r="6" spans="1:44" s="14" customFormat="1" ht="21.95" customHeight="1">
      <c r="A6" s="19"/>
      <c r="B6" s="650" t="s">
        <v>10</v>
      </c>
      <c r="C6" s="651"/>
      <c r="D6" s="287">
        <f t="shared" ref="D6:I6" si="3">SUM(D7:D12)</f>
        <v>317644279.06</v>
      </c>
      <c r="E6" s="287">
        <f t="shared" si="3"/>
        <v>311494317.78401929</v>
      </c>
      <c r="F6" s="287">
        <f t="shared" si="3"/>
        <v>336337889.05515659</v>
      </c>
      <c r="G6" s="20">
        <f>SUM(G7:G12)</f>
        <v>331590233</v>
      </c>
      <c r="H6" s="20">
        <f t="shared" si="3"/>
        <v>344370272</v>
      </c>
      <c r="I6" s="20">
        <f t="shared" si="3"/>
        <v>323046697</v>
      </c>
      <c r="J6" s="20">
        <f>SUM(J7:J12)</f>
        <v>322222381</v>
      </c>
      <c r="K6" s="20">
        <f>SUM(K7:K12)</f>
        <v>322583691</v>
      </c>
      <c r="L6" s="20">
        <f t="shared" ref="L6:AO6" si="4">SUM(L7:L12)</f>
        <v>313384984</v>
      </c>
      <c r="M6" s="20">
        <f t="shared" si="4"/>
        <v>313353482</v>
      </c>
      <c r="N6" s="20">
        <f t="shared" si="4"/>
        <v>313256053</v>
      </c>
      <c r="O6" s="20">
        <f t="shared" si="4"/>
        <v>315447948</v>
      </c>
      <c r="P6" s="20">
        <f t="shared" si="4"/>
        <v>317699927</v>
      </c>
      <c r="Q6" s="20">
        <f t="shared" si="4"/>
        <v>325533186</v>
      </c>
      <c r="R6" s="20">
        <f t="shared" si="4"/>
        <v>325540922</v>
      </c>
      <c r="S6" s="20">
        <f t="shared" si="4"/>
        <v>306985617</v>
      </c>
      <c r="T6" s="20">
        <f t="shared" si="4"/>
        <v>306979043</v>
      </c>
      <c r="U6" s="20">
        <f t="shared" si="4"/>
        <v>308476172</v>
      </c>
      <c r="V6" s="20">
        <f t="shared" si="4"/>
        <v>308830842</v>
      </c>
      <c r="W6" s="20">
        <f t="shared" si="4"/>
        <v>308638340</v>
      </c>
      <c r="X6" s="20">
        <f t="shared" si="4"/>
        <v>308437765</v>
      </c>
      <c r="Y6" s="20">
        <f t="shared" si="4"/>
        <v>312294768</v>
      </c>
      <c r="Z6" s="20">
        <f t="shared" si="4"/>
        <v>298944540</v>
      </c>
      <c r="AA6" s="20">
        <f t="shared" si="4"/>
        <v>298938917</v>
      </c>
      <c r="AB6" s="20">
        <f t="shared" si="4"/>
        <v>296186728</v>
      </c>
      <c r="AC6" s="20">
        <f t="shared" si="4"/>
        <v>301592838</v>
      </c>
      <c r="AD6" s="20">
        <f t="shared" si="4"/>
        <v>301361601</v>
      </c>
      <c r="AE6" s="20">
        <f t="shared" si="4"/>
        <v>306889302</v>
      </c>
      <c r="AF6" s="20">
        <f t="shared" si="4"/>
        <v>306890768</v>
      </c>
      <c r="AG6" s="20">
        <f t="shared" si="4"/>
        <v>306895215</v>
      </c>
      <c r="AH6" s="20">
        <f t="shared" si="4"/>
        <v>304600063</v>
      </c>
      <c r="AI6" s="20">
        <f t="shared" si="4"/>
        <v>301304862</v>
      </c>
      <c r="AJ6" s="20">
        <f t="shared" si="4"/>
        <v>301507391</v>
      </c>
      <c r="AK6" s="20">
        <f t="shared" si="4"/>
        <v>307837407</v>
      </c>
      <c r="AL6" s="20">
        <f t="shared" si="4"/>
        <v>312780178</v>
      </c>
      <c r="AM6" s="20">
        <f t="shared" si="4"/>
        <v>314693664</v>
      </c>
      <c r="AN6" s="525">
        <f t="shared" si="4"/>
        <v>1913486</v>
      </c>
      <c r="AO6" s="21">
        <f t="shared" si="4"/>
        <v>310101138.45000005</v>
      </c>
      <c r="AP6" s="16">
        <f t="shared" si="1"/>
        <v>30150.739099999999</v>
      </c>
      <c r="AQ6" s="17">
        <f t="shared" si="2"/>
        <v>31010.113845000003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267465025.65000001</v>
      </c>
      <c r="E7" s="309">
        <f>HLOOKUP(MONTH(日期!$C$2),當年目標設定!$D$1:$O$33,5,TRUE)</f>
        <v>271569713.39692378</v>
      </c>
      <c r="F7" s="308">
        <f>HLOOKUP(MONTH(日期!$C$2),當年目標設定!$R$1:$AC$33,5,TRUE)</f>
        <v>291987847.5506562</v>
      </c>
      <c r="G7" s="308">
        <f>當年月推移!P5</f>
        <v>287355348</v>
      </c>
      <c r="H7" s="308">
        <f>當年月推移!P39</f>
        <v>291426606</v>
      </c>
      <c r="I7" s="27">
        <f>VALUE(庫存金額!C2)</f>
        <v>275098840</v>
      </c>
      <c r="J7" s="27">
        <f>VALUE(庫存金額!D2)</f>
        <v>274927908</v>
      </c>
      <c r="K7" s="27">
        <f>VALUE(庫存金額!E2)</f>
        <v>275689784</v>
      </c>
      <c r="L7" s="27">
        <f>VALUE(庫存金額!F2)</f>
        <v>272158519</v>
      </c>
      <c r="M7" s="27">
        <f>VALUE(庫存金額!G2)</f>
        <v>272129588</v>
      </c>
      <c r="N7" s="27">
        <f>VALUE(庫存金額!H2)</f>
        <v>272037197</v>
      </c>
      <c r="O7" s="27">
        <f>VALUE(庫存金額!I2)</f>
        <v>271666661</v>
      </c>
      <c r="P7" s="27">
        <f>VALUE(庫存金額!J2)</f>
        <v>273140252</v>
      </c>
      <c r="Q7" s="27">
        <f>VALUE(庫存金額!K2)</f>
        <v>275256956</v>
      </c>
      <c r="R7" s="27">
        <f>VALUE(庫存金額!L2)</f>
        <v>275264692</v>
      </c>
      <c r="S7" s="27">
        <f>VALUE(庫存金額!M2)</f>
        <v>267093671</v>
      </c>
      <c r="T7" s="27">
        <f>VALUE(庫存金額!N2)</f>
        <v>267087097</v>
      </c>
      <c r="U7" s="27">
        <f>VALUE(庫存金額!O2)</f>
        <v>269520650</v>
      </c>
      <c r="V7" s="27">
        <f>VALUE(庫存金額!P2)</f>
        <v>268565650</v>
      </c>
      <c r="W7" s="27">
        <f>VALUE(庫存金額!Q2)</f>
        <v>268723960</v>
      </c>
      <c r="X7" s="27">
        <f>VALUE(庫存金額!R2)</f>
        <v>269941559</v>
      </c>
      <c r="Y7" s="27">
        <f>VALUE(庫存金額!S2)</f>
        <v>270161274</v>
      </c>
      <c r="Z7" s="27">
        <f>VALUE(庫存金額!T2)</f>
        <v>264457047</v>
      </c>
      <c r="AA7" s="27">
        <f>VALUE(庫存金額!U2)</f>
        <v>264451424</v>
      </c>
      <c r="AB7" s="27">
        <f>VALUE(庫存金額!V2)</f>
        <v>263914078</v>
      </c>
      <c r="AC7" s="27">
        <f>VALUE(庫存金額!W2)</f>
        <v>264653943</v>
      </c>
      <c r="AD7" s="27">
        <f>VALUE(庫存金額!X2)</f>
        <v>263808938</v>
      </c>
      <c r="AE7" s="27">
        <f>VALUE(庫存金額!Y2)</f>
        <v>266464135</v>
      </c>
      <c r="AF7" s="27">
        <f>VALUE(庫存金額!Z2)</f>
        <v>266464167</v>
      </c>
      <c r="AG7" s="27">
        <f>VALUE(庫存金額!AA2)</f>
        <v>266468136</v>
      </c>
      <c r="AH7" s="27">
        <f>VALUE(庫存金額!AB2)</f>
        <v>264406152</v>
      </c>
      <c r="AI7" s="27">
        <f>VALUE(庫存金額!AC2)</f>
        <v>265315470</v>
      </c>
      <c r="AJ7" s="27">
        <f>VALUE(庫存金額!AD2)</f>
        <v>264736820</v>
      </c>
      <c r="AK7" s="27">
        <f>VALUE(庫存金額!AE2)</f>
        <v>266753471</v>
      </c>
      <c r="AL7" s="27">
        <f>VALUE(庫存金額!AF2)</f>
        <v>268981078</v>
      </c>
      <c r="AM7" s="27">
        <f>VALUE(庫存金額!AG2)</f>
        <v>266180110</v>
      </c>
      <c r="AN7" s="27">
        <f>VALUE(庫存金額!AH2)</f>
        <v>-2800968</v>
      </c>
      <c r="AO7" s="27">
        <f>VALUE(庫存金額!AI2)</f>
        <v>268887717</v>
      </c>
      <c r="AP7" s="16">
        <f t="shared" si="1"/>
        <v>26473.682000000001</v>
      </c>
      <c r="AQ7" s="17">
        <f t="shared" si="2"/>
        <v>26888.771700000001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6147893.6100000003</v>
      </c>
      <c r="E8" s="309">
        <f>HLOOKUP(MONTH(日期!$C$2),當年目標設定!$D$1:$O$33,6,TRUE)</f>
        <v>5188499.3892470002</v>
      </c>
      <c r="F8" s="308">
        <f>HLOOKUP(MONTH(日期!$C$2),當年目標設定!$R$1:$AC$33,6,TRUE)</f>
        <v>6018710.8847277509</v>
      </c>
      <c r="G8" s="308">
        <f>當年月推移!$P6</f>
        <v>5941106</v>
      </c>
      <c r="H8" s="308">
        <f>當年月推移!P40</f>
        <v>6759441</v>
      </c>
      <c r="I8" s="27">
        <f>VALUE(庫存金額!C4)</f>
        <v>5223447</v>
      </c>
      <c r="J8" s="27">
        <f>VALUE(庫存金額!D4)</f>
        <v>5381509</v>
      </c>
      <c r="K8" s="27">
        <f>VALUE(庫存金額!E4)</f>
        <v>5478870</v>
      </c>
      <c r="L8" s="27">
        <f>VALUE(庫存金額!F4)</f>
        <v>4191399</v>
      </c>
      <c r="M8" s="27">
        <f>VALUE(庫存金額!G4)</f>
        <v>4191399</v>
      </c>
      <c r="N8" s="27">
        <f>VALUE(庫存金額!H4)</f>
        <v>4191399</v>
      </c>
      <c r="O8" s="27">
        <f>VALUE(庫存金額!I4)</f>
        <v>5119958</v>
      </c>
      <c r="P8" s="27">
        <f>VALUE(庫存金額!J4)</f>
        <v>5806905</v>
      </c>
      <c r="Q8" s="27">
        <f>VALUE(庫存金額!K4)</f>
        <v>7108564</v>
      </c>
      <c r="R8" s="27">
        <f>VALUE(庫存金額!L4)</f>
        <v>7108564</v>
      </c>
      <c r="S8" s="27">
        <f>VALUE(庫存金額!M4)</f>
        <v>5029849</v>
      </c>
      <c r="T8" s="27">
        <f>VALUE(庫存金額!N4)</f>
        <v>5029849</v>
      </c>
      <c r="U8" s="27">
        <f>VALUE(庫存金額!O4)</f>
        <v>4295035</v>
      </c>
      <c r="V8" s="27">
        <f>VALUE(庫存金額!P4)</f>
        <v>4175789</v>
      </c>
      <c r="W8" s="27">
        <f>VALUE(庫存金額!Q4)</f>
        <v>4920180</v>
      </c>
      <c r="X8" s="27">
        <f>VALUE(庫存金額!R4)</f>
        <v>4001349</v>
      </c>
      <c r="Y8" s="27">
        <f>VALUE(庫存金額!S4)</f>
        <v>5757715</v>
      </c>
      <c r="Z8" s="27">
        <f>VALUE(庫存金額!T4)</f>
        <v>3648128</v>
      </c>
      <c r="AA8" s="27">
        <f>VALUE(庫存金額!U4)</f>
        <v>3648128</v>
      </c>
      <c r="AB8" s="27">
        <f>VALUE(庫存金額!V4)</f>
        <v>3057865</v>
      </c>
      <c r="AC8" s="27">
        <f>VALUE(庫存金額!W4)</f>
        <v>4161888</v>
      </c>
      <c r="AD8" s="27">
        <f>VALUE(庫存金額!X4)</f>
        <v>4110123</v>
      </c>
      <c r="AE8" s="27">
        <f>VALUE(庫存金額!Y4)</f>
        <v>5142754</v>
      </c>
      <c r="AF8" s="27">
        <f>VALUE(庫存金額!Z4)</f>
        <v>5142754</v>
      </c>
      <c r="AG8" s="27">
        <f>VALUE(庫存金額!AA4)</f>
        <v>5142754</v>
      </c>
      <c r="AH8" s="27">
        <f>VALUE(庫存金額!AB4)</f>
        <v>5142754</v>
      </c>
      <c r="AI8" s="27">
        <f>VALUE(庫存金額!AC4)</f>
        <v>3545960</v>
      </c>
      <c r="AJ8" s="27">
        <f>VALUE(庫存金額!AD4)</f>
        <v>4859002</v>
      </c>
      <c r="AK8" s="27">
        <f>VALUE(庫存金額!AE4)</f>
        <v>5228953</v>
      </c>
      <c r="AL8" s="27">
        <f>VALUE(庫存金額!AF4)</f>
        <v>5062228</v>
      </c>
      <c r="AM8" s="27">
        <f>VALUE(庫存金額!AG4)</f>
        <v>7374198</v>
      </c>
      <c r="AN8" s="27">
        <f>VALUE(庫存金額!AH4)</f>
        <v>2311970</v>
      </c>
      <c r="AO8" s="27">
        <f>VALUE(庫存金額!AI4)</f>
        <v>4912234.4800000004</v>
      </c>
      <c r="AP8" s="16">
        <f t="shared" si="1"/>
        <v>485.90019999999998</v>
      </c>
      <c r="AQ8" s="17">
        <f t="shared" si="2"/>
        <v>491.22344800000002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11974555.74</v>
      </c>
      <c r="E9" s="309">
        <f>HLOOKUP(MONTH(日期!$C$2),當年目標設定!$D$1:$O$33,7,TRUE)</f>
        <v>5490858.0462359991</v>
      </c>
      <c r="F9" s="308">
        <f>HLOOKUP(MONTH(日期!$C$2),當年目標設定!$R$1:$AC$33,7,TRUE)</f>
        <v>8101871.8906960292</v>
      </c>
      <c r="G9" s="308">
        <f>當年月推移!$P7</f>
        <v>7125166</v>
      </c>
      <c r="H9" s="308">
        <f>當年月推移!P41</f>
        <v>6865316</v>
      </c>
      <c r="I9" s="27">
        <f>VALUE(庫存金額!C5)</f>
        <v>5212761</v>
      </c>
      <c r="J9" s="27">
        <f>VALUE(庫存金額!D5)</f>
        <v>5091833</v>
      </c>
      <c r="K9" s="27">
        <f>VALUE(庫存金額!E5)</f>
        <v>5345264</v>
      </c>
      <c r="L9" s="27">
        <f>VALUE(庫存金額!F5)</f>
        <v>5300758</v>
      </c>
      <c r="M9" s="27">
        <f>VALUE(庫存金額!G5)</f>
        <v>5300758</v>
      </c>
      <c r="N9" s="27">
        <f>VALUE(庫存金額!H5)</f>
        <v>5300758</v>
      </c>
      <c r="O9" s="27">
        <f>VALUE(庫存金額!I5)</f>
        <v>5263116</v>
      </c>
      <c r="P9" s="27">
        <f>VALUE(庫存金額!J5)</f>
        <v>5144371</v>
      </c>
      <c r="Q9" s="27">
        <f>VALUE(庫存金額!K5)</f>
        <v>5203718</v>
      </c>
      <c r="R9" s="27">
        <f>VALUE(庫存金額!L5)</f>
        <v>5203718</v>
      </c>
      <c r="S9" s="27">
        <f>VALUE(庫存金額!M5)</f>
        <v>5088454</v>
      </c>
      <c r="T9" s="27">
        <f>VALUE(庫存金額!N5)</f>
        <v>5088454</v>
      </c>
      <c r="U9" s="27">
        <f>VALUE(庫存金額!O5)</f>
        <v>4973957</v>
      </c>
      <c r="V9" s="27">
        <f>VALUE(庫存金額!P5)</f>
        <v>4909372</v>
      </c>
      <c r="W9" s="27">
        <f>VALUE(庫存金額!Q5)</f>
        <v>4797639</v>
      </c>
      <c r="X9" s="27">
        <f>VALUE(庫存金額!R5)</f>
        <v>4702986</v>
      </c>
      <c r="Y9" s="27">
        <f>VALUE(庫存金額!S5)</f>
        <v>4735294</v>
      </c>
      <c r="Z9" s="27">
        <f>VALUE(庫存金額!T5)</f>
        <v>4681243</v>
      </c>
      <c r="AA9" s="27">
        <f>VALUE(庫存金額!U5)</f>
        <v>4681243</v>
      </c>
      <c r="AB9" s="27">
        <f>VALUE(庫存金額!V5)</f>
        <v>4620467</v>
      </c>
      <c r="AC9" s="27">
        <f>VALUE(庫存金額!W5)</f>
        <v>4774465</v>
      </c>
      <c r="AD9" s="27">
        <f>VALUE(庫存金額!X5)</f>
        <v>4674681</v>
      </c>
      <c r="AE9" s="27">
        <f>VALUE(庫存金額!Y5)</f>
        <v>4691534</v>
      </c>
      <c r="AF9" s="27">
        <f>VALUE(庫存金額!Z5)</f>
        <v>4691533</v>
      </c>
      <c r="AG9" s="27">
        <f>VALUE(庫存金額!AA5)</f>
        <v>4691533</v>
      </c>
      <c r="AH9" s="27">
        <f>VALUE(庫存金額!AB5)</f>
        <v>4672835</v>
      </c>
      <c r="AI9" s="27">
        <f>VALUE(庫存金額!AC5)</f>
        <v>4929221</v>
      </c>
      <c r="AJ9" s="27">
        <f>VALUE(庫存金額!AD5)</f>
        <v>4888437</v>
      </c>
      <c r="AK9" s="27">
        <f>VALUE(庫存金額!AE5)</f>
        <v>5011602</v>
      </c>
      <c r="AL9" s="27">
        <f>VALUE(庫存金額!AF5)</f>
        <v>4934030</v>
      </c>
      <c r="AM9" s="27">
        <f>VALUE(庫存金額!AG5)</f>
        <v>4865624</v>
      </c>
      <c r="AN9" s="27">
        <f>VALUE(庫存金額!AH5)</f>
        <v>-68406</v>
      </c>
      <c r="AO9" s="27">
        <f>VALUE(庫存金額!AI5)</f>
        <v>4950698.68</v>
      </c>
      <c r="AP9" s="16">
        <f t="shared" si="1"/>
        <v>488.84370000000001</v>
      </c>
      <c r="AQ9" s="17">
        <f t="shared" si="2"/>
        <v>495.06986799999999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19581492.870000001</v>
      </c>
      <c r="E10" s="309">
        <f>HLOOKUP(MONTH(日期!$C$2),當年目標設定!$D$1:$O$33,8,TRUE)</f>
        <v>18508136.068548001</v>
      </c>
      <c r="F10" s="308">
        <f>HLOOKUP(MONTH(日期!$C$2),當年目標設定!$R$1:$AC$33,8,TRUE)</f>
        <v>18601561.986629721</v>
      </c>
      <c r="G10" s="308">
        <f>當年月推移!$P8</f>
        <v>19795379</v>
      </c>
      <c r="H10" s="308">
        <f>當年月推移!P42</f>
        <v>21079772</v>
      </c>
      <c r="I10" s="27">
        <f>VALUE(庫存金額!C6)</f>
        <v>21489784</v>
      </c>
      <c r="J10" s="27">
        <f>VALUE(庫存金額!D6)</f>
        <v>22821681</v>
      </c>
      <c r="K10" s="27">
        <f>VALUE(庫存金額!E6)</f>
        <v>21573725</v>
      </c>
      <c r="L10" s="27">
        <f>VALUE(庫存金額!F6)</f>
        <v>20004989</v>
      </c>
      <c r="M10" s="27">
        <f>VALUE(庫存金額!G6)</f>
        <v>20004989</v>
      </c>
      <c r="N10" s="27">
        <f>VALUE(庫存金額!H6)</f>
        <v>20003864</v>
      </c>
      <c r="O10" s="27">
        <f>VALUE(庫存金額!I6)</f>
        <v>21494529</v>
      </c>
      <c r="P10" s="27">
        <f>VALUE(庫存金額!J6)</f>
        <v>20451532</v>
      </c>
      <c r="Q10" s="27">
        <f>VALUE(庫存金額!K6)</f>
        <v>23505048</v>
      </c>
      <c r="R10" s="27">
        <f>VALUE(庫存金額!L6)</f>
        <v>23505048</v>
      </c>
      <c r="S10" s="27">
        <f>VALUE(庫存金額!M6)</f>
        <v>20230270</v>
      </c>
      <c r="T10" s="27">
        <f>VALUE(庫存金額!N6)</f>
        <v>20230270</v>
      </c>
      <c r="U10" s="27">
        <f>VALUE(庫存金額!O6)</f>
        <v>20025633</v>
      </c>
      <c r="V10" s="27">
        <f>VALUE(庫存金額!P6)</f>
        <v>20038796</v>
      </c>
      <c r="W10" s="27">
        <f>VALUE(庫存金額!Q6)</f>
        <v>19784993</v>
      </c>
      <c r="X10" s="27">
        <f>VALUE(庫存金額!R6)</f>
        <v>19322633</v>
      </c>
      <c r="Y10" s="27">
        <f>VALUE(庫存金額!S6)</f>
        <v>20615942</v>
      </c>
      <c r="Z10" s="27">
        <f>VALUE(庫存金額!T6)</f>
        <v>18224810</v>
      </c>
      <c r="AA10" s="27">
        <f>VALUE(庫存金額!U6)</f>
        <v>18224810</v>
      </c>
      <c r="AB10" s="27">
        <f>VALUE(庫存金額!V6)</f>
        <v>18010103</v>
      </c>
      <c r="AC10" s="27">
        <f>VALUE(庫存金額!W6)</f>
        <v>18519832</v>
      </c>
      <c r="AD10" s="27">
        <f>VALUE(庫存金額!X6)</f>
        <v>18749998</v>
      </c>
      <c r="AE10" s="27">
        <f>VALUE(庫存金額!Y6)</f>
        <v>19604907</v>
      </c>
      <c r="AF10" s="27">
        <f>VALUE(庫存金額!Z6)</f>
        <v>19606342</v>
      </c>
      <c r="AG10" s="27">
        <f>VALUE(庫存金額!AA6)</f>
        <v>19606820</v>
      </c>
      <c r="AH10" s="27">
        <f>VALUE(庫存金額!AB6)</f>
        <v>19497664</v>
      </c>
      <c r="AI10" s="27">
        <f>VALUE(庫存金額!AC6)</f>
        <v>16545568</v>
      </c>
      <c r="AJ10" s="27">
        <f>VALUE(庫存金額!AD6)</f>
        <v>16214038</v>
      </c>
      <c r="AK10" s="27">
        <f>VALUE(庫存金額!AE6)</f>
        <v>16618312</v>
      </c>
      <c r="AL10" s="27">
        <f>VALUE(庫存金額!AF6)</f>
        <v>18785396</v>
      </c>
      <c r="AM10" s="27">
        <f>VALUE(庫存金額!AG6)</f>
        <v>19581890</v>
      </c>
      <c r="AN10" s="27">
        <f>VALUE(庫存金額!AH6)</f>
        <v>796494</v>
      </c>
      <c r="AO10" s="27">
        <f>VALUE(庫存金額!AI6)</f>
        <v>19770781.16</v>
      </c>
      <c r="AP10" s="16">
        <f t="shared" si="1"/>
        <v>1621.4038</v>
      </c>
      <c r="AQ10" s="17">
        <f t="shared" si="2"/>
        <v>1977.0781159999999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12475311.189999999</v>
      </c>
      <c r="E12" s="309">
        <f>HLOOKUP(MONTH(日期!$C$2),當年目標設定!$D$1:$O$33,10,TRUE)</f>
        <v>10737110.883064501</v>
      </c>
      <c r="F12" s="308">
        <f>HLOOKUP(MONTH(日期!$C$2),當年目標設定!$R$1:$AC$33,10,TRUE)</f>
        <v>11627896.742446832</v>
      </c>
      <c r="G12" s="308">
        <f>當年月推移!$P10</f>
        <v>11373234</v>
      </c>
      <c r="H12" s="308">
        <f>當年月推移!P44</f>
        <v>18239137</v>
      </c>
      <c r="I12" s="27">
        <f>VALUE(庫存金額!C8)</f>
        <v>16021865</v>
      </c>
      <c r="J12" s="27">
        <f>VALUE(庫存金額!D8)</f>
        <v>13999450</v>
      </c>
      <c r="K12" s="27">
        <f>VALUE(庫存金額!E8)</f>
        <v>14496048</v>
      </c>
      <c r="L12" s="27">
        <f>VALUE(庫存金額!F8)</f>
        <v>11729319</v>
      </c>
      <c r="M12" s="27">
        <f>VALUE(庫存金額!G8)</f>
        <v>11726748</v>
      </c>
      <c r="N12" s="27">
        <f>VALUE(庫存金額!H8)</f>
        <v>11722835</v>
      </c>
      <c r="O12" s="27">
        <f>VALUE(庫存金額!I8)</f>
        <v>11903684</v>
      </c>
      <c r="P12" s="27">
        <f>VALUE(庫存金額!J8)</f>
        <v>13156867</v>
      </c>
      <c r="Q12" s="27">
        <f>VALUE(庫存金額!K8)</f>
        <v>14458900</v>
      </c>
      <c r="R12" s="27">
        <f>VALUE(庫存金額!L8)</f>
        <v>14458900</v>
      </c>
      <c r="S12" s="27">
        <f>VALUE(庫存金額!M8)</f>
        <v>9543373</v>
      </c>
      <c r="T12" s="27">
        <f>VALUE(庫存金額!N8)</f>
        <v>9543373</v>
      </c>
      <c r="U12" s="27">
        <f>VALUE(庫存金額!O8)</f>
        <v>9660897</v>
      </c>
      <c r="V12" s="27">
        <f>VALUE(庫存金額!P8)</f>
        <v>11141235</v>
      </c>
      <c r="W12" s="27">
        <f>VALUE(庫存金額!Q8)</f>
        <v>10411568</v>
      </c>
      <c r="X12" s="27">
        <f>VALUE(庫存金額!R8)</f>
        <v>10469238</v>
      </c>
      <c r="Y12" s="27">
        <f>VALUE(庫存金額!S8)</f>
        <v>11024543</v>
      </c>
      <c r="Z12" s="27">
        <f>VALUE(庫存金額!T8)</f>
        <v>7933312</v>
      </c>
      <c r="AA12" s="27">
        <f>VALUE(庫存金額!U8)</f>
        <v>7933312</v>
      </c>
      <c r="AB12" s="27">
        <f>VALUE(庫存金額!V8)</f>
        <v>6584215</v>
      </c>
      <c r="AC12" s="27">
        <f>VALUE(庫存金額!W8)</f>
        <v>9482710</v>
      </c>
      <c r="AD12" s="27">
        <f>VALUE(庫存金額!X8)</f>
        <v>10017861</v>
      </c>
      <c r="AE12" s="27">
        <f>VALUE(庫存金額!Y8)</f>
        <v>10985972</v>
      </c>
      <c r="AF12" s="27">
        <f>VALUE(庫存金額!Z8)</f>
        <v>10985972</v>
      </c>
      <c r="AG12" s="27">
        <f>VALUE(庫存金額!AA8)</f>
        <v>10985972</v>
      </c>
      <c r="AH12" s="27">
        <f>VALUE(庫存金額!AB8)</f>
        <v>10880658</v>
      </c>
      <c r="AI12" s="27">
        <f>VALUE(庫存金額!AC8)</f>
        <v>10968643</v>
      </c>
      <c r="AJ12" s="27">
        <f>VALUE(庫存金額!AD8)</f>
        <v>10809094</v>
      </c>
      <c r="AK12" s="27">
        <f>VALUE(庫存金額!AE8)</f>
        <v>14225069</v>
      </c>
      <c r="AL12" s="27">
        <f>VALUE(庫存金額!AF8)</f>
        <v>15017446</v>
      </c>
      <c r="AM12" s="27">
        <f>VALUE(庫存金額!AG8)</f>
        <v>16691842</v>
      </c>
      <c r="AN12" s="27">
        <f>VALUE(庫存金額!AH8)</f>
        <v>1674396</v>
      </c>
      <c r="AO12" s="27">
        <f>VALUE(庫存金額!AI8)</f>
        <v>11579707.130000001</v>
      </c>
      <c r="AP12" s="16">
        <f t="shared" si="1"/>
        <v>1080.9094</v>
      </c>
      <c r="AQ12" s="17">
        <f t="shared" si="2"/>
        <v>1157.9707130000002</v>
      </c>
      <c r="AR12" s="22"/>
    </row>
    <row r="13" spans="1:44" s="14" customFormat="1" ht="21.95" customHeight="1">
      <c r="A13" s="23"/>
      <c r="B13" s="652" t="s">
        <v>17</v>
      </c>
      <c r="C13" s="653"/>
      <c r="D13" s="323">
        <f t="shared" ref="D13:I13" si="5">SUM(D14:D17)</f>
        <v>10211297.779999999</v>
      </c>
      <c r="E13" s="323">
        <f t="shared" si="5"/>
        <v>10682112.189514749</v>
      </c>
      <c r="F13" s="323">
        <f t="shared" si="5"/>
        <v>11717944.751108028</v>
      </c>
      <c r="G13" s="323">
        <f t="shared" si="5"/>
        <v>2824883</v>
      </c>
      <c r="H13" s="323">
        <f t="shared" si="5"/>
        <v>2797479</v>
      </c>
      <c r="I13" s="20">
        <f t="shared" si="5"/>
        <v>10587893</v>
      </c>
      <c r="J13" s="20">
        <f t="shared" ref="J13:AO13" si="6">SUM(J14:J17)</f>
        <v>10497983</v>
      </c>
      <c r="K13" s="20">
        <f t="shared" si="6"/>
        <v>10945402</v>
      </c>
      <c r="L13" s="20">
        <f t="shared" si="6"/>
        <v>9863335</v>
      </c>
      <c r="M13" s="20">
        <f t="shared" si="6"/>
        <v>9863080</v>
      </c>
      <c r="N13" s="20">
        <f t="shared" si="6"/>
        <v>9859556</v>
      </c>
      <c r="O13" s="20">
        <f t="shared" si="6"/>
        <v>12385491</v>
      </c>
      <c r="P13" s="20">
        <f t="shared" si="6"/>
        <v>11376091</v>
      </c>
      <c r="Q13" s="20">
        <f t="shared" si="6"/>
        <v>12208084</v>
      </c>
      <c r="R13" s="20">
        <f t="shared" si="6"/>
        <v>12208084</v>
      </c>
      <c r="S13" s="20">
        <f t="shared" si="6"/>
        <v>9731004</v>
      </c>
      <c r="T13" s="20">
        <f t="shared" si="6"/>
        <v>9731004</v>
      </c>
      <c r="U13" s="20">
        <f t="shared" si="6"/>
        <v>9950193</v>
      </c>
      <c r="V13" s="20">
        <f t="shared" si="6"/>
        <v>11994758</v>
      </c>
      <c r="W13" s="20">
        <f t="shared" si="6"/>
        <v>12451556</v>
      </c>
      <c r="X13" s="20">
        <f t="shared" si="6"/>
        <v>11327120</v>
      </c>
      <c r="Y13" s="20">
        <f t="shared" si="6"/>
        <v>11990042</v>
      </c>
      <c r="Z13" s="20">
        <f t="shared" si="6"/>
        <v>10214522</v>
      </c>
      <c r="AA13" s="20">
        <f t="shared" si="6"/>
        <v>10214522</v>
      </c>
      <c r="AB13" s="20">
        <f t="shared" si="6"/>
        <v>8169590</v>
      </c>
      <c r="AC13" s="20">
        <f t="shared" si="6"/>
        <v>10251398</v>
      </c>
      <c r="AD13" s="20">
        <f t="shared" si="6"/>
        <v>8841924</v>
      </c>
      <c r="AE13" s="20">
        <f t="shared" si="6"/>
        <v>9139277</v>
      </c>
      <c r="AF13" s="20">
        <f t="shared" si="6"/>
        <v>9139277</v>
      </c>
      <c r="AG13" s="20">
        <f t="shared" si="6"/>
        <v>9139277</v>
      </c>
      <c r="AH13" s="20">
        <f t="shared" si="6"/>
        <v>9019802</v>
      </c>
      <c r="AI13" s="20">
        <f t="shared" si="6"/>
        <v>8187794</v>
      </c>
      <c r="AJ13" s="20">
        <f t="shared" si="6"/>
        <v>9921145</v>
      </c>
      <c r="AK13" s="20">
        <f t="shared" si="6"/>
        <v>9525317</v>
      </c>
      <c r="AL13" s="20">
        <f t="shared" si="6"/>
        <v>9995232</v>
      </c>
      <c r="AM13" s="20">
        <f t="shared" si="6"/>
        <v>10618298</v>
      </c>
      <c r="AN13" s="20">
        <f t="shared" si="6"/>
        <v>623066</v>
      </c>
      <c r="AO13" s="20">
        <f t="shared" si="6"/>
        <v>10301550.029999999</v>
      </c>
      <c r="AP13" s="16">
        <f t="shared" si="1"/>
        <v>992.11450000000002</v>
      </c>
      <c r="AQ13" s="17">
        <f t="shared" si="2"/>
        <v>1030.1550029999999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1647552.94</v>
      </c>
      <c r="E15" s="309">
        <f>HLOOKUP(MONTH(日期!$C$2),當年目標設定!$D$1:$O$33,13,TRUE)</f>
        <v>2222609.2599455002</v>
      </c>
      <c r="F15" s="308">
        <f>HLOOKUP(MONTH(日期!$C$2),當年目標設定!$R$1:$AC$33,13,TRUE)</f>
        <v>2650437.0819263053</v>
      </c>
      <c r="G15" s="308">
        <f>當年月推移!P13</f>
        <v>2561927</v>
      </c>
      <c r="H15" s="308">
        <f>當年月推移!P47</f>
        <v>2533059</v>
      </c>
      <c r="I15" s="27">
        <f>VALUE(庫存金額!C10)</f>
        <v>2275724</v>
      </c>
      <c r="J15" s="27">
        <f>VALUE(庫存金額!D10)</f>
        <v>2161274</v>
      </c>
      <c r="K15" s="27">
        <f>VALUE(庫存金額!E10)</f>
        <v>1976439</v>
      </c>
      <c r="L15" s="27">
        <f>VALUE(庫存金額!F10)</f>
        <v>1931894</v>
      </c>
      <c r="M15" s="27">
        <f>VALUE(庫存金額!G10)</f>
        <v>1931894</v>
      </c>
      <c r="N15" s="27">
        <f>VALUE(庫存金額!H10)</f>
        <v>1931894</v>
      </c>
      <c r="O15" s="27">
        <f>VALUE(庫存金額!I10)</f>
        <v>1802204</v>
      </c>
      <c r="P15" s="27">
        <f>VALUE(庫存金額!J10)</f>
        <v>1733724</v>
      </c>
      <c r="Q15" s="27">
        <f>VALUE(庫存金額!K10)</f>
        <v>1643564</v>
      </c>
      <c r="R15" s="27">
        <f>VALUE(庫存金額!L10)</f>
        <v>1643564</v>
      </c>
      <c r="S15" s="27">
        <f>VALUE(庫存金額!M10)</f>
        <v>1558384</v>
      </c>
      <c r="T15" s="27">
        <f>VALUE(庫存金額!N10)</f>
        <v>1558384</v>
      </c>
      <c r="U15" s="27">
        <f>VALUE(庫存金額!O10)</f>
        <v>1458979</v>
      </c>
      <c r="V15" s="27">
        <f>VALUE(庫存金額!P10)</f>
        <v>1333804</v>
      </c>
      <c r="W15" s="27">
        <f>VALUE(庫存金額!Q10)</f>
        <v>1848619</v>
      </c>
      <c r="X15" s="27">
        <f>VALUE(庫存金額!R10)</f>
        <v>2164079</v>
      </c>
      <c r="Y15" s="27">
        <f>VALUE(庫存金額!S10)</f>
        <v>2065744</v>
      </c>
      <c r="Z15" s="27">
        <f>VALUE(庫存金額!T10)</f>
        <v>1998439</v>
      </c>
      <c r="AA15" s="27">
        <f>VALUE(庫存金額!U10)</f>
        <v>1998439</v>
      </c>
      <c r="AB15" s="27">
        <f>VALUE(庫存金額!V10)</f>
        <v>1869944</v>
      </c>
      <c r="AC15" s="27">
        <f>VALUE(庫存金額!W10)</f>
        <v>1835074</v>
      </c>
      <c r="AD15" s="27">
        <f>VALUE(庫存金額!X10)</f>
        <v>2124564</v>
      </c>
      <c r="AE15" s="27">
        <f>VALUE(庫存金額!Y10)</f>
        <v>2071549</v>
      </c>
      <c r="AF15" s="27">
        <f>VALUE(庫存金額!Z10)</f>
        <v>2071549</v>
      </c>
      <c r="AG15" s="27">
        <f>VALUE(庫存金額!AA10)</f>
        <v>2071549</v>
      </c>
      <c r="AH15" s="27">
        <f>VALUE(庫存金額!AB10)</f>
        <v>2009599</v>
      </c>
      <c r="AI15" s="27">
        <f>VALUE(庫存金額!AC10)</f>
        <v>2091734</v>
      </c>
      <c r="AJ15" s="27">
        <f>VALUE(庫存金額!AD10)</f>
        <v>2071714</v>
      </c>
      <c r="AK15" s="27">
        <f>VALUE(庫存金額!AE10)</f>
        <v>2031394</v>
      </c>
      <c r="AL15" s="27">
        <f>VALUE(庫存金額!AF10)</f>
        <v>2464904</v>
      </c>
      <c r="AM15" s="27">
        <f>VALUE(庫存金額!AG10)</f>
        <v>2388094</v>
      </c>
      <c r="AN15" s="27">
        <f>VALUE(庫存金額!AH10)</f>
        <v>-76810</v>
      </c>
      <c r="AO15" s="27">
        <f>VALUE(庫存金額!AI10)</f>
        <v>1939313.35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232240.58</v>
      </c>
      <c r="E16" s="309">
        <f>HLOOKUP(MONTH(日期!$C$2),當年目標設定!$D$1:$O$33,14,TRUE)</f>
        <v>265382.84139749996</v>
      </c>
      <c r="F16" s="308">
        <f>HLOOKUP(MONTH(日期!$C$2),當年目標設定!$R$1:$AC$33,14,TRUE)</f>
        <v>320485.38471902779</v>
      </c>
      <c r="G16" s="308">
        <f>當年月推移!P15</f>
        <v>262956</v>
      </c>
      <c r="H16" s="308">
        <f>當年月推移!P49</f>
        <v>264420</v>
      </c>
      <c r="I16" s="232">
        <f>VALUE(庫存金額!C14)</f>
        <v>155048</v>
      </c>
      <c r="J16" s="232">
        <f>VALUE(庫存金額!D14)</f>
        <v>153428</v>
      </c>
      <c r="K16" s="232">
        <f>VALUE(庫存金額!E14)</f>
        <v>152348</v>
      </c>
      <c r="L16" s="232">
        <f>VALUE(庫存金額!F14)</f>
        <v>151808</v>
      </c>
      <c r="M16" s="232">
        <f>VALUE(庫存金額!G14)</f>
        <v>151808</v>
      </c>
      <c r="N16" s="232">
        <f>VALUE(庫存金額!H14)</f>
        <v>151808</v>
      </c>
      <c r="O16" s="232">
        <f>VALUE(庫存金額!I14)</f>
        <v>145858</v>
      </c>
      <c r="P16" s="232">
        <f>VALUE(庫存金額!J14)</f>
        <v>135198</v>
      </c>
      <c r="Q16" s="232">
        <f>VALUE(庫存金額!K14)</f>
        <v>127008</v>
      </c>
      <c r="R16" s="232">
        <f>VALUE(庫存金額!L14)</f>
        <v>127008</v>
      </c>
      <c r="S16" s="232">
        <f>VALUE(庫存金額!M14)</f>
        <v>125928</v>
      </c>
      <c r="T16" s="232">
        <f>VALUE(庫存金額!N14)</f>
        <v>125928</v>
      </c>
      <c r="U16" s="232">
        <f>VALUE(庫存金額!O14)</f>
        <v>124848</v>
      </c>
      <c r="V16" s="232">
        <f>VALUE(庫存金額!P14)</f>
        <v>122688</v>
      </c>
      <c r="W16" s="232">
        <f>VALUE(庫存金額!Q14)</f>
        <v>121838</v>
      </c>
      <c r="X16" s="232">
        <f>VALUE(庫存金額!R14)</f>
        <v>121298</v>
      </c>
      <c r="Y16" s="232">
        <f>VALUE(庫存金額!S14)</f>
        <v>120238</v>
      </c>
      <c r="Z16" s="232">
        <f>VALUE(庫存金額!T14)</f>
        <v>120238</v>
      </c>
      <c r="AA16" s="232">
        <f>VALUE(庫存金額!U14)</f>
        <v>120238</v>
      </c>
      <c r="AB16" s="232">
        <f>VALUE(庫存金額!V14)</f>
        <v>120238</v>
      </c>
      <c r="AC16" s="232">
        <f>VALUE(庫存金額!W14)</f>
        <v>166488</v>
      </c>
      <c r="AD16" s="232">
        <f>VALUE(庫存金額!X14)</f>
        <v>151448</v>
      </c>
      <c r="AE16" s="232">
        <f>VALUE(庫存金額!Y14)</f>
        <v>148208</v>
      </c>
      <c r="AF16" s="232">
        <f>VALUE(庫存金額!Z14)</f>
        <v>148208</v>
      </c>
      <c r="AG16" s="232">
        <f>VALUE(庫存金額!AA14)</f>
        <v>148208</v>
      </c>
      <c r="AH16" s="232">
        <f>VALUE(庫存金額!AB14)</f>
        <v>148208</v>
      </c>
      <c r="AI16" s="232">
        <f>VALUE(庫存金額!AC14)</f>
        <v>144968</v>
      </c>
      <c r="AJ16" s="232">
        <f>VALUE(庫存金額!AD14)</f>
        <v>144428</v>
      </c>
      <c r="AK16" s="232">
        <f>VALUE(庫存金額!AE14)</f>
        <v>144428</v>
      </c>
      <c r="AL16" s="232">
        <f>VALUE(庫存金額!AF14)</f>
        <v>139948</v>
      </c>
      <c r="AM16" s="232">
        <f>VALUE(庫存金額!AG14)</f>
        <v>139948</v>
      </c>
      <c r="AN16" s="232">
        <f>VALUE(庫存金額!AH14)</f>
        <v>0</v>
      </c>
      <c r="AO16" s="232">
        <f>VALUE(庫存金額!AI14)</f>
        <v>138686.71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8331504.2599999998</v>
      </c>
      <c r="E17" s="309">
        <f>HLOOKUP(MONTH(日期!$C$2),當年目標設定!$D$1:$O$33,15,TRUE)</f>
        <v>8194120.0881717494</v>
      </c>
      <c r="F17" s="308">
        <f>HLOOKUP(MONTH(日期!$C$2),當年目標設定!$R$1:$AC$33,15,TRUE)</f>
        <v>8747022.2844626959</v>
      </c>
      <c r="G17" s="308">
        <f>當年月推移!P33</f>
        <v>0</v>
      </c>
      <c r="H17" s="308">
        <f>當年月推移!P67</f>
        <v>0</v>
      </c>
      <c r="I17" s="232">
        <f>VALUE(庫存金額!C24)</f>
        <v>8157121</v>
      </c>
      <c r="J17" s="232">
        <f>VALUE(庫存金額!D24)</f>
        <v>8183281</v>
      </c>
      <c r="K17" s="232">
        <f>VALUE(庫存金額!E24)</f>
        <v>8816615</v>
      </c>
      <c r="L17" s="232">
        <f>VALUE(庫存金額!F24)</f>
        <v>7779633</v>
      </c>
      <c r="M17" s="232">
        <f>VALUE(庫存金額!G24)</f>
        <v>7779378</v>
      </c>
      <c r="N17" s="232">
        <f>VALUE(庫存金額!H24)</f>
        <v>7775854</v>
      </c>
      <c r="O17" s="232">
        <f>VALUE(庫存金額!I24)</f>
        <v>10437429</v>
      </c>
      <c r="P17" s="232">
        <f>VALUE(庫存金額!J24)</f>
        <v>9507169</v>
      </c>
      <c r="Q17" s="232">
        <f>VALUE(庫存金額!K24)</f>
        <v>10437512</v>
      </c>
      <c r="R17" s="232">
        <f>VALUE(庫存金額!L24)</f>
        <v>10437512</v>
      </c>
      <c r="S17" s="232">
        <f>VALUE(庫存金額!M24)</f>
        <v>8046692</v>
      </c>
      <c r="T17" s="232">
        <f>VALUE(庫存金額!N24)</f>
        <v>8046692</v>
      </c>
      <c r="U17" s="232">
        <f>VALUE(庫存金額!O24)</f>
        <v>8366366</v>
      </c>
      <c r="V17" s="232">
        <f>VALUE(庫存金額!P24)</f>
        <v>10538266</v>
      </c>
      <c r="W17" s="232">
        <f>VALUE(庫存金額!Q24)</f>
        <v>10481099</v>
      </c>
      <c r="X17" s="232">
        <f>VALUE(庫存金額!R24)</f>
        <v>9041743</v>
      </c>
      <c r="Y17" s="232">
        <f>VALUE(庫存金額!S24)</f>
        <v>9804060</v>
      </c>
      <c r="Z17" s="232">
        <f>VALUE(庫存金額!T24)</f>
        <v>8095845</v>
      </c>
      <c r="AA17" s="232">
        <f>VALUE(庫存金額!U24)</f>
        <v>8095845</v>
      </c>
      <c r="AB17" s="232">
        <f>VALUE(庫存金額!V24)</f>
        <v>6179408</v>
      </c>
      <c r="AC17" s="232">
        <f>VALUE(庫存金額!W24)</f>
        <v>8249836</v>
      </c>
      <c r="AD17" s="232">
        <f>VALUE(庫存金額!X24)</f>
        <v>6565912</v>
      </c>
      <c r="AE17" s="232">
        <f>VALUE(庫存金額!Y24)</f>
        <v>6919520</v>
      </c>
      <c r="AF17" s="232">
        <f>VALUE(庫存金額!Z24)</f>
        <v>6919520</v>
      </c>
      <c r="AG17" s="232">
        <f>VALUE(庫存金額!AA24)</f>
        <v>6919520</v>
      </c>
      <c r="AH17" s="232">
        <f>VALUE(庫存金額!AB24)</f>
        <v>6861995</v>
      </c>
      <c r="AI17" s="232">
        <f>VALUE(庫存金額!AC24)</f>
        <v>5951092</v>
      </c>
      <c r="AJ17" s="232">
        <f>VALUE(庫存金額!AD24)</f>
        <v>7705003</v>
      </c>
      <c r="AK17" s="232">
        <f>VALUE(庫存金額!AE24)</f>
        <v>7349495</v>
      </c>
      <c r="AL17" s="232">
        <f>VALUE(庫存金額!AF24)</f>
        <v>7390380</v>
      </c>
      <c r="AM17" s="232">
        <f>VALUE(庫存金額!AG24)</f>
        <v>8090256</v>
      </c>
      <c r="AN17" s="232">
        <f>VALUE(庫存金額!AH24)</f>
        <v>699876</v>
      </c>
      <c r="AO17" s="232">
        <f>VALUE(庫存金額!AI24)</f>
        <v>8223549.9699999997</v>
      </c>
    </row>
    <row r="18" spans="1:44" s="14" customFormat="1" ht="21.95" customHeight="1">
      <c r="A18" s="23"/>
      <c r="B18" s="660" t="s">
        <v>22</v>
      </c>
      <c r="C18" s="661"/>
      <c r="D18" s="324">
        <f t="shared" ref="D18:I18" si="7">SUM(D19:D25)</f>
        <v>199273126.387095</v>
      </c>
      <c r="E18" s="554">
        <f t="shared" si="7"/>
        <v>289595248.7085458</v>
      </c>
      <c r="F18" s="324">
        <f t="shared" si="7"/>
        <v>279825793.45840359</v>
      </c>
      <c r="G18" s="317">
        <f t="shared" si="7"/>
        <v>237281880</v>
      </c>
      <c r="H18" s="317">
        <f t="shared" si="7"/>
        <v>236942678</v>
      </c>
      <c r="I18" s="237">
        <f t="shared" si="7"/>
        <v>224851999</v>
      </c>
      <c r="J18" s="237">
        <f t="shared" ref="J18:AO18" si="8">SUM(J19:J25)</f>
        <v>226569766</v>
      </c>
      <c r="K18" s="237">
        <f t="shared" si="8"/>
        <v>225668779</v>
      </c>
      <c r="L18" s="237">
        <f t="shared" si="8"/>
        <v>222848832</v>
      </c>
      <c r="M18" s="237">
        <f t="shared" si="8"/>
        <v>222848832</v>
      </c>
      <c r="N18" s="237">
        <f t="shared" si="8"/>
        <v>222848832</v>
      </c>
      <c r="O18" s="237">
        <f t="shared" si="8"/>
        <v>224154227</v>
      </c>
      <c r="P18" s="237">
        <f t="shared" si="8"/>
        <v>225919105</v>
      </c>
      <c r="Q18" s="237">
        <f t="shared" si="8"/>
        <v>229070758</v>
      </c>
      <c r="R18" s="237">
        <f t="shared" si="8"/>
        <v>229237390</v>
      </c>
      <c r="S18" s="237">
        <f t="shared" si="8"/>
        <v>224738151</v>
      </c>
      <c r="T18" s="237">
        <f t="shared" si="8"/>
        <v>224738151</v>
      </c>
      <c r="U18" s="237">
        <f t="shared" si="8"/>
        <v>221600887</v>
      </c>
      <c r="V18" s="237">
        <f t="shared" si="8"/>
        <v>221081422</v>
      </c>
      <c r="W18" s="237">
        <f t="shared" si="8"/>
        <v>218722890</v>
      </c>
      <c r="X18" s="237">
        <f t="shared" si="8"/>
        <v>218275662</v>
      </c>
      <c r="Y18" s="237">
        <f t="shared" si="8"/>
        <v>217621386</v>
      </c>
      <c r="Z18" s="237">
        <f t="shared" si="8"/>
        <v>213640388</v>
      </c>
      <c r="AA18" s="237">
        <f t="shared" si="8"/>
        <v>213640388</v>
      </c>
      <c r="AB18" s="237">
        <f t="shared" si="8"/>
        <v>211655494</v>
      </c>
      <c r="AC18" s="237">
        <f t="shared" si="8"/>
        <v>214090407</v>
      </c>
      <c r="AD18" s="237">
        <f t="shared" si="8"/>
        <v>214291209</v>
      </c>
      <c r="AE18" s="237">
        <f t="shared" si="8"/>
        <v>214340406</v>
      </c>
      <c r="AF18" s="237">
        <f t="shared" si="8"/>
        <v>214340406</v>
      </c>
      <c r="AG18" s="237">
        <f t="shared" si="8"/>
        <v>214351498</v>
      </c>
      <c r="AH18" s="237">
        <f t="shared" si="8"/>
        <v>213582542</v>
      </c>
      <c r="AI18" s="237">
        <f t="shared" si="8"/>
        <v>211050998</v>
      </c>
      <c r="AJ18" s="237">
        <f t="shared" si="8"/>
        <v>212426297</v>
      </c>
      <c r="AK18" s="237">
        <f t="shared" si="8"/>
        <v>213791354</v>
      </c>
      <c r="AL18" s="237">
        <f t="shared" si="8"/>
        <v>217728123</v>
      </c>
      <c r="AM18" s="237">
        <f t="shared" si="8"/>
        <v>213908797</v>
      </c>
      <c r="AN18" s="237">
        <f t="shared" si="8"/>
        <v>-3819326</v>
      </c>
      <c r="AO18" s="237">
        <f t="shared" si="8"/>
        <v>219149528.25</v>
      </c>
      <c r="AP18" s="16">
        <f>AJ18/10000</f>
        <v>21242.629700000001</v>
      </c>
      <c r="AQ18" s="17">
        <f>AO18/10000</f>
        <v>21914.952825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170701080.51612899</v>
      </c>
      <c r="E19" s="555">
        <f>HLOOKUP(MONTH(日期!$C$2),當年目標設定!$D$1:$O$33,17,TRUE)</f>
        <v>262018935.01648533</v>
      </c>
      <c r="F19" s="309">
        <f>HLOOKUP(MONTH(日期!$C$2),當年目標設定!$R$1:$AC$33,17,TRUE)</f>
        <v>253908890.02740717</v>
      </c>
      <c r="G19" s="308">
        <f>當年月推移!P17</f>
        <v>218326642</v>
      </c>
      <c r="H19" s="308">
        <f>當年月推移!P51</f>
        <v>217929904</v>
      </c>
      <c r="I19" s="27">
        <f>VALUE(庫存金額!C3)</f>
        <v>189086926</v>
      </c>
      <c r="J19" s="27">
        <f>VALUE(庫存金額!D3)</f>
        <v>191454544</v>
      </c>
      <c r="K19" s="27">
        <f>VALUE(庫存金額!E3)</f>
        <v>192781660</v>
      </c>
      <c r="L19" s="27">
        <f>VALUE(庫存金額!F3)</f>
        <v>191192576</v>
      </c>
      <c r="M19" s="27">
        <f>VALUE(庫存金額!G3)</f>
        <v>191192576</v>
      </c>
      <c r="N19" s="27">
        <f>VALUE(庫存金額!H3)</f>
        <v>191192576</v>
      </c>
      <c r="O19" s="27">
        <f>VALUE(庫存金額!I3)</f>
        <v>191770102</v>
      </c>
      <c r="P19" s="27">
        <f>VALUE(庫存金額!J3)</f>
        <v>193435090</v>
      </c>
      <c r="Q19" s="27">
        <f>VALUE(庫存金額!K3)</f>
        <v>194508696</v>
      </c>
      <c r="R19" s="27">
        <f>VALUE(庫存金額!L3)</f>
        <v>194675328</v>
      </c>
      <c r="S19" s="27">
        <f>VALUE(庫存金額!M3)</f>
        <v>192733072</v>
      </c>
      <c r="T19" s="27">
        <f>VALUE(庫存金額!N3)</f>
        <v>192733072</v>
      </c>
      <c r="U19" s="27">
        <f>VALUE(庫存金額!O3)</f>
        <v>190725449</v>
      </c>
      <c r="V19" s="27">
        <f>VALUE(庫存金額!P3)</f>
        <v>190869108</v>
      </c>
      <c r="W19" s="27">
        <f>VALUE(庫存金額!Q3)</f>
        <v>188934811</v>
      </c>
      <c r="X19" s="27">
        <f>VALUE(庫存金額!R3)</f>
        <v>188665992</v>
      </c>
      <c r="Y19" s="27">
        <f>VALUE(庫存金額!S3)</f>
        <v>186984208</v>
      </c>
      <c r="Z19" s="27">
        <f>VALUE(庫存金額!T3)</f>
        <v>185119086</v>
      </c>
      <c r="AA19" s="27">
        <f>VALUE(庫存金額!U3)</f>
        <v>185119086</v>
      </c>
      <c r="AB19" s="27">
        <f>VALUE(庫存金額!V3)</f>
        <v>182695188</v>
      </c>
      <c r="AC19" s="27">
        <f>VALUE(庫存金額!W3)</f>
        <v>185000497</v>
      </c>
      <c r="AD19" s="27">
        <f>VALUE(庫存金額!X3)</f>
        <v>185681367</v>
      </c>
      <c r="AE19" s="27">
        <f>VALUE(庫存金額!Y3)</f>
        <v>185725484</v>
      </c>
      <c r="AF19" s="27">
        <f>VALUE(庫存金額!Z3)</f>
        <v>185725484</v>
      </c>
      <c r="AG19" s="27">
        <f>VALUE(庫存金額!AA3)</f>
        <v>185725484</v>
      </c>
      <c r="AH19" s="27">
        <f>VALUE(庫存金額!AB3)</f>
        <v>185198819</v>
      </c>
      <c r="AI19" s="27">
        <f>VALUE(庫存金額!AC3)</f>
        <v>182635341</v>
      </c>
      <c r="AJ19" s="27">
        <f>VALUE(庫存金額!AD3)</f>
        <v>182930794</v>
      </c>
      <c r="AK19" s="27">
        <f>VALUE(庫存金額!AE3)</f>
        <v>184378107</v>
      </c>
      <c r="AL19" s="27">
        <f>VALUE(庫存金額!AF3)</f>
        <v>186305409</v>
      </c>
      <c r="AM19" s="27">
        <f>VALUE(庫存金額!AG3)</f>
        <v>182120835</v>
      </c>
      <c r="AN19" s="27">
        <f>VALUE(庫存金額!AH3)</f>
        <v>-4184574</v>
      </c>
      <c r="AO19" s="27">
        <f>VALUE(庫存金額!AI3)</f>
        <v>188299895.71000001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2103310.3548380001</v>
      </c>
      <c r="E20" s="555">
        <f>HLOOKUP(MONTH(日期!$C$2),當年目標設定!$D$1:$O$33,18,TRUE)</f>
        <v>2224226.003587543</v>
      </c>
      <c r="F20" s="309">
        <f>HLOOKUP(MONTH(日期!$C$2),當年目標設定!$R$1:$AC$33,18,TRUE)</f>
        <v>2121032.0320076952</v>
      </c>
      <c r="G20" s="308">
        <f>當年月推移!P18</f>
        <v>1882333</v>
      </c>
      <c r="H20" s="308">
        <f>當年月推移!P52</f>
        <v>2162912</v>
      </c>
      <c r="I20" s="232">
        <f>VALUE(庫存金額!C13)</f>
        <v>840807</v>
      </c>
      <c r="J20" s="232">
        <f>VALUE(庫存金額!D13)</f>
        <v>928061</v>
      </c>
      <c r="K20" s="232">
        <f>VALUE(庫存金額!E13)</f>
        <v>1077309</v>
      </c>
      <c r="L20" s="232">
        <f>VALUE(庫存金額!F13)</f>
        <v>1004258</v>
      </c>
      <c r="M20" s="232">
        <f>VALUE(庫存金額!G13)</f>
        <v>1004258</v>
      </c>
      <c r="N20" s="232">
        <f>VALUE(庫存金額!H13)</f>
        <v>1004258</v>
      </c>
      <c r="O20" s="232">
        <f>VALUE(庫存金額!I13)</f>
        <v>1092124</v>
      </c>
      <c r="P20" s="232">
        <f>VALUE(庫存金額!J13)</f>
        <v>1211525</v>
      </c>
      <c r="Q20" s="232">
        <f>VALUE(庫存金額!K13)</f>
        <v>1670143</v>
      </c>
      <c r="R20" s="232">
        <f>VALUE(庫存金額!L13)</f>
        <v>1670143</v>
      </c>
      <c r="S20" s="232">
        <f>VALUE(庫存金額!M13)</f>
        <v>1296142</v>
      </c>
      <c r="T20" s="232">
        <f>VALUE(庫存金額!N13)</f>
        <v>1296142</v>
      </c>
      <c r="U20" s="232">
        <f>VALUE(庫存金額!O13)</f>
        <v>1381353</v>
      </c>
      <c r="V20" s="232">
        <f>VALUE(庫存金額!P13)</f>
        <v>1425748</v>
      </c>
      <c r="W20" s="232">
        <f>VALUE(庫存金額!Q13)</f>
        <v>1285465</v>
      </c>
      <c r="X20" s="232">
        <f>VALUE(庫存金額!R13)</f>
        <v>1411561</v>
      </c>
      <c r="Y20" s="232">
        <f>VALUE(庫存金額!S13)</f>
        <v>2041271</v>
      </c>
      <c r="Z20" s="232">
        <f>VALUE(庫存金額!T13)</f>
        <v>1663682</v>
      </c>
      <c r="AA20" s="232">
        <f>VALUE(庫存金額!U13)</f>
        <v>1663682</v>
      </c>
      <c r="AB20" s="232">
        <f>VALUE(庫存金額!V13)</f>
        <v>1270154</v>
      </c>
      <c r="AC20" s="232">
        <f>VALUE(庫存金額!W13)</f>
        <v>1542226</v>
      </c>
      <c r="AD20" s="232">
        <f>VALUE(庫存金額!X13)</f>
        <v>1370796</v>
      </c>
      <c r="AE20" s="232">
        <f>VALUE(庫存金額!Y13)</f>
        <v>1881636</v>
      </c>
      <c r="AF20" s="232">
        <f>VALUE(庫存金額!Z13)</f>
        <v>1881636</v>
      </c>
      <c r="AG20" s="232">
        <f>VALUE(庫存金額!AA13)</f>
        <v>1881636</v>
      </c>
      <c r="AH20" s="232">
        <f>VALUE(庫存金額!AB13)</f>
        <v>1737883</v>
      </c>
      <c r="AI20" s="232">
        <f>VALUE(庫存金額!AC13)</f>
        <v>1686747</v>
      </c>
      <c r="AJ20" s="232">
        <f>VALUE(庫存金額!AD13)</f>
        <v>1312700</v>
      </c>
      <c r="AK20" s="232">
        <f>VALUE(庫存金額!AE13)</f>
        <v>1433400</v>
      </c>
      <c r="AL20" s="232">
        <f>VALUE(庫存金額!AF13)</f>
        <v>1564580</v>
      </c>
      <c r="AM20" s="232">
        <f>VALUE(庫存金額!AG13)</f>
        <v>1846323</v>
      </c>
      <c r="AN20" s="232">
        <f>VALUE(庫存金額!AH13)</f>
        <v>281743</v>
      </c>
      <c r="AO20" s="232">
        <f>VALUE(庫存金額!AI13)</f>
        <v>1431537.06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8646673.5806450006</v>
      </c>
      <c r="E21" s="555">
        <f>HLOOKUP(MONTH(日期!$C$2),當年目標設定!$D$1:$O$33,19,TRUE)</f>
        <v>6976444.8506525615</v>
      </c>
      <c r="F21" s="309">
        <f>HLOOKUP(MONTH(日期!$C$2),當年目標設定!$R$1:$AC$33,19,TRUE)</f>
        <v>6477455.4319340996</v>
      </c>
      <c r="G21" s="308">
        <f>當年月推移!P19</f>
        <v>144841</v>
      </c>
      <c r="H21" s="308">
        <f>當年月推移!P53</f>
        <v>144841</v>
      </c>
      <c r="I21" s="232">
        <f>VALUE(庫存金額!C18)</f>
        <v>11247965</v>
      </c>
      <c r="J21" s="232">
        <f>VALUE(庫存金額!D18)</f>
        <v>11128896</v>
      </c>
      <c r="K21" s="232">
        <f>VALUE(庫存金額!E18)</f>
        <v>11064762</v>
      </c>
      <c r="L21" s="232">
        <f>VALUE(庫存金額!F18)</f>
        <v>11049991</v>
      </c>
      <c r="M21" s="232">
        <f>VALUE(庫存金額!G18)</f>
        <v>11049991</v>
      </c>
      <c r="N21" s="232">
        <f>VALUE(庫存金額!H18)</f>
        <v>11049991</v>
      </c>
      <c r="O21" s="232">
        <f>VALUE(庫存金額!I18)</f>
        <v>10988175</v>
      </c>
      <c r="P21" s="232">
        <f>VALUE(庫存金額!J18)</f>
        <v>10940689</v>
      </c>
      <c r="Q21" s="232">
        <f>VALUE(庫存金額!K18)</f>
        <v>10848303</v>
      </c>
      <c r="R21" s="232">
        <f>VALUE(庫存金額!L18)</f>
        <v>10848303</v>
      </c>
      <c r="S21" s="232">
        <f>VALUE(庫存金額!M18)</f>
        <v>10810842</v>
      </c>
      <c r="T21" s="232">
        <f>VALUE(庫存金額!N18)</f>
        <v>10810842</v>
      </c>
      <c r="U21" s="232">
        <f>VALUE(庫存金額!O18)</f>
        <v>10741731</v>
      </c>
      <c r="V21" s="232">
        <f>VALUE(庫存金額!P18)</f>
        <v>10673595</v>
      </c>
      <c r="W21" s="232">
        <f>VALUE(庫存金額!Q18)</f>
        <v>10593629</v>
      </c>
      <c r="X21" s="232">
        <f>VALUE(庫存金額!R18)</f>
        <v>10517443</v>
      </c>
      <c r="Y21" s="232">
        <f>VALUE(庫存金額!S18)</f>
        <v>10447928</v>
      </c>
      <c r="Z21" s="232">
        <f>VALUE(庫存金額!T18)</f>
        <v>10410982</v>
      </c>
      <c r="AA21" s="232">
        <f>VALUE(庫存金額!U18)</f>
        <v>10410982</v>
      </c>
      <c r="AB21" s="232">
        <f>VALUE(庫存金額!V18)</f>
        <v>10356036</v>
      </c>
      <c r="AC21" s="232">
        <f>VALUE(庫存金額!W18)</f>
        <v>10276409</v>
      </c>
      <c r="AD21" s="232">
        <f>VALUE(庫存金額!X18)</f>
        <v>10199444</v>
      </c>
      <c r="AE21" s="232">
        <f>VALUE(庫存金額!Y18)</f>
        <v>10192217</v>
      </c>
      <c r="AF21" s="232">
        <f>VALUE(庫存金額!Z18)</f>
        <v>10192217</v>
      </c>
      <c r="AG21" s="232">
        <f>VALUE(庫存金額!AA18)</f>
        <v>10192217</v>
      </c>
      <c r="AH21" s="232">
        <f>VALUE(庫存金額!AB18)</f>
        <v>10191179</v>
      </c>
      <c r="AI21" s="232">
        <f>VALUE(庫存金額!AC18)</f>
        <v>10109279</v>
      </c>
      <c r="AJ21" s="232">
        <f>VALUE(庫存金額!AD18)</f>
        <v>10094535</v>
      </c>
      <c r="AK21" s="232">
        <f>VALUE(庫存金額!AE18)</f>
        <v>9978715</v>
      </c>
      <c r="AL21" s="232">
        <f>VALUE(庫存金額!AF18)</f>
        <v>9888962</v>
      </c>
      <c r="AM21" s="232">
        <f>VALUE(庫存金額!AG18)</f>
        <v>9771866</v>
      </c>
      <c r="AN21" s="232">
        <f>VALUE(庫存金額!AH18)</f>
        <v>-117096</v>
      </c>
      <c r="AO21" s="232">
        <f>VALUE(庫存金額!AI18)</f>
        <v>10550906.970000001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11642981.354838001</v>
      </c>
      <c r="E22" s="555">
        <f>HLOOKUP(MONTH(日期!$C$2),當年目標設定!$D$1:$O$33,20,TRUE)</f>
        <v>11305971.380565252</v>
      </c>
      <c r="F22" s="309">
        <f>HLOOKUP(MONTH(日期!$C$2),當年目標設定!$R$1:$AC$33,20,TRUE)</f>
        <v>10691601.358845592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11041895</v>
      </c>
      <c r="J22" s="232">
        <f>VALUE(庫存金額!D17)</f>
        <v>12299475</v>
      </c>
      <c r="K22" s="232">
        <f>VALUE(庫存金額!E17)</f>
        <v>12102402</v>
      </c>
      <c r="L22" s="232">
        <f>VALUE(庫存金額!F17)</f>
        <v>11592932</v>
      </c>
      <c r="M22" s="232">
        <f>VALUE(庫存金額!G17)</f>
        <v>11592932</v>
      </c>
      <c r="N22" s="232">
        <f>VALUE(庫存金額!H17)</f>
        <v>11592932</v>
      </c>
      <c r="O22" s="232">
        <f>VALUE(庫存金額!I17)</f>
        <v>12805211</v>
      </c>
      <c r="P22" s="232">
        <f>VALUE(庫存金額!J17)</f>
        <v>11976537</v>
      </c>
      <c r="Q22" s="232">
        <f>VALUE(庫存金額!K17)</f>
        <v>13812598</v>
      </c>
      <c r="R22" s="232">
        <f>VALUE(庫存金額!L17)</f>
        <v>13812598</v>
      </c>
      <c r="S22" s="232">
        <f>VALUE(庫存金額!M17)</f>
        <v>12638992</v>
      </c>
      <c r="T22" s="232">
        <f>VALUE(庫存金額!N17)</f>
        <v>12638992</v>
      </c>
      <c r="U22" s="232">
        <f>VALUE(庫存金額!O17)</f>
        <v>12358607</v>
      </c>
      <c r="V22" s="232">
        <f>VALUE(庫存金額!P17)</f>
        <v>11813531</v>
      </c>
      <c r="W22" s="232">
        <f>VALUE(庫存金額!Q17)</f>
        <v>11581737</v>
      </c>
      <c r="X22" s="232">
        <f>VALUE(庫存金額!R17)</f>
        <v>11669511</v>
      </c>
      <c r="Y22" s="232">
        <f>VALUE(庫存金額!S17)</f>
        <v>12155444</v>
      </c>
      <c r="Z22" s="232">
        <f>VALUE(庫存金額!T17)</f>
        <v>11187769</v>
      </c>
      <c r="AA22" s="232">
        <f>VALUE(庫存金額!U17)</f>
        <v>11187769</v>
      </c>
      <c r="AB22" s="232">
        <f>VALUE(庫存金額!V17)</f>
        <v>11171240</v>
      </c>
      <c r="AC22" s="232">
        <f>VALUE(庫存金額!W17)</f>
        <v>11031949</v>
      </c>
      <c r="AD22" s="232">
        <f>VALUE(庫存金額!X17)</f>
        <v>10473549</v>
      </c>
      <c r="AE22" s="232">
        <f>VALUE(庫存金額!Y17)</f>
        <v>10441014</v>
      </c>
      <c r="AF22" s="232">
        <f>VALUE(庫存金額!Z17)</f>
        <v>10441014</v>
      </c>
      <c r="AG22" s="232">
        <f>VALUE(庫存金額!AA17)</f>
        <v>10441014</v>
      </c>
      <c r="AH22" s="232">
        <f>VALUE(庫存金額!AB17)</f>
        <v>10412818</v>
      </c>
      <c r="AI22" s="232">
        <f>VALUE(庫存金額!AC17)</f>
        <v>10260414</v>
      </c>
      <c r="AJ22" s="232">
        <f>VALUE(庫存金額!AD17)</f>
        <v>9965048</v>
      </c>
      <c r="AK22" s="232">
        <f>VALUE(庫存金額!AE17)</f>
        <v>9656774</v>
      </c>
      <c r="AL22" s="232">
        <f>VALUE(庫存金額!AF17)</f>
        <v>9955493</v>
      </c>
      <c r="AM22" s="232">
        <f>VALUE(庫存金額!AG17)</f>
        <v>10476266</v>
      </c>
      <c r="AN22" s="232">
        <f>VALUE(庫存金額!AH17)</f>
        <v>520773</v>
      </c>
      <c r="AO22" s="232">
        <f>VALUE(庫存金額!AI17)</f>
        <v>11438337.32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5909441.5806449996</v>
      </c>
      <c r="E23" s="555">
        <f>HLOOKUP(MONTH(日期!$C$2),當年目標設定!$D$1:$O$33,21,TRUE)</f>
        <v>6864337.3770850748</v>
      </c>
      <c r="F23" s="309">
        <f>HLOOKUP(MONTH(日期!$C$2),當年目標設定!$R$1:$AC$33,21,TRUE)</f>
        <v>6437550.9806681378</v>
      </c>
      <c r="G23" s="308">
        <f>當年月推移!P21</f>
        <v>16523670</v>
      </c>
      <c r="H23" s="308">
        <f>當年月推移!P55</f>
        <v>16293036</v>
      </c>
      <c r="I23" s="232">
        <f>VALUE(庫存金額!C16)</f>
        <v>12364767</v>
      </c>
      <c r="J23" s="232">
        <f>VALUE(庫存金額!D16)</f>
        <v>10489151</v>
      </c>
      <c r="K23" s="232">
        <f>VALUE(庫存金額!E16)</f>
        <v>8373007</v>
      </c>
      <c r="L23" s="232">
        <f>VALUE(庫存金額!F16)</f>
        <v>7739436</v>
      </c>
      <c r="M23" s="232">
        <f>VALUE(庫存金額!G16)</f>
        <v>7739436</v>
      </c>
      <c r="N23" s="232">
        <f>VALUE(庫存金額!H16)</f>
        <v>7739436</v>
      </c>
      <c r="O23" s="232">
        <f>VALUE(庫存金額!I16)</f>
        <v>7228976</v>
      </c>
      <c r="P23" s="232">
        <f>VALUE(庫存金額!J16)</f>
        <v>8085625</v>
      </c>
      <c r="Q23" s="232">
        <f>VALUE(庫存金額!K16)</f>
        <v>7961379</v>
      </c>
      <c r="R23" s="232">
        <f>VALUE(庫存金額!L16)</f>
        <v>7961379</v>
      </c>
      <c r="S23" s="232">
        <f>VALUE(庫存金額!M16)</f>
        <v>6989464</v>
      </c>
      <c r="T23" s="232">
        <f>VALUE(庫存金額!N16)</f>
        <v>6989464</v>
      </c>
      <c r="U23" s="232">
        <f>VALUE(庫存金額!O16)</f>
        <v>6124108</v>
      </c>
      <c r="V23" s="232">
        <f>VALUE(庫存金額!P16)</f>
        <v>6029801</v>
      </c>
      <c r="W23" s="232">
        <f>VALUE(庫存金額!Q16)</f>
        <v>6057609</v>
      </c>
      <c r="X23" s="232">
        <f>VALUE(庫存金額!R16)</f>
        <v>5741516</v>
      </c>
      <c r="Y23" s="232">
        <f>VALUE(庫存金額!S16)</f>
        <v>5722896</v>
      </c>
      <c r="Z23" s="232">
        <f>VALUE(庫存金額!T16)</f>
        <v>4989230</v>
      </c>
      <c r="AA23" s="232">
        <f>VALUE(庫存金額!U16)</f>
        <v>4989230</v>
      </c>
      <c r="AB23" s="232">
        <f>VALUE(庫存金額!V16)</f>
        <v>5893237</v>
      </c>
      <c r="AC23" s="232">
        <f>VALUE(庫存金額!W16)</f>
        <v>5969687</v>
      </c>
      <c r="AD23" s="232">
        <f>VALUE(庫存金額!X16)</f>
        <v>6296414</v>
      </c>
      <c r="AE23" s="232">
        <f>VALUE(庫存金額!Y16)</f>
        <v>5830416</v>
      </c>
      <c r="AF23" s="232">
        <f>VALUE(庫存金額!Z16)</f>
        <v>5830416</v>
      </c>
      <c r="AG23" s="232">
        <f>VALUE(庫存金額!AA16)</f>
        <v>5841508</v>
      </c>
      <c r="AH23" s="232">
        <f>VALUE(庫存金額!AB16)</f>
        <v>5772204</v>
      </c>
      <c r="AI23" s="232">
        <f>VALUE(庫存金額!AC16)</f>
        <v>6089578</v>
      </c>
      <c r="AJ23" s="232">
        <f>VALUE(庫存金額!AD16)</f>
        <v>7853581</v>
      </c>
      <c r="AK23" s="232">
        <f>VALUE(庫存金額!AE16)</f>
        <v>8074719</v>
      </c>
      <c r="AL23" s="232">
        <f>VALUE(庫存金額!AF16)</f>
        <v>9744040</v>
      </c>
      <c r="AM23" s="232">
        <f>VALUE(庫存金額!AG16)</f>
        <v>9423868</v>
      </c>
      <c r="AN23" s="232">
        <f>VALUE(庫存金額!AH16)</f>
        <v>-320172</v>
      </c>
      <c r="AO23" s="232">
        <f>VALUE(庫存金額!AI16)</f>
        <v>7159212.1900000004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106839</v>
      </c>
      <c r="E24" s="555">
        <f>HLOOKUP(MONTH(日期!$C$2),當年目標設定!$D$1:$O$33,22,TRUE)</f>
        <v>205334.08017001461</v>
      </c>
      <c r="F24" s="309">
        <f>HLOOKUP(MONTH(日期!$C$2),當年目標設定!$R$1:$AC$33,22,TRUE)</f>
        <v>189263.62754086178</v>
      </c>
      <c r="G24" s="308">
        <f>當年月推移!P22</f>
        <v>100718</v>
      </c>
      <c r="H24" s="308">
        <f>當年月推移!P56</f>
        <v>100901</v>
      </c>
      <c r="I24" s="232">
        <f>VALUE(庫存金額!C11)</f>
        <v>106839</v>
      </c>
      <c r="J24" s="232">
        <f>VALUE(庫存金額!D11)</f>
        <v>106839</v>
      </c>
      <c r="K24" s="232">
        <f>VALUE(庫存金額!E11)</f>
        <v>106839</v>
      </c>
      <c r="L24" s="232">
        <f>VALUE(庫存金額!F11)</f>
        <v>106839</v>
      </c>
      <c r="M24" s="232">
        <f>VALUE(庫存金額!G11)</f>
        <v>106839</v>
      </c>
      <c r="N24" s="232">
        <f>VALUE(庫存金額!H11)</f>
        <v>106839</v>
      </c>
      <c r="O24" s="232">
        <f>VALUE(庫存金額!I11)</f>
        <v>106839</v>
      </c>
      <c r="P24" s="232">
        <f>VALUE(庫存金額!J11)</f>
        <v>106839</v>
      </c>
      <c r="Q24" s="232">
        <f>VALUE(庫存金額!K11)</f>
        <v>106839</v>
      </c>
      <c r="R24" s="232">
        <f>VALUE(庫存金額!L11)</f>
        <v>106839</v>
      </c>
      <c r="S24" s="232">
        <f>VALUE(庫存金額!M11)</f>
        <v>106839</v>
      </c>
      <c r="T24" s="232">
        <f>VALUE(庫存金額!N11)</f>
        <v>106839</v>
      </c>
      <c r="U24" s="232">
        <f>VALUE(庫存金額!O11)</f>
        <v>106839</v>
      </c>
      <c r="V24" s="232">
        <f>VALUE(庫存金額!P11)</f>
        <v>106839</v>
      </c>
      <c r="W24" s="232">
        <f>VALUE(庫存金額!Q11)</f>
        <v>106839</v>
      </c>
      <c r="X24" s="232">
        <f>VALUE(庫存金額!R11)</f>
        <v>106839</v>
      </c>
      <c r="Y24" s="232">
        <f>VALUE(庫存金額!S11)</f>
        <v>106839</v>
      </c>
      <c r="Z24" s="232">
        <f>VALUE(庫存金額!T11)</f>
        <v>106839</v>
      </c>
      <c r="AA24" s="232">
        <f>VALUE(庫存金額!U11)</f>
        <v>106839</v>
      </c>
      <c r="AB24" s="232">
        <f>VALUE(庫存金額!V11)</f>
        <v>106839</v>
      </c>
      <c r="AC24" s="232">
        <f>VALUE(庫存金額!W11)</f>
        <v>106839</v>
      </c>
      <c r="AD24" s="232">
        <f>VALUE(庫存金額!X11)</f>
        <v>106839</v>
      </c>
      <c r="AE24" s="232">
        <f>VALUE(庫存金額!Y11)</f>
        <v>106839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106839</v>
      </c>
      <c r="AL24" s="232">
        <f>VALUE(庫存金額!AF11)</f>
        <v>106839</v>
      </c>
      <c r="AM24" s="232">
        <f>VALUE(庫存金額!AG11)</f>
        <v>106839</v>
      </c>
      <c r="AN24" s="232">
        <f>VALUE(庫存金額!AH11)</f>
        <v>0</v>
      </c>
      <c r="AO24" s="232">
        <f>VALUE(庫存金額!AI11)</f>
        <v>106839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55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140876</v>
      </c>
      <c r="H25" s="308">
        <f>當年月推移!P57</f>
        <v>148284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162800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1490411.5161279999</v>
      </c>
      <c r="E26" s="325">
        <f t="shared" si="9"/>
        <v>0</v>
      </c>
      <c r="F26" s="318">
        <f t="shared" si="9"/>
        <v>0</v>
      </c>
      <c r="G26" s="318">
        <f t="shared" si="9"/>
        <v>16181297</v>
      </c>
      <c r="H26" s="318">
        <f t="shared" si="9"/>
        <v>16541518</v>
      </c>
      <c r="I26" s="237">
        <f t="shared" si="9"/>
        <v>6658931</v>
      </c>
      <c r="J26" s="237">
        <f t="shared" ref="J26:AO26" si="10">SUM(J27:J31)</f>
        <v>6593131</v>
      </c>
      <c r="K26" s="237">
        <f t="shared" si="10"/>
        <v>6746017</v>
      </c>
      <c r="L26" s="237">
        <f t="shared" si="10"/>
        <v>6649217</v>
      </c>
      <c r="M26" s="237">
        <f t="shared" si="10"/>
        <v>6649217</v>
      </c>
      <c r="N26" s="237">
        <f t="shared" si="10"/>
        <v>6649217</v>
      </c>
      <c r="O26" s="237">
        <f t="shared" si="10"/>
        <v>6283328</v>
      </c>
      <c r="P26" s="237">
        <f t="shared" si="10"/>
        <v>6202225</v>
      </c>
      <c r="Q26" s="237">
        <f t="shared" si="10"/>
        <v>6111555</v>
      </c>
      <c r="R26" s="237">
        <f t="shared" si="10"/>
        <v>6111555</v>
      </c>
      <c r="S26" s="237">
        <f t="shared" si="10"/>
        <v>5984755</v>
      </c>
      <c r="T26" s="237">
        <f t="shared" si="10"/>
        <v>5984755</v>
      </c>
      <c r="U26" s="237">
        <f t="shared" si="10"/>
        <v>6801255</v>
      </c>
      <c r="V26" s="237">
        <f t="shared" si="10"/>
        <v>6542308</v>
      </c>
      <c r="W26" s="237">
        <f t="shared" si="10"/>
        <v>6481800</v>
      </c>
      <c r="X26" s="237">
        <f t="shared" si="10"/>
        <v>6321980</v>
      </c>
      <c r="Y26" s="237">
        <f t="shared" si="10"/>
        <v>6551244</v>
      </c>
      <c r="Z26" s="237">
        <f t="shared" si="10"/>
        <v>6477244</v>
      </c>
      <c r="AA26" s="237">
        <f t="shared" si="10"/>
        <v>6477244</v>
      </c>
      <c r="AB26" s="237">
        <f t="shared" si="10"/>
        <v>6387644</v>
      </c>
      <c r="AC26" s="237">
        <f t="shared" si="10"/>
        <v>5998104</v>
      </c>
      <c r="AD26" s="237">
        <f t="shared" si="10"/>
        <v>5987144</v>
      </c>
      <c r="AE26" s="237">
        <f t="shared" si="10"/>
        <v>6122416</v>
      </c>
      <c r="AF26" s="237">
        <f t="shared" si="10"/>
        <v>6122416</v>
      </c>
      <c r="AG26" s="237">
        <f t="shared" si="10"/>
        <v>6122416</v>
      </c>
      <c r="AH26" s="237">
        <f t="shared" si="10"/>
        <v>6122416</v>
      </c>
      <c r="AI26" s="237">
        <f t="shared" si="10"/>
        <v>6798736</v>
      </c>
      <c r="AJ26" s="237">
        <f t="shared" si="10"/>
        <v>6291831</v>
      </c>
      <c r="AK26" s="237">
        <f t="shared" si="10"/>
        <v>6198931</v>
      </c>
      <c r="AL26" s="237">
        <f t="shared" si="10"/>
        <v>6102531</v>
      </c>
      <c r="AM26" s="237">
        <f t="shared" si="10"/>
        <v>6148131</v>
      </c>
      <c r="AN26" s="237">
        <f t="shared" si="10"/>
        <v>45600</v>
      </c>
      <c r="AO26" s="237">
        <f t="shared" si="10"/>
        <v>6344506.2599999998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14160</v>
      </c>
      <c r="J27" s="27">
        <f>VALUE(庫存金額!D20)</f>
        <v>14160</v>
      </c>
      <c r="K27" s="27">
        <f>VALUE(庫存金額!E20)</f>
        <v>14160</v>
      </c>
      <c r="L27" s="27">
        <f>VALUE(庫存金額!F20)</f>
        <v>14160</v>
      </c>
      <c r="M27" s="27">
        <f>VALUE(庫存金額!G20)</f>
        <v>14160</v>
      </c>
      <c r="N27" s="27">
        <f>VALUE(庫存金額!H20)</f>
        <v>14160</v>
      </c>
      <c r="O27" s="27">
        <f>VALUE(庫存金額!I20)</f>
        <v>14160</v>
      </c>
      <c r="P27" s="27">
        <f>VALUE(庫存金額!J20)</f>
        <v>14160</v>
      </c>
      <c r="Q27" s="27">
        <f>VALUE(庫存金額!K20)</f>
        <v>14160</v>
      </c>
      <c r="R27" s="27">
        <f>VALUE(庫存金額!L20)</f>
        <v>14160</v>
      </c>
      <c r="S27" s="27">
        <f>VALUE(庫存金額!M20)</f>
        <v>14160</v>
      </c>
      <c r="T27" s="27">
        <f>VALUE(庫存金額!N20)</f>
        <v>14160</v>
      </c>
      <c r="U27" s="27">
        <f>VALUE(庫存金額!O20)</f>
        <v>14160</v>
      </c>
      <c r="V27" s="27">
        <f>VALUE(庫存金額!P20)</f>
        <v>14160</v>
      </c>
      <c r="W27" s="27">
        <f>VALUE(庫存金額!Q20)</f>
        <v>14160</v>
      </c>
      <c r="X27" s="27">
        <f>VALUE(庫存金額!R20)</f>
        <v>14160</v>
      </c>
      <c r="Y27" s="27">
        <f>VALUE(庫存金額!S20)</f>
        <v>14160</v>
      </c>
      <c r="Z27" s="27">
        <f>VALUE(庫存金額!T20)</f>
        <v>14160</v>
      </c>
      <c r="AA27" s="27">
        <f>VALUE(庫存金額!U20)</f>
        <v>14160</v>
      </c>
      <c r="AB27" s="27">
        <f>VALUE(庫存金額!V20)</f>
        <v>14160</v>
      </c>
      <c r="AC27" s="27">
        <f>VALUE(庫存金額!W20)</f>
        <v>14160</v>
      </c>
      <c r="AD27" s="27">
        <f>VALUE(庫存金額!X20)</f>
        <v>14160</v>
      </c>
      <c r="AE27" s="27">
        <f>VALUE(庫存金額!Y20)</f>
        <v>14160</v>
      </c>
      <c r="AF27" s="27">
        <f>VALUE(庫存金額!Z20)</f>
        <v>14160</v>
      </c>
      <c r="AG27" s="27">
        <f>VALUE(庫存金額!AA20)</f>
        <v>14160</v>
      </c>
      <c r="AH27" s="27">
        <f>VALUE(庫存金額!AB20)</f>
        <v>14160</v>
      </c>
      <c r="AI27" s="27">
        <f>VALUE(庫存金額!AC20)</f>
        <v>14160</v>
      </c>
      <c r="AJ27" s="27">
        <f>VALUE(庫存金額!AD20)</f>
        <v>14160</v>
      </c>
      <c r="AK27" s="27">
        <f>VALUE(庫存金額!AE20)</f>
        <v>14160</v>
      </c>
      <c r="AL27" s="27">
        <f>VALUE(庫存金額!AF20)</f>
        <v>14160</v>
      </c>
      <c r="AM27" s="27">
        <f>VALUE(庫存金額!AG20)</f>
        <v>14160</v>
      </c>
      <c r="AN27" s="27">
        <f>VALUE(庫存金額!AH20)</f>
        <v>0</v>
      </c>
      <c r="AO27" s="27">
        <f>VALUE(庫存金額!AI20)</f>
        <v>14160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109341.225806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91152</v>
      </c>
      <c r="J28" s="27">
        <f>VALUE(庫存金額!D21)</f>
        <v>91152</v>
      </c>
      <c r="K28" s="27">
        <f>VALUE(庫存金額!E21)</f>
        <v>91152</v>
      </c>
      <c r="L28" s="27">
        <f>VALUE(庫存金額!F21)</f>
        <v>91152</v>
      </c>
      <c r="M28" s="27">
        <f>VALUE(庫存金額!G21)</f>
        <v>91152</v>
      </c>
      <c r="N28" s="27">
        <f>VALUE(庫存金額!H21)</f>
        <v>91152</v>
      </c>
      <c r="O28" s="27">
        <f>VALUE(庫存金額!I21)</f>
        <v>91152</v>
      </c>
      <c r="P28" s="27">
        <f>VALUE(庫存金額!J21)</f>
        <v>91152</v>
      </c>
      <c r="Q28" s="27">
        <f>VALUE(庫存金額!K21)</f>
        <v>91152</v>
      </c>
      <c r="R28" s="27">
        <f>VALUE(庫存金額!L21)</f>
        <v>91152</v>
      </c>
      <c r="S28" s="27">
        <f>VALUE(庫存金額!M21)</f>
        <v>91152</v>
      </c>
      <c r="T28" s="27">
        <f>VALUE(庫存金額!N21)</f>
        <v>91152</v>
      </c>
      <c r="U28" s="27">
        <f>VALUE(庫存金額!O21)</f>
        <v>91152</v>
      </c>
      <c r="V28" s="27">
        <f>VALUE(庫存金額!P21)</f>
        <v>91152</v>
      </c>
      <c r="W28" s="27">
        <f>VALUE(庫存金額!Q21)</f>
        <v>110244</v>
      </c>
      <c r="X28" s="27">
        <f>VALUE(庫存金額!R21)</f>
        <v>67464</v>
      </c>
      <c r="Y28" s="27">
        <f>VALUE(庫存金額!S21)</f>
        <v>67464</v>
      </c>
      <c r="Z28" s="27">
        <f>VALUE(庫存金額!T21)</f>
        <v>67464</v>
      </c>
      <c r="AA28" s="27">
        <f>VALUE(庫存金額!U21)</f>
        <v>67464</v>
      </c>
      <c r="AB28" s="27">
        <f>VALUE(庫存金額!V21)</f>
        <v>67464</v>
      </c>
      <c r="AC28" s="27">
        <f>VALUE(庫存金額!W21)</f>
        <v>67464</v>
      </c>
      <c r="AD28" s="27">
        <f>VALUE(庫存金額!X21)</f>
        <v>67464</v>
      </c>
      <c r="AE28" s="27">
        <f>VALUE(庫存金額!Y21)</f>
        <v>90864</v>
      </c>
      <c r="AF28" s="27">
        <f>VALUE(庫存金額!Z21)</f>
        <v>90864</v>
      </c>
      <c r="AG28" s="27">
        <f>VALUE(庫存金額!AA21)</f>
        <v>90864</v>
      </c>
      <c r="AH28" s="27">
        <f>VALUE(庫存金額!AB21)</f>
        <v>90864</v>
      </c>
      <c r="AI28" s="27">
        <f>VALUE(庫存金額!AC21)</f>
        <v>90864</v>
      </c>
      <c r="AJ28" s="27">
        <f>VALUE(庫存金額!AD21)</f>
        <v>90864</v>
      </c>
      <c r="AK28" s="27">
        <f>VALUE(庫存金額!AE21)</f>
        <v>67464</v>
      </c>
      <c r="AL28" s="27">
        <f>VALUE(庫存金額!AF21)</f>
        <v>67464</v>
      </c>
      <c r="AM28" s="27">
        <f>VALUE(庫存金額!AG21)</f>
        <v>67464</v>
      </c>
      <c r="AN28" s="27">
        <f>VALUE(庫存金額!AH21)</f>
        <v>0</v>
      </c>
      <c r="AO28" s="27">
        <f>VALUE(庫存金額!AI21)</f>
        <v>84070.84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9212613</v>
      </c>
      <c r="H29" s="308">
        <f>當年月推移!P61</f>
        <v>9219535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6968684</v>
      </c>
      <c r="H30" s="308">
        <f>當年月推移!P62</f>
        <v>7321983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1219894.2903219999</v>
      </c>
      <c r="E31" s="326">
        <f>HLOOKUP(MONTH(日期!$C$2),當年目標設定!$D$1:$O$33,29,TRUE)</f>
        <v>0</v>
      </c>
      <c r="F31" s="507">
        <f>HLOOKUP(MONTH(日期!$C$2),當年目標設定!$R$1:$AC$33,29,TRUE)</f>
        <v>0</v>
      </c>
      <c r="G31" s="507">
        <f>當年月推移!P34</f>
        <v>0</v>
      </c>
      <c r="H31" s="507">
        <f>當年月推移!P68</f>
        <v>0</v>
      </c>
      <c r="I31" s="111">
        <f>VALUE(庫存金額!C25)</f>
        <v>6553619</v>
      </c>
      <c r="J31" s="111">
        <f>VALUE(庫存金額!D25)</f>
        <v>6487819</v>
      </c>
      <c r="K31" s="111">
        <f>VALUE(庫存金額!E25)</f>
        <v>6640705</v>
      </c>
      <c r="L31" s="111">
        <f>VALUE(庫存金額!F25)</f>
        <v>6543905</v>
      </c>
      <c r="M31" s="111">
        <f>VALUE(庫存金額!G25)</f>
        <v>6543905</v>
      </c>
      <c r="N31" s="111">
        <f>VALUE(庫存金額!H25)</f>
        <v>6543905</v>
      </c>
      <c r="O31" s="111">
        <f>VALUE(庫存金額!I25)</f>
        <v>6178016</v>
      </c>
      <c r="P31" s="111">
        <f>VALUE(庫存金額!J25)</f>
        <v>6096913</v>
      </c>
      <c r="Q31" s="111">
        <f>VALUE(庫存金額!K25)</f>
        <v>6006243</v>
      </c>
      <c r="R31" s="111">
        <f>VALUE(庫存金額!L25)</f>
        <v>6006243</v>
      </c>
      <c r="S31" s="111">
        <f>VALUE(庫存金額!M25)</f>
        <v>5879443</v>
      </c>
      <c r="T31" s="111">
        <f>VALUE(庫存金額!N25)</f>
        <v>5879443</v>
      </c>
      <c r="U31" s="111">
        <f>VALUE(庫存金額!O25)</f>
        <v>6695943</v>
      </c>
      <c r="V31" s="111">
        <f>VALUE(庫存金額!P25)</f>
        <v>6436996</v>
      </c>
      <c r="W31" s="111">
        <f>VALUE(庫存金額!Q25)</f>
        <v>6357396</v>
      </c>
      <c r="X31" s="111">
        <f>VALUE(庫存金額!R25)</f>
        <v>6240356</v>
      </c>
      <c r="Y31" s="111">
        <f>VALUE(庫存金額!S25)</f>
        <v>6469620</v>
      </c>
      <c r="Z31" s="111">
        <f>VALUE(庫存金額!T25)</f>
        <v>6395620</v>
      </c>
      <c r="AA31" s="111">
        <f>VALUE(庫存金額!U25)</f>
        <v>6395620</v>
      </c>
      <c r="AB31" s="111">
        <f>VALUE(庫存金額!V25)</f>
        <v>6306020</v>
      </c>
      <c r="AC31" s="111">
        <f>VALUE(庫存金額!W25)</f>
        <v>5916480</v>
      </c>
      <c r="AD31" s="111">
        <f>VALUE(庫存金額!X25)</f>
        <v>5905520</v>
      </c>
      <c r="AE31" s="111">
        <f>VALUE(庫存金額!Y25)</f>
        <v>6017392</v>
      </c>
      <c r="AF31" s="111">
        <f>VALUE(庫存金額!Z25)</f>
        <v>6017392</v>
      </c>
      <c r="AG31" s="111">
        <f>VALUE(庫存金額!AA25)</f>
        <v>6017392</v>
      </c>
      <c r="AH31" s="111">
        <f>VALUE(庫存金額!AB25)</f>
        <v>6017392</v>
      </c>
      <c r="AI31" s="111">
        <f>VALUE(庫存金額!AC25)</f>
        <v>6693712</v>
      </c>
      <c r="AJ31" s="111">
        <f>VALUE(庫存金額!AD25)</f>
        <v>6186807</v>
      </c>
      <c r="AK31" s="111">
        <f>VALUE(庫存金額!AE25)</f>
        <v>6117307</v>
      </c>
      <c r="AL31" s="111">
        <f>VALUE(庫存金額!AF25)</f>
        <v>6020907</v>
      </c>
      <c r="AM31" s="111">
        <f>VALUE(庫存金額!AG25)</f>
        <v>6066507</v>
      </c>
      <c r="AN31" s="111">
        <f>VALUE(庫存金額!AH25)</f>
        <v>45600</v>
      </c>
      <c r="AO31" s="111">
        <f>VALUE(庫存金額!AI25)</f>
        <v>6246275.4199999999</v>
      </c>
    </row>
    <row r="32" spans="1:44" s="32" customFormat="1" ht="21.95" customHeight="1">
      <c r="A32" s="654" t="s">
        <v>36</v>
      </c>
      <c r="B32" s="655"/>
      <c r="C32" s="31" t="s">
        <v>37</v>
      </c>
      <c r="D32" s="327">
        <f>HLOOKUP(MONTH(日期!$C$2),去年月推移!$D$1:$O$33,30,TRUE)</f>
        <v>2306652.3870967743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1056358</v>
      </c>
      <c r="H32" s="328">
        <f>當年月推移!P63</f>
        <v>896864</v>
      </c>
      <c r="I32" s="110">
        <f>VALUE(庫存金額!C15)</f>
        <v>0</v>
      </c>
      <c r="J32" s="110">
        <f>VALUE(庫存金額!D15)</f>
        <v>134031</v>
      </c>
      <c r="K32" s="110">
        <f>VALUE(庫存金額!E15)</f>
        <v>122348</v>
      </c>
      <c r="L32" s="110">
        <f>VALUE(庫存金額!F15)</f>
        <v>118453</v>
      </c>
      <c r="M32" s="110">
        <f>VALUE(庫存金額!G15)</f>
        <v>118453</v>
      </c>
      <c r="N32" s="110">
        <f>VALUE(庫存金額!H15)</f>
        <v>118453</v>
      </c>
      <c r="O32" s="110">
        <f>VALUE(庫存金額!I15)</f>
        <v>114559</v>
      </c>
      <c r="P32" s="110">
        <f>VALUE(庫存金額!J15)</f>
        <v>114559</v>
      </c>
      <c r="Q32" s="110">
        <f>VALUE(庫存金額!K15)</f>
        <v>114559</v>
      </c>
      <c r="R32" s="110">
        <f>VALUE(庫存金額!L15)</f>
        <v>114559</v>
      </c>
      <c r="S32" s="110">
        <f>VALUE(庫存金額!M15)</f>
        <v>114559</v>
      </c>
      <c r="T32" s="110">
        <f>VALUE(庫存金額!N15)</f>
        <v>114559</v>
      </c>
      <c r="U32" s="110">
        <f>VALUE(庫存金額!O15)</f>
        <v>111300</v>
      </c>
      <c r="V32" s="110">
        <f>VALUE(庫存金額!P15)</f>
        <v>111300</v>
      </c>
      <c r="W32" s="110">
        <f>VALUE(庫存金額!Q15)</f>
        <v>107378</v>
      </c>
      <c r="X32" s="110">
        <f>VALUE(庫存金額!R15)</f>
        <v>107378</v>
      </c>
      <c r="Y32" s="110">
        <f>VALUE(庫存金額!S15)</f>
        <v>135023</v>
      </c>
      <c r="Z32" s="110">
        <f>VALUE(庫存金額!T15)</f>
        <v>135023</v>
      </c>
      <c r="AA32" s="110">
        <f>VALUE(庫存金額!U15)</f>
        <v>135023</v>
      </c>
      <c r="AB32" s="110">
        <f>VALUE(庫存金額!V15)</f>
        <v>131101</v>
      </c>
      <c r="AC32" s="110">
        <f>VALUE(庫存金額!W15)</f>
        <v>131101</v>
      </c>
      <c r="AD32" s="110">
        <f>VALUE(庫存金額!X15)</f>
        <v>131101</v>
      </c>
      <c r="AE32" s="110">
        <f>VALUE(庫存金額!Y15)</f>
        <v>131101</v>
      </c>
      <c r="AF32" s="110">
        <f>VALUE(庫存金額!Z15)</f>
        <v>131101</v>
      </c>
      <c r="AG32" s="110">
        <f>VALUE(庫存金額!AA15)</f>
        <v>131101</v>
      </c>
      <c r="AH32" s="110">
        <f>VALUE(庫存金額!AB15)</f>
        <v>131101</v>
      </c>
      <c r="AI32" s="110">
        <f>VALUE(庫存金額!AC15)</f>
        <v>127178</v>
      </c>
      <c r="AJ32" s="110">
        <f>VALUE(庫存金額!AD15)</f>
        <v>123256</v>
      </c>
      <c r="AK32" s="110">
        <f>VALUE(庫存金額!AE15)</f>
        <v>119333</v>
      </c>
      <c r="AL32" s="110">
        <f>VALUE(庫存金額!AF15)</f>
        <v>115410</v>
      </c>
      <c r="AM32" s="110">
        <f>VALUE(庫存金額!AG15)</f>
        <v>111323</v>
      </c>
      <c r="AN32" s="110">
        <f>VALUE(庫存金額!AH15)</f>
        <v>-4087</v>
      </c>
      <c r="AO32" s="110">
        <f>VALUE(庫存金額!AI15)</f>
        <v>117926.58</v>
      </c>
    </row>
    <row r="33" spans="1:41" s="32" customFormat="1" ht="21.95" customHeight="1">
      <c r="A33" s="656"/>
      <c r="B33" s="657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656"/>
      <c r="B34" s="657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6401714</v>
      </c>
      <c r="H34" s="328">
        <f>當年月推移!P65</f>
        <v>9547978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58"/>
      <c r="B35" s="659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508">
        <f>HLOOKUP(MONTH(日期!$C$2),當年目標設定!$R$1:$AC$33,33,TRUE)</f>
        <v>0</v>
      </c>
      <c r="G35" s="508">
        <f>當年月推移!P32</f>
        <v>10520754</v>
      </c>
      <c r="H35" s="508">
        <f>當年月推移!P66</f>
        <v>10629243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506"/>
      <c r="H37" s="50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596" t="s">
        <v>1</v>
      </c>
      <c r="B38" s="597"/>
      <c r="C38" s="597"/>
      <c r="D38" s="600" t="str">
        <f>D3</f>
        <v>2024/10</v>
      </c>
      <c r="E38" s="633" t="str">
        <f>E3</f>
        <v>2025/10</v>
      </c>
      <c r="F38" s="332"/>
      <c r="G38" s="662">
        <f>YEAR(日期!C2)</f>
        <v>2025</v>
      </c>
      <c r="H38" s="663"/>
      <c r="I38" s="527" t="str">
        <f>日期!C2</f>
        <v>2025/10/01</v>
      </c>
      <c r="J38" s="527" t="str">
        <f>日期!D2</f>
        <v>2025/10/02</v>
      </c>
      <c r="K38" s="527" t="str">
        <f>日期!E2</f>
        <v>2025/10/03</v>
      </c>
      <c r="L38" s="527" t="str">
        <f>日期!F2</f>
        <v>2025/10/04</v>
      </c>
      <c r="M38" s="527" t="str">
        <f>日期!G2</f>
        <v>2025/10/05</v>
      </c>
      <c r="N38" s="527" t="str">
        <f>日期!H2</f>
        <v>2025/10/06</v>
      </c>
      <c r="O38" s="527" t="str">
        <f>日期!I2</f>
        <v>2025/10/07</v>
      </c>
      <c r="P38" s="527" t="str">
        <f>日期!J2</f>
        <v>2025/10/08</v>
      </c>
      <c r="Q38" s="527" t="str">
        <f>日期!K2</f>
        <v>2025/10/09</v>
      </c>
      <c r="R38" s="527" t="str">
        <f>日期!L2</f>
        <v>2025/10/10</v>
      </c>
      <c r="S38" s="527" t="str">
        <f>日期!M2</f>
        <v>2025/10/11</v>
      </c>
      <c r="T38" s="527" t="str">
        <f>日期!N2</f>
        <v>2025/10/12</v>
      </c>
      <c r="U38" s="527" t="str">
        <f>日期!O2</f>
        <v>2025/10/13</v>
      </c>
      <c r="V38" s="527" t="str">
        <f>日期!P2</f>
        <v>2025/10/14</v>
      </c>
      <c r="W38" s="527" t="str">
        <f>日期!Q2</f>
        <v>2025/10/15</v>
      </c>
      <c r="X38" s="527" t="str">
        <f>日期!R2</f>
        <v>2025/10/16</v>
      </c>
      <c r="Y38" s="527" t="str">
        <f>日期!S2</f>
        <v>2025/10/17</v>
      </c>
      <c r="Z38" s="527" t="str">
        <f>日期!T2</f>
        <v>2025/10/18</v>
      </c>
      <c r="AA38" s="527" t="str">
        <f>日期!U2</f>
        <v>2025/10/19</v>
      </c>
      <c r="AB38" s="527" t="str">
        <f>日期!V2</f>
        <v>2025/10/20</v>
      </c>
      <c r="AC38" s="527" t="str">
        <f>日期!W2</f>
        <v>2025/10/21</v>
      </c>
      <c r="AD38" s="527" t="str">
        <f>日期!X2</f>
        <v>2025/10/22</v>
      </c>
      <c r="AE38" s="527" t="str">
        <f>日期!Y2</f>
        <v>2025/10/23</v>
      </c>
      <c r="AF38" s="527" t="str">
        <f>日期!Z2</f>
        <v>2025/10/24</v>
      </c>
      <c r="AG38" s="527" t="str">
        <f>日期!AA2</f>
        <v>2025/10/25</v>
      </c>
      <c r="AH38" s="527" t="str">
        <f>日期!AB2</f>
        <v>2025/10/26</v>
      </c>
      <c r="AI38" s="527" t="str">
        <f>日期!AC2</f>
        <v>2025/10/27</v>
      </c>
      <c r="AJ38" s="527" t="str">
        <f>日期!AD2</f>
        <v>2025/10/28</v>
      </c>
      <c r="AK38" s="527" t="str">
        <f>日期!AE2</f>
        <v>2025/10/29</v>
      </c>
      <c r="AL38" s="527" t="str">
        <f>日期!AF2</f>
        <v>2025/10/30</v>
      </c>
      <c r="AM38" s="527" t="str">
        <f>日期!AG2</f>
        <v>2025/10/31</v>
      </c>
      <c r="AN38" s="592" t="s">
        <v>42</v>
      </c>
    </row>
    <row r="39" spans="1:41" s="14" customFormat="1" ht="24" customHeight="1" thickBot="1">
      <c r="A39" s="631"/>
      <c r="B39" s="632"/>
      <c r="C39" s="632"/>
      <c r="D39" s="601"/>
      <c r="E39" s="634"/>
      <c r="F39" s="333"/>
      <c r="G39" s="664" t="s">
        <v>43</v>
      </c>
      <c r="H39" s="665"/>
      <c r="I39" s="12" t="str">
        <f>日期!C3</f>
        <v>Wed</v>
      </c>
      <c r="J39" s="12" t="str">
        <f>日期!D3</f>
        <v>Thu</v>
      </c>
      <c r="K39" s="12" t="str">
        <f>日期!E3</f>
        <v>Fri</v>
      </c>
      <c r="L39" s="12" t="str">
        <f>日期!F3</f>
        <v>Sat</v>
      </c>
      <c r="M39" s="12" t="str">
        <f>日期!G3</f>
        <v>Sun</v>
      </c>
      <c r="N39" s="12" t="str">
        <f>日期!H3</f>
        <v>Mon</v>
      </c>
      <c r="O39" s="12" t="str">
        <f>日期!I3</f>
        <v>Tue</v>
      </c>
      <c r="P39" s="12" t="str">
        <f>日期!J3</f>
        <v>Wed</v>
      </c>
      <c r="Q39" s="12" t="str">
        <f>日期!K3</f>
        <v>Thu</v>
      </c>
      <c r="R39" s="12" t="str">
        <f>日期!L3</f>
        <v>Fri</v>
      </c>
      <c r="S39" s="12" t="str">
        <f>日期!M3</f>
        <v>Sat</v>
      </c>
      <c r="T39" s="12" t="str">
        <f>日期!N3</f>
        <v>Sun</v>
      </c>
      <c r="U39" s="12" t="str">
        <f>日期!O3</f>
        <v>Mon</v>
      </c>
      <c r="V39" s="12" t="str">
        <f>日期!P3</f>
        <v>Tue</v>
      </c>
      <c r="W39" s="12" t="str">
        <f>日期!Q3</f>
        <v>Wed</v>
      </c>
      <c r="X39" s="12" t="str">
        <f>日期!R3</f>
        <v>Thu</v>
      </c>
      <c r="Y39" s="12" t="str">
        <f>日期!S3</f>
        <v>Fri</v>
      </c>
      <c r="Z39" s="12" t="str">
        <f>日期!T3</f>
        <v>Sat</v>
      </c>
      <c r="AA39" s="12" t="str">
        <f>日期!U3</f>
        <v>Sun</v>
      </c>
      <c r="AB39" s="12" t="str">
        <f>日期!V3</f>
        <v>Mon</v>
      </c>
      <c r="AC39" s="12" t="str">
        <f>日期!W3</f>
        <v>Tue</v>
      </c>
      <c r="AD39" s="12" t="str">
        <f>日期!X3</f>
        <v>Wed</v>
      </c>
      <c r="AE39" s="12" t="str">
        <f>日期!Y3</f>
        <v>Thu</v>
      </c>
      <c r="AF39" s="12" t="str">
        <f>日期!Z3</f>
        <v>Fri</v>
      </c>
      <c r="AG39" s="12" t="str">
        <f>日期!AA3</f>
        <v>Sat</v>
      </c>
      <c r="AH39" s="12" t="str">
        <f>日期!AB3</f>
        <v>Sun</v>
      </c>
      <c r="AI39" s="12" t="str">
        <f>日期!AC3</f>
        <v>Mon</v>
      </c>
      <c r="AJ39" s="12" t="str">
        <f>日期!AD3</f>
        <v>Tue</v>
      </c>
      <c r="AK39" s="12" t="str">
        <f>日期!AE3</f>
        <v>Wed</v>
      </c>
      <c r="AL39" s="12" t="str">
        <f>日期!AF3</f>
        <v>Thu</v>
      </c>
      <c r="AM39" s="12" t="str">
        <f>日期!AG3</f>
        <v>Fri</v>
      </c>
      <c r="AN39" s="593"/>
    </row>
    <row r="40" spans="1:41" s="14" customFormat="1" ht="21.95" customHeight="1">
      <c r="A40" s="666" t="s">
        <v>44</v>
      </c>
      <c r="B40" s="667"/>
      <c r="C40" s="667"/>
      <c r="D40" s="272">
        <f>HLOOKUP(MONTH(日期!$C$2),去年月推移!$D$1:$O$200,98,TRUE)</f>
        <v>97.676486999999995</v>
      </c>
      <c r="E40" s="45">
        <v>97.8</v>
      </c>
      <c r="F40" s="46" t="s">
        <v>45</v>
      </c>
      <c r="G40" s="621">
        <f>ROUND(當年月推移!P99,1)</f>
        <v>98</v>
      </c>
      <c r="H40" s="622"/>
      <c r="I40" s="245">
        <f>ROUND(供應率ALL!C2,1)</f>
        <v>97.9</v>
      </c>
      <c r="J40" s="245">
        <f>ROUND(供應率ALL!D2,1)</f>
        <v>97.8</v>
      </c>
      <c r="K40" s="245">
        <f>ROUND(供應率ALL!E2,1)</f>
        <v>98</v>
      </c>
      <c r="L40" s="245">
        <f>ROUND(供應率ALL!F2,1)</f>
        <v>97.8</v>
      </c>
      <c r="M40" s="245">
        <f>ROUND(供應率ALL!G2,1)</f>
        <v>0</v>
      </c>
      <c r="N40" s="245">
        <f>ROUND(供應率ALL!H2,1)</f>
        <v>0</v>
      </c>
      <c r="O40" s="245">
        <f>ROUND(供應率ALL!I2,1)</f>
        <v>97.7</v>
      </c>
      <c r="P40" s="245">
        <f>ROUND(供應率ALL!J2,1)</f>
        <v>97.8</v>
      </c>
      <c r="Q40" s="245">
        <f>ROUND(供應率ALL!K2,1)</f>
        <v>97.6</v>
      </c>
      <c r="R40" s="245">
        <f>ROUND(供應率ALL!L2,1)</f>
        <v>0</v>
      </c>
      <c r="S40" s="245">
        <f>ROUND(供應率ALL!M2,1)</f>
        <v>98.2</v>
      </c>
      <c r="T40" s="245">
        <f>ROUND(供應率ALL!N2,1)</f>
        <v>0</v>
      </c>
      <c r="U40" s="245">
        <f>ROUND(供應率ALL!O2,1)</f>
        <v>97.6</v>
      </c>
      <c r="V40" s="245">
        <f>ROUND(供應率ALL!P2,1)</f>
        <v>98</v>
      </c>
      <c r="W40" s="245">
        <f>ROUND(供應率ALL!Q2,1)</f>
        <v>97.5</v>
      </c>
      <c r="X40" s="245">
        <f>ROUND(供應率ALL!R2,1)</f>
        <v>97.9</v>
      </c>
      <c r="Y40" s="245">
        <f>ROUND(供應率ALL!S2,1)</f>
        <v>97.8</v>
      </c>
      <c r="Z40" s="245">
        <f>ROUND(供應率ALL!T2,1)</f>
        <v>95.7</v>
      </c>
      <c r="AA40" s="245">
        <f>ROUND(供應率ALL!U2,1)</f>
        <v>0</v>
      </c>
      <c r="AB40" s="245">
        <f>ROUND(供應率ALL!V2,1)</f>
        <v>98.3</v>
      </c>
      <c r="AC40" s="245">
        <f>ROUND(供應率ALL!W2,1)</f>
        <v>97.9</v>
      </c>
      <c r="AD40" s="245">
        <f>ROUND(供應率ALL!X2,1)</f>
        <v>98</v>
      </c>
      <c r="AE40" s="245">
        <f>ROUND(供應率ALL!Y2,1)</f>
        <v>97.7</v>
      </c>
      <c r="AF40" s="245">
        <f>ROUND(供應率ALL!Z2,1)</f>
        <v>100</v>
      </c>
      <c r="AG40" s="245">
        <f>ROUND(供應率ALL!AA2,1)</f>
        <v>0</v>
      </c>
      <c r="AH40" s="245">
        <f>ROUND(供應率ALL!AB2,1)</f>
        <v>0</v>
      </c>
      <c r="AI40" s="245">
        <f>ROUND(供應率ALL!AC2,1)</f>
        <v>97.8</v>
      </c>
      <c r="AJ40" s="245">
        <f>ROUND(供應率ALL!AD2,1)</f>
        <v>97.8</v>
      </c>
      <c r="AK40" s="245">
        <f>ROUND(供應率ALL!AE2,1)</f>
        <v>97.6</v>
      </c>
      <c r="AL40" s="245">
        <f>ROUND(供應率ALL!AF2,1)</f>
        <v>97.9</v>
      </c>
      <c r="AM40" s="245">
        <f>ROUND(供應率ALL!AG2,1)</f>
        <v>98.1</v>
      </c>
      <c r="AN40" s="213">
        <f>ROUND(供應率ALL!AH2,1)</f>
        <v>97.9</v>
      </c>
      <c r="AO40" s="48"/>
    </row>
    <row r="41" spans="1:41" s="14" customFormat="1" ht="21.95" customHeight="1">
      <c r="A41" s="668" t="s">
        <v>46</v>
      </c>
      <c r="B41" s="669"/>
      <c r="C41" s="669"/>
      <c r="D41" s="44">
        <f>HLOOKUP(MONTH(日期!$C$2),去年月推移!$D$1:$O$200,99,TRUE)</f>
        <v>100</v>
      </c>
      <c r="E41" s="50">
        <v>99</v>
      </c>
      <c r="F41" s="51" t="s">
        <v>45</v>
      </c>
      <c r="G41" s="590">
        <f>ROUND(當年月推移!P100,1)</f>
        <v>99.8</v>
      </c>
      <c r="H41" s="591"/>
      <c r="I41" s="47">
        <f>ROUND(供應率ALL!C4,1)</f>
        <v>100</v>
      </c>
      <c r="J41" s="47">
        <f>ROUND(供應率ALL!D4,1)</f>
        <v>100</v>
      </c>
      <c r="K41" s="47">
        <f>ROUND(供應率ALL!E4,1)</f>
        <v>100</v>
      </c>
      <c r="L41" s="47">
        <f>ROUND(供應率ALL!F4,1)</f>
        <v>99.5</v>
      </c>
      <c r="M41" s="47">
        <f>ROUND(供應率ALL!G4,1)</f>
        <v>0</v>
      </c>
      <c r="N41" s="47">
        <f>ROUND(供應率ALL!H4,1)</f>
        <v>0</v>
      </c>
      <c r="O41" s="47">
        <f>ROUND(供應率ALL!I4,1)</f>
        <v>99.7</v>
      </c>
      <c r="P41" s="47">
        <f>ROUND(供應率ALL!J4,1)</f>
        <v>99.8</v>
      </c>
      <c r="Q41" s="47">
        <f>ROUND(供應率ALL!K4,1)</f>
        <v>99.8</v>
      </c>
      <c r="R41" s="47">
        <f>ROUND(供應率ALL!L4,1)</f>
        <v>0</v>
      </c>
      <c r="S41" s="47">
        <f>ROUND(供應率ALL!M4,1)</f>
        <v>100</v>
      </c>
      <c r="T41" s="47">
        <f>ROUND(供應率ALL!N4,1)</f>
        <v>0</v>
      </c>
      <c r="U41" s="47">
        <f>ROUND(供應率ALL!O4,1)</f>
        <v>100</v>
      </c>
      <c r="V41" s="47">
        <f>ROUND(供應率ALL!P4,1)</f>
        <v>99.3</v>
      </c>
      <c r="W41" s="47">
        <f>ROUND(供應率ALL!Q4,1)</f>
        <v>100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0</v>
      </c>
      <c r="AB41" s="47">
        <f>ROUND(供應率ALL!V4,1)</f>
        <v>100</v>
      </c>
      <c r="AC41" s="47">
        <f>ROUND(供應率ALL!W4,1)</f>
        <v>99.8</v>
      </c>
      <c r="AD41" s="47">
        <f>ROUND(供應率ALL!X4,1)</f>
        <v>100</v>
      </c>
      <c r="AE41" s="47">
        <f>ROUND(供應率ALL!Y4,1)</f>
        <v>100</v>
      </c>
      <c r="AF41" s="47">
        <f>ROUND(供應率ALL!Z4,1)</f>
        <v>0</v>
      </c>
      <c r="AG41" s="47">
        <f>ROUND(供應率ALL!AA4,1)</f>
        <v>0</v>
      </c>
      <c r="AH41" s="47">
        <f>ROUND(供應率ALL!AB4,1)</f>
        <v>0</v>
      </c>
      <c r="AI41" s="47">
        <f>ROUND(供應率ALL!AC4,1)</f>
        <v>100</v>
      </c>
      <c r="AJ41" s="47">
        <f>ROUND(供應率ALL!AD4,1)</f>
        <v>100</v>
      </c>
      <c r="AK41" s="47">
        <f>ROUND(供應率ALL!AE4,1)</f>
        <v>100</v>
      </c>
      <c r="AL41" s="47">
        <f>ROUND(供應率ALL!AF4,1)</f>
        <v>100</v>
      </c>
      <c r="AM41" s="47">
        <f>ROUND(供應率ALL!AG4,1)</f>
        <v>100</v>
      </c>
      <c r="AN41" s="214">
        <f>ROUND(供應率ALL!AH4,1)</f>
        <v>99.9</v>
      </c>
      <c r="AO41" s="48"/>
    </row>
    <row r="42" spans="1:41" s="14" customFormat="1" ht="21.95" customHeight="1">
      <c r="A42" s="668" t="s">
        <v>13</v>
      </c>
      <c r="B42" s="669"/>
      <c r="C42" s="669"/>
      <c r="D42" s="44">
        <f>HLOOKUP(MONTH(日期!$C$2),去年月推移!$D$1:$O$200,100,TRUE)</f>
        <v>88.950276000000002</v>
      </c>
      <c r="E42" s="50">
        <v>75</v>
      </c>
      <c r="F42" s="51" t="s">
        <v>45</v>
      </c>
      <c r="G42" s="590">
        <f>ROUND(當年月推移!P101,1)</f>
        <v>89.1</v>
      </c>
      <c r="H42" s="591"/>
      <c r="I42" s="47">
        <f>ROUND(供應率ALL!C5,1)</f>
        <v>79.3</v>
      </c>
      <c r="J42" s="47">
        <f>ROUND(供應率ALL!D5,1)</f>
        <v>100</v>
      </c>
      <c r="K42" s="47">
        <f>ROUND(供應率ALL!E5,1)</f>
        <v>72.7</v>
      </c>
      <c r="L42" s="47">
        <f>ROUND(供應率ALL!F5,1)</f>
        <v>75</v>
      </c>
      <c r="M42" s="47">
        <f>ROUND(供應率ALL!G5,1)</f>
        <v>0</v>
      </c>
      <c r="N42" s="47">
        <f>ROUND(供應率ALL!H5,1)</f>
        <v>0</v>
      </c>
      <c r="O42" s="47">
        <f>ROUND(供應率ALL!I5,1)</f>
        <v>77.7</v>
      </c>
      <c r="P42" s="47">
        <f>ROUND(供應率ALL!J5,1)</f>
        <v>88</v>
      </c>
      <c r="Q42" s="47">
        <f>ROUND(供應率ALL!K5,1)</f>
        <v>89.4</v>
      </c>
      <c r="R42" s="47">
        <f>ROUND(供應率ALL!L5,1)</f>
        <v>0</v>
      </c>
      <c r="S42" s="47">
        <f>ROUND(供應率ALL!M5,1)</f>
        <v>66.599999999999994</v>
      </c>
      <c r="T42" s="47">
        <f>ROUND(供應率ALL!N5,1)</f>
        <v>0</v>
      </c>
      <c r="U42" s="47">
        <f>ROUND(供應率ALL!O5,1)</f>
        <v>80.7</v>
      </c>
      <c r="V42" s="47">
        <f>ROUND(供應率ALL!P5,1)</f>
        <v>82.3</v>
      </c>
      <c r="W42" s="47">
        <f>ROUND(供應率ALL!Q5,1)</f>
        <v>90.4</v>
      </c>
      <c r="X42" s="47">
        <f>ROUND(供應率ALL!R5,1)</f>
        <v>70.5</v>
      </c>
      <c r="Y42" s="47">
        <f>ROUND(供應率ALL!S5,1)</f>
        <v>75</v>
      </c>
      <c r="Z42" s="47">
        <f>ROUND(供應率ALL!T5,1)</f>
        <v>25</v>
      </c>
      <c r="AA42" s="47">
        <f>ROUND(供應率ALL!U5,1)</f>
        <v>0</v>
      </c>
      <c r="AB42" s="47">
        <f>ROUND(供應率ALL!V5,1)</f>
        <v>85.2</v>
      </c>
      <c r="AC42" s="47">
        <f>ROUND(供應率ALL!W5,1)</f>
        <v>93.7</v>
      </c>
      <c r="AD42" s="47">
        <f>ROUND(供應率ALL!X5,1)</f>
        <v>88.8</v>
      </c>
      <c r="AE42" s="47">
        <f>ROUND(供應率ALL!Y5,1)</f>
        <v>83.3</v>
      </c>
      <c r="AF42" s="47">
        <f>ROUND(供應率ALL!Z5,1)</f>
        <v>0</v>
      </c>
      <c r="AG42" s="47">
        <f>ROUND(供應率ALL!AA5,1)</f>
        <v>0</v>
      </c>
      <c r="AH42" s="47">
        <f>ROUND(供應率ALL!AB5,1)</f>
        <v>0</v>
      </c>
      <c r="AI42" s="47">
        <f>ROUND(供應率ALL!AC5,1)</f>
        <v>76.400000000000006</v>
      </c>
      <c r="AJ42" s="47">
        <f>ROUND(供應率ALL!AD5,1)</f>
        <v>68.7</v>
      </c>
      <c r="AK42" s="47">
        <f>ROUND(供應率ALL!AE5,1)</f>
        <v>95.6</v>
      </c>
      <c r="AL42" s="47">
        <f>ROUND(供應率ALL!AF5,1)</f>
        <v>88.8</v>
      </c>
      <c r="AM42" s="47">
        <f>ROUND(供應率ALL!AG5,1)</f>
        <v>85.7</v>
      </c>
      <c r="AN42" s="214">
        <f>ROUND(供應率ALL!AH5,1)</f>
        <v>81.7</v>
      </c>
      <c r="AO42" s="48"/>
    </row>
    <row r="43" spans="1:41" s="14" customFormat="1" ht="21.95" customHeight="1">
      <c r="A43" s="668" t="s">
        <v>14</v>
      </c>
      <c r="B43" s="669"/>
      <c r="C43" s="669"/>
      <c r="D43" s="44">
        <f>HLOOKUP(MONTH(日期!$C$2),去年月推移!$D$1:$O$200,101,TRUE)</f>
        <v>99.029639000000003</v>
      </c>
      <c r="E43" s="50">
        <v>99</v>
      </c>
      <c r="F43" s="51" t="s">
        <v>45</v>
      </c>
      <c r="G43" s="590">
        <f>ROUND(當年月推移!P102,1)</f>
        <v>99.4</v>
      </c>
      <c r="H43" s="591"/>
      <c r="I43" s="47">
        <f>ROUND(供應率ALL!C6,1)</f>
        <v>99.4</v>
      </c>
      <c r="J43" s="47">
        <f>ROUND(供應率ALL!D6,1)</f>
        <v>99.3</v>
      </c>
      <c r="K43" s="47">
        <f>ROUND(供應率ALL!E6,1)</f>
        <v>99.7</v>
      </c>
      <c r="L43" s="47">
        <f>ROUND(供應率ALL!F6,1)</f>
        <v>99.3</v>
      </c>
      <c r="M43" s="47">
        <f>ROUND(供應率ALL!G6,1)</f>
        <v>0</v>
      </c>
      <c r="N43" s="47">
        <f>ROUND(供應率ALL!H6,1)</f>
        <v>0</v>
      </c>
      <c r="O43" s="47">
        <f>ROUND(供應率ALL!I6,1)</f>
        <v>99.7</v>
      </c>
      <c r="P43" s="47">
        <f>ROUND(供應率ALL!J6,1)</f>
        <v>99.6</v>
      </c>
      <c r="Q43" s="47">
        <f>ROUND(供應率ALL!K6,1)</f>
        <v>99.5</v>
      </c>
      <c r="R43" s="47">
        <f>ROUND(供應率ALL!L6,1)</f>
        <v>0</v>
      </c>
      <c r="S43" s="47">
        <f>ROUND(供應率ALL!M6,1)</f>
        <v>99.1</v>
      </c>
      <c r="T43" s="47">
        <f>ROUND(供應率ALL!N6,1)</f>
        <v>0</v>
      </c>
      <c r="U43" s="47">
        <f>ROUND(供應率ALL!O6,1)</f>
        <v>99.1</v>
      </c>
      <c r="V43" s="47">
        <f>ROUND(供應率ALL!P6,1)</f>
        <v>99.5</v>
      </c>
      <c r="W43" s="47">
        <f>ROUND(供應率ALL!Q6,1)</f>
        <v>99.7</v>
      </c>
      <c r="X43" s="47">
        <f>ROUND(供應率ALL!R6,1)</f>
        <v>99.6</v>
      </c>
      <c r="Y43" s="47">
        <f>ROUND(供應率ALL!S6,1)</f>
        <v>99.6</v>
      </c>
      <c r="Z43" s="47">
        <f>ROUND(供應率ALL!T6,1)</f>
        <v>99.9</v>
      </c>
      <c r="AA43" s="47">
        <f>ROUND(供應率ALL!U6,1)</f>
        <v>0</v>
      </c>
      <c r="AB43" s="47">
        <f>ROUND(供應率ALL!V6,1)</f>
        <v>99.3</v>
      </c>
      <c r="AC43" s="47">
        <f>ROUND(供應率ALL!W6,1)</f>
        <v>99.8</v>
      </c>
      <c r="AD43" s="47">
        <f>ROUND(供應率ALL!X6,1)</f>
        <v>99.4</v>
      </c>
      <c r="AE43" s="47">
        <f>ROUND(供應率ALL!Y6,1)</f>
        <v>99.6</v>
      </c>
      <c r="AF43" s="47">
        <f>ROUND(供應率ALL!Z6,1)</f>
        <v>0</v>
      </c>
      <c r="AG43" s="47">
        <f>ROUND(供應率ALL!AA6,1)</f>
        <v>0</v>
      </c>
      <c r="AH43" s="47">
        <f>ROUND(供應率ALL!AB6,1)</f>
        <v>0</v>
      </c>
      <c r="AI43" s="47">
        <f>ROUND(供應率ALL!AC6,1)</f>
        <v>99</v>
      </c>
      <c r="AJ43" s="47">
        <f>ROUND(供應率ALL!AD6,1)</f>
        <v>99.1</v>
      </c>
      <c r="AK43" s="47">
        <f>ROUND(供應率ALL!AE6,1)</f>
        <v>99.3</v>
      </c>
      <c r="AL43" s="47">
        <f>ROUND(供應率ALL!AF6,1)</f>
        <v>99.1</v>
      </c>
      <c r="AM43" s="47">
        <f>ROUND(供應率ALL!AG6,1)</f>
        <v>99.3</v>
      </c>
      <c r="AN43" s="214">
        <f>ROUND(供應率ALL!AH6,1)</f>
        <v>99.5</v>
      </c>
      <c r="AO43" s="48"/>
    </row>
    <row r="44" spans="1:41" s="14" customFormat="1" ht="21.95" customHeight="1">
      <c r="A44" s="668" t="s">
        <v>47</v>
      </c>
      <c r="B44" s="669"/>
      <c r="C44" s="669"/>
      <c r="D44" s="44">
        <f>HLOOKUP(MONTH(日期!$C$2),去年月推移!$D$1:$O$200,102,TRUE)</f>
        <v>93.710863000000003</v>
      </c>
      <c r="E44" s="50">
        <v>92</v>
      </c>
      <c r="F44" s="51" t="s">
        <v>45</v>
      </c>
      <c r="G44" s="590">
        <f>ROUND(當年月推移!P103,1)</f>
        <v>94</v>
      </c>
      <c r="H44" s="591"/>
      <c r="I44" s="47">
        <f>ROUND(供應率ALL!C23,1)</f>
        <v>95.2</v>
      </c>
      <c r="J44" s="47">
        <f>ROUND(供應率ALL!D23,1)</f>
        <v>94.7</v>
      </c>
      <c r="K44" s="47">
        <f>ROUND(供應率ALL!E23,1)</f>
        <v>94.1</v>
      </c>
      <c r="L44" s="47">
        <f>ROUND(供應率ALL!F23,1)</f>
        <v>93.3</v>
      </c>
      <c r="M44" s="47">
        <f>ROUND(供應率ALL!G23,1)</f>
        <v>0</v>
      </c>
      <c r="N44" s="47">
        <f>ROUND(供應率ALL!H23,1)</f>
        <v>0</v>
      </c>
      <c r="O44" s="47">
        <f>ROUND(供應率ALL!I23,1)</f>
        <v>88.6</v>
      </c>
      <c r="P44" s="47">
        <f>ROUND(供應率ALL!J23,1)</f>
        <v>93.1</v>
      </c>
      <c r="Q44" s="47">
        <f>ROUND(供應率ALL!K23,1)</f>
        <v>91.6</v>
      </c>
      <c r="R44" s="47">
        <f>ROUND(供應率ALL!L23,1)</f>
        <v>0</v>
      </c>
      <c r="S44" s="47">
        <f>ROUND(供應率ALL!M23,1)</f>
        <v>94</v>
      </c>
      <c r="T44" s="47">
        <f>ROUND(供應率ALL!N23,1)</f>
        <v>0</v>
      </c>
      <c r="U44" s="47">
        <f>ROUND(供應率ALL!O23,1)</f>
        <v>91.5</v>
      </c>
      <c r="V44" s="47">
        <f>ROUND(供應率ALL!P23,1)</f>
        <v>87.8</v>
      </c>
      <c r="W44" s="47">
        <f>ROUND(供應率ALL!Q23,1)</f>
        <v>91.4</v>
      </c>
      <c r="X44" s="47">
        <f>ROUND(供應率ALL!R23,1)</f>
        <v>90.3</v>
      </c>
      <c r="Y44" s="47">
        <f>ROUND(供應率ALL!S23,1)</f>
        <v>96</v>
      </c>
      <c r="Z44" s="47">
        <f>ROUND(供應率ALL!T23,1)</f>
        <v>92.7</v>
      </c>
      <c r="AA44" s="47">
        <f>ROUND(供應率ALL!U23,1)</f>
        <v>0</v>
      </c>
      <c r="AB44" s="47">
        <f>ROUND(供應率ALL!V23,1)</f>
        <v>95.9</v>
      </c>
      <c r="AC44" s="47">
        <f>ROUND(供應率ALL!W23,1)</f>
        <v>95.7</v>
      </c>
      <c r="AD44" s="47">
        <f>ROUND(供應率ALL!X23,1)</f>
        <v>96</v>
      </c>
      <c r="AE44" s="47">
        <f>ROUND(供應率ALL!Y23,1)</f>
        <v>92.3</v>
      </c>
      <c r="AF44" s="47">
        <f>ROUND(供應率ALL!Z23,1)</f>
        <v>0</v>
      </c>
      <c r="AG44" s="47">
        <f>ROUND(供應率ALL!AA23,1)</f>
        <v>0</v>
      </c>
      <c r="AH44" s="47">
        <f>ROUND(供應率ALL!AB23,1)</f>
        <v>0</v>
      </c>
      <c r="AI44" s="47">
        <f>ROUND(供應率ALL!AC23,1)</f>
        <v>90.4</v>
      </c>
      <c r="AJ44" s="47">
        <f>ROUND(供應率ALL!AD23,1)</f>
        <v>94.9</v>
      </c>
      <c r="AK44" s="47">
        <f>ROUND(供應率ALL!AE23,1)</f>
        <v>92.9</v>
      </c>
      <c r="AL44" s="47">
        <f>ROUND(供應率ALL!AF23,1)</f>
        <v>93.9</v>
      </c>
      <c r="AM44" s="47">
        <f>ROUND(供應率ALL!AG23,1)</f>
        <v>95.3</v>
      </c>
      <c r="AN44" s="214">
        <f>ROUND(供應率ALL!AH23,1)</f>
        <v>93.2</v>
      </c>
      <c r="AO44" s="48"/>
    </row>
    <row r="45" spans="1:41" s="14" customFormat="1" ht="21.95" customHeight="1">
      <c r="A45" s="668" t="s">
        <v>48</v>
      </c>
      <c r="B45" s="669"/>
      <c r="C45" s="669"/>
      <c r="D45" s="44">
        <f>HLOOKUP(MONTH(日期!$C$2),去年月推移!$D$1:$O$200,103,TRUE)</f>
        <v>99.059765999999996</v>
      </c>
      <c r="E45" s="50">
        <v>95</v>
      </c>
      <c r="F45" s="51" t="s">
        <v>45</v>
      </c>
      <c r="G45" s="590">
        <f>ROUND(當年月推移!P104,1)</f>
        <v>98.2</v>
      </c>
      <c r="H45" s="591"/>
      <c r="I45" s="47">
        <f>ROUND(供應率ALL!C8,1)</f>
        <v>99</v>
      </c>
      <c r="J45" s="47">
        <f>ROUND(供應率ALL!D8,1)</f>
        <v>99.7</v>
      </c>
      <c r="K45" s="47">
        <f>ROUND(供應率ALL!E8,1)</f>
        <v>99.8</v>
      </c>
      <c r="L45" s="47">
        <f>ROUND(供應率ALL!F8,1)</f>
        <v>99.5</v>
      </c>
      <c r="M45" s="47">
        <f>ROUND(供應率ALL!G8,1)</f>
        <v>0</v>
      </c>
      <c r="N45" s="47">
        <f>ROUND(供應率ALL!H8,1)</f>
        <v>0</v>
      </c>
      <c r="O45" s="47">
        <f>ROUND(供應率ALL!I8,1)</f>
        <v>90.3</v>
      </c>
      <c r="P45" s="47">
        <f>ROUND(供應率ALL!J8,1)</f>
        <v>94.2</v>
      </c>
      <c r="Q45" s="47">
        <f>ROUND(供應率ALL!K8,1)</f>
        <v>95</v>
      </c>
      <c r="R45" s="47">
        <f>ROUND(供應率ALL!L8,1)</f>
        <v>0</v>
      </c>
      <c r="S45" s="47">
        <f>ROUND(供應率ALL!M8,1)</f>
        <v>98.3</v>
      </c>
      <c r="T45" s="47">
        <f>ROUND(供應率ALL!N8,1)</f>
        <v>0</v>
      </c>
      <c r="U45" s="47">
        <f>ROUND(供應率ALL!O8,1)</f>
        <v>97.7</v>
      </c>
      <c r="V45" s="47">
        <f>ROUND(供應率ALL!P8,1)</f>
        <v>97.9</v>
      </c>
      <c r="W45" s="47">
        <f>ROUND(供應率ALL!Q8,1)</f>
        <v>98.8</v>
      </c>
      <c r="X45" s="47">
        <f>ROUND(供應率ALL!R8,1)</f>
        <v>99.4</v>
      </c>
      <c r="Y45" s="47">
        <f>ROUND(供應率ALL!S8,1)</f>
        <v>99.5</v>
      </c>
      <c r="Z45" s="47">
        <f>ROUND(供應率ALL!T8,1)</f>
        <v>94.6</v>
      </c>
      <c r="AA45" s="47">
        <f>ROUND(供應率ALL!U8,1)</f>
        <v>0</v>
      </c>
      <c r="AB45" s="47">
        <f>ROUND(供應率ALL!V8,1)</f>
        <v>96.7</v>
      </c>
      <c r="AC45" s="47">
        <f>ROUND(供應率ALL!W8,1)</f>
        <v>95.1</v>
      </c>
      <c r="AD45" s="47">
        <f>ROUND(供應率ALL!X8,1)</f>
        <v>97.8</v>
      </c>
      <c r="AE45" s="47">
        <f>ROUND(供應率ALL!Y8,1)</f>
        <v>97.7</v>
      </c>
      <c r="AF45" s="47">
        <f>ROUND(供應率ALL!Z8,1)</f>
        <v>0</v>
      </c>
      <c r="AG45" s="47">
        <f>ROUND(供應率ALL!AA8,1)</f>
        <v>0</v>
      </c>
      <c r="AH45" s="47">
        <f>ROUND(供應率ALL!AB8,1)</f>
        <v>0</v>
      </c>
      <c r="AI45" s="47">
        <f>ROUND(供應率ALL!AC8,1)</f>
        <v>94.4</v>
      </c>
      <c r="AJ45" s="47">
        <f>ROUND(供應率ALL!AD8,1)</f>
        <v>98.6</v>
      </c>
      <c r="AK45" s="47">
        <f>ROUND(供應率ALL!AE8,1)</f>
        <v>96.3</v>
      </c>
      <c r="AL45" s="47">
        <f>ROUND(供應率ALL!AF8,1)</f>
        <v>98.8</v>
      </c>
      <c r="AM45" s="47">
        <f>ROUND(供應率ALL!AG8,1)</f>
        <v>99.4</v>
      </c>
      <c r="AN45" s="214">
        <f>ROUND(供應率ALL!AH8,1)</f>
        <v>97.2</v>
      </c>
      <c r="AO45" s="48"/>
    </row>
    <row r="46" spans="1:41" s="14" customFormat="1" ht="21.95" customHeight="1">
      <c r="A46" s="668" t="s">
        <v>17</v>
      </c>
      <c r="B46" s="669"/>
      <c r="C46" s="669"/>
      <c r="D46" s="44">
        <f>HLOOKUP(MONTH(日期!$C$2),去年月推移!$D$1:$O$200,104,TRUE)</f>
        <v>92.835819999999998</v>
      </c>
      <c r="E46" s="50">
        <v>95</v>
      </c>
      <c r="F46" s="51" t="s">
        <v>45</v>
      </c>
      <c r="G46" s="590">
        <f>ROUND(當年月推移!P105,1)</f>
        <v>96.1</v>
      </c>
      <c r="H46" s="591"/>
      <c r="I46" s="47">
        <f>ROUND(供應率ALL!C9,1)</f>
        <v>100</v>
      </c>
      <c r="J46" s="47">
        <f>ROUND(供應率ALL!D9,1)</f>
        <v>100</v>
      </c>
      <c r="K46" s="47">
        <f>ROUND(供應率ALL!E9,1)</f>
        <v>100</v>
      </c>
      <c r="L46" s="47">
        <f>ROUND(供應率ALL!F9,1)</f>
        <v>91.6</v>
      </c>
      <c r="M46" s="47">
        <f>ROUND(供應率ALL!G9,1)</f>
        <v>0</v>
      </c>
      <c r="N46" s="47">
        <f>ROUND(供應率ALL!H9,1)</f>
        <v>0</v>
      </c>
      <c r="O46" s="47">
        <f>ROUND(供應率ALL!I9,1)</f>
        <v>87.5</v>
      </c>
      <c r="P46" s="47">
        <f>ROUND(供應率ALL!J9,1)</f>
        <v>86.6</v>
      </c>
      <c r="Q46" s="47">
        <f>ROUND(供應率ALL!K9,1)</f>
        <v>100</v>
      </c>
      <c r="R46" s="47">
        <f>ROUND(供應率ALL!L9,1)</f>
        <v>0</v>
      </c>
      <c r="S46" s="47">
        <f>ROUND(供應率ALL!M9,1)</f>
        <v>93.3</v>
      </c>
      <c r="T46" s="47">
        <f>ROUND(供應率ALL!N9,1)</f>
        <v>0</v>
      </c>
      <c r="U46" s="47">
        <f>ROUND(供應率ALL!O9,1)</f>
        <v>100</v>
      </c>
      <c r="V46" s="47">
        <f>ROUND(供應率ALL!P9,1)</f>
        <v>81.2</v>
      </c>
      <c r="W46" s="47">
        <f>ROUND(供應率ALL!Q9,1)</f>
        <v>64.2</v>
      </c>
      <c r="X46" s="47">
        <f>ROUND(供應率ALL!R9,1)</f>
        <v>81.8</v>
      </c>
      <c r="Y46" s="47">
        <f>ROUND(供應率ALL!S9,1)</f>
        <v>100</v>
      </c>
      <c r="Z46" s="47">
        <f>ROUND(供應率ALL!T9,1)</f>
        <v>0</v>
      </c>
      <c r="AA46" s="47">
        <f>ROUND(供應率ALL!U9,1)</f>
        <v>0</v>
      </c>
      <c r="AB46" s="47">
        <f>ROUND(供應率ALL!V9,1)</f>
        <v>85.7</v>
      </c>
      <c r="AC46" s="47">
        <f>ROUND(供應率ALL!W9,1)</f>
        <v>88.8</v>
      </c>
      <c r="AD46" s="47">
        <f>ROUND(供應率ALL!X9,1)</f>
        <v>100</v>
      </c>
      <c r="AE46" s="47">
        <f>ROUND(供應率ALL!Y9,1)</f>
        <v>93.7</v>
      </c>
      <c r="AF46" s="47">
        <f>ROUND(供應率ALL!Z9,1)</f>
        <v>0</v>
      </c>
      <c r="AG46" s="47">
        <f>ROUND(供應率ALL!AA9,1)</f>
        <v>0</v>
      </c>
      <c r="AH46" s="47">
        <f>ROUND(供應率ALL!AB9,1)</f>
        <v>0</v>
      </c>
      <c r="AI46" s="47">
        <f>ROUND(供應率ALL!AC9,1)</f>
        <v>100</v>
      </c>
      <c r="AJ46" s="47">
        <f>ROUND(供應率ALL!AD9,1)</f>
        <v>100</v>
      </c>
      <c r="AK46" s="47">
        <f>ROUND(供應率ALL!AE9,1)</f>
        <v>100</v>
      </c>
      <c r="AL46" s="47">
        <f>ROUND(供應率ALL!AF9,1)</f>
        <v>100</v>
      </c>
      <c r="AM46" s="47">
        <f>ROUND(供應率ALL!AG9,1)</f>
        <v>100</v>
      </c>
      <c r="AN46" s="214">
        <f>ROUND(供應率ALL!AH9,1)</f>
        <v>92.8</v>
      </c>
      <c r="AO46" s="48"/>
    </row>
    <row r="47" spans="1:41" s="14" customFormat="1" ht="21.95" customHeight="1" thickBot="1">
      <c r="A47" s="557" t="s">
        <v>49</v>
      </c>
      <c r="B47" s="558"/>
      <c r="C47" s="559"/>
      <c r="D47" s="231">
        <f>HLOOKUP(MONTH(日期!$C$2),去年月推移!$D$1:$O$200,105,TRUE)</f>
        <v>97.821056999999996</v>
      </c>
      <c r="E47" s="52">
        <v>97.8</v>
      </c>
      <c r="F47" s="53"/>
      <c r="G47" s="629">
        <f>ROUND(當年月推移!P106,1)</f>
        <v>98.1</v>
      </c>
      <c r="H47" s="630"/>
      <c r="I47" s="242">
        <f>ROUND(供應率ALL!C10,1)</f>
        <v>98.1</v>
      </c>
      <c r="J47" s="242">
        <f>ROUND(供應率ALL!D10,1)</f>
        <v>98.1</v>
      </c>
      <c r="K47" s="242">
        <f>ROUND(供應率ALL!E10,1)</f>
        <v>98.3</v>
      </c>
      <c r="L47" s="242">
        <f>ROUND(供應率ALL!F10,1)</f>
        <v>97.9</v>
      </c>
      <c r="M47" s="242">
        <f>ROUND(供應率ALL!G10,1)</f>
        <v>0</v>
      </c>
      <c r="N47" s="242">
        <f>ROUND(供應率ALL!H10,1)</f>
        <v>0</v>
      </c>
      <c r="O47" s="242">
        <f>ROUND(供應率ALL!I10,1)</f>
        <v>97.4</v>
      </c>
      <c r="P47" s="242">
        <f>ROUND(供應率ALL!J10,1)</f>
        <v>97.8</v>
      </c>
      <c r="Q47" s="242">
        <f>ROUND(供應率ALL!K10,1)</f>
        <v>97.7</v>
      </c>
      <c r="R47" s="242">
        <f>ROUND(供應率ALL!L10,1)</f>
        <v>0</v>
      </c>
      <c r="S47" s="242">
        <f>ROUND(供應率ALL!M10,1)</f>
        <v>98.2</v>
      </c>
      <c r="T47" s="242">
        <f>ROUND(供應率ALL!N10,1)</f>
        <v>0</v>
      </c>
      <c r="U47" s="242">
        <f>ROUND(供應率ALL!O10,1)</f>
        <v>97.6</v>
      </c>
      <c r="V47" s="242">
        <f>ROUND(供應率ALL!P10,1)</f>
        <v>97.9</v>
      </c>
      <c r="W47" s="242">
        <f>ROUND(供應率ALL!Q10,1)</f>
        <v>97.7</v>
      </c>
      <c r="X47" s="242">
        <f>ROUND(供應率ALL!R10,1)</f>
        <v>97.9</v>
      </c>
      <c r="Y47" s="242">
        <f>ROUND(供應率ALL!S10,1)</f>
        <v>98.1</v>
      </c>
      <c r="Z47" s="242">
        <f>ROUND(供應率ALL!T10,1)</f>
        <v>96.7</v>
      </c>
      <c r="AA47" s="242">
        <f>ROUND(供應率ALL!U10,1)</f>
        <v>0</v>
      </c>
      <c r="AB47" s="242">
        <f>ROUND(供應率ALL!V10,1)</f>
        <v>98.3</v>
      </c>
      <c r="AC47" s="242">
        <f>ROUND(供應率ALL!W10,1)</f>
        <v>98</v>
      </c>
      <c r="AD47" s="242">
        <f>ROUND(供應率ALL!X10,1)</f>
        <v>98.2</v>
      </c>
      <c r="AE47" s="242">
        <f>ROUND(供應率ALL!Y10,1)</f>
        <v>97.8</v>
      </c>
      <c r="AF47" s="242">
        <f>ROUND(供應率ALL!Z10,1)</f>
        <v>100</v>
      </c>
      <c r="AG47" s="242">
        <f>ROUND(供應率ALL!AA10,1)</f>
        <v>0</v>
      </c>
      <c r="AH47" s="242">
        <f>ROUND(供應率ALL!AB10,1)</f>
        <v>0</v>
      </c>
      <c r="AI47" s="242">
        <f>ROUND(供應率ALL!AC10,1)</f>
        <v>97.6</v>
      </c>
      <c r="AJ47" s="242">
        <f>ROUND(供應率ALL!AD10,1)</f>
        <v>98</v>
      </c>
      <c r="AK47" s="242">
        <f>ROUND(供應率ALL!AE10,1)</f>
        <v>97.7</v>
      </c>
      <c r="AL47" s="242">
        <f>ROUND(供應率ALL!AF10,1)</f>
        <v>98</v>
      </c>
      <c r="AM47" s="242">
        <f>ROUND(供應率ALL!AG10,1)</f>
        <v>98.3</v>
      </c>
      <c r="AN47" s="271">
        <f>ROUND(供應率ALL!AH10,1)</f>
        <v>98</v>
      </c>
      <c r="AO47" s="48"/>
    </row>
    <row r="48" spans="1:41" s="14" customFormat="1" ht="21.95" customHeight="1">
      <c r="A48" s="670" t="s">
        <v>23</v>
      </c>
      <c r="B48" s="671"/>
      <c r="C48" s="671"/>
      <c r="D48" s="44">
        <f>HLOOKUP(MONTH(日期!$C$2),去年月推移!$D$1:$O$200,106,TRUE)</f>
        <v>96.360566000000006</v>
      </c>
      <c r="E48" s="269">
        <v>97.8</v>
      </c>
      <c r="F48" s="270" t="s">
        <v>45</v>
      </c>
      <c r="G48" s="590">
        <f>ROUND(當年月推移!P107,1)</f>
        <v>98.1</v>
      </c>
      <c r="H48" s="591"/>
      <c r="I48" s="47">
        <f>ROUND(供應率ALL!C3,1)</f>
        <v>98.3</v>
      </c>
      <c r="J48" s="47">
        <f>ROUND(供應率ALL!D3,1)</f>
        <v>98.4</v>
      </c>
      <c r="K48" s="47">
        <f>ROUND(供應率ALL!E3,1)</f>
        <v>97.7</v>
      </c>
      <c r="L48" s="47">
        <f>ROUND(供應率ALL!F3,1)</f>
        <v>97.2</v>
      </c>
      <c r="M48" s="47">
        <f>ROUND(供應率ALL!G3,1)</f>
        <v>0</v>
      </c>
      <c r="N48" s="47">
        <f>ROUND(供應率ALL!H3,1)</f>
        <v>0</v>
      </c>
      <c r="O48" s="47">
        <f>ROUND(供應率ALL!I3,1)</f>
        <v>98.4</v>
      </c>
      <c r="P48" s="47">
        <f>ROUND(供應率ALL!J3,1)</f>
        <v>98.5</v>
      </c>
      <c r="Q48" s="47">
        <f>ROUND(供應率ALL!K3,1)</f>
        <v>97.9</v>
      </c>
      <c r="R48" s="47">
        <f>ROUND(供應率ALL!L3,1)</f>
        <v>0</v>
      </c>
      <c r="S48" s="47">
        <f>ROUND(供應率ALL!M3,1)</f>
        <v>98</v>
      </c>
      <c r="T48" s="47">
        <f>ROUND(供應率ALL!N3,1)</f>
        <v>0</v>
      </c>
      <c r="U48" s="47">
        <f>ROUND(供應率ALL!O3,1)</f>
        <v>98.3</v>
      </c>
      <c r="V48" s="47">
        <f>ROUND(供應率ALL!P3,1)</f>
        <v>97.9</v>
      </c>
      <c r="W48" s="47">
        <f>ROUND(供應率ALL!Q3,1)</f>
        <v>98.1</v>
      </c>
      <c r="X48" s="47">
        <f>ROUND(供應率ALL!R3,1)</f>
        <v>99.1</v>
      </c>
      <c r="Y48" s="47">
        <f>ROUND(供應率ALL!S3,1)</f>
        <v>97.9</v>
      </c>
      <c r="Z48" s="47">
        <f>ROUND(供應率ALL!T3,1)</f>
        <v>97.1</v>
      </c>
      <c r="AA48" s="47">
        <f>ROUND(供應率ALL!U3,1)</f>
        <v>0</v>
      </c>
      <c r="AB48" s="47">
        <f>ROUND(供應率ALL!V3,1)</f>
        <v>98.7</v>
      </c>
      <c r="AC48" s="47">
        <f>ROUND(供應率ALL!W3,1)</f>
        <v>98.2</v>
      </c>
      <c r="AD48" s="47">
        <f>ROUND(供應率ALL!X3,1)</f>
        <v>98.2</v>
      </c>
      <c r="AE48" s="47">
        <f>ROUND(供應率ALL!Y3,1)</f>
        <v>97.9</v>
      </c>
      <c r="AF48" s="47">
        <f>ROUND(供應率ALL!Z3,1)</f>
        <v>0</v>
      </c>
      <c r="AG48" s="47">
        <f>ROUND(供應率ALL!AA3,1)</f>
        <v>0</v>
      </c>
      <c r="AH48" s="47">
        <f>ROUND(供應率ALL!AB3,1)</f>
        <v>0</v>
      </c>
      <c r="AI48" s="47">
        <f>ROUND(供應率ALL!AC3,1)</f>
        <v>96.6</v>
      </c>
      <c r="AJ48" s="47">
        <f>ROUND(供應率ALL!AD3,1)</f>
        <v>96.6</v>
      </c>
      <c r="AK48" s="47">
        <f>ROUND(供應率ALL!AE3,1)</f>
        <v>98.2</v>
      </c>
      <c r="AL48" s="47">
        <f>ROUND(供應率ALL!AF3,1)</f>
        <v>97.6</v>
      </c>
      <c r="AM48" s="47">
        <f>ROUND(供應率ALL!AG3,1)</f>
        <v>98</v>
      </c>
      <c r="AN48" s="214">
        <f>ROUND(供應率ALL!AH3,1)</f>
        <v>98</v>
      </c>
      <c r="AO48" s="48"/>
    </row>
    <row r="49" spans="1:41" s="14" customFormat="1" ht="21.95" customHeight="1">
      <c r="A49" s="626" t="s">
        <v>24</v>
      </c>
      <c r="B49" s="627"/>
      <c r="C49" s="628"/>
      <c r="D49" s="44">
        <f>HLOOKUP(MONTH(日期!$C$2),去年月推移!$D$1:$O$200,107,TRUE)</f>
        <v>99.844479000000007</v>
      </c>
      <c r="E49" s="50">
        <v>99</v>
      </c>
      <c r="F49" s="51"/>
      <c r="G49" s="637">
        <f>ROUND(當年月推移!P108,1)</f>
        <v>99.4</v>
      </c>
      <c r="H49" s="638"/>
      <c r="I49" s="47">
        <f>ROUND(供應率ALL!C11,1)</f>
        <v>100</v>
      </c>
      <c r="J49" s="47">
        <f>ROUND(供應率ALL!D11,1)</f>
        <v>100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0</v>
      </c>
      <c r="N49" s="47">
        <f>ROUND(供應率ALL!H11,1)</f>
        <v>0</v>
      </c>
      <c r="O49" s="47">
        <f>ROUND(供應率ALL!I11,1)</f>
        <v>100</v>
      </c>
      <c r="P49" s="47">
        <f>ROUND(供應率ALL!J11,1)</f>
        <v>100</v>
      </c>
      <c r="Q49" s="47">
        <f>ROUND(供應率ALL!K11,1)</f>
        <v>100</v>
      </c>
      <c r="R49" s="47">
        <f>ROUND(供應率ALL!L11,1)</f>
        <v>0</v>
      </c>
      <c r="S49" s="47">
        <f>ROUND(供應率ALL!M11,1)</f>
        <v>100</v>
      </c>
      <c r="T49" s="47">
        <f>ROUND(供應率ALL!N11,1)</f>
        <v>0</v>
      </c>
      <c r="U49" s="47">
        <f>ROUND(供應率ALL!O11,1)</f>
        <v>100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0</v>
      </c>
      <c r="AB49" s="47">
        <f>ROUND(供應率ALL!V11,1)</f>
        <v>100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100</v>
      </c>
      <c r="AF49" s="47">
        <f>ROUND(供應率ALL!Z11,1)</f>
        <v>0</v>
      </c>
      <c r="AG49" s="47">
        <f>ROUND(供應率ALL!AA11,1)</f>
        <v>0</v>
      </c>
      <c r="AH49" s="47">
        <f>ROUND(供應率ALL!AB11,1)</f>
        <v>0</v>
      </c>
      <c r="AI49" s="47">
        <f>ROUND(供應率ALL!AC11,1)</f>
        <v>100</v>
      </c>
      <c r="AJ49" s="47">
        <f>ROUND(供應率ALL!AD11,1)</f>
        <v>100</v>
      </c>
      <c r="AK49" s="47">
        <f>ROUND(供應率ALL!AE11,1)</f>
        <v>100</v>
      </c>
      <c r="AL49" s="47">
        <f>ROUND(供應率ALL!AF11,1)</f>
        <v>100</v>
      </c>
      <c r="AM49" s="47">
        <f>ROUND(供應率ALL!AG11,1)</f>
        <v>100</v>
      </c>
      <c r="AN49" s="214">
        <f>ROUND(供應率ALL!AH11,1)</f>
        <v>100</v>
      </c>
      <c r="AO49" s="48"/>
    </row>
    <row r="50" spans="1:41" s="14" customFormat="1" ht="21.95" customHeight="1">
      <c r="A50" s="626" t="s">
        <v>25</v>
      </c>
      <c r="B50" s="627"/>
      <c r="C50" s="628"/>
      <c r="D50" s="44">
        <f>HLOOKUP(MONTH(日期!$C$2),去年月推移!$D$1:$O$200,108,TRUE)</f>
        <v>95.417236000000003</v>
      </c>
      <c r="E50" s="50">
        <v>75</v>
      </c>
      <c r="F50" s="51"/>
      <c r="G50" s="637">
        <f>ROUND(當年月推移!P109,1)</f>
        <v>97</v>
      </c>
      <c r="H50" s="638"/>
      <c r="I50" s="47">
        <f>ROUND(供應率ALL!C12,1)</f>
        <v>98</v>
      </c>
      <c r="J50" s="47">
        <f>ROUND(供應率ALL!D12,1)</f>
        <v>100</v>
      </c>
      <c r="K50" s="47">
        <f>ROUND(供應率ALL!E12,1)</f>
        <v>100</v>
      </c>
      <c r="L50" s="47">
        <f>ROUND(供應率ALL!F12,1)</f>
        <v>100</v>
      </c>
      <c r="M50" s="47">
        <f>ROUND(供應率ALL!G12,1)</f>
        <v>0</v>
      </c>
      <c r="N50" s="47">
        <f>ROUND(供應率ALL!H12,1)</f>
        <v>0</v>
      </c>
      <c r="O50" s="47">
        <f>ROUND(供應率ALL!I12,1)</f>
        <v>100</v>
      </c>
      <c r="P50" s="47">
        <f>ROUND(供應率ALL!J12,1)</f>
        <v>100</v>
      </c>
      <c r="Q50" s="47">
        <f>ROUND(供應率ALL!K12,1)</f>
        <v>97.8</v>
      </c>
      <c r="R50" s="47">
        <f>ROUND(供應率ALL!L12,1)</f>
        <v>0</v>
      </c>
      <c r="S50" s="47">
        <f>ROUND(供應率ALL!M12,1)</f>
        <v>100</v>
      </c>
      <c r="T50" s="47">
        <f>ROUND(供應率ALL!N12,1)</f>
        <v>0</v>
      </c>
      <c r="U50" s="47">
        <f>ROUND(供應率ALL!O12,1)</f>
        <v>97.8</v>
      </c>
      <c r="V50" s="47">
        <f>ROUND(供應率ALL!P12,1)</f>
        <v>100</v>
      </c>
      <c r="W50" s="47">
        <f>ROUND(供應率ALL!Q12,1)</f>
        <v>97.2</v>
      </c>
      <c r="X50" s="47">
        <f>ROUND(供應率ALL!R12,1)</f>
        <v>92.5</v>
      </c>
      <c r="Y50" s="47">
        <f>ROUND(供應率ALL!S12,1)</f>
        <v>100</v>
      </c>
      <c r="Z50" s="47">
        <f>ROUND(供應率ALL!T12,1)</f>
        <v>100</v>
      </c>
      <c r="AA50" s="47">
        <f>ROUND(供應率ALL!U12,1)</f>
        <v>0</v>
      </c>
      <c r="AB50" s="47">
        <f>ROUND(供應率ALL!V12,1)</f>
        <v>87.3</v>
      </c>
      <c r="AC50" s="47">
        <f>ROUND(供應率ALL!W12,1)</f>
        <v>97.2</v>
      </c>
      <c r="AD50" s="47">
        <f>ROUND(供應率ALL!X12,1)</f>
        <v>100</v>
      </c>
      <c r="AE50" s="47">
        <f>ROUND(供應率ALL!Y12,1)</f>
        <v>100</v>
      </c>
      <c r="AF50" s="47">
        <f>ROUND(供應率ALL!Z12,1)</f>
        <v>0</v>
      </c>
      <c r="AG50" s="47">
        <f>ROUND(供應率ALL!AA12,1)</f>
        <v>0</v>
      </c>
      <c r="AH50" s="47">
        <f>ROUND(供應率ALL!AB12,1)</f>
        <v>0</v>
      </c>
      <c r="AI50" s="47">
        <f>ROUND(供應率ALL!AC12,1)</f>
        <v>100</v>
      </c>
      <c r="AJ50" s="47">
        <f>ROUND(供應率ALL!AD12,1)</f>
        <v>97.6</v>
      </c>
      <c r="AK50" s="47">
        <f>ROUND(供應率ALL!AE12,1)</f>
        <v>100</v>
      </c>
      <c r="AL50" s="47">
        <f>ROUND(供應率ALL!AF12,1)</f>
        <v>100</v>
      </c>
      <c r="AM50" s="47">
        <f>ROUND(供應率ALL!AG12,1)</f>
        <v>90.4</v>
      </c>
      <c r="AN50" s="214">
        <f>ROUND(供應率ALL!AH12,1)</f>
        <v>97.5</v>
      </c>
      <c r="AO50" s="48"/>
    </row>
    <row r="51" spans="1:41" s="14" customFormat="1" ht="21.95" customHeight="1">
      <c r="A51" s="626" t="s">
        <v>26</v>
      </c>
      <c r="B51" s="627"/>
      <c r="C51" s="628"/>
      <c r="D51" s="44">
        <f>HLOOKUP(MONTH(日期!$C$2),去年月推移!$D$1:$O$200,109,TRUE)</f>
        <v>96.541617000000002</v>
      </c>
      <c r="E51" s="50">
        <v>98.7</v>
      </c>
      <c r="F51" s="51"/>
      <c r="G51" s="637">
        <f>ROUND(當年月推移!P110,1)</f>
        <v>96.4</v>
      </c>
      <c r="H51" s="638"/>
      <c r="I51" s="47">
        <f>ROUND(供應率ALL!C13,1)</f>
        <v>94.9</v>
      </c>
      <c r="J51" s="47">
        <f>ROUND(供應率ALL!D13,1)</f>
        <v>96.9</v>
      </c>
      <c r="K51" s="47">
        <f>ROUND(供應率ALL!E13,1)</f>
        <v>96.1</v>
      </c>
      <c r="L51" s="47">
        <f>ROUND(供應率ALL!F13,1)</f>
        <v>94.4</v>
      </c>
      <c r="M51" s="47">
        <f>ROUND(供應率ALL!G13,1)</f>
        <v>0</v>
      </c>
      <c r="N51" s="47">
        <f>ROUND(供應率ALL!H13,1)</f>
        <v>0</v>
      </c>
      <c r="O51" s="47">
        <f>ROUND(供應率ALL!I13,1)</f>
        <v>95.5</v>
      </c>
      <c r="P51" s="47">
        <f>ROUND(供應率ALL!J13,1)</f>
        <v>96.4</v>
      </c>
      <c r="Q51" s="47">
        <f>ROUND(供應率ALL!K13,1)</f>
        <v>99.4</v>
      </c>
      <c r="R51" s="47">
        <f>ROUND(供應率ALL!L13,1)</f>
        <v>0</v>
      </c>
      <c r="S51" s="47">
        <f>ROUND(供應率ALL!M13,1)</f>
        <v>99.7</v>
      </c>
      <c r="T51" s="47">
        <f>ROUND(供應率ALL!N13,1)</f>
        <v>0</v>
      </c>
      <c r="U51" s="47">
        <f>ROUND(供應率ALL!O13,1)</f>
        <v>98.8</v>
      </c>
      <c r="V51" s="47">
        <f>ROUND(供應率ALL!P13,1)</f>
        <v>98.1</v>
      </c>
      <c r="W51" s="47">
        <f>ROUND(供應率ALL!Q13,1)</f>
        <v>97.9</v>
      </c>
      <c r="X51" s="47">
        <f>ROUND(供應率ALL!R13,1)</f>
        <v>98.7</v>
      </c>
      <c r="Y51" s="47">
        <f>ROUND(供應率ALL!S13,1)</f>
        <v>97.8</v>
      </c>
      <c r="Z51" s="47">
        <f>ROUND(供應率ALL!T13,1)</f>
        <v>95.4</v>
      </c>
      <c r="AA51" s="47">
        <f>ROUND(供應率ALL!U13,1)</f>
        <v>0</v>
      </c>
      <c r="AB51" s="47">
        <f>ROUND(供應率ALL!V13,1)</f>
        <v>96.4</v>
      </c>
      <c r="AC51" s="47">
        <f>ROUND(供應率ALL!W13,1)</f>
        <v>95.5</v>
      </c>
      <c r="AD51" s="47">
        <f>ROUND(供應率ALL!X13,1)</f>
        <v>98.2</v>
      </c>
      <c r="AE51" s="47">
        <f>ROUND(供應率ALL!Y13,1)</f>
        <v>93.3</v>
      </c>
      <c r="AF51" s="47">
        <f>ROUND(供應率ALL!Z13,1)</f>
        <v>0</v>
      </c>
      <c r="AG51" s="47">
        <f>ROUND(供應率ALL!AA13,1)</f>
        <v>0</v>
      </c>
      <c r="AH51" s="47">
        <f>ROUND(供應率ALL!AB13,1)</f>
        <v>0</v>
      </c>
      <c r="AI51" s="47">
        <f>ROUND(供應率ALL!AC13,1)</f>
        <v>93.8</v>
      </c>
      <c r="AJ51" s="47">
        <f>ROUND(供應率ALL!AD13,1)</f>
        <v>97.1</v>
      </c>
      <c r="AK51" s="47">
        <f>ROUND(供應率ALL!AE13,1)</f>
        <v>95.5</v>
      </c>
      <c r="AL51" s="47">
        <f>ROUND(供應率ALL!AF13,1)</f>
        <v>97.6</v>
      </c>
      <c r="AM51" s="47">
        <f>ROUND(供應率ALL!AG13,1)</f>
        <v>98.3</v>
      </c>
      <c r="AN51" s="214">
        <f>ROUND(供應率ALL!AH13,1)</f>
        <v>96.8</v>
      </c>
      <c r="AO51" s="48"/>
    </row>
    <row r="52" spans="1:41" s="14" customFormat="1" ht="21.95" customHeight="1">
      <c r="A52" s="626" t="s">
        <v>27</v>
      </c>
      <c r="B52" s="627"/>
      <c r="C52" s="628"/>
      <c r="D52" s="44">
        <f>HLOOKUP(MONTH(日期!$C$2),去年月推移!$D$1:$O$200,110,TRUE)</f>
        <v>97.272018000000003</v>
      </c>
      <c r="E52" s="50">
        <v>95</v>
      </c>
      <c r="F52" s="51"/>
      <c r="G52" s="637">
        <f>ROUND(當年月推移!P111,1)</f>
        <v>93</v>
      </c>
      <c r="H52" s="638"/>
      <c r="I52" s="47">
        <f>ROUND(供應率ALL!C14,1)</f>
        <v>94.4</v>
      </c>
      <c r="J52" s="47">
        <f>ROUND(供應率ALL!D14,1)</f>
        <v>88.7</v>
      </c>
      <c r="K52" s="47">
        <f>ROUND(供應率ALL!E14,1)</f>
        <v>91.1</v>
      </c>
      <c r="L52" s="47">
        <f>ROUND(供應率ALL!F14,1)</f>
        <v>91.2</v>
      </c>
      <c r="M52" s="47">
        <f>ROUND(供應率ALL!G14,1)</f>
        <v>0</v>
      </c>
      <c r="N52" s="47">
        <f>ROUND(供應率ALL!H14,1)</f>
        <v>0</v>
      </c>
      <c r="O52" s="47">
        <f>ROUND(供應率ALL!I14,1)</f>
        <v>86</v>
      </c>
      <c r="P52" s="47">
        <f>ROUND(供應率ALL!J14,1)</f>
        <v>92.7</v>
      </c>
      <c r="Q52" s="47">
        <f>ROUND(供應率ALL!K14,1)</f>
        <v>98.5</v>
      </c>
      <c r="R52" s="47">
        <f>ROUND(供應率ALL!L14,1)</f>
        <v>0</v>
      </c>
      <c r="S52" s="47">
        <f>ROUND(供應率ALL!M14,1)</f>
        <v>100</v>
      </c>
      <c r="T52" s="47">
        <f>ROUND(供應率ALL!N14,1)</f>
        <v>0</v>
      </c>
      <c r="U52" s="47">
        <f>ROUND(供應率ALL!O14,1)</f>
        <v>98.5</v>
      </c>
      <c r="V52" s="47">
        <f>ROUND(供應率ALL!P14,1)</f>
        <v>100</v>
      </c>
      <c r="W52" s="47">
        <f>ROUND(供應率ALL!Q14,1)</f>
        <v>98.5</v>
      </c>
      <c r="X52" s="47">
        <f>ROUND(供應率ALL!R14,1)</f>
        <v>100</v>
      </c>
      <c r="Y52" s="47">
        <f>ROUND(供應率ALL!S14,1)</f>
        <v>98.6</v>
      </c>
      <c r="Z52" s="47">
        <f>ROUND(供應率ALL!T14,1)</f>
        <v>96.8</v>
      </c>
      <c r="AA52" s="47">
        <f>ROUND(供應率ALL!U14,1)</f>
        <v>0</v>
      </c>
      <c r="AB52" s="47">
        <f>ROUND(供應率ALL!V14,1)</f>
        <v>98.5</v>
      </c>
      <c r="AC52" s="47">
        <f>ROUND(供應率ALL!W14,1)</f>
        <v>98.5</v>
      </c>
      <c r="AD52" s="47">
        <f>ROUND(供應率ALL!X14,1)</f>
        <v>100</v>
      </c>
      <c r="AE52" s="47">
        <f>ROUND(供應率ALL!Y14,1)</f>
        <v>98.9</v>
      </c>
      <c r="AF52" s="47">
        <f>ROUND(供應率ALL!Z14,1)</f>
        <v>0</v>
      </c>
      <c r="AG52" s="47">
        <f>ROUND(供應率ALL!AA14,1)</f>
        <v>0</v>
      </c>
      <c r="AH52" s="47">
        <f>ROUND(供應率ALL!AB14,1)</f>
        <v>0</v>
      </c>
      <c r="AI52" s="47">
        <f>ROUND(供應率ALL!AC14,1)</f>
        <v>99.1</v>
      </c>
      <c r="AJ52" s="47">
        <f>ROUND(供應率ALL!AD14,1)</f>
        <v>98.2</v>
      </c>
      <c r="AK52" s="47">
        <f>ROUND(供應率ALL!AE14,1)</f>
        <v>98.2</v>
      </c>
      <c r="AL52" s="47">
        <f>ROUND(供應率ALL!AF14,1)</f>
        <v>97.9</v>
      </c>
      <c r="AM52" s="47">
        <f>ROUND(供應率ALL!AG14,1)</f>
        <v>98</v>
      </c>
      <c r="AN52" s="214">
        <f>ROUND(供應率ALL!AH14,1)</f>
        <v>96.6</v>
      </c>
      <c r="AO52" s="48"/>
    </row>
    <row r="53" spans="1:41" s="14" customFormat="1" ht="21.95" customHeight="1">
      <c r="A53" s="626" t="s">
        <v>28</v>
      </c>
      <c r="B53" s="627"/>
      <c r="C53" s="628"/>
      <c r="D53" s="44">
        <f>HLOOKUP(MONTH(日期!$C$2),去年月推移!$D$1:$O$200,111,TRUE)</f>
        <v>0</v>
      </c>
      <c r="E53" s="50"/>
      <c r="F53" s="51"/>
      <c r="G53" s="637">
        <f>ROUND(當年月推移!P112,1)</f>
        <v>27.7</v>
      </c>
      <c r="H53" s="638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579" t="s">
        <v>50</v>
      </c>
      <c r="B54" s="580"/>
      <c r="C54" s="580"/>
      <c r="D54" s="231">
        <f>HLOOKUP(MONTH(日期!$C$2),去年月推移!$D$1:$O$200,112,TRUE)</f>
        <v>96.433231000000006</v>
      </c>
      <c r="E54" s="52"/>
      <c r="F54" s="53" t="s">
        <v>45</v>
      </c>
      <c r="G54" s="629">
        <f>ROUND(當年月推移!P113,1)</f>
        <v>97.6</v>
      </c>
      <c r="H54" s="630"/>
      <c r="I54" s="242">
        <f>ROUND(供應率ALL!C16,1)</f>
        <v>97.8</v>
      </c>
      <c r="J54" s="242">
        <f>ROUND(供應率ALL!D16,1)</f>
        <v>98</v>
      </c>
      <c r="K54" s="242">
        <f>ROUND(供應率ALL!E16,1)</f>
        <v>97.2</v>
      </c>
      <c r="L54" s="242">
        <f>ROUND(供應率ALL!F16,1)</f>
        <v>96.6</v>
      </c>
      <c r="M54" s="242">
        <f>ROUND(供應率ALL!G16,1)</f>
        <v>0</v>
      </c>
      <c r="N54" s="242">
        <f>ROUND(供應率ALL!H16,1)</f>
        <v>0</v>
      </c>
      <c r="O54" s="242">
        <f>ROUND(供應率ALL!I16,1)</f>
        <v>97.5</v>
      </c>
      <c r="P54" s="242">
        <f>ROUND(供應率ALL!J16,1)</f>
        <v>98.2</v>
      </c>
      <c r="Q54" s="242">
        <f>ROUND(供應率ALL!K16,1)</f>
        <v>98.2</v>
      </c>
      <c r="R54" s="242">
        <f>ROUND(供應率ALL!L16,1)</f>
        <v>0</v>
      </c>
      <c r="S54" s="242">
        <f>ROUND(供應率ALL!M16,1)</f>
        <v>98.6</v>
      </c>
      <c r="T54" s="242">
        <f>ROUND(供應率ALL!N16,1)</f>
        <v>0</v>
      </c>
      <c r="U54" s="242">
        <f>ROUND(供應率ALL!O16,1)</f>
        <v>98.4</v>
      </c>
      <c r="V54" s="242">
        <f>ROUND(供應率ALL!P16,1)</f>
        <v>98</v>
      </c>
      <c r="W54" s="242">
        <f>ROUND(供應率ALL!Q16,1)</f>
        <v>98.1</v>
      </c>
      <c r="X54" s="242">
        <f>ROUND(供應率ALL!R16,1)</f>
        <v>98.9</v>
      </c>
      <c r="Y54" s="242">
        <f>ROUND(供應率ALL!S16,1)</f>
        <v>98</v>
      </c>
      <c r="Z54" s="242">
        <f>ROUND(供應率ALL!T16,1)</f>
        <v>96.6</v>
      </c>
      <c r="AA54" s="242">
        <f>ROUND(供應率ALL!U16,1)</f>
        <v>0</v>
      </c>
      <c r="AB54" s="242">
        <f>ROUND(供應率ALL!V16,1)</f>
        <v>98.2</v>
      </c>
      <c r="AC54" s="242">
        <f>ROUND(供應率ALL!W16,1)</f>
        <v>97.8</v>
      </c>
      <c r="AD54" s="242">
        <f>ROUND(供應率ALL!X16,1)</f>
        <v>98.4</v>
      </c>
      <c r="AE54" s="242">
        <f>ROUND(供應率ALL!Y16,1)</f>
        <v>97.2</v>
      </c>
      <c r="AF54" s="242">
        <f>ROUND(供應率ALL!Z16,1)</f>
        <v>0</v>
      </c>
      <c r="AG54" s="242">
        <f>ROUND(供應率ALL!AA16,1)</f>
        <v>0</v>
      </c>
      <c r="AH54" s="242">
        <f>ROUND(供應率ALL!AB16,1)</f>
        <v>0</v>
      </c>
      <c r="AI54" s="242">
        <f>ROUND(供應率ALL!AC16,1)</f>
        <v>96.5</v>
      </c>
      <c r="AJ54" s="242">
        <f>ROUND(供應率ALL!AD16,1)</f>
        <v>96.8</v>
      </c>
      <c r="AK54" s="242">
        <f>ROUND(供應率ALL!AE16,1)</f>
        <v>97.9</v>
      </c>
      <c r="AL54" s="242">
        <f>ROUND(供應率ALL!AF16,1)</f>
        <v>97.7</v>
      </c>
      <c r="AM54" s="242">
        <f>ROUND(供應率ALL!AG16,1)</f>
        <v>97.9</v>
      </c>
      <c r="AN54" s="215">
        <f>ROUND(供應率ALL!AH16,1)</f>
        <v>97.8</v>
      </c>
      <c r="AO54" s="54"/>
    </row>
    <row r="55" spans="1:41" s="42" customFormat="1" ht="21.95" customHeight="1">
      <c r="A55" s="623" t="s">
        <v>31</v>
      </c>
      <c r="B55" s="624"/>
      <c r="C55" s="625"/>
      <c r="D55" s="272">
        <f>HLOOKUP(MONTH(日期!$C$2),去年月推移!$D$1:$O$200,113,TRUE)</f>
        <v>0</v>
      </c>
      <c r="E55" s="267"/>
      <c r="F55" s="267"/>
      <c r="G55" s="590">
        <f>ROUND(當年月推移!P114,1)</f>
        <v>0</v>
      </c>
      <c r="H55" s="591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626" t="s">
        <v>32</v>
      </c>
      <c r="B56" s="627"/>
      <c r="C56" s="628"/>
      <c r="D56" s="49">
        <f>HLOOKUP(MONTH(日期!$C$2),去年月推移!$D$1:$O$200,114,TRUE)</f>
        <v>0</v>
      </c>
      <c r="E56" s="268"/>
      <c r="F56" s="268"/>
      <c r="G56" s="590">
        <f>ROUND(當年月推移!P115,1)</f>
        <v>0</v>
      </c>
      <c r="H56" s="591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626" t="s">
        <v>33</v>
      </c>
      <c r="B57" s="627"/>
      <c r="C57" s="628"/>
      <c r="D57" s="49">
        <f>HLOOKUP(MONTH(日期!$C$2),去年月推移!$D$1:$O$200,115,TRUE)</f>
        <v>0</v>
      </c>
      <c r="E57" s="268"/>
      <c r="F57" s="268"/>
      <c r="G57" s="590">
        <f>ROUND(當年月推移!P116,1)</f>
        <v>0</v>
      </c>
      <c r="H57" s="591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626" t="s">
        <v>34</v>
      </c>
      <c r="B58" s="627"/>
      <c r="C58" s="628"/>
      <c r="D58" s="49">
        <f>HLOOKUP(MONTH(日期!$C$2),去年月推移!$D$1:$O$200,116,TRUE)</f>
        <v>0</v>
      </c>
      <c r="E58" s="268"/>
      <c r="F58" s="268"/>
      <c r="G58" s="590">
        <f>ROUND(當年月推移!P117,1)</f>
        <v>0</v>
      </c>
      <c r="H58" s="591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626" t="s">
        <v>35</v>
      </c>
      <c r="B59" s="627"/>
      <c r="C59" s="628"/>
      <c r="D59" s="243">
        <f>HLOOKUP(MONTH(日期!$C$2),去年月推移!$D$1:$O$200,117,TRUE)</f>
        <v>0</v>
      </c>
      <c r="E59" s="297"/>
      <c r="F59" s="297"/>
      <c r="G59" s="590">
        <f>ROUND(當年月推移!P118,1)</f>
        <v>0</v>
      </c>
      <c r="H59" s="591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57" t="s">
        <v>30</v>
      </c>
      <c r="B60" s="558"/>
      <c r="C60" s="559"/>
      <c r="D60" s="523">
        <f>HLOOKUP(MONTH(日期!$C$2),去年月推移!$D$1:$O$200,118,TRUE)</f>
        <v>0</v>
      </c>
      <c r="E60" s="231"/>
      <c r="F60" s="231"/>
      <c r="G60" s="629">
        <f>ROUND(當年月推移!P119,1)</f>
        <v>94.9</v>
      </c>
      <c r="H60" s="630"/>
      <c r="I60" s="242">
        <f>ROUND(供應率ALL!C21,1)</f>
        <v>100</v>
      </c>
      <c r="J60" s="242">
        <f>ROUND(供應率ALL!D21,1)</f>
        <v>100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0</v>
      </c>
      <c r="N60" s="242">
        <f>ROUND(供應率ALL!H21,1)</f>
        <v>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100</v>
      </c>
      <c r="R60" s="242">
        <f>ROUND(供應率ALL!L21,1)</f>
        <v>0</v>
      </c>
      <c r="S60" s="242">
        <f>ROUND(供應率ALL!M21,1)</f>
        <v>100</v>
      </c>
      <c r="T60" s="242">
        <f>ROUND(供應率ALL!N21,1)</f>
        <v>0</v>
      </c>
      <c r="U60" s="242">
        <f>ROUND(供應率ALL!O21,1)</f>
        <v>100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100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0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100</v>
      </c>
      <c r="AF60" s="242">
        <f>ROUND(供應率ALL!Z21,1)</f>
        <v>0</v>
      </c>
      <c r="AG60" s="242">
        <f>ROUND(供應率ALL!AA21,1)</f>
        <v>0</v>
      </c>
      <c r="AH60" s="242">
        <f>ROUND(供應率ALL!AB21,1)</f>
        <v>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100</v>
      </c>
      <c r="AL60" s="242">
        <f>ROUND(供應率ALL!AF21,1)</f>
        <v>100</v>
      </c>
      <c r="AM60" s="242">
        <f>ROUND(供應率ALL!AG21,1)</f>
        <v>100</v>
      </c>
      <c r="AN60" s="271">
        <f>ROUND(供應率ALL!AH21,1)</f>
        <v>100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506"/>
      <c r="H62" s="50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596" t="s">
        <v>1</v>
      </c>
      <c r="B63" s="597"/>
      <c r="C63" s="597"/>
      <c r="D63" s="600" t="str">
        <f>D3</f>
        <v>2024/10</v>
      </c>
      <c r="E63" s="633" t="str">
        <f>E3</f>
        <v>2025/10</v>
      </c>
      <c r="F63" s="635"/>
      <c r="G63" s="662">
        <f>YEAR(日期!C2)</f>
        <v>2025</v>
      </c>
      <c r="H63" s="663"/>
      <c r="I63" s="527" t="str">
        <f>日期!C2</f>
        <v>2025/10/01</v>
      </c>
      <c r="J63" s="527" t="str">
        <f>日期!D2</f>
        <v>2025/10/02</v>
      </c>
      <c r="K63" s="527" t="str">
        <f>日期!E2</f>
        <v>2025/10/03</v>
      </c>
      <c r="L63" s="527" t="str">
        <f>日期!F2</f>
        <v>2025/10/04</v>
      </c>
      <c r="M63" s="527" t="str">
        <f>日期!G2</f>
        <v>2025/10/05</v>
      </c>
      <c r="N63" s="527" t="str">
        <f>日期!H2</f>
        <v>2025/10/06</v>
      </c>
      <c r="O63" s="527" t="str">
        <f>日期!I2</f>
        <v>2025/10/07</v>
      </c>
      <c r="P63" s="527" t="str">
        <f>日期!J2</f>
        <v>2025/10/08</v>
      </c>
      <c r="Q63" s="527" t="str">
        <f>日期!K2</f>
        <v>2025/10/09</v>
      </c>
      <c r="R63" s="527" t="str">
        <f>日期!L2</f>
        <v>2025/10/10</v>
      </c>
      <c r="S63" s="527" t="str">
        <f>日期!M2</f>
        <v>2025/10/11</v>
      </c>
      <c r="T63" s="527" t="str">
        <f>日期!N2</f>
        <v>2025/10/12</v>
      </c>
      <c r="U63" s="527" t="str">
        <f>日期!O2</f>
        <v>2025/10/13</v>
      </c>
      <c r="V63" s="527" t="str">
        <f>日期!P2</f>
        <v>2025/10/14</v>
      </c>
      <c r="W63" s="527" t="str">
        <f>日期!Q2</f>
        <v>2025/10/15</v>
      </c>
      <c r="X63" s="527" t="str">
        <f>日期!R2</f>
        <v>2025/10/16</v>
      </c>
      <c r="Y63" s="527" t="str">
        <f>日期!S2</f>
        <v>2025/10/17</v>
      </c>
      <c r="Z63" s="527" t="str">
        <f>日期!T2</f>
        <v>2025/10/18</v>
      </c>
      <c r="AA63" s="527" t="str">
        <f>日期!U2</f>
        <v>2025/10/19</v>
      </c>
      <c r="AB63" s="527" t="str">
        <f>日期!V2</f>
        <v>2025/10/20</v>
      </c>
      <c r="AC63" s="527" t="str">
        <f>日期!W2</f>
        <v>2025/10/21</v>
      </c>
      <c r="AD63" s="527" t="str">
        <f>日期!X2</f>
        <v>2025/10/22</v>
      </c>
      <c r="AE63" s="527" t="str">
        <f>日期!Y2</f>
        <v>2025/10/23</v>
      </c>
      <c r="AF63" s="527" t="str">
        <f>日期!Z2</f>
        <v>2025/10/24</v>
      </c>
      <c r="AG63" s="527" t="str">
        <f>日期!AA2</f>
        <v>2025/10/25</v>
      </c>
      <c r="AH63" s="527" t="str">
        <f>日期!AB2</f>
        <v>2025/10/26</v>
      </c>
      <c r="AI63" s="527" t="str">
        <f>日期!AC2</f>
        <v>2025/10/27</v>
      </c>
      <c r="AJ63" s="527" t="str">
        <f>日期!AD2</f>
        <v>2025/10/28</v>
      </c>
      <c r="AK63" s="527" t="str">
        <f>日期!AE2</f>
        <v>2025/10/29</v>
      </c>
      <c r="AL63" s="527" t="str">
        <f>日期!AF2</f>
        <v>2025/10/30</v>
      </c>
      <c r="AM63" s="527" t="str">
        <f>日期!AG2</f>
        <v>2025/10/31</v>
      </c>
      <c r="AN63" s="592" t="s">
        <v>42</v>
      </c>
    </row>
    <row r="64" spans="1:41" s="14" customFormat="1" ht="22.7" customHeight="1" thickBot="1">
      <c r="A64" s="631"/>
      <c r="B64" s="632"/>
      <c r="C64" s="632"/>
      <c r="D64" s="601"/>
      <c r="E64" s="634"/>
      <c r="F64" s="636"/>
      <c r="G64" s="664" t="s">
        <v>43</v>
      </c>
      <c r="H64" s="665"/>
      <c r="I64" s="12" t="str">
        <f>日期!C3</f>
        <v>Wed</v>
      </c>
      <c r="J64" s="12" t="str">
        <f>日期!D3</f>
        <v>Thu</v>
      </c>
      <c r="K64" s="12" t="str">
        <f>日期!E3</f>
        <v>Fri</v>
      </c>
      <c r="L64" s="12" t="str">
        <f>日期!F3</f>
        <v>Sat</v>
      </c>
      <c r="M64" s="12" t="str">
        <f>日期!G3</f>
        <v>Sun</v>
      </c>
      <c r="N64" s="12" t="str">
        <f>日期!H3</f>
        <v>Mon</v>
      </c>
      <c r="O64" s="12" t="str">
        <f>日期!I3</f>
        <v>Tue</v>
      </c>
      <c r="P64" s="12" t="str">
        <f>日期!J3</f>
        <v>Wed</v>
      </c>
      <c r="Q64" s="12" t="str">
        <f>日期!K3</f>
        <v>Thu</v>
      </c>
      <c r="R64" s="12" t="str">
        <f>日期!L3</f>
        <v>Fri</v>
      </c>
      <c r="S64" s="12" t="str">
        <f>日期!M3</f>
        <v>Sat</v>
      </c>
      <c r="T64" s="12" t="str">
        <f>日期!N3</f>
        <v>Sun</v>
      </c>
      <c r="U64" s="12" t="str">
        <f>日期!O3</f>
        <v>Mon</v>
      </c>
      <c r="V64" s="12" t="str">
        <f>日期!P3</f>
        <v>Tue</v>
      </c>
      <c r="W64" s="12" t="str">
        <f>日期!Q3</f>
        <v>Wed</v>
      </c>
      <c r="X64" s="12" t="str">
        <f>日期!R3</f>
        <v>Thu</v>
      </c>
      <c r="Y64" s="12" t="str">
        <f>日期!S3</f>
        <v>Fri</v>
      </c>
      <c r="Z64" s="12" t="str">
        <f>日期!T3</f>
        <v>Sat</v>
      </c>
      <c r="AA64" s="12" t="str">
        <f>日期!U3</f>
        <v>Sun</v>
      </c>
      <c r="AB64" s="12" t="str">
        <f>日期!V3</f>
        <v>Mon</v>
      </c>
      <c r="AC64" s="12" t="str">
        <f>日期!W3</f>
        <v>Tue</v>
      </c>
      <c r="AD64" s="12" t="str">
        <f>日期!X3</f>
        <v>Wed</v>
      </c>
      <c r="AE64" s="12" t="str">
        <f>日期!Y3</f>
        <v>Thu</v>
      </c>
      <c r="AF64" s="12" t="str">
        <f>日期!Z3</f>
        <v>Fri</v>
      </c>
      <c r="AG64" s="12" t="str">
        <f>日期!AA3</f>
        <v>Sat</v>
      </c>
      <c r="AH64" s="12" t="str">
        <f>日期!AB3</f>
        <v>Sun</v>
      </c>
      <c r="AI64" s="12" t="str">
        <f>日期!AC3</f>
        <v>Mon</v>
      </c>
      <c r="AJ64" s="12" t="str">
        <f>日期!AD3</f>
        <v>Tue</v>
      </c>
      <c r="AK64" s="12" t="str">
        <f>日期!AE3</f>
        <v>Wed</v>
      </c>
      <c r="AL64" s="12" t="str">
        <f>日期!AF3</f>
        <v>Thu</v>
      </c>
      <c r="AM64" s="12" t="str">
        <f>日期!AG3</f>
        <v>Fri</v>
      </c>
      <c r="AN64" s="593"/>
    </row>
    <row r="65" spans="1:41" s="11" customFormat="1" ht="21.95" customHeight="1">
      <c r="A65" s="619" t="s">
        <v>52</v>
      </c>
      <c r="B65" s="620"/>
      <c r="C65" s="620"/>
      <c r="D65" s="313">
        <f>HLOOKUP(MONTH(日期!$C$2),去年月推移!$D$1:$O$200,122,TRUE)</f>
        <v>96.959920999999994</v>
      </c>
      <c r="E65" s="272">
        <v>98</v>
      </c>
      <c r="F65" s="272" t="s">
        <v>45</v>
      </c>
      <c r="G65" s="621">
        <f>ROUND(當年月推移!P124,1)</f>
        <v>98.1</v>
      </c>
      <c r="H65" s="622"/>
      <c r="I65" s="245">
        <f>ROUND(供應率!D2,1)</f>
        <v>98</v>
      </c>
      <c r="J65" s="245">
        <f>ROUND(供應率!E2,1)</f>
        <v>97.6</v>
      </c>
      <c r="K65" s="245">
        <f>ROUND(供應率!F2,1)</f>
        <v>98.2</v>
      </c>
      <c r="L65" s="245">
        <f>ROUND(供應率!G2,1)</f>
        <v>98.2</v>
      </c>
      <c r="M65" s="245">
        <f>ROUND(供應率!H2,1)</f>
        <v>0</v>
      </c>
      <c r="N65" s="245">
        <f>ROUND(供應率!I2,1)</f>
        <v>0</v>
      </c>
      <c r="O65" s="245">
        <f>ROUND(供應率!J2,1)</f>
        <v>97.9</v>
      </c>
      <c r="P65" s="245">
        <f>ROUND(供應率!K2,1)</f>
        <v>97.7</v>
      </c>
      <c r="Q65" s="245">
        <f>ROUND(供應率!L2,1)</f>
        <v>97.5</v>
      </c>
      <c r="R65" s="245">
        <f>ROUND(供應率!M2,1)</f>
        <v>0</v>
      </c>
      <c r="S65" s="245">
        <f>ROUND(供應率!N2,1)</f>
        <v>98.3</v>
      </c>
      <c r="T65" s="245">
        <f>ROUND(供應率!O2,1)</f>
        <v>0</v>
      </c>
      <c r="U65" s="245">
        <f>ROUND(供應率!P2,1)</f>
        <v>97.4</v>
      </c>
      <c r="V65" s="245">
        <f>ROUND(供應率!Q2,1)</f>
        <v>98</v>
      </c>
      <c r="W65" s="245">
        <f>ROUND(供應率!R2,1)</f>
        <v>97.5</v>
      </c>
      <c r="X65" s="245">
        <f>ROUND(供應率!S2,1)</f>
        <v>98.4</v>
      </c>
      <c r="Y65" s="245">
        <f>ROUND(供應率!T2,1)</f>
        <v>98.1</v>
      </c>
      <c r="Z65" s="245">
        <f>ROUND(供應率!U2,1)</f>
        <v>96.7</v>
      </c>
      <c r="AA65" s="245">
        <f>ROUND(供應率!V2,1)</f>
        <v>0</v>
      </c>
      <c r="AB65" s="245">
        <f>ROUND(供應率!W2,1)</f>
        <v>98.3</v>
      </c>
      <c r="AC65" s="245">
        <f>ROUND(供應率!X2,1)</f>
        <v>97.6</v>
      </c>
      <c r="AD65" s="245">
        <f>ROUND(供應率!Y2,1)</f>
        <v>98.6</v>
      </c>
      <c r="AE65" s="245">
        <f>ROUND(供應率!Z2,1)</f>
        <v>97.6</v>
      </c>
      <c r="AF65" s="245">
        <f>ROUND(供應率!AA2,1)</f>
        <v>100</v>
      </c>
      <c r="AG65" s="245">
        <f>ROUND(供應率!AB2,1)</f>
        <v>0</v>
      </c>
      <c r="AH65" s="245">
        <f>ROUND(供應率!AC2,1)</f>
        <v>0</v>
      </c>
      <c r="AI65" s="245">
        <f>ROUND(供應率!AD2,1)</f>
        <v>97.7</v>
      </c>
      <c r="AJ65" s="245">
        <f>ROUND(供應率!AE2,1)</f>
        <v>97.8</v>
      </c>
      <c r="AK65" s="245">
        <f>ROUND(供應率!AF2,1)</f>
        <v>97.6</v>
      </c>
      <c r="AL65" s="245">
        <f>ROUND(供應率!AG2,1)</f>
        <v>98</v>
      </c>
      <c r="AM65" s="245">
        <f>ROUND(供應率!AH2,1)</f>
        <v>98.4</v>
      </c>
      <c r="AN65" s="213">
        <f>ROUND(供應率!AI2,1)</f>
        <v>97.9</v>
      </c>
      <c r="AO65" s="55"/>
    </row>
    <row r="66" spans="1:41" s="11" customFormat="1" ht="21.95" customHeight="1">
      <c r="A66" s="572" t="s">
        <v>53</v>
      </c>
      <c r="B66" s="573"/>
      <c r="C66" s="573"/>
      <c r="D66" s="311">
        <f>HLOOKUP(MONTH(日期!$C$2),去年月推移!$D$1:$O$200,123,TRUE)</f>
        <v>98.654313999999999</v>
      </c>
      <c r="E66" s="49">
        <v>98</v>
      </c>
      <c r="F66" s="49" t="s">
        <v>45</v>
      </c>
      <c r="G66" s="590">
        <f>ROUND(當年月推移!P125,1)</f>
        <v>98.2</v>
      </c>
      <c r="H66" s="591"/>
      <c r="I66" s="47">
        <f>ROUND(供應率!D3,1)</f>
        <v>98.1</v>
      </c>
      <c r="J66" s="47">
        <f>ROUND(供應率!E3,1)</f>
        <v>98.2</v>
      </c>
      <c r="K66" s="47">
        <f>ROUND(供應率!F3,1)</f>
        <v>98</v>
      </c>
      <c r="L66" s="47">
        <f>ROUND(供應率!G3,1)</f>
        <v>98.1</v>
      </c>
      <c r="M66" s="47">
        <f>ROUND(供應率!H3,1)</f>
        <v>0</v>
      </c>
      <c r="N66" s="47">
        <f>ROUND(供應率!I3,1)</f>
        <v>0</v>
      </c>
      <c r="O66" s="47">
        <f>ROUND(供應率!J3,1)</f>
        <v>98.2</v>
      </c>
      <c r="P66" s="47">
        <f>ROUND(供應率!K3,1)</f>
        <v>98</v>
      </c>
      <c r="Q66" s="47">
        <f>ROUND(供應率!L3,1)</f>
        <v>98.2</v>
      </c>
      <c r="R66" s="47">
        <f>ROUND(供應率!M3,1)</f>
        <v>0</v>
      </c>
      <c r="S66" s="47">
        <f>ROUND(供應率!N3,1)</f>
        <v>98.5</v>
      </c>
      <c r="T66" s="47">
        <f>ROUND(供應率!O3,1)</f>
        <v>0</v>
      </c>
      <c r="U66" s="47">
        <f>ROUND(供應率!P3,1)</f>
        <v>98.3</v>
      </c>
      <c r="V66" s="47">
        <f>ROUND(供應率!Q3,1)</f>
        <v>98.2</v>
      </c>
      <c r="W66" s="47">
        <f>ROUND(供應率!R3,1)</f>
        <v>97.8</v>
      </c>
      <c r="X66" s="47">
        <f>ROUND(供應率!S3,1)</f>
        <v>97.5</v>
      </c>
      <c r="Y66" s="47">
        <f>ROUND(供應率!T3,1)</f>
        <v>98.1</v>
      </c>
      <c r="Z66" s="47">
        <f>ROUND(供應率!U3,1)</f>
        <v>95.3</v>
      </c>
      <c r="AA66" s="47">
        <f>ROUND(供應率!V3,1)</f>
        <v>0</v>
      </c>
      <c r="AB66" s="47">
        <f>ROUND(供應率!W3,1)</f>
        <v>98.3</v>
      </c>
      <c r="AC66" s="47">
        <f>ROUND(供應率!X3,1)</f>
        <v>98.3</v>
      </c>
      <c r="AD66" s="47">
        <f>ROUND(供應率!Y3,1)</f>
        <v>97.8</v>
      </c>
      <c r="AE66" s="47">
        <f>ROUND(供應率!Z3,1)</f>
        <v>98</v>
      </c>
      <c r="AF66" s="47">
        <f>ROUND(供應率!AA3,1)</f>
        <v>100</v>
      </c>
      <c r="AG66" s="47">
        <f>ROUND(供應率!AB3,1)</f>
        <v>0</v>
      </c>
      <c r="AH66" s="47">
        <f>ROUND(供應率!AC3,1)</f>
        <v>0</v>
      </c>
      <c r="AI66" s="47">
        <f>ROUND(供應率!AD3,1)</f>
        <v>97.9</v>
      </c>
      <c r="AJ66" s="47">
        <f>ROUND(供應率!AE3,1)</f>
        <v>97.9</v>
      </c>
      <c r="AK66" s="47">
        <f>ROUND(供應率!AF3,1)</f>
        <v>97.9</v>
      </c>
      <c r="AL66" s="47">
        <f>ROUND(供應率!AG3,1)</f>
        <v>98.2</v>
      </c>
      <c r="AM66" s="47">
        <f>ROUND(供應率!AH3,1)</f>
        <v>97.7</v>
      </c>
      <c r="AN66" s="214">
        <f>ROUND(供應率!AI3,1)</f>
        <v>98</v>
      </c>
      <c r="AO66" s="55"/>
    </row>
    <row r="67" spans="1:41" s="11" customFormat="1" ht="21.95" customHeight="1">
      <c r="A67" s="572" t="s">
        <v>54</v>
      </c>
      <c r="B67" s="573"/>
      <c r="C67" s="573"/>
      <c r="D67" s="311">
        <f>HLOOKUP(MONTH(日期!$C$2),去年月推移!$D$1:$O$200,124,TRUE)</f>
        <v>99.238240000000005</v>
      </c>
      <c r="E67" s="49">
        <v>99.2</v>
      </c>
      <c r="F67" s="49" t="s">
        <v>45</v>
      </c>
      <c r="G67" s="590">
        <f>ROUND(當年月推移!P126,1)</f>
        <v>99.3</v>
      </c>
      <c r="H67" s="591"/>
      <c r="I67" s="47">
        <f>ROUND(供應率!D4,1)</f>
        <v>99.4</v>
      </c>
      <c r="J67" s="47">
        <f>ROUND(供應率!E4,1)</f>
        <v>99.6</v>
      </c>
      <c r="K67" s="47">
        <f>ROUND(供應率!F4,1)</f>
        <v>99.7</v>
      </c>
      <c r="L67" s="47">
        <f>ROUND(供應率!G4,1)</f>
        <v>99.4</v>
      </c>
      <c r="M67" s="47">
        <f>ROUND(供應率!H4,1)</f>
        <v>0</v>
      </c>
      <c r="N67" s="47">
        <f>ROUND(供應率!I4,1)</f>
        <v>0</v>
      </c>
      <c r="O67" s="47">
        <f>ROUND(供應率!J4,1)</f>
        <v>99.1</v>
      </c>
      <c r="P67" s="47">
        <f>ROUND(供應率!K4,1)</f>
        <v>99.5</v>
      </c>
      <c r="Q67" s="47">
        <f>ROUND(供應率!L4,1)</f>
        <v>98.8</v>
      </c>
      <c r="R67" s="47">
        <f>ROUND(供應率!M4,1)</f>
        <v>0</v>
      </c>
      <c r="S67" s="47">
        <f>ROUND(供應率!N4,1)</f>
        <v>99</v>
      </c>
      <c r="T67" s="47">
        <f>ROUND(供應率!O4,1)</f>
        <v>0</v>
      </c>
      <c r="U67" s="47">
        <f>ROUND(供應率!P4,1)</f>
        <v>99.7</v>
      </c>
      <c r="V67" s="47">
        <f>ROUND(供應率!Q4,1)</f>
        <v>98.6</v>
      </c>
      <c r="W67" s="47">
        <f>ROUND(供應率!R4,1)</f>
        <v>99</v>
      </c>
      <c r="X67" s="47">
        <f>ROUND(供應率!S4,1)</f>
        <v>99.2</v>
      </c>
      <c r="Y67" s="47">
        <f>ROUND(供應率!T4,1)</f>
        <v>98.9</v>
      </c>
      <c r="Z67" s="47">
        <f>ROUND(供應率!U4,1)</f>
        <v>98.3</v>
      </c>
      <c r="AA67" s="47">
        <f>ROUND(供應率!V4,1)</f>
        <v>0</v>
      </c>
      <c r="AB67" s="47">
        <f>ROUND(供應率!W4,1)</f>
        <v>99.2</v>
      </c>
      <c r="AC67" s="47">
        <f>ROUND(供應率!X4,1)</f>
        <v>98.9</v>
      </c>
      <c r="AD67" s="47">
        <f>ROUND(供應率!Y4,1)</f>
        <v>98.2</v>
      </c>
      <c r="AE67" s="47">
        <f>ROUND(供應率!Z4,1)</f>
        <v>99.1</v>
      </c>
      <c r="AF67" s="47">
        <f>ROUND(供應率!AA4,1)</f>
        <v>0</v>
      </c>
      <c r="AG67" s="47">
        <f>ROUND(供應率!AB4,1)</f>
        <v>0</v>
      </c>
      <c r="AH67" s="47">
        <f>ROUND(供應率!AC4,1)</f>
        <v>0</v>
      </c>
      <c r="AI67" s="47">
        <f>ROUND(供應率!AD4,1)</f>
        <v>99.1</v>
      </c>
      <c r="AJ67" s="47">
        <f>ROUND(供應率!AE4,1)</f>
        <v>99.2</v>
      </c>
      <c r="AK67" s="47">
        <f>ROUND(供應率!AF4,1)</f>
        <v>99.2</v>
      </c>
      <c r="AL67" s="47">
        <f>ROUND(供應率!AG4,1)</f>
        <v>99.4</v>
      </c>
      <c r="AM67" s="47">
        <f>ROUND(供應率!AH4,1)</f>
        <v>99.4</v>
      </c>
      <c r="AN67" s="214">
        <f>ROUND(供應率!AI4,1)</f>
        <v>99.1</v>
      </c>
      <c r="AO67" s="55"/>
    </row>
    <row r="68" spans="1:41" s="11" customFormat="1" ht="21.95" customHeight="1">
      <c r="A68" s="607" t="s">
        <v>55</v>
      </c>
      <c r="B68" s="608"/>
      <c r="C68" s="609"/>
      <c r="D68" s="319">
        <f>HLOOKUP(MONTH(日期!$C$2),去年月推移!$D$1:$O$200,125,TRUE)</f>
        <v>97.975847000000002</v>
      </c>
      <c r="E68" s="56">
        <v>98.1</v>
      </c>
      <c r="F68" s="56" t="s">
        <v>45</v>
      </c>
      <c r="G68" s="610">
        <f>ROUND(當年月推移!P127,1)</f>
        <v>98.3</v>
      </c>
      <c r="H68" s="611"/>
      <c r="I68" s="57">
        <f>ROUND(供應率!D5,1)</f>
        <v>98.2</v>
      </c>
      <c r="J68" s="57">
        <f>ROUND(供應率!E5,1)</f>
        <v>98.1</v>
      </c>
      <c r="K68" s="57">
        <f>ROUND(供應率!F5,1)</f>
        <v>98.3</v>
      </c>
      <c r="L68" s="57">
        <f>ROUND(供應率!G5,1)</f>
        <v>98.3</v>
      </c>
      <c r="M68" s="57">
        <f>ROUND(供應率!H5,1)</f>
        <v>0</v>
      </c>
      <c r="N68" s="57">
        <f>ROUND(供應率!I5,1)</f>
        <v>0</v>
      </c>
      <c r="O68" s="57">
        <f>ROUND(供應率!J5,1)</f>
        <v>98.2</v>
      </c>
      <c r="P68" s="57">
        <f>ROUND(供應率!K5,1)</f>
        <v>98.1</v>
      </c>
      <c r="Q68" s="57">
        <f>ROUND(供應率!L5,1)</f>
        <v>97.9</v>
      </c>
      <c r="R68" s="57">
        <f>ROUND(供應率!M5,1)</f>
        <v>0</v>
      </c>
      <c r="S68" s="57">
        <f>ROUND(供應率!N5,1)</f>
        <v>98.5</v>
      </c>
      <c r="T68" s="57">
        <f>ROUND(供應率!O5,1)</f>
        <v>0</v>
      </c>
      <c r="U68" s="57">
        <f>ROUND(供應率!P5,1)</f>
        <v>98</v>
      </c>
      <c r="V68" s="57">
        <f>ROUND(供應率!Q5,1)</f>
        <v>98.1</v>
      </c>
      <c r="W68" s="57">
        <f>ROUND(供應率!R5,1)</f>
        <v>97.8</v>
      </c>
      <c r="X68" s="57">
        <f>ROUND(供應率!S5,1)</f>
        <v>98.1</v>
      </c>
      <c r="Y68" s="57">
        <f>ROUND(供應率!T5,1)</f>
        <v>98.2</v>
      </c>
      <c r="Z68" s="57">
        <f>ROUND(供應率!U5,1)</f>
        <v>96.3</v>
      </c>
      <c r="AA68" s="57">
        <f>ROUND(供應率!V5,1)</f>
        <v>0</v>
      </c>
      <c r="AB68" s="57">
        <f>ROUND(供應率!W5,1)</f>
        <v>98.4</v>
      </c>
      <c r="AC68" s="57">
        <f>ROUND(供應率!X5,1)</f>
        <v>98.1</v>
      </c>
      <c r="AD68" s="57">
        <f>ROUND(供應率!Y5,1)</f>
        <v>98.2</v>
      </c>
      <c r="AE68" s="57">
        <f>ROUND(供應率!Z5,1)</f>
        <v>98</v>
      </c>
      <c r="AF68" s="57">
        <f>ROUND(供應率!AA5,1)</f>
        <v>100</v>
      </c>
      <c r="AG68" s="57">
        <f>ROUND(供應率!AB5,1)</f>
        <v>0</v>
      </c>
      <c r="AH68" s="57">
        <f>ROUND(供應率!AC5,1)</f>
        <v>0</v>
      </c>
      <c r="AI68" s="57">
        <f>ROUND(供應率!AD5,1)</f>
        <v>97.9</v>
      </c>
      <c r="AJ68" s="57">
        <f>ROUND(供應率!AE5,1)</f>
        <v>98</v>
      </c>
      <c r="AK68" s="57">
        <f>ROUND(供應率!AF5,1)</f>
        <v>97.9</v>
      </c>
      <c r="AL68" s="57">
        <f>ROUND(供應率!AG5,1)</f>
        <v>98.3</v>
      </c>
      <c r="AM68" s="57">
        <f>ROUND(供應率!AH5,1)</f>
        <v>98.2</v>
      </c>
      <c r="AN68" s="216">
        <f>ROUND(供應率!AI5,1)</f>
        <v>98.1</v>
      </c>
      <c r="AO68" s="55"/>
    </row>
    <row r="69" spans="1:41" s="11" customFormat="1" ht="21.95" customHeight="1">
      <c r="A69" s="572" t="s">
        <v>12</v>
      </c>
      <c r="B69" s="573"/>
      <c r="C69" s="573"/>
      <c r="D69" s="311">
        <f>HLOOKUP(MONTH(日期!$C$2),去年月推移!$D$1:$O$200,126,TRUE)</f>
        <v>100</v>
      </c>
      <c r="E69" s="49">
        <v>99</v>
      </c>
      <c r="F69" s="49" t="s">
        <v>45</v>
      </c>
      <c r="G69" s="590">
        <f>ROUND(當年月推移!P128,1)</f>
        <v>99.8</v>
      </c>
      <c r="H69" s="591"/>
      <c r="I69" s="47">
        <f>ROUND(供應率!D7,1)</f>
        <v>100</v>
      </c>
      <c r="J69" s="47">
        <f>ROUND(供應率!E7,1)</f>
        <v>100</v>
      </c>
      <c r="K69" s="47">
        <f>ROUND(供應率!F7,1)</f>
        <v>100</v>
      </c>
      <c r="L69" s="47">
        <f>ROUND(供應率!G7,1)</f>
        <v>99.5</v>
      </c>
      <c r="M69" s="47">
        <f>ROUND(供應率!H7,1)</f>
        <v>0</v>
      </c>
      <c r="N69" s="47">
        <f>ROUND(供應率!I7,1)</f>
        <v>0</v>
      </c>
      <c r="O69" s="47">
        <f>ROUND(供應率!J7,1)</f>
        <v>99.7</v>
      </c>
      <c r="P69" s="47">
        <f>ROUND(供應率!K7,1)</f>
        <v>99.8</v>
      </c>
      <c r="Q69" s="47">
        <f>ROUND(供應率!L7,1)</f>
        <v>99.8</v>
      </c>
      <c r="R69" s="47">
        <f>ROUND(供應率!M7,1)</f>
        <v>0</v>
      </c>
      <c r="S69" s="47">
        <f>ROUND(供應率!N7,1)</f>
        <v>100</v>
      </c>
      <c r="T69" s="47">
        <f>ROUND(供應率!O7,1)</f>
        <v>0</v>
      </c>
      <c r="U69" s="47">
        <f>ROUND(供應率!P7,1)</f>
        <v>100</v>
      </c>
      <c r="V69" s="47">
        <f>ROUND(供應率!Q7,1)</f>
        <v>99.3</v>
      </c>
      <c r="W69" s="47">
        <f>ROUND(供應率!R7,1)</f>
        <v>100</v>
      </c>
      <c r="X69" s="47">
        <f>ROUND(供應率!S7,1)</f>
        <v>100</v>
      </c>
      <c r="Y69" s="47">
        <f>ROUND(供應率!T7,1)</f>
        <v>100</v>
      </c>
      <c r="Z69" s="47">
        <f>ROUND(供應率!U7,1)</f>
        <v>100</v>
      </c>
      <c r="AA69" s="47">
        <f>ROUND(供應率!V7,1)</f>
        <v>0</v>
      </c>
      <c r="AB69" s="47">
        <f>ROUND(供應率!W7,1)</f>
        <v>100</v>
      </c>
      <c r="AC69" s="47">
        <f>ROUND(供應率!X7,1)</f>
        <v>99.8</v>
      </c>
      <c r="AD69" s="47">
        <f>ROUND(供應率!Y7,1)</f>
        <v>100</v>
      </c>
      <c r="AE69" s="47">
        <f>ROUND(供應率!Z7,1)</f>
        <v>100</v>
      </c>
      <c r="AF69" s="47">
        <f>ROUND(供應率!AA7,1)</f>
        <v>0</v>
      </c>
      <c r="AG69" s="47">
        <f>ROUND(供應率!AB7,1)</f>
        <v>0</v>
      </c>
      <c r="AH69" s="47">
        <f>ROUND(供應率!AC7,1)</f>
        <v>0</v>
      </c>
      <c r="AI69" s="47">
        <f>ROUND(供應率!AD7,1)</f>
        <v>100</v>
      </c>
      <c r="AJ69" s="47">
        <f>ROUND(供應率!AE7,1)</f>
        <v>100</v>
      </c>
      <c r="AK69" s="47">
        <f>ROUND(供應率!AF7,1)</f>
        <v>100</v>
      </c>
      <c r="AL69" s="47">
        <f>ROUND(供應率!AG7,1)</f>
        <v>100</v>
      </c>
      <c r="AM69" s="47">
        <f>ROUND(供應率!AH7,1)</f>
        <v>100</v>
      </c>
      <c r="AN69" s="214">
        <f>ROUND(供應率!AI7,1)</f>
        <v>99.9</v>
      </c>
      <c r="AO69" s="55"/>
    </row>
    <row r="70" spans="1:41" s="11" customFormat="1" ht="21.95" customHeight="1">
      <c r="A70" s="572" t="s">
        <v>13</v>
      </c>
      <c r="B70" s="573"/>
      <c r="C70" s="573"/>
      <c r="D70" s="311">
        <f>HLOOKUP(MONTH(日期!$C$2),去年月推移!$D$1:$O$200,127,TRUE)</f>
        <v>90.916596999999996</v>
      </c>
      <c r="E70" s="49">
        <v>70</v>
      </c>
      <c r="F70" s="49" t="s">
        <v>45</v>
      </c>
      <c r="G70" s="590">
        <f>ROUND(當年月推移!P129,1)</f>
        <v>88.2</v>
      </c>
      <c r="H70" s="591"/>
      <c r="I70" s="47">
        <f>ROUND(供應率!D8,1)</f>
        <v>79.3</v>
      </c>
      <c r="J70" s="47">
        <f>ROUND(供應率!E8,1)</f>
        <v>100</v>
      </c>
      <c r="K70" s="47">
        <f>ROUND(供應率!F8,1)</f>
        <v>84.2</v>
      </c>
      <c r="L70" s="47">
        <f>ROUND(供應率!G8,1)</f>
        <v>75</v>
      </c>
      <c r="M70" s="47">
        <f>ROUND(供應率!H8,1)</f>
        <v>0</v>
      </c>
      <c r="N70" s="47">
        <f>ROUND(供應率!I8,1)</f>
        <v>0</v>
      </c>
      <c r="O70" s="47">
        <f>ROUND(供應率!J8,1)</f>
        <v>77.7</v>
      </c>
      <c r="P70" s="47">
        <f>ROUND(供應率!K8,1)</f>
        <v>88</v>
      </c>
      <c r="Q70" s="47">
        <f>ROUND(供應率!L8,1)</f>
        <v>89.4</v>
      </c>
      <c r="R70" s="47">
        <f>ROUND(供應率!M8,1)</f>
        <v>0</v>
      </c>
      <c r="S70" s="47">
        <f>ROUND(供應率!N8,1)</f>
        <v>66.599999999999994</v>
      </c>
      <c r="T70" s="47">
        <f>ROUND(供應率!O8,1)</f>
        <v>0</v>
      </c>
      <c r="U70" s="47">
        <f>ROUND(供應率!P8,1)</f>
        <v>80.7</v>
      </c>
      <c r="V70" s="47">
        <f>ROUND(供應率!Q8,1)</f>
        <v>82.3</v>
      </c>
      <c r="W70" s="47">
        <f>ROUND(供應率!R8,1)</f>
        <v>90.4</v>
      </c>
      <c r="X70" s="47">
        <f>ROUND(供應率!S8,1)</f>
        <v>80</v>
      </c>
      <c r="Y70" s="47">
        <f>ROUND(供應率!T8,1)</f>
        <v>75</v>
      </c>
      <c r="Z70" s="47">
        <f>ROUND(供應率!U8,1)</f>
        <v>30</v>
      </c>
      <c r="AA70" s="47">
        <f>ROUND(供應率!V8,1)</f>
        <v>0</v>
      </c>
      <c r="AB70" s="47">
        <f>ROUND(供應率!W8,1)</f>
        <v>85.2</v>
      </c>
      <c r="AC70" s="47">
        <f>ROUND(供應率!X8,1)</f>
        <v>93.7</v>
      </c>
      <c r="AD70" s="47">
        <f>ROUND(供應率!Y8,1)</f>
        <v>88.8</v>
      </c>
      <c r="AE70" s="47">
        <f>ROUND(供應率!Z8,1)</f>
        <v>83.3</v>
      </c>
      <c r="AF70" s="47">
        <f>ROUND(供應率!AA8,1)</f>
        <v>0</v>
      </c>
      <c r="AG70" s="47">
        <f>ROUND(供應率!AB8,1)</f>
        <v>0</v>
      </c>
      <c r="AH70" s="47">
        <f>ROUND(供應率!AC8,1)</f>
        <v>0</v>
      </c>
      <c r="AI70" s="47">
        <f>ROUND(供應率!AD8,1)</f>
        <v>78.7</v>
      </c>
      <c r="AJ70" s="47">
        <f>ROUND(供應率!AE8,1)</f>
        <v>64.2</v>
      </c>
      <c r="AK70" s="47">
        <f>ROUND(供應率!AF8,1)</f>
        <v>100</v>
      </c>
      <c r="AL70" s="47">
        <f>ROUND(供應率!AG8,1)</f>
        <v>88.8</v>
      </c>
      <c r="AM70" s="47">
        <f>ROUND(供應率!AH8,1)</f>
        <v>85.7</v>
      </c>
      <c r="AN70" s="214">
        <f>ROUND(供應率!AI8,1)</f>
        <v>83.1</v>
      </c>
      <c r="AO70" s="55"/>
    </row>
    <row r="71" spans="1:41" s="11" customFormat="1" ht="21.75" customHeight="1">
      <c r="A71" s="572" t="s">
        <v>14</v>
      </c>
      <c r="B71" s="573"/>
      <c r="C71" s="573"/>
      <c r="D71" s="311">
        <f>HLOOKUP(MONTH(日期!$C$2),去年月推移!$D$1:$O$200,128,TRUE)</f>
        <v>99.054846999999995</v>
      </c>
      <c r="E71" s="49">
        <v>99.1</v>
      </c>
      <c r="F71" s="49" t="s">
        <v>45</v>
      </c>
      <c r="G71" s="590">
        <f>ROUND(當年月推移!P130,1)</f>
        <v>99.5</v>
      </c>
      <c r="H71" s="591"/>
      <c r="I71" s="47">
        <f>ROUND(供應率!D9,1)</f>
        <v>99.6</v>
      </c>
      <c r="J71" s="47">
        <f>ROUND(供應率!E9,1)</f>
        <v>99.4</v>
      </c>
      <c r="K71" s="47">
        <f>ROUND(供應率!F9,1)</f>
        <v>99.7</v>
      </c>
      <c r="L71" s="47">
        <f>ROUND(供應率!G9,1)</f>
        <v>99.3</v>
      </c>
      <c r="M71" s="47">
        <f>ROUND(供應率!H9,1)</f>
        <v>0</v>
      </c>
      <c r="N71" s="47">
        <f>ROUND(供應率!I9,1)</f>
        <v>0</v>
      </c>
      <c r="O71" s="47">
        <f>ROUND(供應率!J9,1)</f>
        <v>99.7</v>
      </c>
      <c r="P71" s="47">
        <f>ROUND(供應率!K9,1)</f>
        <v>99.7</v>
      </c>
      <c r="Q71" s="47">
        <f>ROUND(供應率!L9,1)</f>
        <v>99.5</v>
      </c>
      <c r="R71" s="47">
        <f>ROUND(供應率!M9,1)</f>
        <v>0</v>
      </c>
      <c r="S71" s="47">
        <f>ROUND(供應率!N9,1)</f>
        <v>99.2</v>
      </c>
      <c r="T71" s="47">
        <f>ROUND(供應率!O9,1)</f>
        <v>0</v>
      </c>
      <c r="U71" s="47">
        <f>ROUND(供應率!P9,1)</f>
        <v>99.1</v>
      </c>
      <c r="V71" s="47">
        <f>ROUND(供應率!Q9,1)</f>
        <v>99.5</v>
      </c>
      <c r="W71" s="47">
        <f>ROUND(供應率!R9,1)</f>
        <v>99.7</v>
      </c>
      <c r="X71" s="47">
        <f>ROUND(供應率!S9,1)</f>
        <v>99.6</v>
      </c>
      <c r="Y71" s="47">
        <f>ROUND(供應率!T9,1)</f>
        <v>99.7</v>
      </c>
      <c r="Z71" s="47">
        <f>ROUND(供應率!U9,1)</f>
        <v>100</v>
      </c>
      <c r="AA71" s="47">
        <f>ROUND(供應率!V9,1)</f>
        <v>0</v>
      </c>
      <c r="AB71" s="47">
        <f>ROUND(供應率!W9,1)</f>
        <v>99.4</v>
      </c>
      <c r="AC71" s="47">
        <f>ROUND(供應率!X9,1)</f>
        <v>99.8</v>
      </c>
      <c r="AD71" s="47">
        <f>ROUND(供應率!Y9,1)</f>
        <v>99.4</v>
      </c>
      <c r="AE71" s="47">
        <f>ROUND(供應率!Z9,1)</f>
        <v>99.6</v>
      </c>
      <c r="AF71" s="47">
        <f>ROUND(供應率!AA9,1)</f>
        <v>0</v>
      </c>
      <c r="AG71" s="47">
        <f>ROUND(供應率!AB9,1)</f>
        <v>0</v>
      </c>
      <c r="AH71" s="47">
        <f>ROUND(供應率!AC9,1)</f>
        <v>0</v>
      </c>
      <c r="AI71" s="47">
        <f>ROUND(供應率!AD9,1)</f>
        <v>99</v>
      </c>
      <c r="AJ71" s="47">
        <f>ROUND(供應率!AE9,1)</f>
        <v>99.2</v>
      </c>
      <c r="AK71" s="47">
        <f>ROUND(供應率!AF9,1)</f>
        <v>99.4</v>
      </c>
      <c r="AL71" s="47">
        <f>ROUND(供應率!AG9,1)</f>
        <v>99.2</v>
      </c>
      <c r="AM71" s="47">
        <f>ROUND(供應率!AH9,1)</f>
        <v>99.4</v>
      </c>
      <c r="AN71" s="214">
        <f>ROUND(供應率!AI9,1)</f>
        <v>99.5</v>
      </c>
      <c r="AO71" s="55"/>
    </row>
    <row r="72" spans="1:41" s="11" customFormat="1" ht="21.95" customHeight="1">
      <c r="A72" s="572" t="s">
        <v>56</v>
      </c>
      <c r="B72" s="573"/>
      <c r="C72" s="573"/>
      <c r="D72" s="311">
        <f>HLOOKUP(MONTH(日期!$C$2),[2]去年月推移!$D$1:$O$200,129,TRUE)</f>
        <v>0</v>
      </c>
      <c r="E72" s="49">
        <v>92.3</v>
      </c>
      <c r="F72" s="49" t="s">
        <v>45</v>
      </c>
      <c r="G72" s="590">
        <f>ROUND(當年月推移!P131,1)</f>
        <v>95.2</v>
      </c>
      <c r="H72" s="591"/>
      <c r="I72" s="47">
        <f>ROUND(供應率!D22,1)</f>
        <v>95.5</v>
      </c>
      <c r="J72" s="47">
        <f>ROUND(供應率!E22,1)</f>
        <v>95.3</v>
      </c>
      <c r="K72" s="47">
        <f>ROUND(供應率!F22,1)</f>
        <v>94.8</v>
      </c>
      <c r="L72" s="47">
        <f>ROUND(供應率!G22,1)</f>
        <v>95.1</v>
      </c>
      <c r="M72" s="47">
        <f>ROUND(供應率!H22,1)</f>
        <v>0</v>
      </c>
      <c r="N72" s="47">
        <f>ROUND(供應率!I22,1)</f>
        <v>0</v>
      </c>
      <c r="O72" s="47">
        <f>ROUND(供應率!J22,1)</f>
        <v>89.3</v>
      </c>
      <c r="P72" s="47">
        <f>ROUND(供應率!K22,1)</f>
        <v>94.5</v>
      </c>
      <c r="Q72" s="47">
        <f>ROUND(供應率!L22,1)</f>
        <v>93.4</v>
      </c>
      <c r="R72" s="47">
        <f>ROUND(供應率!M22,1)</f>
        <v>0</v>
      </c>
      <c r="S72" s="47">
        <f>ROUND(供應率!N22,1)</f>
        <v>94.7</v>
      </c>
      <c r="T72" s="47">
        <f>ROUND(供應率!O22,1)</f>
        <v>0</v>
      </c>
      <c r="U72" s="47">
        <f>ROUND(供應率!P22,1)</f>
        <v>92.2</v>
      </c>
      <c r="V72" s="47">
        <f>ROUND(供應率!Q22,1)</f>
        <v>89.9</v>
      </c>
      <c r="W72" s="47">
        <f>ROUND(供應率!R22,1)</f>
        <v>92.9</v>
      </c>
      <c r="X72" s="47">
        <f>ROUND(供應率!S22,1)</f>
        <v>91.5</v>
      </c>
      <c r="Y72" s="47">
        <f>ROUND(供應率!T22,1)</f>
        <v>96.7</v>
      </c>
      <c r="Z72" s="47">
        <f>ROUND(供應率!U22,1)</f>
        <v>93.9</v>
      </c>
      <c r="AA72" s="47">
        <f>ROUND(供應率!V22,1)</f>
        <v>0</v>
      </c>
      <c r="AB72" s="47">
        <f>ROUND(供應率!W22,1)</f>
        <v>96.2</v>
      </c>
      <c r="AC72" s="47">
        <f>ROUND(供應率!X22,1)</f>
        <v>96.3</v>
      </c>
      <c r="AD72" s="47">
        <f>ROUND(供應率!Y22,1)</f>
        <v>96.7</v>
      </c>
      <c r="AE72" s="47">
        <f>ROUND(供應率!Z22,1)</f>
        <v>93.1</v>
      </c>
      <c r="AF72" s="47">
        <f>ROUND(供應率!AA22,1)</f>
        <v>0</v>
      </c>
      <c r="AG72" s="47">
        <f>ROUND(供應率!AB22,1)</f>
        <v>0</v>
      </c>
      <c r="AH72" s="47">
        <f>ROUND(供應率!AC22,1)</f>
        <v>0</v>
      </c>
      <c r="AI72" s="47">
        <f>ROUND(供應率!AD22,1)</f>
        <v>91.9</v>
      </c>
      <c r="AJ72" s="47">
        <f>ROUND(供應率!AE22,1)</f>
        <v>96.2</v>
      </c>
      <c r="AK72" s="47">
        <f>ROUND(供應率!AF22,1)</f>
        <v>94.5</v>
      </c>
      <c r="AL72" s="47">
        <f>ROUND(供應率!AG22,1)</f>
        <v>94.5</v>
      </c>
      <c r="AM72" s="47">
        <f>ROUND(供應率!AH22,1)</f>
        <v>96.1</v>
      </c>
      <c r="AN72" s="214">
        <f>ROUND(供應率!AI22,1)</f>
        <v>94.2</v>
      </c>
      <c r="AO72" s="55"/>
    </row>
    <row r="73" spans="1:41" s="11" customFormat="1" ht="21.95" customHeight="1" thickBot="1">
      <c r="A73" s="617" t="s">
        <v>16</v>
      </c>
      <c r="B73" s="618"/>
      <c r="C73" s="618"/>
      <c r="D73" s="320">
        <f>HLOOKUP(MONTH(日期!$C$2),去年月推移!$D$1:$O$200,130,TRUE)</f>
        <v>99.068010000000001</v>
      </c>
      <c r="E73" s="58">
        <v>95</v>
      </c>
      <c r="F73" s="58" t="s">
        <v>45</v>
      </c>
      <c r="G73" s="586">
        <f>ROUND(當年月推移!P132,1)</f>
        <v>98.3</v>
      </c>
      <c r="H73" s="587"/>
      <c r="I73" s="59">
        <f>ROUND(供應率!D11,1)</f>
        <v>99.2</v>
      </c>
      <c r="J73" s="59">
        <f>ROUND(供應率!E11,1)</f>
        <v>99.8</v>
      </c>
      <c r="K73" s="59">
        <f>ROUND(供應率!F11,1)</f>
        <v>100</v>
      </c>
      <c r="L73" s="59">
        <f>ROUND(供應率!G11,1)</f>
        <v>99.5</v>
      </c>
      <c r="M73" s="59">
        <f>ROUND(供應率!H11,1)</f>
        <v>0</v>
      </c>
      <c r="N73" s="59">
        <f>ROUND(供應率!I11,1)</f>
        <v>0</v>
      </c>
      <c r="O73" s="59">
        <f>ROUND(供應率!J11,1)</f>
        <v>90.3</v>
      </c>
      <c r="P73" s="59">
        <f>ROUND(供應率!K11,1)</f>
        <v>94.2</v>
      </c>
      <c r="Q73" s="59">
        <f>ROUND(供應率!L11,1)</f>
        <v>95</v>
      </c>
      <c r="R73" s="59">
        <f>ROUND(供應率!M11,1)</f>
        <v>0</v>
      </c>
      <c r="S73" s="59">
        <f>ROUND(供應率!N11,1)</f>
        <v>98.3</v>
      </c>
      <c r="T73" s="59">
        <f>ROUND(供應率!O11,1)</f>
        <v>0</v>
      </c>
      <c r="U73" s="59">
        <f>ROUND(供應率!P11,1)</f>
        <v>97.7</v>
      </c>
      <c r="V73" s="59">
        <f>ROUND(供應率!Q11,1)</f>
        <v>98.4</v>
      </c>
      <c r="W73" s="59">
        <f>ROUND(供應率!R11,1)</f>
        <v>98.7</v>
      </c>
      <c r="X73" s="59">
        <f>ROUND(供應率!S11,1)</f>
        <v>99.7</v>
      </c>
      <c r="Y73" s="59">
        <f>ROUND(供應率!T11,1)</f>
        <v>99.5</v>
      </c>
      <c r="Z73" s="59">
        <f>ROUND(供應率!U11,1)</f>
        <v>94.7</v>
      </c>
      <c r="AA73" s="59">
        <f>ROUND(供應率!V11,1)</f>
        <v>0</v>
      </c>
      <c r="AB73" s="59">
        <f>ROUND(供應率!W11,1)</f>
        <v>96.7</v>
      </c>
      <c r="AC73" s="59">
        <f>ROUND(供應率!X11,1)</f>
        <v>95.1</v>
      </c>
      <c r="AD73" s="59">
        <f>ROUND(供應率!Y11,1)</f>
        <v>98.2</v>
      </c>
      <c r="AE73" s="59">
        <f>ROUND(供應率!Z11,1)</f>
        <v>98</v>
      </c>
      <c r="AF73" s="59">
        <f>ROUND(供應率!AA11,1)</f>
        <v>0</v>
      </c>
      <c r="AG73" s="59">
        <f>ROUND(供應率!AB11,1)</f>
        <v>0</v>
      </c>
      <c r="AH73" s="59">
        <f>ROUND(供應率!AC11,1)</f>
        <v>0</v>
      </c>
      <c r="AI73" s="59">
        <f>ROUND(供應率!AD11,1)</f>
        <v>94.4</v>
      </c>
      <c r="AJ73" s="59">
        <f>ROUND(供應率!AE11,1)</f>
        <v>98.6</v>
      </c>
      <c r="AK73" s="59">
        <f>ROUND(供應率!AF11,1)</f>
        <v>96.3</v>
      </c>
      <c r="AL73" s="59">
        <f>ROUND(供應率!AG11,1)</f>
        <v>99.1</v>
      </c>
      <c r="AM73" s="59">
        <f>ROUND(供應率!AH11,1)</f>
        <v>99.4</v>
      </c>
      <c r="AN73" s="217">
        <f>ROUND(供應率!AI11,1)</f>
        <v>97.2</v>
      </c>
      <c r="AO73" s="55"/>
    </row>
    <row r="74" spans="1:41" s="11" customFormat="1" ht="21.95" customHeight="1">
      <c r="A74" s="572" t="s">
        <v>23</v>
      </c>
      <c r="B74" s="573"/>
      <c r="C74" s="573"/>
      <c r="D74" s="313">
        <f>HLOOKUP(MONTH(日期!$C$2),去年月推移!$D$1:$O$200,131,TRUE)</f>
        <v>96.966012000000006</v>
      </c>
      <c r="E74" s="49">
        <v>98.559727106188546</v>
      </c>
      <c r="F74" s="49" t="s">
        <v>45</v>
      </c>
      <c r="G74" s="590">
        <f>ROUND(當年月推移!P133,1)</f>
        <v>98.8</v>
      </c>
      <c r="H74" s="591"/>
      <c r="I74" s="47">
        <f>ROUND(供應率!D6,1)</f>
        <v>98.5</v>
      </c>
      <c r="J74" s="47">
        <f>ROUND(供應率!E6,1)</f>
        <v>99</v>
      </c>
      <c r="K74" s="47">
        <f>ROUND(供應率!F6,1)</f>
        <v>99</v>
      </c>
      <c r="L74" s="47">
        <f>ROUND(供應率!G6,1)</f>
        <v>98.2</v>
      </c>
      <c r="M74" s="47">
        <f>ROUND(供應率!H6,1)</f>
        <v>0</v>
      </c>
      <c r="N74" s="47">
        <f>ROUND(供應率!I6,1)</f>
        <v>0</v>
      </c>
      <c r="O74" s="47">
        <f>ROUND(供應率!J6,1)</f>
        <v>99.1</v>
      </c>
      <c r="P74" s="47">
        <f>ROUND(供應率!K6,1)</f>
        <v>99.2</v>
      </c>
      <c r="Q74" s="47">
        <f>ROUND(供應率!L6,1)</f>
        <v>98.5</v>
      </c>
      <c r="R74" s="47">
        <f>ROUND(供應率!M6,1)</f>
        <v>0</v>
      </c>
      <c r="S74" s="47">
        <f>ROUND(供應率!N6,1)</f>
        <v>98.8</v>
      </c>
      <c r="T74" s="47">
        <f>ROUND(供應率!O6,1)</f>
        <v>0</v>
      </c>
      <c r="U74" s="47">
        <f>ROUND(供應率!P6,1)</f>
        <v>98.7</v>
      </c>
      <c r="V74" s="47">
        <f>ROUND(供應率!Q6,1)</f>
        <v>98.7</v>
      </c>
      <c r="W74" s="47">
        <f>ROUND(供應率!R6,1)</f>
        <v>98.9</v>
      </c>
      <c r="X74" s="47">
        <f>ROUND(供應率!S6,1)</f>
        <v>99.4</v>
      </c>
      <c r="Y74" s="47">
        <f>ROUND(供應率!T6,1)</f>
        <v>98.4</v>
      </c>
      <c r="Z74" s="47">
        <f>ROUND(供應率!U6,1)</f>
        <v>97.7</v>
      </c>
      <c r="AA74" s="47">
        <f>ROUND(供應率!V6,1)</f>
        <v>0</v>
      </c>
      <c r="AB74" s="47">
        <f>ROUND(供應率!W6,1)</f>
        <v>98.9</v>
      </c>
      <c r="AC74" s="47">
        <f>ROUND(供應率!X6,1)</f>
        <v>98.9</v>
      </c>
      <c r="AD74" s="47">
        <f>ROUND(供應率!Y6,1)</f>
        <v>98.7</v>
      </c>
      <c r="AE74" s="47">
        <f>ROUND(供應率!Z6,1)</f>
        <v>98.5</v>
      </c>
      <c r="AF74" s="47">
        <f>ROUND(供應率!AA6,1)</f>
        <v>0</v>
      </c>
      <c r="AG74" s="47">
        <f>ROUND(供應率!AB6,1)</f>
        <v>0</v>
      </c>
      <c r="AH74" s="47">
        <f>ROUND(供應率!AC6,1)</f>
        <v>0</v>
      </c>
      <c r="AI74" s="47">
        <f>ROUND(供應率!AD6,1)</f>
        <v>97.4</v>
      </c>
      <c r="AJ74" s="47">
        <f>ROUND(供應率!AE6,1)</f>
        <v>97.3</v>
      </c>
      <c r="AK74" s="47">
        <f>ROUND(供應率!AF6,1)</f>
        <v>98.6</v>
      </c>
      <c r="AL74" s="47">
        <f>ROUND(供應率!AG6,1)</f>
        <v>98.5</v>
      </c>
      <c r="AM74" s="47">
        <f>ROUND(供應率!AH6,1)</f>
        <v>98.5</v>
      </c>
      <c r="AN74" s="214">
        <f>ROUND(供應率!AI6,1)</f>
        <v>98.6</v>
      </c>
      <c r="AO74" s="55"/>
    </row>
    <row r="75" spans="1:41" s="11" customFormat="1" ht="21.95" customHeight="1">
      <c r="A75" s="574" t="s">
        <v>24</v>
      </c>
      <c r="B75" s="575"/>
      <c r="C75" s="576"/>
      <c r="D75" s="310">
        <f>HLOOKUP(MONTH(日期!$C$2),去年月推移!$D$1:$O$200,132,TRUE)</f>
        <v>99.844479000000007</v>
      </c>
      <c r="E75" s="243"/>
      <c r="F75" s="243"/>
      <c r="G75" s="590">
        <f>ROUND(當年月推移!P134,1)</f>
        <v>99.4</v>
      </c>
      <c r="H75" s="591"/>
      <c r="I75" s="244">
        <f>ROUND(供應率!D12,1)</f>
        <v>100</v>
      </c>
      <c r="J75" s="244">
        <f>ROUND(供應率!E12,1)</f>
        <v>100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0</v>
      </c>
      <c r="N75" s="244">
        <f>ROUND(供應率!I12,1)</f>
        <v>0</v>
      </c>
      <c r="O75" s="244">
        <f>ROUND(供應率!J12,1)</f>
        <v>100</v>
      </c>
      <c r="P75" s="244">
        <f>ROUND(供應率!K12,1)</f>
        <v>100</v>
      </c>
      <c r="Q75" s="244">
        <f>ROUND(供應率!L12,1)</f>
        <v>100</v>
      </c>
      <c r="R75" s="244">
        <f>ROUND(供應率!M12,1)</f>
        <v>0</v>
      </c>
      <c r="S75" s="244">
        <f>ROUND(供應率!N12,1)</f>
        <v>100</v>
      </c>
      <c r="T75" s="244">
        <f>ROUND(供應率!O12,1)</f>
        <v>0</v>
      </c>
      <c r="U75" s="244">
        <f>ROUND(供應率!P12,1)</f>
        <v>100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0</v>
      </c>
      <c r="AB75" s="244">
        <f>ROUND(供應率!W12,1)</f>
        <v>100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100</v>
      </c>
      <c r="AF75" s="244">
        <f>ROUND(供應率!AA12,1)</f>
        <v>0</v>
      </c>
      <c r="AG75" s="244">
        <f>ROUND(供應率!AB12,1)</f>
        <v>0</v>
      </c>
      <c r="AH75" s="244">
        <f>ROUND(供應率!AC12,1)</f>
        <v>0</v>
      </c>
      <c r="AI75" s="244">
        <f>ROUND(供應率!AD12,1)</f>
        <v>100</v>
      </c>
      <c r="AJ75" s="244">
        <f>ROUND(供應率!AE12,1)</f>
        <v>100</v>
      </c>
      <c r="AK75" s="244">
        <f>ROUND(供應率!AF12,1)</f>
        <v>100</v>
      </c>
      <c r="AL75" s="244">
        <f>ROUND(供應率!AG12,1)</f>
        <v>100</v>
      </c>
      <c r="AM75" s="244">
        <f>ROUND(供應率!AH12,1)</f>
        <v>100</v>
      </c>
      <c r="AN75" s="246">
        <f>ROUND(供應率!AI12,1)</f>
        <v>100</v>
      </c>
      <c r="AO75" s="55"/>
    </row>
    <row r="76" spans="1:41" s="11" customFormat="1" ht="21.95" customHeight="1">
      <c r="A76" s="574" t="s">
        <v>25</v>
      </c>
      <c r="B76" s="575"/>
      <c r="C76" s="576"/>
      <c r="D76" s="310">
        <f>HLOOKUP(MONTH(日期!$C$2),去年月推移!$D$1:$O$200,133,TRUE)</f>
        <v>96.296295999999998</v>
      </c>
      <c r="E76" s="243"/>
      <c r="F76" s="243"/>
      <c r="G76" s="590">
        <f>ROUND(當年月推移!P135,1)</f>
        <v>97.3</v>
      </c>
      <c r="H76" s="591"/>
      <c r="I76" s="244">
        <f>ROUND(供應率!D13,1)</f>
        <v>100</v>
      </c>
      <c r="J76" s="244">
        <f>ROUND(供應率!E13,1)</f>
        <v>100</v>
      </c>
      <c r="K76" s="244">
        <f>ROUND(供應率!F13,1)</f>
        <v>100</v>
      </c>
      <c r="L76" s="244">
        <f>ROUND(供應率!G13,1)</f>
        <v>100</v>
      </c>
      <c r="M76" s="244">
        <f>ROUND(供應率!H13,1)</f>
        <v>0</v>
      </c>
      <c r="N76" s="244">
        <f>ROUND(供應率!I13,1)</f>
        <v>0</v>
      </c>
      <c r="O76" s="244">
        <f>ROUND(供應率!J13,1)</f>
        <v>100</v>
      </c>
      <c r="P76" s="244">
        <f>ROUND(供應率!K13,1)</f>
        <v>100</v>
      </c>
      <c r="Q76" s="244">
        <f>ROUND(供應率!L13,1)</f>
        <v>97.8</v>
      </c>
      <c r="R76" s="244">
        <f>ROUND(供應率!M13,1)</f>
        <v>0</v>
      </c>
      <c r="S76" s="244">
        <f>ROUND(供應率!N13,1)</f>
        <v>100</v>
      </c>
      <c r="T76" s="244">
        <f>ROUND(供應率!O13,1)</f>
        <v>0</v>
      </c>
      <c r="U76" s="244">
        <f>ROUND(供應率!P13,1)</f>
        <v>100</v>
      </c>
      <c r="V76" s="244">
        <f>ROUND(供應率!Q13,1)</f>
        <v>100</v>
      </c>
      <c r="W76" s="244">
        <f>ROUND(供應率!R13,1)</f>
        <v>97.2</v>
      </c>
      <c r="X76" s="244">
        <f>ROUND(供應率!S13,1)</f>
        <v>97.2</v>
      </c>
      <c r="Y76" s="244">
        <f>ROUND(供應率!T13,1)</f>
        <v>100</v>
      </c>
      <c r="Z76" s="244">
        <f>ROUND(供應率!U13,1)</f>
        <v>100</v>
      </c>
      <c r="AA76" s="244">
        <f>ROUND(供應率!V13,1)</f>
        <v>0</v>
      </c>
      <c r="AB76" s="244">
        <f>ROUND(供應率!W13,1)</f>
        <v>87.3</v>
      </c>
      <c r="AC76" s="244">
        <f>ROUND(供應率!X13,1)</f>
        <v>97.2</v>
      </c>
      <c r="AD76" s="244">
        <f>ROUND(供應率!Y13,1)</f>
        <v>100</v>
      </c>
      <c r="AE76" s="244">
        <f>ROUND(供應率!Z13,1)</f>
        <v>100</v>
      </c>
      <c r="AF76" s="244">
        <f>ROUND(供應率!AA13,1)</f>
        <v>0</v>
      </c>
      <c r="AG76" s="244">
        <f>ROUND(供應率!AB13,1)</f>
        <v>0</v>
      </c>
      <c r="AH76" s="244">
        <f>ROUND(供應率!AC13,1)</f>
        <v>0</v>
      </c>
      <c r="AI76" s="244">
        <f>ROUND(供應率!AD13,1)</f>
        <v>100</v>
      </c>
      <c r="AJ76" s="244">
        <f>ROUND(供應率!AE13,1)</f>
        <v>100</v>
      </c>
      <c r="AK76" s="244">
        <f>ROUND(供應率!AF13,1)</f>
        <v>100</v>
      </c>
      <c r="AL76" s="244">
        <f>ROUND(供應率!AG13,1)</f>
        <v>100</v>
      </c>
      <c r="AM76" s="244">
        <f>ROUND(供應率!AH13,1)</f>
        <v>100</v>
      </c>
      <c r="AN76" s="246">
        <f>ROUND(供應率!AI13,1)</f>
        <v>98.5</v>
      </c>
      <c r="AO76" s="55"/>
    </row>
    <row r="77" spans="1:41" s="11" customFormat="1" ht="21.95" customHeight="1">
      <c r="A77" s="574" t="s">
        <v>26</v>
      </c>
      <c r="B77" s="575"/>
      <c r="C77" s="576"/>
      <c r="D77" s="310">
        <f>HLOOKUP(MONTH(日期!$C$2),去年月推移!$D$1:$O$200,134,TRUE)</f>
        <v>97.1</v>
      </c>
      <c r="E77" s="243"/>
      <c r="F77" s="243"/>
      <c r="G77" s="590">
        <f>ROUND(當年月推移!P136,1)</f>
        <v>97</v>
      </c>
      <c r="H77" s="591"/>
      <c r="I77" s="244">
        <f>ROUND(供應率!D14,1)</f>
        <v>95.4</v>
      </c>
      <c r="J77" s="244">
        <f>ROUND(供應率!E14,1)</f>
        <v>97</v>
      </c>
      <c r="K77" s="244">
        <f>ROUND(供應率!F14,1)</f>
        <v>96.4</v>
      </c>
      <c r="L77" s="244">
        <f>ROUND(供應率!G14,1)</f>
        <v>95.4</v>
      </c>
      <c r="M77" s="244">
        <f>ROUND(供應率!H14,1)</f>
        <v>0</v>
      </c>
      <c r="N77" s="244">
        <f>ROUND(供應率!I14,1)</f>
        <v>0</v>
      </c>
      <c r="O77" s="244">
        <f>ROUND(供應率!J14,1)</f>
        <v>95.6</v>
      </c>
      <c r="P77" s="244">
        <f>ROUND(供應率!K14,1)</f>
        <v>96.3</v>
      </c>
      <c r="Q77" s="244">
        <f>ROUND(供應率!L14,1)</f>
        <v>99.7</v>
      </c>
      <c r="R77" s="244">
        <f>ROUND(供應率!M14,1)</f>
        <v>0</v>
      </c>
      <c r="S77" s="244">
        <f>ROUND(供應率!N14,1)</f>
        <v>99.7</v>
      </c>
      <c r="T77" s="244">
        <f>ROUND(供應率!O14,1)</f>
        <v>0</v>
      </c>
      <c r="U77" s="244">
        <f>ROUND(供應率!P14,1)</f>
        <v>99.1</v>
      </c>
      <c r="V77" s="244">
        <f>ROUND(供應率!Q14,1)</f>
        <v>98.3</v>
      </c>
      <c r="W77" s="244">
        <f>ROUND(供應率!R14,1)</f>
        <v>98.1</v>
      </c>
      <c r="X77" s="244">
        <f>ROUND(供應率!S14,1)</f>
        <v>99</v>
      </c>
      <c r="Y77" s="244">
        <f>ROUND(供應率!T14,1)</f>
        <v>98</v>
      </c>
      <c r="Z77" s="244">
        <f>ROUND(供應率!U14,1)</f>
        <v>95.4</v>
      </c>
      <c r="AA77" s="244">
        <f>ROUND(供應率!V14,1)</f>
        <v>0</v>
      </c>
      <c r="AB77" s="244">
        <f>ROUND(供應率!W14,1)</f>
        <v>97</v>
      </c>
      <c r="AC77" s="244">
        <f>ROUND(供應率!X14,1)</f>
        <v>96.4</v>
      </c>
      <c r="AD77" s="244">
        <f>ROUND(供應率!Y14,1)</f>
        <v>98.2</v>
      </c>
      <c r="AE77" s="244">
        <f>ROUND(供應率!Z14,1)</f>
        <v>93.9</v>
      </c>
      <c r="AF77" s="244">
        <f>ROUND(供應率!AA14,1)</f>
        <v>0</v>
      </c>
      <c r="AG77" s="244">
        <f>ROUND(供應率!AB14,1)</f>
        <v>0</v>
      </c>
      <c r="AH77" s="244">
        <f>ROUND(供應率!AC14,1)</f>
        <v>0</v>
      </c>
      <c r="AI77" s="244">
        <f>ROUND(供應率!AD14,1)</f>
        <v>94.3</v>
      </c>
      <c r="AJ77" s="244">
        <f>ROUND(供應率!AE14,1)</f>
        <v>97.3</v>
      </c>
      <c r="AK77" s="244">
        <f>ROUND(供應率!AF14,1)</f>
        <v>96.2</v>
      </c>
      <c r="AL77" s="244">
        <f>ROUND(供應率!AG14,1)</f>
        <v>97.8</v>
      </c>
      <c r="AM77" s="244">
        <f>ROUND(供應率!AH14,1)</f>
        <v>98.6</v>
      </c>
      <c r="AN77" s="246">
        <f>ROUND(供應率!AI14,1)</f>
        <v>97.1</v>
      </c>
      <c r="AO77" s="55"/>
    </row>
    <row r="78" spans="1:41" s="11" customFormat="1" ht="21.95" customHeight="1">
      <c r="A78" s="574" t="s">
        <v>27</v>
      </c>
      <c r="B78" s="575"/>
      <c r="C78" s="576"/>
      <c r="D78" s="310">
        <f>HLOOKUP(MONTH(日期!$C$2),去年月推移!$D$1:$O$200,135,TRUE)</f>
        <v>97.496087000000003</v>
      </c>
      <c r="E78" s="243"/>
      <c r="F78" s="243"/>
      <c r="G78" s="590">
        <f>ROUND(當年月推移!P137,1)</f>
        <v>93.1</v>
      </c>
      <c r="H78" s="591"/>
      <c r="I78" s="244">
        <f>ROUND(供應率!D15,1)</f>
        <v>94.4</v>
      </c>
      <c r="J78" s="244">
        <f>ROUND(供應率!E15,1)</f>
        <v>88.7</v>
      </c>
      <c r="K78" s="244">
        <f>ROUND(供應率!F15,1)</f>
        <v>91.1</v>
      </c>
      <c r="L78" s="244">
        <f>ROUND(供應率!G15,1)</f>
        <v>91.2</v>
      </c>
      <c r="M78" s="244">
        <f>ROUND(供應率!H15,1)</f>
        <v>0</v>
      </c>
      <c r="N78" s="244">
        <f>ROUND(供應率!I15,1)</f>
        <v>0</v>
      </c>
      <c r="O78" s="244">
        <f>ROUND(供應率!J15,1)</f>
        <v>86</v>
      </c>
      <c r="P78" s="244">
        <f>ROUND(供應率!K15,1)</f>
        <v>92.7</v>
      </c>
      <c r="Q78" s="244">
        <f>ROUND(供應率!L15,1)</f>
        <v>98.5</v>
      </c>
      <c r="R78" s="244">
        <f>ROUND(供應率!M15,1)</f>
        <v>0</v>
      </c>
      <c r="S78" s="244">
        <f>ROUND(供應率!N15,1)</f>
        <v>100</v>
      </c>
      <c r="T78" s="244">
        <f>ROUND(供應率!O15,1)</f>
        <v>0</v>
      </c>
      <c r="U78" s="244">
        <f>ROUND(供應率!P15,1)</f>
        <v>98.5</v>
      </c>
      <c r="V78" s="244">
        <f>ROUND(供應率!Q15,1)</f>
        <v>100</v>
      </c>
      <c r="W78" s="244">
        <f>ROUND(供應率!R15,1)</f>
        <v>100</v>
      </c>
      <c r="X78" s="244">
        <f>ROUND(供應率!S15,1)</f>
        <v>100</v>
      </c>
      <c r="Y78" s="244">
        <f>ROUND(供應率!T15,1)</f>
        <v>98.6</v>
      </c>
      <c r="Z78" s="244">
        <f>ROUND(供應率!U15,1)</f>
        <v>96.8</v>
      </c>
      <c r="AA78" s="244">
        <f>ROUND(供應率!V15,1)</f>
        <v>0</v>
      </c>
      <c r="AB78" s="244">
        <f>ROUND(供應率!W15,1)</f>
        <v>100</v>
      </c>
      <c r="AC78" s="244">
        <f>ROUND(供應率!X15,1)</f>
        <v>98.5</v>
      </c>
      <c r="AD78" s="244">
        <f>ROUND(供應率!Y15,1)</f>
        <v>100</v>
      </c>
      <c r="AE78" s="244">
        <f>ROUND(供應率!Z15,1)</f>
        <v>98.9</v>
      </c>
      <c r="AF78" s="244">
        <f>ROUND(供應率!AA15,1)</f>
        <v>0</v>
      </c>
      <c r="AG78" s="244">
        <f>ROUND(供應率!AB15,1)</f>
        <v>0</v>
      </c>
      <c r="AH78" s="244">
        <f>ROUND(供應率!AC15,1)</f>
        <v>0</v>
      </c>
      <c r="AI78" s="244">
        <f>ROUND(供應率!AD15,1)</f>
        <v>99.1</v>
      </c>
      <c r="AJ78" s="244">
        <f>ROUND(供應率!AE15,1)</f>
        <v>98.2</v>
      </c>
      <c r="AK78" s="244">
        <f>ROUND(供應率!AF15,1)</f>
        <v>98.2</v>
      </c>
      <c r="AL78" s="244">
        <f>ROUND(供應率!AG15,1)</f>
        <v>97.9</v>
      </c>
      <c r="AM78" s="244">
        <f>ROUND(供應率!AH15,1)</f>
        <v>98</v>
      </c>
      <c r="AN78" s="246">
        <f>ROUND(供應率!AI15,1)</f>
        <v>96.7</v>
      </c>
      <c r="AO78" s="55"/>
    </row>
    <row r="79" spans="1:41" s="11" customFormat="1" ht="21.95" customHeight="1" thickBot="1">
      <c r="A79" s="612" t="s">
        <v>28</v>
      </c>
      <c r="B79" s="613"/>
      <c r="C79" s="614"/>
      <c r="D79" s="320">
        <f>HLOOKUP(MONTH(日期!$C$2),去年月推移!$D$1:$O$200,136,TRUE)</f>
        <v>0</v>
      </c>
      <c r="E79" s="243"/>
      <c r="F79" s="243"/>
      <c r="G79" s="586">
        <f>ROUND(當年月推移!P138,1)</f>
        <v>0</v>
      </c>
      <c r="H79" s="587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05" t="s">
        <v>31</v>
      </c>
      <c r="B80" s="606"/>
      <c r="C80" s="606"/>
      <c r="D80" s="313">
        <f>HLOOKUP(MONTH(日期!$C$2),去年月推移!$D$1:$O$200,137,TRUE)</f>
        <v>0</v>
      </c>
      <c r="E80" s="272"/>
      <c r="F80" s="272"/>
      <c r="G80" s="590">
        <f>ROUND(當年月推移!P139,1)</f>
        <v>0</v>
      </c>
      <c r="H80" s="591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581" t="s">
        <v>32</v>
      </c>
      <c r="B81" s="582"/>
      <c r="C81" s="582"/>
      <c r="D81" s="310">
        <f>HLOOKUP(MONTH(日期!$C$2),去年月推移!$D$1:$O$200,138,TRUE)</f>
        <v>0</v>
      </c>
      <c r="E81" s="49"/>
      <c r="F81" s="49"/>
      <c r="G81" s="590">
        <f>ROUND(當年月推移!P140,1)</f>
        <v>0</v>
      </c>
      <c r="H81" s="591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581" t="s">
        <v>33</v>
      </c>
      <c r="B82" s="582"/>
      <c r="C82" s="582"/>
      <c r="D82" s="310">
        <f>HLOOKUP(MONTH(日期!$C$2),去年月推移!$D$1:$O$200,139,TRUE)</f>
        <v>0</v>
      </c>
      <c r="E82" s="49"/>
      <c r="F82" s="49"/>
      <c r="G82" s="590">
        <f>ROUND(當年月推移!P141,1)</f>
        <v>0</v>
      </c>
      <c r="H82" s="591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581" t="s">
        <v>34</v>
      </c>
      <c r="B83" s="582"/>
      <c r="C83" s="582"/>
      <c r="D83" s="310">
        <f>HLOOKUP(MONTH(日期!$C$2),去年月推移!$D$1:$O$200,140,TRUE)</f>
        <v>0</v>
      </c>
      <c r="E83" s="49"/>
      <c r="F83" s="49"/>
      <c r="G83" s="590">
        <f>ROUND(當年月推移!P142,1)</f>
        <v>0</v>
      </c>
      <c r="H83" s="591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588" t="s">
        <v>35</v>
      </c>
      <c r="B84" s="589"/>
      <c r="C84" s="589"/>
      <c r="D84" s="312">
        <f>HLOOKUP(MONTH(日期!$C$2),去年月推移!$D$1:$O$200,141,TRUE)</f>
        <v>0</v>
      </c>
      <c r="E84" s="58"/>
      <c r="F84" s="58"/>
      <c r="G84" s="586">
        <f>ROUND(當年月推移!P143,1)</f>
        <v>0</v>
      </c>
      <c r="H84" s="587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596" t="s">
        <v>1</v>
      </c>
      <c r="B87" s="597"/>
      <c r="C87" s="597"/>
      <c r="D87" s="600" t="str">
        <f>D3</f>
        <v>2024/10</v>
      </c>
      <c r="E87" s="600" t="str">
        <f>E3</f>
        <v>2025/10</v>
      </c>
      <c r="F87" s="335">
        <f>YEAR(日期!C2)-1</f>
        <v>2024</v>
      </c>
      <c r="G87" s="615">
        <f>YEAR(日期!C2)</f>
        <v>2025</v>
      </c>
      <c r="H87" s="616"/>
      <c r="I87" s="527" t="str">
        <f>日期!C2</f>
        <v>2025/10/01</v>
      </c>
      <c r="J87" s="527" t="str">
        <f>日期!D2</f>
        <v>2025/10/02</v>
      </c>
      <c r="K87" s="527" t="str">
        <f>日期!E2</f>
        <v>2025/10/03</v>
      </c>
      <c r="L87" s="527" t="str">
        <f>日期!F2</f>
        <v>2025/10/04</v>
      </c>
      <c r="M87" s="527" t="str">
        <f>日期!G2</f>
        <v>2025/10/05</v>
      </c>
      <c r="N87" s="527" t="str">
        <f>日期!H2</f>
        <v>2025/10/06</v>
      </c>
      <c r="O87" s="527" t="str">
        <f>日期!I2</f>
        <v>2025/10/07</v>
      </c>
      <c r="P87" s="527" t="str">
        <f>日期!J2</f>
        <v>2025/10/08</v>
      </c>
      <c r="Q87" s="527" t="str">
        <f>日期!K2</f>
        <v>2025/10/09</v>
      </c>
      <c r="R87" s="527" t="str">
        <f>日期!L2</f>
        <v>2025/10/10</v>
      </c>
      <c r="S87" s="527" t="str">
        <f>日期!M2</f>
        <v>2025/10/11</v>
      </c>
      <c r="T87" s="527" t="str">
        <f>日期!N2</f>
        <v>2025/10/12</v>
      </c>
      <c r="U87" s="527" t="str">
        <f>日期!O2</f>
        <v>2025/10/13</v>
      </c>
      <c r="V87" s="527" t="str">
        <f>日期!P2</f>
        <v>2025/10/14</v>
      </c>
      <c r="W87" s="527" t="str">
        <f>日期!Q2</f>
        <v>2025/10/15</v>
      </c>
      <c r="X87" s="527" t="str">
        <f>日期!R2</f>
        <v>2025/10/16</v>
      </c>
      <c r="Y87" s="527" t="str">
        <f>日期!S2</f>
        <v>2025/10/17</v>
      </c>
      <c r="Z87" s="527" t="str">
        <f>日期!T2</f>
        <v>2025/10/18</v>
      </c>
      <c r="AA87" s="527" t="str">
        <f>日期!U2</f>
        <v>2025/10/19</v>
      </c>
      <c r="AB87" s="527" t="str">
        <f>日期!V2</f>
        <v>2025/10/20</v>
      </c>
      <c r="AC87" s="527" t="str">
        <f>日期!W2</f>
        <v>2025/10/21</v>
      </c>
      <c r="AD87" s="527" t="str">
        <f>日期!X2</f>
        <v>2025/10/22</v>
      </c>
      <c r="AE87" s="527" t="str">
        <f>日期!Y2</f>
        <v>2025/10/23</v>
      </c>
      <c r="AF87" s="527" t="str">
        <f>日期!Z2</f>
        <v>2025/10/24</v>
      </c>
      <c r="AG87" s="527" t="str">
        <f>日期!AA2</f>
        <v>2025/10/25</v>
      </c>
      <c r="AH87" s="527" t="str">
        <f>日期!AB2</f>
        <v>2025/10/26</v>
      </c>
      <c r="AI87" s="527" t="str">
        <f>日期!AC2</f>
        <v>2025/10/27</v>
      </c>
      <c r="AJ87" s="527" t="str">
        <f>日期!AD2</f>
        <v>2025/10/28</v>
      </c>
      <c r="AK87" s="527" t="str">
        <f>日期!AE2</f>
        <v>2025/10/29</v>
      </c>
      <c r="AL87" s="527" t="str">
        <f>日期!AF2</f>
        <v>2025/10/30</v>
      </c>
      <c r="AM87" s="527" t="str">
        <f>日期!AG2</f>
        <v>2025/10/31</v>
      </c>
      <c r="AN87" s="592" t="s">
        <v>42</v>
      </c>
    </row>
    <row r="88" spans="1:41" s="35" customFormat="1" ht="24" customHeight="1" thickBot="1">
      <c r="A88" s="598"/>
      <c r="B88" s="599"/>
      <c r="C88" s="599"/>
      <c r="D88" s="601"/>
      <c r="E88" s="602"/>
      <c r="F88" s="334" t="s">
        <v>58</v>
      </c>
      <c r="G88" s="603" t="s">
        <v>59</v>
      </c>
      <c r="H88" s="604"/>
      <c r="I88" s="12" t="str">
        <f>日期!C3</f>
        <v>Wed</v>
      </c>
      <c r="J88" s="12" t="str">
        <f>日期!D3</f>
        <v>Thu</v>
      </c>
      <c r="K88" s="12" t="str">
        <f>日期!E3</f>
        <v>Fri</v>
      </c>
      <c r="L88" s="12" t="str">
        <f>日期!F3</f>
        <v>Sat</v>
      </c>
      <c r="M88" s="12" t="str">
        <f>日期!G3</f>
        <v>Sun</v>
      </c>
      <c r="N88" s="12" t="str">
        <f>日期!H3</f>
        <v>Mon</v>
      </c>
      <c r="O88" s="12" t="str">
        <f>日期!I3</f>
        <v>Tue</v>
      </c>
      <c r="P88" s="12" t="str">
        <f>日期!J3</f>
        <v>Wed</v>
      </c>
      <c r="Q88" s="12" t="str">
        <f>日期!K3</f>
        <v>Thu</v>
      </c>
      <c r="R88" s="12" t="str">
        <f>日期!L3</f>
        <v>Fri</v>
      </c>
      <c r="S88" s="12" t="str">
        <f>日期!M3</f>
        <v>Sat</v>
      </c>
      <c r="T88" s="12" t="str">
        <f>日期!N3</f>
        <v>Sun</v>
      </c>
      <c r="U88" s="12" t="str">
        <f>日期!O3</f>
        <v>Mon</v>
      </c>
      <c r="V88" s="12" t="str">
        <f>日期!P3</f>
        <v>Tue</v>
      </c>
      <c r="W88" s="12" t="str">
        <f>日期!Q3</f>
        <v>Wed</v>
      </c>
      <c r="X88" s="12" t="str">
        <f>日期!R3</f>
        <v>Thu</v>
      </c>
      <c r="Y88" s="12" t="str">
        <f>日期!S3</f>
        <v>Fri</v>
      </c>
      <c r="Z88" s="12" t="str">
        <f>日期!T3</f>
        <v>Sat</v>
      </c>
      <c r="AA88" s="12" t="str">
        <f>日期!U3</f>
        <v>Sun</v>
      </c>
      <c r="AB88" s="12" t="str">
        <f>日期!V3</f>
        <v>Mon</v>
      </c>
      <c r="AC88" s="12" t="str">
        <f>日期!W3</f>
        <v>Tue</v>
      </c>
      <c r="AD88" s="12" t="str">
        <f>日期!X3</f>
        <v>Wed</v>
      </c>
      <c r="AE88" s="12" t="str">
        <f>日期!Y3</f>
        <v>Thu</v>
      </c>
      <c r="AF88" s="12" t="str">
        <f>日期!Z3</f>
        <v>Fri</v>
      </c>
      <c r="AG88" s="12" t="str">
        <f>日期!AA3</f>
        <v>Sat</v>
      </c>
      <c r="AH88" s="12" t="str">
        <f>日期!AB3</f>
        <v>Sun</v>
      </c>
      <c r="AI88" s="12" t="str">
        <f>日期!AC3</f>
        <v>Mon</v>
      </c>
      <c r="AJ88" s="12" t="str">
        <f>日期!AD3</f>
        <v>Tue</v>
      </c>
      <c r="AK88" s="12" t="str">
        <f>日期!AE3</f>
        <v>Wed</v>
      </c>
      <c r="AL88" s="12" t="str">
        <f>日期!AF3</f>
        <v>Thu</v>
      </c>
      <c r="AM88" s="12" t="str">
        <f>日期!AG3</f>
        <v>Fri</v>
      </c>
      <c r="AN88" s="593"/>
    </row>
    <row r="89" spans="1:41" s="35" customFormat="1" ht="21.95" customHeight="1">
      <c r="A89" s="594" t="s">
        <v>11</v>
      </c>
      <c r="B89" s="595"/>
      <c r="C89" s="595"/>
      <c r="D89" s="314">
        <f>HLOOKUP(MONTH(日期!$C$2),去年月推移!$D$1:$O$200,145,TRUE)</f>
        <v>6285</v>
      </c>
      <c r="E89" s="62" t="s">
        <v>45</v>
      </c>
      <c r="F89" s="62" t="s">
        <v>45</v>
      </c>
      <c r="G89" s="560">
        <f>當年月推移!P147</f>
        <v>5041</v>
      </c>
      <c r="H89" s="561"/>
      <c r="I89" s="63">
        <f>VALUE(點數BO!C2)</f>
        <v>262</v>
      </c>
      <c r="J89" s="63">
        <f>VALUE(點數BO!D2)</f>
        <v>272</v>
      </c>
      <c r="K89" s="63">
        <f>VALUE(點數BO!E2)</f>
        <v>207</v>
      </c>
      <c r="L89" s="63">
        <f>VALUE(點數BO!F2)</f>
        <v>152</v>
      </c>
      <c r="M89" s="63">
        <f>VALUE(點數BO!G2)</f>
        <v>0</v>
      </c>
      <c r="N89" s="63">
        <f>VALUE(點數BO!H2)</f>
        <v>0</v>
      </c>
      <c r="O89" s="63">
        <f>VALUE(點數BO!I2)</f>
        <v>0</v>
      </c>
      <c r="P89" s="63">
        <f>VALUE(點數BO!J2)</f>
        <v>257</v>
      </c>
      <c r="Q89" s="63">
        <f>VALUE(點數BO!K2)</f>
        <v>250</v>
      </c>
      <c r="R89" s="63">
        <f>VALUE(點數BO!L2)</f>
        <v>0</v>
      </c>
      <c r="S89" s="63">
        <f>VALUE(點數BO!M2)</f>
        <v>151</v>
      </c>
      <c r="T89" s="63">
        <f>VALUE(點數BO!N2)</f>
        <v>0</v>
      </c>
      <c r="U89" s="63">
        <f>VALUE(點數BO!O2)</f>
        <v>288</v>
      </c>
      <c r="V89" s="63">
        <f>VALUE(點數BO!P2)</f>
        <v>258</v>
      </c>
      <c r="W89" s="63">
        <f>VALUE(點數BO!Q2)</f>
        <v>291</v>
      </c>
      <c r="X89" s="63">
        <f>VALUE(點數BO!R2)</f>
        <v>236</v>
      </c>
      <c r="Y89" s="63">
        <f>VALUE(點數BO!S2)</f>
        <v>230</v>
      </c>
      <c r="Z89" s="63">
        <f>VALUE(點數BO!T2)</f>
        <v>148</v>
      </c>
      <c r="AA89" s="63">
        <f>VALUE(點數BO!U2)</f>
        <v>0</v>
      </c>
      <c r="AB89" s="63">
        <f>VALUE(點數BO!V2)</f>
        <v>253</v>
      </c>
      <c r="AC89" s="63">
        <f>VALUE(點數BO!W2)</f>
        <v>261</v>
      </c>
      <c r="AD89" s="63">
        <f>VALUE(點數BO!X2)</f>
        <v>230</v>
      </c>
      <c r="AE89" s="63">
        <f>VALUE(點數BO!Y2)</f>
        <v>279</v>
      </c>
      <c r="AF89" s="63">
        <f>VALUE(點數BO!Z2)</f>
        <v>0</v>
      </c>
      <c r="AG89" s="63">
        <f>VALUE(點數BO!AA2)</f>
        <v>0</v>
      </c>
      <c r="AH89" s="63">
        <f>VALUE(點數BO!AB2)</f>
        <v>0</v>
      </c>
      <c r="AI89" s="63">
        <f>VALUE(點數BO!AC2)</f>
        <v>353</v>
      </c>
      <c r="AJ89" s="63">
        <f>VALUE(點數BO!AD2)</f>
        <v>256</v>
      </c>
      <c r="AK89" s="63">
        <f>VALUE(點數BO!AE2)</f>
        <v>254</v>
      </c>
      <c r="AL89" s="63">
        <f>VALUE(點數BO!AF2)</f>
        <v>236</v>
      </c>
      <c r="AM89" s="63">
        <f>VALUE(點數BO!AG2)</f>
        <v>193</v>
      </c>
      <c r="AN89" s="516">
        <f>VALUE(點數BO!AH2)</f>
        <v>5596</v>
      </c>
    </row>
    <row r="90" spans="1:41" s="35" customFormat="1" ht="21.95" customHeight="1">
      <c r="A90" s="572" t="s">
        <v>12</v>
      </c>
      <c r="B90" s="573"/>
      <c r="C90" s="573"/>
      <c r="D90" s="314">
        <f>HLOOKUP(MONTH(日期!$C$2),去年月推移!$D$1:$O$200,146,TRUE)</f>
        <v>24</v>
      </c>
      <c r="E90" s="64" t="s">
        <v>45</v>
      </c>
      <c r="F90" s="64" t="s">
        <v>45</v>
      </c>
      <c r="G90" s="562">
        <f>當年月推移!P148</f>
        <v>15</v>
      </c>
      <c r="H90" s="563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1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1</v>
      </c>
      <c r="Q90" s="63">
        <f>VALUE(點數BO!K4)</f>
        <v>1</v>
      </c>
      <c r="R90" s="63">
        <f>VALUE(點數BO!L4)</f>
        <v>0</v>
      </c>
      <c r="S90" s="63">
        <f>VALUE(點數BO!M4)</f>
        <v>0</v>
      </c>
      <c r="T90" s="63">
        <f>VALUE(點數BO!N4)</f>
        <v>0</v>
      </c>
      <c r="U90" s="63">
        <f>VALUE(點數BO!O4)</f>
        <v>0</v>
      </c>
      <c r="V90" s="63">
        <f>VALUE(點數BO!P4)</f>
        <v>3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1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517">
        <f>VALUE(點數BO!AH4)</f>
        <v>8</v>
      </c>
    </row>
    <row r="91" spans="1:41" s="35" customFormat="1" ht="21.95" customHeight="1">
      <c r="A91" s="572" t="s">
        <v>13</v>
      </c>
      <c r="B91" s="573"/>
      <c r="C91" s="573"/>
      <c r="D91" s="314">
        <f>HLOOKUP(MONTH(日期!$C$2),去年月推移!$D$1:$O$200,147,TRUE)</f>
        <v>140</v>
      </c>
      <c r="E91" s="64" t="s">
        <v>45</v>
      </c>
      <c r="F91" s="64" t="s">
        <v>45</v>
      </c>
      <c r="G91" s="562">
        <f>當年月推移!P149</f>
        <v>56</v>
      </c>
      <c r="H91" s="563"/>
      <c r="I91" s="63">
        <f>VALUE(點數BO!C5)</f>
        <v>6</v>
      </c>
      <c r="J91" s="63">
        <f>VALUE(點數BO!D5)</f>
        <v>0</v>
      </c>
      <c r="K91" s="63">
        <f>VALUE(點數BO!E5)</f>
        <v>6</v>
      </c>
      <c r="L91" s="63">
        <f>VALUE(點數BO!F5)</f>
        <v>5</v>
      </c>
      <c r="M91" s="63">
        <f>VALUE(點數BO!G5)</f>
        <v>0</v>
      </c>
      <c r="N91" s="63">
        <f>VALUE(點數BO!H5)</f>
        <v>0</v>
      </c>
      <c r="O91" s="63">
        <f>VALUE(點數BO!I5)</f>
        <v>0</v>
      </c>
      <c r="P91" s="63">
        <f>VALUE(點數BO!J5)</f>
        <v>3</v>
      </c>
      <c r="Q91" s="63">
        <f>VALUE(點數BO!K5)</f>
        <v>2</v>
      </c>
      <c r="R91" s="63">
        <f>VALUE(點數BO!L5)</f>
        <v>0</v>
      </c>
      <c r="S91" s="63">
        <f>VALUE(點數BO!M5)</f>
        <v>6</v>
      </c>
      <c r="T91" s="63">
        <f>VALUE(點數BO!N5)</f>
        <v>0</v>
      </c>
      <c r="U91" s="63">
        <f>VALUE(點數BO!O5)</f>
        <v>5</v>
      </c>
      <c r="V91" s="63">
        <f>VALUE(點數BO!P5)</f>
        <v>3</v>
      </c>
      <c r="W91" s="63">
        <f>VALUE(點數BO!Q5)</f>
        <v>2</v>
      </c>
      <c r="X91" s="63">
        <f>VALUE(點數BO!R5)</f>
        <v>5</v>
      </c>
      <c r="Y91" s="63">
        <f>VALUE(點數BO!S5)</f>
        <v>5</v>
      </c>
      <c r="Z91" s="63">
        <f>VALUE(點數BO!T5)</f>
        <v>9</v>
      </c>
      <c r="AA91" s="63">
        <f>VALUE(點數BO!U5)</f>
        <v>0</v>
      </c>
      <c r="AB91" s="63">
        <f>VALUE(點數BO!V5)</f>
        <v>5</v>
      </c>
      <c r="AC91" s="63">
        <f>VALUE(點數BO!W5)</f>
        <v>1</v>
      </c>
      <c r="AD91" s="63">
        <f>VALUE(點數BO!X5)</f>
        <v>2</v>
      </c>
      <c r="AE91" s="63">
        <f>VALUE(點數BO!Y5)</f>
        <v>3</v>
      </c>
      <c r="AF91" s="63">
        <f>VALUE(點數BO!Z5)</f>
        <v>0</v>
      </c>
      <c r="AG91" s="63">
        <f>VALUE(點數BO!AA5)</f>
        <v>0</v>
      </c>
      <c r="AH91" s="63">
        <f>VALUE(點數BO!AB5)</f>
        <v>0</v>
      </c>
      <c r="AI91" s="63">
        <f>VALUE(點數BO!AC5)</f>
        <v>8</v>
      </c>
      <c r="AJ91" s="63">
        <f>VALUE(點數BO!AD5)</f>
        <v>5</v>
      </c>
      <c r="AK91" s="63">
        <f>VALUE(點數BO!AE5)</f>
        <v>1</v>
      </c>
      <c r="AL91" s="63">
        <f>VALUE(點數BO!AF5)</f>
        <v>2</v>
      </c>
      <c r="AM91" s="63">
        <f>VALUE(點數BO!AG5)</f>
        <v>2</v>
      </c>
      <c r="AN91" s="517">
        <f>VALUE(點數BO!AH5)</f>
        <v>90</v>
      </c>
    </row>
    <row r="92" spans="1:41" s="35" customFormat="1" ht="21.95" customHeight="1">
      <c r="A92" s="572" t="s">
        <v>14</v>
      </c>
      <c r="B92" s="573"/>
      <c r="C92" s="573"/>
      <c r="D92" s="314">
        <f>HLOOKUP(MONTH(日期!$C$2),去年月推移!$D$1:$O$200,148,TRUE)</f>
        <v>476</v>
      </c>
      <c r="E92" s="64" t="s">
        <v>45</v>
      </c>
      <c r="F92" s="64" t="s">
        <v>45</v>
      </c>
      <c r="G92" s="562">
        <f>當年月推移!P150</f>
        <v>243</v>
      </c>
      <c r="H92" s="563"/>
      <c r="I92" s="63">
        <f>VALUE(點數BO!C6)</f>
        <v>11</v>
      </c>
      <c r="J92" s="63">
        <f>VALUE(點數BO!D6)</f>
        <v>15</v>
      </c>
      <c r="K92" s="63">
        <f>VALUE(點數BO!E6)</f>
        <v>7</v>
      </c>
      <c r="L92" s="63">
        <f>VALUE(點數BO!F6)</f>
        <v>9</v>
      </c>
      <c r="M92" s="63">
        <f>VALUE(點數BO!G6)</f>
        <v>0</v>
      </c>
      <c r="N92" s="63">
        <f>VALUE(點數BO!H6)</f>
        <v>0</v>
      </c>
      <c r="O92" s="63">
        <f>VALUE(點數BO!I6)</f>
        <v>0</v>
      </c>
      <c r="P92" s="63">
        <f>VALUE(點數BO!J6)</f>
        <v>7</v>
      </c>
      <c r="Q92" s="63">
        <f>VALUE(點數BO!K6)</f>
        <v>9</v>
      </c>
      <c r="R92" s="63">
        <f>VALUE(點數BO!L6)</f>
        <v>0</v>
      </c>
      <c r="S92" s="63">
        <f>VALUE(點數BO!M6)</f>
        <v>18</v>
      </c>
      <c r="T92" s="63">
        <f>VALUE(點數BO!N6)</f>
        <v>0</v>
      </c>
      <c r="U92" s="63">
        <f>VALUE(點數BO!O6)</f>
        <v>17</v>
      </c>
      <c r="V92" s="63">
        <f>VALUE(點數BO!P6)</f>
        <v>9</v>
      </c>
      <c r="W92" s="63">
        <f>VALUE(點數BO!Q6)</f>
        <v>6</v>
      </c>
      <c r="X92" s="63">
        <f>VALUE(點數BO!R6)</f>
        <v>8</v>
      </c>
      <c r="Y92" s="63">
        <f>VALUE(點數BO!S6)</f>
        <v>7</v>
      </c>
      <c r="Z92" s="63">
        <f>VALUE(點數BO!T6)</f>
        <v>1</v>
      </c>
      <c r="AA92" s="63">
        <f>VALUE(點數BO!U6)</f>
        <v>0</v>
      </c>
      <c r="AB92" s="63">
        <f>VALUE(點數BO!V6)</f>
        <v>17</v>
      </c>
      <c r="AC92" s="63">
        <f>VALUE(點數BO!W6)</f>
        <v>4</v>
      </c>
      <c r="AD92" s="63">
        <f>VALUE(點數BO!X6)</f>
        <v>13</v>
      </c>
      <c r="AE92" s="63">
        <f>VALUE(點數BO!Y6)</f>
        <v>7</v>
      </c>
      <c r="AF92" s="63">
        <f>VALUE(點數BO!Z6)</f>
        <v>0</v>
      </c>
      <c r="AG92" s="63">
        <f>VALUE(點數BO!AA6)</f>
        <v>0</v>
      </c>
      <c r="AH92" s="63">
        <f>VALUE(點數BO!AB6)</f>
        <v>0</v>
      </c>
      <c r="AI92" s="63">
        <f>VALUE(點數BO!AC6)</f>
        <v>36</v>
      </c>
      <c r="AJ92" s="63">
        <f>VALUE(點數BO!AD6)</f>
        <v>16</v>
      </c>
      <c r="AK92" s="63">
        <f>VALUE(點數BO!AE6)</f>
        <v>12</v>
      </c>
      <c r="AL92" s="63">
        <f>VALUE(點數BO!AF6)</f>
        <v>17</v>
      </c>
      <c r="AM92" s="63">
        <f>VALUE(點數BO!AG6)</f>
        <v>13</v>
      </c>
      <c r="AN92" s="517">
        <f>VALUE(點數BO!AH6)</f>
        <v>265</v>
      </c>
    </row>
    <row r="93" spans="1:41" s="35" customFormat="1" ht="21.95" customHeight="1">
      <c r="A93" s="572" t="s">
        <v>56</v>
      </c>
      <c r="B93" s="573"/>
      <c r="C93" s="573"/>
      <c r="D93" s="314">
        <f>HLOOKUP(MONTH(日期!$C$2),去年月推移!$D$1:$O$200,149,TRUE)</f>
        <v>692</v>
      </c>
      <c r="E93" s="64" t="s">
        <v>45</v>
      </c>
      <c r="F93" s="64" t="s">
        <v>45</v>
      </c>
      <c r="G93" s="562">
        <f>當年月推移!P151</f>
        <v>683</v>
      </c>
      <c r="H93" s="563"/>
      <c r="I93" s="63">
        <f>VALUE(點數BO!C20)</f>
        <v>20</v>
      </c>
      <c r="J93" s="63">
        <f>VALUE(點數BO!D20)</f>
        <v>33</v>
      </c>
      <c r="K93" s="63">
        <f>VALUE(點數BO!E20)</f>
        <v>32</v>
      </c>
      <c r="L93" s="63">
        <f>VALUE(點數BO!F20)</f>
        <v>27</v>
      </c>
      <c r="M93" s="63">
        <f>VALUE(點數BO!G20)</f>
        <v>0</v>
      </c>
      <c r="N93" s="63">
        <f>VALUE(點數BO!H20)</f>
        <v>0</v>
      </c>
      <c r="O93" s="63">
        <f>VALUE(點數BO!I20)</f>
        <v>0</v>
      </c>
      <c r="P93" s="63">
        <f>VALUE(點數BO!J20)</f>
        <v>32</v>
      </c>
      <c r="Q93" s="63">
        <f>VALUE(點數BO!K20)</f>
        <v>44</v>
      </c>
      <c r="R93" s="63">
        <f>VALUE(點數BO!L20)</f>
        <v>0</v>
      </c>
      <c r="S93" s="63">
        <f>VALUE(點數BO!M20)</f>
        <v>37</v>
      </c>
      <c r="T93" s="63">
        <f>VALUE(點數BO!N20)</f>
        <v>0</v>
      </c>
      <c r="U93" s="63">
        <f>VALUE(點數BO!O20)</f>
        <v>42</v>
      </c>
      <c r="V93" s="63">
        <f>VALUE(點數BO!P20)</f>
        <v>53</v>
      </c>
      <c r="W93" s="63">
        <f>VALUE(點數BO!Q20)</f>
        <v>41</v>
      </c>
      <c r="X93" s="63">
        <f>VALUE(點數BO!R20)</f>
        <v>45</v>
      </c>
      <c r="Y93" s="63">
        <f>VALUE(點數BO!S20)</f>
        <v>21</v>
      </c>
      <c r="Z93" s="63">
        <f>VALUE(點數BO!T20)</f>
        <v>17</v>
      </c>
      <c r="AA93" s="63">
        <f>VALUE(點數BO!U20)</f>
        <v>0</v>
      </c>
      <c r="AB93" s="63">
        <f>VALUE(點數BO!V20)</f>
        <v>32</v>
      </c>
      <c r="AC93" s="63">
        <f>VALUE(點數BO!W20)</f>
        <v>25</v>
      </c>
      <c r="AD93" s="63">
        <f>VALUE(點數BO!X20)</f>
        <v>23</v>
      </c>
      <c r="AE93" s="63">
        <f>VALUE(點數BO!Y20)</f>
        <v>52</v>
      </c>
      <c r="AF93" s="63">
        <f>VALUE(點數BO!Z20)</f>
        <v>0</v>
      </c>
      <c r="AG93" s="63">
        <f>VALUE(點數BO!AA20)</f>
        <v>0</v>
      </c>
      <c r="AH93" s="63">
        <f>VALUE(點數BO!AB20)</f>
        <v>0</v>
      </c>
      <c r="AI93" s="63">
        <f>VALUE(點數BO!AC20)</f>
        <v>78</v>
      </c>
      <c r="AJ93" s="63">
        <f>VALUE(點數BO!AD20)</f>
        <v>22</v>
      </c>
      <c r="AK93" s="63">
        <f>VALUE(點數BO!AE20)</f>
        <v>29</v>
      </c>
      <c r="AL93" s="63">
        <f>VALUE(點數BO!AF20)</f>
        <v>37</v>
      </c>
      <c r="AM93" s="63">
        <f>VALUE(點數BO!AG20)</f>
        <v>24</v>
      </c>
      <c r="AN93" s="517">
        <f>VALUE(點數BO!AH20)</f>
        <v>831</v>
      </c>
    </row>
    <row r="94" spans="1:41" s="35" customFormat="1" ht="21.95" customHeight="1">
      <c r="A94" s="572" t="s">
        <v>16</v>
      </c>
      <c r="B94" s="573"/>
      <c r="C94" s="573"/>
      <c r="D94" s="314">
        <f>HLOOKUP(MONTH(日期!$C$2),去年月推移!$D$1:$O$200,150,TRUE)</f>
        <v>114</v>
      </c>
      <c r="E94" s="64" t="s">
        <v>45</v>
      </c>
      <c r="F94" s="64" t="s">
        <v>45</v>
      </c>
      <c r="G94" s="562">
        <f>當年月推移!P152</f>
        <v>185</v>
      </c>
      <c r="H94" s="563"/>
      <c r="I94" s="63">
        <f>VALUE(點數BO!C8)</f>
        <v>4</v>
      </c>
      <c r="J94" s="63">
        <f>VALUE(點數BO!D8)</f>
        <v>2</v>
      </c>
      <c r="K94" s="63">
        <f>VALUE(點數BO!E8)</f>
        <v>1</v>
      </c>
      <c r="L94" s="63">
        <f>VALUE(點數BO!F8)</f>
        <v>2</v>
      </c>
      <c r="M94" s="63">
        <f>VALUE(點數BO!G8)</f>
        <v>0</v>
      </c>
      <c r="N94" s="63">
        <f>VALUE(點數BO!H8)</f>
        <v>0</v>
      </c>
      <c r="O94" s="63">
        <f>VALUE(點數BO!I8)</f>
        <v>0</v>
      </c>
      <c r="P94" s="63">
        <f>VALUE(點數BO!J8)</f>
        <v>24</v>
      </c>
      <c r="Q94" s="63">
        <f>VALUE(點數BO!K8)</f>
        <v>20</v>
      </c>
      <c r="R94" s="63">
        <f>VALUE(點數BO!L8)</f>
        <v>0</v>
      </c>
      <c r="S94" s="63">
        <f>VALUE(點數BO!M8)</f>
        <v>9</v>
      </c>
      <c r="T94" s="63">
        <f>VALUE(點數BO!N8)</f>
        <v>0</v>
      </c>
      <c r="U94" s="63">
        <f>VALUE(點數BO!O8)</f>
        <v>9</v>
      </c>
      <c r="V94" s="63">
        <f>VALUE(點數BO!P8)</f>
        <v>8</v>
      </c>
      <c r="W94" s="63">
        <f>VALUE(點數BO!Q8)</f>
        <v>4</v>
      </c>
      <c r="X94" s="63">
        <f>VALUE(點數BO!R8)</f>
        <v>2</v>
      </c>
      <c r="Y94" s="63">
        <f>VALUE(點數BO!S8)</f>
        <v>2</v>
      </c>
      <c r="Z94" s="63">
        <f>VALUE(點數BO!T8)</f>
        <v>22</v>
      </c>
      <c r="AA94" s="63">
        <f>VALUE(點數BO!U8)</f>
        <v>0</v>
      </c>
      <c r="AB94" s="63">
        <f>VALUE(點數BO!V8)</f>
        <v>19</v>
      </c>
      <c r="AC94" s="63">
        <f>VALUE(點數BO!W8)</f>
        <v>28</v>
      </c>
      <c r="AD94" s="63">
        <f>VALUE(點數BO!X8)</f>
        <v>12</v>
      </c>
      <c r="AE94" s="63">
        <f>VALUE(點數BO!Y8)</f>
        <v>15</v>
      </c>
      <c r="AF94" s="63">
        <f>VALUE(點數BO!Z8)</f>
        <v>0</v>
      </c>
      <c r="AG94" s="63">
        <f>VALUE(點數BO!AA8)</f>
        <v>0</v>
      </c>
      <c r="AH94" s="63">
        <f>VALUE(點數BO!AB8)</f>
        <v>0</v>
      </c>
      <c r="AI94" s="63">
        <f>VALUE(點數BO!AC8)</f>
        <v>46</v>
      </c>
      <c r="AJ94" s="63">
        <f>VALUE(點數BO!AD8)</f>
        <v>6</v>
      </c>
      <c r="AK94" s="63">
        <f>VALUE(點數BO!AE8)</f>
        <v>13</v>
      </c>
      <c r="AL94" s="63">
        <f>VALUE(點數BO!AF8)</f>
        <v>4</v>
      </c>
      <c r="AM94" s="63">
        <f>VALUE(點數BO!AG8)</f>
        <v>2</v>
      </c>
      <c r="AN94" s="517">
        <f>VALUE(點數BO!AH8)</f>
        <v>309</v>
      </c>
    </row>
    <row r="95" spans="1:41" s="35" customFormat="1" ht="21.95" customHeight="1">
      <c r="A95" s="581" t="s">
        <v>17</v>
      </c>
      <c r="B95" s="582"/>
      <c r="C95" s="582"/>
      <c r="D95" s="314">
        <f>HLOOKUP(MONTH(日期!$C$2),去年月推移!$D$1:$O$200,151,TRUE)</f>
        <v>24</v>
      </c>
      <c r="E95" s="65" t="s">
        <v>45</v>
      </c>
      <c r="F95" s="65" t="s">
        <v>45</v>
      </c>
      <c r="G95" s="562">
        <f>當年月推移!P153</f>
        <v>14</v>
      </c>
      <c r="H95" s="563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1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2</v>
      </c>
      <c r="Q95" s="63">
        <f>VALUE(點數BO!K9)</f>
        <v>0</v>
      </c>
      <c r="R95" s="63">
        <f>VALUE(點數BO!L9)</f>
        <v>0</v>
      </c>
      <c r="S95" s="63">
        <f>VALUE(點數BO!M9)</f>
        <v>1</v>
      </c>
      <c r="T95" s="63">
        <f>VALUE(點數BO!N9)</f>
        <v>0</v>
      </c>
      <c r="U95" s="63">
        <f>VALUE(點數BO!O9)</f>
        <v>0</v>
      </c>
      <c r="V95" s="63">
        <f>VALUE(點數BO!P9)</f>
        <v>3</v>
      </c>
      <c r="W95" s="63">
        <f>VALUE(點數BO!Q9)</f>
        <v>5</v>
      </c>
      <c r="X95" s="63">
        <f>VALUE(點數BO!R9)</f>
        <v>2</v>
      </c>
      <c r="Y95" s="63">
        <f>VALUE(點數BO!S9)</f>
        <v>0</v>
      </c>
      <c r="Z95" s="63">
        <f>VALUE(點數BO!T9)</f>
        <v>1</v>
      </c>
      <c r="AA95" s="63">
        <f>VALUE(點數BO!U9)</f>
        <v>0</v>
      </c>
      <c r="AB95" s="63">
        <f>VALUE(點數BO!V9)</f>
        <v>3</v>
      </c>
      <c r="AC95" s="63">
        <f>VALUE(點數BO!W9)</f>
        <v>1</v>
      </c>
      <c r="AD95" s="63">
        <f>VALUE(點數BO!X9)</f>
        <v>0</v>
      </c>
      <c r="AE95" s="63">
        <f>VALUE(點數BO!Y9)</f>
        <v>1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517">
        <f>VALUE(點數BO!AH9)</f>
        <v>22</v>
      </c>
    </row>
    <row r="96" spans="1:41" s="35" customFormat="1" ht="21.95" customHeight="1">
      <c r="A96" s="583" t="s">
        <v>49</v>
      </c>
      <c r="B96" s="584"/>
      <c r="C96" s="585"/>
      <c r="D96" s="321">
        <f>HLOOKUP(MONTH(日期!$C$2),去年月推移!$D$1:$O$200,152,TRUE)</f>
        <v>7755</v>
      </c>
      <c r="E96" s="248"/>
      <c r="F96" s="248"/>
      <c r="G96" s="577">
        <f>當年月推移!P154</f>
        <v>6237</v>
      </c>
      <c r="H96" s="578"/>
      <c r="I96" s="249">
        <f>SUM(I89:I95)</f>
        <v>303</v>
      </c>
      <c r="J96" s="249">
        <f>SUM(J89:J95)</f>
        <v>322</v>
      </c>
      <c r="K96" s="249">
        <f>SUM(K89:K95)</f>
        <v>253</v>
      </c>
      <c r="L96" s="249">
        <f t="shared" ref="L96:AN96" si="11">SUM(L89:L95)</f>
        <v>197</v>
      </c>
      <c r="M96" s="249">
        <f t="shared" si="11"/>
        <v>0</v>
      </c>
      <c r="N96" s="249">
        <f t="shared" si="11"/>
        <v>0</v>
      </c>
      <c r="O96" s="249">
        <f t="shared" si="11"/>
        <v>0</v>
      </c>
      <c r="P96" s="249">
        <f t="shared" si="11"/>
        <v>326</v>
      </c>
      <c r="Q96" s="249">
        <f t="shared" si="11"/>
        <v>326</v>
      </c>
      <c r="R96" s="249">
        <f t="shared" si="11"/>
        <v>0</v>
      </c>
      <c r="S96" s="249">
        <f t="shared" si="11"/>
        <v>222</v>
      </c>
      <c r="T96" s="249">
        <f t="shared" si="11"/>
        <v>0</v>
      </c>
      <c r="U96" s="249">
        <f t="shared" si="11"/>
        <v>361</v>
      </c>
      <c r="V96" s="249">
        <f t="shared" si="11"/>
        <v>337</v>
      </c>
      <c r="W96" s="249">
        <f t="shared" si="11"/>
        <v>349</v>
      </c>
      <c r="X96" s="249">
        <f t="shared" si="11"/>
        <v>298</v>
      </c>
      <c r="Y96" s="249">
        <f t="shared" si="11"/>
        <v>265</v>
      </c>
      <c r="Z96" s="249">
        <f t="shared" si="11"/>
        <v>198</v>
      </c>
      <c r="AA96" s="249">
        <f t="shared" si="11"/>
        <v>0</v>
      </c>
      <c r="AB96" s="249">
        <f t="shared" si="11"/>
        <v>329</v>
      </c>
      <c r="AC96" s="249">
        <f t="shared" si="11"/>
        <v>321</v>
      </c>
      <c r="AD96" s="249">
        <f t="shared" si="11"/>
        <v>280</v>
      </c>
      <c r="AE96" s="249">
        <f t="shared" si="11"/>
        <v>357</v>
      </c>
      <c r="AF96" s="249">
        <f t="shared" si="11"/>
        <v>0</v>
      </c>
      <c r="AG96" s="249">
        <f t="shared" si="11"/>
        <v>0</v>
      </c>
      <c r="AH96" s="249">
        <f t="shared" si="11"/>
        <v>0</v>
      </c>
      <c r="AI96" s="249">
        <f t="shared" si="11"/>
        <v>521</v>
      </c>
      <c r="AJ96" s="249">
        <f t="shared" si="11"/>
        <v>305</v>
      </c>
      <c r="AK96" s="249">
        <f t="shared" si="11"/>
        <v>309</v>
      </c>
      <c r="AL96" s="249">
        <f t="shared" si="11"/>
        <v>296</v>
      </c>
      <c r="AM96" s="249">
        <f t="shared" si="11"/>
        <v>234</v>
      </c>
      <c r="AN96" s="250">
        <f t="shared" si="11"/>
        <v>7121</v>
      </c>
    </row>
    <row r="97" spans="1:41" s="35" customFormat="1" ht="21.95" customHeight="1">
      <c r="A97" s="572" t="s">
        <v>23</v>
      </c>
      <c r="B97" s="573"/>
      <c r="C97" s="573"/>
      <c r="D97" s="316">
        <f>HLOOKUP(MONTH(日期!$C$2),去年月推移!$D$1:$O$200,153,TRUE)</f>
        <v>1400</v>
      </c>
      <c r="E97" s="64" t="s">
        <v>45</v>
      </c>
      <c r="F97" s="64" t="s">
        <v>45</v>
      </c>
      <c r="G97" s="562">
        <f>當年月推移!P155</f>
        <v>778</v>
      </c>
      <c r="H97" s="563"/>
      <c r="I97" s="63">
        <f>VALUE(點數BO!C3)</f>
        <v>35</v>
      </c>
      <c r="J97" s="63">
        <f>VALUE(點數BO!D3)</f>
        <v>29</v>
      </c>
      <c r="K97" s="63">
        <f>VALUE(點數BO!E3)</f>
        <v>37</v>
      </c>
      <c r="L97" s="63">
        <f>VALUE(點數BO!F3)</f>
        <v>27</v>
      </c>
      <c r="M97" s="63">
        <f>VALUE(點數BO!G3)</f>
        <v>0</v>
      </c>
      <c r="N97" s="63">
        <f>VALUE(點數BO!H3)</f>
        <v>0</v>
      </c>
      <c r="O97" s="63">
        <f>VALUE(點數BO!I3)</f>
        <v>0</v>
      </c>
      <c r="P97" s="63">
        <f>VALUE(點數BO!J3)</f>
        <v>27</v>
      </c>
      <c r="Q97" s="63">
        <f>VALUE(點數BO!K3)</f>
        <v>34</v>
      </c>
      <c r="R97" s="63">
        <f>VALUE(點數BO!L3)</f>
        <v>0</v>
      </c>
      <c r="S97" s="63">
        <f>VALUE(點數BO!M3)</f>
        <v>22</v>
      </c>
      <c r="T97" s="63">
        <f>VALUE(點數BO!N3)</f>
        <v>0</v>
      </c>
      <c r="U97" s="63">
        <f>VALUE(點數BO!O3)</f>
        <v>32</v>
      </c>
      <c r="V97" s="63">
        <f>VALUE(點數BO!P3)</f>
        <v>54</v>
      </c>
      <c r="W97" s="63">
        <f>VALUE(點數BO!Q3)</f>
        <v>39</v>
      </c>
      <c r="X97" s="63">
        <f>VALUE(點數BO!R3)</f>
        <v>16</v>
      </c>
      <c r="Y97" s="63">
        <f>VALUE(點數BO!S3)</f>
        <v>42</v>
      </c>
      <c r="Z97" s="63">
        <f>VALUE(點數BO!T3)</f>
        <v>10</v>
      </c>
      <c r="AA97" s="63">
        <f>VALUE(點數BO!U3)</f>
        <v>0</v>
      </c>
      <c r="AB97" s="63">
        <f>VALUE(點數BO!V3)</f>
        <v>32</v>
      </c>
      <c r="AC97" s="63">
        <f>VALUE(點數BO!W3)</f>
        <v>37</v>
      </c>
      <c r="AD97" s="63">
        <f>VALUE(點數BO!X3)</f>
        <v>33</v>
      </c>
      <c r="AE97" s="63">
        <f>VALUE(點數BO!Y3)</f>
        <v>38</v>
      </c>
      <c r="AF97" s="63">
        <f>VALUE(點數BO!Z3)</f>
        <v>0</v>
      </c>
      <c r="AG97" s="63">
        <f>VALUE(點數BO!AA3)</f>
        <v>0</v>
      </c>
      <c r="AH97" s="63">
        <f>VALUE(點數BO!AB3)</f>
        <v>0</v>
      </c>
      <c r="AI97" s="63">
        <f>VALUE(點數BO!AC3)</f>
        <v>81</v>
      </c>
      <c r="AJ97" s="63">
        <f>VALUE(點數BO!AD3)</f>
        <v>66</v>
      </c>
      <c r="AK97" s="63">
        <f>VALUE(點數BO!AE3)</f>
        <v>36</v>
      </c>
      <c r="AL97" s="63">
        <f>VALUE(點數BO!AF3)</f>
        <v>46</v>
      </c>
      <c r="AM97" s="63">
        <f>VALUE(點數BO!AG3)</f>
        <v>35</v>
      </c>
      <c r="AN97" s="517">
        <f>VALUE(點數BO!AH3)</f>
        <v>834</v>
      </c>
    </row>
    <row r="98" spans="1:41" s="35" customFormat="1" ht="21.95" customHeight="1">
      <c r="A98" s="574" t="s">
        <v>24</v>
      </c>
      <c r="B98" s="575"/>
      <c r="C98" s="576"/>
      <c r="D98" s="314">
        <f>HLOOKUP(MONTH(日期!$C$2),去年月推移!$D$1:$O$200,154,TRUE)</f>
        <v>1</v>
      </c>
      <c r="E98" s="65"/>
      <c r="F98" s="65"/>
      <c r="G98" s="562">
        <f>當年月推移!P156</f>
        <v>3</v>
      </c>
      <c r="H98" s="563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517">
        <f>VALUE(點數BO!AH10)</f>
        <v>0</v>
      </c>
    </row>
    <row r="99" spans="1:41" s="35" customFormat="1" ht="21.95" customHeight="1">
      <c r="A99" s="574" t="s">
        <v>25</v>
      </c>
      <c r="B99" s="575"/>
      <c r="C99" s="576"/>
      <c r="D99" s="314">
        <f>HLOOKUP(MONTH(日期!$C$2),去年月推移!$D$1:$O$200,155,TRUE)</f>
        <v>67</v>
      </c>
      <c r="E99" s="65"/>
      <c r="F99" s="65"/>
      <c r="G99" s="562">
        <f>當年月推移!P157</f>
        <v>27</v>
      </c>
      <c r="H99" s="563"/>
      <c r="I99" s="63">
        <f>VALUE(點數BO!C11)</f>
        <v>1</v>
      </c>
      <c r="J99" s="63">
        <f>VALUE(點數BO!D11)</f>
        <v>0</v>
      </c>
      <c r="K99" s="63">
        <f>VALUE(點數BO!E11)</f>
        <v>0</v>
      </c>
      <c r="L99" s="63">
        <f>VALUE(點數BO!F11)</f>
        <v>0</v>
      </c>
      <c r="M99" s="63">
        <f>VALUE(點數BO!G11)</f>
        <v>0</v>
      </c>
      <c r="N99" s="63">
        <f>VALUE(點數BO!H11)</f>
        <v>0</v>
      </c>
      <c r="O99" s="63">
        <f>VALUE(點數BO!I11)</f>
        <v>0</v>
      </c>
      <c r="P99" s="63">
        <f>VALUE(點數BO!J11)</f>
        <v>0</v>
      </c>
      <c r="Q99" s="63">
        <f>VALUE(點數BO!K11)</f>
        <v>1</v>
      </c>
      <c r="R99" s="63">
        <f>VALUE(點數BO!L11)</f>
        <v>0</v>
      </c>
      <c r="S99" s="63">
        <f>VALUE(點數BO!M11)</f>
        <v>0</v>
      </c>
      <c r="T99" s="63">
        <f>VALUE(點數BO!N11)</f>
        <v>0</v>
      </c>
      <c r="U99" s="63">
        <f>VALUE(點數BO!O11)</f>
        <v>1</v>
      </c>
      <c r="V99" s="63">
        <f>VALUE(點數BO!P11)</f>
        <v>0</v>
      </c>
      <c r="W99" s="63">
        <f>VALUE(點數BO!Q11)</f>
        <v>1</v>
      </c>
      <c r="X99" s="63">
        <f>VALUE(點數BO!R11)</f>
        <v>3</v>
      </c>
      <c r="Y99" s="63">
        <f>VALUE(點數BO!S11)</f>
        <v>0</v>
      </c>
      <c r="Z99" s="63">
        <f>VALUE(點數BO!T11)</f>
        <v>0</v>
      </c>
      <c r="AA99" s="63">
        <f>VALUE(點數BO!U11)</f>
        <v>0</v>
      </c>
      <c r="AB99" s="63">
        <f>VALUE(點數BO!V11)</f>
        <v>9</v>
      </c>
      <c r="AC99" s="63">
        <f>VALUE(點數BO!W11)</f>
        <v>1</v>
      </c>
      <c r="AD99" s="63">
        <f>VALUE(點數BO!X11)</f>
        <v>0</v>
      </c>
      <c r="AE99" s="63">
        <f>VALUE(點數BO!Y11)</f>
        <v>0</v>
      </c>
      <c r="AF99" s="63">
        <f>VALUE(點數BO!Z11)</f>
        <v>0</v>
      </c>
      <c r="AG99" s="63">
        <f>VALUE(點數BO!AA11)</f>
        <v>0</v>
      </c>
      <c r="AH99" s="63">
        <f>VALUE(點數BO!AB11)</f>
        <v>0</v>
      </c>
      <c r="AI99" s="63">
        <f>VALUE(點數BO!AC11)</f>
        <v>0</v>
      </c>
      <c r="AJ99" s="63">
        <f>VALUE(點數BO!AD11)</f>
        <v>1</v>
      </c>
      <c r="AK99" s="63">
        <f>VALUE(點數BO!AE11)</f>
        <v>0</v>
      </c>
      <c r="AL99" s="63">
        <f>VALUE(點數BO!AF11)</f>
        <v>0</v>
      </c>
      <c r="AM99" s="63">
        <f>VALUE(點數BO!AG11)</f>
        <v>4</v>
      </c>
      <c r="AN99" s="517">
        <f>VALUE(點數BO!AH11)</f>
        <v>22</v>
      </c>
    </row>
    <row r="100" spans="1:41" s="35" customFormat="1" ht="21.95" customHeight="1">
      <c r="A100" s="574" t="s">
        <v>26</v>
      </c>
      <c r="B100" s="575"/>
      <c r="C100" s="576"/>
      <c r="D100" s="314">
        <f>HLOOKUP(MONTH(日期!$C$2),去年月推移!$D$1:$O$200,156,TRUE)</f>
        <v>353</v>
      </c>
      <c r="E100" s="65"/>
      <c r="F100" s="65"/>
      <c r="G100" s="562">
        <f>當年月推移!P158</f>
        <v>298</v>
      </c>
      <c r="H100" s="563"/>
      <c r="I100" s="63">
        <f>VALUE(點數BO!C12)</f>
        <v>19</v>
      </c>
      <c r="J100" s="63">
        <f>VALUE(點數BO!D12)</f>
        <v>12</v>
      </c>
      <c r="K100" s="63">
        <f>VALUE(點數BO!E12)</f>
        <v>17</v>
      </c>
      <c r="L100" s="63">
        <f>VALUE(點數BO!F12)</f>
        <v>11</v>
      </c>
      <c r="M100" s="63">
        <f>VALUE(點數BO!G12)</f>
        <v>0</v>
      </c>
      <c r="N100" s="63">
        <f>VALUE(點數BO!H12)</f>
        <v>0</v>
      </c>
      <c r="O100" s="63">
        <f>VALUE(點數BO!I12)</f>
        <v>0</v>
      </c>
      <c r="P100" s="63">
        <f>VALUE(點數BO!J12)</f>
        <v>12</v>
      </c>
      <c r="Q100" s="63">
        <f>VALUE(點數BO!K12)</f>
        <v>2</v>
      </c>
      <c r="R100" s="63">
        <f>VALUE(點數BO!L12)</f>
        <v>0</v>
      </c>
      <c r="S100" s="63">
        <f>VALUE(點數BO!M12)</f>
        <v>1</v>
      </c>
      <c r="T100" s="63">
        <f>VALUE(點數BO!N12)</f>
        <v>0</v>
      </c>
      <c r="U100" s="63">
        <f>VALUE(點數BO!O12)</f>
        <v>4</v>
      </c>
      <c r="V100" s="63">
        <f>VALUE(點數BO!P12)</f>
        <v>7</v>
      </c>
      <c r="W100" s="63">
        <f>VALUE(點數BO!Q12)</f>
        <v>8</v>
      </c>
      <c r="X100" s="63">
        <f>VALUE(點數BO!R12)</f>
        <v>4</v>
      </c>
      <c r="Y100" s="63">
        <f>VALUE(點數BO!S12)</f>
        <v>8</v>
      </c>
      <c r="Z100" s="63">
        <f>VALUE(點數BO!T12)</f>
        <v>11</v>
      </c>
      <c r="AA100" s="63">
        <f>VALUE(點數BO!U12)</f>
        <v>0</v>
      </c>
      <c r="AB100" s="63">
        <f>VALUE(點數BO!V12)</f>
        <v>16</v>
      </c>
      <c r="AC100" s="63">
        <f>VALUE(點數BO!W12)</f>
        <v>19</v>
      </c>
      <c r="AD100" s="63">
        <f>VALUE(點數BO!X12)</f>
        <v>8</v>
      </c>
      <c r="AE100" s="63">
        <f>VALUE(點數BO!Y12)</f>
        <v>32</v>
      </c>
      <c r="AF100" s="63">
        <f>VALUE(點數BO!Z12)</f>
        <v>0</v>
      </c>
      <c r="AG100" s="63">
        <f>VALUE(點數BO!AA12)</f>
        <v>0</v>
      </c>
      <c r="AH100" s="63">
        <f>VALUE(點數BO!AB12)</f>
        <v>0</v>
      </c>
      <c r="AI100" s="63">
        <f>VALUE(點數BO!AC12)</f>
        <v>27</v>
      </c>
      <c r="AJ100" s="63">
        <f>VALUE(點數BO!AD12)</f>
        <v>9</v>
      </c>
      <c r="AK100" s="63">
        <f>VALUE(點數BO!AE12)</f>
        <v>16</v>
      </c>
      <c r="AL100" s="63">
        <f>VALUE(點數BO!AF12)</f>
        <v>9</v>
      </c>
      <c r="AM100" s="63">
        <f>VALUE(點數BO!AG12)</f>
        <v>6</v>
      </c>
      <c r="AN100" s="517">
        <f>VALUE(點數BO!AH12)</f>
        <v>273</v>
      </c>
    </row>
    <row r="101" spans="1:41" s="35" customFormat="1" ht="21.95" customHeight="1">
      <c r="A101" s="574" t="s">
        <v>27</v>
      </c>
      <c r="B101" s="575"/>
      <c r="C101" s="576"/>
      <c r="D101" s="314">
        <f>HLOOKUP(MONTH(日期!$C$2),去年月推移!$D$1:$O$200,157,TRUE)</f>
        <v>35</v>
      </c>
      <c r="E101" s="65" t="s">
        <v>45</v>
      </c>
      <c r="F101" s="65" t="s">
        <v>45</v>
      </c>
      <c r="G101" s="562">
        <f>當年月推移!P159</f>
        <v>99</v>
      </c>
      <c r="H101" s="563"/>
      <c r="I101" s="63">
        <f>VALUE(點數BO!C13)</f>
        <v>4</v>
      </c>
      <c r="J101" s="63">
        <f>VALUE(點數BO!D13)</f>
        <v>9</v>
      </c>
      <c r="K101" s="63">
        <f>VALUE(點數BO!E13)</f>
        <v>8</v>
      </c>
      <c r="L101" s="63">
        <f>VALUE(點數BO!F13)</f>
        <v>5</v>
      </c>
      <c r="M101" s="63">
        <f>VALUE(點數BO!G13)</f>
        <v>0</v>
      </c>
      <c r="N101" s="63">
        <f>VALUE(點數BO!H13)</f>
        <v>0</v>
      </c>
      <c r="O101" s="63">
        <f>VALUE(點數BO!I13)</f>
        <v>0</v>
      </c>
      <c r="P101" s="63">
        <f>VALUE(點數BO!J13)</f>
        <v>4</v>
      </c>
      <c r="Q101" s="63">
        <f>VALUE(點數BO!K13)</f>
        <v>1</v>
      </c>
      <c r="R101" s="63">
        <f>VALUE(點數BO!L13)</f>
        <v>0</v>
      </c>
      <c r="S101" s="63">
        <f>VALUE(點數BO!M13)</f>
        <v>0</v>
      </c>
      <c r="T101" s="63">
        <f>VALUE(點數BO!N13)</f>
        <v>0</v>
      </c>
      <c r="U101" s="63">
        <f>VALUE(點數BO!O13)</f>
        <v>1</v>
      </c>
      <c r="V101" s="63">
        <f>VALUE(點數BO!P13)</f>
        <v>0</v>
      </c>
      <c r="W101" s="63">
        <f>VALUE(點數BO!Q13)</f>
        <v>1</v>
      </c>
      <c r="X101" s="63">
        <f>VALUE(點數BO!R13)</f>
        <v>0</v>
      </c>
      <c r="Y101" s="63">
        <f>VALUE(點數BO!S13)</f>
        <v>1</v>
      </c>
      <c r="Z101" s="63">
        <f>VALUE(點數BO!T13)</f>
        <v>2</v>
      </c>
      <c r="AA101" s="63">
        <f>VALUE(點數BO!U13)</f>
        <v>0</v>
      </c>
      <c r="AB101" s="63">
        <f>VALUE(點數BO!V13)</f>
        <v>1</v>
      </c>
      <c r="AC101" s="63">
        <f>VALUE(點數BO!W13)</f>
        <v>1</v>
      </c>
      <c r="AD101" s="63">
        <f>VALUE(點數BO!X13)</f>
        <v>0</v>
      </c>
      <c r="AE101" s="63">
        <f>VALUE(點數BO!Y13)</f>
        <v>1</v>
      </c>
      <c r="AF101" s="63">
        <f>VALUE(點數BO!Z13)</f>
        <v>0</v>
      </c>
      <c r="AG101" s="63">
        <f>VALUE(點數BO!AA13)</f>
        <v>0</v>
      </c>
      <c r="AH101" s="63">
        <f>VALUE(點數BO!AB13)</f>
        <v>0</v>
      </c>
      <c r="AI101" s="63">
        <f>VALUE(點數BO!AC13)</f>
        <v>1</v>
      </c>
      <c r="AJ101" s="63">
        <f>VALUE(點數BO!AD13)</f>
        <v>1</v>
      </c>
      <c r="AK101" s="63">
        <f>VALUE(點數BO!AE13)</f>
        <v>1</v>
      </c>
      <c r="AL101" s="63">
        <f>VALUE(點數BO!AF13)</f>
        <v>1</v>
      </c>
      <c r="AM101" s="63">
        <f>VALUE(點數BO!AG13)</f>
        <v>1</v>
      </c>
      <c r="AN101" s="517">
        <f>VALUE(點數BO!AH13)</f>
        <v>56</v>
      </c>
    </row>
    <row r="102" spans="1:41" s="35" customFormat="1" ht="21.95" customHeight="1">
      <c r="A102" s="574" t="s">
        <v>28</v>
      </c>
      <c r="B102" s="575"/>
      <c r="C102" s="576"/>
      <c r="D102" s="315">
        <f>HLOOKUP(MONTH(日期!$C$2),去年月推移!$D$1:$O$200,158,TRUE)</f>
        <v>1</v>
      </c>
      <c r="E102" s="65"/>
      <c r="F102" s="65"/>
      <c r="G102" s="562">
        <f>當年月推移!P160</f>
        <v>1</v>
      </c>
      <c r="H102" s="563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1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517">
        <f>VALUE(點數BO!AH14)</f>
        <v>1</v>
      </c>
    </row>
    <row r="103" spans="1:41" s="67" customFormat="1" ht="21.95" customHeight="1" thickBot="1">
      <c r="A103" s="579" t="s">
        <v>50</v>
      </c>
      <c r="B103" s="580"/>
      <c r="C103" s="580"/>
      <c r="D103" s="66">
        <f>HLOOKUP(MONTH(日期!$C$2),去年月推移!$D$1:$O$200,159,TRUE)</f>
        <v>1857</v>
      </c>
      <c r="E103" s="66" t="s">
        <v>45</v>
      </c>
      <c r="F103" s="66" t="s">
        <v>45</v>
      </c>
      <c r="G103" s="564">
        <f>當年月推移!P161</f>
        <v>1206</v>
      </c>
      <c r="H103" s="565"/>
      <c r="I103" s="66">
        <f>SUM(I97:I102)</f>
        <v>59</v>
      </c>
      <c r="J103" s="66">
        <f>SUM(J97:J102)</f>
        <v>50</v>
      </c>
      <c r="K103" s="66">
        <f t="shared" ref="K103:AN103" si="12">SUM(K97:K102)</f>
        <v>62</v>
      </c>
      <c r="L103" s="66">
        <f t="shared" si="12"/>
        <v>43</v>
      </c>
      <c r="M103" s="66">
        <f t="shared" si="12"/>
        <v>0</v>
      </c>
      <c r="N103" s="66">
        <f t="shared" si="12"/>
        <v>0</v>
      </c>
      <c r="O103" s="66">
        <f t="shared" si="12"/>
        <v>0</v>
      </c>
      <c r="P103" s="66">
        <f t="shared" si="12"/>
        <v>43</v>
      </c>
      <c r="Q103" s="66">
        <f t="shared" si="12"/>
        <v>38</v>
      </c>
      <c r="R103" s="66">
        <f t="shared" si="12"/>
        <v>0</v>
      </c>
      <c r="S103" s="66">
        <f t="shared" si="12"/>
        <v>23</v>
      </c>
      <c r="T103" s="66">
        <f t="shared" si="12"/>
        <v>0</v>
      </c>
      <c r="U103" s="66">
        <f t="shared" si="12"/>
        <v>39</v>
      </c>
      <c r="V103" s="66">
        <f t="shared" si="12"/>
        <v>61</v>
      </c>
      <c r="W103" s="66">
        <f t="shared" si="12"/>
        <v>49</v>
      </c>
      <c r="X103" s="66">
        <f t="shared" si="12"/>
        <v>23</v>
      </c>
      <c r="Y103" s="66">
        <f t="shared" si="12"/>
        <v>51</v>
      </c>
      <c r="Z103" s="66">
        <f t="shared" si="12"/>
        <v>23</v>
      </c>
      <c r="AA103" s="66">
        <f t="shared" si="12"/>
        <v>0</v>
      </c>
      <c r="AB103" s="66">
        <f t="shared" si="12"/>
        <v>58</v>
      </c>
      <c r="AC103" s="66">
        <f t="shared" si="12"/>
        <v>58</v>
      </c>
      <c r="AD103" s="66">
        <f t="shared" si="12"/>
        <v>41</v>
      </c>
      <c r="AE103" s="66">
        <f t="shared" si="12"/>
        <v>71</v>
      </c>
      <c r="AF103" s="66">
        <f t="shared" si="12"/>
        <v>0</v>
      </c>
      <c r="AG103" s="66">
        <f t="shared" si="12"/>
        <v>0</v>
      </c>
      <c r="AH103" s="66">
        <f t="shared" si="12"/>
        <v>0</v>
      </c>
      <c r="AI103" s="66">
        <f t="shared" si="12"/>
        <v>109</v>
      </c>
      <c r="AJ103" s="66">
        <f t="shared" si="12"/>
        <v>77</v>
      </c>
      <c r="AK103" s="66">
        <f t="shared" si="12"/>
        <v>53</v>
      </c>
      <c r="AL103" s="66">
        <f t="shared" si="12"/>
        <v>56</v>
      </c>
      <c r="AM103" s="66">
        <f t="shared" si="12"/>
        <v>46</v>
      </c>
      <c r="AN103" s="218">
        <f t="shared" si="12"/>
        <v>1186</v>
      </c>
      <c r="AO103" s="16">
        <f>SUM(I103:AM103)</f>
        <v>1133</v>
      </c>
    </row>
    <row r="104" spans="1:41" s="67" customFormat="1" ht="21.95" customHeight="1">
      <c r="A104" s="566" t="s">
        <v>31</v>
      </c>
      <c r="B104" s="567"/>
      <c r="C104" s="568"/>
      <c r="D104" s="316">
        <f>HLOOKUP(MONTH(日期!$C$2),去年月推移!$D$1:$O$200,160,TRUE)</f>
        <v>0</v>
      </c>
      <c r="E104" s="273"/>
      <c r="F104" s="273"/>
      <c r="G104" s="560">
        <f>當年月推移!P162</f>
        <v>0</v>
      </c>
      <c r="H104" s="561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518">
        <f>VALUE(點數BO!AH15)</f>
        <v>0</v>
      </c>
      <c r="AO104" s="16"/>
    </row>
    <row r="105" spans="1:41" s="67" customFormat="1" ht="21.95" customHeight="1">
      <c r="A105" s="569" t="s">
        <v>32</v>
      </c>
      <c r="B105" s="570"/>
      <c r="C105" s="571"/>
      <c r="D105" s="316">
        <f>HLOOKUP(MONTH(日期!$C$2),去年月推移!$D$1:$O$200,161,TRUE)</f>
        <v>0</v>
      </c>
      <c r="E105" s="274"/>
      <c r="F105" s="274"/>
      <c r="G105" s="562">
        <f>當年月推移!P163</f>
        <v>0</v>
      </c>
      <c r="H105" s="563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519">
        <f>VALUE(點數BO!AH16)</f>
        <v>0</v>
      </c>
      <c r="AO105" s="16"/>
    </row>
    <row r="106" spans="1:41" s="67" customFormat="1" ht="21.95" customHeight="1">
      <c r="A106" s="569" t="s">
        <v>33</v>
      </c>
      <c r="B106" s="570"/>
      <c r="C106" s="571"/>
      <c r="D106" s="316">
        <f>HLOOKUP(MONTH(日期!$C$2),去年月推移!$D$1:$O$200,162,TRUE)</f>
        <v>0</v>
      </c>
      <c r="E106" s="274"/>
      <c r="F106" s="274"/>
      <c r="G106" s="562">
        <f>當年月推移!P164</f>
        <v>0</v>
      </c>
      <c r="H106" s="563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519">
        <f>VALUE(點數BO!AH17)</f>
        <v>0</v>
      </c>
      <c r="AO106" s="16"/>
    </row>
    <row r="107" spans="1:41" s="67" customFormat="1" ht="21.95" customHeight="1">
      <c r="A107" s="569" t="s">
        <v>34</v>
      </c>
      <c r="B107" s="570"/>
      <c r="C107" s="571"/>
      <c r="D107" s="316">
        <f>HLOOKUP(MONTH(日期!$C$2),去年月推移!$D$1:$O$200,163,TRUE)</f>
        <v>0</v>
      </c>
      <c r="E107" s="274"/>
      <c r="F107" s="274"/>
      <c r="G107" s="562">
        <f>當年月推移!P165</f>
        <v>0</v>
      </c>
      <c r="H107" s="563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519">
        <f>VALUE(點數BO!AH18)</f>
        <v>0</v>
      </c>
      <c r="AO107" s="16"/>
    </row>
    <row r="108" spans="1:41" s="67" customFormat="1" ht="21.95" customHeight="1">
      <c r="A108" s="569" t="s">
        <v>35</v>
      </c>
      <c r="B108" s="570"/>
      <c r="C108" s="571"/>
      <c r="D108" s="316">
        <f>HLOOKUP(MONTH(日期!$C$2),去年月推移!$D$1:$O$200,164,TRUE)</f>
        <v>0</v>
      </c>
      <c r="E108" s="298"/>
      <c r="F108" s="298"/>
      <c r="G108" s="562">
        <f>當年月推移!P166</f>
        <v>0</v>
      </c>
      <c r="H108" s="563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519">
        <f>VALUE(點數BO!AH19)</f>
        <v>0</v>
      </c>
      <c r="AO108" s="16"/>
    </row>
    <row r="109" spans="1:41" s="67" customFormat="1" ht="21.95" customHeight="1" thickBot="1">
      <c r="A109" s="557" t="s">
        <v>30</v>
      </c>
      <c r="B109" s="558"/>
      <c r="C109" s="559"/>
      <c r="D109" s="66">
        <f>HLOOKUP(MONTH(日期!$C$2),去年月推移!$D$1:$O$200,165,TRUE)</f>
        <v>0</v>
      </c>
      <c r="E109" s="66"/>
      <c r="F109" s="66"/>
      <c r="G109" s="564">
        <f>當年月推移!P167</f>
        <v>0</v>
      </c>
      <c r="H109" s="565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zoomScale="70" workbookViewId="0">
      <pane xSplit="3" ySplit="5" topLeftCell="D6" activePane="bottomRight" state="frozen"/>
      <selection pane="bottomRight" activeCell="K79" sqref="K7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74" t="s">
        <v>1</v>
      </c>
      <c r="B4" s="674" t="s">
        <v>67</v>
      </c>
      <c r="C4" s="544" t="str">
        <f>YEAR(日期!C2)&amp;"年"&amp;MONTH(日期!C2)&amp;"月"</f>
        <v>2025年10月</v>
      </c>
      <c r="D4" s="545" t="str">
        <f>日期!C2</f>
        <v>2025/10/01</v>
      </c>
      <c r="E4" s="545" t="str">
        <f>日期!D2</f>
        <v>2025/10/02</v>
      </c>
      <c r="F4" s="545" t="str">
        <f>日期!E2</f>
        <v>2025/10/03</v>
      </c>
      <c r="G4" s="545" t="str">
        <f>日期!F2</f>
        <v>2025/10/04</v>
      </c>
      <c r="H4" s="545" t="str">
        <f>日期!G2</f>
        <v>2025/10/05</v>
      </c>
      <c r="I4" s="545" t="str">
        <f>日期!H2</f>
        <v>2025/10/06</v>
      </c>
      <c r="J4" s="545" t="str">
        <f>日期!I2</f>
        <v>2025/10/07</v>
      </c>
      <c r="K4" s="545" t="str">
        <f>日期!J2</f>
        <v>2025/10/08</v>
      </c>
      <c r="L4" s="545" t="str">
        <f>日期!K2</f>
        <v>2025/10/09</v>
      </c>
      <c r="M4" s="545" t="str">
        <f>日期!L2</f>
        <v>2025/10/10</v>
      </c>
      <c r="N4" s="545" t="str">
        <f>日期!M2</f>
        <v>2025/10/11</v>
      </c>
      <c r="O4" s="545" t="str">
        <f>日期!N2</f>
        <v>2025/10/12</v>
      </c>
      <c r="P4" s="545" t="str">
        <f>日期!O2</f>
        <v>2025/10/13</v>
      </c>
      <c r="Q4" s="545" t="str">
        <f>日期!P2</f>
        <v>2025/10/14</v>
      </c>
      <c r="R4" s="545" t="str">
        <f>日期!Q2</f>
        <v>2025/10/15</v>
      </c>
      <c r="S4" s="545" t="str">
        <f>日期!R2</f>
        <v>2025/10/16</v>
      </c>
      <c r="T4" s="545" t="str">
        <f>日期!S2</f>
        <v>2025/10/17</v>
      </c>
      <c r="U4" s="545" t="str">
        <f>日期!T2</f>
        <v>2025/10/18</v>
      </c>
      <c r="V4" s="545" t="str">
        <f>日期!U2</f>
        <v>2025/10/19</v>
      </c>
      <c r="W4" s="545" t="str">
        <f>日期!V2</f>
        <v>2025/10/20</v>
      </c>
      <c r="X4" s="545" t="str">
        <f>日期!W2</f>
        <v>2025/10/21</v>
      </c>
      <c r="Y4" s="545" t="str">
        <f>日期!X2</f>
        <v>2025/10/22</v>
      </c>
      <c r="Z4" s="545" t="str">
        <f>日期!Y2</f>
        <v>2025/10/23</v>
      </c>
      <c r="AA4" s="545" t="str">
        <f>日期!Z2</f>
        <v>2025/10/24</v>
      </c>
      <c r="AB4" s="545" t="str">
        <f>日期!AA2</f>
        <v>2025/10/25</v>
      </c>
      <c r="AC4" s="545" t="str">
        <f>日期!AB2</f>
        <v>2025/10/26</v>
      </c>
      <c r="AD4" s="545" t="str">
        <f>日期!AC2</f>
        <v>2025/10/27</v>
      </c>
      <c r="AE4" s="545" t="str">
        <f>日期!AD2</f>
        <v>2025/10/28</v>
      </c>
      <c r="AF4" s="545" t="str">
        <f>日期!AE2</f>
        <v>2025/10/29</v>
      </c>
      <c r="AG4" s="545" t="str">
        <f>日期!AF2</f>
        <v>2025/10/30</v>
      </c>
      <c r="AH4" s="545" t="str">
        <f>日期!AG2</f>
        <v>2025/10/31</v>
      </c>
      <c r="AI4" s="674" t="s">
        <v>68</v>
      </c>
      <c r="AJ4" s="674" t="s">
        <v>69</v>
      </c>
      <c r="AK4" s="544" t="str">
        <f>YEAR(日期!C2)&amp;"年"&amp;MONTH(日期!C2)+1&amp;"月"</f>
        <v>2025年11月</v>
      </c>
    </row>
    <row r="5" spans="1:37" s="77" customFormat="1" ht="27" customHeight="1">
      <c r="A5" s="675"/>
      <c r="B5" s="675"/>
      <c r="C5" s="546" t="s">
        <v>70</v>
      </c>
      <c r="D5" s="547" t="str">
        <f>日期!C3</f>
        <v>Wed</v>
      </c>
      <c r="E5" s="547" t="str">
        <f>日期!D3</f>
        <v>Thu</v>
      </c>
      <c r="F5" s="547" t="str">
        <f>日期!E3</f>
        <v>Fri</v>
      </c>
      <c r="G5" s="547" t="str">
        <f>日期!F3</f>
        <v>Sat</v>
      </c>
      <c r="H5" s="547" t="str">
        <f>日期!G3</f>
        <v>Sun</v>
      </c>
      <c r="I5" s="547" t="str">
        <f>日期!H3</f>
        <v>Mon</v>
      </c>
      <c r="J5" s="547" t="str">
        <f>日期!I3</f>
        <v>Tue</v>
      </c>
      <c r="K5" s="547" t="str">
        <f>日期!J3</f>
        <v>Wed</v>
      </c>
      <c r="L5" s="547" t="str">
        <f>日期!K3</f>
        <v>Thu</v>
      </c>
      <c r="M5" s="547" t="str">
        <f>日期!L3</f>
        <v>Fri</v>
      </c>
      <c r="N5" s="547" t="str">
        <f>日期!M3</f>
        <v>Sat</v>
      </c>
      <c r="O5" s="547" t="str">
        <f>日期!N3</f>
        <v>Sun</v>
      </c>
      <c r="P5" s="547" t="str">
        <f>日期!O3</f>
        <v>Mon</v>
      </c>
      <c r="Q5" s="547" t="str">
        <f>日期!P3</f>
        <v>Tue</v>
      </c>
      <c r="R5" s="547" t="str">
        <f>日期!Q3</f>
        <v>Wed</v>
      </c>
      <c r="S5" s="547" t="str">
        <f>日期!R3</f>
        <v>Thu</v>
      </c>
      <c r="T5" s="547" t="str">
        <f>日期!S3</f>
        <v>Fri</v>
      </c>
      <c r="U5" s="547" t="str">
        <f>日期!T3</f>
        <v>Sat</v>
      </c>
      <c r="V5" s="547" t="str">
        <f>日期!U3</f>
        <v>Sun</v>
      </c>
      <c r="W5" s="547" t="str">
        <f>日期!V3</f>
        <v>Mon</v>
      </c>
      <c r="X5" s="547" t="str">
        <f>日期!W3</f>
        <v>Tue</v>
      </c>
      <c r="Y5" s="547" t="str">
        <f>日期!X3</f>
        <v>Wed</v>
      </c>
      <c r="Z5" s="547" t="str">
        <f>日期!Y3</f>
        <v>Thu</v>
      </c>
      <c r="AA5" s="547" t="str">
        <f>日期!Z3</f>
        <v>Fri</v>
      </c>
      <c r="AB5" s="547" t="str">
        <f>日期!AA3</f>
        <v>Sat</v>
      </c>
      <c r="AC5" s="547" t="str">
        <f>日期!AB3</f>
        <v>Sun</v>
      </c>
      <c r="AD5" s="547" t="str">
        <f>日期!AC3</f>
        <v>Mon</v>
      </c>
      <c r="AE5" s="547" t="str">
        <f>日期!AD3</f>
        <v>Tue</v>
      </c>
      <c r="AF5" s="547" t="str">
        <f>日期!AE3</f>
        <v>Wed</v>
      </c>
      <c r="AG5" s="547" t="str">
        <f>日期!AF3</f>
        <v>Thu</v>
      </c>
      <c r="AH5" s="547" t="str">
        <f>日期!AG3</f>
        <v>Fri</v>
      </c>
      <c r="AI5" s="675"/>
      <c r="AJ5" s="675"/>
      <c r="AK5" s="548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128623210.40107656</v>
      </c>
      <c r="D6" s="88">
        <f>VALUE(庫存金額A類!C2)</f>
        <v>130705205</v>
      </c>
      <c r="E6" s="88">
        <f>VALUE(庫存金額A類!D2)</f>
        <v>130696650</v>
      </c>
      <c r="F6" s="88">
        <f>VALUE(庫存金額A類!E2)</f>
        <v>133055571</v>
      </c>
      <c r="G6" s="88">
        <f>VALUE(庫存金額A類!F2)</f>
        <v>130492787</v>
      </c>
      <c r="H6" s="88">
        <f>VALUE(庫存金額A類!G2)</f>
        <v>130495574</v>
      </c>
      <c r="I6" s="88">
        <f>VALUE(庫存金額A類!H2)</f>
        <v>130418555</v>
      </c>
      <c r="J6" s="88">
        <f>VALUE(庫存金額A類!I2)</f>
        <v>131622959</v>
      </c>
      <c r="K6" s="88">
        <f>VALUE(庫存金額A類!J2)</f>
        <v>132652556</v>
      </c>
      <c r="L6" s="88">
        <f>VALUE(庫存金額A類!K2)</f>
        <v>135567352</v>
      </c>
      <c r="M6" s="88">
        <f>VALUE(庫存金額A類!L2)</f>
        <v>135574512</v>
      </c>
      <c r="N6" s="88">
        <f>VALUE(庫存金額A類!M2)</f>
        <v>131944302</v>
      </c>
      <c r="O6" s="88">
        <f>VALUE(庫存金額A類!N2)</f>
        <v>131944302</v>
      </c>
      <c r="P6" s="88">
        <f>VALUE(庫存金額A類!O2)</f>
        <v>130563396</v>
      </c>
      <c r="Q6" s="88">
        <f>VALUE(庫存金額A類!P2)</f>
        <v>131212285</v>
      </c>
      <c r="R6" s="88">
        <f>VALUE(庫存金額A類!Q2)</f>
        <v>131293701</v>
      </c>
      <c r="S6" s="88">
        <f>VALUE(庫存金額A類!R2)</f>
        <v>132371220</v>
      </c>
      <c r="T6" s="88">
        <f>VALUE(庫存金額A類!S2)</f>
        <v>131671382</v>
      </c>
      <c r="U6" s="88">
        <f>VALUE(庫存金額A類!T2)</f>
        <v>128136012</v>
      </c>
      <c r="V6" s="88">
        <f>VALUE(庫存金額A類!U2)</f>
        <v>128130446</v>
      </c>
      <c r="W6" s="88">
        <f>VALUE(庫存金額A類!V2)</f>
        <v>125629638</v>
      </c>
      <c r="X6" s="88">
        <f>VALUE(庫存金額A類!W2)</f>
        <v>129190280</v>
      </c>
      <c r="Y6" s="88">
        <f>VALUE(庫存金額A類!X2)</f>
        <v>129530255</v>
      </c>
      <c r="Z6" s="88">
        <f>VALUE(庫存金額A類!Y2)</f>
        <v>129660799</v>
      </c>
      <c r="AA6" s="88">
        <f>VALUE(庫存金額A類!Z2)</f>
        <v>129660831</v>
      </c>
      <c r="AB6" s="88">
        <f>VALUE(庫存金額A類!AA2)</f>
        <v>129661327</v>
      </c>
      <c r="AC6" s="88">
        <f>VALUE(庫存金額A類!AB2)</f>
        <v>128867653</v>
      </c>
      <c r="AD6" s="88">
        <f>VALUE(庫存金額A類!AC2)</f>
        <v>124978520</v>
      </c>
      <c r="AE6" s="88">
        <f>VALUE(庫存金額A類!AD2)</f>
        <v>123392453</v>
      </c>
      <c r="AF6" s="88">
        <f>VALUE(庫存金額A類!AE2)</f>
        <v>125598243</v>
      </c>
      <c r="AG6" s="88">
        <f>VALUE(庫存金額A類!AF2)</f>
        <v>127425127</v>
      </c>
      <c r="AH6" s="88">
        <f>VALUE(庫存金額A類!AG2)</f>
        <v>125393636</v>
      </c>
      <c r="AI6" s="88">
        <f>VALUE(庫存金額A類!AH2)</f>
        <v>129920565.45</v>
      </c>
      <c r="AJ6" s="549">
        <f>AI6/AI9</f>
        <v>0.4831777624487027</v>
      </c>
      <c r="AK6" s="82">
        <f>HLOOKUP(MONTH(日期!$C$2)+1,A類各進口別庫存金額目標!$B$2:$M$7,4,TRUE)</f>
        <v>138508139.08435953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108875694.72314903</v>
      </c>
      <c r="D7" s="88">
        <f>VALUE(庫存金額A類!C3)</f>
        <v>110288286</v>
      </c>
      <c r="E7" s="88">
        <f>VALUE(庫存金額A類!D3)</f>
        <v>110589584</v>
      </c>
      <c r="F7" s="88">
        <f>VALUE(庫存金額A類!E3)</f>
        <v>110108157</v>
      </c>
      <c r="G7" s="88">
        <f>VALUE(庫存金額A類!F3)</f>
        <v>109765513</v>
      </c>
      <c r="H7" s="88">
        <f>VALUE(庫存金額A類!G3)</f>
        <v>109733795</v>
      </c>
      <c r="I7" s="88">
        <f>VALUE(庫存金額A類!H3)</f>
        <v>109718423</v>
      </c>
      <c r="J7" s="88">
        <f>VALUE(庫存金額A類!I3)</f>
        <v>109327832</v>
      </c>
      <c r="K7" s="88">
        <f>VALUE(庫存金額A類!J3)</f>
        <v>109545557</v>
      </c>
      <c r="L7" s="88">
        <f>VALUE(庫存金額A類!K3)</f>
        <v>109553758</v>
      </c>
      <c r="M7" s="88">
        <f>VALUE(庫存金額A類!L3)</f>
        <v>109554334</v>
      </c>
      <c r="N7" s="88">
        <f>VALUE(庫存金額A類!M3)</f>
        <v>106324414</v>
      </c>
      <c r="O7" s="88">
        <f>VALUE(庫存金額A類!N3)</f>
        <v>106317840</v>
      </c>
      <c r="P7" s="88">
        <f>VALUE(庫存金額A類!O3)</f>
        <v>107362517</v>
      </c>
      <c r="Q7" s="88">
        <f>VALUE(庫存金額A類!P3)</f>
        <v>105132025</v>
      </c>
      <c r="R7" s="88">
        <f>VALUE(庫存金額A類!Q3)</f>
        <v>105199951</v>
      </c>
      <c r="S7" s="88">
        <f>VALUE(庫存金額A類!R3)</f>
        <v>105376398</v>
      </c>
      <c r="T7" s="88">
        <f>VALUE(庫存金額A類!S3)</f>
        <v>105217924</v>
      </c>
      <c r="U7" s="88">
        <f>VALUE(庫存金額A類!T3)</f>
        <v>104397775</v>
      </c>
      <c r="V7" s="88">
        <f>VALUE(庫存金額A類!U3)</f>
        <v>104397718</v>
      </c>
      <c r="W7" s="88">
        <f>VALUE(庫存金額A類!V3)</f>
        <v>105989104</v>
      </c>
      <c r="X7" s="88">
        <f>VALUE(庫存金額A類!W3)</f>
        <v>104355274</v>
      </c>
      <c r="Y7" s="88">
        <f>VALUE(庫存金額A類!X3)</f>
        <v>104656287</v>
      </c>
      <c r="Z7" s="88">
        <f>VALUE(庫存金額A類!Y3)</f>
        <v>106845204</v>
      </c>
      <c r="AA7" s="88">
        <f>VALUE(庫存金額A類!Z3)</f>
        <v>106845204</v>
      </c>
      <c r="AB7" s="88">
        <f>VALUE(庫存金額A類!AA3)</f>
        <v>106845204</v>
      </c>
      <c r="AC7" s="88">
        <f>VALUE(庫存金額A類!AB3)</f>
        <v>105716194</v>
      </c>
      <c r="AD7" s="88">
        <f>VALUE(庫存金額A類!AC3)</f>
        <v>106874309</v>
      </c>
      <c r="AE7" s="88">
        <f>VALUE(庫存金額A類!AD3)</f>
        <v>108217467</v>
      </c>
      <c r="AF7" s="88">
        <f>VALUE(庫存金額A類!AE3)</f>
        <v>108546118</v>
      </c>
      <c r="AG7" s="88">
        <f>VALUE(庫存金額A類!AF3)</f>
        <v>109663022</v>
      </c>
      <c r="AH7" s="88">
        <f>VALUE(庫存金額A類!AG3)</f>
        <v>109168351</v>
      </c>
      <c r="AI7" s="88">
        <f>VALUE(庫存金額A類!AH3)</f>
        <v>107472049.65000001</v>
      </c>
      <c r="AJ7" s="549">
        <f>AI7/AI9</f>
        <v>0.39969118280698557</v>
      </c>
      <c r="AK7" s="82">
        <f>HLOOKUP(MONTH(日期!$C$2)+1,A類各進口別庫存金額目標!$B$2:$M$7,5,TRUE)</f>
        <v>114465465.31422947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34070808.272698186</v>
      </c>
      <c r="D8" s="88">
        <f>VALUE(庫存金額A類!C4)</f>
        <v>34105349</v>
      </c>
      <c r="E8" s="88">
        <f>VALUE(庫存金額A類!D4)</f>
        <v>33641674</v>
      </c>
      <c r="F8" s="88">
        <f>VALUE(庫存金額A類!E4)</f>
        <v>32526056</v>
      </c>
      <c r="G8" s="88">
        <f>VALUE(庫存金額A類!F4)</f>
        <v>31900219</v>
      </c>
      <c r="H8" s="88">
        <f>VALUE(庫存金額A類!G4)</f>
        <v>31900219</v>
      </c>
      <c r="I8" s="88">
        <f>VALUE(庫存金額A類!H4)</f>
        <v>31900219</v>
      </c>
      <c r="J8" s="88">
        <f>VALUE(庫存金額A類!I4)</f>
        <v>30715870</v>
      </c>
      <c r="K8" s="88">
        <f>VALUE(庫存金額A類!J4)</f>
        <v>30942139</v>
      </c>
      <c r="L8" s="88">
        <f>VALUE(庫存金額A類!K4)</f>
        <v>30135846</v>
      </c>
      <c r="M8" s="88">
        <f>VALUE(庫存金額A類!L4)</f>
        <v>30135846</v>
      </c>
      <c r="N8" s="88">
        <f>VALUE(庫存金額A類!M4)</f>
        <v>28824955</v>
      </c>
      <c r="O8" s="88">
        <f>VALUE(庫存金額A類!N4)</f>
        <v>28824955</v>
      </c>
      <c r="P8" s="88">
        <f>VALUE(庫存金額A類!O4)</f>
        <v>31594737</v>
      </c>
      <c r="Q8" s="88">
        <f>VALUE(庫存金額A類!P4)</f>
        <v>32221340</v>
      </c>
      <c r="R8" s="88">
        <f>VALUE(庫存金額A類!Q4)</f>
        <v>32230308</v>
      </c>
      <c r="S8" s="88">
        <f>VALUE(庫存金額A類!R4)</f>
        <v>32193941</v>
      </c>
      <c r="T8" s="88">
        <f>VALUE(庫存金額A類!S4)</f>
        <v>33271968</v>
      </c>
      <c r="U8" s="88">
        <f>VALUE(庫存金額A類!T4)</f>
        <v>31923260</v>
      </c>
      <c r="V8" s="88">
        <f>VALUE(庫存金額A類!U4)</f>
        <v>31923260</v>
      </c>
      <c r="W8" s="88">
        <f>VALUE(庫存金額A類!V4)</f>
        <v>32295336</v>
      </c>
      <c r="X8" s="88">
        <f>VALUE(庫存金額A類!W4)</f>
        <v>31108389</v>
      </c>
      <c r="Y8" s="88">
        <f>VALUE(庫存金額A類!X4)</f>
        <v>29622396</v>
      </c>
      <c r="Z8" s="88">
        <f>VALUE(庫存金額A類!Y4)</f>
        <v>29958132</v>
      </c>
      <c r="AA8" s="88">
        <f>VALUE(庫存金額A類!Z4)</f>
        <v>29958132</v>
      </c>
      <c r="AB8" s="88">
        <f>VALUE(庫存金額A類!AA4)</f>
        <v>29961605</v>
      </c>
      <c r="AC8" s="88">
        <f>VALUE(庫存金額A類!AB4)</f>
        <v>29822305</v>
      </c>
      <c r="AD8" s="88">
        <f>VALUE(庫存金額A類!AC4)</f>
        <v>33462641</v>
      </c>
      <c r="AE8" s="88">
        <f>VALUE(庫存金額A類!AD4)</f>
        <v>33126900</v>
      </c>
      <c r="AF8" s="88">
        <f>VALUE(庫存金額A類!AE4)</f>
        <v>32609110</v>
      </c>
      <c r="AG8" s="88">
        <f>VALUE(庫存金額A類!AF4)</f>
        <v>31892929</v>
      </c>
      <c r="AH8" s="88">
        <f>VALUE(庫存金額A類!AG4)</f>
        <v>31618123</v>
      </c>
      <c r="AI8" s="88">
        <f>VALUE(庫存金額A類!AH4)</f>
        <v>31495101.899999999</v>
      </c>
      <c r="AJ8" s="549">
        <f>AI8/AI9</f>
        <v>0.11713105474431172</v>
      </c>
      <c r="AK8" s="82">
        <f>HLOOKUP(MONTH(日期!$C$2)+1,A類各進口別庫存金額目標!$B$2:$M$7,6,TRUE)</f>
        <v>33717969.978938408</v>
      </c>
    </row>
    <row r="9" spans="1:37" ht="19.5">
      <c r="A9" s="684" t="s">
        <v>73</v>
      </c>
      <c r="B9" s="684"/>
      <c r="C9" s="83">
        <f>SUM(C6:C8)</f>
        <v>271569713.39692378</v>
      </c>
      <c r="D9" s="84">
        <f t="shared" ref="D9:AH9" si="0">SUM(D6:D8)</f>
        <v>275098840</v>
      </c>
      <c r="E9" s="84">
        <f t="shared" si="0"/>
        <v>274927908</v>
      </c>
      <c r="F9" s="84">
        <f t="shared" si="0"/>
        <v>275689784</v>
      </c>
      <c r="G9" s="84">
        <f t="shared" si="0"/>
        <v>272158519</v>
      </c>
      <c r="H9" s="84">
        <f t="shared" si="0"/>
        <v>272129588</v>
      </c>
      <c r="I9" s="84">
        <f t="shared" si="0"/>
        <v>272037197</v>
      </c>
      <c r="J9" s="84">
        <f t="shared" si="0"/>
        <v>271666661</v>
      </c>
      <c r="K9" s="84">
        <f t="shared" si="0"/>
        <v>273140252</v>
      </c>
      <c r="L9" s="84">
        <f t="shared" si="0"/>
        <v>275256956</v>
      </c>
      <c r="M9" s="84">
        <f t="shared" si="0"/>
        <v>275264692</v>
      </c>
      <c r="N9" s="84">
        <f t="shared" si="0"/>
        <v>267093671</v>
      </c>
      <c r="O9" s="84">
        <f t="shared" si="0"/>
        <v>267087097</v>
      </c>
      <c r="P9" s="84">
        <f t="shared" si="0"/>
        <v>269520650</v>
      </c>
      <c r="Q9" s="84">
        <f>SUM(Q6:Q8)</f>
        <v>268565650</v>
      </c>
      <c r="R9" s="84">
        <f t="shared" si="0"/>
        <v>268723960</v>
      </c>
      <c r="S9" s="84">
        <f t="shared" si="0"/>
        <v>269941559</v>
      </c>
      <c r="T9" s="84">
        <f t="shared" si="0"/>
        <v>270161274</v>
      </c>
      <c r="U9" s="84">
        <f t="shared" si="0"/>
        <v>264457047</v>
      </c>
      <c r="V9" s="84">
        <f t="shared" si="0"/>
        <v>264451424</v>
      </c>
      <c r="W9" s="84">
        <f t="shared" si="0"/>
        <v>263914078</v>
      </c>
      <c r="X9" s="84">
        <f t="shared" si="0"/>
        <v>264653943</v>
      </c>
      <c r="Y9" s="84">
        <f t="shared" si="0"/>
        <v>263808938</v>
      </c>
      <c r="Z9" s="84">
        <f t="shared" si="0"/>
        <v>266464135</v>
      </c>
      <c r="AA9" s="84">
        <f t="shared" si="0"/>
        <v>266464167</v>
      </c>
      <c r="AB9" s="84">
        <f>SUM(AB6:AB8)</f>
        <v>266468136</v>
      </c>
      <c r="AC9" s="84">
        <f t="shared" si="0"/>
        <v>264406152</v>
      </c>
      <c r="AD9" s="84">
        <f t="shared" si="0"/>
        <v>265315470</v>
      </c>
      <c r="AE9" s="84">
        <f t="shared" si="0"/>
        <v>264736820</v>
      </c>
      <c r="AF9" s="84">
        <f t="shared" si="0"/>
        <v>266753471</v>
      </c>
      <c r="AG9" s="84">
        <f t="shared" si="0"/>
        <v>268981078</v>
      </c>
      <c r="AH9" s="84">
        <f t="shared" si="0"/>
        <v>266180110</v>
      </c>
      <c r="AI9" s="84">
        <f>SUM(AI6:AI8)</f>
        <v>268887717</v>
      </c>
      <c r="AJ9" s="550">
        <f>AI9/AI$9</f>
        <v>1</v>
      </c>
      <c r="AK9" s="83">
        <f>SUM(AK6:AK8)</f>
        <v>286691574.37752742</v>
      </c>
    </row>
    <row r="10" spans="1:37">
      <c r="AI10" s="98">
        <f>AI9-C9</f>
        <v>-2681996.3969237804</v>
      </c>
    </row>
    <row r="14" spans="1:37" s="77" customFormat="1" ht="18" hidden="1" customHeight="1">
      <c r="A14" s="676" t="s">
        <v>1</v>
      </c>
      <c r="B14" s="678" t="s">
        <v>67</v>
      </c>
      <c r="C14" s="680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82" t="s">
        <v>68</v>
      </c>
      <c r="AJ14" s="672" t="s">
        <v>69</v>
      </c>
    </row>
    <row r="15" spans="1:37" s="77" customFormat="1" ht="18" hidden="1" thickBot="1">
      <c r="A15" s="677"/>
      <c r="B15" s="679"/>
      <c r="C15" s="681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83"/>
      <c r="AJ15" s="673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76" t="s">
        <v>1</v>
      </c>
      <c r="B24" s="678" t="s">
        <v>67</v>
      </c>
      <c r="C24" s="680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82" t="s">
        <v>68</v>
      </c>
      <c r="AJ24" s="672" t="s">
        <v>69</v>
      </c>
    </row>
    <row r="25" spans="1:36" s="77" customFormat="1" ht="18" hidden="1" thickBot="1">
      <c r="A25" s="677"/>
      <c r="B25" s="679"/>
      <c r="C25" s="681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83"/>
      <c r="AJ25" s="673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76" t="s">
        <v>1</v>
      </c>
      <c r="B34" s="678" t="s">
        <v>67</v>
      </c>
      <c r="C34" s="680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77"/>
      <c r="B35" s="679"/>
      <c r="C35" s="681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76" t="s">
        <v>1</v>
      </c>
      <c r="B44" s="678" t="s">
        <v>67</v>
      </c>
      <c r="C44" s="680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77"/>
      <c r="B45" s="679"/>
      <c r="C45" s="681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76" t="s">
        <v>1</v>
      </c>
      <c r="B54" s="678" t="s">
        <v>67</v>
      </c>
      <c r="C54" s="680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77"/>
      <c r="B55" s="679"/>
      <c r="C55" s="681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I24:AI25"/>
    <mergeCell ref="A4:A5"/>
    <mergeCell ref="B4:B5"/>
    <mergeCell ref="A14:A15"/>
    <mergeCell ref="B14:B15"/>
    <mergeCell ref="AI14:AI15"/>
    <mergeCell ref="C14:C15"/>
    <mergeCell ref="A9:B9"/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87" t="s">
        <v>1</v>
      </c>
      <c r="B4" s="689" t="s">
        <v>67</v>
      </c>
      <c r="C4" s="528" t="str">
        <f>日期!C2</f>
        <v>2025/10/01</v>
      </c>
      <c r="D4" s="528" t="str">
        <f>日期!D2</f>
        <v>2025/10/02</v>
      </c>
      <c r="E4" s="528" t="str">
        <f>日期!E2</f>
        <v>2025/10/03</v>
      </c>
      <c r="F4" s="528" t="str">
        <f>日期!F2</f>
        <v>2025/10/04</v>
      </c>
      <c r="G4" s="528" t="str">
        <f>日期!G2</f>
        <v>2025/10/05</v>
      </c>
      <c r="H4" s="528" t="str">
        <f>日期!H2</f>
        <v>2025/10/06</v>
      </c>
      <c r="I4" s="528" t="str">
        <f>日期!I2</f>
        <v>2025/10/07</v>
      </c>
      <c r="J4" s="528" t="str">
        <f>日期!J2</f>
        <v>2025/10/08</v>
      </c>
      <c r="K4" s="528" t="str">
        <f>日期!K2</f>
        <v>2025/10/09</v>
      </c>
      <c r="L4" s="528" t="str">
        <f>日期!L2</f>
        <v>2025/10/10</v>
      </c>
      <c r="M4" s="528" t="str">
        <f>日期!M2</f>
        <v>2025/10/11</v>
      </c>
      <c r="N4" s="528" t="str">
        <f>日期!N2</f>
        <v>2025/10/12</v>
      </c>
      <c r="O4" s="528" t="str">
        <f>日期!O2</f>
        <v>2025/10/13</v>
      </c>
      <c r="P4" s="528" t="str">
        <f>日期!P2</f>
        <v>2025/10/14</v>
      </c>
      <c r="Q4" s="528" t="str">
        <f>日期!Q2</f>
        <v>2025/10/15</v>
      </c>
      <c r="R4" s="528" t="str">
        <f>日期!R2</f>
        <v>2025/10/16</v>
      </c>
      <c r="S4" s="528" t="str">
        <f>日期!S2</f>
        <v>2025/10/17</v>
      </c>
      <c r="T4" s="528" t="str">
        <f>日期!T2</f>
        <v>2025/10/18</v>
      </c>
      <c r="U4" s="528" t="str">
        <f>日期!U2</f>
        <v>2025/10/19</v>
      </c>
      <c r="V4" s="528" t="str">
        <f>日期!V2</f>
        <v>2025/10/20</v>
      </c>
      <c r="W4" s="528" t="str">
        <f>日期!W2</f>
        <v>2025/10/21</v>
      </c>
      <c r="X4" s="528" t="str">
        <f>日期!X2</f>
        <v>2025/10/22</v>
      </c>
      <c r="Y4" s="528" t="str">
        <f>日期!Y2</f>
        <v>2025/10/23</v>
      </c>
      <c r="Z4" s="528" t="str">
        <f>日期!Z2</f>
        <v>2025/10/24</v>
      </c>
      <c r="AA4" s="528" t="str">
        <f>日期!AA2</f>
        <v>2025/10/25</v>
      </c>
      <c r="AB4" s="528" t="str">
        <f>日期!AB2</f>
        <v>2025/10/26</v>
      </c>
      <c r="AC4" s="528" t="str">
        <f>日期!AC2</f>
        <v>2025/10/27</v>
      </c>
      <c r="AD4" s="528" t="str">
        <f>日期!AD2</f>
        <v>2025/10/28</v>
      </c>
      <c r="AE4" s="528" t="str">
        <f>日期!AE2</f>
        <v>2025/10/29</v>
      </c>
      <c r="AF4" s="528" t="str">
        <f>日期!AF2</f>
        <v>2025/10/30</v>
      </c>
      <c r="AG4" s="528" t="str">
        <f>日期!AG2</f>
        <v>2025/10/31</v>
      </c>
      <c r="AH4" s="520" t="s">
        <v>68</v>
      </c>
      <c r="AI4" s="108" t="s">
        <v>69</v>
      </c>
    </row>
    <row r="5" spans="1:35" s="77" customFormat="1" ht="18" thickBot="1">
      <c r="A5" s="688"/>
      <c r="B5" s="690"/>
      <c r="C5" s="522" t="str">
        <f>日期!C3</f>
        <v>Wed</v>
      </c>
      <c r="D5" s="522" t="str">
        <f>日期!D3</f>
        <v>Thu</v>
      </c>
      <c r="E5" s="522" t="str">
        <f>日期!E3</f>
        <v>Fri</v>
      </c>
      <c r="F5" s="522" t="str">
        <f>日期!F3</f>
        <v>Sat</v>
      </c>
      <c r="G5" s="522" t="str">
        <f>日期!G3</f>
        <v>Sun</v>
      </c>
      <c r="H5" s="522" t="str">
        <f>日期!H3</f>
        <v>Mon</v>
      </c>
      <c r="I5" s="522" t="str">
        <f>日期!I3</f>
        <v>Tue</v>
      </c>
      <c r="J5" s="522" t="str">
        <f>日期!J3</f>
        <v>Wed</v>
      </c>
      <c r="K5" s="522" t="str">
        <f>日期!K3</f>
        <v>Thu</v>
      </c>
      <c r="L5" s="522" t="str">
        <f>日期!L3</f>
        <v>Fri</v>
      </c>
      <c r="M5" s="522" t="str">
        <f>日期!M3</f>
        <v>Sat</v>
      </c>
      <c r="N5" s="522" t="str">
        <f>日期!N3</f>
        <v>Sun</v>
      </c>
      <c r="O5" s="522" t="str">
        <f>日期!O3</f>
        <v>Mon</v>
      </c>
      <c r="P5" s="522" t="str">
        <f>日期!P3</f>
        <v>Tue</v>
      </c>
      <c r="Q5" s="522" t="str">
        <f>日期!Q3</f>
        <v>Wed</v>
      </c>
      <c r="R5" s="522" t="str">
        <f>日期!R3</f>
        <v>Thu</v>
      </c>
      <c r="S5" s="522" t="str">
        <f>日期!S3</f>
        <v>Fri</v>
      </c>
      <c r="T5" s="522" t="str">
        <f>日期!T3</f>
        <v>Sat</v>
      </c>
      <c r="U5" s="522" t="str">
        <f>日期!U3</f>
        <v>Sun</v>
      </c>
      <c r="V5" s="522" t="str">
        <f>日期!V3</f>
        <v>Mon</v>
      </c>
      <c r="W5" s="522" t="str">
        <f>日期!W3</f>
        <v>Tue</v>
      </c>
      <c r="X5" s="522" t="str">
        <f>日期!X3</f>
        <v>Wed</v>
      </c>
      <c r="Y5" s="522" t="str">
        <f>日期!Y3</f>
        <v>Thu</v>
      </c>
      <c r="Z5" s="522" t="str">
        <f>日期!Z3</f>
        <v>Fri</v>
      </c>
      <c r="AA5" s="522" t="str">
        <f>日期!AA3</f>
        <v>Sat</v>
      </c>
      <c r="AB5" s="522" t="str">
        <f>日期!AB3</f>
        <v>Sun</v>
      </c>
      <c r="AC5" s="522" t="str">
        <f>日期!AC3</f>
        <v>Mon</v>
      </c>
      <c r="AD5" s="522" t="str">
        <f>日期!AD3</f>
        <v>Tue</v>
      </c>
      <c r="AE5" s="522" t="str">
        <f>日期!AE3</f>
        <v>Wed</v>
      </c>
      <c r="AF5" s="522" t="str">
        <f>日期!AF3</f>
        <v>Thu</v>
      </c>
      <c r="AG5" s="522" t="str">
        <f>日期!AG3</f>
        <v>Fri</v>
      </c>
      <c r="AH5" s="521"/>
      <c r="AI5" s="109"/>
    </row>
    <row r="6" spans="1:35" ht="17.45">
      <c r="A6" s="101" t="s">
        <v>72</v>
      </c>
      <c r="B6" s="102" t="s">
        <v>236</v>
      </c>
      <c r="C6" s="103">
        <f>VALUE(期貨金額!D2)</f>
        <v>8115132</v>
      </c>
      <c r="D6" s="103">
        <f>VALUE(期貨金額!E2)</f>
        <v>8136378</v>
      </c>
      <c r="E6" s="103">
        <f>VALUE(期貨金額!F2)</f>
        <v>8433107</v>
      </c>
      <c r="F6" s="103">
        <f>VALUE(期貨金額!G2)</f>
        <v>8454034</v>
      </c>
      <c r="G6" s="103">
        <f>VALUE(期貨金額!H2)</f>
        <v>8454034</v>
      </c>
      <c r="H6" s="103">
        <f>VALUE(期貨金額!I2)</f>
        <v>8454034</v>
      </c>
      <c r="I6" s="103">
        <f>VALUE(期貨金額!J2)</f>
        <v>8227322</v>
      </c>
      <c r="J6" s="103">
        <f>VALUE(期貨金額!K2)</f>
        <v>8156492</v>
      </c>
      <c r="K6" s="103">
        <f>VALUE(期貨金額!L2)</f>
        <v>8041666</v>
      </c>
      <c r="L6" s="103">
        <f>VALUE(期貨金額!M2)</f>
        <v>8041666</v>
      </c>
      <c r="M6" s="103">
        <f>VALUE(期貨金額!N2)</f>
        <v>8041389</v>
      </c>
      <c r="N6" s="103">
        <f>VALUE(期貨金額!O2)</f>
        <v>8041389</v>
      </c>
      <c r="O6" s="103">
        <f>VALUE(期貨金額!P2)</f>
        <v>7840539</v>
      </c>
      <c r="P6" s="103">
        <f>VALUE(期貨金額!Q2)</f>
        <v>8704157</v>
      </c>
      <c r="Q6" s="103">
        <f>VALUE(期貨金額!R2)</f>
        <v>8749960</v>
      </c>
      <c r="R6" s="103">
        <f>VALUE(期貨金額!S2)</f>
        <v>8745373</v>
      </c>
      <c r="S6" s="103">
        <f>VALUE(期貨金額!T2)</f>
        <v>8685394</v>
      </c>
      <c r="T6" s="103">
        <f>VALUE(期貨金額!U2)</f>
        <v>8685416</v>
      </c>
      <c r="U6" s="103">
        <f>VALUE(期貨金額!V2)</f>
        <v>8685416</v>
      </c>
      <c r="V6" s="103">
        <f>VALUE(期貨金額!W2)</f>
        <v>8690123</v>
      </c>
      <c r="W6" s="103">
        <f>VALUE(期貨金額!X2)</f>
        <v>8777589</v>
      </c>
      <c r="X6" s="103">
        <f>VALUE(期貨金額!Y2)</f>
        <v>8806224</v>
      </c>
      <c r="Y6" s="103">
        <f>VALUE(期貨金額!Z2)</f>
        <v>8764603</v>
      </c>
      <c r="Z6" s="103">
        <f>VALUE(期貨金額!AA2)</f>
        <v>8764603</v>
      </c>
      <c r="AA6" s="103">
        <f>VALUE(期貨金額!AB2)</f>
        <v>8764603</v>
      </c>
      <c r="AB6" s="103">
        <f>VALUE(期貨金額!AC2)</f>
        <v>8764603</v>
      </c>
      <c r="AC6" s="103">
        <f>VALUE(期貨金額!AD2)</f>
        <v>8642669</v>
      </c>
      <c r="AD6" s="103">
        <f>VALUE(期貨金額!AE2)</f>
        <v>8613853</v>
      </c>
      <c r="AE6" s="103">
        <f>VALUE(期貨金額!AF2)</f>
        <v>8288006</v>
      </c>
      <c r="AF6" s="103">
        <f>VALUE(期貨金額!AG2)</f>
        <v>8513121</v>
      </c>
      <c r="AG6" s="103">
        <f>VALUE(期貨金額!AH2)</f>
        <v>8072465</v>
      </c>
      <c r="AH6" s="103">
        <f>VALUE(期貨金額!AI2)</f>
        <v>8456624.5199999996</v>
      </c>
      <c r="AI6" s="504">
        <f>AH6/$AH$19</f>
        <v>0.58140334374195801</v>
      </c>
    </row>
    <row r="7" spans="1:35" ht="17.45">
      <c r="A7" s="105" t="s">
        <v>72</v>
      </c>
      <c r="B7" s="106" t="s">
        <v>237</v>
      </c>
      <c r="C7" s="103">
        <f>VALUE(期貨金額!D3)</f>
        <v>6040048</v>
      </c>
      <c r="D7" s="103">
        <f>VALUE(期貨金額!E3)</f>
        <v>5984031</v>
      </c>
      <c r="E7" s="103">
        <f>VALUE(期貨金額!F3)</f>
        <v>5960168</v>
      </c>
      <c r="F7" s="103">
        <f>VALUE(期貨金額!G3)</f>
        <v>5998448</v>
      </c>
      <c r="G7" s="103">
        <f>VALUE(期貨金額!H3)</f>
        <v>5998448</v>
      </c>
      <c r="H7" s="103">
        <f>VALUE(期貨金額!I3)</f>
        <v>5998448</v>
      </c>
      <c r="I7" s="103">
        <f>VALUE(期貨金額!J3)</f>
        <v>5970920</v>
      </c>
      <c r="J7" s="103">
        <f>VALUE(期貨金額!K3)</f>
        <v>6032090</v>
      </c>
      <c r="K7" s="103">
        <f>VALUE(期貨金額!L3)</f>
        <v>5987219</v>
      </c>
      <c r="L7" s="103">
        <f>VALUE(期貨金額!M3)</f>
        <v>5987219</v>
      </c>
      <c r="M7" s="103">
        <f>VALUE(期貨金額!N3)</f>
        <v>5987219</v>
      </c>
      <c r="N7" s="103">
        <f>VALUE(期貨金額!O3)</f>
        <v>5987219</v>
      </c>
      <c r="O7" s="103">
        <f>VALUE(期貨金額!P3)</f>
        <v>5924854</v>
      </c>
      <c r="P7" s="103">
        <f>VALUE(期貨金額!Q3)</f>
        <v>5801543</v>
      </c>
      <c r="Q7" s="103">
        <f>VALUE(期貨金額!R3)</f>
        <v>5902360</v>
      </c>
      <c r="R7" s="103">
        <f>VALUE(期貨金額!S3)</f>
        <v>5809376</v>
      </c>
      <c r="S7" s="103">
        <f>VALUE(期貨金額!T3)</f>
        <v>5602217</v>
      </c>
      <c r="T7" s="103">
        <f>VALUE(期貨金額!U3)</f>
        <v>5727847</v>
      </c>
      <c r="U7" s="103">
        <f>VALUE(期貨金額!V3)</f>
        <v>5727847</v>
      </c>
      <c r="V7" s="103">
        <f>VALUE(期貨金額!W3)</f>
        <v>5766020</v>
      </c>
      <c r="W7" s="103">
        <f>VALUE(期貨金額!X3)</f>
        <v>5714881</v>
      </c>
      <c r="X7" s="103">
        <f>VALUE(期貨金額!Y3)</f>
        <v>5531633</v>
      </c>
      <c r="Y7" s="103">
        <f>VALUE(期貨金額!Z3)</f>
        <v>5473092</v>
      </c>
      <c r="Z7" s="103">
        <f>VALUE(期貨金額!AA3)</f>
        <v>5473092</v>
      </c>
      <c r="AA7" s="103">
        <f>VALUE(期貨金額!AB3)</f>
        <v>5473092</v>
      </c>
      <c r="AB7" s="103">
        <f>VALUE(期貨金額!AC3)</f>
        <v>5473092</v>
      </c>
      <c r="AC7" s="103">
        <f>VALUE(期貨金額!AD3)</f>
        <v>5464954</v>
      </c>
      <c r="AD7" s="103">
        <f>VALUE(期貨金額!AE3)</f>
        <v>5465120</v>
      </c>
      <c r="AE7" s="103">
        <f>VALUE(期貨金額!AF3)</f>
        <v>5477594</v>
      </c>
      <c r="AF7" s="103">
        <f>VALUE(期貨金額!AG3)</f>
        <v>5448251</v>
      </c>
      <c r="AG7" s="103">
        <f>VALUE(期貨金額!AH3)</f>
        <v>5413325</v>
      </c>
      <c r="AH7" s="103">
        <f>VALUE(期貨金額!AI3)</f>
        <v>5761344.0999999996</v>
      </c>
      <c r="AI7" s="504">
        <f t="shared" ref="AI7:AI17" si="0">AH7/$AH$19</f>
        <v>0.39609949765015717</v>
      </c>
    </row>
    <row r="8" spans="1:35" ht="17.45">
      <c r="A8" s="105" t="s">
        <v>72</v>
      </c>
      <c r="B8" s="106">
        <v>4</v>
      </c>
      <c r="C8" s="103">
        <f>VALUE(期貨金額!D4)</f>
        <v>329835</v>
      </c>
      <c r="D8" s="103">
        <f>VALUE(期貨金額!E4)</f>
        <v>322395</v>
      </c>
      <c r="E8" s="103">
        <f>VALUE(期貨金額!F4)</f>
        <v>322402</v>
      </c>
      <c r="F8" s="103">
        <f>VALUE(期貨金額!G4)</f>
        <v>322402</v>
      </c>
      <c r="G8" s="103">
        <f>VALUE(期貨金額!H4)</f>
        <v>322402</v>
      </c>
      <c r="H8" s="103">
        <f>VALUE(期貨金額!I4)</f>
        <v>322402</v>
      </c>
      <c r="I8" s="103">
        <f>VALUE(期貨金額!J4)</f>
        <v>318192</v>
      </c>
      <c r="J8" s="103">
        <f>VALUE(期貨金額!K4)</f>
        <v>510309</v>
      </c>
      <c r="K8" s="103">
        <f>VALUE(期貨金額!L4)</f>
        <v>531388</v>
      </c>
      <c r="L8" s="103">
        <f>VALUE(期貨金額!M4)</f>
        <v>531388</v>
      </c>
      <c r="M8" s="103">
        <f>VALUE(期貨金額!N4)</f>
        <v>531388</v>
      </c>
      <c r="N8" s="103">
        <f>VALUE(期貨金額!O4)</f>
        <v>531388</v>
      </c>
      <c r="O8" s="103">
        <f>VALUE(期貨金額!P4)</f>
        <v>125033</v>
      </c>
      <c r="P8" s="103">
        <f>VALUE(期貨金額!Q4)</f>
        <v>126397</v>
      </c>
      <c r="Q8" s="103">
        <f>VALUE(期貨金額!R4)</f>
        <v>128756</v>
      </c>
      <c r="R8" s="103">
        <f>VALUE(期貨金額!S4)</f>
        <v>172566</v>
      </c>
      <c r="S8" s="103">
        <f>VALUE(期貨金額!T4)</f>
        <v>170894</v>
      </c>
      <c r="T8" s="103">
        <f>VALUE(期貨金額!U4)</f>
        <v>170894</v>
      </c>
      <c r="U8" s="103">
        <f>VALUE(期貨金額!V4)</f>
        <v>170894</v>
      </c>
      <c r="V8" s="103">
        <f>VALUE(期貨金額!W4)</f>
        <v>170894</v>
      </c>
      <c r="W8" s="103">
        <f>VALUE(期貨金額!X4)</f>
        <v>170896</v>
      </c>
      <c r="X8" s="103">
        <f>VALUE(期貨金額!Y4)</f>
        <v>328722</v>
      </c>
      <c r="Y8" s="103">
        <f>VALUE(期貨金額!Z4)</f>
        <v>329310</v>
      </c>
      <c r="Z8" s="103">
        <f>VALUE(期貨金額!AA4)</f>
        <v>329310</v>
      </c>
      <c r="AA8" s="103">
        <f>VALUE(期貨金額!AB4)</f>
        <v>329310</v>
      </c>
      <c r="AB8" s="103">
        <f>VALUE(期貨金額!AC4)</f>
        <v>329310</v>
      </c>
      <c r="AC8" s="103">
        <f>VALUE(期貨金額!AD4)</f>
        <v>286674</v>
      </c>
      <c r="AD8" s="103">
        <f>VALUE(期貨金額!AE4)</f>
        <v>302936</v>
      </c>
      <c r="AE8" s="103">
        <f>VALUE(期貨金額!AF4)</f>
        <v>303019</v>
      </c>
      <c r="AF8" s="103">
        <f>VALUE(期貨金額!AG4)</f>
        <v>287540</v>
      </c>
      <c r="AG8" s="103">
        <f>VALUE(期貨金額!AH4)</f>
        <v>192053</v>
      </c>
      <c r="AH8" s="103">
        <f>VALUE(期貨金額!AI4)</f>
        <v>300687.06</v>
      </c>
      <c r="AI8" s="504">
        <f t="shared" si="0"/>
        <v>2.0672605445646385E-2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504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504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504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504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504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504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504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504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21708</v>
      </c>
      <c r="D17" s="103">
        <f>VALUE(期貨金額!E15)</f>
        <v>21710</v>
      </c>
      <c r="E17" s="103">
        <f>VALUE(期貨金額!F15)</f>
        <v>21711</v>
      </c>
      <c r="F17" s="103">
        <f>VALUE(期貨金額!G15)</f>
        <v>21711</v>
      </c>
      <c r="G17" s="103">
        <f>VALUE(期貨金額!H15)</f>
        <v>21711</v>
      </c>
      <c r="H17" s="103">
        <f>VALUE(期貨金額!I15)</f>
        <v>21711</v>
      </c>
      <c r="I17" s="103">
        <f>VALUE(期貨金額!J15)</f>
        <v>20305</v>
      </c>
      <c r="J17" s="103">
        <f>VALUE(期貨金額!K15)</f>
        <v>20304</v>
      </c>
      <c r="K17" s="103">
        <f>VALUE(期貨金額!L15)</f>
        <v>20299</v>
      </c>
      <c r="L17" s="103">
        <f>VALUE(期貨金額!M15)</f>
        <v>20299</v>
      </c>
      <c r="M17" s="103">
        <f>VALUE(期貨金額!N15)</f>
        <v>20299</v>
      </c>
      <c r="N17" s="103">
        <f>VALUE(期貨金額!O15)</f>
        <v>20299</v>
      </c>
      <c r="O17" s="103">
        <f>VALUE(期貨金額!P15)</f>
        <v>20299</v>
      </c>
      <c r="P17" s="103">
        <f>VALUE(期貨金額!Q15)</f>
        <v>20295</v>
      </c>
      <c r="Q17" s="103">
        <f>VALUE(期貨金額!R15)</f>
        <v>20300</v>
      </c>
      <c r="R17" s="103">
        <f>VALUE(期貨金額!S15)</f>
        <v>20302</v>
      </c>
      <c r="S17" s="103">
        <f>VALUE(期貨金額!T15)</f>
        <v>20307</v>
      </c>
      <c r="T17" s="103">
        <f>VALUE(期貨金額!U15)</f>
        <v>20307</v>
      </c>
      <c r="U17" s="103">
        <f>VALUE(期貨金額!V15)</f>
        <v>20307</v>
      </c>
      <c r="V17" s="103">
        <f>VALUE(期貨金額!W15)</f>
        <v>53797</v>
      </c>
      <c r="W17" s="103">
        <f>VALUE(期貨金額!X15)</f>
        <v>48084</v>
      </c>
      <c r="X17" s="103">
        <f>VALUE(期貨金額!Y15)</f>
        <v>43753</v>
      </c>
      <c r="Y17" s="103">
        <f>VALUE(期貨金額!Z15)</f>
        <v>43753</v>
      </c>
      <c r="Z17" s="103">
        <f>VALUE(期貨金額!AA15)</f>
        <v>43753</v>
      </c>
      <c r="AA17" s="103">
        <f>VALUE(期貨金額!AB15)</f>
        <v>43753</v>
      </c>
      <c r="AB17" s="103">
        <f>VALUE(期貨金額!AC15)</f>
        <v>43753</v>
      </c>
      <c r="AC17" s="103">
        <f>VALUE(期貨金額!AD15)</f>
        <v>45159</v>
      </c>
      <c r="AD17" s="103">
        <f>VALUE(期貨金額!AE15)</f>
        <v>45159</v>
      </c>
      <c r="AE17" s="103">
        <f>VALUE(期貨金額!AF15)</f>
        <v>5849</v>
      </c>
      <c r="AF17" s="103">
        <f>VALUE(期貨金額!AG15)</f>
        <v>5849</v>
      </c>
      <c r="AG17" s="103">
        <f>VALUE(期貨金額!AH15)</f>
        <v>5847</v>
      </c>
      <c r="AH17" s="103">
        <f>VALUE(期貨金額!AI15)</f>
        <v>26538.48</v>
      </c>
      <c r="AI17" s="504">
        <f t="shared" si="0"/>
        <v>1.8245531622384339E-3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504">
        <f>AH18/$AH$19</f>
        <v>0</v>
      </c>
    </row>
    <row r="19" spans="1:35" ht="19.5">
      <c r="A19" s="685" t="s">
        <v>42</v>
      </c>
      <c r="B19" s="686"/>
      <c r="C19" s="107">
        <f t="shared" ref="C19:AH19" si="1">SUM(C6:C18)</f>
        <v>14506723</v>
      </c>
      <c r="D19" s="107">
        <f t="shared" si="1"/>
        <v>14464514</v>
      </c>
      <c r="E19" s="107">
        <f t="shared" si="1"/>
        <v>14737388</v>
      </c>
      <c r="F19" s="107">
        <f t="shared" si="1"/>
        <v>14796595</v>
      </c>
      <c r="G19" s="107">
        <f t="shared" si="1"/>
        <v>14796595</v>
      </c>
      <c r="H19" s="107">
        <f t="shared" si="1"/>
        <v>14796595</v>
      </c>
      <c r="I19" s="107">
        <f t="shared" si="1"/>
        <v>14536739</v>
      </c>
      <c r="J19" s="107">
        <f t="shared" si="1"/>
        <v>14719195</v>
      </c>
      <c r="K19" s="107">
        <f t="shared" si="1"/>
        <v>14580572</v>
      </c>
      <c r="L19" s="107">
        <f t="shared" si="1"/>
        <v>14580572</v>
      </c>
      <c r="M19" s="107">
        <f t="shared" si="1"/>
        <v>14580295</v>
      </c>
      <c r="N19" s="107">
        <f t="shared" si="1"/>
        <v>14580295</v>
      </c>
      <c r="O19" s="107">
        <f t="shared" si="1"/>
        <v>13910725</v>
      </c>
      <c r="P19" s="107">
        <f t="shared" si="1"/>
        <v>14652392</v>
      </c>
      <c r="Q19" s="107">
        <f t="shared" si="1"/>
        <v>14801376</v>
      </c>
      <c r="R19" s="107">
        <f t="shared" si="1"/>
        <v>14747617</v>
      </c>
      <c r="S19" s="107">
        <f t="shared" si="1"/>
        <v>14478812</v>
      </c>
      <c r="T19" s="107">
        <f t="shared" si="1"/>
        <v>14604464</v>
      </c>
      <c r="U19" s="107">
        <f t="shared" si="1"/>
        <v>14604464</v>
      </c>
      <c r="V19" s="107">
        <f t="shared" si="1"/>
        <v>14680834</v>
      </c>
      <c r="W19" s="107">
        <f t="shared" si="1"/>
        <v>14711450</v>
      </c>
      <c r="X19" s="107">
        <f>SUM(X6:X18)</f>
        <v>14710332</v>
      </c>
      <c r="Y19" s="107">
        <f t="shared" si="1"/>
        <v>14610758</v>
      </c>
      <c r="Z19" s="107">
        <f t="shared" si="1"/>
        <v>14610758</v>
      </c>
      <c r="AA19" s="107">
        <f t="shared" si="1"/>
        <v>14610758</v>
      </c>
      <c r="AB19" s="107">
        <f t="shared" si="1"/>
        <v>14610758</v>
      </c>
      <c r="AC19" s="107">
        <f t="shared" si="1"/>
        <v>14439456</v>
      </c>
      <c r="AD19" s="107">
        <f t="shared" si="1"/>
        <v>14427068</v>
      </c>
      <c r="AE19" s="107">
        <f t="shared" si="1"/>
        <v>14074468</v>
      </c>
      <c r="AF19" s="107">
        <f t="shared" si="1"/>
        <v>14254761</v>
      </c>
      <c r="AG19" s="107">
        <f t="shared" si="1"/>
        <v>13683690</v>
      </c>
      <c r="AH19" s="107">
        <f t="shared" si="1"/>
        <v>14545194.16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2370010</v>
      </c>
      <c r="D20" s="103">
        <f>VALUE(期貨金額!E7)</f>
        <v>2370461</v>
      </c>
      <c r="E20" s="103">
        <f>VALUE(期貨金額!F7)</f>
        <v>2493427</v>
      </c>
      <c r="F20" s="103">
        <f>VALUE(期貨金額!G7)</f>
        <v>2493479</v>
      </c>
      <c r="G20" s="103">
        <f>VALUE(期貨金額!H7)</f>
        <v>2493479</v>
      </c>
      <c r="H20" s="103">
        <f>VALUE(期貨金額!I7)</f>
        <v>2493479</v>
      </c>
      <c r="I20" s="103">
        <f>VALUE(期貨金額!J7)</f>
        <v>2596098</v>
      </c>
      <c r="J20" s="103">
        <f>VALUE(期貨金額!K7)</f>
        <v>2590552</v>
      </c>
      <c r="K20" s="103">
        <f>VALUE(期貨金額!L7)</f>
        <v>2588682</v>
      </c>
      <c r="L20" s="103">
        <f>VALUE(期貨金額!M7)</f>
        <v>2588682</v>
      </c>
      <c r="M20" s="103">
        <f>VALUE(期貨金額!N7)</f>
        <v>2588682</v>
      </c>
      <c r="N20" s="103">
        <f>VALUE(期貨金額!O7)</f>
        <v>2588682</v>
      </c>
      <c r="O20" s="103">
        <f>VALUE(期貨金額!P7)</f>
        <v>2589200</v>
      </c>
      <c r="P20" s="103">
        <f>VALUE(期貨金額!Q7)</f>
        <v>2497131</v>
      </c>
      <c r="Q20" s="103">
        <f>VALUE(期貨金額!R7)</f>
        <v>2569055</v>
      </c>
      <c r="R20" s="103">
        <f>VALUE(期貨金額!S7)</f>
        <v>2572801</v>
      </c>
      <c r="S20" s="103">
        <f>VALUE(期貨金額!T7)</f>
        <v>2570795</v>
      </c>
      <c r="T20" s="103">
        <f>VALUE(期貨金額!U7)</f>
        <v>2571120</v>
      </c>
      <c r="U20" s="103">
        <f>VALUE(期貨金額!V7)</f>
        <v>2571120</v>
      </c>
      <c r="V20" s="103">
        <f>VALUE(期貨金額!W7)</f>
        <v>2572677</v>
      </c>
      <c r="W20" s="103">
        <f>VALUE(期貨金額!X7)</f>
        <v>2575467</v>
      </c>
      <c r="X20" s="103">
        <f>VALUE(期貨金額!Y7)</f>
        <v>2576203</v>
      </c>
      <c r="Y20" s="103">
        <f>VALUE(期貨金額!Z7)</f>
        <v>2565259</v>
      </c>
      <c r="Z20" s="103">
        <f>VALUE(期貨金額!AA7)</f>
        <v>2565259</v>
      </c>
      <c r="AA20" s="103">
        <f>VALUE(期貨金額!AB7)</f>
        <v>2565259</v>
      </c>
      <c r="AB20" s="103">
        <f>VALUE(期貨金額!AC7)</f>
        <v>2565259</v>
      </c>
      <c r="AC20" s="103">
        <f>VALUE(期貨金額!AD7)</f>
        <v>2568424</v>
      </c>
      <c r="AD20" s="103">
        <f>VALUE(期貨金額!AE7)</f>
        <v>2563176</v>
      </c>
      <c r="AE20" s="103">
        <f>VALUE(期貨金額!AF7)</f>
        <v>2564754</v>
      </c>
      <c r="AF20" s="103">
        <f>VALUE(期貨金額!AG7)</f>
        <v>2567208</v>
      </c>
      <c r="AG20" s="103">
        <f>VALUE(期貨金額!AH7)</f>
        <v>2558345</v>
      </c>
      <c r="AH20" s="103">
        <f>VALUE(期貨金額!AI7)</f>
        <v>2548523.39</v>
      </c>
      <c r="AI20" s="504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504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504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504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504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504">
        <f t="shared" si="2"/>
        <v>0</v>
      </c>
    </row>
    <row r="26" spans="1:35" ht="19.5">
      <c r="A26" s="685" t="s">
        <v>42</v>
      </c>
      <c r="B26" s="686"/>
      <c r="C26" s="107">
        <f>SUM(C20:C25)</f>
        <v>2370010</v>
      </c>
      <c r="D26" s="107">
        <f>SUM(D20:D25)</f>
        <v>2370461</v>
      </c>
      <c r="E26" s="107">
        <f>SUM(E20:E25)</f>
        <v>2493427</v>
      </c>
      <c r="F26" s="107">
        <f t="shared" ref="F26:AH26" si="3">SUM(F20:F25)</f>
        <v>2493479</v>
      </c>
      <c r="G26" s="107">
        <f t="shared" si="3"/>
        <v>2493479</v>
      </c>
      <c r="H26" s="107">
        <f t="shared" si="3"/>
        <v>2493479</v>
      </c>
      <c r="I26" s="107">
        <f t="shared" si="3"/>
        <v>2596098</v>
      </c>
      <c r="J26" s="107">
        <f t="shared" si="3"/>
        <v>2590552</v>
      </c>
      <c r="K26" s="107">
        <f t="shared" si="3"/>
        <v>2588682</v>
      </c>
      <c r="L26" s="107">
        <f t="shared" si="3"/>
        <v>2588682</v>
      </c>
      <c r="M26" s="107">
        <f t="shared" si="3"/>
        <v>2588682</v>
      </c>
      <c r="N26" s="107">
        <f t="shared" si="3"/>
        <v>2588682</v>
      </c>
      <c r="O26" s="107">
        <f t="shared" si="3"/>
        <v>2589200</v>
      </c>
      <c r="P26" s="107">
        <f t="shared" si="3"/>
        <v>2497131</v>
      </c>
      <c r="Q26" s="107">
        <f t="shared" si="3"/>
        <v>2569055</v>
      </c>
      <c r="R26" s="107">
        <f t="shared" si="3"/>
        <v>2572801</v>
      </c>
      <c r="S26" s="107">
        <f t="shared" si="3"/>
        <v>2570795</v>
      </c>
      <c r="T26" s="107">
        <f t="shared" si="3"/>
        <v>2571120</v>
      </c>
      <c r="U26" s="107">
        <f t="shared" si="3"/>
        <v>2571120</v>
      </c>
      <c r="V26" s="107">
        <f t="shared" si="3"/>
        <v>2572677</v>
      </c>
      <c r="W26" s="107">
        <f t="shared" si="3"/>
        <v>2575467</v>
      </c>
      <c r="X26" s="107">
        <f t="shared" si="3"/>
        <v>2576203</v>
      </c>
      <c r="Y26" s="107">
        <f t="shared" si="3"/>
        <v>2565259</v>
      </c>
      <c r="Z26" s="107">
        <f t="shared" si="3"/>
        <v>2565259</v>
      </c>
      <c r="AA26" s="107">
        <f t="shared" si="3"/>
        <v>2565259</v>
      </c>
      <c r="AB26" s="107">
        <f t="shared" si="3"/>
        <v>2565259</v>
      </c>
      <c r="AC26" s="107">
        <f t="shared" si="3"/>
        <v>2568424</v>
      </c>
      <c r="AD26" s="107">
        <f t="shared" si="3"/>
        <v>2563176</v>
      </c>
      <c r="AE26" s="107">
        <f t="shared" si="3"/>
        <v>2564754</v>
      </c>
      <c r="AF26" s="107">
        <f t="shared" si="3"/>
        <v>2567208</v>
      </c>
      <c r="AG26" s="107">
        <f t="shared" si="3"/>
        <v>2558345</v>
      </c>
      <c r="AH26" s="107">
        <f t="shared" si="3"/>
        <v>2548523.39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topLeftCell="A7" zoomScale="90" workbookViewId="0">
      <selection activeCell="P1" sqref="P1:P1048576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703" t="s">
        <v>1</v>
      </c>
      <c r="B2" s="704"/>
      <c r="C2" s="704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536" t="s">
        <v>265</v>
      </c>
    </row>
    <row r="3" spans="1:17" s="122" customFormat="1" ht="13.5">
      <c r="A3" s="705" t="s">
        <v>9</v>
      </c>
      <c r="B3" s="706"/>
      <c r="C3" s="707"/>
      <c r="D3" s="119">
        <f>D4+D11+D16</f>
        <v>569493119.62000012</v>
      </c>
      <c r="E3" s="119">
        <f>E4+E11+E16</f>
        <v>583053038.44999993</v>
      </c>
      <c r="F3" s="119">
        <f>F4+F11+F16</f>
        <v>607796399.83000004</v>
      </c>
      <c r="G3" s="119">
        <f t="shared" ref="G3:P3" si="0">G4+G11+G16</f>
        <v>619189731.31000018</v>
      </c>
      <c r="H3" s="119">
        <f t="shared" si="0"/>
        <v>610468644.10000002</v>
      </c>
      <c r="I3" s="119">
        <f t="shared" si="0"/>
        <v>555771880.88</v>
      </c>
      <c r="J3" s="119">
        <f t="shared" si="0"/>
        <v>541839423.27999997</v>
      </c>
      <c r="K3" s="119">
        <f t="shared" si="0"/>
        <v>550487503.97000003</v>
      </c>
      <c r="L3" s="119">
        <f t="shared" si="0"/>
        <v>507173214.95000005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571696996</v>
      </c>
      <c r="Q3" s="529">
        <v>464677576.2836622</v>
      </c>
    </row>
    <row r="4" spans="1:17" ht="13.5">
      <c r="A4" s="123"/>
      <c r="B4" s="701" t="s">
        <v>10</v>
      </c>
      <c r="C4" s="702"/>
      <c r="D4" s="124">
        <f>SUM(D5:D10)</f>
        <v>342216230.34000003</v>
      </c>
      <c r="E4" s="124">
        <f t="shared" ref="E4:P4" si="1">SUM(E5:E10)</f>
        <v>344901648.27999997</v>
      </c>
      <c r="F4" s="124">
        <f t="shared" si="1"/>
        <v>348523432.14000005</v>
      </c>
      <c r="G4" s="124">
        <f t="shared" si="1"/>
        <v>348439620.67000008</v>
      </c>
      <c r="H4" s="124">
        <f t="shared" si="1"/>
        <v>341295163.45000005</v>
      </c>
      <c r="I4" s="124">
        <f t="shared" si="1"/>
        <v>310007302.97000003</v>
      </c>
      <c r="J4" s="124">
        <f t="shared" si="1"/>
        <v>306395180.02999997</v>
      </c>
      <c r="K4" s="124">
        <f t="shared" si="1"/>
        <v>333056308.75</v>
      </c>
      <c r="L4" s="124">
        <f t="shared" si="1"/>
        <v>309477210.68000007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331590233</v>
      </c>
      <c r="Q4" s="530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292895572.44999999</v>
      </c>
      <c r="E5" s="129">
        <f>VALUE(月庫存金額!D2)</f>
        <v>294277850.13999999</v>
      </c>
      <c r="F5" s="129">
        <f>VALUE(月庫存金額!E2)</f>
        <v>303547104.61000001</v>
      </c>
      <c r="G5" s="129">
        <f>VALUE(月庫存金額!F2)</f>
        <v>305015691.73000002</v>
      </c>
      <c r="H5" s="129">
        <f>VALUE(月庫存金額!G2)</f>
        <v>298211250.68000001</v>
      </c>
      <c r="I5" s="129">
        <f>VALUE(月庫存金額!H2)</f>
        <v>268957826.37</v>
      </c>
      <c r="J5" s="129">
        <f>VALUE(月庫存金額!I2)</f>
        <v>266232218.22999999</v>
      </c>
      <c r="K5" s="129">
        <f>VALUE(月庫存金額!J2)</f>
        <v>289555312.23000002</v>
      </c>
      <c r="L5" s="129">
        <f>VALUE(月庫存金額!K2)</f>
        <v>267505302.97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287355348</v>
      </c>
      <c r="Q5" s="531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6894022.4800000004</v>
      </c>
      <c r="E6" s="129">
        <f>VALUE(月庫存金額!D4)</f>
        <v>7273219.5</v>
      </c>
      <c r="F6" s="129">
        <f>VALUE(月庫存金額!E4)</f>
        <v>6022622.2300000004</v>
      </c>
      <c r="G6" s="129">
        <f>VALUE(月庫存金額!F4)</f>
        <v>6246401.6699999999</v>
      </c>
      <c r="H6" s="129">
        <f>VALUE(月庫存金額!G4)</f>
        <v>5731137.9699999997</v>
      </c>
      <c r="I6" s="129">
        <f>VALUE(月庫存金額!H4)</f>
        <v>5495270.5999999996</v>
      </c>
      <c r="J6" s="129">
        <f>VALUE(月庫存金額!I4)</f>
        <v>5255297.7699999996</v>
      </c>
      <c r="K6" s="129">
        <f>VALUE(月庫存金額!J4)</f>
        <v>5320740.8099999996</v>
      </c>
      <c r="L6" s="129">
        <f>VALUE(月庫存金額!K4)</f>
        <v>5231241.9000000004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5941106</v>
      </c>
      <c r="Q6" s="531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11103888.48</v>
      </c>
      <c r="E7" s="129">
        <f>VALUE(月庫存金額!D5)</f>
        <v>10717600.109999999</v>
      </c>
      <c r="F7" s="129">
        <f>VALUE(月庫存金額!E5)</f>
        <v>7939466.9400000004</v>
      </c>
      <c r="G7" s="129">
        <f>VALUE(月庫存金額!F5)</f>
        <v>7405026.5999999996</v>
      </c>
      <c r="H7" s="129">
        <f>VALUE(月庫存金額!G5)</f>
        <v>5885981.3200000003</v>
      </c>
      <c r="I7" s="129">
        <f>VALUE(月庫存金額!H5)</f>
        <v>4603240.33</v>
      </c>
      <c r="J7" s="129">
        <f>VALUE(月庫存金額!I5)</f>
        <v>5240019.45</v>
      </c>
      <c r="K7" s="129">
        <f>VALUE(月庫存金額!J5)</f>
        <v>5825544.7699999996</v>
      </c>
      <c r="L7" s="129">
        <f>VALUE(月庫存金額!K5)</f>
        <v>5405729.6699999999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7125166</v>
      </c>
      <c r="Q7" s="531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21593172.870000001</v>
      </c>
      <c r="E8" s="129">
        <f>VALUE(月庫存金額!D6)</f>
        <v>19382073.82</v>
      </c>
      <c r="F8" s="129">
        <f>VALUE(月庫存金額!E6)</f>
        <v>19671570.68</v>
      </c>
      <c r="G8" s="129">
        <f>VALUE(月庫存金額!F6)</f>
        <v>18629028.170000002</v>
      </c>
      <c r="H8" s="129">
        <f>VALUE(月庫存金額!G6)</f>
        <v>19873425.609999999</v>
      </c>
      <c r="I8" s="129">
        <f>VALUE(月庫存金額!H6)</f>
        <v>19417875.870000001</v>
      </c>
      <c r="J8" s="129">
        <f>VALUE(月庫存金額!I6)</f>
        <v>19416991.52</v>
      </c>
      <c r="K8" s="129">
        <f>VALUE(月庫存金額!J6)</f>
        <v>20028052.940000001</v>
      </c>
      <c r="L8" s="129">
        <f>VALUE(月庫存金額!K6)</f>
        <v>20146220.670000002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19795379</v>
      </c>
      <c r="Q8" s="531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531">
        <v>0</v>
      </c>
    </row>
    <row r="10" spans="1:17" ht="13.5">
      <c r="A10" s="126"/>
      <c r="B10" s="132"/>
      <c r="C10" s="128" t="s">
        <v>16</v>
      </c>
      <c r="D10" s="129">
        <f>VALUE(月庫存金額!C8)</f>
        <v>9729574.0600000005</v>
      </c>
      <c r="E10" s="129">
        <f>VALUE(月庫存金額!D8)</f>
        <v>13250904.710000001</v>
      </c>
      <c r="F10" s="129">
        <f>VALUE(月庫存金額!E8)</f>
        <v>11342667.68</v>
      </c>
      <c r="G10" s="129">
        <f>VALUE(月庫存金額!F8)</f>
        <v>11143472.5</v>
      </c>
      <c r="H10" s="129">
        <f>VALUE(月庫存金額!G8)</f>
        <v>11593367.869999999</v>
      </c>
      <c r="I10" s="129">
        <f>VALUE(月庫存金額!H8)</f>
        <v>11533089.800000001</v>
      </c>
      <c r="J10" s="129">
        <f>VALUE(月庫存金額!I8)</f>
        <v>10250653.060000001</v>
      </c>
      <c r="K10" s="129">
        <f>VALUE(月庫存金額!J8)</f>
        <v>12326658</v>
      </c>
      <c r="L10" s="129">
        <f>VALUE(月庫存金額!K8)</f>
        <v>11188715.470000001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11373234</v>
      </c>
      <c r="Q10" s="531">
        <v>7409428.2792333327</v>
      </c>
    </row>
    <row r="11" spans="1:17" ht="13.5">
      <c r="A11" s="126"/>
      <c r="B11" s="708" t="s">
        <v>17</v>
      </c>
      <c r="C11" s="709"/>
      <c r="D11" s="133">
        <f>SUM(D12:D15)</f>
        <v>1990385.5499999998</v>
      </c>
      <c r="E11" s="133">
        <f>SUM(E12:E15)</f>
        <v>1846899.3900000001</v>
      </c>
      <c r="F11" s="133">
        <f>SUM(F12:F15)</f>
        <v>1660307.04</v>
      </c>
      <c r="G11" s="133">
        <f t="shared" ref="G11:P11" si="2">SUM(G12:G15)</f>
        <v>2449045.6</v>
      </c>
      <c r="H11" s="133">
        <f t="shared" si="2"/>
        <v>2281555</v>
      </c>
      <c r="I11" s="133">
        <f t="shared" si="2"/>
        <v>3422376.8</v>
      </c>
      <c r="J11" s="133">
        <f t="shared" si="2"/>
        <v>5358976.55</v>
      </c>
      <c r="K11" s="133">
        <f t="shared" si="2"/>
        <v>3923796.04</v>
      </c>
      <c r="L11" s="133">
        <f t="shared" si="2"/>
        <v>2490600.5699999998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2824883</v>
      </c>
      <c r="Q11" s="532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531">
        <v>0</v>
      </c>
    </row>
    <row r="13" spans="1:17" ht="13.5">
      <c r="A13" s="126"/>
      <c r="B13" s="127"/>
      <c r="C13" s="134" t="s">
        <v>19</v>
      </c>
      <c r="D13" s="129">
        <f>VALUE(月庫存金額!C10)</f>
        <v>1710555.94</v>
      </c>
      <c r="E13" s="129">
        <f>VALUE(月庫存金額!D10)</f>
        <v>1534112.82</v>
      </c>
      <c r="F13" s="129">
        <f>VALUE(月庫存金額!E10)</f>
        <v>1354194.52</v>
      </c>
      <c r="G13" s="129">
        <f>VALUE(月庫存金額!F10)</f>
        <v>2181402.27</v>
      </c>
      <c r="H13" s="129">
        <f>VALUE(月庫存金額!G10)</f>
        <v>2055329.9</v>
      </c>
      <c r="I13" s="129">
        <f>VALUE(月庫存金額!H10)</f>
        <v>3218402.13</v>
      </c>
      <c r="J13" s="129">
        <f>VALUE(月庫存金額!I10)</f>
        <v>5031748.87</v>
      </c>
      <c r="K13" s="129">
        <f>VALUE(月庫存金額!J10)</f>
        <v>3668339.65</v>
      </c>
      <c r="L13" s="129">
        <f>VALUE(月庫存金額!K10)</f>
        <v>2303254.9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2561927</v>
      </c>
      <c r="Q13" s="531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531">
        <v>0</v>
      </c>
    </row>
    <row r="15" spans="1:17" ht="13.5">
      <c r="A15" s="126"/>
      <c r="B15" s="127"/>
      <c r="C15" s="233" t="s">
        <v>20</v>
      </c>
      <c r="D15" s="129">
        <f>VALUE(月庫存金額!C14)</f>
        <v>279829.61</v>
      </c>
      <c r="E15" s="129">
        <f>VALUE(月庫存金額!D14)</f>
        <v>312786.57</v>
      </c>
      <c r="F15" s="129">
        <f>VALUE(月庫存金額!E14)</f>
        <v>306112.52</v>
      </c>
      <c r="G15" s="129">
        <f>VALUE(月庫存金額!F14)</f>
        <v>267643.33</v>
      </c>
      <c r="H15" s="129">
        <f>VALUE(月庫存金額!G14)</f>
        <v>226225.1</v>
      </c>
      <c r="I15" s="129">
        <f>VALUE(月庫存金額!H14)</f>
        <v>203974.67</v>
      </c>
      <c r="J15" s="129">
        <f>VALUE(月庫存金額!I14)</f>
        <v>327227.68</v>
      </c>
      <c r="K15" s="129">
        <f>VALUE(月庫存金額!J14)</f>
        <v>255456.39</v>
      </c>
      <c r="L15" s="129">
        <f>VALUE(月庫存金額!K14)</f>
        <v>187345.67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262956</v>
      </c>
      <c r="Q15" s="531">
        <v>410834.40910555562</v>
      </c>
    </row>
    <row r="16" spans="1:17" ht="14.25" customHeight="1">
      <c r="A16" s="126"/>
      <c r="B16" s="701" t="s">
        <v>22</v>
      </c>
      <c r="C16" s="702"/>
      <c r="D16" s="133">
        <f>SUM(D17:D23)</f>
        <v>225286503.73000002</v>
      </c>
      <c r="E16" s="133">
        <f>SUM(E17:E23)</f>
        <v>236304490.78</v>
      </c>
      <c r="F16" s="133">
        <f>SUM(F17:F23)</f>
        <v>257612660.65000001</v>
      </c>
      <c r="G16" s="133">
        <f t="shared" ref="G16:O16" si="3">SUM(G17:G23)</f>
        <v>268301065.04000002</v>
      </c>
      <c r="H16" s="133">
        <f t="shared" si="3"/>
        <v>266891925.65000001</v>
      </c>
      <c r="I16" s="133">
        <f t="shared" si="3"/>
        <v>242342201.10999998</v>
      </c>
      <c r="J16" s="133">
        <f t="shared" si="3"/>
        <v>230085266.70000002</v>
      </c>
      <c r="K16" s="133">
        <f t="shared" si="3"/>
        <v>213507399.18000001</v>
      </c>
      <c r="L16" s="133">
        <f t="shared" si="3"/>
        <v>195205403.69999999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237281880</v>
      </c>
      <c r="Q16" s="532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213813987.06</v>
      </c>
      <c r="E17" s="129">
        <f>VALUE(月庫存金額!D3)</f>
        <v>216421676.38999999</v>
      </c>
      <c r="F17" s="129">
        <f>VALUE(月庫存金額!E3)</f>
        <v>230735445.38999999</v>
      </c>
      <c r="G17" s="129">
        <f>VALUE(月庫存金額!F3)</f>
        <v>242111303.37</v>
      </c>
      <c r="H17" s="129">
        <f>VALUE(月庫存金額!G3)</f>
        <v>244365222.22999999</v>
      </c>
      <c r="I17" s="129">
        <f>VALUE(月庫存金額!H3)</f>
        <v>222947344.06999999</v>
      </c>
      <c r="J17" s="129">
        <f>VALUE(月庫存金額!I3)</f>
        <v>213933395.71000001</v>
      </c>
      <c r="K17" s="129">
        <f>VALUE(月庫存金額!J3)</f>
        <v>198708701.61000001</v>
      </c>
      <c r="L17" s="129">
        <f>VALUE(月庫存金額!K3)</f>
        <v>181902705.72999999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218326642</v>
      </c>
      <c r="Q17" s="531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2731882.9</v>
      </c>
      <c r="E18" s="129">
        <f>VALUE(月庫存金額!D13)</f>
        <v>2401477.71</v>
      </c>
      <c r="F18" s="129">
        <f>VALUE(月庫存金額!E13)</f>
        <v>1864895.61</v>
      </c>
      <c r="G18" s="129">
        <f>VALUE(月庫存金額!F13)</f>
        <v>1992262.87</v>
      </c>
      <c r="H18" s="129">
        <f>VALUE(月庫存金額!G13)</f>
        <v>1542560.16</v>
      </c>
      <c r="I18" s="129">
        <f>VALUE(月庫存金額!H13)</f>
        <v>1719172</v>
      </c>
      <c r="J18" s="129">
        <f>VALUE(月庫存金額!I13)</f>
        <v>1379365.87</v>
      </c>
      <c r="K18" s="129">
        <f>VALUE(月庫存金額!J13)</f>
        <v>1827319.19</v>
      </c>
      <c r="L18" s="129">
        <f>VALUE(月庫存金額!K13)</f>
        <v>1482058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1882333</v>
      </c>
      <c r="Q18" s="531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161176</v>
      </c>
      <c r="E19" s="129">
        <f>VALUE(月庫存金額!D21)</f>
        <v>161176</v>
      </c>
      <c r="F19" s="129">
        <f>VALUE(月庫存金額!E21)</f>
        <v>161176</v>
      </c>
      <c r="G19" s="129">
        <f>VALUE(月庫存金額!F21)</f>
        <v>161176</v>
      </c>
      <c r="H19" s="129">
        <f>VALUE(月庫存金額!G21)</f>
        <v>161176</v>
      </c>
      <c r="I19" s="129">
        <f>VALUE(月庫存金額!H21)</f>
        <v>161176</v>
      </c>
      <c r="J19" s="129">
        <f>VALUE(月庫存金額!I21)</f>
        <v>161176</v>
      </c>
      <c r="K19" s="129">
        <f>VALUE(月庫存金額!J21)</f>
        <v>161176</v>
      </c>
      <c r="L19" s="129">
        <f>VALUE(月庫存金額!K21)</f>
        <v>14160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144841</v>
      </c>
      <c r="Q19" s="531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162800</v>
      </c>
      <c r="J20" s="129">
        <f>VALUE(月庫存金額!I20)</f>
        <v>162800</v>
      </c>
      <c r="K20" s="129">
        <f>VALUE(月庫存金額!J20)</f>
        <v>162800</v>
      </c>
      <c r="L20" s="129">
        <f>VALUE(月庫存金額!K20)</f>
        <v>162800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531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8170824.7699999996</v>
      </c>
      <c r="E21" s="129">
        <f>VALUE(月庫存金額!D19)</f>
        <v>16891475.68</v>
      </c>
      <c r="F21" s="129">
        <f>VALUE(月庫存金額!E19)</f>
        <v>24401515.809999999</v>
      </c>
      <c r="G21" s="129">
        <f>VALUE(月庫存金額!F19)</f>
        <v>23605583.469999999</v>
      </c>
      <c r="H21" s="129">
        <f>VALUE(月庫存金額!G19)</f>
        <v>20431667.68</v>
      </c>
      <c r="I21" s="129">
        <f>VALUE(月庫存金額!H19)</f>
        <v>17113762.969999999</v>
      </c>
      <c r="J21" s="129">
        <f>VALUE(月庫存金額!I19)</f>
        <v>14204196.16</v>
      </c>
      <c r="K21" s="129">
        <f>VALUE(月庫存金額!J19)</f>
        <v>12463471.029999999</v>
      </c>
      <c r="L21" s="129">
        <f>VALUE(月庫存金額!K19)</f>
        <v>11430527.57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16523670</v>
      </c>
      <c r="Q21" s="531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97968.03</v>
      </c>
      <c r="G22" s="129">
        <f>VALUE(月庫存金額!F11)</f>
        <v>94797.33</v>
      </c>
      <c r="H22" s="129">
        <f>VALUE(月庫存金額!G11)</f>
        <v>91839</v>
      </c>
      <c r="I22" s="129">
        <f>VALUE(月庫存金額!H11)</f>
        <v>94339</v>
      </c>
      <c r="J22" s="129">
        <f>VALUE(月庫存金額!I11)</f>
        <v>109258.35</v>
      </c>
      <c r="K22" s="129">
        <f>VALUE(月庫存金額!J11)</f>
        <v>98711.9</v>
      </c>
      <c r="L22" s="129">
        <f>VALUE(月庫存金額!K11)</f>
        <v>105870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100718</v>
      </c>
      <c r="Q22" s="531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138994</v>
      </c>
      <c r="E23" s="129">
        <f>VALUE(月庫存金額!D22)</f>
        <v>159046</v>
      </c>
      <c r="F23" s="129">
        <f>VALUE(月庫存金額!E22)</f>
        <v>188859.81</v>
      </c>
      <c r="G23" s="129">
        <f>VALUE(月庫存金額!F22)</f>
        <v>173142</v>
      </c>
      <c r="H23" s="129">
        <f>VALUE(月庫存金額!G22)</f>
        <v>136660.57999999999</v>
      </c>
      <c r="I23" s="129">
        <f>VALUE(月庫存金額!H22)</f>
        <v>143607.07</v>
      </c>
      <c r="J23" s="129">
        <f>VALUE(月庫存金額!I22)</f>
        <v>135074.60999999999</v>
      </c>
      <c r="K23" s="129">
        <f>VALUE(月庫存金額!J22)</f>
        <v>85219.45</v>
      </c>
      <c r="L23" s="129">
        <f>VALUE(月庫存金額!K22)</f>
        <v>107282.4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140876</v>
      </c>
      <c r="Q23" s="531">
        <v>446571.5</v>
      </c>
    </row>
    <row r="24" spans="1:17" ht="14.25" customHeight="1">
      <c r="A24" s="126"/>
      <c r="B24" s="701" t="s">
        <v>30</v>
      </c>
      <c r="C24" s="702"/>
      <c r="D24" s="133">
        <f>SUM(D25:D28)</f>
        <v>13551160.77</v>
      </c>
      <c r="E24" s="133">
        <f t="shared" ref="E24:P24" si="4">SUM(E25:E28)</f>
        <v>14999902.57</v>
      </c>
      <c r="F24" s="133">
        <f t="shared" si="4"/>
        <v>15310385.539999999</v>
      </c>
      <c r="G24" s="133">
        <f t="shared" si="4"/>
        <v>16115786.370000001</v>
      </c>
      <c r="H24" s="133">
        <f t="shared" si="4"/>
        <v>17108652.52</v>
      </c>
      <c r="I24" s="133">
        <f t="shared" si="4"/>
        <v>18640422.030000001</v>
      </c>
      <c r="J24" s="133">
        <f t="shared" si="4"/>
        <v>17205990.93</v>
      </c>
      <c r="K24" s="133">
        <f t="shared" si="4"/>
        <v>18185493.560000002</v>
      </c>
      <c r="L24" s="133">
        <f t="shared" si="4"/>
        <v>14513878.43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16181297</v>
      </c>
      <c r="Q24" s="532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531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531"/>
    </row>
    <row r="27" spans="1:17" ht="13.5">
      <c r="A27" s="126"/>
      <c r="B27" s="254"/>
      <c r="C27" s="134" t="s">
        <v>269</v>
      </c>
      <c r="D27" s="129">
        <f>VALUE(月庫存金額!C25)</f>
        <v>9106516.6799999997</v>
      </c>
      <c r="E27" s="129">
        <f>VALUE(月庫存金額!D25)</f>
        <v>9492109.1099999994</v>
      </c>
      <c r="F27" s="129">
        <f>VALUE(月庫存金額!E25)</f>
        <v>9381405.6099999994</v>
      </c>
      <c r="G27" s="129">
        <f>VALUE(月庫存金額!F25)</f>
        <v>8789643.9000000004</v>
      </c>
      <c r="H27" s="129">
        <f>VALUE(月庫存金額!G25)</f>
        <v>9506818.1600000001</v>
      </c>
      <c r="I27" s="129">
        <f>VALUE(月庫存金額!H25)</f>
        <v>9088702.6699999999</v>
      </c>
      <c r="J27" s="129">
        <f>VALUE(月庫存金額!I25)</f>
        <v>9162485.6099999994</v>
      </c>
      <c r="K27" s="129">
        <f>VALUE(月庫存金額!J25)</f>
        <v>10604485.810000001</v>
      </c>
      <c r="L27" s="129">
        <f>VALUE(月庫存金額!K25)</f>
        <v>7781349.8300000001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9212613</v>
      </c>
      <c r="Q27" s="531"/>
    </row>
    <row r="28" spans="1:17" ht="13.5">
      <c r="A28" s="126"/>
      <c r="B28" s="266"/>
      <c r="C28" s="134" t="s">
        <v>270</v>
      </c>
      <c r="D28" s="129">
        <f>VALUE(月庫存金額!C26)</f>
        <v>4444644.09</v>
      </c>
      <c r="E28" s="129">
        <f>VALUE(月庫存金額!D26)</f>
        <v>5507793.46</v>
      </c>
      <c r="F28" s="129">
        <f>VALUE(月庫存金額!E26)</f>
        <v>5928979.9299999997</v>
      </c>
      <c r="G28" s="129">
        <f>VALUE(月庫存金額!F26)</f>
        <v>7326142.4699999997</v>
      </c>
      <c r="H28" s="129">
        <f>VALUE(月庫存金額!G26)</f>
        <v>7601834.3600000003</v>
      </c>
      <c r="I28" s="129">
        <f>VALUE(月庫存金額!H26)</f>
        <v>9551719.3599999994</v>
      </c>
      <c r="J28" s="129">
        <f>VALUE(月庫存金額!I26)</f>
        <v>8043505.3200000003</v>
      </c>
      <c r="K28" s="129">
        <f>VALUE(月庫存金額!J26)</f>
        <v>7581007.75</v>
      </c>
      <c r="L28" s="129">
        <f>VALUE(月庫存金額!K26)</f>
        <v>6732528.5999999996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6968684</v>
      </c>
      <c r="Q28" s="531"/>
    </row>
    <row r="29" spans="1:17" ht="13.5">
      <c r="A29" s="691" t="s">
        <v>36</v>
      </c>
      <c r="B29" s="692"/>
      <c r="C29" s="139" t="s">
        <v>37</v>
      </c>
      <c r="D29" s="140">
        <f>VALUE(月庫存金額!C15)</f>
        <v>1636322.68</v>
      </c>
      <c r="E29" s="140">
        <f>VALUE(月庫存金額!D15)</f>
        <v>1606880.5</v>
      </c>
      <c r="F29" s="140">
        <f>VALUE(月庫存金額!E15)</f>
        <v>1608277.81</v>
      </c>
      <c r="G29" s="140">
        <f>VALUE(月庫存金額!F15)</f>
        <v>1614727.63</v>
      </c>
      <c r="H29" s="140">
        <f>VALUE(月庫存金額!G15)</f>
        <v>1617368.23</v>
      </c>
      <c r="I29" s="140">
        <f>VALUE(月庫存金額!H15)</f>
        <v>1420197.9</v>
      </c>
      <c r="J29" s="140">
        <f>VALUE(月庫存金額!I15)</f>
        <v>1836.71</v>
      </c>
      <c r="K29" s="140">
        <f>VALUE(月庫存金額!J15)</f>
        <v>896.61</v>
      </c>
      <c r="L29" s="140">
        <f>VALUE(月庫存金額!K15)</f>
        <v>707.67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1056358</v>
      </c>
      <c r="Q29" s="533"/>
    </row>
    <row r="30" spans="1:17" ht="13.5">
      <c r="A30" s="693"/>
      <c r="B30" s="694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534"/>
    </row>
    <row r="31" spans="1:17" ht="13.5">
      <c r="A31" s="693"/>
      <c r="B31" s="694"/>
      <c r="C31" s="239" t="s">
        <v>39</v>
      </c>
      <c r="D31" s="143">
        <f>VALUE(月庫存金額!C17)</f>
        <v>4738534.16</v>
      </c>
      <c r="E31" s="143">
        <f>VALUE(月庫存金額!D17)</f>
        <v>6616871.4299999997</v>
      </c>
      <c r="F31" s="143">
        <f>VALUE(月庫存金額!E17)</f>
        <v>6569016.8700000001</v>
      </c>
      <c r="G31" s="143">
        <f>VALUE(月庫存金額!F17)</f>
        <v>6269507.0999999996</v>
      </c>
      <c r="H31" s="143">
        <f>VALUE(月庫存金額!G17)</f>
        <v>6556006.6100000003</v>
      </c>
      <c r="I31" s="143">
        <f>VALUE(月庫存金額!H17)</f>
        <v>6163283.4299999997</v>
      </c>
      <c r="J31" s="143">
        <f>VALUE(月庫存金額!I17)</f>
        <v>5806256.6500000004</v>
      </c>
      <c r="K31" s="143">
        <f>VALUE(月庫存金額!J17)</f>
        <v>6867741</v>
      </c>
      <c r="L31" s="143">
        <f>VALUE(月庫存金額!K17)</f>
        <v>8028210.0700000003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6401714</v>
      </c>
      <c r="Q31" s="534"/>
    </row>
    <row r="32" spans="1:17" ht="14.1" thickBot="1">
      <c r="A32" s="695"/>
      <c r="B32" s="696"/>
      <c r="C32" s="146" t="s">
        <v>40</v>
      </c>
      <c r="D32" s="147">
        <f>VALUE(月庫存金額!C18)</f>
        <v>12592603.32</v>
      </c>
      <c r="E32" s="147">
        <f>VALUE(月庫存金額!D18)</f>
        <v>10668231.32</v>
      </c>
      <c r="F32" s="147">
        <f>VALUE(月庫存金額!E18)</f>
        <v>11760706.42</v>
      </c>
      <c r="G32" s="147">
        <f>VALUE(月庫存金額!F18)</f>
        <v>10427096.5</v>
      </c>
      <c r="H32" s="147">
        <f>VALUE(月庫存金額!G18)</f>
        <v>9849791.7100000009</v>
      </c>
      <c r="I32" s="147">
        <f>VALUE(月庫存金額!H18)</f>
        <v>9702018.4700000007</v>
      </c>
      <c r="J32" s="147">
        <f>VALUE(月庫存金額!I18)</f>
        <v>9450488.7100000009</v>
      </c>
      <c r="K32" s="147">
        <f>VALUE(月庫存金額!J18)</f>
        <v>9822519.1600000001</v>
      </c>
      <c r="L32" s="147">
        <f>VALUE(月庫存金額!K18)</f>
        <v>10413327.43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10520754</v>
      </c>
      <c r="Q32" s="535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703" t="s">
        <v>1</v>
      </c>
      <c r="B36" s="704"/>
      <c r="C36" s="704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05" t="s">
        <v>9</v>
      </c>
      <c r="B37" s="706"/>
      <c r="C37" s="707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P37" si="5">G38+G45+G50</f>
        <v>645404569</v>
      </c>
      <c r="H37" s="119">
        <f t="shared" si="5"/>
        <v>579344821</v>
      </c>
      <c r="I37" s="119">
        <f t="shared" si="5"/>
        <v>568308124</v>
      </c>
      <c r="J37" s="119">
        <f t="shared" si="5"/>
        <v>549197288</v>
      </c>
      <c r="K37" s="119">
        <f t="shared" si="5"/>
        <v>547790703</v>
      </c>
      <c r="L37" s="119">
        <f t="shared" si="5"/>
        <v>530944701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584110429</v>
      </c>
      <c r="Q37" s="121"/>
    </row>
    <row r="38" spans="1:17" ht="13.5">
      <c r="A38" s="123"/>
      <c r="B38" s="701" t="s">
        <v>10</v>
      </c>
      <c r="C38" s="702"/>
      <c r="D38" s="124">
        <f>SUM(D39:D44)</f>
        <v>354479947</v>
      </c>
      <c r="E38" s="124">
        <f t="shared" ref="E38:P38" si="6">SUM(E39:E44)</f>
        <v>371926023</v>
      </c>
      <c r="F38" s="124">
        <f t="shared" si="6"/>
        <v>357064395</v>
      </c>
      <c r="G38" s="124">
        <f t="shared" si="6"/>
        <v>369063594</v>
      </c>
      <c r="H38" s="124">
        <f t="shared" si="6"/>
        <v>330561041</v>
      </c>
      <c r="I38" s="124">
        <f t="shared" si="6"/>
        <v>322652284</v>
      </c>
      <c r="J38" s="124">
        <f t="shared" si="6"/>
        <v>326066227</v>
      </c>
      <c r="K38" s="124">
        <f t="shared" si="6"/>
        <v>341483124</v>
      </c>
      <c r="L38" s="124">
        <f t="shared" si="6"/>
        <v>326035810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344370272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301522048</v>
      </c>
      <c r="E39" s="130">
        <f>VALUE(月庫存金額!Q2)</f>
        <v>312011790</v>
      </c>
      <c r="F39" s="130">
        <f>VALUE(月庫存金額!R2)</f>
        <v>307804297</v>
      </c>
      <c r="G39" s="130">
        <f>VALUE(月庫存金額!S2)</f>
        <v>311952904</v>
      </c>
      <c r="H39" s="130">
        <f>VALUE(月庫存金額!T2)</f>
        <v>276368546</v>
      </c>
      <c r="I39" s="130">
        <f>VALUE(月庫存金額!U2)</f>
        <v>281059326</v>
      </c>
      <c r="J39" s="130">
        <f>VALUE(月庫存金額!V2)</f>
        <v>268251074</v>
      </c>
      <c r="K39" s="130">
        <f>VALUE(月庫存金額!W2)</f>
        <v>288168798</v>
      </c>
      <c r="L39" s="130">
        <f>VALUE(月庫存金額!X2)</f>
        <v>275700668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291426606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11731801</v>
      </c>
      <c r="E40" s="130">
        <f>VALUE(月庫存金額!Q4)</f>
        <v>6677578</v>
      </c>
      <c r="F40" s="130">
        <f>VALUE(月庫存金額!R4)</f>
        <v>7953023</v>
      </c>
      <c r="G40" s="130">
        <f>VALUE(月庫存金額!S4)</f>
        <v>6400194</v>
      </c>
      <c r="H40" s="130">
        <f>VALUE(月庫存金額!T4)</f>
        <v>7600695</v>
      </c>
      <c r="I40" s="130">
        <f>VALUE(月庫存金額!U4)</f>
        <v>4236251</v>
      </c>
      <c r="J40" s="130">
        <f>VALUE(月庫存金額!V4)</f>
        <v>7059809</v>
      </c>
      <c r="K40" s="130">
        <f>VALUE(月庫存金額!W4)</f>
        <v>5352452</v>
      </c>
      <c r="L40" s="130">
        <f>VALUE(月庫存金額!X4)</f>
        <v>3823169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6759441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11043043</v>
      </c>
      <c r="E41" s="130">
        <f>VALUE(月庫存金額!Q5)</f>
        <v>11016551</v>
      </c>
      <c r="F41" s="130">
        <f>VALUE(月庫存金額!R5)</f>
        <v>6604155</v>
      </c>
      <c r="G41" s="130">
        <f>VALUE(月庫存金額!S5)</f>
        <v>6800876</v>
      </c>
      <c r="H41" s="130">
        <f>VALUE(月庫存金額!T5)</f>
        <v>5117407</v>
      </c>
      <c r="I41" s="130">
        <f>VALUE(月庫存金額!U5)</f>
        <v>4185914</v>
      </c>
      <c r="J41" s="130">
        <f>VALUE(月庫存金額!V5)</f>
        <v>5845604</v>
      </c>
      <c r="K41" s="130">
        <f>VALUE(月庫存金額!W5)</f>
        <v>5889201</v>
      </c>
      <c r="L41" s="130">
        <f>VALUE(月庫存金額!X5)</f>
        <v>5285095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6865316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18962815</v>
      </c>
      <c r="E42" s="130">
        <f>VALUE(月庫存金額!Q6)</f>
        <v>23106428</v>
      </c>
      <c r="F42" s="130">
        <f>VALUE(月庫存金額!R6)</f>
        <v>21071693</v>
      </c>
      <c r="G42" s="130">
        <f>VALUE(月庫存金額!S6)</f>
        <v>21065273</v>
      </c>
      <c r="H42" s="130">
        <f>VALUE(月庫存金額!T6)</f>
        <v>21843172</v>
      </c>
      <c r="I42" s="130">
        <f>VALUE(月庫存金額!U6)</f>
        <v>18530235</v>
      </c>
      <c r="J42" s="130">
        <f>VALUE(月庫存金額!V6)</f>
        <v>22828116</v>
      </c>
      <c r="K42" s="130">
        <f>VALUE(月庫存金額!W6)</f>
        <v>19959865</v>
      </c>
      <c r="L42" s="130">
        <f>VALUE(月庫存金額!X6)</f>
        <v>22350347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21079772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11220240</v>
      </c>
      <c r="E44" s="130">
        <f>VALUE(月庫存金額!Q8)</f>
        <v>19113676</v>
      </c>
      <c r="F44" s="130">
        <f>VALUE(月庫存金額!R8)</f>
        <v>13631227</v>
      </c>
      <c r="G44" s="130">
        <f>VALUE(月庫存金額!S8)</f>
        <v>22844347</v>
      </c>
      <c r="H44" s="130">
        <f>VALUE(月庫存金額!T8)</f>
        <v>19631221</v>
      </c>
      <c r="I44" s="130">
        <f>VALUE(月庫存金額!U8)</f>
        <v>14640558</v>
      </c>
      <c r="J44" s="130">
        <f>VALUE(月庫存金額!V8)</f>
        <v>22081624</v>
      </c>
      <c r="K44" s="130">
        <f>VALUE(月庫存金額!W8)</f>
        <v>22112808</v>
      </c>
      <c r="L44" s="130">
        <f>VALUE(月庫存金額!X8)</f>
        <v>18876531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18239137</v>
      </c>
      <c r="Q44" s="121"/>
    </row>
    <row r="45" spans="1:17" ht="13.5">
      <c r="A45" s="126"/>
      <c r="B45" s="708" t="s">
        <v>17</v>
      </c>
      <c r="C45" s="709"/>
      <c r="D45" s="124">
        <f>SUM(D46:D49)</f>
        <v>2040687</v>
      </c>
      <c r="E45" s="124">
        <f>SUM(E46:E49)</f>
        <v>2030574</v>
      </c>
      <c r="F45" s="124">
        <f>SUM(F46:F49)</f>
        <v>1752264</v>
      </c>
      <c r="G45" s="124">
        <f t="shared" ref="G45:P45" si="7">SUM(G46:G49)</f>
        <v>2885530</v>
      </c>
      <c r="H45" s="124">
        <f t="shared" si="7"/>
        <v>2166290</v>
      </c>
      <c r="I45" s="124">
        <f t="shared" si="7"/>
        <v>4577004</v>
      </c>
      <c r="J45" s="124">
        <f t="shared" si="7"/>
        <v>5083871</v>
      </c>
      <c r="K45" s="124">
        <f t="shared" si="7"/>
        <v>2639650</v>
      </c>
      <c r="L45" s="124">
        <f t="shared" si="7"/>
        <v>2001447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2797479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1745249</v>
      </c>
      <c r="E47" s="130">
        <f>VALUE(月庫存金額!Q10)</f>
        <v>1677636</v>
      </c>
      <c r="F47" s="130">
        <f>VALUE(月庫存金額!R10)</f>
        <v>1480486</v>
      </c>
      <c r="G47" s="130">
        <f>VALUE(月庫存金額!S10)</f>
        <v>2642042</v>
      </c>
      <c r="H47" s="130">
        <f>VALUE(月庫存金額!T10)</f>
        <v>2010192</v>
      </c>
      <c r="I47" s="130">
        <f>VALUE(月庫存金額!U10)</f>
        <v>4185406</v>
      </c>
      <c r="J47" s="130">
        <f>VALUE(月庫存金額!V10)</f>
        <v>4810863</v>
      </c>
      <c r="K47" s="130">
        <f>VALUE(月庫存金額!W10)</f>
        <v>2401962</v>
      </c>
      <c r="L47" s="130">
        <f>VALUE(月庫存金額!X10)</f>
        <v>1843699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2533059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295438</v>
      </c>
      <c r="E49" s="130">
        <f>VALUE(月庫存金額!Q14)</f>
        <v>352938</v>
      </c>
      <c r="F49" s="130">
        <f>VALUE(月庫存金額!R14)</f>
        <v>271778</v>
      </c>
      <c r="G49" s="130">
        <f>VALUE(月庫存金額!S14)</f>
        <v>243488</v>
      </c>
      <c r="H49" s="130">
        <f>VALUE(月庫存金額!T14)</f>
        <v>156098</v>
      </c>
      <c r="I49" s="130">
        <f>VALUE(月庫存金額!U14)</f>
        <v>391598</v>
      </c>
      <c r="J49" s="130">
        <f>VALUE(月庫存金額!V14)</f>
        <v>273008</v>
      </c>
      <c r="K49" s="130">
        <f>VALUE(月庫存金額!W14)</f>
        <v>237688</v>
      </c>
      <c r="L49" s="130">
        <f>VALUE(月庫存金額!X14)</f>
        <v>157748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264420</v>
      </c>
      <c r="Q49" s="121"/>
    </row>
    <row r="50" spans="1:17" ht="16.5" customHeight="1">
      <c r="A50" s="126"/>
      <c r="B50" s="708" t="s">
        <v>22</v>
      </c>
      <c r="C50" s="709"/>
      <c r="D50" s="124">
        <f>SUM(D51:D57)</f>
        <v>230494127</v>
      </c>
      <c r="E50" s="124">
        <f>SUM(E51:E57)</f>
        <v>253496760</v>
      </c>
      <c r="F50" s="124">
        <f>SUM(F51:F57)</f>
        <v>262718885</v>
      </c>
      <c r="G50" s="124">
        <f t="shared" ref="G50:P50" si="8">SUM(G51:G57)</f>
        <v>273455445</v>
      </c>
      <c r="H50" s="124">
        <f t="shared" si="8"/>
        <v>246617490</v>
      </c>
      <c r="I50" s="124">
        <f t="shared" si="8"/>
        <v>241078836</v>
      </c>
      <c r="J50" s="124">
        <f t="shared" si="8"/>
        <v>218047190</v>
      </c>
      <c r="K50" s="124">
        <f t="shared" si="8"/>
        <v>203667929</v>
      </c>
      <c r="L50" s="124">
        <f t="shared" si="8"/>
        <v>202907444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236942678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217348722</v>
      </c>
      <c r="E51" s="130">
        <f>VALUE(月庫存金額!Q3)</f>
        <v>229286452</v>
      </c>
      <c r="F51" s="130">
        <f>VALUE(月庫存金額!R3)</f>
        <v>234536820</v>
      </c>
      <c r="G51" s="130">
        <f>VALUE(月庫存金額!S3)</f>
        <v>249410081</v>
      </c>
      <c r="H51" s="130">
        <f>VALUE(月庫存金額!T3)</f>
        <v>225086945</v>
      </c>
      <c r="I51" s="130">
        <f>VALUE(月庫存金額!U3)</f>
        <v>223263131</v>
      </c>
      <c r="J51" s="130">
        <f>VALUE(月庫存金額!V3)</f>
        <v>202720734</v>
      </c>
      <c r="K51" s="130">
        <f>VALUE(月庫存金額!W3)</f>
        <v>189668191</v>
      </c>
      <c r="L51" s="130">
        <f>VALUE(月庫存金額!X3)</f>
        <v>190048063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217929904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4434328</v>
      </c>
      <c r="E52" s="130">
        <f>VALUE(月庫存金額!Q13)</f>
        <v>2190434</v>
      </c>
      <c r="F52" s="130">
        <f>VALUE(月庫存金額!R13)</f>
        <v>2572318</v>
      </c>
      <c r="G52" s="130">
        <f>VALUE(月庫存金額!S13)</f>
        <v>1381676</v>
      </c>
      <c r="H52" s="130">
        <f>VALUE(月庫存金額!T13)</f>
        <v>2094697</v>
      </c>
      <c r="I52" s="130">
        <f>VALUE(月庫存金額!U13)</f>
        <v>1710449</v>
      </c>
      <c r="J52" s="130">
        <f>VALUE(月庫存金額!V13)</f>
        <v>1838782</v>
      </c>
      <c r="K52" s="130">
        <f>VALUE(月庫存金額!W13)</f>
        <v>2076843</v>
      </c>
      <c r="L52" s="130">
        <f>VALUE(月庫存金額!X13)</f>
        <v>1166682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2162912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161176</v>
      </c>
      <c r="E53" s="130">
        <f>VALUE(月庫存金額!Q21)</f>
        <v>161176</v>
      </c>
      <c r="F53" s="130">
        <f>VALUE(月庫存金額!R21)</f>
        <v>161176</v>
      </c>
      <c r="G53" s="130">
        <f>VALUE(月庫存金額!S21)</f>
        <v>161176</v>
      </c>
      <c r="H53" s="130">
        <f>VALUE(月庫存金額!T21)</f>
        <v>161176</v>
      </c>
      <c r="I53" s="130">
        <f>VALUE(月庫存金額!U21)</f>
        <v>161176</v>
      </c>
      <c r="J53" s="130">
        <f>VALUE(月庫存金額!V21)</f>
        <v>161176</v>
      </c>
      <c r="K53" s="130">
        <f>VALUE(月庫存金額!W21)</f>
        <v>161176</v>
      </c>
      <c r="L53" s="130">
        <f>VALUE(月庫存金額!X21)</f>
        <v>14160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144841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162800</v>
      </c>
      <c r="J54" s="130">
        <f>VALUE(月庫存金額!V20)</f>
        <v>162800</v>
      </c>
      <c r="K54" s="130">
        <f>VALUE(月庫存金額!W20)</f>
        <v>162800</v>
      </c>
      <c r="L54" s="130">
        <f>VALUE(月庫存金額!X20)</f>
        <v>162800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8141268</v>
      </c>
      <c r="E55" s="130">
        <f>VALUE(月庫存金額!Q19)</f>
        <v>21387425</v>
      </c>
      <c r="F55" s="130">
        <f>VALUE(月庫存金額!R19)</f>
        <v>25013368</v>
      </c>
      <c r="G55" s="130">
        <f>VALUE(月庫存金額!S19)</f>
        <v>22038535</v>
      </c>
      <c r="H55" s="130">
        <f>VALUE(月庫存金額!T19)</f>
        <v>18904055</v>
      </c>
      <c r="I55" s="130">
        <f>VALUE(月庫存金額!U19)</f>
        <v>15510521</v>
      </c>
      <c r="J55" s="130">
        <f>VALUE(月庫存金額!V19)</f>
        <v>12938602</v>
      </c>
      <c r="K55" s="130">
        <f>VALUE(月庫存金額!W19)</f>
        <v>11385802</v>
      </c>
      <c r="L55" s="130">
        <f>VALUE(月庫存金額!X19)</f>
        <v>11317748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16293036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93089</v>
      </c>
      <c r="G56" s="130">
        <f>VALUE(月庫存金額!S11)</f>
        <v>91839</v>
      </c>
      <c r="H56" s="130">
        <f>VALUE(月庫存金額!T11)</f>
        <v>91839</v>
      </c>
      <c r="I56" s="130">
        <f>VALUE(月庫存金額!U11)</f>
        <v>106839</v>
      </c>
      <c r="J56" s="130">
        <f>VALUE(月庫存金額!V11)</f>
        <v>106839</v>
      </c>
      <c r="K56" s="130">
        <f>VALUE(月庫存金額!W11)</f>
        <v>97149</v>
      </c>
      <c r="L56" s="130">
        <f>VALUE(月庫存金額!X11)</f>
        <v>106839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100901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138994</v>
      </c>
      <c r="E57" s="130">
        <f>VALUE(月庫存金額!Q22)</f>
        <v>201634</v>
      </c>
      <c r="F57" s="130">
        <f>VALUE(月庫存金額!R22)</f>
        <v>179314</v>
      </c>
      <c r="G57" s="130">
        <f>VALUE(月庫存金額!S22)</f>
        <v>209338</v>
      </c>
      <c r="H57" s="130">
        <f>VALUE(月庫存金額!T22)</f>
        <v>115978</v>
      </c>
      <c r="I57" s="130">
        <f>VALUE(月庫存金額!U22)</f>
        <v>163920</v>
      </c>
      <c r="J57" s="130">
        <f>VALUE(月庫存金額!V22)</f>
        <v>118257</v>
      </c>
      <c r="K57" s="130">
        <f>VALUE(月庫存金額!W22)</f>
        <v>115968</v>
      </c>
      <c r="L57" s="130">
        <f>VALUE(月庫存金額!X22)</f>
        <v>91152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148284</v>
      </c>
      <c r="Q57" s="121"/>
    </row>
    <row r="58" spans="1:17" ht="14.25" customHeight="1">
      <c r="A58" s="126"/>
      <c r="B58" s="701" t="s">
        <v>30</v>
      </c>
      <c r="C58" s="702"/>
      <c r="D58" s="124">
        <f>SUM(D59:D62)</f>
        <v>12472707</v>
      </c>
      <c r="E58" s="124">
        <f t="shared" ref="E58:P58" si="9">SUM(E59:E62)</f>
        <v>16017278</v>
      </c>
      <c r="F58" s="124">
        <f t="shared" si="9"/>
        <v>15562525</v>
      </c>
      <c r="G58" s="124">
        <f t="shared" si="9"/>
        <v>18824480</v>
      </c>
      <c r="H58" s="124">
        <f t="shared" si="9"/>
        <v>21536256</v>
      </c>
      <c r="I58" s="124">
        <f t="shared" si="9"/>
        <v>16108335</v>
      </c>
      <c r="J58" s="124">
        <f t="shared" si="9"/>
        <v>18113942</v>
      </c>
      <c r="K58" s="124">
        <f t="shared" si="9"/>
        <v>15596489</v>
      </c>
      <c r="L58" s="124">
        <f t="shared" si="9"/>
        <v>14641642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16541518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7670141</v>
      </c>
      <c r="E61" s="130">
        <f>VALUE(月庫存金額!Q25)</f>
        <v>10611816</v>
      </c>
      <c r="F61" s="130">
        <f>VALUE(月庫存金額!R25)</f>
        <v>9016362</v>
      </c>
      <c r="G61" s="130">
        <f>VALUE(月庫存金額!S25)</f>
        <v>11070523</v>
      </c>
      <c r="H61" s="130">
        <f>VALUE(月庫存金額!T25)</f>
        <v>11313936</v>
      </c>
      <c r="I61" s="130">
        <f>VALUE(月庫存金額!U25)</f>
        <v>7153933</v>
      </c>
      <c r="J61" s="130">
        <f>VALUE(月庫存金額!V25)</f>
        <v>10230303</v>
      </c>
      <c r="K61" s="130">
        <f>VALUE(月庫存金額!W25)</f>
        <v>7897345</v>
      </c>
      <c r="L61" s="130">
        <f>VALUE(月庫存金額!X25)</f>
        <v>8011452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9219535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4802566</v>
      </c>
      <c r="E62" s="130">
        <f>VALUE(月庫存金額!Q26)</f>
        <v>5405462</v>
      </c>
      <c r="F62" s="130">
        <f>VALUE(月庫存金額!R26)</f>
        <v>6546163</v>
      </c>
      <c r="G62" s="130">
        <f>VALUE(月庫存金額!S26)</f>
        <v>7753957</v>
      </c>
      <c r="H62" s="130">
        <f>VALUE(月庫存金額!T26)</f>
        <v>10222320</v>
      </c>
      <c r="I62" s="130">
        <f>VALUE(月庫存金額!U26)</f>
        <v>8954402</v>
      </c>
      <c r="J62" s="130">
        <f>VALUE(月庫存金額!V26)</f>
        <v>7883639</v>
      </c>
      <c r="K62" s="130">
        <f>VALUE(月庫存金額!W26)</f>
        <v>7699144</v>
      </c>
      <c r="L62" s="130">
        <f>VALUE(月庫存金額!X26)</f>
        <v>6630190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7321983</v>
      </c>
      <c r="Q62" s="121"/>
    </row>
    <row r="63" spans="1:17" ht="13.5">
      <c r="A63" s="691" t="s">
        <v>36</v>
      </c>
      <c r="B63" s="692"/>
      <c r="C63" s="139" t="s">
        <v>37</v>
      </c>
      <c r="D63" s="140">
        <f>VALUE(月庫存金額!P15)</f>
        <v>1605674</v>
      </c>
      <c r="E63" s="140">
        <f>VALUE(月庫存金額!Q15)</f>
        <v>1609870</v>
      </c>
      <c r="F63" s="140">
        <f>VALUE(月庫存金額!R15)</f>
        <v>1605674</v>
      </c>
      <c r="G63" s="140">
        <f>VALUE(月庫存金額!S15)</f>
        <v>1605674</v>
      </c>
      <c r="H63" s="140">
        <f>VALUE(月庫存金額!T15)</f>
        <v>1641175</v>
      </c>
      <c r="I63" s="140">
        <f>VALUE(月庫存金額!U15)</f>
        <v>3712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896864</v>
      </c>
      <c r="Q63" s="121"/>
    </row>
    <row r="64" spans="1:17" ht="14.25" customHeight="1">
      <c r="A64" s="693"/>
      <c r="B64" s="694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693"/>
      <c r="B65" s="694"/>
      <c r="C65" s="239" t="s">
        <v>39</v>
      </c>
      <c r="D65" s="143">
        <f>VALUE(月庫存金額!P17)</f>
        <v>5742313</v>
      </c>
      <c r="E65" s="143">
        <f>VALUE(月庫存金額!Q17)</f>
        <v>8972166</v>
      </c>
      <c r="F65" s="143">
        <f>VALUE(月庫存金額!R17)</f>
        <v>8317135</v>
      </c>
      <c r="G65" s="143">
        <f>VALUE(月庫存金額!S17)</f>
        <v>9516089</v>
      </c>
      <c r="H65" s="143">
        <f>VALUE(月庫存金額!T17)</f>
        <v>8732706</v>
      </c>
      <c r="I65" s="143">
        <f>VALUE(月庫存金額!U17)</f>
        <v>9918985</v>
      </c>
      <c r="J65" s="143">
        <f>VALUE(月庫存金額!V17)</f>
        <v>8631009</v>
      </c>
      <c r="K65" s="143">
        <f>VALUE(月庫存金額!W17)</f>
        <v>12496630</v>
      </c>
      <c r="L65" s="143">
        <f>VALUE(月庫存金額!X17)</f>
        <v>13604767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9547978</v>
      </c>
      <c r="Q65" s="121"/>
    </row>
    <row r="66" spans="1:17" ht="14.1" thickBot="1">
      <c r="A66" s="695"/>
      <c r="B66" s="696"/>
      <c r="C66" s="146" t="s">
        <v>40</v>
      </c>
      <c r="D66" s="147">
        <f>VALUE(月庫存金額!P18)</f>
        <v>11062673</v>
      </c>
      <c r="E66" s="147">
        <f>VALUE(月庫存金額!Q18)</f>
        <v>12466503</v>
      </c>
      <c r="F66" s="147">
        <f>VALUE(月庫存金額!R18)</f>
        <v>10840157</v>
      </c>
      <c r="G66" s="147">
        <f>VALUE(月庫存金額!S18)</f>
        <v>10247940</v>
      </c>
      <c r="H66" s="147">
        <f>VALUE(月庫存金額!T18)</f>
        <v>10635612</v>
      </c>
      <c r="I66" s="147">
        <f>VALUE(月庫存金額!U18)</f>
        <v>9607589</v>
      </c>
      <c r="J66" s="147">
        <f>VALUE(月庫存金額!V18)</f>
        <v>9914938</v>
      </c>
      <c r="K66" s="147">
        <f>VALUE(月庫存金額!W18)</f>
        <v>9957082</v>
      </c>
      <c r="L66" s="147">
        <f>VALUE(月庫存金額!X18)</f>
        <v>10930691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10629243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703" t="s">
        <v>1</v>
      </c>
      <c r="B70" s="704"/>
      <c r="C70" s="704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05" t="s">
        <v>9</v>
      </c>
      <c r="B71" s="706"/>
      <c r="C71" s="707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01" t="s">
        <v>10</v>
      </c>
      <c r="C72" s="702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08" t="s">
        <v>17</v>
      </c>
      <c r="C79" s="710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01" t="s">
        <v>22</v>
      </c>
      <c r="C84" s="702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691" t="s">
        <v>36</v>
      </c>
      <c r="B92" s="692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693"/>
      <c r="B93" s="694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693"/>
      <c r="B94" s="694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695"/>
      <c r="B95" s="696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703" t="s">
        <v>1</v>
      </c>
      <c r="B98" s="704"/>
      <c r="C98" s="704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11" t="s">
        <v>11</v>
      </c>
      <c r="B99" s="712"/>
      <c r="C99" s="712"/>
      <c r="D99" s="187" t="str">
        <f>月供應率ALL!C2</f>
        <v>98.2</v>
      </c>
      <c r="E99" s="187" t="str">
        <f>月供應率ALL!D2</f>
        <v>98</v>
      </c>
      <c r="F99" s="187" t="str">
        <f>月供應率ALL!E2</f>
        <v>98.5</v>
      </c>
      <c r="G99" s="187" t="str">
        <f>月供應率ALL!F2</f>
        <v>98.5</v>
      </c>
      <c r="H99" s="187" t="str">
        <f>月供應率ALL!G2</f>
        <v>98.2</v>
      </c>
      <c r="I99" s="187" t="str">
        <f>月供應率ALL!H2</f>
        <v>97.9</v>
      </c>
      <c r="J99" s="187" t="str">
        <f>月供應率ALL!I2</f>
        <v>97.7</v>
      </c>
      <c r="K99" s="187" t="str">
        <f>月供應率ALL!J2</f>
        <v>97.9</v>
      </c>
      <c r="L99" s="187" t="str">
        <f>月供應率ALL!K2</f>
        <v>97.7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98</v>
      </c>
      <c r="Q99" s="537">
        <v>97.9</v>
      </c>
      <c r="R99" s="713"/>
      <c r="S99" s="714"/>
    </row>
    <row r="100" spans="1:19" ht="13.5">
      <c r="A100" s="699" t="s">
        <v>12</v>
      </c>
      <c r="B100" s="700"/>
      <c r="C100" s="700"/>
      <c r="D100" s="187" t="str">
        <f>月供應率ALL!C4</f>
        <v>99.1</v>
      </c>
      <c r="E100" s="187" t="str">
        <f>月供應率ALL!D4</f>
        <v>99.9</v>
      </c>
      <c r="F100" s="187" t="str">
        <f>月供應率ALL!E4</f>
        <v>100</v>
      </c>
      <c r="G100" s="187" t="str">
        <f>月供應率ALL!F4</f>
        <v>100</v>
      </c>
      <c r="H100" s="187" t="str">
        <f>月供應率ALL!G4</f>
        <v>100</v>
      </c>
      <c r="I100" s="187" t="str">
        <f>月供應率ALL!H4</f>
        <v>99.9</v>
      </c>
      <c r="J100" s="187" t="str">
        <f>月供應率ALL!I4</f>
        <v>100</v>
      </c>
      <c r="K100" s="187" t="str">
        <f>月供應率ALL!J4</f>
        <v>99.9</v>
      </c>
      <c r="L100" s="187" t="str">
        <f>月供應率ALL!K4</f>
        <v>100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99.8</v>
      </c>
      <c r="Q100" s="537">
        <v>99</v>
      </c>
      <c r="R100" s="713"/>
      <c r="S100" s="714"/>
    </row>
    <row r="101" spans="1:19" ht="13.5">
      <c r="A101" s="699" t="s">
        <v>13</v>
      </c>
      <c r="B101" s="700"/>
      <c r="C101" s="700"/>
      <c r="D101" s="187" t="str">
        <f>月供應率ALL!C5</f>
        <v>87.1</v>
      </c>
      <c r="E101" s="187" t="str">
        <f>月供應率ALL!D5</f>
        <v>91.1</v>
      </c>
      <c r="F101" s="187" t="str">
        <f>月供應率ALL!E5</f>
        <v>97.9</v>
      </c>
      <c r="G101" s="187" t="str">
        <f>月供應率ALL!F5</f>
        <v>93.5</v>
      </c>
      <c r="H101" s="187" t="str">
        <f>月供應率ALL!G5</f>
        <v>89</v>
      </c>
      <c r="I101" s="187" t="str">
        <f>月供應率ALL!H5</f>
        <v>86.5</v>
      </c>
      <c r="J101" s="187" t="str">
        <f>月供應率ALL!I5</f>
        <v>82.2</v>
      </c>
      <c r="K101" s="187" t="str">
        <f>月供應率ALL!J5</f>
        <v>91.4</v>
      </c>
      <c r="L101" s="187" t="str">
        <f>月供應率ALL!K5</f>
        <v>83.4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89.1</v>
      </c>
      <c r="Q101" s="537">
        <v>75</v>
      </c>
      <c r="R101" s="713"/>
      <c r="S101" s="714"/>
    </row>
    <row r="102" spans="1:19" ht="13.5">
      <c r="A102" s="699" t="s">
        <v>14</v>
      </c>
      <c r="B102" s="700"/>
      <c r="C102" s="700"/>
      <c r="D102" s="187" t="str">
        <f>月供應率ALL!C6</f>
        <v>99.7</v>
      </c>
      <c r="E102" s="187" t="str">
        <f>月供應率ALL!D6</f>
        <v>99.2</v>
      </c>
      <c r="F102" s="187" t="str">
        <f>月供應率ALL!E6</f>
        <v>99.5</v>
      </c>
      <c r="G102" s="187" t="str">
        <f>月供應率ALL!F6</f>
        <v>99.3</v>
      </c>
      <c r="H102" s="187" t="str">
        <f>月供應率ALL!G6</f>
        <v>99.7</v>
      </c>
      <c r="I102" s="187" t="str">
        <f>月供應率ALL!H6</f>
        <v>99.4</v>
      </c>
      <c r="J102" s="187" t="str">
        <f>月供應率ALL!I6</f>
        <v>99.7</v>
      </c>
      <c r="K102" s="187" t="str">
        <f>月供應率ALL!J6</f>
        <v>99.4</v>
      </c>
      <c r="L102" s="187" t="str">
        <f>月供應率ALL!K6</f>
        <v>99.4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99.4</v>
      </c>
      <c r="Q102" s="537">
        <v>99</v>
      </c>
      <c r="R102" s="713"/>
      <c r="S102" s="714"/>
    </row>
    <row r="103" spans="1:19" ht="13.5">
      <c r="A103" s="699" t="s">
        <v>21</v>
      </c>
      <c r="B103" s="700"/>
      <c r="C103" s="700"/>
      <c r="D103" s="187" t="str">
        <f>月供應率ALL!C23</f>
        <v>94.7</v>
      </c>
      <c r="E103" s="187" t="str">
        <f>月供應率ALL!D23</f>
        <v>94.7</v>
      </c>
      <c r="F103" s="187" t="str">
        <f>月供應率ALL!E23</f>
        <v>94.4</v>
      </c>
      <c r="G103" s="187" t="str">
        <f>月供應率ALL!F23</f>
        <v>95.9</v>
      </c>
      <c r="H103" s="187" t="str">
        <f>月供應率ALL!G23</f>
        <v>94.4</v>
      </c>
      <c r="I103" s="187" t="str">
        <f>月供應率ALL!H23</f>
        <v>94.5</v>
      </c>
      <c r="J103" s="187" t="str">
        <f>月供應率ALL!I23</f>
        <v>90.8</v>
      </c>
      <c r="K103" s="187" t="str">
        <f>月供應率ALL!J23</f>
        <v>92.6</v>
      </c>
      <c r="L103" s="187" t="str">
        <f>月供應率ALL!K23</f>
        <v>94.1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94</v>
      </c>
      <c r="Q103" s="537">
        <v>92</v>
      </c>
      <c r="R103" s="713"/>
      <c r="S103" s="714"/>
    </row>
    <row r="104" spans="1:19" ht="13.5">
      <c r="A104" s="699" t="s">
        <v>16</v>
      </c>
      <c r="B104" s="700"/>
      <c r="C104" s="700"/>
      <c r="D104" s="187" t="str">
        <f>月供應率ALL!C8</f>
        <v>98</v>
      </c>
      <c r="E104" s="187" t="str">
        <f>月供應率ALL!D8</f>
        <v>98.5</v>
      </c>
      <c r="F104" s="187" t="str">
        <f>月供應率ALL!E8</f>
        <v>98.8</v>
      </c>
      <c r="G104" s="187" t="str">
        <f>月供應率ALL!F8</f>
        <v>98.9</v>
      </c>
      <c r="H104" s="187" t="str">
        <f>月供應率ALL!G8</f>
        <v>98</v>
      </c>
      <c r="I104" s="187" t="str">
        <f>月供應率ALL!H8</f>
        <v>98.2</v>
      </c>
      <c r="J104" s="187" t="str">
        <f>月供應率ALL!I8</f>
        <v>97.7</v>
      </c>
      <c r="K104" s="187" t="str">
        <f>月供應率ALL!J8</f>
        <v>98.6</v>
      </c>
      <c r="L104" s="187" t="str">
        <f>月供應率ALL!K8</f>
        <v>97.8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98.2</v>
      </c>
      <c r="Q104" s="537">
        <v>95</v>
      </c>
      <c r="R104" s="713"/>
      <c r="S104" s="714"/>
    </row>
    <row r="105" spans="1:19" ht="13.5">
      <c r="A105" s="697" t="s">
        <v>17</v>
      </c>
      <c r="B105" s="698"/>
      <c r="C105" s="698"/>
      <c r="D105" s="187" t="str">
        <f>月供應率ALL!C9</f>
        <v>98.6</v>
      </c>
      <c r="E105" s="187" t="str">
        <f>月供應率ALL!D9</f>
        <v>94.7</v>
      </c>
      <c r="F105" s="187" t="str">
        <f>月供應率ALL!E9</f>
        <v>91.2</v>
      </c>
      <c r="G105" s="187" t="str">
        <f>月供應率ALL!F9</f>
        <v>99.7</v>
      </c>
      <c r="H105" s="187" t="str">
        <f>月供應率ALL!G9</f>
        <v>96.2</v>
      </c>
      <c r="I105" s="187" t="str">
        <f>月供應率ALL!H9</f>
        <v>95.9</v>
      </c>
      <c r="J105" s="187" t="str">
        <f>月供應率ALL!I9</f>
        <v>100</v>
      </c>
      <c r="K105" s="187" t="str">
        <f>月供應率ALL!J9</f>
        <v>98.3</v>
      </c>
      <c r="L105" s="187" t="str">
        <f>月供應率ALL!K9</f>
        <v>90.7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96.1</v>
      </c>
      <c r="Q105" s="537">
        <v>95</v>
      </c>
      <c r="R105" s="713"/>
      <c r="S105" s="714"/>
    </row>
    <row r="106" spans="1:19" ht="13.5">
      <c r="A106" s="722" t="s">
        <v>49</v>
      </c>
      <c r="B106" s="723"/>
      <c r="C106" s="724"/>
      <c r="D106" s="256" t="str">
        <f>月供應率ALL!C10</f>
        <v>98.3</v>
      </c>
      <c r="E106" s="256" t="str">
        <f>月供應率ALL!D10</f>
        <v>98.1</v>
      </c>
      <c r="F106" s="256" t="str">
        <f>月供應率ALL!E10</f>
        <v>98.5</v>
      </c>
      <c r="G106" s="256" t="str">
        <f>月供應率ALL!F10</f>
        <v>98.6</v>
      </c>
      <c r="H106" s="256" t="str">
        <f>月供應率ALL!G10</f>
        <v>98.3</v>
      </c>
      <c r="I106" s="256" t="str">
        <f>月供應率ALL!H10</f>
        <v>98</v>
      </c>
      <c r="J106" s="256" t="str">
        <f>月供應率ALL!I10</f>
        <v>97.8</v>
      </c>
      <c r="K106" s="256" t="str">
        <f>月供應率ALL!J10</f>
        <v>98</v>
      </c>
      <c r="L106" s="256" t="str">
        <f>月供應率ALL!K10</f>
        <v>97.9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98.1</v>
      </c>
      <c r="Q106" s="538">
        <v>97.8</v>
      </c>
      <c r="R106" s="240"/>
      <c r="S106" s="241"/>
    </row>
    <row r="107" spans="1:19" ht="13.5">
      <c r="A107" s="699" t="s">
        <v>276</v>
      </c>
      <c r="B107" s="700"/>
      <c r="C107" s="700"/>
      <c r="D107" s="187" t="str">
        <f>月供應率ALL!C3</f>
        <v>97.7</v>
      </c>
      <c r="E107" s="187" t="str">
        <f>月供應率ALL!D3</f>
        <v>98.1</v>
      </c>
      <c r="F107" s="187" t="str">
        <f>月供應率ALL!E3</f>
        <v>98.4</v>
      </c>
      <c r="G107" s="187" t="str">
        <f>月供應率ALL!F3</f>
        <v>98.6</v>
      </c>
      <c r="H107" s="187" t="str">
        <f>月供應率ALL!G3</f>
        <v>98.5</v>
      </c>
      <c r="I107" s="187" t="str">
        <f>月供應率ALL!H3</f>
        <v>98.2</v>
      </c>
      <c r="J107" s="187" t="str">
        <f>月供應率ALL!I3</f>
        <v>98.2</v>
      </c>
      <c r="K107" s="187" t="str">
        <f>月供應率ALL!J3</f>
        <v>98.1</v>
      </c>
      <c r="L107" s="187" t="str">
        <f>月供應率ALL!K3</f>
        <v>97.5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98.1</v>
      </c>
      <c r="Q107" s="537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96</v>
      </c>
      <c r="E108" s="189" t="str">
        <f>月供應率ALL!D11</f>
        <v>99.6</v>
      </c>
      <c r="F108" s="189" t="str">
        <f>月供應率ALL!E11</f>
        <v>100</v>
      </c>
      <c r="G108" s="189" t="str">
        <f>月供應率ALL!F11</f>
        <v>100</v>
      </c>
      <c r="H108" s="189" t="str">
        <f>月供應率ALL!G11</f>
        <v>99.6</v>
      </c>
      <c r="I108" s="189" t="str">
        <f>月供應率ALL!H11</f>
        <v>100</v>
      </c>
      <c r="J108" s="189" t="str">
        <f>月供應率ALL!I11</f>
        <v>99.8</v>
      </c>
      <c r="K108" s="189" t="str">
        <f>月供應率ALL!J11</f>
        <v>100</v>
      </c>
      <c r="L108" s="189" t="str">
        <f>月供應率ALL!K11</f>
        <v>100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99.4</v>
      </c>
      <c r="Q108" s="539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95</v>
      </c>
      <c r="E109" s="189" t="str">
        <f>月供應率ALL!D12</f>
        <v>96</v>
      </c>
      <c r="F109" s="189" t="str">
        <f>月供應率ALL!E12</f>
        <v>96.5</v>
      </c>
      <c r="G109" s="189" t="str">
        <f>月供應率ALL!F12</f>
        <v>97.7</v>
      </c>
      <c r="H109" s="189" t="str">
        <f>月供應率ALL!G12</f>
        <v>95.8</v>
      </c>
      <c r="I109" s="189" t="str">
        <f>月供應率ALL!H12</f>
        <v>97.7</v>
      </c>
      <c r="J109" s="189" t="str">
        <f>月供應率ALL!I12</f>
        <v>97.3</v>
      </c>
      <c r="K109" s="189" t="str">
        <f>月供應率ALL!J12</f>
        <v>98.7</v>
      </c>
      <c r="L109" s="189" t="str">
        <f>月供應率ALL!K12</f>
        <v>98.5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97</v>
      </c>
      <c r="Q109" s="539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96.9</v>
      </c>
      <c r="E110" s="189" t="str">
        <f>月供應率ALL!D13</f>
        <v>95.4</v>
      </c>
      <c r="F110" s="189" t="str">
        <f>月供應率ALL!E13</f>
        <v>95.5</v>
      </c>
      <c r="G110" s="189" t="str">
        <f>月供應率ALL!F13</f>
        <v>96.6</v>
      </c>
      <c r="H110" s="189" t="str">
        <f>月供應率ALL!G13</f>
        <v>97.4</v>
      </c>
      <c r="I110" s="189" t="str">
        <f>月供應率ALL!H13</f>
        <v>96.8</v>
      </c>
      <c r="J110" s="189" t="str">
        <f>月供應率ALL!I13</f>
        <v>97.2</v>
      </c>
      <c r="K110" s="189" t="str">
        <f>月供應率ALL!J13</f>
        <v>95.6</v>
      </c>
      <c r="L110" s="189" t="str">
        <f>月供應率ALL!K13</f>
        <v>96.2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96.4</v>
      </c>
      <c r="Q110" s="539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83</v>
      </c>
      <c r="E111" s="189" t="str">
        <f>月供應率ALL!D14</f>
        <v>87.4</v>
      </c>
      <c r="F111" s="189" t="str">
        <f>月供應率ALL!E14</f>
        <v>94.2</v>
      </c>
      <c r="G111" s="189" t="str">
        <f>月供應率ALL!F14</f>
        <v>96.6</v>
      </c>
      <c r="H111" s="189" t="str">
        <f>月供應率ALL!G14</f>
        <v>95.6</v>
      </c>
      <c r="I111" s="189" t="str">
        <f>月供應率ALL!H14</f>
        <v>96.4</v>
      </c>
      <c r="J111" s="189" t="str">
        <f>月供應率ALL!I14</f>
        <v>98.2</v>
      </c>
      <c r="K111" s="189" t="str">
        <f>月供應率ALL!J14</f>
        <v>93.8</v>
      </c>
      <c r="L111" s="189" t="str">
        <f>月供應率ALL!K14</f>
        <v>92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93</v>
      </c>
      <c r="Q111" s="539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100</v>
      </c>
      <c r="G112" s="189" t="str">
        <f>月供應率ALL!F15</f>
        <v>50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100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27.7</v>
      </c>
      <c r="Q112" s="539"/>
      <c r="R112" s="240"/>
      <c r="S112" s="241"/>
    </row>
    <row r="113" spans="1:21" ht="14.1" thickBot="1">
      <c r="A113" s="725" t="s">
        <v>50</v>
      </c>
      <c r="B113" s="726"/>
      <c r="C113" s="726"/>
      <c r="D113" s="190" t="str">
        <f>月供應率ALL!C16</f>
        <v>96.9</v>
      </c>
      <c r="E113" s="190" t="str">
        <f>月供應率ALL!D16</f>
        <v>97.2</v>
      </c>
      <c r="F113" s="190" t="str">
        <f>月供應率ALL!E16</f>
        <v>97.7</v>
      </c>
      <c r="G113" s="190" t="str">
        <f>月供應率ALL!F16</f>
        <v>98.2</v>
      </c>
      <c r="H113" s="190" t="str">
        <f>月供應率ALL!G16</f>
        <v>98.2</v>
      </c>
      <c r="I113" s="190" t="str">
        <f>月供應率ALL!H16</f>
        <v>98</v>
      </c>
      <c r="J113" s="190" t="str">
        <f>月供應率ALL!I16</f>
        <v>98.1</v>
      </c>
      <c r="K113" s="190" t="str">
        <f>月供應率ALL!J16</f>
        <v>97.6</v>
      </c>
      <c r="L113" s="190" t="str">
        <f>月供應率ALL!K16</f>
        <v>97.2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97.6</v>
      </c>
      <c r="Q113" s="540"/>
      <c r="R113" s="713"/>
      <c r="S113" s="714"/>
    </row>
    <row r="114" spans="1:21" ht="16.5" customHeight="1">
      <c r="A114" s="727" t="s">
        <v>31</v>
      </c>
      <c r="B114" s="728"/>
      <c r="C114" s="729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41"/>
      <c r="R114" s="240"/>
      <c r="S114" s="241"/>
    </row>
    <row r="115" spans="1:21" ht="13.5">
      <c r="A115" s="719" t="s">
        <v>32</v>
      </c>
      <c r="B115" s="720"/>
      <c r="C115" s="721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37"/>
      <c r="R115" s="240"/>
      <c r="S115" s="241"/>
    </row>
    <row r="116" spans="1:21" ht="13.5">
      <c r="A116" s="719" t="s">
        <v>33</v>
      </c>
      <c r="B116" s="720"/>
      <c r="C116" s="721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37"/>
      <c r="R116" s="240"/>
      <c r="S116" s="241"/>
    </row>
    <row r="117" spans="1:21" ht="13.5">
      <c r="A117" s="719" t="s">
        <v>34</v>
      </c>
      <c r="B117" s="720"/>
      <c r="C117" s="721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37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37"/>
      <c r="R118" s="240"/>
      <c r="S118" s="241"/>
    </row>
    <row r="119" spans="1:21" ht="15" customHeight="1" thickBot="1">
      <c r="A119" s="736" t="s">
        <v>30</v>
      </c>
      <c r="B119" s="737"/>
      <c r="C119" s="738"/>
      <c r="D119" s="190" t="str">
        <f>月供應率ALL!C21</f>
        <v>85.5</v>
      </c>
      <c r="E119" s="190" t="str">
        <f>月供應率ALL!D21</f>
        <v>80.7</v>
      </c>
      <c r="F119" s="190" t="str">
        <f>月供應率ALL!E21</f>
        <v>90.7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100</v>
      </c>
      <c r="J119" s="190" t="str">
        <f>月供應率ALL!I21</f>
        <v>100</v>
      </c>
      <c r="K119" s="190" t="str">
        <f>月供應率ALL!J21</f>
        <v>100</v>
      </c>
      <c r="L119" s="190" t="str">
        <f>月供應率ALL!K21</f>
        <v>98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94.9</v>
      </c>
      <c r="Q119" s="540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703" t="s">
        <v>1</v>
      </c>
      <c r="B123" s="704"/>
      <c r="C123" s="704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713"/>
      <c r="S123" s="714"/>
    </row>
    <row r="124" spans="1:21" s="198" customFormat="1">
      <c r="A124" s="717" t="s">
        <v>52</v>
      </c>
      <c r="B124" s="718"/>
      <c r="C124" s="718"/>
      <c r="D124" s="195" t="str">
        <f>月供應率!D2</f>
        <v>98.1</v>
      </c>
      <c r="E124" s="195" t="str">
        <f>月供應率!E2</f>
        <v>97.8</v>
      </c>
      <c r="F124" s="195" t="str">
        <f>月供應率!F2</f>
        <v>98.6</v>
      </c>
      <c r="G124" s="195" t="str">
        <f>月供應率!G2</f>
        <v>98.7</v>
      </c>
      <c r="H124" s="195" t="str">
        <f>月供應率!H2</f>
        <v>98.5</v>
      </c>
      <c r="I124" s="195" t="str">
        <f>月供應率!I2</f>
        <v>98.1</v>
      </c>
      <c r="J124" s="195" t="str">
        <f>月供應率!J2</f>
        <v>97.8</v>
      </c>
      <c r="K124" s="195" t="str">
        <f>月供應率!K2</f>
        <v>97.7</v>
      </c>
      <c r="L124" s="195" t="str">
        <f>月供應率!L2</f>
        <v>97.4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98.1</v>
      </c>
      <c r="Q124" s="197"/>
      <c r="R124" s="713"/>
      <c r="S124" s="714"/>
      <c r="T124" s="114"/>
      <c r="U124" s="114"/>
    </row>
    <row r="125" spans="1:21" s="198" customFormat="1">
      <c r="A125" s="715" t="s">
        <v>53</v>
      </c>
      <c r="B125" s="716"/>
      <c r="C125" s="716"/>
      <c r="D125" s="195" t="str">
        <f>月供應率!D3</f>
        <v>98.4</v>
      </c>
      <c r="E125" s="195" t="str">
        <f>月供應率!E3</f>
        <v>98.4</v>
      </c>
      <c r="F125" s="195" t="str">
        <f>月供應率!F3</f>
        <v>98.6</v>
      </c>
      <c r="G125" s="195" t="str">
        <f>月供應率!G3</f>
        <v>98.7</v>
      </c>
      <c r="H125" s="195" t="str">
        <f>月供應率!H3</f>
        <v>98.2</v>
      </c>
      <c r="I125" s="195" t="str">
        <f>月供應率!I3</f>
        <v>97.8</v>
      </c>
      <c r="J125" s="195" t="str">
        <f>月供應率!J3</f>
        <v>97.8</v>
      </c>
      <c r="K125" s="195" t="str">
        <f>月供應率!K3</f>
        <v>98.3</v>
      </c>
      <c r="L125" s="195" t="str">
        <f>月供應率!L3</f>
        <v>98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98.2</v>
      </c>
      <c r="Q125" s="197"/>
      <c r="R125" s="713"/>
      <c r="S125" s="714"/>
      <c r="T125" s="114"/>
      <c r="U125" s="114"/>
    </row>
    <row r="126" spans="1:21" s="198" customFormat="1">
      <c r="A126" s="715" t="s">
        <v>54</v>
      </c>
      <c r="B126" s="716"/>
      <c r="C126" s="716"/>
      <c r="D126" s="195" t="str">
        <f>月供應率!D4</f>
        <v>99.3</v>
      </c>
      <c r="E126" s="195" t="str">
        <f>月供應率!E4</f>
        <v>99.3</v>
      </c>
      <c r="F126" s="195" t="str">
        <f>月供應率!F4</f>
        <v>99.4</v>
      </c>
      <c r="G126" s="195" t="str">
        <f>月供應率!G4</f>
        <v>99.4</v>
      </c>
      <c r="H126" s="195" t="str">
        <f>月供應率!H4</f>
        <v>99.2</v>
      </c>
      <c r="I126" s="195" t="str">
        <f>月供應率!I4</f>
        <v>99.1</v>
      </c>
      <c r="J126" s="195" t="str">
        <f>月供應率!J4</f>
        <v>99.3</v>
      </c>
      <c r="K126" s="195" t="str">
        <f>月供應率!K4</f>
        <v>99.1</v>
      </c>
      <c r="L126" s="195" t="str">
        <f>月供應率!L4</f>
        <v>99.2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99.3</v>
      </c>
      <c r="Q126" s="197"/>
      <c r="R126" s="713"/>
      <c r="S126" s="714"/>
      <c r="T126" s="114"/>
      <c r="U126" s="114"/>
    </row>
    <row r="127" spans="1:21" s="198" customFormat="1">
      <c r="A127" s="741" t="s">
        <v>55</v>
      </c>
      <c r="B127" s="742"/>
      <c r="C127" s="743"/>
      <c r="D127" s="199" t="str">
        <f>月供應率!D5</f>
        <v>98.3</v>
      </c>
      <c r="E127" s="199" t="str">
        <f>月供應率!E5</f>
        <v>98.2</v>
      </c>
      <c r="F127" s="199" t="str">
        <f>月供應率!F5</f>
        <v>98.7</v>
      </c>
      <c r="G127" s="199" t="str">
        <f>月供應率!G5</f>
        <v>98.7</v>
      </c>
      <c r="H127" s="199" t="str">
        <f>月供應率!H5</f>
        <v>98.5</v>
      </c>
      <c r="I127" s="199" t="str">
        <f>月供應率!I5</f>
        <v>98.1</v>
      </c>
      <c r="J127" s="199" t="str">
        <f>月供應率!J5</f>
        <v>98</v>
      </c>
      <c r="K127" s="199" t="str">
        <f>月供應率!K5</f>
        <v>98.1</v>
      </c>
      <c r="L127" s="199" t="str">
        <f>月供應率!L5</f>
        <v>97.9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98.3</v>
      </c>
      <c r="Q127" s="197"/>
      <c r="R127" s="713"/>
      <c r="S127" s="714"/>
      <c r="T127" s="114"/>
      <c r="U127" s="114"/>
    </row>
    <row r="128" spans="1:21" s="198" customFormat="1">
      <c r="A128" s="715" t="s">
        <v>12</v>
      </c>
      <c r="B128" s="716"/>
      <c r="C128" s="716"/>
      <c r="D128" s="195" t="str">
        <f>月供應率!D7</f>
        <v>99.2</v>
      </c>
      <c r="E128" s="195" t="str">
        <f>月供應率!E7</f>
        <v>99.9</v>
      </c>
      <c r="F128" s="195" t="str">
        <f>月供應率!F7</f>
        <v>99.9</v>
      </c>
      <c r="G128" s="195" t="str">
        <f>月供應率!G7</f>
        <v>99.9</v>
      </c>
      <c r="H128" s="195" t="str">
        <f>月供應率!H7</f>
        <v>99.9</v>
      </c>
      <c r="I128" s="195" t="str">
        <f>月供應率!I7</f>
        <v>99.9</v>
      </c>
      <c r="J128" s="195" t="str">
        <f>月供應率!J7</f>
        <v>100</v>
      </c>
      <c r="K128" s="195" t="str">
        <f>月供應率!K7</f>
        <v>99.9</v>
      </c>
      <c r="L128" s="195" t="str">
        <f>月供應率!L7</f>
        <v>99.9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99.8</v>
      </c>
      <c r="Q128" s="197"/>
      <c r="R128" s="713"/>
      <c r="S128" s="714"/>
      <c r="T128" s="114"/>
      <c r="U128" s="114"/>
    </row>
    <row r="129" spans="1:21" s="198" customFormat="1">
      <c r="A129" s="715" t="s">
        <v>13</v>
      </c>
      <c r="B129" s="716"/>
      <c r="C129" s="716"/>
      <c r="D129" s="195" t="str">
        <f>月供應率!D8</f>
        <v>84.5</v>
      </c>
      <c r="E129" s="195" t="str">
        <f>月供應率!E8</f>
        <v>93.9</v>
      </c>
      <c r="F129" s="195" t="str">
        <f>月供應率!F8</f>
        <v>92</v>
      </c>
      <c r="G129" s="195" t="str">
        <f>月供應率!G8</f>
        <v>85.9</v>
      </c>
      <c r="H129" s="195" t="str">
        <f>月供應率!H8</f>
        <v>92.2</v>
      </c>
      <c r="I129" s="195" t="str">
        <f>月供應率!I8</f>
        <v>87.8</v>
      </c>
      <c r="J129" s="195" t="str">
        <f>月供應率!J8</f>
        <v>83.4</v>
      </c>
      <c r="K129" s="195" t="str">
        <f>月供應率!K8</f>
        <v>91.7</v>
      </c>
      <c r="L129" s="195" t="str">
        <f>月供應率!L8</f>
        <v>82.6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88.2</v>
      </c>
      <c r="Q129" s="197"/>
      <c r="R129" s="713"/>
      <c r="S129" s="714"/>
      <c r="T129" s="114"/>
      <c r="U129" s="114"/>
    </row>
    <row r="130" spans="1:21" s="198" customFormat="1">
      <c r="A130" s="715" t="s">
        <v>14</v>
      </c>
      <c r="B130" s="716"/>
      <c r="C130" s="716"/>
      <c r="D130" s="195" t="str">
        <f>月供應率!D9</f>
        <v>99.7</v>
      </c>
      <c r="E130" s="195" t="str">
        <f>月供應率!E9</f>
        <v>99.2</v>
      </c>
      <c r="F130" s="195" t="str">
        <f>月供應率!F9</f>
        <v>99.5</v>
      </c>
      <c r="G130" s="195" t="str">
        <f>月供應率!G9</f>
        <v>99.3</v>
      </c>
      <c r="H130" s="195" t="str">
        <f>月供應率!H9</f>
        <v>99.6</v>
      </c>
      <c r="I130" s="195" t="str">
        <f>月供應率!I9</f>
        <v>99.4</v>
      </c>
      <c r="J130" s="195" t="str">
        <f>月供應率!J9</f>
        <v>99.7</v>
      </c>
      <c r="K130" s="195" t="str">
        <f>月供應率!K9</f>
        <v>99.4</v>
      </c>
      <c r="L130" s="195" t="str">
        <f>月供應率!L9</f>
        <v>99.4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99.5</v>
      </c>
      <c r="Q130" s="197"/>
      <c r="R130" s="713"/>
      <c r="S130" s="714"/>
      <c r="T130" s="114"/>
      <c r="U130" s="114"/>
    </row>
    <row r="131" spans="1:21" s="198" customFormat="1">
      <c r="A131" s="715" t="s">
        <v>21</v>
      </c>
      <c r="B131" s="716"/>
      <c r="C131" s="716"/>
      <c r="D131" s="195" t="str">
        <f>月供應率!D22</f>
        <v>96</v>
      </c>
      <c r="E131" s="195" t="str">
        <f>月供應率!E22</f>
        <v>96.2</v>
      </c>
      <c r="F131" s="195" t="str">
        <f>月供應率!F22</f>
        <v>95.8</v>
      </c>
      <c r="G131" s="195" t="str">
        <f>月供應率!G22</f>
        <v>96.9</v>
      </c>
      <c r="H131" s="195" t="str">
        <f>月供應率!H22</f>
        <v>95.8</v>
      </c>
      <c r="I131" s="195" t="str">
        <f>月供應率!I22</f>
        <v>95.4</v>
      </c>
      <c r="J131" s="195" t="str">
        <f>月供應率!J22</f>
        <v>91.7</v>
      </c>
      <c r="K131" s="195" t="str">
        <f>月供應率!K22</f>
        <v>93.7</v>
      </c>
      <c r="L131" s="195" t="str">
        <f>月供應率!L22</f>
        <v>95.1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95.2</v>
      </c>
      <c r="Q131" s="197"/>
      <c r="R131" s="713"/>
      <c r="S131" s="714"/>
      <c r="T131" s="114"/>
      <c r="U131" s="114"/>
    </row>
    <row r="132" spans="1:21" s="198" customFormat="1" ht="12.95" thickBot="1">
      <c r="A132" s="734" t="s">
        <v>16</v>
      </c>
      <c r="B132" s="735"/>
      <c r="C132" s="735"/>
      <c r="D132" s="201" t="str">
        <f>月供應率!D11</f>
        <v>98</v>
      </c>
      <c r="E132" s="201" t="str">
        <f>月供應率!E11</f>
        <v>98.5</v>
      </c>
      <c r="F132" s="201" t="str">
        <f>月供應率!F11</f>
        <v>98.8</v>
      </c>
      <c r="G132" s="201" t="str">
        <f>月供應率!G11</f>
        <v>98.9</v>
      </c>
      <c r="H132" s="201" t="str">
        <f>月供應率!H11</f>
        <v>98</v>
      </c>
      <c r="I132" s="201" t="str">
        <f>月供應率!I11</f>
        <v>98.1</v>
      </c>
      <c r="J132" s="201" t="str">
        <f>月供應率!J11</f>
        <v>97.6</v>
      </c>
      <c r="K132" s="201" t="str">
        <f>月供應率!K11</f>
        <v>98.6</v>
      </c>
      <c r="L132" s="201" t="str">
        <f>月供應率!L11</f>
        <v>97.9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98.3</v>
      </c>
      <c r="Q132" s="197"/>
      <c r="R132" s="240"/>
      <c r="S132" s="241"/>
      <c r="T132" s="114"/>
      <c r="U132" s="114"/>
    </row>
    <row r="133" spans="1:21" s="198" customFormat="1">
      <c r="A133" s="715" t="s">
        <v>23</v>
      </c>
      <c r="B133" s="716"/>
      <c r="C133" s="716"/>
      <c r="D133" s="195" t="str">
        <f>月供應率!D6</f>
        <v>98.2</v>
      </c>
      <c r="E133" s="195" t="str">
        <f>月供應率!E6</f>
        <v>98.7</v>
      </c>
      <c r="F133" s="195" t="str">
        <f>月供應率!F6</f>
        <v>99</v>
      </c>
      <c r="G133" s="195" t="str">
        <f>月供應率!G6</f>
        <v>99.2</v>
      </c>
      <c r="H133" s="195" t="str">
        <f>月供應率!H6</f>
        <v>99.1</v>
      </c>
      <c r="I133" s="195" t="str">
        <f>月供應率!I6</f>
        <v>98.9</v>
      </c>
      <c r="J133" s="195" t="str">
        <f>月供應率!J6</f>
        <v>98.9</v>
      </c>
      <c r="K133" s="195" t="str">
        <f>月供應率!K6</f>
        <v>98.8</v>
      </c>
      <c r="L133" s="195" t="str">
        <f>月供應率!L6</f>
        <v>98.2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98.8</v>
      </c>
      <c r="Q133" s="197"/>
      <c r="R133" s="240"/>
      <c r="S133" s="241"/>
      <c r="T133" s="114"/>
      <c r="U133" s="114"/>
    </row>
    <row r="134" spans="1:21" s="198" customFormat="1">
      <c r="A134" s="744" t="s">
        <v>24</v>
      </c>
      <c r="B134" s="745"/>
      <c r="C134" s="746"/>
      <c r="D134" s="260" t="str">
        <f>月供應率!D12</f>
        <v>95.9</v>
      </c>
      <c r="E134" s="260" t="str">
        <f>月供應率!E12</f>
        <v>99.5</v>
      </c>
      <c r="F134" s="260" t="str">
        <f>月供應率!F12</f>
        <v>100</v>
      </c>
      <c r="G134" s="260" t="str">
        <f>月供應率!G12</f>
        <v>100</v>
      </c>
      <c r="H134" s="260" t="str">
        <f>月供應率!H12</f>
        <v>99.6</v>
      </c>
      <c r="I134" s="260" t="str">
        <f>月供應率!I12</f>
        <v>100</v>
      </c>
      <c r="J134" s="260" t="str">
        <f>月供應率!J12</f>
        <v>99.8</v>
      </c>
      <c r="K134" s="260" t="str">
        <f>月供應率!K12</f>
        <v>100</v>
      </c>
      <c r="L134" s="260" t="str">
        <f>月供應率!L12</f>
        <v>100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99.4</v>
      </c>
      <c r="Q134" s="197"/>
      <c r="R134" s="240"/>
      <c r="S134" s="241"/>
      <c r="T134" s="114"/>
      <c r="U134" s="114"/>
    </row>
    <row r="135" spans="1:21" s="198" customFormat="1">
      <c r="A135" s="744" t="s">
        <v>25</v>
      </c>
      <c r="B135" s="745"/>
      <c r="C135" s="746"/>
      <c r="D135" s="260" t="str">
        <f>月供應率!D13</f>
        <v>95.2</v>
      </c>
      <c r="E135" s="260" t="str">
        <f>月供應率!E13</f>
        <v>92.6</v>
      </c>
      <c r="F135" s="260" t="str">
        <f>月供應率!F13</f>
        <v>97</v>
      </c>
      <c r="G135" s="260" t="str">
        <f>月供應率!G13</f>
        <v>98.9</v>
      </c>
      <c r="H135" s="260" t="str">
        <f>月供應率!H13</f>
        <v>98.5</v>
      </c>
      <c r="I135" s="260" t="str">
        <f>月供應率!I13</f>
        <v>98.2</v>
      </c>
      <c r="J135" s="260" t="str">
        <f>月供應率!J13</f>
        <v>97.7</v>
      </c>
      <c r="K135" s="260" t="str">
        <f>月供應率!K13</f>
        <v>98.8</v>
      </c>
      <c r="L135" s="260" t="str">
        <f>月供應率!L13</f>
        <v>98.6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97.3</v>
      </c>
      <c r="Q135" s="197"/>
      <c r="R135" s="240"/>
      <c r="S135" s="241"/>
      <c r="T135" s="114"/>
      <c r="U135" s="114"/>
    </row>
    <row r="136" spans="1:21" s="198" customFormat="1">
      <c r="A136" s="744" t="s">
        <v>26</v>
      </c>
      <c r="B136" s="745"/>
      <c r="C136" s="746"/>
      <c r="D136" s="260" t="str">
        <f>月供應率!D14</f>
        <v>97.3</v>
      </c>
      <c r="E136" s="260" t="str">
        <f>月供應率!E14</f>
        <v>95.8</v>
      </c>
      <c r="F136" s="260" t="str">
        <f>月供應率!F14</f>
        <v>95.8</v>
      </c>
      <c r="G136" s="260" t="str">
        <f>月供應率!G14</f>
        <v>97</v>
      </c>
      <c r="H136" s="260" t="str">
        <f>月供應率!H14</f>
        <v>97.8</v>
      </c>
      <c r="I136" s="260" t="str">
        <f>月供應率!I14</f>
        <v>97.2</v>
      </c>
      <c r="J136" s="260" t="str">
        <f>月供應率!J14</f>
        <v>97.5</v>
      </c>
      <c r="K136" s="260" t="str">
        <f>月供應率!K14</f>
        <v>97.5</v>
      </c>
      <c r="L136" s="260" t="str">
        <f>月供應率!L14</f>
        <v>96.7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97</v>
      </c>
      <c r="Q136" s="197"/>
      <c r="R136" s="240"/>
      <c r="S136" s="241"/>
      <c r="T136" s="114"/>
      <c r="U136" s="114"/>
    </row>
    <row r="137" spans="1:21" s="198" customFormat="1">
      <c r="A137" s="744" t="s">
        <v>27</v>
      </c>
      <c r="B137" s="745"/>
      <c r="C137" s="746"/>
      <c r="D137" s="260" t="str">
        <f>月供應率!D15</f>
        <v>82.9</v>
      </c>
      <c r="E137" s="260" t="str">
        <f>月供應率!E15</f>
        <v>88.2</v>
      </c>
      <c r="F137" s="260" t="str">
        <f>月供應率!F15</f>
        <v>94.2</v>
      </c>
      <c r="G137" s="260" t="str">
        <f>月供應率!G15</f>
        <v>96.6</v>
      </c>
      <c r="H137" s="260" t="str">
        <f>月供應率!H15</f>
        <v>95.7</v>
      </c>
      <c r="I137" s="260" t="str">
        <f>月供應率!I15</f>
        <v>96.5</v>
      </c>
      <c r="J137" s="260" t="str">
        <f>月供應率!J15</f>
        <v>98.1</v>
      </c>
      <c r="K137" s="260" t="str">
        <f>月供應率!K15</f>
        <v>93.9</v>
      </c>
      <c r="L137" s="260" t="str">
        <f>月供應率!L15</f>
        <v>92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93.1</v>
      </c>
      <c r="Q137" s="197"/>
      <c r="R137" s="240"/>
      <c r="S137" s="241"/>
      <c r="T137" s="114"/>
      <c r="U137" s="114"/>
    </row>
    <row r="138" spans="1:21" s="198" customFormat="1" ht="12.95" thickBot="1">
      <c r="A138" s="749" t="s">
        <v>28</v>
      </c>
      <c r="B138" s="750"/>
      <c r="C138" s="751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52" t="s">
        <v>31</v>
      </c>
      <c r="B139" s="753"/>
      <c r="C139" s="753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730" t="s">
        <v>32</v>
      </c>
      <c r="B140" s="731"/>
      <c r="C140" s="731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730" t="s">
        <v>33</v>
      </c>
      <c r="B141" s="731"/>
      <c r="C141" s="731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730" t="s">
        <v>34</v>
      </c>
      <c r="B142" s="731"/>
      <c r="C142" s="731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32" t="s">
        <v>35</v>
      </c>
      <c r="B143" s="733"/>
      <c r="C143" s="733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703" t="s">
        <v>1</v>
      </c>
      <c r="B146" s="704"/>
      <c r="C146" s="704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713"/>
      <c r="S146" s="714"/>
    </row>
    <row r="147" spans="1:19">
      <c r="A147" s="747" t="s">
        <v>11</v>
      </c>
      <c r="B147" s="748"/>
      <c r="C147" s="748"/>
      <c r="D147" s="204">
        <f>VALUE(月點數BO!C2)</f>
        <v>4435</v>
      </c>
      <c r="E147" s="204">
        <f>VALUE(月點數BO!D2)</f>
        <v>5186</v>
      </c>
      <c r="F147" s="204">
        <f>VALUE(月點數BO!E2)</f>
        <v>4253</v>
      </c>
      <c r="G147" s="204">
        <f>VALUE(月點數BO!F2)</f>
        <v>3663</v>
      </c>
      <c r="H147" s="204">
        <f>VALUE(月點數BO!G2)</f>
        <v>4413</v>
      </c>
      <c r="I147" s="204">
        <f>VALUE(月點數BO!H2)</f>
        <v>5568</v>
      </c>
      <c r="J147" s="204">
        <f>VALUE(月點數BO!I2)</f>
        <v>6382</v>
      </c>
      <c r="K147" s="204">
        <f>VALUE(月點數BO!J2)</f>
        <v>5537</v>
      </c>
      <c r="L147" s="204">
        <f>VALUE(月點數BO!K2)</f>
        <v>5932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5041</v>
      </c>
      <c r="Q147" s="206"/>
      <c r="R147" s="713"/>
      <c r="S147" s="714"/>
    </row>
    <row r="148" spans="1:19">
      <c r="A148" s="739" t="s">
        <v>12</v>
      </c>
      <c r="B148" s="740"/>
      <c r="C148" s="740"/>
      <c r="D148" s="204">
        <f>VALUE(月點數BO!C4)</f>
        <v>101</v>
      </c>
      <c r="E148" s="204">
        <f>VALUE(月點數BO!D4)</f>
        <v>5</v>
      </c>
      <c r="F148" s="204">
        <f>VALUE(月點數BO!E4)</f>
        <v>3</v>
      </c>
      <c r="G148" s="204">
        <f>VALUE(月點數BO!F4)</f>
        <v>5</v>
      </c>
      <c r="H148" s="204">
        <f>VALUE(月點數BO!G4)</f>
        <v>1</v>
      </c>
      <c r="I148" s="204">
        <f>VALUE(月點數BO!H4)</f>
        <v>7</v>
      </c>
      <c r="J148" s="204">
        <f>VALUE(月點數BO!I4)</f>
        <v>0</v>
      </c>
      <c r="K148" s="204">
        <f>VALUE(月點數BO!J4)</f>
        <v>7</v>
      </c>
      <c r="L148" s="204">
        <f>VALUE(月點數BO!K4)</f>
        <v>3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15</v>
      </c>
      <c r="R148" s="713"/>
      <c r="S148" s="714"/>
    </row>
    <row r="149" spans="1:19">
      <c r="A149" s="739" t="s">
        <v>13</v>
      </c>
      <c r="B149" s="740"/>
      <c r="C149" s="740"/>
      <c r="D149" s="204">
        <f>VALUE(月點數BO!C5)</f>
        <v>44</v>
      </c>
      <c r="E149" s="204">
        <f>VALUE(月點數BO!D5)</f>
        <v>20</v>
      </c>
      <c r="F149" s="204">
        <f>VALUE(月點數BO!E5)</f>
        <v>18</v>
      </c>
      <c r="G149" s="204">
        <f>VALUE(月點數BO!F5)</f>
        <v>37</v>
      </c>
      <c r="H149" s="204">
        <f>VALUE(月點數BO!G5)</f>
        <v>102</v>
      </c>
      <c r="I149" s="204">
        <f>VALUE(月點數BO!H5)</f>
        <v>88</v>
      </c>
      <c r="J149" s="204">
        <f>VALUE(月點數BO!I5)</f>
        <v>83</v>
      </c>
      <c r="K149" s="204">
        <f>VALUE(月點數BO!J5)</f>
        <v>40</v>
      </c>
      <c r="L149" s="204">
        <f>VALUE(月點數BO!K5)</f>
        <v>70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56</v>
      </c>
      <c r="R149" s="713"/>
      <c r="S149" s="714"/>
    </row>
    <row r="150" spans="1:19">
      <c r="A150" s="739" t="s">
        <v>14</v>
      </c>
      <c r="B150" s="740"/>
      <c r="C150" s="740"/>
      <c r="D150" s="204">
        <f>VALUE(月點數BO!C6)</f>
        <v>143</v>
      </c>
      <c r="E150" s="204">
        <f>VALUE(月點數BO!D6)</f>
        <v>330</v>
      </c>
      <c r="F150" s="204">
        <f>VALUE(月點數BO!E6)</f>
        <v>239</v>
      </c>
      <c r="G150" s="204">
        <f>VALUE(月點數BO!F6)</f>
        <v>315</v>
      </c>
      <c r="H150" s="204">
        <f>VALUE(月點數BO!G6)</f>
        <v>157</v>
      </c>
      <c r="I150" s="204">
        <f>VALUE(月點數BO!H6)</f>
        <v>259</v>
      </c>
      <c r="J150" s="204">
        <f>VALUE(月點數BO!I6)</f>
        <v>144</v>
      </c>
      <c r="K150" s="204">
        <f>VALUE(月點數BO!J6)</f>
        <v>300</v>
      </c>
      <c r="L150" s="204">
        <f>VALUE(月點數BO!K6)</f>
        <v>299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243</v>
      </c>
      <c r="R150" s="713"/>
      <c r="S150" s="714"/>
    </row>
    <row r="151" spans="1:19">
      <c r="A151" s="739" t="s">
        <v>21</v>
      </c>
      <c r="B151" s="740"/>
      <c r="C151" s="740"/>
      <c r="D151" s="204">
        <f>VALUE(月點數BO!C20)</f>
        <v>570</v>
      </c>
      <c r="E151" s="204">
        <f>VALUE(月點數BO!D20)</f>
        <v>546</v>
      </c>
      <c r="F151" s="204">
        <f>VALUE(月點數BO!E20)</f>
        <v>665</v>
      </c>
      <c r="G151" s="204">
        <f>VALUE(月點數BO!F20)</f>
        <v>434</v>
      </c>
      <c r="H151" s="204">
        <f>VALUE(月點數BO!G20)</f>
        <v>640</v>
      </c>
      <c r="I151" s="204">
        <f>VALUE(月點數BO!H20)</f>
        <v>650</v>
      </c>
      <c r="J151" s="204">
        <f>VALUE(月點數BO!I20)</f>
        <v>1136</v>
      </c>
      <c r="K151" s="204">
        <f>VALUE(月點數BO!J20)</f>
        <v>828</v>
      </c>
      <c r="L151" s="204">
        <f>VALUE(月點數BO!K20)</f>
        <v>681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683</v>
      </c>
      <c r="R151" s="713"/>
      <c r="S151" s="714"/>
    </row>
    <row r="152" spans="1:19">
      <c r="A152" s="769" t="s">
        <v>16</v>
      </c>
      <c r="B152" s="770"/>
      <c r="C152" s="770"/>
      <c r="D152" s="204">
        <f>VALUE(月點數BO!C8)</f>
        <v>239</v>
      </c>
      <c r="E152" s="204">
        <f>VALUE(月點數BO!D8)</f>
        <v>127</v>
      </c>
      <c r="F152" s="204">
        <f>VALUE(月點數BO!E8)</f>
        <v>140</v>
      </c>
      <c r="G152" s="204">
        <f>VALUE(月點數BO!F8)</f>
        <v>101</v>
      </c>
      <c r="H152" s="204">
        <f>VALUE(月點數BO!G8)</f>
        <v>218</v>
      </c>
      <c r="I152" s="204">
        <f>VALUE(月點數BO!H8)</f>
        <v>197</v>
      </c>
      <c r="J152" s="204">
        <f>VALUE(月點數BO!I8)</f>
        <v>270</v>
      </c>
      <c r="K152" s="204">
        <f>VALUE(月點數BO!J8)</f>
        <v>145</v>
      </c>
      <c r="L152" s="204">
        <f>VALUE(月點數BO!K8)</f>
        <v>227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185</v>
      </c>
      <c r="R152" s="713"/>
      <c r="S152" s="714"/>
    </row>
    <row r="153" spans="1:19" ht="13.5">
      <c r="A153" s="697" t="s">
        <v>17</v>
      </c>
      <c r="B153" s="698"/>
      <c r="C153" s="698"/>
      <c r="D153" s="204">
        <f>VALUE(月點數BO!C9)</f>
        <v>2</v>
      </c>
      <c r="E153" s="204">
        <f>VALUE(月點數BO!D9)</f>
        <v>9</v>
      </c>
      <c r="F153" s="204">
        <f>VALUE(月點數BO!E9)</f>
        <v>26</v>
      </c>
      <c r="G153" s="204">
        <f>VALUE(月點數BO!F9)</f>
        <v>1</v>
      </c>
      <c r="H153" s="204">
        <f>VALUE(月點數BO!G9)</f>
        <v>18</v>
      </c>
      <c r="I153" s="204">
        <f>VALUE(月點數BO!H9)</f>
        <v>25</v>
      </c>
      <c r="J153" s="204">
        <f>VALUE(月點數BO!I9)</f>
        <v>0</v>
      </c>
      <c r="K153" s="204">
        <f>VALUE(月點數BO!J9)</f>
        <v>8</v>
      </c>
      <c r="L153" s="204">
        <f>VALUE(月點數BO!K9)</f>
        <v>35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14</v>
      </c>
      <c r="R153" s="713"/>
      <c r="S153" s="714"/>
    </row>
    <row r="154" spans="1:19" ht="13.5">
      <c r="A154" s="766" t="s">
        <v>49</v>
      </c>
      <c r="B154" s="767"/>
      <c r="C154" s="768"/>
      <c r="D154" s="261">
        <f>SUM(D147:D153)</f>
        <v>5534</v>
      </c>
      <c r="E154" s="261">
        <f>SUM(E147:E153)</f>
        <v>6223</v>
      </c>
      <c r="F154" s="261">
        <f>SUM(F147:F153)</f>
        <v>5344</v>
      </c>
      <c r="G154" s="261">
        <f t="shared" ref="G154:P154" si="12">SUM(G147:G153)</f>
        <v>4556</v>
      </c>
      <c r="H154" s="261">
        <f t="shared" si="12"/>
        <v>5549</v>
      </c>
      <c r="I154" s="261">
        <f t="shared" si="12"/>
        <v>6794</v>
      </c>
      <c r="J154" s="261">
        <f t="shared" si="12"/>
        <v>8015</v>
      </c>
      <c r="K154" s="261">
        <f t="shared" si="12"/>
        <v>6865</v>
      </c>
      <c r="L154" s="261">
        <f t="shared" si="12"/>
        <v>7247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6237</v>
      </c>
      <c r="R154" s="240"/>
      <c r="S154" s="241"/>
    </row>
    <row r="155" spans="1:19">
      <c r="A155" s="715" t="s">
        <v>23</v>
      </c>
      <c r="B155" s="716"/>
      <c r="C155" s="716"/>
      <c r="D155" s="204">
        <f>VALUE(月點數BO!C3)</f>
        <v>884</v>
      </c>
      <c r="E155" s="204">
        <f>VALUE(月點數BO!D3)</f>
        <v>782</v>
      </c>
      <c r="F155" s="204">
        <f>VALUE(月點數BO!E3)</f>
        <v>727</v>
      </c>
      <c r="G155" s="204">
        <f>VALUE(月點數BO!F3)</f>
        <v>575</v>
      </c>
      <c r="H155" s="204">
        <f>VALUE(月點數BO!G3)</f>
        <v>594</v>
      </c>
      <c r="I155" s="204">
        <f>VALUE(月點數BO!H3)</f>
        <v>767</v>
      </c>
      <c r="J155" s="204">
        <f>VALUE(月點數BO!I3)</f>
        <v>806</v>
      </c>
      <c r="K155" s="204">
        <f>VALUE(月點數BO!J3)</f>
        <v>829</v>
      </c>
      <c r="L155" s="204">
        <f>VALUE(月點數BO!K3)</f>
        <v>1040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778</v>
      </c>
      <c r="R155" s="240"/>
      <c r="S155" s="241"/>
    </row>
    <row r="156" spans="1:19">
      <c r="A156" s="744" t="s">
        <v>24</v>
      </c>
      <c r="B156" s="745"/>
      <c r="C156" s="746"/>
      <c r="D156" s="207">
        <f>VALUE(月點數BO!C10)</f>
        <v>26</v>
      </c>
      <c r="E156" s="207">
        <f>VALUE(月點數BO!D10)</f>
        <v>2</v>
      </c>
      <c r="F156" s="207">
        <f>VALUE(月點數BO!E10)</f>
        <v>0</v>
      </c>
      <c r="G156" s="207">
        <f>VALUE(月點數BO!F10)</f>
        <v>0</v>
      </c>
      <c r="H156" s="207">
        <f>VALUE(月點數BO!G10)</f>
        <v>2</v>
      </c>
      <c r="I156" s="207">
        <f>VALUE(月點數BO!H10)</f>
        <v>0</v>
      </c>
      <c r="J156" s="207">
        <f>VALUE(月點數BO!I10)</f>
        <v>1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3</v>
      </c>
      <c r="R156" s="240"/>
      <c r="S156" s="241"/>
    </row>
    <row r="157" spans="1:19">
      <c r="A157" s="744" t="s">
        <v>25</v>
      </c>
      <c r="B157" s="745"/>
      <c r="C157" s="746"/>
      <c r="D157" s="207">
        <f>VALUE(月點數BO!C11)</f>
        <v>21</v>
      </c>
      <c r="E157" s="207">
        <f>VALUE(月點數BO!D11)</f>
        <v>17</v>
      </c>
      <c r="F157" s="207">
        <f>VALUE(月點數BO!E11)</f>
        <v>30</v>
      </c>
      <c r="G157" s="207">
        <f>VALUE(月點數BO!F11)</f>
        <v>27</v>
      </c>
      <c r="H157" s="207">
        <f>VALUE(月點數BO!G11)</f>
        <v>51</v>
      </c>
      <c r="I157" s="207">
        <f>VALUE(月點數BO!H11)</f>
        <v>31</v>
      </c>
      <c r="J157" s="207">
        <f>VALUE(月點數BO!I11)</f>
        <v>36</v>
      </c>
      <c r="K157" s="207">
        <f>VALUE(月點數BO!J11)</f>
        <v>17</v>
      </c>
      <c r="L157" s="207">
        <f>VALUE(月點數BO!K11)</f>
        <v>15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27</v>
      </c>
      <c r="R157" s="240"/>
      <c r="S157" s="241"/>
    </row>
    <row r="158" spans="1:19">
      <c r="A158" s="744" t="s">
        <v>26</v>
      </c>
      <c r="B158" s="745"/>
      <c r="C158" s="746"/>
      <c r="D158" s="207">
        <f>VALUE(月點數BO!C12)</f>
        <v>260</v>
      </c>
      <c r="E158" s="207">
        <f>VALUE(月點數BO!D12)</f>
        <v>350</v>
      </c>
      <c r="F158" s="207">
        <f>VALUE(月點數BO!E12)</f>
        <v>394</v>
      </c>
      <c r="G158" s="207">
        <f>VALUE(月點數BO!F12)</f>
        <v>246</v>
      </c>
      <c r="H158" s="207">
        <f>VALUE(月點數BO!G12)</f>
        <v>203</v>
      </c>
      <c r="I158" s="207">
        <f>VALUE(月點數BO!H12)</f>
        <v>251</v>
      </c>
      <c r="J158" s="207">
        <f>VALUE(月點數BO!I12)</f>
        <v>256</v>
      </c>
      <c r="K158" s="207">
        <f>VALUE(月點數BO!J12)</f>
        <v>383</v>
      </c>
      <c r="L158" s="207">
        <f>VALUE(月點數BO!K12)</f>
        <v>336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298</v>
      </c>
      <c r="R158" s="240"/>
      <c r="S158" s="241"/>
    </row>
    <row r="159" spans="1:19">
      <c r="A159" s="744" t="s">
        <v>27</v>
      </c>
      <c r="B159" s="745"/>
      <c r="C159" s="746"/>
      <c r="D159" s="207">
        <f>VALUE(月點數BO!C13)</f>
        <v>230</v>
      </c>
      <c r="E159" s="207">
        <f>VALUE(月點數BO!D13)</f>
        <v>153</v>
      </c>
      <c r="F159" s="207">
        <f>VALUE(月點數BO!E13)</f>
        <v>94</v>
      </c>
      <c r="G159" s="207">
        <f>VALUE(月點數BO!F13)</f>
        <v>47</v>
      </c>
      <c r="H159" s="207">
        <f>VALUE(月點數BO!G13)</f>
        <v>68</v>
      </c>
      <c r="I159" s="207">
        <f>VALUE(月點數BO!H13)</f>
        <v>52</v>
      </c>
      <c r="J159" s="207">
        <f>VALUE(月點數BO!I13)</f>
        <v>31</v>
      </c>
      <c r="K159" s="207">
        <f>VALUE(月點數BO!J13)</f>
        <v>96</v>
      </c>
      <c r="L159" s="207">
        <f>VALUE(月點數BO!K13)</f>
        <v>123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99</v>
      </c>
      <c r="R159" s="240"/>
      <c r="S159" s="241"/>
    </row>
    <row r="160" spans="1:19">
      <c r="A160" s="744" t="s">
        <v>28</v>
      </c>
      <c r="B160" s="745"/>
      <c r="C160" s="746"/>
      <c r="D160" s="207">
        <f>VALUE(月點數BO!C14)</f>
        <v>0</v>
      </c>
      <c r="E160" s="207">
        <f>VALUE(月點數BO!D14)</f>
        <v>3</v>
      </c>
      <c r="F160" s="207">
        <f>VALUE(月點數BO!E14)</f>
        <v>0</v>
      </c>
      <c r="G160" s="207">
        <f>VALUE(月點數BO!F14)</f>
        <v>1</v>
      </c>
      <c r="H160" s="207">
        <f>VALUE(月點數BO!G14)</f>
        <v>0</v>
      </c>
      <c r="I160" s="207">
        <f>VALUE(月點數BO!H14)</f>
        <v>1</v>
      </c>
      <c r="J160" s="207">
        <f>VALUE(月點數BO!I14)</f>
        <v>1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1</v>
      </c>
      <c r="R160" s="240"/>
      <c r="S160" s="241"/>
    </row>
    <row r="161" spans="1:19" ht="14.1" thickBot="1">
      <c r="A161" s="760" t="s">
        <v>50</v>
      </c>
      <c r="B161" s="761"/>
      <c r="C161" s="762"/>
      <c r="D161" s="211">
        <f>SUM(D155:D160)</f>
        <v>1421</v>
      </c>
      <c r="E161" s="211">
        <f t="shared" ref="E161:P161" si="13">SUM(E155:E160)</f>
        <v>1307</v>
      </c>
      <c r="F161" s="211">
        <f t="shared" si="13"/>
        <v>1245</v>
      </c>
      <c r="G161" s="211">
        <f t="shared" si="13"/>
        <v>896</v>
      </c>
      <c r="H161" s="211">
        <f t="shared" si="13"/>
        <v>918</v>
      </c>
      <c r="I161" s="211">
        <f t="shared" si="13"/>
        <v>1102</v>
      </c>
      <c r="J161" s="211">
        <f t="shared" si="13"/>
        <v>1131</v>
      </c>
      <c r="K161" s="211">
        <f t="shared" si="13"/>
        <v>1325</v>
      </c>
      <c r="L161" s="211">
        <f t="shared" si="13"/>
        <v>1514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1206</v>
      </c>
      <c r="R161" s="713"/>
      <c r="S161" s="714"/>
    </row>
    <row r="162" spans="1:19" ht="16.5" customHeight="1" thickBot="1">
      <c r="A162" s="763" t="s">
        <v>31</v>
      </c>
      <c r="B162" s="764"/>
      <c r="C162" s="765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757" t="s">
        <v>32</v>
      </c>
      <c r="B163" s="758"/>
      <c r="C163" s="759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757" t="s">
        <v>33</v>
      </c>
      <c r="B164" s="758"/>
      <c r="C164" s="759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757" t="s">
        <v>34</v>
      </c>
      <c r="B165" s="758"/>
      <c r="C165" s="759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754" t="s">
        <v>30</v>
      </c>
      <c r="B167" s="755"/>
      <c r="C167" s="756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703" t="s">
        <v>1</v>
      </c>
      <c r="B2" s="704"/>
      <c r="C2" s="704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05" t="s">
        <v>9</v>
      </c>
      <c r="B3" s="706"/>
      <c r="C3" s="707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01" t="s">
        <v>10</v>
      </c>
      <c r="C4" s="702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08" t="s">
        <v>17</v>
      </c>
      <c r="C12" s="709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691" t="s">
        <v>36</v>
      </c>
      <c r="B19" s="692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693"/>
      <c r="B20" s="694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695"/>
      <c r="B21" s="696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703" t="s">
        <v>1</v>
      </c>
      <c r="B24" s="704"/>
      <c r="C24" s="704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05" t="s">
        <v>9</v>
      </c>
      <c r="B25" s="706"/>
      <c r="C25" s="707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01" t="s">
        <v>10</v>
      </c>
      <c r="C26" s="702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08" t="s">
        <v>17</v>
      </c>
      <c r="C34" s="709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691" t="s">
        <v>36</v>
      </c>
      <c r="B41" s="692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693"/>
      <c r="B42" s="694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695"/>
      <c r="B43" s="696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703" t="s">
        <v>1</v>
      </c>
      <c r="B46" s="704"/>
      <c r="C46" s="704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05" t="s">
        <v>9</v>
      </c>
      <c r="B47" s="706"/>
      <c r="C47" s="707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01" t="s">
        <v>10</v>
      </c>
      <c r="C48" s="702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71" t="s">
        <v>17</v>
      </c>
      <c r="C56" s="710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691" t="s">
        <v>36</v>
      </c>
      <c r="B63" s="692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693"/>
      <c r="B64" s="694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695"/>
      <c r="B65" s="696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703" t="s">
        <v>1</v>
      </c>
      <c r="B68" s="704"/>
      <c r="C68" s="704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11" t="s">
        <v>11</v>
      </c>
      <c r="B69" s="712"/>
      <c r="C69" s="712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713"/>
      <c r="S69" s="714"/>
    </row>
    <row r="70" spans="1:19" ht="13.5">
      <c r="A70" s="699" t="s">
        <v>276</v>
      </c>
      <c r="B70" s="700"/>
      <c r="C70" s="700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713"/>
      <c r="S70" s="714"/>
    </row>
    <row r="71" spans="1:19" ht="13.5">
      <c r="A71" s="699" t="s">
        <v>12</v>
      </c>
      <c r="B71" s="700"/>
      <c r="C71" s="700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713"/>
      <c r="S71" s="714"/>
    </row>
    <row r="72" spans="1:19" ht="13.5">
      <c r="A72" s="699" t="s">
        <v>13</v>
      </c>
      <c r="B72" s="700"/>
      <c r="C72" s="700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713"/>
      <c r="S72" s="714"/>
    </row>
    <row r="73" spans="1:19" ht="13.5">
      <c r="A73" s="699" t="s">
        <v>14</v>
      </c>
      <c r="B73" s="700"/>
      <c r="C73" s="700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713"/>
      <c r="S73" s="714"/>
    </row>
    <row r="74" spans="1:19" ht="13.5">
      <c r="A74" s="699" t="s">
        <v>15</v>
      </c>
      <c r="B74" s="700"/>
      <c r="C74" s="700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713"/>
      <c r="S74" s="714"/>
    </row>
    <row r="75" spans="1:19" ht="13.5">
      <c r="A75" s="699" t="s">
        <v>16</v>
      </c>
      <c r="B75" s="700"/>
      <c r="C75" s="700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713"/>
      <c r="S75" s="714"/>
    </row>
    <row r="76" spans="1:19" ht="13.5">
      <c r="A76" s="697" t="s">
        <v>17</v>
      </c>
      <c r="B76" s="698"/>
      <c r="C76" s="698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713"/>
      <c r="S76" s="714"/>
    </row>
    <row r="77" spans="1:19" ht="14.1" thickBot="1">
      <c r="A77" s="725" t="s">
        <v>284</v>
      </c>
      <c r="B77" s="726"/>
      <c r="C77" s="726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713"/>
      <c r="S77" s="714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703" t="s">
        <v>1</v>
      </c>
      <c r="B81" s="704"/>
      <c r="C81" s="704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713"/>
      <c r="S81" s="714"/>
    </row>
    <row r="82" spans="1:21" s="198" customFormat="1">
      <c r="A82" s="717" t="s">
        <v>52</v>
      </c>
      <c r="B82" s="718"/>
      <c r="C82" s="718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713"/>
      <c r="S82" s="714"/>
      <c r="T82" s="114"/>
      <c r="U82" s="114"/>
    </row>
    <row r="83" spans="1:21" s="198" customFormat="1">
      <c r="A83" s="715" t="s">
        <v>53</v>
      </c>
      <c r="B83" s="716"/>
      <c r="C83" s="716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713"/>
      <c r="S83" s="714"/>
      <c r="T83" s="114"/>
      <c r="U83" s="114"/>
    </row>
    <row r="84" spans="1:21" s="198" customFormat="1">
      <c r="A84" s="715" t="s">
        <v>54</v>
      </c>
      <c r="B84" s="716"/>
      <c r="C84" s="716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713"/>
      <c r="S84" s="714"/>
      <c r="T84" s="114"/>
      <c r="U84" s="114"/>
    </row>
    <row r="85" spans="1:21" s="198" customFormat="1">
      <c r="A85" s="741" t="s">
        <v>55</v>
      </c>
      <c r="B85" s="742"/>
      <c r="C85" s="743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713"/>
      <c r="S85" s="714"/>
      <c r="T85" s="114"/>
      <c r="U85" s="114"/>
    </row>
    <row r="86" spans="1:21" s="198" customFormat="1">
      <c r="A86" s="715" t="s">
        <v>276</v>
      </c>
      <c r="B86" s="716"/>
      <c r="C86" s="716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713"/>
      <c r="S86" s="714"/>
      <c r="T86" s="114"/>
      <c r="U86" s="114"/>
    </row>
    <row r="87" spans="1:21" s="198" customFormat="1">
      <c r="A87" s="715" t="s">
        <v>12</v>
      </c>
      <c r="B87" s="716"/>
      <c r="C87" s="716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713"/>
      <c r="S87" s="714"/>
      <c r="T87" s="114"/>
      <c r="U87" s="114"/>
    </row>
    <row r="88" spans="1:21" s="198" customFormat="1">
      <c r="A88" s="715" t="s">
        <v>13</v>
      </c>
      <c r="B88" s="716"/>
      <c r="C88" s="716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713"/>
      <c r="S88" s="714"/>
      <c r="T88" s="114"/>
      <c r="U88" s="114"/>
    </row>
    <row r="89" spans="1:21" s="198" customFormat="1">
      <c r="A89" s="715" t="s">
        <v>14</v>
      </c>
      <c r="B89" s="716"/>
      <c r="C89" s="716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713"/>
      <c r="S89" s="714"/>
      <c r="T89" s="114"/>
      <c r="U89" s="114"/>
    </row>
    <row r="90" spans="1:21" s="198" customFormat="1">
      <c r="A90" s="715" t="s">
        <v>15</v>
      </c>
      <c r="B90" s="716"/>
      <c r="C90" s="716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713"/>
      <c r="S90" s="714"/>
      <c r="T90" s="114"/>
      <c r="U90" s="114"/>
    </row>
    <row r="91" spans="1:21" s="197" customFormat="1" ht="12.95" thickBot="1">
      <c r="A91" s="734" t="s">
        <v>16</v>
      </c>
      <c r="B91" s="735"/>
      <c r="C91" s="735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713"/>
      <c r="S91" s="714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703" t="s">
        <v>1</v>
      </c>
      <c r="B94" s="704"/>
      <c r="C94" s="704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713"/>
      <c r="S94" s="714"/>
    </row>
    <row r="95" spans="1:21">
      <c r="A95" s="747" t="s">
        <v>11</v>
      </c>
      <c r="B95" s="748"/>
      <c r="C95" s="748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713"/>
      <c r="S95" s="714"/>
    </row>
    <row r="96" spans="1:21">
      <c r="A96" s="739" t="s">
        <v>276</v>
      </c>
      <c r="B96" s="740"/>
      <c r="C96" s="740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713"/>
      <c r="S96" s="714"/>
    </row>
    <row r="97" spans="1:19">
      <c r="A97" s="739" t="s">
        <v>12</v>
      </c>
      <c r="B97" s="740"/>
      <c r="C97" s="740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713"/>
      <c r="S97" s="714"/>
    </row>
    <row r="98" spans="1:19">
      <c r="A98" s="739" t="s">
        <v>13</v>
      </c>
      <c r="B98" s="740"/>
      <c r="C98" s="740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713"/>
      <c r="S98" s="714"/>
    </row>
    <row r="99" spans="1:19">
      <c r="A99" s="739" t="s">
        <v>14</v>
      </c>
      <c r="B99" s="740"/>
      <c r="C99" s="740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713"/>
      <c r="S99" s="714"/>
    </row>
    <row r="100" spans="1:19">
      <c r="A100" s="739" t="s">
        <v>15</v>
      </c>
      <c r="B100" s="740"/>
      <c r="C100" s="740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713"/>
      <c r="S100" s="714"/>
    </row>
    <row r="101" spans="1:19">
      <c r="A101" s="769" t="s">
        <v>16</v>
      </c>
      <c r="B101" s="770"/>
      <c r="C101" s="770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713"/>
      <c r="S101" s="714"/>
    </row>
    <row r="102" spans="1:19" ht="13.5">
      <c r="A102" s="697" t="s">
        <v>17</v>
      </c>
      <c r="B102" s="698"/>
      <c r="C102" s="698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713"/>
      <c r="S102" s="714"/>
    </row>
    <row r="103" spans="1:19" ht="14.1" thickBot="1">
      <c r="A103" s="772" t="s">
        <v>284</v>
      </c>
      <c r="B103" s="773"/>
      <c r="C103" s="774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713"/>
      <c r="S103" s="714"/>
    </row>
    <row r="104" spans="1:19" ht="12.95">
      <c r="A104" s="151" t="s">
        <v>282</v>
      </c>
    </row>
  </sheetData>
  <mergeCells count="76">
    <mergeCell ref="R97:S97"/>
    <mergeCell ref="R102:S102"/>
    <mergeCell ref="R103:S103"/>
    <mergeCell ref="R98:S98"/>
    <mergeCell ref="R99:S99"/>
    <mergeCell ref="R100:S100"/>
    <mergeCell ref="R101:S101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69:S69"/>
    <mergeCell ref="R70:S70"/>
    <mergeCell ref="R71:S71"/>
    <mergeCell ref="R72:S72"/>
    <mergeCell ref="R73:S73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A96:C96"/>
    <mergeCell ref="A97:C97"/>
    <mergeCell ref="A87:C87"/>
    <mergeCell ref="A94:C94"/>
    <mergeCell ref="A95:C95"/>
    <mergeCell ref="A90:C90"/>
    <mergeCell ref="A88:C88"/>
    <mergeCell ref="A89:C89"/>
    <mergeCell ref="A103:C103"/>
    <mergeCell ref="A98:C98"/>
    <mergeCell ref="A99:C99"/>
    <mergeCell ref="A100:C100"/>
    <mergeCell ref="A101:C101"/>
    <mergeCell ref="A102:C102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2:C2"/>
    <mergeCell ref="A3:C3"/>
    <mergeCell ref="B4:C4"/>
    <mergeCell ref="B12:C12"/>
    <mergeCell ref="A19:B2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P5" sqref="P5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703" t="s">
        <v>1</v>
      </c>
      <c r="B2" s="704"/>
      <c r="C2" s="704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05" t="s">
        <v>9</v>
      </c>
      <c r="B3" s="706"/>
      <c r="C3" s="707"/>
      <c r="D3" s="347">
        <v>527153077.12903219</v>
      </c>
      <c r="E3" s="347">
        <v>493184085.86206901</v>
      </c>
      <c r="F3" s="347">
        <v>512707631.77419353</v>
      </c>
      <c r="G3" s="347">
        <v>532452496.9666667</v>
      </c>
      <c r="H3" s="347">
        <v>532254763.80645156</v>
      </c>
      <c r="I3" s="347">
        <v>528683446.47000003</v>
      </c>
      <c r="J3" s="347">
        <v>512254767.77000004</v>
      </c>
      <c r="K3" s="347">
        <v>529951311.35999995</v>
      </c>
      <c r="L3" s="347">
        <v>520708380.00000006</v>
      </c>
      <c r="M3" s="347">
        <v>501432135.25806451</v>
      </c>
      <c r="N3" s="347">
        <v>521917827.30000001</v>
      </c>
      <c r="O3" s="347">
        <v>578925172.42000008</v>
      </c>
      <c r="P3" s="347">
        <f>P4+P11+P16+P24</f>
        <v>548180327.21149743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01" t="s">
        <v>10</v>
      </c>
      <c r="C4" s="702"/>
      <c r="D4" s="349">
        <v>301267979.4193548</v>
      </c>
      <c r="E4" s="349">
        <v>280908772.62068969</v>
      </c>
      <c r="F4" s="349">
        <v>287966480.16129029</v>
      </c>
      <c r="G4" s="349">
        <v>306003563.26666665</v>
      </c>
      <c r="H4" s="349">
        <v>308942445.32258058</v>
      </c>
      <c r="I4" s="349">
        <v>306813796.65999997</v>
      </c>
      <c r="J4" s="349">
        <v>294815195.19999999</v>
      </c>
      <c r="K4" s="349">
        <v>307759113.77999997</v>
      </c>
      <c r="L4" s="349">
        <v>301388862.90000004</v>
      </c>
      <c r="M4" s="349">
        <v>291561162.64516127</v>
      </c>
      <c r="N4" s="349">
        <v>302398790.76666671</v>
      </c>
      <c r="O4" s="349">
        <v>325765374.67000002</v>
      </c>
      <c r="P4" s="349">
        <f>SUM(P5:P10)</f>
        <v>324419518.28833336</v>
      </c>
    </row>
    <row r="5" spans="1:240" ht="13.5">
      <c r="A5" s="126"/>
      <c r="B5" s="127"/>
      <c r="C5" s="128" t="s">
        <v>11</v>
      </c>
      <c r="D5" s="350">
        <v>289321329.89999998</v>
      </c>
      <c r="E5" s="350">
        <v>294828766</v>
      </c>
      <c r="F5" s="350">
        <v>288458012.44999999</v>
      </c>
      <c r="G5" s="350">
        <v>296979593.43000001</v>
      </c>
      <c r="H5" s="350">
        <v>290494156.06</v>
      </c>
      <c r="I5" s="350">
        <v>278880108.76999998</v>
      </c>
      <c r="J5" s="350">
        <v>263721214.52000001</v>
      </c>
      <c r="K5" s="350">
        <v>276129773.57999998</v>
      </c>
      <c r="L5" s="350">
        <v>262566323.37</v>
      </c>
      <c r="M5" s="350">
        <v>267465025.65000001</v>
      </c>
      <c r="N5" s="350">
        <v>294436778.38999999</v>
      </c>
      <c r="O5" s="350">
        <v>277734691</v>
      </c>
      <c r="P5" s="350">
        <f t="shared" ref="P5:P10" si="0">AVERAGE(D5:O5)</f>
        <v>281751314.42666668</v>
      </c>
    </row>
    <row r="6" spans="1:240" ht="13.5">
      <c r="A6" s="126"/>
      <c r="B6" s="127"/>
      <c r="C6" s="128" t="s">
        <v>12</v>
      </c>
      <c r="D6" s="350">
        <v>7544209.5499999998</v>
      </c>
      <c r="E6" s="350">
        <v>8684465.6099999994</v>
      </c>
      <c r="F6" s="350">
        <v>6315696.9400000004</v>
      </c>
      <c r="G6" s="350">
        <v>6379189.9699999997</v>
      </c>
      <c r="H6" s="350">
        <v>5803713.5199999996</v>
      </c>
      <c r="I6" s="350">
        <v>5058505.9000000004</v>
      </c>
      <c r="J6" s="350">
        <v>5686301.3899999997</v>
      </c>
      <c r="K6" s="350">
        <v>5374548.71</v>
      </c>
      <c r="L6" s="350">
        <v>6312221.3700000001</v>
      </c>
      <c r="M6" s="350">
        <v>6147893.6100000003</v>
      </c>
      <c r="N6" s="350">
        <v>6366239.7300000004</v>
      </c>
      <c r="O6" s="350">
        <v>6811858.1900000004</v>
      </c>
      <c r="P6" s="350">
        <f t="shared" si="0"/>
        <v>6373737.0408333326</v>
      </c>
    </row>
    <row r="7" spans="1:240" ht="13.5">
      <c r="A7" s="126"/>
      <c r="B7" s="127"/>
      <c r="C7" s="128" t="s">
        <v>13</v>
      </c>
      <c r="D7" s="350">
        <v>1762491.6099999994</v>
      </c>
      <c r="E7" s="350">
        <v>1694362.0399999991</v>
      </c>
      <c r="F7" s="350">
        <v>1637628.1900000013</v>
      </c>
      <c r="G7" s="350">
        <v>1569699.9699999988</v>
      </c>
      <c r="H7" s="350">
        <v>3746962.8999999985</v>
      </c>
      <c r="I7" s="350">
        <v>4566381.790000001</v>
      </c>
      <c r="J7" s="350">
        <v>3929388.09</v>
      </c>
      <c r="K7" s="350">
        <v>7488577.2000000002</v>
      </c>
      <c r="L7" s="350">
        <v>6567854.9899999993</v>
      </c>
      <c r="M7" s="350">
        <v>11974555.74</v>
      </c>
      <c r="N7" s="350">
        <v>11121668.83</v>
      </c>
      <c r="O7" s="350">
        <v>10675769.74</v>
      </c>
      <c r="P7" s="350">
        <f t="shared" si="0"/>
        <v>5561278.4241666663</v>
      </c>
    </row>
    <row r="8" spans="1:240" ht="13.5">
      <c r="A8" s="126"/>
      <c r="B8" s="127"/>
      <c r="C8" s="128" t="s">
        <v>14</v>
      </c>
      <c r="D8" s="350">
        <v>19939384.68</v>
      </c>
      <c r="E8" s="350">
        <v>18665091</v>
      </c>
      <c r="F8" s="350">
        <v>19997371.899999999</v>
      </c>
      <c r="G8" s="350">
        <v>20372883.300000001</v>
      </c>
      <c r="H8" s="350">
        <v>19958824.550000001</v>
      </c>
      <c r="I8" s="350">
        <v>18999752.800000001</v>
      </c>
      <c r="J8" s="350">
        <v>18758457.350000001</v>
      </c>
      <c r="K8" s="350">
        <v>19611807.23</v>
      </c>
      <c r="L8" s="350">
        <v>19531056.93</v>
      </c>
      <c r="M8" s="350">
        <v>19581492.870000001</v>
      </c>
      <c r="N8" s="350">
        <v>19973997.23</v>
      </c>
      <c r="O8" s="350">
        <v>21114101.260000002</v>
      </c>
      <c r="P8" s="350">
        <f t="shared" si="0"/>
        <v>19708685.091666665</v>
      </c>
    </row>
    <row r="9" spans="1:240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0"/>
        <v>0</v>
      </c>
    </row>
    <row r="10" spans="1:240" ht="13.5">
      <c r="A10" s="126"/>
      <c r="B10" s="132"/>
      <c r="C10" s="128" t="s">
        <v>16</v>
      </c>
      <c r="D10" s="350">
        <v>10052816.77</v>
      </c>
      <c r="E10" s="350">
        <v>11889240.5</v>
      </c>
      <c r="F10" s="350">
        <v>11100500.52</v>
      </c>
      <c r="G10" s="350">
        <v>10776948.869999999</v>
      </c>
      <c r="H10" s="350">
        <v>10712094.609999999</v>
      </c>
      <c r="I10" s="350">
        <v>10076009.23</v>
      </c>
      <c r="J10" s="350">
        <v>10093904.609999999</v>
      </c>
      <c r="K10" s="350">
        <v>11680011.58</v>
      </c>
      <c r="L10" s="350">
        <v>11678819.1</v>
      </c>
      <c r="M10" s="350">
        <v>12475311.189999999</v>
      </c>
      <c r="N10" s="350">
        <v>12329428.199999999</v>
      </c>
      <c r="O10" s="350">
        <v>9428954.4800000004</v>
      </c>
      <c r="P10" s="350">
        <f t="shared" si="0"/>
        <v>11024503.305</v>
      </c>
    </row>
    <row r="11" spans="1:240" ht="13.5">
      <c r="A11" s="126"/>
      <c r="B11" s="708" t="s">
        <v>17</v>
      </c>
      <c r="C11" s="709"/>
      <c r="D11" s="351">
        <v>10653907.419354839</v>
      </c>
      <c r="E11" s="351">
        <v>10432864.285714285</v>
      </c>
      <c r="F11" s="351">
        <v>10082267</v>
      </c>
      <c r="G11" s="351">
        <v>11239741.140000001</v>
      </c>
      <c r="H11" s="351">
        <v>11694705.741935484</v>
      </c>
      <c r="I11" s="351">
        <v>11026164.27</v>
      </c>
      <c r="J11" s="351">
        <v>9465851.8387096766</v>
      </c>
      <c r="K11" s="351">
        <v>11277474.49</v>
      </c>
      <c r="L11" s="351">
        <v>12077131.4</v>
      </c>
      <c r="M11" s="351">
        <v>9444889.8709677421</v>
      </c>
      <c r="N11" s="351">
        <v>9774971.8666666672</v>
      </c>
      <c r="O11" s="351">
        <v>10533517.16</v>
      </c>
      <c r="P11" s="351">
        <f>SUM(P12:P15)</f>
        <v>10884202.832500001</v>
      </c>
    </row>
    <row r="12" spans="1:240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</row>
    <row r="13" spans="1:240" ht="13.5">
      <c r="A13" s="126"/>
      <c r="B13" s="127"/>
      <c r="C13" s="134" t="s">
        <v>19</v>
      </c>
      <c r="D13" s="350">
        <v>1025696.03</v>
      </c>
      <c r="E13" s="350">
        <v>981348.79</v>
      </c>
      <c r="F13" s="350">
        <v>1551223.65</v>
      </c>
      <c r="G13" s="350">
        <v>2755574.17</v>
      </c>
      <c r="H13" s="350">
        <v>3735778.23</v>
      </c>
      <c r="I13" s="350">
        <v>3641635.07</v>
      </c>
      <c r="J13" s="350">
        <v>2744695.13</v>
      </c>
      <c r="K13" s="350">
        <v>3666724.58</v>
      </c>
      <c r="L13" s="350">
        <v>2527222.4700000002</v>
      </c>
      <c r="M13" s="350">
        <v>1647552.94</v>
      </c>
      <c r="N13" s="350">
        <v>1622746.33</v>
      </c>
      <c r="O13" s="350">
        <v>1583769.81</v>
      </c>
      <c r="P13" s="350">
        <f>AVERAGE(D13:O13)</f>
        <v>2290330.6</v>
      </c>
    </row>
    <row r="14" spans="1:240" ht="13.5">
      <c r="A14" s="126"/>
      <c r="B14" s="127"/>
      <c r="C14" s="233" t="s">
        <v>20</v>
      </c>
      <c r="D14" s="350">
        <v>321893.96999999997</v>
      </c>
      <c r="E14" s="350">
        <v>298712.78999999998</v>
      </c>
      <c r="F14" s="350">
        <v>254428.03</v>
      </c>
      <c r="G14" s="350">
        <v>202614.67</v>
      </c>
      <c r="H14" s="350">
        <v>173471.55</v>
      </c>
      <c r="I14" s="350">
        <v>123497</v>
      </c>
      <c r="J14" s="350">
        <v>258893.81</v>
      </c>
      <c r="K14" s="350">
        <v>336011.23</v>
      </c>
      <c r="L14" s="350">
        <v>330625</v>
      </c>
      <c r="M14" s="350">
        <v>232240.58</v>
      </c>
      <c r="N14" s="350">
        <v>196612.67</v>
      </c>
      <c r="O14" s="350">
        <v>243658</v>
      </c>
      <c r="P14" s="350">
        <f>AVERAGE(D14:O14)</f>
        <v>247721.60833333331</v>
      </c>
    </row>
    <row r="15" spans="1:240" ht="13.5">
      <c r="A15" s="126"/>
      <c r="B15" s="127"/>
      <c r="C15" s="233" t="s">
        <v>21</v>
      </c>
      <c r="D15" s="350">
        <v>8279386.1900000004</v>
      </c>
      <c r="E15" s="350">
        <v>8168714.21</v>
      </c>
      <c r="F15" s="350">
        <v>8443878.4800000004</v>
      </c>
      <c r="G15" s="350">
        <v>10458257.17</v>
      </c>
      <c r="H15" s="350">
        <v>9212882.5800000001</v>
      </c>
      <c r="I15" s="350">
        <v>6694869.5</v>
      </c>
      <c r="J15" s="350">
        <v>7726512.1600000001</v>
      </c>
      <c r="K15" s="350">
        <v>8795869.3900000006</v>
      </c>
      <c r="L15" s="350">
        <v>7845997.2300000004</v>
      </c>
      <c r="M15" s="350">
        <v>8331504.2599999998</v>
      </c>
      <c r="N15" s="350">
        <v>7489846.9699999997</v>
      </c>
      <c r="O15" s="350">
        <v>8706089.3499999996</v>
      </c>
      <c r="P15" s="350">
        <f>AVERAGE(D15:O15)</f>
        <v>8346150.6241666675</v>
      </c>
    </row>
    <row r="16" spans="1:240" ht="13.5">
      <c r="A16" s="126"/>
      <c r="B16" s="701" t="s">
        <v>22</v>
      </c>
      <c r="C16" s="702"/>
      <c r="D16" s="351">
        <v>210545889.32258064</v>
      </c>
      <c r="E16" s="351">
        <v>214977597.60714287</v>
      </c>
      <c r="F16" s="351">
        <v>213164465.45161289</v>
      </c>
      <c r="G16" s="351">
        <v>225470134.08999997</v>
      </c>
      <c r="H16" s="351">
        <v>238083252.74193549</v>
      </c>
      <c r="I16" s="351">
        <v>237532776.38</v>
      </c>
      <c r="J16" s="351">
        <v>228768906.06451613</v>
      </c>
      <c r="K16" s="351">
        <v>208853934.19999999</v>
      </c>
      <c r="L16" s="351">
        <v>188253285.44</v>
      </c>
      <c r="M16" s="351">
        <v>182773215.61290324</v>
      </c>
      <c r="N16" s="351">
        <v>188386084.69999999</v>
      </c>
      <c r="O16" s="351">
        <v>238247806.37</v>
      </c>
      <c r="P16" s="351">
        <f>SUM(P17:P23)</f>
        <v>211083612.08447304</v>
      </c>
    </row>
    <row r="17" spans="1:240" ht="13.5">
      <c r="A17" s="126"/>
      <c r="B17" s="127"/>
      <c r="C17" s="128" t="s">
        <v>23</v>
      </c>
      <c r="D17" s="350">
        <v>190552998.41935399</v>
      </c>
      <c r="E17" s="350">
        <v>183693337.67857099</v>
      </c>
      <c r="F17" s="350">
        <v>181533989.32258001</v>
      </c>
      <c r="G17" s="350">
        <v>184701881.73333299</v>
      </c>
      <c r="H17" s="350">
        <v>181758393.38709599</v>
      </c>
      <c r="I17" s="350">
        <v>182280088</v>
      </c>
      <c r="J17" s="350">
        <v>183837350.12903199</v>
      </c>
      <c r="K17" s="350">
        <v>177270240.54838699</v>
      </c>
      <c r="L17" s="350">
        <v>171637107.30000001</v>
      </c>
      <c r="M17" s="350">
        <v>170701080.51612899</v>
      </c>
      <c r="N17" s="350">
        <v>189085071.69999999</v>
      </c>
      <c r="O17" s="350">
        <v>210636909.06</v>
      </c>
      <c r="P17" s="350">
        <f t="shared" ref="P17:P23" si="1">AVERAGE(D17:O17)</f>
        <v>183974037.31620681</v>
      </c>
    </row>
    <row r="18" spans="1:240" ht="13.5">
      <c r="A18" s="126"/>
      <c r="B18" s="127"/>
      <c r="C18" s="134" t="s">
        <v>24</v>
      </c>
      <c r="D18" s="350">
        <v>2782957.903225</v>
      </c>
      <c r="E18" s="350">
        <v>2321740.1428570002</v>
      </c>
      <c r="F18" s="350">
        <v>2115375.967741</v>
      </c>
      <c r="G18" s="350">
        <v>2642764.5666660001</v>
      </c>
      <c r="H18" s="350">
        <v>2373800.7096770001</v>
      </c>
      <c r="I18" s="350">
        <v>2230419.1</v>
      </c>
      <c r="J18" s="350">
        <v>2232554.6129029999</v>
      </c>
      <c r="K18" s="350">
        <v>2065437.16129</v>
      </c>
      <c r="L18" s="350">
        <v>2358959.6</v>
      </c>
      <c r="M18" s="350">
        <v>2103310.3548380001</v>
      </c>
      <c r="N18" s="350">
        <v>1875211.966666</v>
      </c>
      <c r="O18" s="350">
        <v>1797328.74</v>
      </c>
      <c r="P18" s="350">
        <f t="shared" si="1"/>
        <v>2241655.0688219168</v>
      </c>
    </row>
    <row r="19" spans="1:240" ht="14.25" customHeight="1">
      <c r="A19" s="126"/>
      <c r="B19" s="127"/>
      <c r="C19" s="134" t="s">
        <v>25</v>
      </c>
      <c r="D19" s="350">
        <v>7557112.1935480004</v>
      </c>
      <c r="E19" s="350">
        <v>7864284.3928570002</v>
      </c>
      <c r="F19" s="350">
        <v>6875000.6451610001</v>
      </c>
      <c r="G19" s="350">
        <v>6695718.7999999998</v>
      </c>
      <c r="H19" s="350">
        <v>7812749.5806449996</v>
      </c>
      <c r="I19" s="350">
        <v>7624451.7999999998</v>
      </c>
      <c r="J19" s="350">
        <v>7520042.9354830002</v>
      </c>
      <c r="K19" s="350">
        <v>9385709.6774189994</v>
      </c>
      <c r="L19" s="350">
        <v>8000020.966666</v>
      </c>
      <c r="M19" s="350">
        <v>8646673.5806450006</v>
      </c>
      <c r="N19" s="350">
        <v>7990120.0333329998</v>
      </c>
      <c r="O19" s="350">
        <v>8326204.3499999996</v>
      </c>
      <c r="P19" s="350">
        <f t="shared" si="1"/>
        <v>7858174.079646416</v>
      </c>
    </row>
    <row r="20" spans="1:240" ht="13.5">
      <c r="A20" s="126"/>
      <c r="B20" s="127"/>
      <c r="C20" s="134" t="s">
        <v>26</v>
      </c>
      <c r="D20" s="350">
        <v>12577249.451611999</v>
      </c>
      <c r="E20" s="350">
        <v>11798065.535714</v>
      </c>
      <c r="F20" s="350">
        <v>11802339.387096001</v>
      </c>
      <c r="G20" s="350">
        <v>13020017.166665999</v>
      </c>
      <c r="H20" s="350">
        <v>12864029.548387</v>
      </c>
      <c r="I20" s="350">
        <v>10530547.6</v>
      </c>
      <c r="J20" s="350">
        <v>10562257.548387</v>
      </c>
      <c r="K20" s="350">
        <v>11395313.096774001</v>
      </c>
      <c r="L20" s="350">
        <v>10919392.9</v>
      </c>
      <c r="M20" s="350">
        <v>11642981.354838001</v>
      </c>
      <c r="N20" s="350">
        <v>10873450.433333</v>
      </c>
      <c r="O20" s="350">
        <v>12167012.77</v>
      </c>
      <c r="P20" s="350">
        <f t="shared" si="1"/>
        <v>11679388.06606725</v>
      </c>
    </row>
    <row r="21" spans="1:240" ht="13.5">
      <c r="A21" s="126"/>
      <c r="B21" s="127"/>
      <c r="C21" s="134" t="s">
        <v>27</v>
      </c>
      <c r="D21" s="350">
        <v>4724667.7419349998</v>
      </c>
      <c r="E21" s="350">
        <v>4528828.3571420005</v>
      </c>
      <c r="F21" s="350">
        <v>4459637.0322580002</v>
      </c>
      <c r="G21" s="350">
        <v>4388760.4000000004</v>
      </c>
      <c r="H21" s="350">
        <v>4186738.3225799999</v>
      </c>
      <c r="I21" s="350">
        <v>5264596.1333330004</v>
      </c>
      <c r="J21" s="350">
        <v>5032566.4516120004</v>
      </c>
      <c r="K21" s="350">
        <v>5113218.4516120004</v>
      </c>
      <c r="L21" s="350">
        <v>5748725.1666660002</v>
      </c>
      <c r="M21" s="350">
        <v>5909441.5806449996</v>
      </c>
      <c r="N21" s="350">
        <v>6244909.2666659998</v>
      </c>
      <c r="O21" s="350">
        <v>5048293.0999999996</v>
      </c>
      <c r="P21" s="350">
        <f t="shared" si="1"/>
        <v>5054198.5003707511</v>
      </c>
    </row>
    <row r="22" spans="1:240" ht="13.5">
      <c r="A22" s="126"/>
      <c r="B22" s="127"/>
      <c r="C22" s="134" t="s">
        <v>28</v>
      </c>
      <c r="D22" s="350">
        <v>109482.870967</v>
      </c>
      <c r="E22" s="350">
        <v>130589</v>
      </c>
      <c r="F22" s="350">
        <v>135948.67741900001</v>
      </c>
      <c r="G22" s="350">
        <v>133339</v>
      </c>
      <c r="H22" s="350">
        <v>124926.09677400001</v>
      </c>
      <c r="I22" s="350">
        <v>92005.666666000005</v>
      </c>
      <c r="J22" s="350">
        <v>102580.93548299999</v>
      </c>
      <c r="K22" s="350">
        <v>96677.709677000006</v>
      </c>
      <c r="L22" s="350">
        <v>109339</v>
      </c>
      <c r="M22" s="350">
        <v>106839</v>
      </c>
      <c r="N22" s="350">
        <v>109322.333333</v>
      </c>
      <c r="O22" s="350">
        <v>109258.35</v>
      </c>
      <c r="P22" s="350">
        <f t="shared" si="1"/>
        <v>113359.05335991668</v>
      </c>
    </row>
    <row r="23" spans="1:240" ht="14.1" thickBot="1">
      <c r="A23" s="126"/>
      <c r="B23" s="127"/>
      <c r="C23" s="138" t="s">
        <v>29</v>
      </c>
      <c r="D23" s="350">
        <v>162800</v>
      </c>
      <c r="E23" s="350">
        <v>162800</v>
      </c>
      <c r="F23" s="350">
        <v>162800</v>
      </c>
      <c r="G23" s="350">
        <v>162800</v>
      </c>
      <c r="H23" s="350">
        <v>162800</v>
      </c>
      <c r="I23" s="350">
        <v>162800</v>
      </c>
      <c r="J23" s="350">
        <v>162800</v>
      </c>
      <c r="K23" s="350">
        <v>162800</v>
      </c>
      <c r="L23" s="350">
        <v>162800</v>
      </c>
      <c r="M23" s="350">
        <v>162800</v>
      </c>
      <c r="N23" s="350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354">
        <v>1868321.0967741935</v>
      </c>
      <c r="E24" s="354">
        <v>2084420.5</v>
      </c>
      <c r="F24" s="354">
        <v>1825899.6129032257</v>
      </c>
      <c r="G24" s="354">
        <v>1808284.51</v>
      </c>
      <c r="H24" s="354">
        <v>1950302.935483871</v>
      </c>
      <c r="I24" s="354">
        <v>1872309.36</v>
      </c>
      <c r="J24" s="354">
        <v>2890332.5483870967</v>
      </c>
      <c r="K24" s="354">
        <v>2262420.58</v>
      </c>
      <c r="L24" s="354">
        <v>2521225.5</v>
      </c>
      <c r="M24" s="354">
        <v>4106907.5161290322</v>
      </c>
      <c r="N24" s="354">
        <v>4029319.6</v>
      </c>
      <c r="O24" s="354">
        <v>4378474.2200000007</v>
      </c>
      <c r="P24" s="355">
        <f>SUM(P25:P29)</f>
        <v>1792994.0061909999</v>
      </c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</row>
    <row r="25" spans="1:240" s="122" customFormat="1" ht="13.5">
      <c r="A25" s="126"/>
      <c r="B25" s="254"/>
      <c r="C25" s="233" t="s">
        <v>267</v>
      </c>
      <c r="D25" s="357">
        <v>161176</v>
      </c>
      <c r="E25" s="358">
        <v>161176</v>
      </c>
      <c r="F25" s="359">
        <v>161176</v>
      </c>
      <c r="G25" s="360">
        <v>161176</v>
      </c>
      <c r="H25" s="361">
        <v>161176</v>
      </c>
      <c r="I25" s="362">
        <v>161176</v>
      </c>
      <c r="J25" s="362">
        <v>161176</v>
      </c>
      <c r="K25" s="362">
        <v>161176</v>
      </c>
      <c r="L25" s="362">
        <v>161176</v>
      </c>
      <c r="M25" s="362">
        <v>161176</v>
      </c>
      <c r="N25" s="362">
        <v>161176</v>
      </c>
      <c r="O25" s="362">
        <v>161176</v>
      </c>
      <c r="P25" s="363">
        <f t="shared" ref="P25:P33" si="2">AVERAGE(D25:O25)</f>
        <v>161176</v>
      </c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</row>
    <row r="26" spans="1:240" ht="13.5">
      <c r="A26" s="126"/>
      <c r="B26" s="254"/>
      <c r="C26" s="134" t="s">
        <v>268</v>
      </c>
      <c r="D26" s="357">
        <v>122787.419354</v>
      </c>
      <c r="E26" s="358">
        <v>123839.285714</v>
      </c>
      <c r="F26" s="359">
        <v>135205.48387</v>
      </c>
      <c r="G26" s="360">
        <v>128162.8</v>
      </c>
      <c r="H26" s="361">
        <v>173744.451612</v>
      </c>
      <c r="I26" s="362">
        <v>166891.6</v>
      </c>
      <c r="J26" s="362">
        <v>110889.225806</v>
      </c>
      <c r="K26" s="362">
        <v>104188.58064499999</v>
      </c>
      <c r="L26" s="362">
        <v>133078</v>
      </c>
      <c r="M26" s="362">
        <v>109341.225806</v>
      </c>
      <c r="N26" s="362">
        <v>117466.8</v>
      </c>
      <c r="O26" s="362">
        <v>152002.76999999999</v>
      </c>
      <c r="P26" s="363">
        <f t="shared" si="2"/>
        <v>131466.47023391668</v>
      </c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</row>
    <row r="27" spans="1:240" ht="13.5">
      <c r="A27" s="126"/>
      <c r="B27" s="254"/>
      <c r="C27" s="134" t="s">
        <v>269</v>
      </c>
      <c r="D27" s="357">
        <v>0</v>
      </c>
      <c r="E27" s="358">
        <v>0</v>
      </c>
      <c r="F27" s="359">
        <v>0</v>
      </c>
      <c r="G27" s="360">
        <v>0</v>
      </c>
      <c r="H27" s="361">
        <v>0</v>
      </c>
      <c r="I27" s="362">
        <v>0</v>
      </c>
      <c r="J27" s="362">
        <v>0</v>
      </c>
      <c r="K27" s="362">
        <v>0</v>
      </c>
      <c r="L27" s="362">
        <v>0</v>
      </c>
      <c r="M27" s="362">
        <v>0</v>
      </c>
      <c r="N27" s="362">
        <v>0</v>
      </c>
      <c r="O27" s="362">
        <v>0</v>
      </c>
      <c r="P27" s="363">
        <f>AVERAGE(D27:O27)</f>
        <v>0</v>
      </c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</row>
    <row r="28" spans="1:240" ht="13.5">
      <c r="A28" s="126"/>
      <c r="B28" s="254"/>
      <c r="C28" s="134" t="s">
        <v>270</v>
      </c>
      <c r="D28" s="357">
        <v>0</v>
      </c>
      <c r="E28" s="358">
        <v>0</v>
      </c>
      <c r="F28" s="364">
        <v>0</v>
      </c>
      <c r="G28" s="365">
        <v>0</v>
      </c>
      <c r="H28" s="366">
        <v>0</v>
      </c>
      <c r="I28" s="367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0</v>
      </c>
      <c r="P28" s="363">
        <f>AVERAGE(D28:O28)</f>
        <v>0</v>
      </c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</row>
    <row r="29" spans="1:240" ht="14.1" thickBot="1">
      <c r="A29" s="126"/>
      <c r="B29" s="368"/>
      <c r="C29" s="233" t="s">
        <v>35</v>
      </c>
      <c r="D29" s="369">
        <v>1056495.3225799999</v>
      </c>
      <c r="E29" s="370">
        <v>1101754.964285</v>
      </c>
      <c r="F29" s="371">
        <v>1147692.16129</v>
      </c>
      <c r="G29" s="372">
        <v>1518318.1</v>
      </c>
      <c r="H29" s="373">
        <v>1388271.5483870001</v>
      </c>
      <c r="I29" s="374">
        <v>1359118.233333</v>
      </c>
      <c r="J29" s="374">
        <v>1382364.193548</v>
      </c>
      <c r="K29" s="374">
        <v>1204349.967741</v>
      </c>
      <c r="L29" s="374">
        <v>1275896.6333329999</v>
      </c>
      <c r="M29" s="374">
        <v>1219894.2903219999</v>
      </c>
      <c r="N29" s="374">
        <v>1284767.5666660001</v>
      </c>
      <c r="O29" s="374">
        <v>4065295.45</v>
      </c>
      <c r="P29" s="363">
        <f t="shared" si="2"/>
        <v>1500351.5359570833</v>
      </c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</row>
    <row r="30" spans="1:240" ht="13.5">
      <c r="A30" s="691" t="s">
        <v>36</v>
      </c>
      <c r="B30" s="692"/>
      <c r="C30" s="375" t="s">
        <v>37</v>
      </c>
      <c r="D30" s="376">
        <v>2952680.4516129033</v>
      </c>
      <c r="E30" s="376">
        <v>2932651.25</v>
      </c>
      <c r="F30" s="377">
        <v>2900210.064516129</v>
      </c>
      <c r="G30" s="377">
        <v>2850462.3</v>
      </c>
      <c r="H30" s="377">
        <v>2763037.1290322579</v>
      </c>
      <c r="I30" s="377">
        <v>2730252.47</v>
      </c>
      <c r="J30" s="377">
        <v>2613312.064516129</v>
      </c>
      <c r="K30" s="377">
        <v>2588106.6800000002</v>
      </c>
      <c r="L30" s="377">
        <v>2445744.33</v>
      </c>
      <c r="M30" s="377">
        <v>2306652.3870967743</v>
      </c>
      <c r="N30" s="377">
        <v>2224143.8333333335</v>
      </c>
      <c r="O30" s="377">
        <v>2524392.87</v>
      </c>
      <c r="P30" s="378">
        <f t="shared" si="2"/>
        <v>2652637.1525089601</v>
      </c>
    </row>
    <row r="31" spans="1:240" ht="13.5">
      <c r="A31" s="693"/>
      <c r="B31" s="694"/>
      <c r="C31" s="139" t="s">
        <v>38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78">
        <f t="shared" si="2"/>
        <v>0</v>
      </c>
    </row>
    <row r="32" spans="1:240" ht="13.5">
      <c r="A32" s="693"/>
      <c r="B32" s="694"/>
      <c r="C32" s="239" t="s">
        <v>39</v>
      </c>
      <c r="D32" s="379">
        <v>0</v>
      </c>
      <c r="E32" s="379">
        <v>0</v>
      </c>
      <c r="F32" s="379">
        <v>0</v>
      </c>
      <c r="G32" s="379">
        <v>0</v>
      </c>
      <c r="H32" s="379">
        <v>0</v>
      </c>
      <c r="I32" s="379">
        <v>0</v>
      </c>
      <c r="J32" s="379">
        <v>0</v>
      </c>
      <c r="K32" s="379">
        <v>0</v>
      </c>
      <c r="L32" s="379">
        <v>0</v>
      </c>
      <c r="M32" s="379">
        <v>0</v>
      </c>
      <c r="N32" s="379">
        <v>0</v>
      </c>
      <c r="O32" s="379">
        <v>0</v>
      </c>
      <c r="P32" s="378">
        <f t="shared" si="2"/>
        <v>0</v>
      </c>
    </row>
    <row r="33" spans="1:240" ht="14.1" thickBot="1">
      <c r="A33" s="695"/>
      <c r="B33" s="696"/>
      <c r="C33" s="146" t="s">
        <v>40</v>
      </c>
      <c r="D33" s="380">
        <v>0</v>
      </c>
      <c r="E33" s="380">
        <v>0</v>
      </c>
      <c r="F33" s="380">
        <v>0</v>
      </c>
      <c r="G33" s="380">
        <v>0</v>
      </c>
      <c r="H33" s="380">
        <v>0</v>
      </c>
      <c r="I33" s="380">
        <v>0</v>
      </c>
      <c r="J33" s="380">
        <v>0</v>
      </c>
      <c r="K33" s="380">
        <v>0</v>
      </c>
      <c r="L33" s="380">
        <v>0</v>
      </c>
      <c r="M33" s="380">
        <v>0</v>
      </c>
      <c r="N33" s="380">
        <v>0</v>
      </c>
      <c r="O33" s="380">
        <v>0</v>
      </c>
      <c r="P33" s="378">
        <f t="shared" si="2"/>
        <v>0</v>
      </c>
    </row>
    <row r="34" spans="1:240" ht="19.5">
      <c r="A34" s="151"/>
      <c r="B34" s="152"/>
      <c r="C34" s="153"/>
      <c r="P34" s="381"/>
    </row>
    <row r="35" spans="1:240" ht="14.1" thickBot="1">
      <c r="A35" s="342" t="s">
        <v>271</v>
      </c>
      <c r="B35" s="342"/>
      <c r="C35" s="342"/>
    </row>
    <row r="36" spans="1:240" ht="13.5">
      <c r="A36" s="703" t="s">
        <v>1</v>
      </c>
      <c r="B36" s="704"/>
      <c r="C36" s="704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05" t="s">
        <v>9</v>
      </c>
      <c r="B37" s="706"/>
      <c r="C37" s="707"/>
      <c r="D37" s="347">
        <v>513110978</v>
      </c>
      <c r="E37" s="347">
        <v>509030175</v>
      </c>
      <c r="F37" s="347">
        <v>527162627</v>
      </c>
      <c r="G37" s="347">
        <v>529728459</v>
      </c>
      <c r="H37" s="347">
        <v>540636930</v>
      </c>
      <c r="I37" s="347">
        <v>523059165</v>
      </c>
      <c r="J37" s="347">
        <v>534265512</v>
      </c>
      <c r="K37" s="347">
        <v>536853948</v>
      </c>
      <c r="L37" s="347">
        <v>518327092</v>
      </c>
      <c r="M37" s="347">
        <v>497093938</v>
      </c>
      <c r="N37" s="347">
        <v>522872914</v>
      </c>
      <c r="O37" s="347">
        <v>554357421</v>
      </c>
      <c r="P37" s="347">
        <f>P38+P45+P50+P58</f>
        <v>571691049.64750004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01" t="s">
        <v>10</v>
      </c>
      <c r="C38" s="702"/>
      <c r="D38" s="349">
        <v>297453876</v>
      </c>
      <c r="E38" s="349">
        <v>288247725</v>
      </c>
      <c r="F38" s="349">
        <v>302360974</v>
      </c>
      <c r="G38" s="349">
        <v>306427905</v>
      </c>
      <c r="H38" s="349">
        <v>317409051</v>
      </c>
      <c r="I38" s="349">
        <v>301959905</v>
      </c>
      <c r="J38" s="349">
        <v>310944240</v>
      </c>
      <c r="K38" s="349">
        <v>313379819</v>
      </c>
      <c r="L38" s="349">
        <v>298248860</v>
      </c>
      <c r="M38" s="349">
        <v>288745073</v>
      </c>
      <c r="N38" s="349">
        <v>304619792</v>
      </c>
      <c r="O38" s="349">
        <v>320886157</v>
      </c>
      <c r="P38" s="349">
        <f>SUM(P39:P44)</f>
        <v>346108307.41666669</v>
      </c>
    </row>
    <row r="39" spans="1:240" ht="13.5">
      <c r="A39" s="126"/>
      <c r="B39" s="127"/>
      <c r="C39" s="128" t="s">
        <v>11</v>
      </c>
      <c r="D39" s="382">
        <v>302264313.80000001</v>
      </c>
      <c r="E39" s="382">
        <v>300250669.49000001</v>
      </c>
      <c r="F39" s="382">
        <v>297888482.12</v>
      </c>
      <c r="G39" s="382">
        <v>299624177.12</v>
      </c>
      <c r="H39" s="382">
        <v>292492966.32999998</v>
      </c>
      <c r="I39" s="382">
        <v>259238624.53</v>
      </c>
      <c r="J39" s="382">
        <v>284298715.99000001</v>
      </c>
      <c r="K39" s="382">
        <v>258153385.09999999</v>
      </c>
      <c r="L39" s="382">
        <v>264237929.80000001</v>
      </c>
      <c r="M39" s="382">
        <v>281941247.35000002</v>
      </c>
      <c r="N39" s="382">
        <v>308163299.95999998</v>
      </c>
      <c r="O39" s="382">
        <v>315868482.64999998</v>
      </c>
      <c r="P39" s="382">
        <f t="shared" ref="P39:P44" si="3">AVERAGE(D39:O39)</f>
        <v>288701857.85333335</v>
      </c>
    </row>
    <row r="40" spans="1:240" ht="13.5">
      <c r="A40" s="126"/>
      <c r="B40" s="127"/>
      <c r="C40" s="128" t="s">
        <v>12</v>
      </c>
      <c r="D40" s="382">
        <v>11270364.98</v>
      </c>
      <c r="E40" s="382">
        <v>9148833.8200000003</v>
      </c>
      <c r="F40" s="382">
        <v>8271384.8300000001</v>
      </c>
      <c r="G40" s="382">
        <v>6965673.5499999998</v>
      </c>
      <c r="H40" s="382">
        <v>6743824.0599999996</v>
      </c>
      <c r="I40" s="382">
        <v>6274762.0800000001</v>
      </c>
      <c r="J40" s="382">
        <v>8548667.0800000001</v>
      </c>
      <c r="K40" s="382">
        <v>9190649.5800000001</v>
      </c>
      <c r="L40" s="382">
        <v>6169116.1799999997</v>
      </c>
      <c r="M40" s="382">
        <v>8266201.1100000003</v>
      </c>
      <c r="N40" s="382">
        <v>7704101.4199999999</v>
      </c>
      <c r="O40" s="382">
        <v>8556217.3399999999</v>
      </c>
      <c r="P40" s="382">
        <f t="shared" si="3"/>
        <v>8092483.0025000004</v>
      </c>
    </row>
    <row r="41" spans="1:240" ht="14.25" customHeight="1">
      <c r="A41" s="126"/>
      <c r="B41" s="127"/>
      <c r="C41" s="128" t="s">
        <v>13</v>
      </c>
      <c r="D41" s="382">
        <v>17359496.170000002</v>
      </c>
      <c r="E41" s="382">
        <v>16864056.379999999</v>
      </c>
      <c r="F41" s="382">
        <v>18227366.739999998</v>
      </c>
      <c r="G41" s="382">
        <v>19560773.739999998</v>
      </c>
      <c r="H41" s="382">
        <v>16650732.5</v>
      </c>
      <c r="I41" s="382">
        <v>16952292.77</v>
      </c>
      <c r="J41" s="382">
        <v>15081944.189999999</v>
      </c>
      <c r="K41" s="382">
        <v>13408805.52</v>
      </c>
      <c r="L41" s="382">
        <v>11373310.630000001</v>
      </c>
      <c r="M41" s="382">
        <v>11429619.48</v>
      </c>
      <c r="N41" s="382">
        <v>10957918.699999999</v>
      </c>
      <c r="O41" s="382">
        <v>11142634.449999999</v>
      </c>
      <c r="P41" s="382">
        <f t="shared" si="3"/>
        <v>14917412.605833329</v>
      </c>
    </row>
    <row r="42" spans="1:240" ht="14.25" customHeight="1">
      <c r="A42" s="126"/>
      <c r="B42" s="127"/>
      <c r="C42" s="128" t="s">
        <v>14</v>
      </c>
      <c r="D42" s="382">
        <v>17956126.260000002</v>
      </c>
      <c r="E42" s="382">
        <v>20747460.609999999</v>
      </c>
      <c r="F42" s="382">
        <v>22855920.93</v>
      </c>
      <c r="G42" s="382">
        <v>19694097.420000002</v>
      </c>
      <c r="H42" s="382">
        <v>22139365.07</v>
      </c>
      <c r="I42" s="382">
        <v>20631154.260000002</v>
      </c>
      <c r="J42" s="382">
        <v>21506620.149999999</v>
      </c>
      <c r="K42" s="382">
        <v>21928486.23</v>
      </c>
      <c r="L42" s="382">
        <v>21277202.289999999</v>
      </c>
      <c r="M42" s="382">
        <v>18670527.710000001</v>
      </c>
      <c r="N42" s="382">
        <v>21111110.199999999</v>
      </c>
      <c r="O42" s="382">
        <v>23076080.579999998</v>
      </c>
      <c r="P42" s="382">
        <f t="shared" si="3"/>
        <v>20966179.309166666</v>
      </c>
    </row>
    <row r="43" spans="1:240" ht="13.5">
      <c r="A43" s="126"/>
      <c r="B43" s="127"/>
      <c r="C43" s="128" t="s">
        <v>15</v>
      </c>
      <c r="D43" s="382">
        <v>0</v>
      </c>
      <c r="E43" s="382">
        <v>0</v>
      </c>
      <c r="F43" s="382">
        <v>0</v>
      </c>
      <c r="G43" s="382">
        <v>0</v>
      </c>
      <c r="H43" s="382">
        <v>0</v>
      </c>
      <c r="I43" s="382">
        <v>0</v>
      </c>
      <c r="J43" s="382">
        <v>0</v>
      </c>
      <c r="K43" s="382">
        <v>0</v>
      </c>
      <c r="L43" s="382">
        <v>0</v>
      </c>
      <c r="M43" s="382">
        <v>0</v>
      </c>
      <c r="N43" s="382">
        <v>0</v>
      </c>
      <c r="O43" s="382">
        <v>0</v>
      </c>
      <c r="P43" s="382">
        <f t="shared" si="3"/>
        <v>0</v>
      </c>
    </row>
    <row r="44" spans="1:240" ht="13.5">
      <c r="A44" s="126"/>
      <c r="B44" s="132"/>
      <c r="C44" s="128" t="s">
        <v>16</v>
      </c>
      <c r="D44" s="382">
        <v>10255151.300000001</v>
      </c>
      <c r="E44" s="382">
        <v>10875522.68</v>
      </c>
      <c r="F44" s="382">
        <v>7743956.0499999998</v>
      </c>
      <c r="G44" s="382">
        <v>16547659.49</v>
      </c>
      <c r="H44" s="382">
        <v>8727800.8200000003</v>
      </c>
      <c r="I44" s="382">
        <v>9417096.9800000004</v>
      </c>
      <c r="J44" s="382">
        <v>11839584.65</v>
      </c>
      <c r="K44" s="382">
        <v>17836715.84</v>
      </c>
      <c r="L44" s="382">
        <v>15046517.640000001</v>
      </c>
      <c r="M44" s="382">
        <v>20516373.77</v>
      </c>
      <c r="N44" s="382">
        <v>20304670.359999999</v>
      </c>
      <c r="O44" s="382">
        <v>12053446.17</v>
      </c>
      <c r="P44" s="382">
        <f t="shared" si="3"/>
        <v>13430374.645833334</v>
      </c>
    </row>
    <row r="45" spans="1:240" ht="13.5">
      <c r="A45" s="126"/>
      <c r="B45" s="708" t="s">
        <v>17</v>
      </c>
      <c r="C45" s="709"/>
      <c r="D45" s="349">
        <v>10339771</v>
      </c>
      <c r="E45" s="349">
        <v>6515869</v>
      </c>
      <c r="F45" s="349">
        <v>10667002</v>
      </c>
      <c r="G45" s="349">
        <v>11396473</v>
      </c>
      <c r="H45" s="349">
        <v>10802532</v>
      </c>
      <c r="I45" s="349">
        <v>9685812</v>
      </c>
      <c r="J45" s="349">
        <v>8846335</v>
      </c>
      <c r="K45" s="349">
        <v>10995093</v>
      </c>
      <c r="L45" s="349">
        <v>13494723</v>
      </c>
      <c r="M45" s="349">
        <v>8410657</v>
      </c>
      <c r="N45" s="349">
        <v>9754378</v>
      </c>
      <c r="O45" s="349">
        <v>9176503</v>
      </c>
      <c r="P45" s="349">
        <f>SUM(P46:P49)</f>
        <v>10919422.826666668</v>
      </c>
    </row>
    <row r="46" spans="1:240" ht="13.5">
      <c r="A46" s="126"/>
      <c r="B46" s="127"/>
      <c r="C46" s="134" t="s">
        <v>18</v>
      </c>
      <c r="D46" s="382">
        <v>0</v>
      </c>
      <c r="E46" s="382">
        <v>0</v>
      </c>
      <c r="F46" s="382">
        <v>0</v>
      </c>
      <c r="G46" s="382">
        <v>0</v>
      </c>
      <c r="H46" s="382">
        <v>0</v>
      </c>
      <c r="I46" s="382">
        <v>0</v>
      </c>
      <c r="J46" s="382">
        <v>0</v>
      </c>
      <c r="K46" s="382">
        <v>0</v>
      </c>
      <c r="L46" s="382">
        <v>0</v>
      </c>
      <c r="M46" s="382">
        <v>0</v>
      </c>
      <c r="N46" s="382">
        <v>0</v>
      </c>
      <c r="O46" s="382">
        <v>0</v>
      </c>
      <c r="P46" s="382">
        <f>AVERAGE(D46:O46)</f>
        <v>0</v>
      </c>
    </row>
    <row r="47" spans="1:240" s="122" customFormat="1" ht="13.5">
      <c r="A47" s="126"/>
      <c r="B47" s="127"/>
      <c r="C47" s="134" t="s">
        <v>19</v>
      </c>
      <c r="D47" s="382">
        <v>947056.87</v>
      </c>
      <c r="E47" s="382">
        <v>1008186.87</v>
      </c>
      <c r="F47" s="382">
        <v>2235109.84</v>
      </c>
      <c r="G47" s="382">
        <v>4015475.18</v>
      </c>
      <c r="H47" s="382">
        <v>2969855.18</v>
      </c>
      <c r="I47" s="382">
        <v>3788484.51</v>
      </c>
      <c r="J47" s="382">
        <v>2729127</v>
      </c>
      <c r="K47" s="382">
        <v>3043076.64</v>
      </c>
      <c r="L47" s="382">
        <v>2081580.84</v>
      </c>
      <c r="M47" s="382">
        <v>1390916.5</v>
      </c>
      <c r="N47" s="382">
        <v>2062436.5</v>
      </c>
      <c r="O47" s="382">
        <v>1561682.5</v>
      </c>
      <c r="P47" s="382">
        <f>AVERAGE(D47:O47)</f>
        <v>2319415.7025000001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382">
        <v>357032.38</v>
      </c>
      <c r="E48" s="382">
        <v>290287.56</v>
      </c>
      <c r="F48" s="382">
        <v>229148.08</v>
      </c>
      <c r="G48" s="382">
        <v>220718.07999999999</v>
      </c>
      <c r="H48" s="382">
        <v>141698.07999999999</v>
      </c>
      <c r="I48" s="382">
        <v>210458.08</v>
      </c>
      <c r="J48" s="382">
        <v>328528.08</v>
      </c>
      <c r="K48" s="382">
        <v>334158.08000000002</v>
      </c>
      <c r="L48" s="382">
        <v>300848.08</v>
      </c>
      <c r="M48" s="382">
        <v>200328.08</v>
      </c>
      <c r="N48" s="382">
        <v>256108.08</v>
      </c>
      <c r="O48" s="382">
        <v>259068.08</v>
      </c>
      <c r="P48" s="382">
        <f>AVERAGE(D48:O48)</f>
        <v>260698.39500000002</v>
      </c>
    </row>
    <row r="49" spans="1:240" ht="13.5">
      <c r="A49" s="126"/>
      <c r="B49" s="127"/>
      <c r="C49" s="233" t="s">
        <v>21</v>
      </c>
      <c r="D49" s="382">
        <v>8509313.9800000004</v>
      </c>
      <c r="E49" s="382">
        <v>6687091.2400000002</v>
      </c>
      <c r="F49" s="382">
        <v>11539613.550000001</v>
      </c>
      <c r="G49" s="382">
        <v>10494677.609999999</v>
      </c>
      <c r="H49" s="382">
        <v>7096164.2800000003</v>
      </c>
      <c r="I49" s="382">
        <v>8001414.4400000004</v>
      </c>
      <c r="J49" s="382">
        <v>9507328.0999999996</v>
      </c>
      <c r="K49" s="382">
        <v>8594745.4800000004</v>
      </c>
      <c r="L49" s="382">
        <v>7942496.2199999997</v>
      </c>
      <c r="M49" s="382">
        <v>6295339.1500000004</v>
      </c>
      <c r="N49" s="382">
        <v>7590409.71</v>
      </c>
      <c r="O49" s="382">
        <v>7813110.9900000002</v>
      </c>
      <c r="P49" s="382">
        <f>AVERAGE(D49:O49)</f>
        <v>8339308.729166667</v>
      </c>
    </row>
    <row r="50" spans="1:240" ht="13.5">
      <c r="A50" s="126"/>
      <c r="B50" s="708" t="s">
        <v>22</v>
      </c>
      <c r="C50" s="709"/>
      <c r="D50" s="349">
        <v>211441395</v>
      </c>
      <c r="E50" s="349">
        <v>210026404</v>
      </c>
      <c r="F50" s="349">
        <v>220517049</v>
      </c>
      <c r="G50" s="349">
        <v>238734090</v>
      </c>
      <c r="H50" s="349">
        <v>238626999</v>
      </c>
      <c r="I50" s="349">
        <v>236126001</v>
      </c>
      <c r="J50" s="349">
        <v>219360314</v>
      </c>
      <c r="K50" s="349">
        <v>198730491</v>
      </c>
      <c r="L50" s="349">
        <v>181758145</v>
      </c>
      <c r="M50" s="349">
        <v>185479238</v>
      </c>
      <c r="N50" s="349">
        <v>192181177</v>
      </c>
      <c r="O50" s="349">
        <v>202828079</v>
      </c>
      <c r="P50" s="349">
        <f>SUM(P51:P57)</f>
        <v>213127525.85750005</v>
      </c>
    </row>
    <row r="51" spans="1:240" ht="13.5">
      <c r="A51" s="126"/>
      <c r="B51" s="127"/>
      <c r="C51" s="128" t="s">
        <v>23</v>
      </c>
      <c r="D51" s="382">
        <v>190299126.94</v>
      </c>
      <c r="E51" s="382">
        <v>187380800.84999999</v>
      </c>
      <c r="F51" s="382">
        <v>185487677.75999999</v>
      </c>
      <c r="G51" s="382">
        <v>182902644.52000001</v>
      </c>
      <c r="H51" s="382">
        <v>179642192.47</v>
      </c>
      <c r="I51" s="382">
        <v>181578909.99000001</v>
      </c>
      <c r="J51" s="382">
        <v>186225231.19</v>
      </c>
      <c r="K51" s="382">
        <v>172267839.13</v>
      </c>
      <c r="L51" s="382">
        <v>164684420.91999999</v>
      </c>
      <c r="M51" s="382">
        <v>182432532.25999999</v>
      </c>
      <c r="N51" s="382">
        <v>193887557.66</v>
      </c>
      <c r="O51" s="382">
        <v>198976714.81999999</v>
      </c>
      <c r="P51" s="382">
        <f t="shared" ref="P51:P57" si="4">AVERAGE(D51:O51)</f>
        <v>183813804.04250002</v>
      </c>
    </row>
    <row r="52" spans="1:240" ht="13.5">
      <c r="A52" s="126"/>
      <c r="B52" s="127"/>
      <c r="C52" s="134" t="s">
        <v>24</v>
      </c>
      <c r="D52" s="382">
        <v>3398671.78</v>
      </c>
      <c r="E52" s="382">
        <v>2351647.08</v>
      </c>
      <c r="F52" s="382">
        <v>3022175.44</v>
      </c>
      <c r="G52" s="382">
        <v>2456111.62</v>
      </c>
      <c r="H52" s="382">
        <v>2180188.2200000002</v>
      </c>
      <c r="I52" s="382">
        <v>2995304.59</v>
      </c>
      <c r="J52" s="382">
        <v>2493732.0299999998</v>
      </c>
      <c r="K52" s="382">
        <v>2905523.76</v>
      </c>
      <c r="L52" s="382">
        <v>1705339.59</v>
      </c>
      <c r="M52" s="382">
        <v>2183356.89</v>
      </c>
      <c r="N52" s="382">
        <v>2221393.44</v>
      </c>
      <c r="O52" s="382">
        <v>3034353.85</v>
      </c>
      <c r="P52" s="382">
        <f t="shared" si="4"/>
        <v>2578983.1908333334</v>
      </c>
    </row>
    <row r="53" spans="1:240" ht="13.5">
      <c r="A53" s="126"/>
      <c r="B53" s="127"/>
      <c r="C53" s="134" t="s">
        <v>25</v>
      </c>
      <c r="D53" s="382">
        <v>8700616.4700000007</v>
      </c>
      <c r="E53" s="382">
        <v>7525051.9800000004</v>
      </c>
      <c r="F53" s="382">
        <v>6532623.7400000002</v>
      </c>
      <c r="G53" s="382">
        <v>7875428.71</v>
      </c>
      <c r="H53" s="382">
        <v>7984653.4000000004</v>
      </c>
      <c r="I53" s="382">
        <v>7351575.9199999999</v>
      </c>
      <c r="J53" s="382">
        <v>9564535.0199999996</v>
      </c>
      <c r="K53" s="382">
        <v>8603739.1600000001</v>
      </c>
      <c r="L53" s="382">
        <v>7502096.1799999997</v>
      </c>
      <c r="M53" s="382">
        <v>8700420.5299999993</v>
      </c>
      <c r="N53" s="382">
        <v>7747474.4699999997</v>
      </c>
      <c r="O53" s="382">
        <v>8686291.6600000001</v>
      </c>
      <c r="P53" s="382">
        <f t="shared" si="4"/>
        <v>8064542.2700000005</v>
      </c>
    </row>
    <row r="54" spans="1:240" ht="13.5">
      <c r="A54" s="126"/>
      <c r="B54" s="127"/>
      <c r="C54" s="134" t="s">
        <v>26</v>
      </c>
      <c r="D54" s="382">
        <v>12134451.800000001</v>
      </c>
      <c r="E54" s="382">
        <v>11738771.300000001</v>
      </c>
      <c r="F54" s="382">
        <v>13999916.970000001</v>
      </c>
      <c r="G54" s="382">
        <v>11502696.74</v>
      </c>
      <c r="H54" s="382">
        <v>10543919.699999999</v>
      </c>
      <c r="I54" s="382">
        <v>11831286.77</v>
      </c>
      <c r="J54" s="382">
        <v>12080787.16</v>
      </c>
      <c r="K54" s="382">
        <v>12670390.01</v>
      </c>
      <c r="L54" s="382">
        <v>13190501.779999999</v>
      </c>
      <c r="M54" s="382">
        <v>9940148.1600000001</v>
      </c>
      <c r="N54" s="382">
        <v>11650202.58</v>
      </c>
      <c r="O54" s="382">
        <v>12203917.15</v>
      </c>
      <c r="P54" s="382">
        <f t="shared" si="4"/>
        <v>11957249.176666668</v>
      </c>
    </row>
    <row r="55" spans="1:240" ht="13.5">
      <c r="A55" s="126"/>
      <c r="B55" s="127"/>
      <c r="C55" s="134" t="s">
        <v>27</v>
      </c>
      <c r="D55" s="382">
        <v>4704247.37</v>
      </c>
      <c r="E55" s="382">
        <v>4302153.0199999996</v>
      </c>
      <c r="F55" s="382">
        <v>4185080.19</v>
      </c>
      <c r="G55" s="382">
        <v>5577956.8300000001</v>
      </c>
      <c r="H55" s="382">
        <v>4479662.33</v>
      </c>
      <c r="I55" s="382">
        <v>6479045.96</v>
      </c>
      <c r="J55" s="382">
        <v>5233414.71</v>
      </c>
      <c r="K55" s="382">
        <v>7640675.3399999999</v>
      </c>
      <c r="L55" s="382">
        <v>8196087.3799999999</v>
      </c>
      <c r="M55" s="382">
        <v>9653095.9600000009</v>
      </c>
      <c r="N55" s="382">
        <v>9086340.1500000004</v>
      </c>
      <c r="O55" s="382">
        <v>7678943.3300000001</v>
      </c>
      <c r="P55" s="382">
        <f t="shared" si="4"/>
        <v>6434725.2141666673</v>
      </c>
    </row>
    <row r="56" spans="1:240" ht="13.5">
      <c r="A56" s="126"/>
      <c r="B56" s="127"/>
      <c r="C56" s="134" t="s">
        <v>28</v>
      </c>
      <c r="D56" s="382">
        <v>106838.63</v>
      </c>
      <c r="E56" s="382">
        <v>176838.63</v>
      </c>
      <c r="F56" s="382">
        <v>130838.63</v>
      </c>
      <c r="G56" s="382">
        <v>130838.63</v>
      </c>
      <c r="H56" s="382">
        <v>106838.63</v>
      </c>
      <c r="I56" s="382">
        <v>91838.63</v>
      </c>
      <c r="J56" s="382">
        <v>106838.63</v>
      </c>
      <c r="K56" s="382">
        <v>106838.63</v>
      </c>
      <c r="L56" s="382">
        <v>106838.63</v>
      </c>
      <c r="M56" s="382">
        <v>106838.63</v>
      </c>
      <c r="N56" s="382">
        <v>106838.63</v>
      </c>
      <c r="O56" s="382">
        <v>106838.63</v>
      </c>
      <c r="P56" s="382">
        <f t="shared" si="4"/>
        <v>115421.9633333333</v>
      </c>
    </row>
    <row r="57" spans="1:240" ht="14.1" thickBot="1">
      <c r="A57" s="126"/>
      <c r="B57" s="127"/>
      <c r="C57" s="138" t="s">
        <v>29</v>
      </c>
      <c r="D57" s="382">
        <v>162800</v>
      </c>
      <c r="E57" s="382">
        <v>162800</v>
      </c>
      <c r="F57" s="382">
        <v>162800</v>
      </c>
      <c r="G57" s="382">
        <v>162800</v>
      </c>
      <c r="H57" s="382">
        <v>162800</v>
      </c>
      <c r="I57" s="382">
        <v>162800</v>
      </c>
      <c r="J57" s="382">
        <v>162800</v>
      </c>
      <c r="K57" s="382">
        <v>162800</v>
      </c>
      <c r="L57" s="382">
        <v>162800</v>
      </c>
      <c r="M57" s="382">
        <v>162800</v>
      </c>
      <c r="N57" s="382">
        <v>162800</v>
      </c>
      <c r="O57" s="382">
        <v>162800</v>
      </c>
      <c r="P57" s="382">
        <f t="shared" si="4"/>
        <v>162800</v>
      </c>
    </row>
    <row r="58" spans="1:240" ht="13.5">
      <c r="A58" s="126"/>
      <c r="B58" s="352"/>
      <c r="C58" s="353" t="s">
        <v>30</v>
      </c>
      <c r="D58" s="354">
        <v>2080201</v>
      </c>
      <c r="E58" s="354">
        <v>2120435</v>
      </c>
      <c r="F58" s="354">
        <v>1697126</v>
      </c>
      <c r="G58" s="354">
        <v>2017040</v>
      </c>
      <c r="H58" s="354">
        <v>1841996</v>
      </c>
      <c r="I58" s="354">
        <v>3795015</v>
      </c>
      <c r="J58" s="354">
        <v>2721449</v>
      </c>
      <c r="K58" s="354">
        <v>2301064</v>
      </c>
      <c r="L58" s="354">
        <v>5679020</v>
      </c>
      <c r="M58" s="354">
        <v>5684120</v>
      </c>
      <c r="N58" s="354">
        <v>4452299</v>
      </c>
      <c r="O58" s="354">
        <v>2174352</v>
      </c>
      <c r="P58" s="355">
        <f>SUM(P59:P63)</f>
        <v>1535793.5466666664</v>
      </c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  <c r="BS58" s="356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6"/>
      <c r="CK58" s="356"/>
      <c r="CL58" s="356"/>
      <c r="CM58" s="356"/>
      <c r="CN58" s="356"/>
      <c r="CO58" s="356"/>
      <c r="CP58" s="356"/>
      <c r="CQ58" s="356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  <c r="DB58" s="356"/>
      <c r="DC58" s="356"/>
      <c r="DD58" s="356"/>
      <c r="DE58" s="356"/>
      <c r="DF58" s="356"/>
      <c r="DG58" s="356"/>
      <c r="DH58" s="356"/>
      <c r="DI58" s="356"/>
      <c r="DJ58" s="356"/>
      <c r="DK58" s="356"/>
      <c r="DL58" s="356"/>
      <c r="DM58" s="356"/>
      <c r="DN58" s="356"/>
      <c r="DO58" s="356"/>
      <c r="DP58" s="356"/>
      <c r="DQ58" s="356"/>
      <c r="DR58" s="356"/>
      <c r="DS58" s="356"/>
      <c r="DT58" s="356"/>
      <c r="DU58" s="356"/>
      <c r="DV58" s="356"/>
      <c r="DW58" s="356"/>
      <c r="DX58" s="356"/>
      <c r="DY58" s="356"/>
      <c r="DZ58" s="356"/>
      <c r="EA58" s="356"/>
      <c r="EB58" s="356"/>
      <c r="EC58" s="356"/>
      <c r="ED58" s="356"/>
      <c r="EE58" s="356"/>
      <c r="EF58" s="356"/>
      <c r="EG58" s="356"/>
      <c r="EH58" s="356"/>
      <c r="EI58" s="356"/>
      <c r="EJ58" s="356"/>
      <c r="EK58" s="356"/>
      <c r="EL58" s="356"/>
      <c r="EM58" s="356"/>
      <c r="EN58" s="356"/>
      <c r="EO58" s="356"/>
      <c r="EP58" s="356"/>
      <c r="EQ58" s="356"/>
      <c r="ER58" s="356"/>
      <c r="ES58" s="356"/>
      <c r="ET58" s="356"/>
      <c r="EU58" s="356"/>
      <c r="EV58" s="356"/>
      <c r="EW58" s="356"/>
      <c r="EX58" s="356"/>
      <c r="EY58" s="356"/>
      <c r="EZ58" s="356"/>
      <c r="FA58" s="356"/>
      <c r="FB58" s="356"/>
      <c r="FC58" s="356"/>
      <c r="FD58" s="356"/>
      <c r="FE58" s="356"/>
      <c r="FF58" s="356"/>
      <c r="FG58" s="356"/>
      <c r="FH58" s="356"/>
      <c r="FI58" s="356"/>
      <c r="FJ58" s="356"/>
      <c r="FK58" s="356"/>
      <c r="FL58" s="356"/>
      <c r="FM58" s="356"/>
      <c r="FN58" s="356"/>
      <c r="FO58" s="356"/>
      <c r="FP58" s="356"/>
      <c r="FQ58" s="356"/>
      <c r="FR58" s="356"/>
      <c r="FS58" s="356"/>
      <c r="FT58" s="356"/>
      <c r="FU58" s="356"/>
      <c r="FV58" s="356"/>
      <c r="FW58" s="356"/>
      <c r="FX58" s="356"/>
      <c r="FY58" s="356"/>
      <c r="FZ58" s="356"/>
      <c r="GA58" s="356"/>
      <c r="GB58" s="356"/>
      <c r="GC58" s="356"/>
      <c r="GD58" s="356"/>
      <c r="GE58" s="356"/>
      <c r="GF58" s="356"/>
      <c r="GG58" s="356"/>
      <c r="GH58" s="356"/>
      <c r="GI58" s="356"/>
      <c r="GJ58" s="356"/>
      <c r="GK58" s="356"/>
      <c r="GL58" s="356"/>
      <c r="GM58" s="356"/>
      <c r="GN58" s="356"/>
      <c r="GO58" s="356"/>
      <c r="GP58" s="356"/>
      <c r="GQ58" s="356"/>
      <c r="GR58" s="356"/>
      <c r="GS58" s="356"/>
      <c r="GT58" s="356"/>
      <c r="GU58" s="356"/>
      <c r="GV58" s="356"/>
      <c r="GW58" s="356"/>
      <c r="GX58" s="356"/>
      <c r="GY58" s="356"/>
      <c r="GZ58" s="356"/>
      <c r="HA58" s="356"/>
      <c r="HB58" s="356"/>
      <c r="HC58" s="356"/>
      <c r="HD58" s="356"/>
      <c r="HE58" s="356"/>
      <c r="HF58" s="356"/>
      <c r="HG58" s="356"/>
      <c r="HH58" s="356"/>
      <c r="HI58" s="356"/>
      <c r="HJ58" s="356"/>
      <c r="HK58" s="356"/>
      <c r="HL58" s="356"/>
      <c r="HM58" s="356"/>
      <c r="HN58" s="356"/>
      <c r="HO58" s="356"/>
      <c r="HP58" s="356"/>
      <c r="HQ58" s="356"/>
      <c r="HR58" s="356"/>
      <c r="HS58" s="356"/>
      <c r="HT58" s="356"/>
      <c r="HU58" s="356"/>
      <c r="HV58" s="356"/>
      <c r="HW58" s="356"/>
      <c r="HX58" s="356"/>
      <c r="HY58" s="356"/>
      <c r="HZ58" s="356"/>
      <c r="IA58" s="356"/>
      <c r="IB58" s="356"/>
      <c r="IC58" s="356"/>
      <c r="ID58" s="356"/>
      <c r="IE58" s="356"/>
      <c r="IF58" s="356"/>
    </row>
    <row r="59" spans="1:240" ht="13.5">
      <c r="A59" s="126"/>
      <c r="B59" s="254"/>
      <c r="C59" s="233" t="s">
        <v>31</v>
      </c>
      <c r="D59" s="357">
        <v>161175.53</v>
      </c>
      <c r="E59" s="357">
        <v>161175.53</v>
      </c>
      <c r="F59" s="383">
        <v>161175.53</v>
      </c>
      <c r="G59" s="384">
        <v>161175.53</v>
      </c>
      <c r="H59" s="361">
        <v>161175.53</v>
      </c>
      <c r="I59" s="362">
        <v>161175.53</v>
      </c>
      <c r="J59" s="362">
        <v>161175.53</v>
      </c>
      <c r="K59" s="362">
        <v>161175.53</v>
      </c>
      <c r="L59" s="362">
        <v>161175.53</v>
      </c>
      <c r="M59" s="362">
        <v>161175.53</v>
      </c>
      <c r="N59" s="362">
        <v>161175.53</v>
      </c>
      <c r="O59" s="362">
        <v>161175.53</v>
      </c>
      <c r="P59" s="363">
        <f t="shared" ref="P59:P67" si="5">AVERAGE(D59:O59)</f>
        <v>161175.53</v>
      </c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56"/>
      <c r="CI59" s="356"/>
      <c r="CJ59" s="356"/>
      <c r="CK59" s="356"/>
      <c r="CL59" s="356"/>
      <c r="CM59" s="356"/>
      <c r="CN59" s="356"/>
      <c r="CO59" s="356"/>
      <c r="CP59" s="356"/>
      <c r="CQ59" s="356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  <c r="DB59" s="356"/>
      <c r="DC59" s="356"/>
      <c r="DD59" s="356"/>
      <c r="DE59" s="356"/>
      <c r="DF59" s="356"/>
      <c r="DG59" s="356"/>
      <c r="DH59" s="356"/>
      <c r="DI59" s="356"/>
      <c r="DJ59" s="356"/>
      <c r="DK59" s="356"/>
      <c r="DL59" s="356"/>
      <c r="DM59" s="356"/>
      <c r="DN59" s="356"/>
      <c r="DO59" s="356"/>
      <c r="DP59" s="356"/>
      <c r="DQ59" s="356"/>
      <c r="DR59" s="356"/>
      <c r="DS59" s="356"/>
      <c r="DT59" s="356"/>
      <c r="DU59" s="356"/>
      <c r="DV59" s="356"/>
      <c r="DW59" s="356"/>
      <c r="DX59" s="356"/>
      <c r="DY59" s="356"/>
      <c r="DZ59" s="356"/>
      <c r="EA59" s="356"/>
      <c r="EB59" s="356"/>
      <c r="EC59" s="356"/>
      <c r="ED59" s="356"/>
      <c r="EE59" s="356"/>
      <c r="EF59" s="356"/>
      <c r="EG59" s="356"/>
      <c r="EH59" s="356"/>
      <c r="EI59" s="356"/>
      <c r="EJ59" s="356"/>
      <c r="EK59" s="356"/>
      <c r="EL59" s="356"/>
      <c r="EM59" s="356"/>
      <c r="EN59" s="356"/>
      <c r="EO59" s="356"/>
      <c r="EP59" s="356"/>
      <c r="EQ59" s="356"/>
      <c r="ER59" s="356"/>
      <c r="ES59" s="356"/>
      <c r="ET59" s="356"/>
      <c r="EU59" s="356"/>
      <c r="EV59" s="356"/>
      <c r="EW59" s="356"/>
      <c r="EX59" s="356"/>
      <c r="EY59" s="356"/>
      <c r="EZ59" s="356"/>
      <c r="FA59" s="356"/>
      <c r="FB59" s="356"/>
      <c r="FC59" s="356"/>
      <c r="FD59" s="356"/>
      <c r="FE59" s="356"/>
      <c r="FF59" s="356"/>
      <c r="FG59" s="356"/>
      <c r="FH59" s="356"/>
      <c r="FI59" s="356"/>
      <c r="FJ59" s="356"/>
      <c r="FK59" s="356"/>
      <c r="FL59" s="356"/>
      <c r="FM59" s="356"/>
      <c r="FN59" s="356"/>
      <c r="FO59" s="356"/>
      <c r="FP59" s="356"/>
      <c r="FQ59" s="356"/>
      <c r="FR59" s="356"/>
      <c r="FS59" s="356"/>
      <c r="FT59" s="356"/>
      <c r="FU59" s="356"/>
      <c r="FV59" s="356"/>
      <c r="FW59" s="356"/>
      <c r="FX59" s="356"/>
      <c r="FY59" s="356"/>
      <c r="FZ59" s="356"/>
      <c r="GA59" s="356"/>
      <c r="GB59" s="356"/>
      <c r="GC59" s="356"/>
      <c r="GD59" s="356"/>
      <c r="GE59" s="356"/>
      <c r="GF59" s="356"/>
      <c r="GG59" s="356"/>
      <c r="GH59" s="356"/>
      <c r="GI59" s="356"/>
      <c r="GJ59" s="356"/>
      <c r="GK59" s="356"/>
      <c r="GL59" s="356"/>
      <c r="GM59" s="356"/>
      <c r="GN59" s="356"/>
      <c r="GO59" s="356"/>
      <c r="GP59" s="356"/>
      <c r="GQ59" s="356"/>
      <c r="GR59" s="356"/>
      <c r="GS59" s="356"/>
      <c r="GT59" s="356"/>
      <c r="GU59" s="356"/>
      <c r="GV59" s="356"/>
      <c r="GW59" s="356"/>
      <c r="GX59" s="356"/>
      <c r="GY59" s="356"/>
      <c r="GZ59" s="356"/>
      <c r="HA59" s="356"/>
      <c r="HB59" s="356"/>
      <c r="HC59" s="356"/>
      <c r="HD59" s="356"/>
      <c r="HE59" s="356"/>
      <c r="HF59" s="356"/>
      <c r="HG59" s="356"/>
      <c r="HH59" s="356"/>
      <c r="HI59" s="356"/>
      <c r="HJ59" s="356"/>
      <c r="HK59" s="356"/>
      <c r="HL59" s="356"/>
      <c r="HM59" s="356"/>
      <c r="HN59" s="356"/>
      <c r="HO59" s="356"/>
      <c r="HP59" s="356"/>
      <c r="HQ59" s="356"/>
      <c r="HR59" s="356"/>
      <c r="HS59" s="356"/>
      <c r="HT59" s="356"/>
      <c r="HU59" s="356"/>
      <c r="HV59" s="356"/>
      <c r="HW59" s="356"/>
      <c r="HX59" s="356"/>
      <c r="HY59" s="356"/>
      <c r="HZ59" s="356"/>
      <c r="IA59" s="356"/>
      <c r="IB59" s="356"/>
      <c r="IC59" s="356"/>
      <c r="ID59" s="356"/>
      <c r="IE59" s="356"/>
      <c r="IF59" s="356"/>
    </row>
    <row r="60" spans="1:240" ht="13.5">
      <c r="A60" s="126"/>
      <c r="B60" s="254"/>
      <c r="C60" s="134" t="s">
        <v>32</v>
      </c>
      <c r="D60" s="357">
        <v>119109.6</v>
      </c>
      <c r="E60" s="357">
        <v>125169.60000000001</v>
      </c>
      <c r="F60" s="383">
        <v>115509.6</v>
      </c>
      <c r="G60" s="384">
        <v>125205.6</v>
      </c>
      <c r="H60" s="361">
        <v>126993.60000000001</v>
      </c>
      <c r="I60" s="362">
        <v>127065.60000000001</v>
      </c>
      <c r="J60" s="362">
        <v>103845.6</v>
      </c>
      <c r="K60" s="362">
        <v>142005.6</v>
      </c>
      <c r="L60" s="362">
        <v>137685.6</v>
      </c>
      <c r="M60" s="362">
        <v>83037.600000000006</v>
      </c>
      <c r="N60" s="362">
        <v>99081.600000000006</v>
      </c>
      <c r="O60" s="362">
        <v>81105.600000000006</v>
      </c>
      <c r="P60" s="363">
        <f t="shared" si="5"/>
        <v>115484.60000000002</v>
      </c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  <c r="BS60" s="356"/>
      <c r="BT60" s="356"/>
      <c r="BU60" s="356"/>
      <c r="BV60" s="356"/>
      <c r="BW60" s="356"/>
      <c r="BX60" s="356"/>
      <c r="BY60" s="356"/>
      <c r="BZ60" s="356"/>
      <c r="CA60" s="356"/>
      <c r="CB60" s="356"/>
      <c r="CC60" s="356"/>
      <c r="CD60" s="356"/>
      <c r="CE60" s="356"/>
      <c r="CF60" s="356"/>
      <c r="CG60" s="356"/>
      <c r="CH60" s="356"/>
      <c r="CI60" s="356"/>
      <c r="CJ60" s="356"/>
      <c r="CK60" s="356"/>
      <c r="CL60" s="356"/>
      <c r="CM60" s="356"/>
      <c r="CN60" s="356"/>
      <c r="CO60" s="356"/>
      <c r="CP60" s="356"/>
      <c r="CQ60" s="356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  <c r="DB60" s="356"/>
      <c r="DC60" s="356"/>
      <c r="DD60" s="356"/>
      <c r="DE60" s="356"/>
      <c r="DF60" s="356"/>
      <c r="DG60" s="356"/>
      <c r="DH60" s="356"/>
      <c r="DI60" s="356"/>
      <c r="DJ60" s="356"/>
      <c r="DK60" s="356"/>
      <c r="DL60" s="356"/>
      <c r="DM60" s="356"/>
      <c r="DN60" s="356"/>
      <c r="DO60" s="356"/>
      <c r="DP60" s="356"/>
      <c r="DQ60" s="356"/>
      <c r="DR60" s="356"/>
      <c r="DS60" s="356"/>
      <c r="DT60" s="356"/>
      <c r="DU60" s="356"/>
      <c r="DV60" s="356"/>
      <c r="DW60" s="356"/>
      <c r="DX60" s="356"/>
      <c r="DY60" s="356"/>
      <c r="DZ60" s="356"/>
      <c r="EA60" s="356"/>
      <c r="EB60" s="356"/>
      <c r="EC60" s="356"/>
      <c r="ED60" s="356"/>
      <c r="EE60" s="356"/>
      <c r="EF60" s="356"/>
      <c r="EG60" s="356"/>
      <c r="EH60" s="356"/>
      <c r="EI60" s="356"/>
      <c r="EJ60" s="356"/>
      <c r="EK60" s="356"/>
      <c r="EL60" s="356"/>
      <c r="EM60" s="356"/>
      <c r="EN60" s="356"/>
      <c r="EO60" s="356"/>
      <c r="EP60" s="356"/>
      <c r="EQ60" s="356"/>
      <c r="ER60" s="356"/>
      <c r="ES60" s="356"/>
      <c r="ET60" s="356"/>
      <c r="EU60" s="356"/>
      <c r="EV60" s="356"/>
      <c r="EW60" s="356"/>
      <c r="EX60" s="356"/>
      <c r="EY60" s="356"/>
      <c r="EZ60" s="356"/>
      <c r="FA60" s="356"/>
      <c r="FB60" s="356"/>
      <c r="FC60" s="356"/>
      <c r="FD60" s="356"/>
      <c r="FE60" s="356"/>
      <c r="FF60" s="356"/>
      <c r="FG60" s="356"/>
      <c r="FH60" s="356"/>
      <c r="FI60" s="356"/>
      <c r="FJ60" s="356"/>
      <c r="FK60" s="356"/>
      <c r="FL60" s="356"/>
      <c r="FM60" s="356"/>
      <c r="FN60" s="356"/>
      <c r="FO60" s="356"/>
      <c r="FP60" s="356"/>
      <c r="FQ60" s="356"/>
      <c r="FR60" s="356"/>
      <c r="FS60" s="356"/>
      <c r="FT60" s="356"/>
      <c r="FU60" s="356"/>
      <c r="FV60" s="356"/>
      <c r="FW60" s="356"/>
      <c r="FX60" s="356"/>
      <c r="FY60" s="356"/>
      <c r="FZ60" s="356"/>
      <c r="GA60" s="356"/>
      <c r="GB60" s="356"/>
      <c r="GC60" s="356"/>
      <c r="GD60" s="356"/>
      <c r="GE60" s="356"/>
      <c r="GF60" s="356"/>
      <c r="GG60" s="356"/>
      <c r="GH60" s="356"/>
      <c r="GI60" s="356"/>
      <c r="GJ60" s="356"/>
      <c r="GK60" s="356"/>
      <c r="GL60" s="356"/>
      <c r="GM60" s="356"/>
      <c r="GN60" s="356"/>
      <c r="GO60" s="356"/>
      <c r="GP60" s="356"/>
      <c r="GQ60" s="356"/>
      <c r="GR60" s="356"/>
      <c r="GS60" s="356"/>
      <c r="GT60" s="356"/>
      <c r="GU60" s="356"/>
      <c r="GV60" s="356"/>
      <c r="GW60" s="356"/>
      <c r="GX60" s="356"/>
      <c r="GY60" s="356"/>
      <c r="GZ60" s="356"/>
      <c r="HA60" s="356"/>
      <c r="HB60" s="356"/>
      <c r="HC60" s="356"/>
      <c r="HD60" s="356"/>
      <c r="HE60" s="356"/>
      <c r="HF60" s="356"/>
      <c r="HG60" s="356"/>
      <c r="HH60" s="356"/>
      <c r="HI60" s="356"/>
      <c r="HJ60" s="356"/>
      <c r="HK60" s="356"/>
      <c r="HL60" s="356"/>
      <c r="HM60" s="356"/>
      <c r="HN60" s="356"/>
      <c r="HO60" s="356"/>
      <c r="HP60" s="356"/>
      <c r="HQ60" s="356"/>
      <c r="HR60" s="356"/>
      <c r="HS60" s="356"/>
      <c r="HT60" s="356"/>
      <c r="HU60" s="356"/>
      <c r="HV60" s="356"/>
      <c r="HW60" s="356"/>
      <c r="HX60" s="356"/>
      <c r="HY60" s="356"/>
      <c r="HZ60" s="356"/>
      <c r="IA60" s="356"/>
      <c r="IB60" s="356"/>
      <c r="IC60" s="356"/>
      <c r="ID60" s="356"/>
      <c r="IE60" s="356"/>
      <c r="IF60" s="356"/>
    </row>
    <row r="61" spans="1:240" ht="13.5">
      <c r="A61" s="126"/>
      <c r="B61" s="254"/>
      <c r="C61" s="134" t="s">
        <v>33</v>
      </c>
      <c r="D61" s="357">
        <v>0</v>
      </c>
      <c r="E61" s="357">
        <v>0</v>
      </c>
      <c r="F61" s="383">
        <v>0</v>
      </c>
      <c r="G61" s="384">
        <v>0</v>
      </c>
      <c r="H61" s="361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  <c r="O61" s="362">
        <v>0</v>
      </c>
      <c r="P61" s="363">
        <f t="shared" si="5"/>
        <v>0</v>
      </c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  <c r="CQ61" s="356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  <c r="DB61" s="356"/>
      <c r="DC61" s="356"/>
      <c r="DD61" s="356"/>
      <c r="DE61" s="356"/>
      <c r="DF61" s="356"/>
      <c r="DG61" s="356"/>
      <c r="DH61" s="356"/>
      <c r="DI61" s="356"/>
      <c r="DJ61" s="356"/>
      <c r="DK61" s="356"/>
      <c r="DL61" s="356"/>
      <c r="DM61" s="356"/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56"/>
      <c r="EA61" s="356"/>
      <c r="EB61" s="356"/>
      <c r="EC61" s="356"/>
      <c r="ED61" s="356"/>
      <c r="EE61" s="356"/>
      <c r="EF61" s="356"/>
      <c r="EG61" s="356"/>
      <c r="EH61" s="356"/>
      <c r="EI61" s="356"/>
      <c r="EJ61" s="356"/>
      <c r="EK61" s="356"/>
      <c r="EL61" s="356"/>
      <c r="EM61" s="356"/>
      <c r="EN61" s="356"/>
      <c r="EO61" s="356"/>
      <c r="EP61" s="356"/>
      <c r="EQ61" s="356"/>
      <c r="ER61" s="356"/>
      <c r="ES61" s="356"/>
      <c r="ET61" s="356"/>
      <c r="EU61" s="356"/>
      <c r="EV61" s="356"/>
      <c r="EW61" s="356"/>
      <c r="EX61" s="356"/>
      <c r="EY61" s="356"/>
      <c r="EZ61" s="356"/>
      <c r="FA61" s="356"/>
      <c r="FB61" s="356"/>
      <c r="FC61" s="356"/>
      <c r="FD61" s="356"/>
      <c r="FE61" s="356"/>
      <c r="FF61" s="356"/>
      <c r="FG61" s="356"/>
      <c r="FH61" s="356"/>
      <c r="FI61" s="356"/>
      <c r="FJ61" s="356"/>
      <c r="FK61" s="356"/>
      <c r="FL61" s="356"/>
      <c r="FM61" s="356"/>
      <c r="FN61" s="356"/>
      <c r="FO61" s="356"/>
      <c r="FP61" s="356"/>
      <c r="FQ61" s="356"/>
      <c r="FR61" s="356"/>
      <c r="FS61" s="356"/>
      <c r="FT61" s="356"/>
      <c r="FU61" s="356"/>
      <c r="FV61" s="356"/>
      <c r="FW61" s="356"/>
      <c r="FX61" s="356"/>
      <c r="FY61" s="356"/>
      <c r="FZ61" s="356"/>
      <c r="GA61" s="356"/>
      <c r="GB61" s="356"/>
      <c r="GC61" s="356"/>
      <c r="GD61" s="356"/>
      <c r="GE61" s="356"/>
      <c r="GF61" s="356"/>
      <c r="GG61" s="356"/>
      <c r="GH61" s="356"/>
      <c r="GI61" s="356"/>
      <c r="GJ61" s="356"/>
      <c r="GK61" s="356"/>
      <c r="GL61" s="356"/>
      <c r="GM61" s="356"/>
      <c r="GN61" s="356"/>
      <c r="GO61" s="356"/>
      <c r="GP61" s="356"/>
      <c r="GQ61" s="356"/>
      <c r="GR61" s="356"/>
      <c r="GS61" s="356"/>
      <c r="GT61" s="356"/>
      <c r="GU61" s="356"/>
      <c r="GV61" s="356"/>
      <c r="GW61" s="356"/>
      <c r="GX61" s="356"/>
      <c r="GY61" s="356"/>
      <c r="GZ61" s="356"/>
      <c r="HA61" s="356"/>
      <c r="HB61" s="356"/>
      <c r="HC61" s="356"/>
      <c r="HD61" s="356"/>
      <c r="HE61" s="356"/>
      <c r="HF61" s="356"/>
      <c r="HG61" s="356"/>
      <c r="HH61" s="356"/>
      <c r="HI61" s="356"/>
      <c r="HJ61" s="356"/>
      <c r="HK61" s="356"/>
      <c r="HL61" s="356"/>
      <c r="HM61" s="356"/>
      <c r="HN61" s="356"/>
      <c r="HO61" s="356"/>
      <c r="HP61" s="356"/>
      <c r="HQ61" s="356"/>
      <c r="HR61" s="356"/>
      <c r="HS61" s="356"/>
      <c r="HT61" s="356"/>
      <c r="HU61" s="356"/>
      <c r="HV61" s="356"/>
      <c r="HW61" s="356"/>
      <c r="HX61" s="356"/>
      <c r="HY61" s="356"/>
      <c r="HZ61" s="356"/>
      <c r="IA61" s="356"/>
      <c r="IB61" s="356"/>
      <c r="IC61" s="356"/>
      <c r="ID61" s="356"/>
      <c r="IE61" s="356"/>
      <c r="IF61" s="356"/>
    </row>
    <row r="62" spans="1:240" ht="13.5">
      <c r="A62" s="126"/>
      <c r="B62" s="254"/>
      <c r="C62" s="233" t="s">
        <v>34</v>
      </c>
      <c r="D62" s="369">
        <v>0</v>
      </c>
      <c r="E62" s="369">
        <v>0</v>
      </c>
      <c r="F62" s="385">
        <v>0</v>
      </c>
      <c r="G62" s="386">
        <v>0</v>
      </c>
      <c r="H62" s="366">
        <v>0</v>
      </c>
      <c r="I62" s="367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0</v>
      </c>
      <c r="P62" s="363">
        <f>AVERAGE(D62:O62)</f>
        <v>0</v>
      </c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6"/>
      <c r="GY62" s="356"/>
      <c r="GZ62" s="356"/>
      <c r="HA62" s="356"/>
      <c r="HB62" s="356"/>
      <c r="HC62" s="356"/>
      <c r="HD62" s="356"/>
      <c r="HE62" s="356"/>
      <c r="HF62" s="356"/>
      <c r="HG62" s="356"/>
      <c r="HH62" s="356"/>
      <c r="HI62" s="356"/>
      <c r="HJ62" s="356"/>
      <c r="HK62" s="356"/>
      <c r="HL62" s="356"/>
      <c r="HM62" s="356"/>
      <c r="HN62" s="356"/>
      <c r="HO62" s="356"/>
      <c r="HP62" s="356"/>
      <c r="HQ62" s="356"/>
      <c r="HR62" s="356"/>
      <c r="HS62" s="356"/>
      <c r="HT62" s="356"/>
      <c r="HU62" s="356"/>
      <c r="HV62" s="356"/>
      <c r="HW62" s="356"/>
      <c r="HX62" s="356"/>
      <c r="HY62" s="356"/>
      <c r="HZ62" s="356"/>
      <c r="IA62" s="356"/>
      <c r="IB62" s="356"/>
      <c r="IC62" s="356"/>
      <c r="ID62" s="356"/>
      <c r="IE62" s="356"/>
      <c r="IF62" s="356"/>
    </row>
    <row r="63" spans="1:240" ht="14.25" customHeight="1" thickBot="1">
      <c r="A63" s="126"/>
      <c r="B63" s="368"/>
      <c r="C63" s="134" t="s">
        <v>35</v>
      </c>
      <c r="D63" s="387">
        <v>1009213.84</v>
      </c>
      <c r="E63" s="387">
        <v>953964</v>
      </c>
      <c r="F63" s="385">
        <v>1193712.48</v>
      </c>
      <c r="G63" s="388">
        <v>1754628.56</v>
      </c>
      <c r="H63" s="373">
        <v>1131600.08</v>
      </c>
      <c r="I63" s="374">
        <v>1533638.92</v>
      </c>
      <c r="J63" s="374">
        <v>1431260</v>
      </c>
      <c r="K63" s="374">
        <v>1298482.28</v>
      </c>
      <c r="L63" s="374">
        <v>1209776.48</v>
      </c>
      <c r="M63" s="374">
        <v>978289.2</v>
      </c>
      <c r="N63" s="374">
        <v>967409.12</v>
      </c>
      <c r="O63" s="374">
        <v>1647626.04</v>
      </c>
      <c r="P63" s="389">
        <f t="shared" si="5"/>
        <v>1259133.4166666663</v>
      </c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6"/>
      <c r="CJ63" s="356"/>
      <c r="CK63" s="356"/>
      <c r="CL63" s="356"/>
      <c r="CM63" s="356"/>
      <c r="CN63" s="356"/>
      <c r="CO63" s="356"/>
      <c r="CP63" s="356"/>
      <c r="CQ63" s="356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  <c r="DB63" s="356"/>
      <c r="DC63" s="356"/>
      <c r="DD63" s="356"/>
      <c r="DE63" s="356"/>
      <c r="DF63" s="356"/>
      <c r="DG63" s="356"/>
      <c r="DH63" s="356"/>
      <c r="DI63" s="356"/>
      <c r="DJ63" s="356"/>
      <c r="DK63" s="356"/>
      <c r="DL63" s="356"/>
      <c r="DM63" s="356"/>
      <c r="DN63" s="356"/>
      <c r="DO63" s="356"/>
      <c r="DP63" s="356"/>
      <c r="DQ63" s="356"/>
      <c r="DR63" s="356"/>
      <c r="DS63" s="356"/>
      <c r="DT63" s="356"/>
      <c r="DU63" s="356"/>
      <c r="DV63" s="356"/>
      <c r="DW63" s="356"/>
      <c r="DX63" s="356"/>
      <c r="DY63" s="356"/>
      <c r="DZ63" s="356"/>
      <c r="EA63" s="356"/>
      <c r="EB63" s="356"/>
      <c r="EC63" s="356"/>
      <c r="ED63" s="356"/>
      <c r="EE63" s="356"/>
      <c r="EF63" s="356"/>
      <c r="EG63" s="356"/>
      <c r="EH63" s="356"/>
      <c r="EI63" s="356"/>
      <c r="EJ63" s="356"/>
      <c r="EK63" s="356"/>
      <c r="EL63" s="356"/>
      <c r="EM63" s="356"/>
      <c r="EN63" s="356"/>
      <c r="EO63" s="356"/>
      <c r="EP63" s="356"/>
      <c r="EQ63" s="356"/>
      <c r="ER63" s="356"/>
      <c r="ES63" s="356"/>
      <c r="ET63" s="356"/>
      <c r="EU63" s="356"/>
      <c r="EV63" s="356"/>
      <c r="EW63" s="356"/>
      <c r="EX63" s="356"/>
      <c r="EY63" s="356"/>
      <c r="EZ63" s="356"/>
      <c r="FA63" s="356"/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</row>
    <row r="64" spans="1:240" ht="14.25" customHeight="1">
      <c r="A64" s="691" t="s">
        <v>36</v>
      </c>
      <c r="B64" s="692"/>
      <c r="C64" s="375" t="s">
        <v>37</v>
      </c>
      <c r="D64" s="390">
        <v>1968818.73</v>
      </c>
      <c r="E64" s="390">
        <v>1964638.73</v>
      </c>
      <c r="F64" s="376">
        <v>1964638.73</v>
      </c>
      <c r="G64" s="377">
        <v>1964638.73</v>
      </c>
      <c r="H64" s="377">
        <v>1794131.68</v>
      </c>
      <c r="I64" s="377">
        <v>1788179.28</v>
      </c>
      <c r="J64" s="377">
        <v>2034405.26</v>
      </c>
      <c r="K64" s="377">
        <v>1703708.27</v>
      </c>
      <c r="L64" s="377">
        <v>1647339.83</v>
      </c>
      <c r="M64" s="377">
        <v>1617672.23</v>
      </c>
      <c r="N64" s="377">
        <v>1622400.23</v>
      </c>
      <c r="O64" s="377">
        <v>1621612.23</v>
      </c>
      <c r="P64" s="391">
        <f t="shared" si="5"/>
        <v>1807681.9941666666</v>
      </c>
    </row>
    <row r="65" spans="1:240" ht="13.5">
      <c r="A65" s="693"/>
      <c r="B65" s="694"/>
      <c r="C65" s="139" t="s">
        <v>38</v>
      </c>
      <c r="D65" s="377">
        <v>0</v>
      </c>
      <c r="E65" s="377">
        <v>0</v>
      </c>
      <c r="F65" s="377">
        <v>0</v>
      </c>
      <c r="G65" s="377">
        <v>0</v>
      </c>
      <c r="H65" s="377">
        <v>0</v>
      </c>
      <c r="I65" s="377">
        <v>0</v>
      </c>
      <c r="J65" s="377">
        <v>0</v>
      </c>
      <c r="K65" s="377">
        <v>0</v>
      </c>
      <c r="L65" s="377">
        <v>0</v>
      </c>
      <c r="M65" s="377">
        <v>0</v>
      </c>
      <c r="N65" s="377">
        <v>0</v>
      </c>
      <c r="O65" s="377">
        <v>0</v>
      </c>
      <c r="P65" s="382">
        <f t="shared" si="5"/>
        <v>0</v>
      </c>
    </row>
    <row r="66" spans="1:240" ht="13.5">
      <c r="A66" s="693"/>
      <c r="B66" s="694"/>
      <c r="C66" s="239" t="s">
        <v>39</v>
      </c>
      <c r="D66" s="379">
        <v>0</v>
      </c>
      <c r="E66" s="379">
        <v>0</v>
      </c>
      <c r="F66" s="379">
        <v>0</v>
      </c>
      <c r="G66" s="379">
        <v>0</v>
      </c>
      <c r="H66" s="379">
        <v>0</v>
      </c>
      <c r="I66" s="379">
        <v>0</v>
      </c>
      <c r="J66" s="379">
        <v>0</v>
      </c>
      <c r="K66" s="379">
        <v>0</v>
      </c>
      <c r="L66" s="379">
        <v>0</v>
      </c>
      <c r="M66" s="379">
        <v>0</v>
      </c>
      <c r="N66" s="379">
        <v>0</v>
      </c>
      <c r="O66" s="379">
        <v>0</v>
      </c>
      <c r="P66" s="382">
        <f t="shared" si="5"/>
        <v>0</v>
      </c>
    </row>
    <row r="67" spans="1:240" ht="14.1" thickBot="1">
      <c r="A67" s="695"/>
      <c r="B67" s="696"/>
      <c r="C67" s="146" t="s">
        <v>40</v>
      </c>
      <c r="D67" s="380">
        <v>0</v>
      </c>
      <c r="E67" s="380">
        <v>0</v>
      </c>
      <c r="F67" s="380">
        <v>0</v>
      </c>
      <c r="G67" s="380">
        <v>0</v>
      </c>
      <c r="H67" s="380">
        <v>0</v>
      </c>
      <c r="I67" s="380">
        <v>0</v>
      </c>
      <c r="J67" s="380">
        <v>0</v>
      </c>
      <c r="K67" s="380">
        <v>0</v>
      </c>
      <c r="L67" s="380">
        <v>0</v>
      </c>
      <c r="M67" s="380">
        <v>0</v>
      </c>
      <c r="N67" s="380">
        <v>0</v>
      </c>
      <c r="O67" s="380">
        <v>0</v>
      </c>
      <c r="P67" s="382">
        <f t="shared" si="5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703" t="s">
        <v>1</v>
      </c>
      <c r="B70" s="704"/>
      <c r="C70" s="704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05" t="s">
        <v>9</v>
      </c>
      <c r="B71" s="706"/>
      <c r="C71" s="707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94" t="e">
        <f t="shared" ref="P71:P94" si="6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01" t="s">
        <v>10</v>
      </c>
      <c r="C72" s="702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6"/>
      <c r="P72" s="397" t="e">
        <f t="shared" si="6"/>
        <v>#DIV/0!</v>
      </c>
    </row>
    <row r="73" spans="1:240" ht="13.5" hidden="1" customHeight="1">
      <c r="A73" s="126"/>
      <c r="B73" s="127"/>
      <c r="C73" s="128" t="s">
        <v>11</v>
      </c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9"/>
      <c r="P73" s="400" t="e">
        <f t="shared" si="6"/>
        <v>#DIV/0!</v>
      </c>
    </row>
    <row r="74" spans="1:240" ht="13.5" hidden="1" customHeight="1">
      <c r="A74" s="126"/>
      <c r="B74" s="127"/>
      <c r="C74" s="128" t="s">
        <v>12</v>
      </c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9"/>
      <c r="P74" s="400" t="e">
        <f t="shared" si="6"/>
        <v>#DIV/0!</v>
      </c>
    </row>
    <row r="75" spans="1:240" ht="13.5" hidden="1" customHeight="1">
      <c r="A75" s="126"/>
      <c r="B75" s="127"/>
      <c r="C75" s="128" t="s">
        <v>13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9"/>
      <c r="P75" s="400" t="e">
        <f t="shared" si="6"/>
        <v>#DIV/0!</v>
      </c>
    </row>
    <row r="76" spans="1:240" ht="13.5" hidden="1" customHeight="1">
      <c r="A76" s="126"/>
      <c r="B76" s="127"/>
      <c r="C76" s="128" t="s">
        <v>14</v>
      </c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9"/>
      <c r="P76" s="400" t="e">
        <f t="shared" si="6"/>
        <v>#DIV/0!</v>
      </c>
    </row>
    <row r="77" spans="1:240" ht="13.5" hidden="1" customHeight="1">
      <c r="A77" s="126"/>
      <c r="B77" s="127"/>
      <c r="C77" s="128" t="s">
        <v>15</v>
      </c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9"/>
      <c r="P77" s="400" t="e">
        <f t="shared" si="6"/>
        <v>#DIV/0!</v>
      </c>
    </row>
    <row r="78" spans="1:240" ht="12.75" hidden="1" customHeight="1">
      <c r="A78" s="126"/>
      <c r="B78" s="132"/>
      <c r="C78" s="128" t="s">
        <v>16</v>
      </c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9"/>
      <c r="P78" s="400" t="e">
        <f t="shared" si="6"/>
        <v>#DIV/0!</v>
      </c>
    </row>
    <row r="79" spans="1:240" ht="14.1" hidden="1" customHeight="1" thickBot="1">
      <c r="A79" s="126"/>
      <c r="B79" s="708" t="s">
        <v>17</v>
      </c>
      <c r="C79" s="710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2"/>
      <c r="P79" s="403" t="e">
        <f t="shared" si="6"/>
        <v>#DIV/0!</v>
      </c>
    </row>
    <row r="80" spans="1:240" ht="13.5" hidden="1" customHeight="1">
      <c r="A80" s="126"/>
      <c r="B80" s="254"/>
      <c r="C80" s="173" t="s">
        <v>18</v>
      </c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5"/>
      <c r="P80" s="406" t="e">
        <f t="shared" si="6"/>
        <v>#DIV/0!</v>
      </c>
    </row>
    <row r="81" spans="1:240" ht="13.5" hidden="1" customHeight="1">
      <c r="A81" s="126"/>
      <c r="B81" s="127"/>
      <c r="C81" s="134" t="s">
        <v>19</v>
      </c>
      <c r="D81" s="407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9"/>
      <c r="P81" s="406" t="e">
        <f t="shared" si="6"/>
        <v>#DIV/0!</v>
      </c>
    </row>
    <row r="82" spans="1:240" s="198" customFormat="1" ht="13.5" hidden="1" customHeight="1">
      <c r="A82" s="126"/>
      <c r="B82" s="127"/>
      <c r="C82" s="255" t="s">
        <v>20</v>
      </c>
      <c r="D82" s="407"/>
      <c r="E82" s="398"/>
      <c r="F82" s="398"/>
      <c r="G82" s="398"/>
      <c r="H82" s="398"/>
      <c r="I82" s="398"/>
      <c r="J82" s="398"/>
      <c r="K82" s="398"/>
      <c r="L82" s="398"/>
      <c r="M82" s="398"/>
      <c r="N82" s="399"/>
      <c r="O82" s="399"/>
      <c r="P82" s="406" t="e">
        <f t="shared" si="6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01" t="s">
        <v>22</v>
      </c>
      <c r="C83" s="702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6"/>
      <c r="O83" s="396"/>
      <c r="P83" s="397" t="e">
        <f t="shared" si="6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9"/>
      <c r="P84" s="400" t="e">
        <f t="shared" si="6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9"/>
      <c r="O85" s="399"/>
      <c r="P85" s="400" t="e">
        <f t="shared" si="6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9"/>
      <c r="O86" s="399"/>
      <c r="P86" s="400" t="e">
        <f t="shared" si="6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9"/>
      <c r="O87" s="399"/>
      <c r="P87" s="400" t="e">
        <f t="shared" si="6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9"/>
      <c r="O88" s="399"/>
      <c r="P88" s="400" t="e">
        <f t="shared" si="6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9"/>
      <c r="O89" s="399"/>
      <c r="P89" s="400" t="e">
        <f t="shared" si="6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9"/>
      <c r="P90" s="400" t="e">
        <f t="shared" si="6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691" t="s">
        <v>36</v>
      </c>
      <c r="B91" s="692"/>
      <c r="C91" s="139" t="s">
        <v>37</v>
      </c>
      <c r="D91" s="408"/>
      <c r="E91" s="408"/>
      <c r="F91" s="408"/>
      <c r="G91" s="409"/>
      <c r="H91" s="409"/>
      <c r="I91" s="409"/>
      <c r="J91" s="409"/>
      <c r="K91" s="409"/>
      <c r="L91" s="409"/>
      <c r="M91" s="409"/>
      <c r="N91" s="410"/>
      <c r="O91" s="410"/>
      <c r="P91" s="411" t="e">
        <f t="shared" si="6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693"/>
      <c r="B92" s="694"/>
      <c r="C92" s="139" t="s">
        <v>38</v>
      </c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3"/>
      <c r="O92" s="413"/>
      <c r="P92" s="414" t="e">
        <f t="shared" si="6"/>
        <v>#DIV/0!</v>
      </c>
    </row>
    <row r="93" spans="1:240" ht="13.5" hidden="1" customHeight="1">
      <c r="A93" s="693"/>
      <c r="B93" s="694"/>
      <c r="C93" s="239" t="s">
        <v>39</v>
      </c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6"/>
      <c r="O93" s="416"/>
      <c r="P93" s="417" t="e">
        <f t="shared" si="6"/>
        <v>#DIV/0!</v>
      </c>
    </row>
    <row r="94" spans="1:240" ht="14.1" hidden="1" customHeight="1" thickBot="1">
      <c r="A94" s="695"/>
      <c r="B94" s="696"/>
      <c r="C94" s="146" t="s">
        <v>40</v>
      </c>
      <c r="D94" s="418"/>
      <c r="E94" s="419"/>
      <c r="F94" s="418"/>
      <c r="G94" s="418"/>
      <c r="H94" s="418"/>
      <c r="I94" s="418"/>
      <c r="J94" s="418"/>
      <c r="K94" s="418"/>
      <c r="L94" s="418"/>
      <c r="M94" s="418"/>
      <c r="N94" s="419"/>
      <c r="O94" s="419"/>
      <c r="P94" s="420" t="e">
        <f t="shared" si="6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703" t="s">
        <v>1</v>
      </c>
      <c r="B97" s="704"/>
      <c r="C97" s="704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11" t="s">
        <v>11</v>
      </c>
      <c r="B98" s="712"/>
      <c r="C98" s="712"/>
      <c r="D98" s="421">
        <v>97.622474999999994</v>
      </c>
      <c r="E98" s="422">
        <v>98.078862000000001</v>
      </c>
      <c r="F98" s="422">
        <v>98.441522000000006</v>
      </c>
      <c r="G98" s="422">
        <v>98.597690999999998</v>
      </c>
      <c r="H98" s="422">
        <v>98.731240999999997</v>
      </c>
      <c r="I98" s="422">
        <v>98.546818000000002</v>
      </c>
      <c r="J98" s="422">
        <v>97.923922000000005</v>
      </c>
      <c r="K98" s="422">
        <v>97.948582999999999</v>
      </c>
      <c r="L98" s="422">
        <v>97.810646000000006</v>
      </c>
      <c r="M98" s="422">
        <v>97.676486999999995</v>
      </c>
      <c r="N98" s="422">
        <v>98.372005000000001</v>
      </c>
      <c r="O98" s="422">
        <v>98.1</v>
      </c>
      <c r="P98" s="422">
        <v>98.202627166666659</v>
      </c>
    </row>
    <row r="99" spans="1:18" ht="13.5">
      <c r="A99" s="699" t="s">
        <v>12</v>
      </c>
      <c r="B99" s="700"/>
      <c r="C99" s="700"/>
      <c r="D99" s="421">
        <v>98.877724000000001</v>
      </c>
      <c r="E99" s="422">
        <v>99.496313999999998</v>
      </c>
      <c r="F99" s="422">
        <v>100</v>
      </c>
      <c r="G99" s="422">
        <v>99.919190999999998</v>
      </c>
      <c r="H99" s="422">
        <v>99.989087999999995</v>
      </c>
      <c r="I99" s="422">
        <v>99.921638000000002</v>
      </c>
      <c r="J99" s="422">
        <v>100</v>
      </c>
      <c r="K99" s="422">
        <v>99.923046999999997</v>
      </c>
      <c r="L99" s="422">
        <v>100</v>
      </c>
      <c r="M99" s="422">
        <v>100</v>
      </c>
      <c r="N99" s="422">
        <v>98.840783000000002</v>
      </c>
      <c r="O99" s="422">
        <v>99.9</v>
      </c>
      <c r="P99" s="422">
        <v>99.740275916666675</v>
      </c>
    </row>
    <row r="100" spans="1:18" ht="13.5">
      <c r="A100" s="699" t="s">
        <v>13</v>
      </c>
      <c r="B100" s="700"/>
      <c r="C100" s="700"/>
      <c r="D100" s="421">
        <v>32.622950000000003</v>
      </c>
      <c r="E100" s="422">
        <v>35.348225999999997</v>
      </c>
      <c r="F100" s="422">
        <v>49.071925</v>
      </c>
      <c r="G100" s="422">
        <v>76.769024999999999</v>
      </c>
      <c r="H100" s="422">
        <v>86.044273000000004</v>
      </c>
      <c r="I100" s="422">
        <v>88.375164999999996</v>
      </c>
      <c r="J100" s="422">
        <v>90.236686000000006</v>
      </c>
      <c r="K100" s="422">
        <v>89.022756999999999</v>
      </c>
      <c r="L100" s="422">
        <v>85.917496</v>
      </c>
      <c r="M100" s="422">
        <v>88.950276000000002</v>
      </c>
      <c r="N100" s="422">
        <v>94.079600999999997</v>
      </c>
      <c r="O100" s="422">
        <v>82.7</v>
      </c>
      <c r="P100" s="422">
        <v>76.173119583333332</v>
      </c>
    </row>
    <row r="101" spans="1:18" ht="13.5">
      <c r="A101" s="699" t="s">
        <v>14</v>
      </c>
      <c r="B101" s="700"/>
      <c r="C101" s="700"/>
      <c r="D101" s="421">
        <v>99.305364999999995</v>
      </c>
      <c r="E101" s="422">
        <v>98.924037999999996</v>
      </c>
      <c r="F101" s="422">
        <v>99.472970000000004</v>
      </c>
      <c r="G101" s="422">
        <v>99.613371999999998</v>
      </c>
      <c r="H101" s="422">
        <v>99.481830000000002</v>
      </c>
      <c r="I101" s="422">
        <v>99.522551000000007</v>
      </c>
      <c r="J101" s="422">
        <v>99.368544</v>
      </c>
      <c r="K101" s="422">
        <v>99.488767999999993</v>
      </c>
      <c r="L101" s="422">
        <v>99.410224999999997</v>
      </c>
      <c r="M101" s="422">
        <v>99.029639000000003</v>
      </c>
      <c r="N101" s="422">
        <v>99.536237999999997</v>
      </c>
      <c r="O101" s="422">
        <v>99.4</v>
      </c>
      <c r="P101" s="422">
        <v>99.39079774999999</v>
      </c>
    </row>
    <row r="102" spans="1:18" ht="13.5">
      <c r="A102" s="699" t="s">
        <v>21</v>
      </c>
      <c r="B102" s="700"/>
      <c r="C102" s="700"/>
      <c r="D102" s="421">
        <v>94.981834000000006</v>
      </c>
      <c r="E102" s="422">
        <v>94.122911000000002</v>
      </c>
      <c r="F102" s="422">
        <v>92.018929</v>
      </c>
      <c r="G102" s="422">
        <v>92.749100999999996</v>
      </c>
      <c r="H102" s="422">
        <v>93.484419000000003</v>
      </c>
      <c r="I102" s="422">
        <v>94.163597999999993</v>
      </c>
      <c r="J102" s="422">
        <v>93.963712000000001</v>
      </c>
      <c r="K102" s="422">
        <v>92.592591999999996</v>
      </c>
      <c r="L102" s="422">
        <v>95.074297999999999</v>
      </c>
      <c r="M102" s="422">
        <v>93.710863000000003</v>
      </c>
      <c r="N102" s="422">
        <v>91.875263000000004</v>
      </c>
      <c r="O102" s="422">
        <v>93.9</v>
      </c>
      <c r="P102" s="422">
        <v>93.545044166666671</v>
      </c>
    </row>
    <row r="103" spans="1:18" ht="13.5">
      <c r="A103" s="699" t="s">
        <v>16</v>
      </c>
      <c r="B103" s="700"/>
      <c r="C103" s="700"/>
      <c r="D103" s="421">
        <v>97.581902999999997</v>
      </c>
      <c r="E103" s="422">
        <v>99.032713000000001</v>
      </c>
      <c r="F103" s="422">
        <v>99.378435999999994</v>
      </c>
      <c r="G103" s="422">
        <v>98.977628999999993</v>
      </c>
      <c r="H103" s="422">
        <v>98.716325999999995</v>
      </c>
      <c r="I103" s="422">
        <v>98.478899999999996</v>
      </c>
      <c r="J103" s="422">
        <v>99.226500000000001</v>
      </c>
      <c r="K103" s="422">
        <v>99.038623000000001</v>
      </c>
      <c r="L103" s="422">
        <v>98.428900999999996</v>
      </c>
      <c r="M103" s="422">
        <v>99.059765999999996</v>
      </c>
      <c r="N103" s="422">
        <v>98.788739000000007</v>
      </c>
      <c r="O103" s="422">
        <v>98.2</v>
      </c>
      <c r="P103" s="422">
        <v>98.820241666666661</v>
      </c>
    </row>
    <row r="104" spans="1:18" ht="13.5">
      <c r="A104" s="697" t="s">
        <v>17</v>
      </c>
      <c r="B104" s="698"/>
      <c r="C104" s="698"/>
      <c r="D104" s="421">
        <v>92.613636</v>
      </c>
      <c r="E104" s="422">
        <v>86.069650999999993</v>
      </c>
      <c r="F104" s="422">
        <v>97.667637999999997</v>
      </c>
      <c r="G104" s="422">
        <v>97.142857000000006</v>
      </c>
      <c r="H104" s="422">
        <v>99.816175999999999</v>
      </c>
      <c r="I104" s="422">
        <v>98.598129999999998</v>
      </c>
      <c r="J104" s="422">
        <v>92.328398000000007</v>
      </c>
      <c r="K104" s="422">
        <v>97.695035000000004</v>
      </c>
      <c r="L104" s="422">
        <v>98.469386999999998</v>
      </c>
      <c r="M104" s="422">
        <v>92.835819999999998</v>
      </c>
      <c r="N104" s="422">
        <v>92.031872000000007</v>
      </c>
      <c r="O104" s="422">
        <v>93.8</v>
      </c>
      <c r="P104" s="422">
        <v>80.933333333333323</v>
      </c>
    </row>
    <row r="105" spans="1:18" ht="13.5">
      <c r="A105" s="722" t="s">
        <v>49</v>
      </c>
      <c r="B105" s="723"/>
      <c r="C105" s="724"/>
      <c r="D105" s="423">
        <v>97.686214000000007</v>
      </c>
      <c r="E105" s="424">
        <v>97.980958999999999</v>
      </c>
      <c r="F105" s="424">
        <v>98.338605999999999</v>
      </c>
      <c r="G105" s="424">
        <v>98.516259000000005</v>
      </c>
      <c r="H105" s="424">
        <v>98.650398999999993</v>
      </c>
      <c r="I105" s="424">
        <v>98.543567999999993</v>
      </c>
      <c r="J105" s="424">
        <v>98.069644999999994</v>
      </c>
      <c r="K105" s="424">
        <v>98.056971000000004</v>
      </c>
      <c r="L105" s="424">
        <v>98.010716000000002</v>
      </c>
      <c r="M105" s="424">
        <v>97.821056999999996</v>
      </c>
      <c r="N105" s="424">
        <v>98.328682000000001</v>
      </c>
      <c r="O105" s="424">
        <v>98.2</v>
      </c>
      <c r="P105" s="424">
        <v>98.223968666666664</v>
      </c>
    </row>
    <row r="106" spans="1:18" ht="17.100000000000001">
      <c r="A106" s="699" t="s">
        <v>276</v>
      </c>
      <c r="B106" s="700"/>
      <c r="C106" s="700"/>
      <c r="D106" s="421">
        <v>96.733611999999994</v>
      </c>
      <c r="E106" s="422">
        <v>97.874868000000006</v>
      </c>
      <c r="F106" s="422">
        <v>97.880985999999993</v>
      </c>
      <c r="G106" s="422">
        <v>97.971451999999999</v>
      </c>
      <c r="H106" s="422">
        <v>97.718209000000002</v>
      </c>
      <c r="I106" s="422">
        <v>97.601391000000007</v>
      </c>
      <c r="J106" s="422">
        <v>97.158030999999994</v>
      </c>
      <c r="K106" s="422">
        <v>96.561702999999994</v>
      </c>
      <c r="L106" s="422">
        <v>96.722943999999998</v>
      </c>
      <c r="M106" s="422">
        <v>96.360566000000006</v>
      </c>
      <c r="N106" s="422">
        <v>97.486900000000006</v>
      </c>
      <c r="O106" s="422">
        <v>97.1</v>
      </c>
      <c r="P106" s="422">
        <v>97.32332991666668</v>
      </c>
      <c r="R106" s="556"/>
    </row>
    <row r="107" spans="1:18" ht="17.100000000000001">
      <c r="A107" s="257" t="s">
        <v>24</v>
      </c>
      <c r="B107" s="258"/>
      <c r="C107" s="425"/>
      <c r="D107" s="426">
        <v>96.836555000000004</v>
      </c>
      <c r="E107" s="427">
        <v>100</v>
      </c>
      <c r="F107" s="427">
        <v>100</v>
      </c>
      <c r="G107" s="427">
        <v>100</v>
      </c>
      <c r="H107" s="427">
        <v>99.682034000000002</v>
      </c>
      <c r="I107" s="427">
        <v>100</v>
      </c>
      <c r="J107" s="427">
        <v>100</v>
      </c>
      <c r="K107" s="427">
        <v>99.708878999999996</v>
      </c>
      <c r="L107" s="427">
        <v>100</v>
      </c>
      <c r="M107" s="427">
        <v>99.844479000000007</v>
      </c>
      <c r="N107" s="427">
        <v>100</v>
      </c>
      <c r="O107" s="427">
        <v>100</v>
      </c>
      <c r="P107" s="422">
        <v>99.66018716666666</v>
      </c>
      <c r="R107" s="556"/>
    </row>
    <row r="108" spans="1:18" ht="17.100000000000001">
      <c r="A108" s="257" t="s">
        <v>25</v>
      </c>
      <c r="B108" s="258"/>
      <c r="C108" s="425"/>
      <c r="D108" s="426">
        <v>94.712990000000005</v>
      </c>
      <c r="E108" s="427">
        <v>96.682846999999995</v>
      </c>
      <c r="F108" s="427">
        <v>88.179669000000004</v>
      </c>
      <c r="G108" s="427">
        <v>44.617562999999997</v>
      </c>
      <c r="H108" s="427">
        <v>76.346153000000001</v>
      </c>
      <c r="I108" s="427">
        <v>89.507772000000003</v>
      </c>
      <c r="J108" s="427">
        <v>96.109271000000007</v>
      </c>
      <c r="K108" s="427">
        <v>93.688361999999998</v>
      </c>
      <c r="L108" s="427">
        <v>92.514718000000002</v>
      </c>
      <c r="M108" s="427">
        <v>95.417236000000003</v>
      </c>
      <c r="N108" s="427">
        <v>96.139358999999999</v>
      </c>
      <c r="O108" s="427">
        <v>94.1</v>
      </c>
      <c r="P108" s="422">
        <v>88.215528833333337</v>
      </c>
      <c r="R108" s="556"/>
    </row>
    <row r="109" spans="1:18" ht="17.100000000000001">
      <c r="A109" s="257" t="s">
        <v>26</v>
      </c>
      <c r="B109" s="258"/>
      <c r="C109" s="425"/>
      <c r="D109" s="426">
        <v>98.235523999999998</v>
      </c>
      <c r="E109" s="427">
        <v>97.858180000000004</v>
      </c>
      <c r="F109" s="427">
        <v>97.554963999999998</v>
      </c>
      <c r="G109" s="427">
        <v>93.335678999999999</v>
      </c>
      <c r="H109" s="427">
        <v>95.456924000000001</v>
      </c>
      <c r="I109" s="427">
        <v>96.298372999999998</v>
      </c>
      <c r="J109" s="427">
        <v>97.241311999999994</v>
      </c>
      <c r="K109" s="427">
        <v>97.394621000000001</v>
      </c>
      <c r="L109" s="427">
        <v>97.475915000000001</v>
      </c>
      <c r="M109" s="427">
        <v>96.541617000000002</v>
      </c>
      <c r="N109" s="427">
        <v>97.220426000000003</v>
      </c>
      <c r="O109" s="427">
        <v>97.9</v>
      </c>
      <c r="P109" s="422">
        <v>96.877690333333319</v>
      </c>
      <c r="R109" s="556"/>
    </row>
    <row r="110" spans="1:18" ht="17.100000000000001">
      <c r="A110" s="257" t="s">
        <v>27</v>
      </c>
      <c r="B110" s="258"/>
      <c r="C110" s="425"/>
      <c r="D110" s="426">
        <v>98.390342000000004</v>
      </c>
      <c r="E110" s="427">
        <v>98.845749999999995</v>
      </c>
      <c r="F110" s="427">
        <v>97.923075999999995</v>
      </c>
      <c r="G110" s="427">
        <v>97.522299000000004</v>
      </c>
      <c r="H110" s="427">
        <v>88.613477000000003</v>
      </c>
      <c r="I110" s="427">
        <v>98.555649000000003</v>
      </c>
      <c r="J110" s="427">
        <v>97.776011999999994</v>
      </c>
      <c r="K110" s="427">
        <v>96.433989999999994</v>
      </c>
      <c r="L110" s="427">
        <v>96.489858999999996</v>
      </c>
      <c r="M110" s="427">
        <v>97.272018000000003</v>
      </c>
      <c r="N110" s="427">
        <v>97.112461999999994</v>
      </c>
      <c r="O110" s="427">
        <v>96</v>
      </c>
      <c r="P110" s="422">
        <v>96.990130250000007</v>
      </c>
      <c r="R110" s="556"/>
    </row>
    <row r="111" spans="1:18" ht="17.100000000000001">
      <c r="A111" s="257" t="s">
        <v>28</v>
      </c>
      <c r="B111" s="258"/>
      <c r="C111" s="425"/>
      <c r="D111" s="426">
        <v>50</v>
      </c>
      <c r="E111" s="427">
        <v>0</v>
      </c>
      <c r="F111" s="427">
        <v>0</v>
      </c>
      <c r="G111" s="427">
        <v>0</v>
      </c>
      <c r="H111" s="427">
        <v>50</v>
      </c>
      <c r="I111" s="427">
        <v>40</v>
      </c>
      <c r="J111" s="427">
        <v>0</v>
      </c>
      <c r="K111" s="427">
        <v>33.333333000000003</v>
      </c>
      <c r="L111" s="427">
        <v>0</v>
      </c>
      <c r="M111" s="427">
        <v>0</v>
      </c>
      <c r="N111" s="427">
        <v>0</v>
      </c>
      <c r="O111" s="427">
        <v>0</v>
      </c>
      <c r="P111" s="422">
        <v>17.3333333</v>
      </c>
      <c r="R111" s="556"/>
    </row>
    <row r="112" spans="1:18" ht="17.100000000000001">
      <c r="A112" s="775" t="s">
        <v>50</v>
      </c>
      <c r="B112" s="776"/>
      <c r="C112" s="776"/>
      <c r="D112" s="423">
        <v>97.019199999999998</v>
      </c>
      <c r="E112" s="424">
        <v>97.883825000000002</v>
      </c>
      <c r="F112" s="424">
        <v>97.630964000000006</v>
      </c>
      <c r="G112" s="424">
        <v>96.248538999999994</v>
      </c>
      <c r="H112" s="424">
        <v>96.637553999999994</v>
      </c>
      <c r="I112" s="424">
        <v>97.135598000000002</v>
      </c>
      <c r="J112" s="424">
        <v>97.202331999999998</v>
      </c>
      <c r="K112" s="424">
        <v>96.650969000000003</v>
      </c>
      <c r="L112" s="424">
        <v>96.817339000000004</v>
      </c>
      <c r="M112" s="424">
        <v>96.433231000000006</v>
      </c>
      <c r="N112" s="424">
        <v>97.427806000000004</v>
      </c>
      <c r="O112" s="424">
        <v>97.2</v>
      </c>
      <c r="P112" s="424">
        <v>97.074126166666659</v>
      </c>
      <c r="R112" s="556"/>
    </row>
    <row r="113" spans="1:240" ht="17.100000000000001">
      <c r="A113" s="700" t="s">
        <v>31</v>
      </c>
      <c r="B113" s="700"/>
      <c r="C113" s="700"/>
      <c r="D113" s="428">
        <v>0</v>
      </c>
      <c r="E113" s="428">
        <v>0</v>
      </c>
      <c r="F113" s="428">
        <v>0</v>
      </c>
      <c r="G113" s="429">
        <v>0</v>
      </c>
      <c r="H113" s="430">
        <v>0</v>
      </c>
      <c r="I113" s="431">
        <v>0</v>
      </c>
      <c r="J113" s="431">
        <v>0</v>
      </c>
      <c r="K113" s="431">
        <v>0</v>
      </c>
      <c r="L113" s="431">
        <v>0</v>
      </c>
      <c r="M113" s="431">
        <v>0</v>
      </c>
      <c r="N113" s="431">
        <v>0</v>
      </c>
      <c r="O113" s="431">
        <v>0</v>
      </c>
      <c r="P113" s="422">
        <v>0</v>
      </c>
      <c r="Q113" s="432"/>
      <c r="R113" s="556"/>
      <c r="S113" s="432"/>
      <c r="T113" s="432">
        <v>92.424000000000007</v>
      </c>
      <c r="U113" s="433"/>
      <c r="V113" s="434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4"/>
      <c r="AU113" s="434"/>
      <c r="AV113" s="434"/>
      <c r="AW113" s="434"/>
      <c r="AX113" s="434"/>
      <c r="AY113" s="434"/>
      <c r="AZ113" s="434"/>
      <c r="BA113" s="434"/>
      <c r="BB113" s="434"/>
      <c r="BC113" s="434"/>
      <c r="BD113" s="434"/>
      <c r="BE113" s="434"/>
      <c r="BF113" s="434"/>
      <c r="BG113" s="434"/>
      <c r="BH113" s="434"/>
      <c r="BI113" s="434"/>
      <c r="BJ113" s="434"/>
      <c r="BK113" s="434"/>
      <c r="BL113" s="434"/>
      <c r="BM113" s="434"/>
      <c r="BN113" s="434"/>
      <c r="BO113" s="434"/>
      <c r="BP113" s="434"/>
      <c r="BQ113" s="434"/>
      <c r="BR113" s="434"/>
      <c r="BS113" s="434"/>
      <c r="BT113" s="434"/>
      <c r="BU113" s="434"/>
      <c r="BV113" s="434"/>
      <c r="BW113" s="434"/>
      <c r="BX113" s="434"/>
      <c r="BY113" s="434"/>
      <c r="BZ113" s="434"/>
      <c r="CA113" s="434"/>
      <c r="CB113" s="434"/>
      <c r="CC113" s="434"/>
      <c r="CD113" s="434"/>
      <c r="CE113" s="434"/>
      <c r="CF113" s="434"/>
      <c r="CG113" s="434"/>
      <c r="CH113" s="434"/>
      <c r="CI113" s="434"/>
      <c r="CJ113" s="434"/>
      <c r="CK113" s="434"/>
      <c r="CL113" s="434"/>
      <c r="CM113" s="434"/>
      <c r="CN113" s="434"/>
      <c r="CO113" s="434"/>
      <c r="CP113" s="434"/>
      <c r="CQ113" s="434"/>
      <c r="CR113" s="434"/>
      <c r="CS113" s="434"/>
      <c r="CT113" s="434"/>
      <c r="CU113" s="434"/>
      <c r="CV113" s="434"/>
      <c r="CW113" s="434"/>
      <c r="CX113" s="434"/>
      <c r="CY113" s="434"/>
      <c r="CZ113" s="434"/>
      <c r="DA113" s="434"/>
      <c r="DB113" s="434"/>
      <c r="DC113" s="434"/>
      <c r="DD113" s="434"/>
      <c r="DE113" s="434"/>
      <c r="DF113" s="434"/>
      <c r="DG113" s="434"/>
      <c r="DH113" s="434"/>
      <c r="DI113" s="434"/>
      <c r="DJ113" s="434"/>
      <c r="DK113" s="434"/>
      <c r="DL113" s="434"/>
      <c r="DM113" s="434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4"/>
      <c r="EI113" s="434"/>
      <c r="EJ113" s="434"/>
      <c r="EK113" s="434"/>
      <c r="EL113" s="434"/>
      <c r="EM113" s="434"/>
      <c r="EN113" s="434"/>
      <c r="EO113" s="434"/>
      <c r="EP113" s="434"/>
      <c r="EQ113" s="434"/>
      <c r="ER113" s="434"/>
      <c r="ES113" s="434"/>
      <c r="ET113" s="434"/>
      <c r="EU113" s="434"/>
      <c r="EV113" s="434"/>
      <c r="EW113" s="434"/>
      <c r="EX113" s="434"/>
      <c r="EY113" s="434"/>
      <c r="EZ113" s="434"/>
      <c r="FA113" s="434"/>
      <c r="FB113" s="434"/>
      <c r="FC113" s="434"/>
      <c r="FD113" s="434"/>
      <c r="FE113" s="434"/>
      <c r="FF113" s="434"/>
      <c r="FG113" s="434"/>
      <c r="FH113" s="434"/>
      <c r="FI113" s="434"/>
      <c r="FJ113" s="434"/>
      <c r="FK113" s="434"/>
      <c r="FL113" s="434"/>
      <c r="FM113" s="434"/>
      <c r="FN113" s="434"/>
      <c r="FO113" s="434"/>
      <c r="FP113" s="434"/>
      <c r="FQ113" s="434"/>
      <c r="FR113" s="434"/>
      <c r="FS113" s="434"/>
      <c r="FT113" s="434"/>
      <c r="FU113" s="434"/>
      <c r="FV113" s="434"/>
      <c r="FW113" s="434"/>
      <c r="FX113" s="434"/>
      <c r="FY113" s="434"/>
      <c r="FZ113" s="434"/>
      <c r="GA113" s="434"/>
      <c r="GB113" s="434"/>
      <c r="GC113" s="434"/>
      <c r="GD113" s="434"/>
      <c r="GE113" s="434"/>
      <c r="GF113" s="434"/>
      <c r="GG113" s="434"/>
      <c r="GH113" s="434"/>
      <c r="GI113" s="434"/>
      <c r="GJ113" s="434"/>
      <c r="GK113" s="434"/>
      <c r="GL113" s="434"/>
      <c r="GM113" s="434"/>
      <c r="GN113" s="434"/>
      <c r="GO113" s="434"/>
      <c r="GP113" s="434"/>
      <c r="GQ113" s="434"/>
      <c r="GR113" s="434"/>
      <c r="GS113" s="434"/>
      <c r="GT113" s="434"/>
      <c r="GU113" s="434"/>
      <c r="GV113" s="434"/>
      <c r="GW113" s="434"/>
      <c r="GX113" s="434"/>
      <c r="GY113" s="434"/>
      <c r="GZ113" s="434"/>
      <c r="HA113" s="434"/>
      <c r="HB113" s="434"/>
      <c r="HC113" s="434"/>
      <c r="HD113" s="434"/>
      <c r="HE113" s="434"/>
      <c r="HF113" s="434"/>
      <c r="HG113" s="434"/>
      <c r="HH113" s="434"/>
      <c r="HI113" s="434"/>
      <c r="HJ113" s="434"/>
      <c r="HK113" s="434"/>
      <c r="HL113" s="434"/>
      <c r="HM113" s="434"/>
      <c r="HN113" s="434"/>
      <c r="HO113" s="434"/>
      <c r="HP113" s="434"/>
      <c r="HQ113" s="434"/>
      <c r="HR113" s="434"/>
      <c r="HS113" s="434"/>
      <c r="HT113" s="434"/>
      <c r="HU113" s="434"/>
      <c r="HV113" s="434"/>
      <c r="HW113" s="434"/>
      <c r="HX113" s="434"/>
      <c r="HY113" s="434"/>
      <c r="HZ113" s="434"/>
      <c r="IA113" s="434"/>
      <c r="IB113" s="434"/>
      <c r="IC113" s="434"/>
      <c r="ID113" s="434"/>
      <c r="IE113" s="434"/>
      <c r="IF113" s="434"/>
    </row>
    <row r="114" spans="1:240" ht="13.5">
      <c r="A114" s="700" t="s">
        <v>32</v>
      </c>
      <c r="B114" s="700"/>
      <c r="C114" s="700"/>
      <c r="D114" s="428">
        <v>0</v>
      </c>
      <c r="E114" s="428">
        <v>0</v>
      </c>
      <c r="F114" s="428">
        <v>0</v>
      </c>
      <c r="G114" s="429">
        <v>0</v>
      </c>
      <c r="H114" s="430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22">
        <v>0</v>
      </c>
      <c r="Q114" s="432"/>
      <c r="R114" s="432"/>
      <c r="S114" s="432"/>
      <c r="T114" s="432">
        <v>100</v>
      </c>
      <c r="U114" s="433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4"/>
      <c r="AU114" s="434"/>
      <c r="AV114" s="434"/>
      <c r="AW114" s="434"/>
      <c r="AX114" s="434"/>
      <c r="AY114" s="434"/>
      <c r="AZ114" s="434"/>
      <c r="BA114" s="434"/>
      <c r="BB114" s="434"/>
      <c r="BC114" s="434"/>
      <c r="BD114" s="434"/>
      <c r="BE114" s="434"/>
      <c r="BF114" s="434"/>
      <c r="BG114" s="434"/>
      <c r="BH114" s="434"/>
      <c r="BI114" s="434"/>
      <c r="BJ114" s="434"/>
      <c r="BK114" s="434"/>
      <c r="BL114" s="434"/>
      <c r="BM114" s="434"/>
      <c r="BN114" s="434"/>
      <c r="BO114" s="434"/>
      <c r="BP114" s="434"/>
      <c r="BQ114" s="434"/>
      <c r="BR114" s="434"/>
      <c r="BS114" s="434"/>
      <c r="BT114" s="434"/>
      <c r="BU114" s="434"/>
      <c r="BV114" s="434"/>
      <c r="BW114" s="434"/>
      <c r="BX114" s="434"/>
      <c r="BY114" s="434"/>
      <c r="BZ114" s="434"/>
      <c r="CA114" s="434"/>
      <c r="CB114" s="434"/>
      <c r="CC114" s="434"/>
      <c r="CD114" s="434"/>
      <c r="CE114" s="434"/>
      <c r="CF114" s="434"/>
      <c r="CG114" s="434"/>
      <c r="CH114" s="434"/>
      <c r="CI114" s="434"/>
      <c r="CJ114" s="434"/>
      <c r="CK114" s="434"/>
      <c r="CL114" s="434"/>
      <c r="CM114" s="434"/>
      <c r="CN114" s="434"/>
      <c r="CO114" s="434"/>
      <c r="CP114" s="434"/>
      <c r="CQ114" s="434"/>
      <c r="CR114" s="434"/>
      <c r="CS114" s="434"/>
      <c r="CT114" s="434"/>
      <c r="CU114" s="434"/>
      <c r="CV114" s="434"/>
      <c r="CW114" s="434"/>
      <c r="CX114" s="434"/>
      <c r="CY114" s="434"/>
      <c r="CZ114" s="434"/>
      <c r="DA114" s="434"/>
      <c r="DB114" s="434"/>
      <c r="DC114" s="434"/>
      <c r="DD114" s="434"/>
      <c r="DE114" s="434"/>
      <c r="DF114" s="434"/>
      <c r="DG114" s="434"/>
      <c r="DH114" s="434"/>
      <c r="DI114" s="434"/>
      <c r="DJ114" s="434"/>
      <c r="DK114" s="434"/>
      <c r="DL114" s="434"/>
      <c r="DM114" s="434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4"/>
      <c r="EI114" s="434"/>
      <c r="EJ114" s="434"/>
      <c r="EK114" s="434"/>
      <c r="EL114" s="434"/>
      <c r="EM114" s="434"/>
      <c r="EN114" s="434"/>
      <c r="EO114" s="434"/>
      <c r="EP114" s="434"/>
      <c r="EQ114" s="434"/>
      <c r="ER114" s="434"/>
      <c r="ES114" s="434"/>
      <c r="ET114" s="434"/>
      <c r="EU114" s="434"/>
      <c r="EV114" s="434"/>
      <c r="EW114" s="434"/>
      <c r="EX114" s="434"/>
      <c r="EY114" s="434"/>
      <c r="EZ114" s="434"/>
      <c r="FA114" s="434"/>
      <c r="FB114" s="434"/>
      <c r="FC114" s="434"/>
      <c r="FD114" s="434"/>
      <c r="FE114" s="434"/>
      <c r="FF114" s="434"/>
      <c r="FG114" s="434"/>
      <c r="FH114" s="434"/>
      <c r="FI114" s="434"/>
      <c r="FJ114" s="434"/>
      <c r="FK114" s="434"/>
      <c r="FL114" s="434"/>
      <c r="FM114" s="434"/>
      <c r="FN114" s="434"/>
      <c r="FO114" s="434"/>
      <c r="FP114" s="434"/>
      <c r="FQ114" s="434"/>
      <c r="FR114" s="434"/>
      <c r="FS114" s="434"/>
      <c r="FT114" s="434"/>
      <c r="FU114" s="434"/>
      <c r="FV114" s="434"/>
      <c r="FW114" s="434"/>
      <c r="FX114" s="434"/>
      <c r="FY114" s="434"/>
      <c r="FZ114" s="434"/>
      <c r="GA114" s="434"/>
      <c r="GB114" s="434"/>
      <c r="GC114" s="434"/>
      <c r="GD114" s="434"/>
      <c r="GE114" s="434"/>
      <c r="GF114" s="434"/>
      <c r="GG114" s="434"/>
      <c r="GH114" s="434"/>
      <c r="GI114" s="434"/>
      <c r="GJ114" s="434"/>
      <c r="GK114" s="434"/>
      <c r="GL114" s="434"/>
      <c r="GM114" s="434"/>
      <c r="GN114" s="434"/>
      <c r="GO114" s="434"/>
      <c r="GP114" s="434"/>
      <c r="GQ114" s="434"/>
      <c r="GR114" s="434"/>
      <c r="GS114" s="434"/>
      <c r="GT114" s="434"/>
      <c r="GU114" s="434"/>
      <c r="GV114" s="434"/>
      <c r="GW114" s="434"/>
      <c r="GX114" s="434"/>
      <c r="GY114" s="434"/>
      <c r="GZ114" s="434"/>
      <c r="HA114" s="434"/>
      <c r="HB114" s="434"/>
      <c r="HC114" s="434"/>
      <c r="HD114" s="434"/>
      <c r="HE114" s="434"/>
      <c r="HF114" s="434"/>
      <c r="HG114" s="434"/>
      <c r="HH114" s="434"/>
      <c r="HI114" s="434"/>
      <c r="HJ114" s="434"/>
      <c r="HK114" s="434"/>
      <c r="HL114" s="434"/>
      <c r="HM114" s="434"/>
      <c r="HN114" s="434"/>
      <c r="HO114" s="434"/>
      <c r="HP114" s="434"/>
      <c r="HQ114" s="434"/>
      <c r="HR114" s="434"/>
      <c r="HS114" s="434"/>
      <c r="HT114" s="434"/>
      <c r="HU114" s="434"/>
      <c r="HV114" s="434"/>
      <c r="HW114" s="434"/>
      <c r="HX114" s="434"/>
      <c r="HY114" s="434"/>
      <c r="HZ114" s="434"/>
      <c r="IA114" s="434"/>
      <c r="IB114" s="434"/>
      <c r="IC114" s="434"/>
      <c r="ID114" s="434"/>
      <c r="IE114" s="434"/>
      <c r="IF114" s="434"/>
    </row>
    <row r="115" spans="1:240" ht="13.5">
      <c r="A115" s="700" t="s">
        <v>33</v>
      </c>
      <c r="B115" s="700"/>
      <c r="C115" s="700"/>
      <c r="D115" s="428">
        <v>0</v>
      </c>
      <c r="E115" s="428">
        <v>0</v>
      </c>
      <c r="F115" s="428">
        <v>0</v>
      </c>
      <c r="G115" s="429">
        <v>0</v>
      </c>
      <c r="H115" s="430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22">
        <v>0</v>
      </c>
      <c r="Q115" s="432"/>
      <c r="R115" s="432"/>
      <c r="S115" s="432"/>
      <c r="T115" s="432">
        <v>0</v>
      </c>
      <c r="U115" s="433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4"/>
      <c r="AU115" s="434"/>
      <c r="AV115" s="434"/>
      <c r="AW115" s="434"/>
      <c r="AX115" s="434"/>
      <c r="AY115" s="434"/>
      <c r="AZ115" s="434"/>
      <c r="BA115" s="434"/>
      <c r="BB115" s="434"/>
      <c r="BC115" s="434"/>
      <c r="BD115" s="434"/>
      <c r="BE115" s="434"/>
      <c r="BF115" s="434"/>
      <c r="BG115" s="434"/>
      <c r="BH115" s="434"/>
      <c r="BI115" s="434"/>
      <c r="BJ115" s="434"/>
      <c r="BK115" s="434"/>
      <c r="BL115" s="434"/>
      <c r="BM115" s="434"/>
      <c r="BN115" s="434"/>
      <c r="BO115" s="434"/>
      <c r="BP115" s="434"/>
      <c r="BQ115" s="434"/>
      <c r="BR115" s="434"/>
      <c r="BS115" s="434"/>
      <c r="BT115" s="434"/>
      <c r="BU115" s="434"/>
      <c r="BV115" s="434"/>
      <c r="BW115" s="434"/>
      <c r="BX115" s="434"/>
      <c r="BY115" s="434"/>
      <c r="BZ115" s="434"/>
      <c r="CA115" s="434"/>
      <c r="CB115" s="434"/>
      <c r="CC115" s="434"/>
      <c r="CD115" s="434"/>
      <c r="CE115" s="434"/>
      <c r="CF115" s="434"/>
      <c r="CG115" s="434"/>
      <c r="CH115" s="434"/>
      <c r="CI115" s="434"/>
      <c r="CJ115" s="434"/>
      <c r="CK115" s="434"/>
      <c r="CL115" s="434"/>
      <c r="CM115" s="434"/>
      <c r="CN115" s="434"/>
      <c r="CO115" s="434"/>
      <c r="CP115" s="434"/>
      <c r="CQ115" s="434"/>
      <c r="CR115" s="434"/>
      <c r="CS115" s="434"/>
      <c r="CT115" s="434"/>
      <c r="CU115" s="434"/>
      <c r="CV115" s="434"/>
      <c r="CW115" s="434"/>
      <c r="CX115" s="434"/>
      <c r="CY115" s="434"/>
      <c r="CZ115" s="434"/>
      <c r="DA115" s="434"/>
      <c r="DB115" s="434"/>
      <c r="DC115" s="434"/>
      <c r="DD115" s="434"/>
      <c r="DE115" s="434"/>
      <c r="DF115" s="434"/>
      <c r="DG115" s="434"/>
      <c r="DH115" s="434"/>
      <c r="DI115" s="434"/>
      <c r="DJ115" s="434"/>
      <c r="DK115" s="434"/>
      <c r="DL115" s="434"/>
      <c r="DM115" s="434"/>
      <c r="DN115" s="434"/>
      <c r="DO115" s="434"/>
      <c r="DP115" s="434"/>
      <c r="DQ115" s="434"/>
      <c r="DR115" s="434"/>
      <c r="DS115" s="434"/>
      <c r="DT115" s="434"/>
      <c r="DU115" s="434"/>
      <c r="DV115" s="434"/>
      <c r="DW115" s="434"/>
      <c r="DX115" s="434"/>
      <c r="DY115" s="434"/>
      <c r="DZ115" s="434"/>
      <c r="EA115" s="434"/>
      <c r="EB115" s="434"/>
      <c r="EC115" s="434"/>
      <c r="ED115" s="434"/>
      <c r="EE115" s="434"/>
      <c r="EF115" s="434"/>
      <c r="EG115" s="434"/>
      <c r="EH115" s="434"/>
      <c r="EI115" s="434"/>
      <c r="EJ115" s="434"/>
      <c r="EK115" s="434"/>
      <c r="EL115" s="434"/>
      <c r="EM115" s="434"/>
      <c r="EN115" s="434"/>
      <c r="EO115" s="434"/>
      <c r="EP115" s="434"/>
      <c r="EQ115" s="434"/>
      <c r="ER115" s="434"/>
      <c r="ES115" s="434"/>
      <c r="ET115" s="434"/>
      <c r="EU115" s="434"/>
      <c r="EV115" s="434"/>
      <c r="EW115" s="434"/>
      <c r="EX115" s="434"/>
      <c r="EY115" s="434"/>
      <c r="EZ115" s="434"/>
      <c r="FA115" s="434"/>
      <c r="FB115" s="434"/>
      <c r="FC115" s="434"/>
      <c r="FD115" s="434"/>
      <c r="FE115" s="434"/>
      <c r="FF115" s="434"/>
      <c r="FG115" s="434"/>
      <c r="FH115" s="434"/>
      <c r="FI115" s="434"/>
      <c r="FJ115" s="434"/>
      <c r="FK115" s="434"/>
      <c r="FL115" s="434"/>
      <c r="FM115" s="434"/>
      <c r="FN115" s="434"/>
      <c r="FO115" s="434"/>
      <c r="FP115" s="434"/>
      <c r="FQ115" s="434"/>
      <c r="FR115" s="434"/>
      <c r="FS115" s="434"/>
      <c r="FT115" s="434"/>
      <c r="FU115" s="434"/>
      <c r="FV115" s="434"/>
      <c r="FW115" s="434"/>
      <c r="FX115" s="434"/>
      <c r="FY115" s="434"/>
      <c r="FZ115" s="434"/>
      <c r="GA115" s="434"/>
      <c r="GB115" s="434"/>
      <c r="GC115" s="434"/>
      <c r="GD115" s="434"/>
      <c r="GE115" s="434"/>
      <c r="GF115" s="434"/>
      <c r="GG115" s="434"/>
      <c r="GH115" s="434"/>
      <c r="GI115" s="434"/>
      <c r="GJ115" s="434"/>
      <c r="GK115" s="434"/>
      <c r="GL115" s="434"/>
      <c r="GM115" s="434"/>
      <c r="GN115" s="434"/>
      <c r="GO115" s="434"/>
      <c r="GP115" s="434"/>
      <c r="GQ115" s="434"/>
      <c r="GR115" s="434"/>
      <c r="GS115" s="434"/>
      <c r="GT115" s="434"/>
      <c r="GU115" s="434"/>
      <c r="GV115" s="434"/>
      <c r="GW115" s="434"/>
      <c r="GX115" s="434"/>
      <c r="GY115" s="434"/>
      <c r="GZ115" s="434"/>
      <c r="HA115" s="434"/>
      <c r="HB115" s="434"/>
      <c r="HC115" s="434"/>
      <c r="HD115" s="434"/>
      <c r="HE115" s="434"/>
      <c r="HF115" s="434"/>
      <c r="HG115" s="434"/>
      <c r="HH115" s="434"/>
      <c r="HI115" s="434"/>
      <c r="HJ115" s="434"/>
      <c r="HK115" s="434"/>
      <c r="HL115" s="434"/>
      <c r="HM115" s="434"/>
      <c r="HN115" s="434"/>
      <c r="HO115" s="434"/>
      <c r="HP115" s="434"/>
      <c r="HQ115" s="434"/>
      <c r="HR115" s="434"/>
      <c r="HS115" s="434"/>
      <c r="HT115" s="434"/>
      <c r="HU115" s="434"/>
      <c r="HV115" s="434"/>
      <c r="HW115" s="434"/>
      <c r="HX115" s="434"/>
      <c r="HY115" s="434"/>
      <c r="HZ115" s="434"/>
      <c r="IA115" s="434"/>
      <c r="IB115" s="434"/>
      <c r="IC115" s="434"/>
      <c r="ID115" s="434"/>
      <c r="IE115" s="434"/>
      <c r="IF115" s="434"/>
    </row>
    <row r="116" spans="1:240" ht="13.5">
      <c r="A116" s="700" t="s">
        <v>34</v>
      </c>
      <c r="B116" s="700"/>
      <c r="C116" s="700"/>
      <c r="D116" s="428">
        <v>0</v>
      </c>
      <c r="E116" s="428">
        <v>0</v>
      </c>
      <c r="F116" s="428">
        <v>0</v>
      </c>
      <c r="G116" s="429">
        <v>0</v>
      </c>
      <c r="H116" s="430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22">
        <v>0</v>
      </c>
      <c r="Q116" s="432"/>
      <c r="R116" s="432"/>
      <c r="S116" s="432"/>
      <c r="T116" s="432"/>
      <c r="U116" s="433"/>
      <c r="V116" s="434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4"/>
      <c r="AU116" s="434"/>
      <c r="AV116" s="434"/>
      <c r="AW116" s="434"/>
      <c r="AX116" s="434"/>
      <c r="AY116" s="434"/>
      <c r="AZ116" s="434"/>
      <c r="BA116" s="434"/>
      <c r="BB116" s="434"/>
      <c r="BC116" s="434"/>
      <c r="BD116" s="434"/>
      <c r="BE116" s="434"/>
      <c r="BF116" s="434"/>
      <c r="BG116" s="434"/>
      <c r="BH116" s="434"/>
      <c r="BI116" s="434"/>
      <c r="BJ116" s="434"/>
      <c r="BK116" s="434"/>
      <c r="BL116" s="434"/>
      <c r="BM116" s="434"/>
      <c r="BN116" s="434"/>
      <c r="BO116" s="434"/>
      <c r="BP116" s="434"/>
      <c r="BQ116" s="434"/>
      <c r="BR116" s="434"/>
      <c r="BS116" s="434"/>
      <c r="BT116" s="434"/>
      <c r="BU116" s="434"/>
      <c r="BV116" s="434"/>
      <c r="BW116" s="434"/>
      <c r="BX116" s="434"/>
      <c r="BY116" s="434"/>
      <c r="BZ116" s="434"/>
      <c r="CA116" s="434"/>
      <c r="CB116" s="434"/>
      <c r="CC116" s="434"/>
      <c r="CD116" s="434"/>
      <c r="CE116" s="434"/>
      <c r="CF116" s="434"/>
      <c r="CG116" s="434"/>
      <c r="CH116" s="434"/>
      <c r="CI116" s="434"/>
      <c r="CJ116" s="434"/>
      <c r="CK116" s="434"/>
      <c r="CL116" s="434"/>
      <c r="CM116" s="434"/>
      <c r="CN116" s="434"/>
      <c r="CO116" s="434"/>
      <c r="CP116" s="434"/>
      <c r="CQ116" s="434"/>
      <c r="CR116" s="434"/>
      <c r="CS116" s="434"/>
      <c r="CT116" s="434"/>
      <c r="CU116" s="434"/>
      <c r="CV116" s="434"/>
      <c r="CW116" s="434"/>
      <c r="CX116" s="434"/>
      <c r="CY116" s="434"/>
      <c r="CZ116" s="434"/>
      <c r="DA116" s="434"/>
      <c r="DB116" s="434"/>
      <c r="DC116" s="434"/>
      <c r="DD116" s="434"/>
      <c r="DE116" s="434"/>
      <c r="DF116" s="434"/>
      <c r="DG116" s="434"/>
      <c r="DH116" s="434"/>
      <c r="DI116" s="434"/>
      <c r="DJ116" s="434"/>
      <c r="DK116" s="434"/>
      <c r="DL116" s="434"/>
      <c r="DM116" s="434"/>
      <c r="DN116" s="434"/>
      <c r="DO116" s="434"/>
      <c r="DP116" s="434"/>
      <c r="DQ116" s="434"/>
      <c r="DR116" s="434"/>
      <c r="DS116" s="434"/>
      <c r="DT116" s="434"/>
      <c r="DU116" s="434"/>
      <c r="DV116" s="434"/>
      <c r="DW116" s="434"/>
      <c r="DX116" s="434"/>
      <c r="DY116" s="434"/>
      <c r="DZ116" s="434"/>
      <c r="EA116" s="434"/>
      <c r="EB116" s="434"/>
      <c r="EC116" s="434"/>
      <c r="ED116" s="434"/>
      <c r="EE116" s="434"/>
      <c r="EF116" s="434"/>
      <c r="EG116" s="434"/>
      <c r="EH116" s="434"/>
      <c r="EI116" s="434"/>
      <c r="EJ116" s="434"/>
      <c r="EK116" s="434"/>
      <c r="EL116" s="434"/>
      <c r="EM116" s="434"/>
      <c r="EN116" s="434"/>
      <c r="EO116" s="434"/>
      <c r="EP116" s="434"/>
      <c r="EQ116" s="434"/>
      <c r="ER116" s="434"/>
      <c r="ES116" s="434"/>
      <c r="ET116" s="434"/>
      <c r="EU116" s="434"/>
      <c r="EV116" s="434"/>
      <c r="EW116" s="434"/>
      <c r="EX116" s="434"/>
      <c r="EY116" s="434"/>
      <c r="EZ116" s="434"/>
      <c r="FA116" s="434"/>
      <c r="FB116" s="434"/>
      <c r="FC116" s="434"/>
      <c r="FD116" s="434"/>
      <c r="FE116" s="434"/>
      <c r="FF116" s="434"/>
      <c r="FG116" s="434"/>
      <c r="FH116" s="434"/>
      <c r="FI116" s="434"/>
      <c r="FJ116" s="434"/>
      <c r="FK116" s="434"/>
      <c r="FL116" s="434"/>
      <c r="FM116" s="434"/>
      <c r="FN116" s="434"/>
      <c r="FO116" s="434"/>
      <c r="FP116" s="434"/>
      <c r="FQ116" s="434"/>
      <c r="FR116" s="434"/>
      <c r="FS116" s="434"/>
      <c r="FT116" s="434"/>
      <c r="FU116" s="434"/>
      <c r="FV116" s="434"/>
      <c r="FW116" s="434"/>
      <c r="FX116" s="434"/>
      <c r="FY116" s="434"/>
      <c r="FZ116" s="434"/>
      <c r="GA116" s="434"/>
      <c r="GB116" s="434"/>
      <c r="GC116" s="434"/>
      <c r="GD116" s="434"/>
      <c r="GE116" s="434"/>
      <c r="GF116" s="434"/>
      <c r="GG116" s="434"/>
      <c r="GH116" s="434"/>
      <c r="GI116" s="434"/>
      <c r="GJ116" s="434"/>
      <c r="GK116" s="434"/>
      <c r="GL116" s="434"/>
      <c r="GM116" s="434"/>
      <c r="GN116" s="434"/>
      <c r="GO116" s="434"/>
      <c r="GP116" s="434"/>
      <c r="GQ116" s="434"/>
      <c r="GR116" s="434"/>
      <c r="GS116" s="434"/>
      <c r="GT116" s="434"/>
      <c r="GU116" s="434"/>
      <c r="GV116" s="434"/>
      <c r="GW116" s="434"/>
      <c r="GX116" s="434"/>
      <c r="GY116" s="434"/>
      <c r="GZ116" s="434"/>
      <c r="HA116" s="434"/>
      <c r="HB116" s="434"/>
      <c r="HC116" s="434"/>
      <c r="HD116" s="434"/>
      <c r="HE116" s="434"/>
      <c r="HF116" s="434"/>
      <c r="HG116" s="434"/>
      <c r="HH116" s="434"/>
      <c r="HI116" s="434"/>
      <c r="HJ116" s="434"/>
      <c r="HK116" s="434"/>
      <c r="HL116" s="434"/>
      <c r="HM116" s="434"/>
      <c r="HN116" s="434"/>
      <c r="HO116" s="434"/>
      <c r="HP116" s="434"/>
      <c r="HQ116" s="434"/>
      <c r="HR116" s="434"/>
      <c r="HS116" s="434"/>
      <c r="HT116" s="434"/>
      <c r="HU116" s="434"/>
      <c r="HV116" s="434"/>
      <c r="HW116" s="434"/>
      <c r="HX116" s="434"/>
      <c r="HY116" s="434"/>
      <c r="HZ116" s="434"/>
      <c r="IA116" s="434"/>
      <c r="IB116" s="434"/>
      <c r="IC116" s="434"/>
      <c r="ID116" s="434"/>
      <c r="IE116" s="434"/>
      <c r="IF116" s="434"/>
    </row>
    <row r="117" spans="1:240" ht="13.5">
      <c r="A117" s="700" t="s">
        <v>35</v>
      </c>
      <c r="B117" s="700"/>
      <c r="C117" s="700"/>
      <c r="D117" s="428">
        <v>0</v>
      </c>
      <c r="E117" s="428">
        <v>0</v>
      </c>
      <c r="F117" s="428">
        <v>0</v>
      </c>
      <c r="G117" s="429">
        <v>0</v>
      </c>
      <c r="H117" s="430">
        <v>0</v>
      </c>
      <c r="I117" s="431">
        <v>0</v>
      </c>
      <c r="J117" s="431">
        <v>0</v>
      </c>
      <c r="K117" s="431">
        <v>0</v>
      </c>
      <c r="L117" s="431">
        <v>0</v>
      </c>
      <c r="M117" s="431">
        <v>0</v>
      </c>
      <c r="N117" s="431">
        <v>0</v>
      </c>
      <c r="O117" s="431">
        <v>0</v>
      </c>
      <c r="P117" s="422">
        <v>0</v>
      </c>
      <c r="Q117" s="432"/>
      <c r="R117" s="432"/>
      <c r="S117" s="432"/>
      <c r="T117" s="432">
        <v>81.25</v>
      </c>
      <c r="U117" s="433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4"/>
      <c r="AU117" s="434"/>
      <c r="AV117" s="434"/>
      <c r="AW117" s="434"/>
      <c r="AX117" s="434"/>
      <c r="AY117" s="434"/>
      <c r="AZ117" s="434"/>
      <c r="BA117" s="434"/>
      <c r="BB117" s="434"/>
      <c r="BC117" s="434"/>
      <c r="BD117" s="434"/>
      <c r="BE117" s="434"/>
      <c r="BF117" s="434"/>
      <c r="BG117" s="434"/>
      <c r="BH117" s="434"/>
      <c r="BI117" s="434"/>
      <c r="BJ117" s="434"/>
      <c r="BK117" s="434"/>
      <c r="BL117" s="434"/>
      <c r="BM117" s="434"/>
      <c r="BN117" s="434"/>
      <c r="BO117" s="434"/>
      <c r="BP117" s="434"/>
      <c r="BQ117" s="434"/>
      <c r="BR117" s="434"/>
      <c r="BS117" s="434"/>
      <c r="BT117" s="434"/>
      <c r="BU117" s="434"/>
      <c r="BV117" s="434"/>
      <c r="BW117" s="434"/>
      <c r="BX117" s="434"/>
      <c r="BY117" s="434"/>
      <c r="BZ117" s="434"/>
      <c r="CA117" s="434"/>
      <c r="CB117" s="434"/>
      <c r="CC117" s="434"/>
      <c r="CD117" s="434"/>
      <c r="CE117" s="434"/>
      <c r="CF117" s="434"/>
      <c r="CG117" s="434"/>
      <c r="CH117" s="434"/>
      <c r="CI117" s="434"/>
      <c r="CJ117" s="434"/>
      <c r="CK117" s="434"/>
      <c r="CL117" s="434"/>
      <c r="CM117" s="434"/>
      <c r="CN117" s="434"/>
      <c r="CO117" s="434"/>
      <c r="CP117" s="434"/>
      <c r="CQ117" s="434"/>
      <c r="CR117" s="434"/>
      <c r="CS117" s="434"/>
      <c r="CT117" s="434"/>
      <c r="CU117" s="434"/>
      <c r="CV117" s="434"/>
      <c r="CW117" s="434"/>
      <c r="CX117" s="434"/>
      <c r="CY117" s="434"/>
      <c r="CZ117" s="434"/>
      <c r="DA117" s="434"/>
      <c r="DB117" s="434"/>
      <c r="DC117" s="434"/>
      <c r="DD117" s="434"/>
      <c r="DE117" s="434"/>
      <c r="DF117" s="434"/>
      <c r="DG117" s="434"/>
      <c r="DH117" s="434"/>
      <c r="DI117" s="434"/>
      <c r="DJ117" s="434"/>
      <c r="DK117" s="434"/>
      <c r="DL117" s="434"/>
      <c r="DM117" s="434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4"/>
      <c r="EI117" s="434"/>
      <c r="EJ117" s="434"/>
      <c r="EK117" s="434"/>
      <c r="EL117" s="434"/>
      <c r="EM117" s="434"/>
      <c r="EN117" s="434"/>
      <c r="EO117" s="434"/>
      <c r="EP117" s="434"/>
      <c r="EQ117" s="434"/>
      <c r="ER117" s="434"/>
      <c r="ES117" s="434"/>
      <c r="ET117" s="434"/>
      <c r="EU117" s="434"/>
      <c r="EV117" s="434"/>
      <c r="EW117" s="434"/>
      <c r="EX117" s="434"/>
      <c r="EY117" s="434"/>
      <c r="EZ117" s="434"/>
      <c r="FA117" s="434"/>
      <c r="FB117" s="434"/>
      <c r="FC117" s="434"/>
      <c r="FD117" s="434"/>
      <c r="FE117" s="434"/>
      <c r="FF117" s="434"/>
      <c r="FG117" s="434"/>
      <c r="FH117" s="434"/>
      <c r="FI117" s="434"/>
      <c r="FJ117" s="434"/>
      <c r="FK117" s="434"/>
      <c r="FL117" s="434"/>
      <c r="FM117" s="434"/>
      <c r="FN117" s="434"/>
      <c r="FO117" s="434"/>
      <c r="FP117" s="434"/>
      <c r="FQ117" s="434"/>
      <c r="FR117" s="434"/>
      <c r="FS117" s="434"/>
      <c r="FT117" s="434"/>
      <c r="FU117" s="434"/>
      <c r="FV117" s="434"/>
      <c r="FW117" s="434"/>
      <c r="FX117" s="434"/>
      <c r="FY117" s="434"/>
      <c r="FZ117" s="434"/>
      <c r="GA117" s="434"/>
      <c r="GB117" s="434"/>
      <c r="GC117" s="434"/>
      <c r="GD117" s="434"/>
      <c r="GE117" s="434"/>
      <c r="GF117" s="434"/>
      <c r="GG117" s="434"/>
      <c r="GH117" s="434"/>
      <c r="GI117" s="434"/>
      <c r="GJ117" s="434"/>
      <c r="GK117" s="434"/>
      <c r="GL117" s="434"/>
      <c r="GM117" s="434"/>
      <c r="GN117" s="434"/>
      <c r="GO117" s="434"/>
      <c r="GP117" s="434"/>
      <c r="GQ117" s="434"/>
      <c r="GR117" s="434"/>
      <c r="GS117" s="434"/>
      <c r="GT117" s="434"/>
      <c r="GU117" s="434"/>
      <c r="GV117" s="434"/>
      <c r="GW117" s="434"/>
      <c r="GX117" s="434"/>
      <c r="GY117" s="434"/>
      <c r="GZ117" s="434"/>
      <c r="HA117" s="434"/>
      <c r="HB117" s="434"/>
      <c r="HC117" s="434"/>
      <c r="HD117" s="434"/>
      <c r="HE117" s="434"/>
      <c r="HF117" s="434"/>
      <c r="HG117" s="434"/>
      <c r="HH117" s="434"/>
      <c r="HI117" s="434"/>
      <c r="HJ117" s="434"/>
      <c r="HK117" s="434"/>
      <c r="HL117" s="434"/>
      <c r="HM117" s="434"/>
      <c r="HN117" s="434"/>
      <c r="HO117" s="434"/>
      <c r="HP117" s="434"/>
      <c r="HQ117" s="434"/>
      <c r="HR117" s="434"/>
      <c r="HS117" s="434"/>
      <c r="HT117" s="434"/>
      <c r="HU117" s="434"/>
      <c r="HV117" s="434"/>
      <c r="HW117" s="434"/>
      <c r="HX117" s="434"/>
      <c r="HY117" s="434"/>
      <c r="HZ117" s="434"/>
      <c r="IA117" s="434"/>
      <c r="IB117" s="434"/>
      <c r="IC117" s="434"/>
      <c r="ID117" s="434"/>
      <c r="IE117" s="434"/>
      <c r="IF117" s="434"/>
    </row>
    <row r="118" spans="1:240" ht="13.5">
      <c r="A118" s="777" t="s">
        <v>30</v>
      </c>
      <c r="B118" s="777"/>
      <c r="C118" s="777"/>
      <c r="D118" s="435">
        <v>0</v>
      </c>
      <c r="E118" s="436">
        <v>0</v>
      </c>
      <c r="F118" s="436">
        <v>0</v>
      </c>
      <c r="G118" s="437">
        <v>0</v>
      </c>
      <c r="H118" s="438">
        <v>0</v>
      </c>
      <c r="I118" s="439">
        <v>0</v>
      </c>
      <c r="J118" s="439">
        <v>0</v>
      </c>
      <c r="K118" s="439">
        <v>0</v>
      </c>
      <c r="L118" s="439">
        <v>0</v>
      </c>
      <c r="M118" s="439">
        <v>0</v>
      </c>
      <c r="N118" s="439">
        <v>0</v>
      </c>
      <c r="O118" s="439">
        <v>99.5</v>
      </c>
      <c r="P118" s="440">
        <v>0</v>
      </c>
      <c r="Q118" s="441"/>
      <c r="R118" s="441"/>
      <c r="S118" s="441"/>
      <c r="T118" s="441">
        <v>88.888999999999996</v>
      </c>
      <c r="U118" s="433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4"/>
      <c r="AU118" s="434"/>
      <c r="AV118" s="434"/>
      <c r="AW118" s="434"/>
      <c r="AX118" s="434"/>
      <c r="AY118" s="434"/>
      <c r="AZ118" s="434"/>
      <c r="BA118" s="434"/>
      <c r="BB118" s="434"/>
      <c r="BC118" s="434"/>
      <c r="BD118" s="434"/>
      <c r="BE118" s="434"/>
      <c r="BF118" s="434"/>
      <c r="BG118" s="434"/>
      <c r="BH118" s="434"/>
      <c r="BI118" s="434"/>
      <c r="BJ118" s="434"/>
      <c r="BK118" s="434"/>
      <c r="BL118" s="434"/>
      <c r="BM118" s="434"/>
      <c r="BN118" s="434"/>
      <c r="BO118" s="434"/>
      <c r="BP118" s="434"/>
      <c r="BQ118" s="434"/>
      <c r="BR118" s="434"/>
      <c r="BS118" s="434"/>
      <c r="BT118" s="434"/>
      <c r="BU118" s="434"/>
      <c r="BV118" s="434"/>
      <c r="BW118" s="434"/>
      <c r="BX118" s="434"/>
      <c r="BY118" s="434"/>
      <c r="BZ118" s="434"/>
      <c r="CA118" s="434"/>
      <c r="CB118" s="434"/>
      <c r="CC118" s="434"/>
      <c r="CD118" s="434"/>
      <c r="CE118" s="434"/>
      <c r="CF118" s="434"/>
      <c r="CG118" s="434"/>
      <c r="CH118" s="434"/>
      <c r="CI118" s="434"/>
      <c r="CJ118" s="434"/>
      <c r="CK118" s="434"/>
      <c r="CL118" s="434"/>
      <c r="CM118" s="434"/>
      <c r="CN118" s="434"/>
      <c r="CO118" s="434"/>
      <c r="CP118" s="434"/>
      <c r="CQ118" s="434"/>
      <c r="CR118" s="434"/>
      <c r="CS118" s="434"/>
      <c r="CT118" s="434"/>
      <c r="CU118" s="434"/>
      <c r="CV118" s="434"/>
      <c r="CW118" s="434"/>
      <c r="CX118" s="434"/>
      <c r="CY118" s="434"/>
      <c r="CZ118" s="434"/>
      <c r="DA118" s="434"/>
      <c r="DB118" s="434"/>
      <c r="DC118" s="434"/>
      <c r="DD118" s="434"/>
      <c r="DE118" s="434"/>
      <c r="DF118" s="434"/>
      <c r="DG118" s="434"/>
      <c r="DH118" s="434"/>
      <c r="DI118" s="434"/>
      <c r="DJ118" s="434"/>
      <c r="DK118" s="434"/>
      <c r="DL118" s="434"/>
      <c r="DM118" s="434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4"/>
      <c r="EI118" s="434"/>
      <c r="EJ118" s="434"/>
      <c r="EK118" s="434"/>
      <c r="EL118" s="434"/>
      <c r="EM118" s="434"/>
      <c r="EN118" s="434"/>
      <c r="EO118" s="434"/>
      <c r="EP118" s="434"/>
      <c r="EQ118" s="434"/>
      <c r="ER118" s="434"/>
      <c r="ES118" s="434"/>
      <c r="ET118" s="434"/>
      <c r="EU118" s="434"/>
      <c r="EV118" s="434"/>
      <c r="EW118" s="434"/>
      <c r="EX118" s="434"/>
      <c r="EY118" s="434"/>
      <c r="EZ118" s="434"/>
      <c r="FA118" s="434"/>
      <c r="FB118" s="434"/>
      <c r="FC118" s="434"/>
      <c r="FD118" s="434"/>
      <c r="FE118" s="434"/>
      <c r="FF118" s="434"/>
      <c r="FG118" s="434"/>
      <c r="FH118" s="434"/>
      <c r="FI118" s="434"/>
      <c r="FJ118" s="434"/>
      <c r="FK118" s="434"/>
      <c r="FL118" s="434"/>
      <c r="FM118" s="434"/>
      <c r="FN118" s="434"/>
      <c r="FO118" s="434"/>
      <c r="FP118" s="434"/>
      <c r="FQ118" s="434"/>
      <c r="FR118" s="434"/>
      <c r="FS118" s="434"/>
      <c r="FT118" s="434"/>
      <c r="FU118" s="434"/>
      <c r="FV118" s="434"/>
      <c r="FW118" s="434"/>
      <c r="FX118" s="434"/>
      <c r="FY118" s="434"/>
      <c r="FZ118" s="434"/>
      <c r="GA118" s="434"/>
      <c r="GB118" s="434"/>
      <c r="GC118" s="434"/>
      <c r="GD118" s="434"/>
      <c r="GE118" s="434"/>
      <c r="GF118" s="434"/>
      <c r="GG118" s="434"/>
      <c r="GH118" s="434"/>
      <c r="GI118" s="434"/>
      <c r="GJ118" s="434"/>
      <c r="GK118" s="434"/>
      <c r="GL118" s="434"/>
      <c r="GM118" s="434"/>
      <c r="GN118" s="434"/>
      <c r="GO118" s="434"/>
      <c r="GP118" s="434"/>
      <c r="GQ118" s="434"/>
      <c r="GR118" s="434"/>
      <c r="GS118" s="434"/>
      <c r="GT118" s="434"/>
      <c r="GU118" s="434"/>
      <c r="GV118" s="434"/>
      <c r="GW118" s="434"/>
      <c r="GX118" s="434"/>
      <c r="GY118" s="434"/>
      <c r="GZ118" s="434"/>
      <c r="HA118" s="434"/>
      <c r="HB118" s="434"/>
      <c r="HC118" s="434"/>
      <c r="HD118" s="434"/>
      <c r="HE118" s="434"/>
      <c r="HF118" s="434"/>
      <c r="HG118" s="434"/>
      <c r="HH118" s="434"/>
      <c r="HI118" s="434"/>
      <c r="HJ118" s="434"/>
      <c r="HK118" s="434"/>
      <c r="HL118" s="434"/>
      <c r="HM118" s="434"/>
      <c r="HN118" s="434"/>
      <c r="HO118" s="434"/>
      <c r="HP118" s="434"/>
      <c r="HQ118" s="434"/>
      <c r="HR118" s="434"/>
      <c r="HS118" s="434"/>
      <c r="HT118" s="434"/>
      <c r="HU118" s="434"/>
      <c r="HV118" s="434"/>
      <c r="HW118" s="434"/>
      <c r="HX118" s="434"/>
      <c r="HY118" s="434"/>
      <c r="HZ118" s="434"/>
      <c r="IA118" s="434"/>
      <c r="IB118" s="434"/>
      <c r="IC118" s="434"/>
      <c r="ID118" s="434"/>
      <c r="IE118" s="434"/>
      <c r="IF118" s="43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703" t="s">
        <v>1</v>
      </c>
      <c r="B121" s="704"/>
      <c r="C121" s="704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715" t="s">
        <v>52</v>
      </c>
      <c r="B122" s="716"/>
      <c r="C122" s="716"/>
      <c r="D122" s="442">
        <v>97.524304999999998</v>
      </c>
      <c r="E122" s="442">
        <v>98.292295999999993</v>
      </c>
      <c r="F122" s="442">
        <v>98.774314000000004</v>
      </c>
      <c r="G122" s="442">
        <v>98.816854000000006</v>
      </c>
      <c r="H122" s="442">
        <v>98.767424000000005</v>
      </c>
      <c r="I122" s="442">
        <v>98.670743999999999</v>
      </c>
      <c r="J122" s="442">
        <v>97.875150000000005</v>
      </c>
      <c r="K122" s="442">
        <v>97.408913999999996</v>
      </c>
      <c r="L122" s="442">
        <v>97.489135000000005</v>
      </c>
      <c r="M122" s="442">
        <v>96.959920999999994</v>
      </c>
      <c r="N122" s="442">
        <v>98.430066999999994</v>
      </c>
      <c r="O122" s="442">
        <v>98</v>
      </c>
      <c r="P122" s="443">
        <v>98.152450416666667</v>
      </c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</row>
    <row r="123" spans="1:240">
      <c r="A123" s="715" t="s">
        <v>53</v>
      </c>
      <c r="B123" s="716"/>
      <c r="C123" s="716"/>
      <c r="D123" s="442">
        <v>97.849041999999997</v>
      </c>
      <c r="E123" s="442">
        <v>98.214241999999999</v>
      </c>
      <c r="F123" s="442">
        <v>98.546333000000004</v>
      </c>
      <c r="G123" s="442">
        <v>98.835796999999999</v>
      </c>
      <c r="H123" s="442">
        <v>99.093311</v>
      </c>
      <c r="I123" s="442">
        <v>98.820802</v>
      </c>
      <c r="J123" s="442">
        <v>98.320976999999999</v>
      </c>
      <c r="K123" s="442">
        <v>98.790301999999997</v>
      </c>
      <c r="L123" s="442">
        <v>98.434432000000001</v>
      </c>
      <c r="M123" s="442">
        <v>98.654313999999999</v>
      </c>
      <c r="N123" s="442">
        <v>98.773066999999998</v>
      </c>
      <c r="O123" s="442">
        <v>98.4</v>
      </c>
      <c r="P123" s="443">
        <v>98.615696333333332</v>
      </c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</row>
    <row r="124" spans="1:240">
      <c r="A124" s="715" t="s">
        <v>54</v>
      </c>
      <c r="B124" s="716"/>
      <c r="C124" s="716"/>
      <c r="D124" s="442">
        <v>99.395482000000001</v>
      </c>
      <c r="E124" s="442">
        <v>99.187027</v>
      </c>
      <c r="F124" s="442">
        <v>99.290978999999993</v>
      </c>
      <c r="G124" s="442">
        <v>99.431608999999995</v>
      </c>
      <c r="H124" s="442">
        <v>99.487926000000002</v>
      </c>
      <c r="I124" s="442">
        <v>99.421310000000005</v>
      </c>
      <c r="J124" s="442">
        <v>99.373740999999995</v>
      </c>
      <c r="K124" s="442">
        <v>99.229211000000006</v>
      </c>
      <c r="L124" s="442">
        <v>99.365677000000005</v>
      </c>
      <c r="M124" s="442">
        <v>99.238240000000005</v>
      </c>
      <c r="N124" s="442">
        <v>99.195718999999997</v>
      </c>
      <c r="O124" s="442">
        <v>98.9</v>
      </c>
      <c r="P124" s="443">
        <v>99.309290083333337</v>
      </c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</row>
    <row r="125" spans="1:240">
      <c r="A125" s="741" t="s">
        <v>55</v>
      </c>
      <c r="B125" s="742"/>
      <c r="C125" s="743"/>
      <c r="D125" s="445">
        <v>97.857871000000003</v>
      </c>
      <c r="E125" s="445">
        <v>98.334188999999995</v>
      </c>
      <c r="F125" s="445">
        <v>98.713871999999995</v>
      </c>
      <c r="G125" s="445">
        <v>98.882735999999994</v>
      </c>
      <c r="H125" s="445">
        <v>98.988433000000001</v>
      </c>
      <c r="I125" s="445">
        <v>98.813953999999995</v>
      </c>
      <c r="J125" s="445">
        <v>98.229209999999995</v>
      </c>
      <c r="K125" s="445">
        <v>98.241435999999993</v>
      </c>
      <c r="L125" s="445">
        <v>98.122487000000007</v>
      </c>
      <c r="M125" s="445">
        <v>97.975847000000002</v>
      </c>
      <c r="N125" s="445">
        <v>98.668848999999994</v>
      </c>
      <c r="O125" s="445">
        <v>98.2</v>
      </c>
      <c r="P125" s="446">
        <v>98.482025583333325</v>
      </c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</row>
    <row r="126" spans="1:240">
      <c r="A126" s="715" t="s">
        <v>12</v>
      </c>
      <c r="B126" s="716"/>
      <c r="C126" s="716"/>
      <c r="D126" s="442">
        <v>98.877724000000001</v>
      </c>
      <c r="E126" s="442">
        <v>99.496251999999998</v>
      </c>
      <c r="F126" s="442">
        <v>100</v>
      </c>
      <c r="G126" s="442">
        <v>99.919190999999998</v>
      </c>
      <c r="H126" s="442">
        <v>99.989020999999994</v>
      </c>
      <c r="I126" s="442">
        <v>99.921638000000002</v>
      </c>
      <c r="J126" s="442">
        <v>100</v>
      </c>
      <c r="K126" s="442">
        <v>99.923046999999997</v>
      </c>
      <c r="L126" s="442">
        <v>100</v>
      </c>
      <c r="M126" s="442">
        <v>100</v>
      </c>
      <c r="N126" s="442">
        <v>98.840681000000004</v>
      </c>
      <c r="O126" s="442">
        <v>99.9</v>
      </c>
      <c r="P126" s="443">
        <v>99.740256666666653</v>
      </c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</row>
    <row r="127" spans="1:240">
      <c r="A127" s="715" t="s">
        <v>13</v>
      </c>
      <c r="B127" s="716"/>
      <c r="C127" s="716"/>
      <c r="D127" s="442">
        <v>32.835819999999998</v>
      </c>
      <c r="E127" s="442">
        <v>35.590969000000001</v>
      </c>
      <c r="F127" s="442">
        <v>49.001175000000003</v>
      </c>
      <c r="G127" s="442">
        <v>71.639343999999994</v>
      </c>
      <c r="H127" s="442">
        <v>89.557738999999998</v>
      </c>
      <c r="I127" s="442">
        <v>88.904109000000005</v>
      </c>
      <c r="J127" s="442">
        <v>91.291291000000001</v>
      </c>
      <c r="K127" s="442">
        <v>89.722222000000002</v>
      </c>
      <c r="L127" s="442">
        <v>87.026239000000004</v>
      </c>
      <c r="M127" s="442">
        <v>90.916596999999996</v>
      </c>
      <c r="N127" s="442">
        <v>94.489795000000001</v>
      </c>
      <c r="O127" s="442">
        <v>83.9</v>
      </c>
      <c r="P127" s="443">
        <v>76.553284583333337</v>
      </c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</row>
    <row r="128" spans="1:240">
      <c r="A128" s="715" t="s">
        <v>14</v>
      </c>
      <c r="B128" s="716"/>
      <c r="C128" s="716"/>
      <c r="D128" s="442">
        <v>99.329813999999999</v>
      </c>
      <c r="E128" s="442">
        <v>98.953048999999993</v>
      </c>
      <c r="F128" s="442">
        <v>99.502840000000006</v>
      </c>
      <c r="G128" s="442">
        <v>99.641448999999994</v>
      </c>
      <c r="H128" s="442">
        <v>99.512129000000002</v>
      </c>
      <c r="I128" s="442">
        <v>99.563806999999997</v>
      </c>
      <c r="J128" s="442">
        <v>99.409592000000004</v>
      </c>
      <c r="K128" s="442">
        <v>99.534937999999997</v>
      </c>
      <c r="L128" s="442">
        <v>99.438599999999994</v>
      </c>
      <c r="M128" s="442">
        <v>99.054846999999995</v>
      </c>
      <c r="N128" s="442">
        <v>99.568275</v>
      </c>
      <c r="O128" s="442">
        <v>99.4</v>
      </c>
      <c r="P128" s="443">
        <v>99.423954333333313</v>
      </c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</row>
    <row r="129" spans="1:240">
      <c r="A129" s="715" t="s">
        <v>21</v>
      </c>
      <c r="B129" s="716"/>
      <c r="C129" s="716"/>
      <c r="D129" s="442">
        <v>96.268052999999995</v>
      </c>
      <c r="E129" s="442">
        <v>95.442521999999997</v>
      </c>
      <c r="F129" s="442">
        <v>93.307760999999999</v>
      </c>
      <c r="G129" s="442">
        <v>94.247614999999996</v>
      </c>
      <c r="H129" s="442">
        <v>94.840746999999993</v>
      </c>
      <c r="I129" s="442">
        <v>95.414766999999998</v>
      </c>
      <c r="J129" s="442">
        <v>95.316242000000003</v>
      </c>
      <c r="K129" s="442">
        <v>93.916477</v>
      </c>
      <c r="L129" s="442">
        <v>96.327366999999995</v>
      </c>
      <c r="M129" s="442">
        <v>94.846975999999998</v>
      </c>
      <c r="N129" s="442">
        <v>93.226027999999999</v>
      </c>
      <c r="O129" s="442">
        <v>95.2</v>
      </c>
      <c r="P129" s="443">
        <v>94.844164833333323</v>
      </c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  <c r="AJ129" s="444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</row>
    <row r="130" spans="1:240" ht="12.95" thickBot="1">
      <c r="A130" s="734" t="s">
        <v>16</v>
      </c>
      <c r="B130" s="735"/>
      <c r="C130" s="735"/>
      <c r="D130" s="447">
        <v>97.638102000000003</v>
      </c>
      <c r="E130" s="447">
        <v>99.053730000000002</v>
      </c>
      <c r="F130" s="447">
        <v>99.409887999999995</v>
      </c>
      <c r="G130" s="447">
        <v>99.027158</v>
      </c>
      <c r="H130" s="447">
        <v>98.751807999999997</v>
      </c>
      <c r="I130" s="447">
        <v>98.502577000000002</v>
      </c>
      <c r="J130" s="447">
        <v>99.259694999999994</v>
      </c>
      <c r="K130" s="447">
        <v>99.105485000000002</v>
      </c>
      <c r="L130" s="447">
        <v>98.472604000000004</v>
      </c>
      <c r="M130" s="447">
        <v>99.068010000000001</v>
      </c>
      <c r="N130" s="447">
        <v>98.805147000000005</v>
      </c>
      <c r="O130" s="447">
        <v>98.1</v>
      </c>
      <c r="P130" s="448">
        <v>98.855749749999987</v>
      </c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  <c r="AJ130" s="444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</row>
    <row r="131" spans="1:240">
      <c r="A131" s="715" t="s">
        <v>23</v>
      </c>
      <c r="B131" s="716"/>
      <c r="C131" s="716"/>
      <c r="D131" s="442">
        <v>97.234808999999998</v>
      </c>
      <c r="E131" s="442">
        <v>98.529492000000005</v>
      </c>
      <c r="F131" s="442">
        <v>98.458228000000005</v>
      </c>
      <c r="G131" s="442">
        <v>98.751312999999996</v>
      </c>
      <c r="H131" s="442">
        <v>98.322626</v>
      </c>
      <c r="I131" s="442">
        <v>98.331495000000004</v>
      </c>
      <c r="J131" s="442">
        <v>97.809364000000002</v>
      </c>
      <c r="K131" s="442">
        <v>97.258475000000004</v>
      </c>
      <c r="L131" s="442">
        <v>97.281278999999998</v>
      </c>
      <c r="M131" s="442">
        <v>96.966012000000006</v>
      </c>
      <c r="N131" s="442">
        <v>98.162769999999995</v>
      </c>
      <c r="O131" s="442">
        <v>97.7</v>
      </c>
      <c r="P131" s="449">
        <v>97.95371466666667</v>
      </c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  <c r="AJ131" s="444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</row>
    <row r="132" spans="1:240">
      <c r="A132" s="744" t="s">
        <v>24</v>
      </c>
      <c r="B132" s="745"/>
      <c r="C132" s="746"/>
      <c r="D132" s="450">
        <v>96.836555000000004</v>
      </c>
      <c r="E132" s="450">
        <v>100</v>
      </c>
      <c r="F132" s="450">
        <v>100</v>
      </c>
      <c r="G132" s="450">
        <v>100</v>
      </c>
      <c r="H132" s="450">
        <v>99.840763999999993</v>
      </c>
      <c r="I132" s="450">
        <v>100</v>
      </c>
      <c r="J132" s="450">
        <v>100</v>
      </c>
      <c r="K132" s="450">
        <v>99.708454000000003</v>
      </c>
      <c r="L132" s="450">
        <v>100</v>
      </c>
      <c r="M132" s="450">
        <v>99.844479000000007</v>
      </c>
      <c r="N132" s="450">
        <v>100</v>
      </c>
      <c r="O132" s="450">
        <v>100</v>
      </c>
      <c r="P132" s="443">
        <v>99.673379249999982</v>
      </c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</row>
    <row r="133" spans="1:240">
      <c r="A133" s="744" t="s">
        <v>25</v>
      </c>
      <c r="B133" s="745"/>
      <c r="C133" s="746"/>
      <c r="D133" s="450">
        <v>97.453310000000002</v>
      </c>
      <c r="E133" s="450">
        <v>99.209137999999996</v>
      </c>
      <c r="F133" s="450">
        <v>90.460251</v>
      </c>
      <c r="G133" s="450">
        <v>45.182724</v>
      </c>
      <c r="H133" s="450">
        <v>75.425790000000006</v>
      </c>
      <c r="I133" s="450">
        <v>90.830563999999995</v>
      </c>
      <c r="J133" s="450">
        <v>96.380471</v>
      </c>
      <c r="K133" s="450">
        <v>93.753147999999996</v>
      </c>
      <c r="L133" s="450">
        <v>92.967409000000004</v>
      </c>
      <c r="M133" s="450">
        <v>96.296295999999998</v>
      </c>
      <c r="N133" s="450">
        <v>96.708614999999995</v>
      </c>
      <c r="O133" s="450">
        <v>94.9</v>
      </c>
      <c r="P133" s="443">
        <v>89.216787500000009</v>
      </c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</row>
    <row r="134" spans="1:240">
      <c r="A134" s="744" t="s">
        <v>26</v>
      </c>
      <c r="B134" s="745"/>
      <c r="C134" s="746"/>
      <c r="D134" s="450">
        <v>96.7</v>
      </c>
      <c r="E134" s="450">
        <v>98.5</v>
      </c>
      <c r="F134" s="450">
        <v>97.9</v>
      </c>
      <c r="G134" s="450">
        <v>98.2</v>
      </c>
      <c r="H134" s="450">
        <v>98.6</v>
      </c>
      <c r="I134" s="450">
        <v>98.6</v>
      </c>
      <c r="J134" s="450">
        <v>98.4</v>
      </c>
      <c r="K134" s="450">
        <v>97.4</v>
      </c>
      <c r="L134" s="450">
        <v>98.4</v>
      </c>
      <c r="M134" s="450">
        <v>97.1</v>
      </c>
      <c r="N134" s="450">
        <v>97.9</v>
      </c>
      <c r="O134" s="450">
        <v>98.3</v>
      </c>
      <c r="P134" s="443">
        <v>97.908333333333346</v>
      </c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</row>
    <row r="135" spans="1:240">
      <c r="A135" s="744" t="s">
        <v>27</v>
      </c>
      <c r="B135" s="745"/>
      <c r="C135" s="746"/>
      <c r="D135" s="450">
        <v>98.390342000000004</v>
      </c>
      <c r="E135" s="450">
        <v>98.845749999999995</v>
      </c>
      <c r="F135" s="450">
        <v>97.916666000000006</v>
      </c>
      <c r="G135" s="450">
        <v>97.616682999999995</v>
      </c>
      <c r="H135" s="450">
        <v>88.59581</v>
      </c>
      <c r="I135" s="450">
        <v>98.555649000000003</v>
      </c>
      <c r="J135" s="450">
        <v>97.776011999999994</v>
      </c>
      <c r="K135" s="450">
        <v>96.504559</v>
      </c>
      <c r="L135" s="450">
        <v>96.637997999999996</v>
      </c>
      <c r="M135" s="450">
        <v>97.496087000000003</v>
      </c>
      <c r="N135" s="450">
        <v>97.260272999999998</v>
      </c>
      <c r="O135" s="450">
        <v>96.2</v>
      </c>
      <c r="P135" s="443">
        <v>97.050999333333337</v>
      </c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</row>
    <row r="136" spans="1:240" ht="12.95" thickBot="1">
      <c r="A136" s="778" t="s">
        <v>28</v>
      </c>
      <c r="B136" s="779"/>
      <c r="C136" s="780"/>
      <c r="D136" s="447">
        <v>0</v>
      </c>
      <c r="E136" s="447">
        <v>0</v>
      </c>
      <c r="F136" s="447">
        <v>0</v>
      </c>
      <c r="G136" s="447">
        <v>0</v>
      </c>
      <c r="H136" s="447">
        <v>0</v>
      </c>
      <c r="I136" s="447">
        <v>0</v>
      </c>
      <c r="J136" s="447">
        <v>0</v>
      </c>
      <c r="K136" s="447">
        <v>33.333333000000003</v>
      </c>
      <c r="L136" s="447">
        <v>0</v>
      </c>
      <c r="M136" s="447">
        <v>0</v>
      </c>
      <c r="N136" s="447">
        <v>0</v>
      </c>
      <c r="O136" s="447">
        <v>0</v>
      </c>
      <c r="P136" s="448">
        <v>33.333333000000003</v>
      </c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</row>
    <row r="137" spans="1:240">
      <c r="A137" s="781" t="s">
        <v>31</v>
      </c>
      <c r="B137" s="782"/>
      <c r="C137" s="783"/>
      <c r="D137" s="451">
        <v>0</v>
      </c>
      <c r="E137" s="451">
        <v>0</v>
      </c>
      <c r="F137" s="451">
        <v>0</v>
      </c>
      <c r="G137" s="451">
        <v>0</v>
      </c>
      <c r="H137" s="451">
        <v>0</v>
      </c>
      <c r="I137" s="451">
        <v>0</v>
      </c>
      <c r="J137" s="451">
        <v>0</v>
      </c>
      <c r="K137" s="451">
        <v>0</v>
      </c>
      <c r="L137" s="451">
        <v>0</v>
      </c>
      <c r="M137" s="451">
        <v>0</v>
      </c>
      <c r="N137" s="451">
        <v>0</v>
      </c>
      <c r="O137" s="451">
        <v>0</v>
      </c>
      <c r="P137" s="449">
        <v>0</v>
      </c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4"/>
      <c r="AQ137" s="444"/>
      <c r="AR137" s="444"/>
      <c r="AS137" s="444"/>
      <c r="AT137" s="444"/>
      <c r="AU137" s="444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</row>
    <row r="138" spans="1:240">
      <c r="A138" s="784" t="s">
        <v>32</v>
      </c>
      <c r="B138" s="745"/>
      <c r="C138" s="746"/>
      <c r="D138" s="442">
        <v>0</v>
      </c>
      <c r="E138" s="442">
        <v>0</v>
      </c>
      <c r="F138" s="442">
        <v>0</v>
      </c>
      <c r="G138" s="442">
        <v>0</v>
      </c>
      <c r="H138" s="442">
        <v>0</v>
      </c>
      <c r="I138" s="442">
        <v>0</v>
      </c>
      <c r="J138" s="442">
        <v>0</v>
      </c>
      <c r="K138" s="442">
        <v>0</v>
      </c>
      <c r="L138" s="442">
        <v>0</v>
      </c>
      <c r="M138" s="442">
        <v>0</v>
      </c>
      <c r="N138" s="442">
        <v>0</v>
      </c>
      <c r="O138" s="442">
        <v>0</v>
      </c>
      <c r="P138" s="443">
        <v>0</v>
      </c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4"/>
      <c r="AQ138" s="444"/>
      <c r="AR138" s="444"/>
      <c r="AS138" s="444"/>
      <c r="AT138" s="444"/>
      <c r="AU138" s="444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</row>
    <row r="139" spans="1:240">
      <c r="A139" s="784" t="s">
        <v>33</v>
      </c>
      <c r="B139" s="745"/>
      <c r="C139" s="746"/>
      <c r="D139" s="442">
        <v>0</v>
      </c>
      <c r="E139" s="442">
        <v>0</v>
      </c>
      <c r="F139" s="442">
        <v>0</v>
      </c>
      <c r="G139" s="442">
        <v>0</v>
      </c>
      <c r="H139" s="442">
        <v>0</v>
      </c>
      <c r="I139" s="442">
        <v>0</v>
      </c>
      <c r="J139" s="442">
        <v>0</v>
      </c>
      <c r="K139" s="442">
        <v>0</v>
      </c>
      <c r="L139" s="442">
        <v>0</v>
      </c>
      <c r="M139" s="442">
        <v>0</v>
      </c>
      <c r="N139" s="442">
        <v>0</v>
      </c>
      <c r="O139" s="442">
        <v>0</v>
      </c>
      <c r="P139" s="443">
        <v>0</v>
      </c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</row>
    <row r="140" spans="1:240">
      <c r="A140" s="784" t="s">
        <v>34</v>
      </c>
      <c r="B140" s="745"/>
      <c r="C140" s="746"/>
      <c r="D140" s="450">
        <v>0</v>
      </c>
      <c r="E140" s="450">
        <v>0</v>
      </c>
      <c r="F140" s="450">
        <v>0</v>
      </c>
      <c r="G140" s="450">
        <v>0</v>
      </c>
      <c r="H140" s="450">
        <v>0</v>
      </c>
      <c r="I140" s="450">
        <v>0</v>
      </c>
      <c r="J140" s="450">
        <v>0</v>
      </c>
      <c r="K140" s="450">
        <v>0</v>
      </c>
      <c r="L140" s="450">
        <v>0</v>
      </c>
      <c r="M140" s="450">
        <v>0</v>
      </c>
      <c r="N140" s="450">
        <v>0</v>
      </c>
      <c r="O140" s="450">
        <v>0</v>
      </c>
      <c r="P140" s="443">
        <v>0</v>
      </c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  <c r="AJ140" s="444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</row>
    <row r="141" spans="1:240" ht="12.95" thickBot="1">
      <c r="A141" s="785" t="s">
        <v>35</v>
      </c>
      <c r="B141" s="779"/>
      <c r="C141" s="780"/>
      <c r="D141" s="447">
        <v>0</v>
      </c>
      <c r="E141" s="447">
        <v>0</v>
      </c>
      <c r="F141" s="447">
        <v>0</v>
      </c>
      <c r="G141" s="447">
        <v>0</v>
      </c>
      <c r="H141" s="447">
        <v>0</v>
      </c>
      <c r="I141" s="447">
        <v>0</v>
      </c>
      <c r="J141" s="447">
        <v>0</v>
      </c>
      <c r="K141" s="447">
        <v>0</v>
      </c>
      <c r="L141" s="447">
        <v>0</v>
      </c>
      <c r="M141" s="447">
        <v>0</v>
      </c>
      <c r="N141" s="447">
        <v>0</v>
      </c>
      <c r="O141" s="447">
        <v>0</v>
      </c>
      <c r="P141" s="443">
        <v>0</v>
      </c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  <c r="AJ141" s="444"/>
      <c r="AK141" s="444"/>
      <c r="AL141" s="444"/>
      <c r="AM141" s="444"/>
      <c r="AN141" s="444"/>
      <c r="AO141" s="444"/>
      <c r="AP141" s="444"/>
      <c r="AQ141" s="444"/>
      <c r="AR141" s="444"/>
      <c r="AS141" s="444"/>
      <c r="AT141" s="444"/>
      <c r="AU141" s="444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703" t="s">
        <v>1</v>
      </c>
      <c r="B144" s="704"/>
      <c r="C144" s="704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47" t="s">
        <v>11</v>
      </c>
      <c r="B145" s="748"/>
      <c r="C145" s="748"/>
      <c r="D145" s="452">
        <v>5413</v>
      </c>
      <c r="E145" s="452">
        <v>5064</v>
      </c>
      <c r="F145" s="452">
        <v>4866</v>
      </c>
      <c r="G145" s="452">
        <v>3335</v>
      </c>
      <c r="H145" s="452">
        <v>3466</v>
      </c>
      <c r="I145" s="452">
        <v>3747</v>
      </c>
      <c r="J145" s="452">
        <v>5818</v>
      </c>
      <c r="K145" s="452">
        <v>6040</v>
      </c>
      <c r="L145" s="452">
        <v>5648</v>
      </c>
      <c r="M145" s="452">
        <v>6285</v>
      </c>
      <c r="N145" s="452">
        <v>4634</v>
      </c>
      <c r="O145" s="452">
        <v>5686</v>
      </c>
      <c r="P145" s="452">
        <v>58147</v>
      </c>
    </row>
    <row r="146" spans="1:240">
      <c r="A146" s="739" t="s">
        <v>12</v>
      </c>
      <c r="B146" s="740"/>
      <c r="C146" s="740"/>
      <c r="D146" s="452">
        <v>28</v>
      </c>
      <c r="E146" s="452">
        <v>99</v>
      </c>
      <c r="F146" s="452">
        <v>96</v>
      </c>
      <c r="G146" s="452">
        <v>50</v>
      </c>
      <c r="H146" s="452">
        <v>17</v>
      </c>
      <c r="I146" s="452">
        <v>0</v>
      </c>
      <c r="J146" s="452">
        <v>0</v>
      </c>
      <c r="K146" s="452">
        <v>0</v>
      </c>
      <c r="L146" s="452">
        <v>86</v>
      </c>
      <c r="M146" s="452">
        <v>24</v>
      </c>
      <c r="N146" s="452">
        <v>17</v>
      </c>
      <c r="O146" s="452">
        <v>10</v>
      </c>
      <c r="P146" s="452">
        <v>417</v>
      </c>
    </row>
    <row r="147" spans="1:240">
      <c r="A147" s="739" t="s">
        <v>13</v>
      </c>
      <c r="B147" s="740"/>
      <c r="C147" s="740"/>
      <c r="D147" s="452">
        <v>411</v>
      </c>
      <c r="E147" s="452">
        <v>492</v>
      </c>
      <c r="F147" s="452">
        <v>439</v>
      </c>
      <c r="G147" s="452">
        <v>174</v>
      </c>
      <c r="H147" s="452">
        <v>145</v>
      </c>
      <c r="I147" s="452">
        <v>88</v>
      </c>
      <c r="J147" s="452">
        <v>66</v>
      </c>
      <c r="K147" s="452">
        <v>82</v>
      </c>
      <c r="L147" s="452">
        <v>99</v>
      </c>
      <c r="M147" s="452">
        <v>140</v>
      </c>
      <c r="N147" s="452">
        <v>119</v>
      </c>
      <c r="O147" s="452">
        <v>62</v>
      </c>
      <c r="P147" s="452">
        <v>2314</v>
      </c>
    </row>
    <row r="148" spans="1:240">
      <c r="A148" s="739" t="s">
        <v>14</v>
      </c>
      <c r="B148" s="740"/>
      <c r="C148" s="740"/>
      <c r="D148" s="452">
        <v>303</v>
      </c>
      <c r="E148" s="452">
        <v>465</v>
      </c>
      <c r="F148" s="452">
        <v>274</v>
      </c>
      <c r="G148" s="452">
        <v>151</v>
      </c>
      <c r="H148" s="452">
        <v>230</v>
      </c>
      <c r="I148" s="452">
        <v>212</v>
      </c>
      <c r="J148" s="452">
        <v>311</v>
      </c>
      <c r="K148" s="452">
        <v>263</v>
      </c>
      <c r="L148" s="452">
        <v>283</v>
      </c>
      <c r="M148" s="452">
        <v>476</v>
      </c>
      <c r="N148" s="452">
        <v>241</v>
      </c>
      <c r="O148" s="452">
        <v>322</v>
      </c>
      <c r="P148" s="452">
        <v>3468</v>
      </c>
    </row>
    <row r="149" spans="1:240">
      <c r="A149" s="739" t="s">
        <v>21</v>
      </c>
      <c r="B149" s="740"/>
      <c r="C149" s="740"/>
      <c r="D149" s="452">
        <v>442</v>
      </c>
      <c r="E149" s="452">
        <v>590</v>
      </c>
      <c r="F149" s="452">
        <v>992</v>
      </c>
      <c r="G149" s="452">
        <v>766</v>
      </c>
      <c r="H149" s="452">
        <v>758</v>
      </c>
      <c r="I149" s="452">
        <v>648</v>
      </c>
      <c r="J149" s="452">
        <v>689</v>
      </c>
      <c r="K149" s="452">
        <v>894</v>
      </c>
      <c r="L149" s="452">
        <v>537</v>
      </c>
      <c r="M149" s="452">
        <v>692</v>
      </c>
      <c r="N149" s="452">
        <v>964</v>
      </c>
      <c r="O149" s="452">
        <v>823</v>
      </c>
      <c r="P149" s="452">
        <v>8782</v>
      </c>
    </row>
    <row r="150" spans="1:240">
      <c r="A150" s="769" t="s">
        <v>16</v>
      </c>
      <c r="B150" s="770"/>
      <c r="C150" s="770"/>
      <c r="D150" s="452">
        <v>248</v>
      </c>
      <c r="E150" s="452">
        <v>89</v>
      </c>
      <c r="F150" s="452">
        <v>78</v>
      </c>
      <c r="G150" s="452">
        <v>101</v>
      </c>
      <c r="H150" s="452">
        <v>142</v>
      </c>
      <c r="I150" s="452">
        <v>186</v>
      </c>
      <c r="J150" s="452">
        <v>92</v>
      </c>
      <c r="K150" s="452">
        <v>114</v>
      </c>
      <c r="L150" s="452">
        <v>176</v>
      </c>
      <c r="M150" s="452">
        <v>114</v>
      </c>
      <c r="N150" s="452">
        <v>145</v>
      </c>
      <c r="O150" s="452">
        <v>253</v>
      </c>
      <c r="P150" s="452">
        <v>1611</v>
      </c>
    </row>
    <row r="151" spans="1:240" ht="13.5">
      <c r="A151" s="697" t="s">
        <v>17</v>
      </c>
      <c r="B151" s="698"/>
      <c r="C151" s="698"/>
      <c r="D151" s="452">
        <v>13</v>
      </c>
      <c r="E151" s="452">
        <v>28</v>
      </c>
      <c r="F151" s="452">
        <v>8</v>
      </c>
      <c r="G151" s="452">
        <v>10</v>
      </c>
      <c r="H151" s="452">
        <v>1</v>
      </c>
      <c r="I151" s="452">
        <v>9</v>
      </c>
      <c r="J151" s="452">
        <v>57</v>
      </c>
      <c r="K151" s="452">
        <v>13</v>
      </c>
      <c r="L151" s="452">
        <v>5</v>
      </c>
      <c r="M151" s="452">
        <v>24</v>
      </c>
      <c r="N151" s="452">
        <v>20</v>
      </c>
      <c r="O151" s="452">
        <v>12</v>
      </c>
      <c r="P151" s="452">
        <v>302.33333333333331</v>
      </c>
    </row>
    <row r="152" spans="1:240" ht="13.5">
      <c r="A152" s="766" t="s">
        <v>49</v>
      </c>
      <c r="B152" s="767"/>
      <c r="C152" s="768"/>
      <c r="D152" s="453">
        <v>6858</v>
      </c>
      <c r="E152" s="453">
        <v>6827</v>
      </c>
      <c r="F152" s="453">
        <v>6753</v>
      </c>
      <c r="G152" s="453">
        <v>4587</v>
      </c>
      <c r="H152" s="453">
        <v>4759</v>
      </c>
      <c r="I152" s="453">
        <v>4890</v>
      </c>
      <c r="J152" s="453">
        <v>7033</v>
      </c>
      <c r="K152" s="453">
        <v>7406</v>
      </c>
      <c r="L152" s="453">
        <v>6834</v>
      </c>
      <c r="M152" s="453">
        <v>7755</v>
      </c>
      <c r="N152" s="453">
        <v>6140</v>
      </c>
      <c r="O152" s="453">
        <v>7168</v>
      </c>
      <c r="P152" s="453">
        <v>75041.333333333328</v>
      </c>
    </row>
    <row r="153" spans="1:240">
      <c r="A153" s="715" t="s">
        <v>23</v>
      </c>
      <c r="B153" s="716"/>
      <c r="C153" s="716"/>
      <c r="D153" s="452">
        <v>1023</v>
      </c>
      <c r="E153" s="452">
        <v>805</v>
      </c>
      <c r="F153" s="452">
        <v>923</v>
      </c>
      <c r="G153" s="452">
        <v>685</v>
      </c>
      <c r="H153" s="452">
        <v>864</v>
      </c>
      <c r="I153" s="452">
        <v>841</v>
      </c>
      <c r="J153" s="452">
        <v>1113</v>
      </c>
      <c r="K153" s="452">
        <v>1390</v>
      </c>
      <c r="L153" s="452">
        <v>1184</v>
      </c>
      <c r="M153" s="452">
        <v>1400</v>
      </c>
      <c r="N153" s="452">
        <v>1012</v>
      </c>
      <c r="O153" s="452">
        <v>1379</v>
      </c>
      <c r="P153" s="452">
        <v>12108</v>
      </c>
    </row>
    <row r="154" spans="1:240">
      <c r="A154" s="744" t="s">
        <v>24</v>
      </c>
      <c r="B154" s="745"/>
      <c r="C154" s="746"/>
      <c r="D154" s="454">
        <v>18</v>
      </c>
      <c r="E154" s="454">
        <v>0</v>
      </c>
      <c r="F154" s="454">
        <v>0</v>
      </c>
      <c r="G154" s="454">
        <v>0</v>
      </c>
      <c r="H154" s="454">
        <v>2</v>
      </c>
      <c r="I154" s="454">
        <v>0</v>
      </c>
      <c r="J154" s="454">
        <v>0</v>
      </c>
      <c r="K154" s="454">
        <v>2</v>
      </c>
      <c r="L154" s="454">
        <v>0</v>
      </c>
      <c r="M154" s="454">
        <v>1</v>
      </c>
      <c r="N154" s="454">
        <v>0</v>
      </c>
      <c r="O154" s="454">
        <v>0</v>
      </c>
      <c r="P154" s="452">
        <v>24</v>
      </c>
    </row>
    <row r="155" spans="1:240">
      <c r="A155" s="744" t="s">
        <v>25</v>
      </c>
      <c r="B155" s="745"/>
      <c r="C155" s="746"/>
      <c r="D155" s="454">
        <v>35</v>
      </c>
      <c r="E155" s="454">
        <v>41</v>
      </c>
      <c r="F155" s="454">
        <v>150</v>
      </c>
      <c r="G155" s="454">
        <v>391</v>
      </c>
      <c r="H155" s="454">
        <v>246</v>
      </c>
      <c r="I155" s="454">
        <v>162</v>
      </c>
      <c r="J155" s="454">
        <v>47</v>
      </c>
      <c r="K155" s="454">
        <v>128</v>
      </c>
      <c r="L155" s="454">
        <v>89</v>
      </c>
      <c r="M155" s="454">
        <v>67</v>
      </c>
      <c r="N155" s="454">
        <v>41</v>
      </c>
      <c r="O155" s="454">
        <v>30</v>
      </c>
      <c r="P155" s="452">
        <v>1473</v>
      </c>
    </row>
    <row r="156" spans="1:240">
      <c r="A156" s="744" t="s">
        <v>26</v>
      </c>
      <c r="B156" s="745"/>
      <c r="C156" s="746"/>
      <c r="D156" s="454">
        <v>135</v>
      </c>
      <c r="E156" s="454">
        <v>177</v>
      </c>
      <c r="F156" s="454">
        <v>248</v>
      </c>
      <c r="G156" s="454">
        <v>568</v>
      </c>
      <c r="H156" s="454">
        <v>434</v>
      </c>
      <c r="I156" s="454">
        <v>330</v>
      </c>
      <c r="J156" s="454">
        <v>285</v>
      </c>
      <c r="K156" s="454">
        <v>279</v>
      </c>
      <c r="L156" s="454">
        <v>259</v>
      </c>
      <c r="M156" s="454">
        <v>353</v>
      </c>
      <c r="N156" s="454">
        <v>301</v>
      </c>
      <c r="O156" s="454">
        <v>203</v>
      </c>
      <c r="P156" s="452">
        <v>3598</v>
      </c>
    </row>
    <row r="157" spans="1:240">
      <c r="A157" s="744" t="s">
        <v>27</v>
      </c>
      <c r="B157" s="745"/>
      <c r="C157" s="746"/>
      <c r="D157" s="454">
        <v>16</v>
      </c>
      <c r="E157" s="454">
        <v>11</v>
      </c>
      <c r="F157" s="454">
        <v>27</v>
      </c>
      <c r="G157" s="454">
        <v>25</v>
      </c>
      <c r="H157" s="454">
        <v>147</v>
      </c>
      <c r="I157" s="454">
        <v>17</v>
      </c>
      <c r="J157" s="454">
        <v>28</v>
      </c>
      <c r="K157" s="454">
        <v>47</v>
      </c>
      <c r="L157" s="454">
        <v>45</v>
      </c>
      <c r="M157" s="454">
        <v>35</v>
      </c>
      <c r="N157" s="454">
        <v>38</v>
      </c>
      <c r="O157" s="454">
        <v>64</v>
      </c>
      <c r="P157" s="452">
        <v>451</v>
      </c>
    </row>
    <row r="158" spans="1:240">
      <c r="A158" s="744" t="s">
        <v>28</v>
      </c>
      <c r="B158" s="745"/>
      <c r="C158" s="746"/>
      <c r="D158" s="454">
        <v>1</v>
      </c>
      <c r="E158" s="454">
        <v>1</v>
      </c>
      <c r="F158" s="454">
        <v>1</v>
      </c>
      <c r="G158" s="454">
        <v>1</v>
      </c>
      <c r="H158" s="454">
        <v>1</v>
      </c>
      <c r="I158" s="454">
        <v>3</v>
      </c>
      <c r="J158" s="454">
        <v>0</v>
      </c>
      <c r="K158" s="454">
        <v>2</v>
      </c>
      <c r="L158" s="454">
        <v>0</v>
      </c>
      <c r="M158" s="454">
        <v>1</v>
      </c>
      <c r="N158" s="454">
        <v>2</v>
      </c>
      <c r="O158" s="454">
        <v>0</v>
      </c>
      <c r="P158" s="452">
        <v>14</v>
      </c>
    </row>
    <row r="159" spans="1:240" ht="14.1" thickBot="1">
      <c r="A159" s="760" t="s">
        <v>50</v>
      </c>
      <c r="B159" s="761"/>
      <c r="C159" s="762"/>
      <c r="D159" s="455">
        <v>1228</v>
      </c>
      <c r="E159" s="455">
        <v>1035</v>
      </c>
      <c r="F159" s="455">
        <v>1349</v>
      </c>
      <c r="G159" s="455">
        <v>1670</v>
      </c>
      <c r="H159" s="455">
        <v>1694</v>
      </c>
      <c r="I159" s="455">
        <v>1353</v>
      </c>
      <c r="J159" s="455">
        <v>1473</v>
      </c>
      <c r="K159" s="455">
        <v>1848</v>
      </c>
      <c r="L159" s="455">
        <v>1577</v>
      </c>
      <c r="M159" s="455">
        <v>1857</v>
      </c>
      <c r="N159" s="455">
        <v>1394</v>
      </c>
      <c r="O159" s="455">
        <v>1676</v>
      </c>
      <c r="P159" s="455">
        <v>17668</v>
      </c>
    </row>
    <row r="160" spans="1:240">
      <c r="A160" s="786" t="s">
        <v>31</v>
      </c>
      <c r="B160" s="787"/>
      <c r="C160" s="787"/>
      <c r="D160" s="451">
        <v>0</v>
      </c>
      <c r="E160" s="451">
        <v>0</v>
      </c>
      <c r="F160" s="451">
        <v>0</v>
      </c>
      <c r="G160" s="451">
        <v>0</v>
      </c>
      <c r="H160" s="451">
        <v>0</v>
      </c>
      <c r="I160" s="451">
        <v>0</v>
      </c>
      <c r="J160" s="451">
        <v>0</v>
      </c>
      <c r="K160" s="451">
        <v>0</v>
      </c>
      <c r="L160" s="451">
        <v>0</v>
      </c>
      <c r="M160" s="451">
        <v>0</v>
      </c>
      <c r="N160" s="451">
        <v>0</v>
      </c>
      <c r="O160" s="451">
        <v>0</v>
      </c>
      <c r="P160" s="452">
        <v>0</v>
      </c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  <c r="AJ160" s="444"/>
      <c r="AK160" s="444"/>
      <c r="AL160" s="444"/>
      <c r="AM160" s="444"/>
      <c r="AN160" s="444"/>
      <c r="AO160" s="444"/>
      <c r="AP160" s="444"/>
      <c r="AQ160" s="444"/>
      <c r="AR160" s="444"/>
      <c r="AS160" s="444"/>
      <c r="AT160" s="444"/>
      <c r="AU160" s="444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</row>
    <row r="161" spans="1:240">
      <c r="A161" s="739" t="s">
        <v>32</v>
      </c>
      <c r="B161" s="740"/>
      <c r="C161" s="740"/>
      <c r="D161" s="442">
        <v>0</v>
      </c>
      <c r="E161" s="442">
        <v>0</v>
      </c>
      <c r="F161" s="442">
        <v>0</v>
      </c>
      <c r="G161" s="442">
        <v>0</v>
      </c>
      <c r="H161" s="442">
        <v>0</v>
      </c>
      <c r="I161" s="442">
        <v>0</v>
      </c>
      <c r="J161" s="442">
        <v>0</v>
      </c>
      <c r="K161" s="442">
        <v>0</v>
      </c>
      <c r="L161" s="442">
        <v>0</v>
      </c>
      <c r="M161" s="442">
        <v>0</v>
      </c>
      <c r="N161" s="442">
        <v>0</v>
      </c>
      <c r="O161" s="442">
        <v>0</v>
      </c>
      <c r="P161" s="452">
        <v>0</v>
      </c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</row>
    <row r="162" spans="1:240">
      <c r="A162" s="739" t="s">
        <v>33</v>
      </c>
      <c r="B162" s="740"/>
      <c r="C162" s="740"/>
      <c r="D162" s="442">
        <v>0</v>
      </c>
      <c r="E162" s="442">
        <v>0</v>
      </c>
      <c r="F162" s="442">
        <v>0</v>
      </c>
      <c r="G162" s="442">
        <v>0</v>
      </c>
      <c r="H162" s="442">
        <v>0</v>
      </c>
      <c r="I162" s="442">
        <v>0</v>
      </c>
      <c r="J162" s="442">
        <v>0</v>
      </c>
      <c r="K162" s="442">
        <v>0</v>
      </c>
      <c r="L162" s="442">
        <v>0</v>
      </c>
      <c r="M162" s="442">
        <v>0</v>
      </c>
      <c r="N162" s="442">
        <v>0</v>
      </c>
      <c r="O162" s="442">
        <v>0</v>
      </c>
      <c r="P162" s="452">
        <v>0</v>
      </c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  <c r="AJ162" s="444"/>
      <c r="AK162" s="444"/>
      <c r="AL162" s="444"/>
      <c r="AM162" s="444"/>
      <c r="AN162" s="444"/>
      <c r="AO162" s="444"/>
      <c r="AP162" s="444"/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</row>
    <row r="163" spans="1:240">
      <c r="A163" s="456" t="s">
        <v>34</v>
      </c>
      <c r="B163" s="457"/>
      <c r="C163" s="457"/>
      <c r="D163" s="450">
        <v>0</v>
      </c>
      <c r="E163" s="450">
        <v>0</v>
      </c>
      <c r="F163" s="450">
        <v>0</v>
      </c>
      <c r="G163" s="450">
        <v>0</v>
      </c>
      <c r="H163" s="450">
        <v>0</v>
      </c>
      <c r="I163" s="450">
        <v>0</v>
      </c>
      <c r="J163" s="450">
        <v>0</v>
      </c>
      <c r="K163" s="450">
        <v>0</v>
      </c>
      <c r="L163" s="450">
        <v>0</v>
      </c>
      <c r="M163" s="450">
        <v>0</v>
      </c>
      <c r="N163" s="450">
        <v>0</v>
      </c>
      <c r="O163" s="450">
        <v>0</v>
      </c>
      <c r="P163" s="452">
        <v>0</v>
      </c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  <c r="AJ163" s="444"/>
      <c r="AK163" s="444"/>
      <c r="AL163" s="444"/>
      <c r="AM163" s="444"/>
      <c r="AN163" s="444"/>
      <c r="AO163" s="444"/>
      <c r="AP163" s="444"/>
      <c r="AQ163" s="444"/>
      <c r="AR163" s="444"/>
      <c r="AS163" s="444"/>
      <c r="AT163" s="444"/>
      <c r="AU163" s="444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</row>
    <row r="164" spans="1:240">
      <c r="A164" s="769" t="s">
        <v>35</v>
      </c>
      <c r="B164" s="770"/>
      <c r="C164" s="770"/>
      <c r="D164" s="450">
        <v>0</v>
      </c>
      <c r="E164" s="450">
        <v>0</v>
      </c>
      <c r="F164" s="450">
        <v>0</v>
      </c>
      <c r="G164" s="450">
        <v>0</v>
      </c>
      <c r="H164" s="450">
        <v>0</v>
      </c>
      <c r="I164" s="450">
        <v>0</v>
      </c>
      <c r="J164" s="450">
        <v>0</v>
      </c>
      <c r="K164" s="450">
        <v>0</v>
      </c>
      <c r="L164" s="450">
        <v>0</v>
      </c>
      <c r="M164" s="450">
        <v>0</v>
      </c>
      <c r="N164" s="450">
        <v>0</v>
      </c>
      <c r="O164" s="450">
        <v>0</v>
      </c>
      <c r="P164" s="452">
        <v>0</v>
      </c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  <c r="AJ164" s="444"/>
      <c r="AK164" s="444"/>
      <c r="AL164" s="444"/>
      <c r="AM164" s="444"/>
      <c r="AN164" s="444"/>
      <c r="AO164" s="444"/>
      <c r="AP164" s="444"/>
      <c r="AQ164" s="444"/>
      <c r="AR164" s="444"/>
      <c r="AS164" s="444"/>
      <c r="AT164" s="444"/>
      <c r="AU164" s="444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</row>
    <row r="165" spans="1:240" ht="14.1" thickBot="1">
      <c r="A165" s="772" t="s">
        <v>30</v>
      </c>
      <c r="B165" s="773"/>
      <c r="C165" s="774"/>
      <c r="D165" s="458">
        <v>0</v>
      </c>
      <c r="E165" s="458">
        <v>0</v>
      </c>
      <c r="F165" s="458">
        <v>0</v>
      </c>
      <c r="G165" s="458">
        <v>0</v>
      </c>
      <c r="H165" s="458">
        <v>0</v>
      </c>
      <c r="I165" s="458">
        <v>0</v>
      </c>
      <c r="J165" s="458">
        <v>0</v>
      </c>
      <c r="K165" s="458">
        <v>0</v>
      </c>
      <c r="L165" s="458">
        <v>0</v>
      </c>
      <c r="M165" s="458">
        <v>0</v>
      </c>
      <c r="N165" s="458">
        <v>0</v>
      </c>
      <c r="O165" s="458">
        <v>0</v>
      </c>
      <c r="P165" s="455"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160:C160"/>
    <mergeCell ref="A161:C161"/>
    <mergeCell ref="A162:C162"/>
    <mergeCell ref="A164:C164"/>
    <mergeCell ref="A165:C165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L46" sqref="L46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286</v>
      </c>
      <c r="B1" s="342"/>
      <c r="C1" s="342"/>
      <c r="D1" s="459">
        <v>1</v>
      </c>
      <c r="E1" s="459">
        <v>2</v>
      </c>
      <c r="F1" s="459">
        <v>3</v>
      </c>
      <c r="G1" s="459">
        <v>4</v>
      </c>
      <c r="H1" s="459">
        <v>5</v>
      </c>
      <c r="I1" s="460">
        <v>6</v>
      </c>
      <c r="J1" s="460">
        <v>7</v>
      </c>
      <c r="K1" s="461">
        <v>8</v>
      </c>
      <c r="L1" s="460">
        <v>9</v>
      </c>
      <c r="M1" s="460">
        <v>10</v>
      </c>
      <c r="N1" s="460">
        <v>11</v>
      </c>
      <c r="O1" s="460">
        <v>12</v>
      </c>
      <c r="Q1" s="462" t="s">
        <v>287</v>
      </c>
      <c r="R1" s="463">
        <v>1</v>
      </c>
      <c r="S1" s="463">
        <v>2</v>
      </c>
      <c r="T1" s="463">
        <v>3</v>
      </c>
      <c r="U1" s="463">
        <v>4</v>
      </c>
      <c r="V1" s="463">
        <v>5</v>
      </c>
      <c r="W1" s="464">
        <v>6</v>
      </c>
      <c r="X1" s="464">
        <v>7</v>
      </c>
      <c r="Y1" s="465">
        <v>8</v>
      </c>
      <c r="Z1" s="464">
        <v>9</v>
      </c>
      <c r="AA1" s="464">
        <v>10</v>
      </c>
      <c r="AB1" s="464">
        <v>11</v>
      </c>
      <c r="AC1" s="464">
        <v>12</v>
      </c>
    </row>
    <row r="2" spans="1:256" ht="13.5">
      <c r="A2" s="703" t="s">
        <v>1</v>
      </c>
      <c r="B2" s="704"/>
      <c r="C2" s="704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500" t="s">
        <v>288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05" t="s">
        <v>9</v>
      </c>
      <c r="B3" s="706"/>
      <c r="C3" s="707"/>
      <c r="D3" s="467">
        <f>D4+D11+D16</f>
        <v>586896841.77528787</v>
      </c>
      <c r="E3" s="467">
        <f t="shared" ref="E3:O3" si="0">E4+E11+E16</f>
        <v>577650587.27452612</v>
      </c>
      <c r="F3" s="467">
        <f t="shared" si="0"/>
        <v>577923169.63265753</v>
      </c>
      <c r="G3" s="467">
        <f t="shared" si="0"/>
        <v>572016981.82581627</v>
      </c>
      <c r="H3" s="467">
        <f t="shared" si="0"/>
        <v>566483026.12922704</v>
      </c>
      <c r="I3" s="467">
        <f t="shared" si="0"/>
        <v>544782040.18356049</v>
      </c>
      <c r="J3" s="467">
        <f t="shared" si="0"/>
        <v>543410982.0947051</v>
      </c>
      <c r="K3" s="467">
        <f t="shared" si="0"/>
        <v>548898295.94280851</v>
      </c>
      <c r="L3" s="467">
        <f t="shared" si="0"/>
        <v>531941755.47241509</v>
      </c>
      <c r="M3" s="467">
        <f t="shared" si="0"/>
        <v>528709702.49196374</v>
      </c>
      <c r="N3" s="467">
        <f t="shared" si="0"/>
        <v>547045220.53323877</v>
      </c>
      <c r="O3" s="467">
        <f t="shared" si="0"/>
        <v>567089575.8259064</v>
      </c>
      <c r="P3" s="467">
        <f>P4+P11+P16+P24</f>
        <v>629578831.3002696</v>
      </c>
      <c r="Q3" s="34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01" t="s">
        <v>10</v>
      </c>
      <c r="C4" s="702"/>
      <c r="D4" s="351">
        <f>SUM(D5:D10)</f>
        <v>348736296.20599359</v>
      </c>
      <c r="E4" s="351">
        <f t="shared" ref="E4:O4" si="1">SUM(E5:E10)</f>
        <v>350363936.72417545</v>
      </c>
      <c r="F4" s="351">
        <f t="shared" si="1"/>
        <v>347000823.10997212</v>
      </c>
      <c r="G4" s="351">
        <f t="shared" si="1"/>
        <v>345621549.37545872</v>
      </c>
      <c r="H4" s="351">
        <f t="shared" si="1"/>
        <v>343552985.32492054</v>
      </c>
      <c r="I4" s="351">
        <f t="shared" si="1"/>
        <v>326410704.39598554</v>
      </c>
      <c r="J4" s="351">
        <f t="shared" si="1"/>
        <v>327329757.8229351</v>
      </c>
      <c r="K4" s="351">
        <f t="shared" si="1"/>
        <v>325002569.27828842</v>
      </c>
      <c r="L4" s="351">
        <f t="shared" si="1"/>
        <v>313022379.25867927</v>
      </c>
      <c r="M4" s="351">
        <f t="shared" si="1"/>
        <v>311494317.78401929</v>
      </c>
      <c r="N4" s="351">
        <f t="shared" si="1"/>
        <v>329888865.86503339</v>
      </c>
      <c r="O4" s="351">
        <f t="shared" si="1"/>
        <v>346692399.10788912</v>
      </c>
      <c r="P4" s="351">
        <f>SUM(P5:P10)</f>
        <v>334593048.68777925</v>
      </c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</row>
    <row r="5" spans="1:256" ht="13.5">
      <c r="A5" s="126"/>
      <c r="B5" s="127"/>
      <c r="C5" s="128" t="s">
        <v>11</v>
      </c>
      <c r="D5" s="350">
        <v>300495758.86027563</v>
      </c>
      <c r="E5" s="350">
        <v>302825510.44914973</v>
      </c>
      <c r="F5" s="350">
        <v>300729897.64127737</v>
      </c>
      <c r="G5" s="350">
        <v>300722632.26954645</v>
      </c>
      <c r="H5" s="350">
        <v>299861286.73782527</v>
      </c>
      <c r="I5" s="350">
        <v>283499382.17448181</v>
      </c>
      <c r="J5" s="350">
        <v>284551757.8855716</v>
      </c>
      <c r="K5" s="350">
        <v>282657851.39576364</v>
      </c>
      <c r="L5" s="350">
        <v>272546550.5420143</v>
      </c>
      <c r="M5" s="350">
        <v>271569713.39692378</v>
      </c>
      <c r="N5" s="350">
        <v>286691574.37752742</v>
      </c>
      <c r="O5" s="350">
        <v>299656105.43690866</v>
      </c>
      <c r="P5" s="350">
        <f t="shared" ref="P5:P10" si="2">AVERAGE(D5:O5)</f>
        <v>290484001.76393884</v>
      </c>
      <c r="R5" s="469">
        <f>0</f>
        <v>0</v>
      </c>
      <c r="S5" s="470">
        <f>$D5</f>
        <v>300495758.86027563</v>
      </c>
      <c r="T5" s="469">
        <f>SUM($D5:$E5)/2</f>
        <v>301660634.65471268</v>
      </c>
      <c r="U5" s="469">
        <f>SUM($D5:$F5)/3</f>
        <v>301350388.98356754</v>
      </c>
      <c r="V5" s="469">
        <f>SUM($D5:$G5)/4</f>
        <v>301193449.80506229</v>
      </c>
      <c r="W5" s="469">
        <f>SUM($D5:$H5)/5</f>
        <v>300927017.19161493</v>
      </c>
      <c r="X5" s="469">
        <f>SUM($D5:$I5)/6</f>
        <v>298022411.35542607</v>
      </c>
      <c r="Y5" s="469">
        <f t="shared" ref="Y5:Y10" si="3">SUM($D5:$J5)/7</f>
        <v>296098032.28830397</v>
      </c>
      <c r="Z5" s="469">
        <f>SUM($D5:$K5)/8</f>
        <v>294418009.67673647</v>
      </c>
      <c r="AA5" s="469">
        <f>SUM($D5:$L5)/9</f>
        <v>291987847.5506562</v>
      </c>
      <c r="AB5" s="469">
        <f>SUM($D5:$M5)/10</f>
        <v>289946034.13528299</v>
      </c>
      <c r="AC5" s="469">
        <f>SUM($D5:$N5)/11</f>
        <v>289650174.15730518</v>
      </c>
    </row>
    <row r="6" spans="1:256" ht="13.5">
      <c r="A6" s="126"/>
      <c r="B6" s="127"/>
      <c r="C6" s="128" t="s">
        <v>12</v>
      </c>
      <c r="D6" s="350">
        <v>6757204.8252985002</v>
      </c>
      <c r="E6" s="350">
        <v>7084772.4493877497</v>
      </c>
      <c r="F6" s="350">
        <v>6814102.1975432504</v>
      </c>
      <c r="G6" s="350">
        <v>6143515.4134405004</v>
      </c>
      <c r="H6" s="350">
        <v>5817287.8454297502</v>
      </c>
      <c r="I6" s="350">
        <v>5668562.858064251</v>
      </c>
      <c r="J6" s="350">
        <v>5418299.2274190001</v>
      </c>
      <c r="K6" s="350">
        <v>5319075.5029565003</v>
      </c>
      <c r="L6" s="350">
        <v>5145577.6430102503</v>
      </c>
      <c r="M6" s="350">
        <v>5188499.3892470002</v>
      </c>
      <c r="N6" s="350">
        <v>5870618.0425402503</v>
      </c>
      <c r="O6" s="350">
        <v>6418664.1681450009</v>
      </c>
      <c r="P6" s="350">
        <f>AVERAGE(D6:O6)</f>
        <v>5970514.9635401675</v>
      </c>
      <c r="R6" s="469">
        <f>0</f>
        <v>0</v>
      </c>
      <c r="S6" s="470">
        <f t="shared" ref="S6:S33" si="4">$D6</f>
        <v>6757204.8252985002</v>
      </c>
      <c r="T6" s="469">
        <f>SUM($D6:$E6)/2</f>
        <v>6920988.6373431254</v>
      </c>
      <c r="U6" s="469">
        <f t="shared" ref="U6:U33" si="5">SUM($D6:$F6)/3</f>
        <v>6885359.8240765007</v>
      </c>
      <c r="V6" s="469">
        <f t="shared" ref="V6:V33" si="6">SUM($D6:$G6)/4</f>
        <v>6699898.7214175006</v>
      </c>
      <c r="W6" s="469">
        <f t="shared" ref="W6:W33" si="7">SUM($D6:$H6)/5</f>
        <v>6523376.5462199505</v>
      </c>
      <c r="X6" s="469">
        <f t="shared" ref="X6:X33" si="8">SUM($D6:$I6)/6</f>
        <v>6380907.5981940003</v>
      </c>
      <c r="Y6" s="469">
        <f t="shared" si="3"/>
        <v>6243392.1166547155</v>
      </c>
      <c r="Z6" s="469">
        <f t="shared" ref="Z6:Z33" si="9">SUM($D6:$K6)/8</f>
        <v>6127852.5399424387</v>
      </c>
      <c r="AA6" s="469">
        <f t="shared" ref="AA6:AA33" si="10">SUM($D6:$L6)/9</f>
        <v>6018710.8847277509</v>
      </c>
      <c r="AB6" s="469">
        <f t="shared" ref="AB6:AB32" si="11">SUM($D6:$M6)/10</f>
        <v>5935689.7351796757</v>
      </c>
      <c r="AC6" s="469">
        <f t="shared" ref="AC6:AC33" si="12">SUM($D6:$N6)/11</f>
        <v>5929774.1267579105</v>
      </c>
    </row>
    <row r="7" spans="1:256" ht="13.5">
      <c r="A7" s="126"/>
      <c r="B7" s="127"/>
      <c r="C7" s="128" t="s">
        <v>13</v>
      </c>
      <c r="D7" s="350">
        <v>10206428.9123565</v>
      </c>
      <c r="E7" s="350">
        <v>9765466.2422129996</v>
      </c>
      <c r="F7" s="350">
        <v>8978744.759009501</v>
      </c>
      <c r="G7" s="350">
        <v>8298315.2758062501</v>
      </c>
      <c r="H7" s="350">
        <v>7794994.3155912505</v>
      </c>
      <c r="I7" s="350">
        <v>7683899.2505372502</v>
      </c>
      <c r="J7" s="350">
        <v>7692900.3107519988</v>
      </c>
      <c r="K7" s="350">
        <v>6845065.0182787497</v>
      </c>
      <c r="L7" s="350">
        <v>5651032.9317197502</v>
      </c>
      <c r="M7" s="350">
        <v>5490858.0462359991</v>
      </c>
      <c r="N7" s="350">
        <v>7096237.7060345002</v>
      </c>
      <c r="O7" s="350">
        <v>9336735.1023922488</v>
      </c>
      <c r="P7" s="350">
        <f>AVERAGE(D7:O7)</f>
        <v>7903389.8225772502</v>
      </c>
      <c r="R7" s="469">
        <f>0</f>
        <v>0</v>
      </c>
      <c r="S7" s="470">
        <f t="shared" si="4"/>
        <v>10206428.9123565</v>
      </c>
      <c r="T7" s="469">
        <f t="shared" ref="T7:T33" si="13">SUM($D7:$E7)/2</f>
        <v>9985947.5772847496</v>
      </c>
      <c r="U7" s="469">
        <f t="shared" si="5"/>
        <v>9650213.3045263346</v>
      </c>
      <c r="V7" s="469">
        <f t="shared" si="6"/>
        <v>9312238.7973463126</v>
      </c>
      <c r="W7" s="469">
        <f t="shared" si="7"/>
        <v>9008789.9009953011</v>
      </c>
      <c r="X7" s="469">
        <f t="shared" si="8"/>
        <v>8787974.7925856262</v>
      </c>
      <c r="Y7" s="469">
        <f t="shared" si="3"/>
        <v>8631535.5808951072</v>
      </c>
      <c r="Z7" s="469">
        <f t="shared" si="9"/>
        <v>8408226.7605680637</v>
      </c>
      <c r="AA7" s="469">
        <f t="shared" si="10"/>
        <v>8101871.8906960292</v>
      </c>
      <c r="AB7" s="469">
        <f t="shared" si="11"/>
        <v>7840770.5062500257</v>
      </c>
      <c r="AC7" s="469">
        <f t="shared" si="12"/>
        <v>7773085.7062304318</v>
      </c>
    </row>
    <row r="8" spans="1:256" ht="13.5">
      <c r="A8" s="126"/>
      <c r="B8" s="127"/>
      <c r="C8" s="128" t="s">
        <v>14</v>
      </c>
      <c r="D8" s="350">
        <v>19522774.960038252</v>
      </c>
      <c r="E8" s="350">
        <v>18419757.634593248</v>
      </c>
      <c r="F8" s="350">
        <v>18429650.139608249</v>
      </c>
      <c r="G8" s="350">
        <v>18698223.354300503</v>
      </c>
      <c r="H8" s="350">
        <v>18097092.637096252</v>
      </c>
      <c r="I8" s="350">
        <v>17986028.274730749</v>
      </c>
      <c r="J8" s="350">
        <v>18729571.782526501</v>
      </c>
      <c r="K8" s="350">
        <v>19029715.354838498</v>
      </c>
      <c r="L8" s="350">
        <v>18501243.741935249</v>
      </c>
      <c r="M8" s="350">
        <v>18508136.068548001</v>
      </c>
      <c r="N8" s="350">
        <v>19461750.521774001</v>
      </c>
      <c r="O8" s="350">
        <v>20100223.095967501</v>
      </c>
      <c r="P8" s="350">
        <f t="shared" si="2"/>
        <v>18790347.29716308</v>
      </c>
      <c r="R8" s="469">
        <f>0</f>
        <v>0</v>
      </c>
      <c r="S8" s="470">
        <f t="shared" si="4"/>
        <v>19522774.960038252</v>
      </c>
      <c r="T8" s="469">
        <f t="shared" si="13"/>
        <v>18971266.29731575</v>
      </c>
      <c r="U8" s="469">
        <f t="shared" si="5"/>
        <v>18790727.578079917</v>
      </c>
      <c r="V8" s="469">
        <f t="shared" si="6"/>
        <v>18767601.522135064</v>
      </c>
      <c r="W8" s="469">
        <f t="shared" si="7"/>
        <v>18633499.745127302</v>
      </c>
      <c r="X8" s="469">
        <f t="shared" si="8"/>
        <v>18525587.833394542</v>
      </c>
      <c r="Y8" s="469">
        <f t="shared" si="3"/>
        <v>18554728.397556249</v>
      </c>
      <c r="Z8" s="469">
        <f t="shared" si="9"/>
        <v>18614101.76721653</v>
      </c>
      <c r="AA8" s="469">
        <f t="shared" si="10"/>
        <v>18601561.986629721</v>
      </c>
      <c r="AB8" s="469">
        <f t="shared" si="11"/>
        <v>18592219.394821547</v>
      </c>
      <c r="AC8" s="469">
        <f t="shared" si="12"/>
        <v>18671267.679089952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69">
        <f>0</f>
        <v>0</v>
      </c>
      <c r="S9" s="470">
        <f t="shared" si="4"/>
        <v>0</v>
      </c>
      <c r="T9" s="469">
        <f t="shared" si="13"/>
        <v>0</v>
      </c>
      <c r="U9" s="469">
        <f t="shared" si="5"/>
        <v>0</v>
      </c>
      <c r="V9" s="469">
        <f t="shared" si="6"/>
        <v>0</v>
      </c>
      <c r="W9" s="469">
        <f t="shared" si="7"/>
        <v>0</v>
      </c>
      <c r="X9" s="469">
        <f t="shared" si="8"/>
        <v>0</v>
      </c>
      <c r="Y9" s="469">
        <f t="shared" si="3"/>
        <v>0</v>
      </c>
      <c r="Z9" s="469">
        <f t="shared" si="9"/>
        <v>0</v>
      </c>
      <c r="AA9" s="469">
        <f t="shared" si="10"/>
        <v>0</v>
      </c>
      <c r="AB9" s="469">
        <f t="shared" si="11"/>
        <v>0</v>
      </c>
      <c r="AC9" s="469">
        <f t="shared" si="12"/>
        <v>0</v>
      </c>
    </row>
    <row r="10" spans="1:256" ht="13.5">
      <c r="A10" s="126"/>
      <c r="B10" s="132"/>
      <c r="C10" s="128" t="s">
        <v>16</v>
      </c>
      <c r="D10" s="350">
        <v>11754128.648024749</v>
      </c>
      <c r="E10" s="350">
        <v>12268429.94883175</v>
      </c>
      <c r="F10" s="350">
        <v>12048428.37253375</v>
      </c>
      <c r="G10" s="350">
        <v>11758863.062364999</v>
      </c>
      <c r="H10" s="350">
        <v>11982323.788977999</v>
      </c>
      <c r="I10" s="350">
        <v>11572831.838171501</v>
      </c>
      <c r="J10" s="350">
        <v>10937228.616666</v>
      </c>
      <c r="K10" s="350">
        <v>11150862.006451</v>
      </c>
      <c r="L10" s="350">
        <v>11177974.399999751</v>
      </c>
      <c r="M10" s="350">
        <v>10737110.883064501</v>
      </c>
      <c r="N10" s="350">
        <v>10768685.21715725</v>
      </c>
      <c r="O10" s="350">
        <v>11180671.304475751</v>
      </c>
      <c r="P10" s="350">
        <f t="shared" si="2"/>
        <v>11444794.840559915</v>
      </c>
      <c r="R10" s="469">
        <f>0</f>
        <v>0</v>
      </c>
      <c r="S10" s="470">
        <f t="shared" si="4"/>
        <v>11754128.648024749</v>
      </c>
      <c r="T10" s="469">
        <f t="shared" si="13"/>
        <v>12011279.298428249</v>
      </c>
      <c r="U10" s="469">
        <f t="shared" si="5"/>
        <v>12023662.32313008</v>
      </c>
      <c r="V10" s="469">
        <f t="shared" si="6"/>
        <v>11957462.50793881</v>
      </c>
      <c r="W10" s="469">
        <f t="shared" si="7"/>
        <v>11962434.764146646</v>
      </c>
      <c r="X10" s="469">
        <f t="shared" si="8"/>
        <v>11897500.943150789</v>
      </c>
      <c r="Y10" s="469">
        <f t="shared" si="3"/>
        <v>11760319.182224391</v>
      </c>
      <c r="Z10" s="469">
        <f t="shared" si="9"/>
        <v>11684137.035252716</v>
      </c>
      <c r="AA10" s="469">
        <f t="shared" si="10"/>
        <v>11627896.742446832</v>
      </c>
      <c r="AB10" s="469">
        <f t="shared" si="11"/>
        <v>11538818.156508598</v>
      </c>
      <c r="AC10" s="469">
        <f t="shared" si="12"/>
        <v>11468806.07111302</v>
      </c>
    </row>
    <row r="11" spans="1:256" ht="13.5">
      <c r="A11" s="126"/>
      <c r="B11" s="708" t="s">
        <v>17</v>
      </c>
      <c r="C11" s="709"/>
      <c r="D11" s="351">
        <v>11556655.470294258</v>
      </c>
      <c r="E11" s="351">
        <v>8686873.4986840002</v>
      </c>
      <c r="F11" s="351">
        <v>10560382.920685334</v>
      </c>
      <c r="G11" s="351">
        <v>11101559.100357603</v>
      </c>
      <c r="H11" s="351">
        <v>10394393.87830659</v>
      </c>
      <c r="I11" s="351">
        <v>12036141.199574957</v>
      </c>
      <c r="J11" s="351">
        <v>13490334.812436663</v>
      </c>
      <c r="K11" s="351">
        <v>12676834.764853422</v>
      </c>
      <c r="L11" s="351">
        <v>11550932.107069161</v>
      </c>
      <c r="M11" s="351">
        <v>11029147.841611151</v>
      </c>
      <c r="N11" s="351">
        <v>10526803.814872053</v>
      </c>
      <c r="O11" s="351">
        <v>11284530.081350632</v>
      </c>
      <c r="P11" s="351">
        <f>SUM(P12:P15)</f>
        <v>11458812.393713834</v>
      </c>
      <c r="R11" s="469"/>
      <c r="S11" s="470"/>
      <c r="T11" s="469"/>
      <c r="U11" s="469"/>
      <c r="V11" s="469"/>
      <c r="W11" s="469"/>
      <c r="X11" s="469"/>
      <c r="Y11" s="469"/>
      <c r="Z11" s="469"/>
      <c r="AA11" s="469"/>
      <c r="AB11" s="469"/>
      <c r="AC11" s="469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69">
        <f>0</f>
        <v>0</v>
      </c>
      <c r="S12" s="470">
        <f t="shared" si="4"/>
        <v>0</v>
      </c>
      <c r="T12" s="469">
        <f t="shared" si="13"/>
        <v>0</v>
      </c>
      <c r="U12" s="469">
        <f t="shared" si="5"/>
        <v>0</v>
      </c>
      <c r="V12" s="469">
        <f t="shared" si="6"/>
        <v>0</v>
      </c>
      <c r="W12" s="469">
        <f t="shared" si="7"/>
        <v>0</v>
      </c>
      <c r="X12" s="469">
        <f t="shared" si="8"/>
        <v>0</v>
      </c>
      <c r="Y12" s="469">
        <f>SUM($D12:$J12)/7</f>
        <v>0</v>
      </c>
      <c r="Z12" s="469">
        <f t="shared" si="9"/>
        <v>0</v>
      </c>
      <c r="AA12" s="469">
        <f t="shared" si="10"/>
        <v>0</v>
      </c>
      <c r="AB12" s="469">
        <f t="shared" si="11"/>
        <v>0</v>
      </c>
      <c r="AC12" s="469">
        <f t="shared" si="12"/>
        <v>0</v>
      </c>
    </row>
    <row r="13" spans="1:256" ht="13.5">
      <c r="A13" s="126"/>
      <c r="B13" s="127"/>
      <c r="C13" s="134" t="s">
        <v>19</v>
      </c>
      <c r="D13" s="350">
        <v>1466031.072016</v>
      </c>
      <c r="E13" s="350">
        <v>1395413.6048385</v>
      </c>
      <c r="F13" s="350">
        <v>1571119.2701610001</v>
      </c>
      <c r="G13" s="350">
        <v>2162896.3709674999</v>
      </c>
      <c r="H13" s="350">
        <v>3075747.8467739997</v>
      </c>
      <c r="I13" s="350">
        <v>3420676.2983869999</v>
      </c>
      <c r="J13" s="350">
        <v>3559153.0120967501</v>
      </c>
      <c r="K13" s="350">
        <v>3923210.0658600004</v>
      </c>
      <c r="L13" s="350">
        <v>3279686.1962360004</v>
      </c>
      <c r="M13" s="350">
        <v>2222609.2599455002</v>
      </c>
      <c r="N13" s="350">
        <v>1762534.2666392501</v>
      </c>
      <c r="O13" s="350">
        <v>1589466.0639245</v>
      </c>
      <c r="P13" s="350">
        <f>AVERAGE(D13:O13)</f>
        <v>2452378.610653833</v>
      </c>
      <c r="R13" s="469">
        <f>0</f>
        <v>0</v>
      </c>
      <c r="S13" s="470">
        <f t="shared" si="4"/>
        <v>1466031.072016</v>
      </c>
      <c r="T13" s="469">
        <f t="shared" si="13"/>
        <v>1430722.33842725</v>
      </c>
      <c r="U13" s="469">
        <f t="shared" si="5"/>
        <v>1477521.3156718332</v>
      </c>
      <c r="V13" s="469">
        <f t="shared" si="6"/>
        <v>1648865.0794957499</v>
      </c>
      <c r="W13" s="469">
        <f t="shared" si="7"/>
        <v>1934241.6329513998</v>
      </c>
      <c r="X13" s="469">
        <f t="shared" si="8"/>
        <v>2181980.743857333</v>
      </c>
      <c r="Y13" s="469">
        <f>SUM($D13:$J13)/7</f>
        <v>2378719.6393201067</v>
      </c>
      <c r="Z13" s="469">
        <f t="shared" si="9"/>
        <v>2571780.9426375935</v>
      </c>
      <c r="AA13" s="469">
        <f t="shared" si="10"/>
        <v>2650437.0819263053</v>
      </c>
      <c r="AB13" s="469">
        <f t="shared" si="11"/>
        <v>2607654.299728225</v>
      </c>
      <c r="AC13" s="469">
        <f t="shared" si="12"/>
        <v>2530825.2058110456</v>
      </c>
    </row>
    <row r="14" spans="1:256" ht="13.5">
      <c r="A14" s="126"/>
      <c r="B14" s="127"/>
      <c r="C14" s="233" t="s">
        <v>20</v>
      </c>
      <c r="D14" s="350">
        <v>348515.54386099998</v>
      </c>
      <c r="E14" s="350">
        <v>348587.07118974999</v>
      </c>
      <c r="F14" s="350">
        <v>343787.93882049999</v>
      </c>
      <c r="G14" s="350">
        <v>338987.35483850003</v>
      </c>
      <c r="H14" s="350">
        <v>303775.23924700002</v>
      </c>
      <c r="I14" s="350">
        <v>292951.18817149999</v>
      </c>
      <c r="J14" s="350">
        <v>316103.303763</v>
      </c>
      <c r="K14" s="350">
        <v>310255.36021474999</v>
      </c>
      <c r="L14" s="350">
        <v>281405.46236524999</v>
      </c>
      <c r="M14" s="350">
        <v>265382.84139749996</v>
      </c>
      <c r="N14" s="350">
        <v>260300.40611524999</v>
      </c>
      <c r="O14" s="350">
        <v>297724.07836000004</v>
      </c>
      <c r="P14" s="350">
        <f>AVERAGE(D14:O14)</f>
        <v>308981.31569533335</v>
      </c>
      <c r="R14" s="469">
        <f>0</f>
        <v>0</v>
      </c>
      <c r="S14" s="470">
        <f t="shared" si="4"/>
        <v>348515.54386099998</v>
      </c>
      <c r="T14" s="469">
        <f t="shared" si="13"/>
        <v>348551.30752537498</v>
      </c>
      <c r="U14" s="469">
        <f t="shared" si="5"/>
        <v>346963.51795708336</v>
      </c>
      <c r="V14" s="469">
        <f t="shared" si="6"/>
        <v>344969.47717743751</v>
      </c>
      <c r="W14" s="469">
        <f t="shared" si="7"/>
        <v>336730.62959135004</v>
      </c>
      <c r="X14" s="469">
        <f t="shared" si="8"/>
        <v>329434.05602137506</v>
      </c>
      <c r="Y14" s="469">
        <f>SUM($D14:$J14)/7</f>
        <v>327529.66284160718</v>
      </c>
      <c r="Z14" s="469">
        <f t="shared" si="9"/>
        <v>325370.37501324998</v>
      </c>
      <c r="AA14" s="469">
        <f t="shared" si="10"/>
        <v>320485.38471902779</v>
      </c>
      <c r="AB14" s="469">
        <f t="shared" si="11"/>
        <v>314975.13038687501</v>
      </c>
      <c r="AC14" s="469">
        <f t="shared" si="12"/>
        <v>310004.70090763638</v>
      </c>
    </row>
    <row r="15" spans="1:256" ht="13.5">
      <c r="A15" s="126"/>
      <c r="B15" s="127"/>
      <c r="C15" s="233" t="s">
        <v>21</v>
      </c>
      <c r="D15" s="350">
        <v>9307029.102094749</v>
      </c>
      <c r="E15" s="350">
        <v>9325139.8926577494</v>
      </c>
      <c r="F15" s="350">
        <v>8757490.88826425</v>
      </c>
      <c r="G15" s="350">
        <v>8733981.1338707507</v>
      </c>
      <c r="H15" s="350">
        <v>8842556.1392470002</v>
      </c>
      <c r="I15" s="350">
        <v>8425512.0075262506</v>
      </c>
      <c r="J15" s="350">
        <v>8396825.5521497503</v>
      </c>
      <c r="K15" s="350">
        <v>8678978.5905907508</v>
      </c>
      <c r="L15" s="350">
        <v>8255687.2537630005</v>
      </c>
      <c r="M15" s="350">
        <v>8194120.0881717494</v>
      </c>
      <c r="N15" s="350">
        <v>8625125.8686692491</v>
      </c>
      <c r="O15" s="350">
        <v>8826983.0913707502</v>
      </c>
      <c r="P15" s="350">
        <f>AVERAGE(D15:O15)</f>
        <v>8697452.467364667</v>
      </c>
      <c r="R15" s="469">
        <f>0</f>
        <v>0</v>
      </c>
      <c r="S15" s="470">
        <f t="shared" si="4"/>
        <v>9307029.102094749</v>
      </c>
      <c r="T15" s="469">
        <f t="shared" si="13"/>
        <v>9316084.4973762482</v>
      </c>
      <c r="U15" s="469">
        <f t="shared" si="5"/>
        <v>9129886.6276722495</v>
      </c>
      <c r="V15" s="469">
        <f t="shared" si="6"/>
        <v>9030910.2542218752</v>
      </c>
      <c r="W15" s="469">
        <f t="shared" si="7"/>
        <v>8993239.4312268998</v>
      </c>
      <c r="X15" s="469">
        <f t="shared" si="8"/>
        <v>8898618.1939434577</v>
      </c>
      <c r="Y15" s="469">
        <f>SUM($D15:$J15)/7</f>
        <v>8826933.5308300722</v>
      </c>
      <c r="Z15" s="469">
        <f t="shared" si="9"/>
        <v>8808439.1633001566</v>
      </c>
      <c r="AA15" s="469">
        <f t="shared" si="10"/>
        <v>8747022.2844626959</v>
      </c>
      <c r="AB15" s="469">
        <f t="shared" si="11"/>
        <v>8691732.0648336001</v>
      </c>
      <c r="AC15" s="469">
        <f t="shared" si="12"/>
        <v>8685676.9560913872</v>
      </c>
    </row>
    <row r="16" spans="1:256" ht="13.5">
      <c r="A16" s="126"/>
      <c r="B16" s="701" t="s">
        <v>22</v>
      </c>
      <c r="C16" s="702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283526970.21877646</v>
      </c>
      <c r="R16" s="469"/>
      <c r="S16" s="470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</row>
    <row r="17" spans="1:256" ht="13.5">
      <c r="A17" s="126"/>
      <c r="B17" s="127"/>
      <c r="C17" s="128" t="s">
        <v>23</v>
      </c>
      <c r="D17" s="350">
        <v>259946301.07624826</v>
      </c>
      <c r="E17" s="350">
        <v>256635636.39398783</v>
      </c>
      <c r="F17" s="350">
        <v>259486724.47462422</v>
      </c>
      <c r="G17" s="350">
        <v>253928974.49526501</v>
      </c>
      <c r="H17" s="350">
        <v>243726451.14449635</v>
      </c>
      <c r="I17" s="350">
        <v>242762284.00014922</v>
      </c>
      <c r="J17" s="350">
        <v>253628308.83370933</v>
      </c>
      <c r="K17" s="350">
        <v>256540943.71770126</v>
      </c>
      <c r="L17" s="350">
        <v>258524386.11048305</v>
      </c>
      <c r="M17" s="350">
        <v>262018935.01648533</v>
      </c>
      <c r="N17" s="350">
        <v>266893409.06768295</v>
      </c>
      <c r="O17" s="350">
        <v>271445926.64978403</v>
      </c>
      <c r="P17" s="350">
        <f t="shared" ref="P17:P23" si="14">AVERAGE(D17:O17)</f>
        <v>257128190.08171806</v>
      </c>
      <c r="R17" s="469">
        <f>0</f>
        <v>0</v>
      </c>
      <c r="S17" s="470">
        <f t="shared" si="4"/>
        <v>259946301.07624826</v>
      </c>
      <c r="T17" s="469">
        <f t="shared" si="13"/>
        <v>258290968.73511803</v>
      </c>
      <c r="U17" s="469">
        <f t="shared" si="5"/>
        <v>258689553.98162007</v>
      </c>
      <c r="V17" s="469">
        <f t="shared" si="6"/>
        <v>257499409.11003131</v>
      </c>
      <c r="W17" s="469">
        <f t="shared" si="7"/>
        <v>254744817.51692432</v>
      </c>
      <c r="X17" s="469">
        <f t="shared" si="8"/>
        <v>252747728.59746182</v>
      </c>
      <c r="Y17" s="469">
        <f t="shared" ref="Y17:Y23" si="15">SUM($D17:$J17)/7</f>
        <v>252873525.77406859</v>
      </c>
      <c r="Z17" s="469">
        <f t="shared" si="9"/>
        <v>253331953.01702267</v>
      </c>
      <c r="AA17" s="469">
        <f t="shared" si="10"/>
        <v>253908890.02740717</v>
      </c>
      <c r="AB17" s="469">
        <f t="shared" si="11"/>
        <v>254719894.52631497</v>
      </c>
      <c r="AC17" s="469">
        <f t="shared" si="12"/>
        <v>255826577.66643932</v>
      </c>
    </row>
    <row r="18" spans="1:256" ht="13.5">
      <c r="A18" s="126"/>
      <c r="B18" s="127"/>
      <c r="C18" s="134" t="s">
        <v>24</v>
      </c>
      <c r="D18" s="350">
        <v>1998862.5994722294</v>
      </c>
      <c r="E18" s="350">
        <v>1997807.756641472</v>
      </c>
      <c r="F18" s="350">
        <v>2050247.9230848721</v>
      </c>
      <c r="G18" s="350">
        <v>2079170.2166695765</v>
      </c>
      <c r="H18" s="350">
        <v>2079356.1620721605</v>
      </c>
      <c r="I18" s="350">
        <v>2085465.8856139246</v>
      </c>
      <c r="J18" s="350">
        <v>2208301.1838684627</v>
      </c>
      <c r="K18" s="350">
        <v>2268487.9705136237</v>
      </c>
      <c r="L18" s="350">
        <v>2321588.5901329354</v>
      </c>
      <c r="M18" s="350">
        <v>2224226.003587543</v>
      </c>
      <c r="N18" s="350">
        <v>2225912.3336233259</v>
      </c>
      <c r="O18" s="350">
        <v>2292342.1052040774</v>
      </c>
      <c r="P18" s="350">
        <f t="shared" si="14"/>
        <v>2152647.394207017</v>
      </c>
      <c r="R18" s="469">
        <f>0</f>
        <v>0</v>
      </c>
      <c r="S18" s="470">
        <f t="shared" si="4"/>
        <v>1998862.5994722294</v>
      </c>
      <c r="T18" s="469">
        <f t="shared" si="13"/>
        <v>1998335.1780568506</v>
      </c>
      <c r="U18" s="469">
        <f t="shared" si="5"/>
        <v>2015639.4263995243</v>
      </c>
      <c r="V18" s="469">
        <f t="shared" si="6"/>
        <v>2031522.1239670373</v>
      </c>
      <c r="W18" s="469">
        <f t="shared" si="7"/>
        <v>2041088.9315880619</v>
      </c>
      <c r="X18" s="469">
        <f t="shared" si="8"/>
        <v>2048485.0905923722</v>
      </c>
      <c r="Y18" s="469">
        <f t="shared" si="15"/>
        <v>2071315.961060385</v>
      </c>
      <c r="Z18" s="469">
        <f t="shared" si="9"/>
        <v>2095962.4622420399</v>
      </c>
      <c r="AA18" s="469">
        <f t="shared" si="10"/>
        <v>2121032.0320076952</v>
      </c>
      <c r="AB18" s="469">
        <f t="shared" si="11"/>
        <v>2131351.42916568</v>
      </c>
      <c r="AC18" s="469">
        <f t="shared" si="12"/>
        <v>2139947.8750254661</v>
      </c>
    </row>
    <row r="19" spans="1:256" ht="13.5">
      <c r="A19" s="126"/>
      <c r="B19" s="127"/>
      <c r="C19" s="134" t="s">
        <v>25</v>
      </c>
      <c r="D19" s="350">
        <v>8446933.1565500759</v>
      </c>
      <c r="E19" s="350">
        <v>6837065.7436033059</v>
      </c>
      <c r="F19" s="350">
        <v>5688526.9044024255</v>
      </c>
      <c r="G19" s="350">
        <v>5917104.4063725118</v>
      </c>
      <c r="H19" s="350">
        <v>5673644.6316201864</v>
      </c>
      <c r="I19" s="350">
        <v>5708504.8287524637</v>
      </c>
      <c r="J19" s="350">
        <v>6335000.1519423034</v>
      </c>
      <c r="K19" s="350">
        <v>6695582.8072023187</v>
      </c>
      <c r="L19" s="350">
        <v>6994736.2569613112</v>
      </c>
      <c r="M19" s="350">
        <v>6976444.8506525615</v>
      </c>
      <c r="N19" s="350">
        <v>7084008.1498191189</v>
      </c>
      <c r="O19" s="350">
        <v>7279822.0969657544</v>
      </c>
      <c r="P19" s="350">
        <f t="shared" si="14"/>
        <v>6636447.8320703618</v>
      </c>
      <c r="R19" s="469">
        <f>0</f>
        <v>0</v>
      </c>
      <c r="S19" s="470">
        <f t="shared" si="4"/>
        <v>8446933.1565500759</v>
      </c>
      <c r="T19" s="469">
        <f t="shared" si="13"/>
        <v>7641999.4500766909</v>
      </c>
      <c r="U19" s="469">
        <f t="shared" si="5"/>
        <v>6990841.9348519361</v>
      </c>
      <c r="V19" s="469">
        <f t="shared" si="6"/>
        <v>6722407.5527320802</v>
      </c>
      <c r="W19" s="469">
        <f t="shared" si="7"/>
        <v>6512654.968509702</v>
      </c>
      <c r="X19" s="469">
        <f t="shared" si="8"/>
        <v>6378629.945216828</v>
      </c>
      <c r="Y19" s="469">
        <f t="shared" si="15"/>
        <v>6372397.1176061826</v>
      </c>
      <c r="Z19" s="469">
        <f t="shared" si="9"/>
        <v>6412795.328805699</v>
      </c>
      <c r="AA19" s="469">
        <f t="shared" si="10"/>
        <v>6477455.4319340996</v>
      </c>
      <c r="AB19" s="469">
        <f t="shared" si="11"/>
        <v>6527354.3738059457</v>
      </c>
      <c r="AC19" s="469">
        <f t="shared" si="12"/>
        <v>6577959.2625344163</v>
      </c>
    </row>
    <row r="20" spans="1:256" ht="13.5">
      <c r="A20" s="126"/>
      <c r="B20" s="127"/>
      <c r="C20" s="134" t="s">
        <v>26</v>
      </c>
      <c r="D20" s="350">
        <v>10861763.179336485</v>
      </c>
      <c r="E20" s="350">
        <v>10252167.560006242</v>
      </c>
      <c r="F20" s="350">
        <v>10103022.82975268</v>
      </c>
      <c r="G20" s="350">
        <v>10360255.687040582</v>
      </c>
      <c r="H20" s="350">
        <v>10373819.470369428</v>
      </c>
      <c r="I20" s="350">
        <v>10305630.53808363</v>
      </c>
      <c r="J20" s="350">
        <v>10941146.25539645</v>
      </c>
      <c r="K20" s="350">
        <v>11357944.219239075</v>
      </c>
      <c r="L20" s="350">
        <v>11668662.490385754</v>
      </c>
      <c r="M20" s="350">
        <v>11305971.380565252</v>
      </c>
      <c r="N20" s="350">
        <v>11289405.391843969</v>
      </c>
      <c r="O20" s="350">
        <v>11587203.317055311</v>
      </c>
      <c r="P20" s="350">
        <f t="shared" si="14"/>
        <v>10867249.359922906</v>
      </c>
      <c r="R20" s="469">
        <f>0</f>
        <v>0</v>
      </c>
      <c r="S20" s="470">
        <f t="shared" si="4"/>
        <v>10861763.179336485</v>
      </c>
      <c r="T20" s="469">
        <f t="shared" si="13"/>
        <v>10556965.369671363</v>
      </c>
      <c r="U20" s="469">
        <f t="shared" si="5"/>
        <v>10405651.189698469</v>
      </c>
      <c r="V20" s="469">
        <f t="shared" si="6"/>
        <v>10394302.314033996</v>
      </c>
      <c r="W20" s="469">
        <f t="shared" si="7"/>
        <v>10390205.745301083</v>
      </c>
      <c r="X20" s="469">
        <f t="shared" si="8"/>
        <v>10376109.877431506</v>
      </c>
      <c r="Y20" s="469">
        <f t="shared" si="15"/>
        <v>10456829.359997928</v>
      </c>
      <c r="Z20" s="469">
        <f t="shared" si="9"/>
        <v>10569468.717403071</v>
      </c>
      <c r="AA20" s="469">
        <f t="shared" si="10"/>
        <v>10691601.358845592</v>
      </c>
      <c r="AB20" s="469">
        <f t="shared" si="11"/>
        <v>10753038.361017559</v>
      </c>
      <c r="AC20" s="469">
        <f t="shared" si="12"/>
        <v>10801799.000183595</v>
      </c>
    </row>
    <row r="21" spans="1:256" ht="13.5">
      <c r="A21" s="126"/>
      <c r="B21" s="127"/>
      <c r="C21" s="134" t="s">
        <v>27</v>
      </c>
      <c r="D21" s="350">
        <v>6392521.9945582021</v>
      </c>
      <c r="E21" s="350">
        <v>6043328.770999372</v>
      </c>
      <c r="F21" s="350">
        <v>6119618.1744797276</v>
      </c>
      <c r="G21" s="350">
        <v>6161777.0563623831</v>
      </c>
      <c r="H21" s="350">
        <v>6248420.6389158517</v>
      </c>
      <c r="I21" s="350">
        <v>6273332.067176871</v>
      </c>
      <c r="J21" s="350">
        <v>6666251.5389497802</v>
      </c>
      <c r="K21" s="350">
        <v>6914280.1030716505</v>
      </c>
      <c r="L21" s="350">
        <v>7118428.4814993963</v>
      </c>
      <c r="M21" s="350">
        <v>6864337.3770850748</v>
      </c>
      <c r="N21" s="350">
        <v>6802461.922685273</v>
      </c>
      <c r="O21" s="350">
        <v>6979893.3559197001</v>
      </c>
      <c r="P21" s="350">
        <f t="shared" si="14"/>
        <v>6548720.956808608</v>
      </c>
      <c r="R21" s="469">
        <f>0</f>
        <v>0</v>
      </c>
      <c r="S21" s="470">
        <f t="shared" si="4"/>
        <v>6392521.9945582021</v>
      </c>
      <c r="T21" s="469">
        <f t="shared" si="13"/>
        <v>6217925.3827787871</v>
      </c>
      <c r="U21" s="469">
        <f t="shared" si="5"/>
        <v>6185156.3133457676</v>
      </c>
      <c r="V21" s="469">
        <f t="shared" si="6"/>
        <v>6179311.4990999214</v>
      </c>
      <c r="W21" s="469">
        <f t="shared" si="7"/>
        <v>6193133.3270631079</v>
      </c>
      <c r="X21" s="469">
        <f t="shared" si="8"/>
        <v>6206499.7837487347</v>
      </c>
      <c r="Y21" s="469">
        <f t="shared" si="15"/>
        <v>6272178.6059203129</v>
      </c>
      <c r="Z21" s="469">
        <f t="shared" si="9"/>
        <v>6352441.2930642301</v>
      </c>
      <c r="AA21" s="469">
        <f t="shared" si="10"/>
        <v>6437550.9806681378</v>
      </c>
      <c r="AB21" s="469">
        <f t="shared" si="11"/>
        <v>6480229.6203098316</v>
      </c>
      <c r="AC21" s="469">
        <f t="shared" si="12"/>
        <v>6509523.4659803268</v>
      </c>
    </row>
    <row r="22" spans="1:256" ht="13.5">
      <c r="A22" s="126"/>
      <c r="B22" s="127"/>
      <c r="C22" s="134" t="s">
        <v>28</v>
      </c>
      <c r="D22" s="350">
        <v>200659.50359259197</v>
      </c>
      <c r="E22" s="350">
        <v>159356.10271436843</v>
      </c>
      <c r="F22" s="350">
        <v>179699.87169065716</v>
      </c>
      <c r="G22" s="350">
        <v>184885.58915340176</v>
      </c>
      <c r="H22" s="350">
        <v>183323.22246576444</v>
      </c>
      <c r="I22" s="350">
        <v>183495.82489795121</v>
      </c>
      <c r="J22" s="350">
        <v>196226.38988759718</v>
      </c>
      <c r="K22" s="350">
        <v>204728.76799125149</v>
      </c>
      <c r="L22" s="350">
        <v>210997.3754741723</v>
      </c>
      <c r="M22" s="350">
        <v>205334.08017001461</v>
      </c>
      <c r="N22" s="350">
        <v>205431.41807360586</v>
      </c>
      <c r="O22" s="350">
        <v>210436.98248311947</v>
      </c>
      <c r="P22" s="350">
        <f t="shared" si="14"/>
        <v>193714.59404954137</v>
      </c>
      <c r="R22" s="469">
        <f>0</f>
        <v>0</v>
      </c>
      <c r="S22" s="470">
        <f t="shared" si="4"/>
        <v>200659.50359259197</v>
      </c>
      <c r="T22" s="469">
        <f t="shared" si="13"/>
        <v>180007.8031534802</v>
      </c>
      <c r="U22" s="469">
        <f t="shared" si="5"/>
        <v>179905.15933253919</v>
      </c>
      <c r="V22" s="469">
        <f t="shared" si="6"/>
        <v>181150.26678775484</v>
      </c>
      <c r="W22" s="469">
        <f t="shared" si="7"/>
        <v>181584.85792335676</v>
      </c>
      <c r="X22" s="469">
        <f t="shared" si="8"/>
        <v>181903.3524191225</v>
      </c>
      <c r="Y22" s="469">
        <f t="shared" si="15"/>
        <v>183949.50062890461</v>
      </c>
      <c r="Z22" s="469">
        <f t="shared" si="9"/>
        <v>186546.90904919797</v>
      </c>
      <c r="AA22" s="469">
        <f t="shared" si="10"/>
        <v>189263.62754086178</v>
      </c>
      <c r="AB22" s="469">
        <f t="shared" si="11"/>
        <v>190870.67280377707</v>
      </c>
      <c r="AC22" s="469">
        <f t="shared" si="12"/>
        <v>192194.37691921604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si="14"/>
        <v>0</v>
      </c>
      <c r="R23" s="469">
        <f>0</f>
        <v>0</v>
      </c>
      <c r="S23" s="470">
        <f t="shared" si="4"/>
        <v>0</v>
      </c>
      <c r="T23" s="469">
        <f t="shared" si="13"/>
        <v>0</v>
      </c>
      <c r="U23" s="469">
        <f t="shared" si="5"/>
        <v>0</v>
      </c>
      <c r="V23" s="469">
        <f t="shared" si="6"/>
        <v>0</v>
      </c>
      <c r="W23" s="469">
        <f t="shared" si="7"/>
        <v>0</v>
      </c>
      <c r="X23" s="469">
        <f t="shared" si="8"/>
        <v>0</v>
      </c>
      <c r="Y23" s="469">
        <f t="shared" si="15"/>
        <v>0</v>
      </c>
      <c r="Z23" s="469">
        <f t="shared" si="9"/>
        <v>0</v>
      </c>
      <c r="AA23" s="469">
        <f t="shared" si="10"/>
        <v>0</v>
      </c>
      <c r="AB23" s="469">
        <f t="shared" si="11"/>
        <v>0</v>
      </c>
      <c r="AC23" s="469">
        <f t="shared" si="12"/>
        <v>0</v>
      </c>
    </row>
    <row r="24" spans="1:256" ht="13.5">
      <c r="A24" s="126"/>
      <c r="B24" s="352"/>
      <c r="C24" s="353" t="s">
        <v>30</v>
      </c>
      <c r="D24" s="471">
        <v>0</v>
      </c>
      <c r="E24" s="471">
        <v>0</v>
      </c>
      <c r="F24" s="471">
        <v>0</v>
      </c>
      <c r="G24" s="471">
        <v>0</v>
      </c>
      <c r="H24" s="471">
        <v>0</v>
      </c>
      <c r="I24" s="471">
        <v>0</v>
      </c>
      <c r="J24" s="471">
        <v>0</v>
      </c>
      <c r="K24" s="471">
        <v>0</v>
      </c>
      <c r="L24" s="471">
        <v>0</v>
      </c>
      <c r="M24" s="471">
        <v>0</v>
      </c>
      <c r="N24" s="471">
        <v>0</v>
      </c>
      <c r="O24" s="471">
        <v>0</v>
      </c>
      <c r="P24" s="472">
        <f>SUM(P25:P29)</f>
        <v>0</v>
      </c>
      <c r="Q24" s="356"/>
      <c r="R24" s="469"/>
      <c r="S24" s="470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73">
        <f t="shared" ref="P25:P33" si="16">AVERAGE(D25:O25)</f>
        <v>0</v>
      </c>
      <c r="Q25" s="356"/>
      <c r="R25" s="469">
        <f>0</f>
        <v>0</v>
      </c>
      <c r="S25" s="470">
        <f t="shared" si="4"/>
        <v>0</v>
      </c>
      <c r="T25" s="469">
        <f t="shared" si="13"/>
        <v>0</v>
      </c>
      <c r="U25" s="469">
        <f t="shared" si="5"/>
        <v>0</v>
      </c>
      <c r="V25" s="469">
        <f t="shared" si="6"/>
        <v>0</v>
      </c>
      <c r="W25" s="469">
        <f t="shared" si="7"/>
        <v>0</v>
      </c>
      <c r="X25" s="469">
        <f t="shared" si="8"/>
        <v>0</v>
      </c>
      <c r="Y25" s="469">
        <f t="shared" ref="Y25:Y33" si="17">SUM($D25:$J25)/7</f>
        <v>0</v>
      </c>
      <c r="Z25" s="469">
        <f t="shared" si="9"/>
        <v>0</v>
      </c>
      <c r="AA25" s="469">
        <f t="shared" si="10"/>
        <v>0</v>
      </c>
      <c r="AB25" s="469">
        <f t="shared" si="11"/>
        <v>0</v>
      </c>
      <c r="AC25" s="469">
        <f t="shared" si="12"/>
        <v>0</v>
      </c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73">
        <f t="shared" si="16"/>
        <v>0</v>
      </c>
      <c r="Q26" s="356"/>
      <c r="R26" s="469">
        <f>0</f>
        <v>0</v>
      </c>
      <c r="S26" s="470">
        <f t="shared" si="4"/>
        <v>0</v>
      </c>
      <c r="T26" s="469">
        <f t="shared" si="13"/>
        <v>0</v>
      </c>
      <c r="U26" s="469">
        <f t="shared" si="5"/>
        <v>0</v>
      </c>
      <c r="V26" s="469">
        <f t="shared" si="6"/>
        <v>0</v>
      </c>
      <c r="W26" s="469">
        <f t="shared" si="7"/>
        <v>0</v>
      </c>
      <c r="X26" s="469">
        <f t="shared" si="8"/>
        <v>0</v>
      </c>
      <c r="Y26" s="469">
        <f t="shared" si="17"/>
        <v>0</v>
      </c>
      <c r="Z26" s="469">
        <f t="shared" si="9"/>
        <v>0</v>
      </c>
      <c r="AA26" s="469">
        <f t="shared" si="10"/>
        <v>0</v>
      </c>
      <c r="AB26" s="469">
        <f t="shared" si="11"/>
        <v>0</v>
      </c>
      <c r="AC26" s="469">
        <f t="shared" si="12"/>
        <v>0</v>
      </c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73">
        <f>AVERAGE(D27:O27)</f>
        <v>0</v>
      </c>
      <c r="Q27" s="356"/>
      <c r="R27" s="469">
        <f>0</f>
        <v>0</v>
      </c>
      <c r="S27" s="470">
        <f t="shared" si="4"/>
        <v>0</v>
      </c>
      <c r="T27" s="469">
        <f t="shared" si="13"/>
        <v>0</v>
      </c>
      <c r="U27" s="469">
        <f t="shared" si="5"/>
        <v>0</v>
      </c>
      <c r="V27" s="469">
        <f t="shared" si="6"/>
        <v>0</v>
      </c>
      <c r="W27" s="469">
        <f t="shared" si="7"/>
        <v>0</v>
      </c>
      <c r="X27" s="469">
        <f t="shared" si="8"/>
        <v>0</v>
      </c>
      <c r="Y27" s="469">
        <f t="shared" si="17"/>
        <v>0</v>
      </c>
      <c r="Z27" s="469">
        <f t="shared" si="9"/>
        <v>0</v>
      </c>
      <c r="AA27" s="469">
        <f t="shared" si="10"/>
        <v>0</v>
      </c>
      <c r="AB27" s="469">
        <f t="shared" si="11"/>
        <v>0</v>
      </c>
      <c r="AC27" s="469">
        <f t="shared" si="12"/>
        <v>0</v>
      </c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73">
        <f>AVERAGE(D28:O28)</f>
        <v>0</v>
      </c>
      <c r="Q28" s="356"/>
      <c r="R28" s="469">
        <f>0</f>
        <v>0</v>
      </c>
      <c r="S28" s="470">
        <f t="shared" si="4"/>
        <v>0</v>
      </c>
      <c r="T28" s="469">
        <f t="shared" si="13"/>
        <v>0</v>
      </c>
      <c r="U28" s="469">
        <f t="shared" si="5"/>
        <v>0</v>
      </c>
      <c r="V28" s="469">
        <f t="shared" si="6"/>
        <v>0</v>
      </c>
      <c r="W28" s="469">
        <f t="shared" si="7"/>
        <v>0</v>
      </c>
      <c r="X28" s="469">
        <f t="shared" si="8"/>
        <v>0</v>
      </c>
      <c r="Y28" s="469">
        <f t="shared" si="17"/>
        <v>0</v>
      </c>
      <c r="Z28" s="469">
        <f t="shared" si="9"/>
        <v>0</v>
      </c>
      <c r="AA28" s="469">
        <f t="shared" si="10"/>
        <v>0</v>
      </c>
      <c r="AB28" s="469">
        <f t="shared" si="11"/>
        <v>0</v>
      </c>
      <c r="AC28" s="469">
        <f t="shared" si="12"/>
        <v>0</v>
      </c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  <c r="IG28" s="356"/>
      <c r="IH28" s="356"/>
      <c r="II28" s="356"/>
      <c r="IJ28" s="356"/>
      <c r="IK28" s="356"/>
      <c r="IL28" s="356"/>
      <c r="IM28" s="356"/>
      <c r="IN28" s="356"/>
      <c r="IO28" s="356"/>
      <c r="IP28" s="356"/>
      <c r="IQ28" s="356"/>
      <c r="IR28" s="356"/>
      <c r="IS28" s="356"/>
      <c r="IT28" s="356"/>
      <c r="IU28" s="356"/>
      <c r="IV28" s="356"/>
    </row>
    <row r="29" spans="1:256" ht="14.1" thickBot="1">
      <c r="A29" s="126"/>
      <c r="B29" s="254"/>
      <c r="C29" s="233" t="s">
        <v>35</v>
      </c>
      <c r="D29" s="474">
        <v>0</v>
      </c>
      <c r="E29" s="475">
        <v>0</v>
      </c>
      <c r="F29" s="476">
        <v>0</v>
      </c>
      <c r="G29" s="476">
        <v>0</v>
      </c>
      <c r="H29" s="477">
        <v>0</v>
      </c>
      <c r="I29" s="478">
        <v>0</v>
      </c>
      <c r="J29" s="478">
        <v>0</v>
      </c>
      <c r="K29" s="478">
        <v>0</v>
      </c>
      <c r="L29" s="478">
        <v>0</v>
      </c>
      <c r="M29" s="478">
        <v>0</v>
      </c>
      <c r="N29" s="478">
        <v>0</v>
      </c>
      <c r="O29" s="478">
        <v>0</v>
      </c>
      <c r="P29" s="479">
        <f t="shared" si="16"/>
        <v>0</v>
      </c>
      <c r="Q29" s="356"/>
      <c r="R29" s="469">
        <f>0</f>
        <v>0</v>
      </c>
      <c r="S29" s="470">
        <f t="shared" si="4"/>
        <v>0</v>
      </c>
      <c r="T29" s="469">
        <f t="shared" si="13"/>
        <v>0</v>
      </c>
      <c r="U29" s="469">
        <f t="shared" si="5"/>
        <v>0</v>
      </c>
      <c r="V29" s="469">
        <f t="shared" si="6"/>
        <v>0</v>
      </c>
      <c r="W29" s="469">
        <f t="shared" si="7"/>
        <v>0</v>
      </c>
      <c r="X29" s="469">
        <f t="shared" si="8"/>
        <v>0</v>
      </c>
      <c r="Y29" s="469">
        <f t="shared" si="17"/>
        <v>0</v>
      </c>
      <c r="Z29" s="469">
        <f t="shared" si="9"/>
        <v>0</v>
      </c>
      <c r="AA29" s="469">
        <f t="shared" si="10"/>
        <v>0</v>
      </c>
      <c r="AB29" s="469">
        <f t="shared" si="11"/>
        <v>0</v>
      </c>
      <c r="AC29" s="469">
        <f t="shared" si="12"/>
        <v>0</v>
      </c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  <c r="IV29" s="356"/>
    </row>
    <row r="30" spans="1:256" ht="13.5">
      <c r="A30" s="788" t="s">
        <v>36</v>
      </c>
      <c r="B30" s="789"/>
      <c r="C30" s="375" t="s">
        <v>37</v>
      </c>
      <c r="D30" s="480">
        <v>0</v>
      </c>
      <c r="E30" s="480">
        <v>0</v>
      </c>
      <c r="F30" s="480">
        <v>0</v>
      </c>
      <c r="G30" s="480">
        <v>0</v>
      </c>
      <c r="H30" s="480">
        <v>0</v>
      </c>
      <c r="I30" s="480">
        <v>0</v>
      </c>
      <c r="J30" s="480">
        <v>0</v>
      </c>
      <c r="K30" s="480">
        <v>0</v>
      </c>
      <c r="L30" s="480">
        <v>0</v>
      </c>
      <c r="M30" s="480">
        <v>0</v>
      </c>
      <c r="N30" s="480">
        <v>0</v>
      </c>
      <c r="O30" s="480">
        <v>0</v>
      </c>
      <c r="P30" s="481">
        <f t="shared" si="16"/>
        <v>0</v>
      </c>
      <c r="R30" s="469">
        <f>0</f>
        <v>0</v>
      </c>
      <c r="S30" s="470">
        <f t="shared" si="4"/>
        <v>0</v>
      </c>
      <c r="T30" s="469">
        <f t="shared" si="13"/>
        <v>0</v>
      </c>
      <c r="U30" s="469">
        <f t="shared" si="5"/>
        <v>0</v>
      </c>
      <c r="V30" s="469">
        <f t="shared" si="6"/>
        <v>0</v>
      </c>
      <c r="W30" s="469">
        <f t="shared" si="7"/>
        <v>0</v>
      </c>
      <c r="X30" s="469">
        <f t="shared" si="8"/>
        <v>0</v>
      </c>
      <c r="Y30" s="469">
        <f t="shared" si="17"/>
        <v>0</v>
      </c>
      <c r="Z30" s="469">
        <f t="shared" si="9"/>
        <v>0</v>
      </c>
      <c r="AA30" s="469">
        <f t="shared" si="10"/>
        <v>0</v>
      </c>
      <c r="AB30" s="469">
        <f t="shared" si="11"/>
        <v>0</v>
      </c>
      <c r="AC30" s="469">
        <f t="shared" si="12"/>
        <v>0</v>
      </c>
    </row>
    <row r="31" spans="1:256" ht="13.5">
      <c r="A31" s="693"/>
      <c r="B31" s="694"/>
      <c r="C31" s="139" t="s">
        <v>38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  <c r="O31" s="482">
        <v>0</v>
      </c>
      <c r="P31" s="483">
        <f t="shared" si="16"/>
        <v>0</v>
      </c>
      <c r="R31" s="469">
        <f>0</f>
        <v>0</v>
      </c>
      <c r="S31" s="470">
        <f t="shared" si="4"/>
        <v>0</v>
      </c>
      <c r="T31" s="469">
        <f t="shared" si="13"/>
        <v>0</v>
      </c>
      <c r="U31" s="469">
        <f t="shared" si="5"/>
        <v>0</v>
      </c>
      <c r="V31" s="469">
        <f t="shared" si="6"/>
        <v>0</v>
      </c>
      <c r="W31" s="469">
        <f t="shared" si="7"/>
        <v>0</v>
      </c>
      <c r="X31" s="469">
        <f t="shared" si="8"/>
        <v>0</v>
      </c>
      <c r="Y31" s="469">
        <f t="shared" si="17"/>
        <v>0</v>
      </c>
      <c r="Z31" s="469">
        <f t="shared" si="9"/>
        <v>0</v>
      </c>
      <c r="AA31" s="469">
        <f t="shared" si="10"/>
        <v>0</v>
      </c>
      <c r="AB31" s="469">
        <f t="shared" si="11"/>
        <v>0</v>
      </c>
      <c r="AC31" s="469">
        <f t="shared" si="12"/>
        <v>0</v>
      </c>
    </row>
    <row r="32" spans="1:256" ht="13.5">
      <c r="A32" s="693"/>
      <c r="B32" s="694"/>
      <c r="C32" s="239" t="s">
        <v>39</v>
      </c>
      <c r="D32" s="482">
        <v>0</v>
      </c>
      <c r="E32" s="482">
        <v>0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0</v>
      </c>
      <c r="N32" s="482">
        <v>0</v>
      </c>
      <c r="O32" s="482">
        <v>0</v>
      </c>
      <c r="P32" s="483">
        <f t="shared" si="16"/>
        <v>0</v>
      </c>
      <c r="R32" s="469">
        <f>0</f>
        <v>0</v>
      </c>
      <c r="S32" s="470">
        <f t="shared" si="4"/>
        <v>0</v>
      </c>
      <c r="T32" s="469">
        <f t="shared" si="13"/>
        <v>0</v>
      </c>
      <c r="U32" s="469">
        <f t="shared" si="5"/>
        <v>0</v>
      </c>
      <c r="V32" s="469">
        <f t="shared" si="6"/>
        <v>0</v>
      </c>
      <c r="W32" s="469">
        <f t="shared" si="7"/>
        <v>0</v>
      </c>
      <c r="X32" s="469">
        <f t="shared" si="8"/>
        <v>0</v>
      </c>
      <c r="Y32" s="469">
        <f t="shared" si="17"/>
        <v>0</v>
      </c>
      <c r="Z32" s="469">
        <f t="shared" si="9"/>
        <v>0</v>
      </c>
      <c r="AA32" s="469">
        <f t="shared" si="10"/>
        <v>0</v>
      </c>
      <c r="AB32" s="469">
        <f t="shared" si="11"/>
        <v>0</v>
      </c>
      <c r="AC32" s="469">
        <f t="shared" si="12"/>
        <v>0</v>
      </c>
    </row>
    <row r="33" spans="1:29" ht="14.1" thickBot="1">
      <c r="A33" s="695"/>
      <c r="B33" s="696"/>
      <c r="C33" s="146" t="s">
        <v>40</v>
      </c>
      <c r="D33" s="484">
        <v>0</v>
      </c>
      <c r="E33" s="484">
        <v>0</v>
      </c>
      <c r="F33" s="484">
        <v>0</v>
      </c>
      <c r="G33" s="484">
        <v>0</v>
      </c>
      <c r="H33" s="484">
        <v>0</v>
      </c>
      <c r="I33" s="484">
        <v>0</v>
      </c>
      <c r="J33" s="484">
        <v>0</v>
      </c>
      <c r="K33" s="484">
        <v>0</v>
      </c>
      <c r="L33" s="484">
        <v>0</v>
      </c>
      <c r="M33" s="484">
        <v>0</v>
      </c>
      <c r="N33" s="484">
        <v>0</v>
      </c>
      <c r="O33" s="484">
        <v>0</v>
      </c>
      <c r="P33" s="485">
        <f t="shared" si="16"/>
        <v>0</v>
      </c>
      <c r="R33" s="469">
        <f>0</f>
        <v>0</v>
      </c>
      <c r="S33" s="470">
        <f t="shared" si="4"/>
        <v>0</v>
      </c>
      <c r="T33" s="469">
        <f t="shared" si="13"/>
        <v>0</v>
      </c>
      <c r="U33" s="469">
        <f t="shared" si="5"/>
        <v>0</v>
      </c>
      <c r="V33" s="469">
        <f t="shared" si="6"/>
        <v>0</v>
      </c>
      <c r="W33" s="469">
        <f t="shared" si="7"/>
        <v>0</v>
      </c>
      <c r="X33" s="469">
        <f t="shared" si="8"/>
        <v>0</v>
      </c>
      <c r="Y33" s="469">
        <f t="shared" si="17"/>
        <v>0</v>
      </c>
      <c r="Z33" s="469">
        <f t="shared" si="9"/>
        <v>0</v>
      </c>
      <c r="AA33" s="469">
        <f t="shared" si="10"/>
        <v>0</v>
      </c>
      <c r="AB33" s="469">
        <f>SUM($D33:$M33)/10</f>
        <v>0</v>
      </c>
      <c r="AC33" s="469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E24" sqref="E24"/>
    </sheetView>
  </sheetViews>
  <sheetFormatPr defaultColWidth="9" defaultRowHeight="17.100000000000001"/>
  <cols>
    <col min="1" max="1" width="14.5" style="486" customWidth="1"/>
    <col min="2" max="13" width="16.25" style="486" bestFit="1" customWidth="1"/>
    <col min="14" max="14" width="16.125" style="486" bestFit="1" customWidth="1"/>
    <col min="15" max="16384" width="9" style="486"/>
  </cols>
  <sheetData>
    <row r="1" spans="1:14">
      <c r="A1" s="342" t="s">
        <v>289</v>
      </c>
    </row>
    <row r="2" spans="1:14" ht="17.45" thickBot="1">
      <c r="B2" s="486">
        <v>1</v>
      </c>
      <c r="C2" s="486">
        <v>2</v>
      </c>
      <c r="D2" s="486">
        <v>3</v>
      </c>
      <c r="E2" s="486">
        <v>4</v>
      </c>
      <c r="F2" s="486">
        <v>5</v>
      </c>
      <c r="G2" s="486">
        <v>6</v>
      </c>
      <c r="H2" s="486">
        <v>7</v>
      </c>
      <c r="I2" s="486">
        <v>8</v>
      </c>
      <c r="J2" s="486">
        <v>9</v>
      </c>
      <c r="K2" s="486">
        <v>10</v>
      </c>
      <c r="L2" s="486">
        <v>11</v>
      </c>
      <c r="M2" s="486">
        <v>12</v>
      </c>
    </row>
    <row r="3" spans="1:14">
      <c r="A3" s="487"/>
      <c r="B3" s="488" t="s">
        <v>252</v>
      </c>
      <c r="C3" s="488" t="s">
        <v>253</v>
      </c>
      <c r="D3" s="488" t="s">
        <v>254</v>
      </c>
      <c r="E3" s="488" t="s">
        <v>255</v>
      </c>
      <c r="F3" s="488" t="s">
        <v>256</v>
      </c>
      <c r="G3" s="488" t="s">
        <v>257</v>
      </c>
      <c r="H3" s="488" t="s">
        <v>258</v>
      </c>
      <c r="I3" s="488" t="s">
        <v>259</v>
      </c>
      <c r="J3" s="488" t="s">
        <v>260</v>
      </c>
      <c r="K3" s="488" t="s">
        <v>261</v>
      </c>
      <c r="L3" s="488" t="s">
        <v>262</v>
      </c>
      <c r="M3" s="489" t="s">
        <v>263</v>
      </c>
      <c r="N3" s="490" t="s">
        <v>264</v>
      </c>
    </row>
    <row r="4" spans="1:14">
      <c r="A4" s="491" t="s">
        <v>290</v>
      </c>
      <c r="B4" s="492">
        <v>300495758.86027563</v>
      </c>
      <c r="C4" s="492">
        <v>302825510.44914973</v>
      </c>
      <c r="D4" s="492">
        <v>300729897.64127737</v>
      </c>
      <c r="E4" s="492">
        <v>300722632.26954645</v>
      </c>
      <c r="F4" s="492">
        <v>299861286.73782527</v>
      </c>
      <c r="G4" s="492">
        <v>283499382.17448181</v>
      </c>
      <c r="H4" s="492">
        <v>284551757.8855716</v>
      </c>
      <c r="I4" s="492">
        <v>282657851.39576364</v>
      </c>
      <c r="J4" s="492">
        <v>272546550.5420143</v>
      </c>
      <c r="K4" s="492">
        <v>271569713.39692378</v>
      </c>
      <c r="L4" s="492">
        <v>286691574.37752742</v>
      </c>
      <c r="M4" s="493">
        <v>299656105.43690866</v>
      </c>
      <c r="N4" s="494">
        <f>SUM(B4:M4)/12</f>
        <v>290484001.76393884</v>
      </c>
    </row>
    <row r="5" spans="1:14">
      <c r="A5" s="495" t="s">
        <v>291</v>
      </c>
      <c r="B5" s="492">
        <v>144576136.45589519</v>
      </c>
      <c r="C5" s="492">
        <v>142506177.4917047</v>
      </c>
      <c r="D5" s="492">
        <v>141401650.7698966</v>
      </c>
      <c r="E5" s="492">
        <v>141968118.24565902</v>
      </c>
      <c r="F5" s="492">
        <v>142642220.78163132</v>
      </c>
      <c r="G5" s="492">
        <v>137127942.76218119</v>
      </c>
      <c r="H5" s="492">
        <v>131019196.19887377</v>
      </c>
      <c r="I5" s="492">
        <v>127681347.52927002</v>
      </c>
      <c r="J5" s="492">
        <v>123504570.69437857</v>
      </c>
      <c r="K5" s="492">
        <v>128623210.40107656</v>
      </c>
      <c r="L5" s="492">
        <v>138508139.08435953</v>
      </c>
      <c r="M5" s="493">
        <v>143799486.63342601</v>
      </c>
      <c r="N5" s="494">
        <f>SUM(B5:M5)/12</f>
        <v>136946516.42069605</v>
      </c>
    </row>
    <row r="6" spans="1:14">
      <c r="A6" s="495" t="s">
        <v>292</v>
      </c>
      <c r="B6" s="492">
        <v>120262889.54555224</v>
      </c>
      <c r="C6" s="492">
        <v>123007207.89098281</v>
      </c>
      <c r="D6" s="492">
        <v>121566348.59425555</v>
      </c>
      <c r="E6" s="492">
        <v>122620458.48901448</v>
      </c>
      <c r="F6" s="492">
        <v>123425621.10899495</v>
      </c>
      <c r="G6" s="492">
        <v>113901200.07571405</v>
      </c>
      <c r="H6" s="492">
        <v>120794313.42153034</v>
      </c>
      <c r="I6" s="492">
        <v>120572727.09457186</v>
      </c>
      <c r="J6" s="492">
        <v>114241833.31391549</v>
      </c>
      <c r="K6" s="492">
        <v>108875694.72314903</v>
      </c>
      <c r="L6" s="492">
        <v>114465465.31422947</v>
      </c>
      <c r="M6" s="493">
        <v>121779183.02504578</v>
      </c>
      <c r="N6" s="494">
        <f>SUM(B6:M6)/12</f>
        <v>118792745.21641301</v>
      </c>
    </row>
    <row r="7" spans="1:14" ht="17.45" thickBot="1">
      <c r="A7" s="496" t="s">
        <v>293</v>
      </c>
      <c r="B7" s="497">
        <v>35656732.858828157</v>
      </c>
      <c r="C7" s="497">
        <v>37312125.066462249</v>
      </c>
      <c r="D7" s="497">
        <v>37761898.277125254</v>
      </c>
      <c r="E7" s="497">
        <v>36134055.534872964</v>
      </c>
      <c r="F7" s="497">
        <v>33793444.847199053</v>
      </c>
      <c r="G7" s="497">
        <v>32470239.336586591</v>
      </c>
      <c r="H7" s="497">
        <v>32738248.265167497</v>
      </c>
      <c r="I7" s="497">
        <v>34403776.771921746</v>
      </c>
      <c r="J7" s="497">
        <v>34800146.533720247</v>
      </c>
      <c r="K7" s="497">
        <v>34070808.272698186</v>
      </c>
      <c r="L7" s="497">
        <v>33717969.978938408</v>
      </c>
      <c r="M7" s="498">
        <v>34077435.778436877</v>
      </c>
      <c r="N7" s="499">
        <f>SUM(B7:M7)/12</f>
        <v>34744740.126829766</v>
      </c>
    </row>
    <row r="8" spans="1:14"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53"/>
    </row>
    <row r="9" spans="1:14">
      <c r="E9" s="542"/>
      <c r="F9" s="542"/>
      <c r="G9" s="542"/>
      <c r="H9" s="542"/>
      <c r="I9" s="542"/>
      <c r="J9" s="542"/>
      <c r="K9" s="542"/>
      <c r="L9" s="542"/>
      <c r="M9" s="542"/>
    </row>
    <row r="10" spans="1:14">
      <c r="E10" s="542"/>
      <c r="F10" s="542"/>
      <c r="G10" s="542"/>
      <c r="H10" s="542"/>
      <c r="I10" s="542"/>
      <c r="J10" s="542"/>
      <c r="K10" s="542"/>
      <c r="L10" s="542"/>
      <c r="M10" s="542"/>
    </row>
    <row r="11" spans="1:14"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</row>
    <row r="12" spans="1:14">
      <c r="B12" s="552"/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</row>
    <row r="13" spans="1:14"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</row>
    <row r="14" spans="1:14"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</row>
    <row r="15" spans="1:14"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</row>
    <row r="16" spans="1:14">
      <c r="B16" s="543"/>
      <c r="C16" s="543"/>
      <c r="D16" s="543"/>
      <c r="E16" s="543"/>
      <c r="F16" s="543"/>
      <c r="G16" s="543"/>
      <c r="H16" s="543"/>
      <c r="I16" s="543"/>
      <c r="J16" s="543"/>
      <c r="K16" s="543"/>
      <c r="L16" s="543"/>
      <c r="M16" s="543"/>
      <c r="N16" s="543"/>
    </row>
    <row r="17" spans="2:14">
      <c r="B17" s="543"/>
      <c r="C17" s="543"/>
      <c r="D17" s="543"/>
      <c r="E17" s="543"/>
      <c r="F17" s="543"/>
      <c r="G17" s="543"/>
      <c r="H17" s="543"/>
      <c r="I17" s="543"/>
      <c r="J17" s="543"/>
      <c r="K17" s="543"/>
      <c r="L17" s="543"/>
      <c r="M17" s="543"/>
      <c r="N17" s="543"/>
    </row>
    <row r="18" spans="2:14">
      <c r="B18" s="543"/>
      <c r="C18" s="543"/>
      <c r="D18" s="543"/>
      <c r="E18" s="543"/>
      <c r="F18" s="543"/>
      <c r="G18" s="543"/>
      <c r="H18" s="543"/>
      <c r="I18" s="543"/>
      <c r="J18" s="543"/>
      <c r="K18" s="543"/>
      <c r="L18" s="543"/>
      <c r="M18" s="543"/>
      <c r="N18" s="543"/>
    </row>
    <row r="22" spans="2:14"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3"/>
      <c r="N22" s="543"/>
    </row>
    <row r="23" spans="2:14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</row>
    <row r="24" spans="2:14">
      <c r="B24" s="543"/>
      <c r="C24" s="543"/>
      <c r="D24" s="543"/>
      <c r="E24" s="543"/>
      <c r="F24" s="543"/>
      <c r="G24" s="543"/>
      <c r="H24" s="543"/>
      <c r="I24" s="543"/>
      <c r="J24" s="543"/>
      <c r="K24" s="543"/>
      <c r="L24" s="543"/>
      <c r="M24" s="543"/>
      <c r="N24" s="543"/>
    </row>
    <row r="25" spans="2:14">
      <c r="B25" s="543"/>
      <c r="C25" s="543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54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E7" sqref="E7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503" t="s">
        <v>294</v>
      </c>
      <c r="B1" s="503" t="s">
        <v>295</v>
      </c>
      <c r="C1" s="503" t="s">
        <v>296</v>
      </c>
      <c r="D1" s="503" t="s">
        <v>297</v>
      </c>
      <c r="E1" s="503" t="s">
        <v>298</v>
      </c>
      <c r="F1" s="503" t="s">
        <v>299</v>
      </c>
      <c r="G1" s="503" t="s">
        <v>300</v>
      </c>
      <c r="H1" s="503" t="s">
        <v>301</v>
      </c>
      <c r="I1" s="503" t="s">
        <v>302</v>
      </c>
      <c r="J1" s="503" t="s">
        <v>303</v>
      </c>
      <c r="K1" s="503" t="s">
        <v>304</v>
      </c>
      <c r="L1" s="503" t="s">
        <v>305</v>
      </c>
      <c r="M1" s="503" t="s">
        <v>306</v>
      </c>
      <c r="N1" s="503" t="s">
        <v>307</v>
      </c>
      <c r="O1" s="503" t="s">
        <v>308</v>
      </c>
      <c r="P1" s="503" t="s">
        <v>309</v>
      </c>
      <c r="Q1" s="503" t="s">
        <v>310</v>
      </c>
      <c r="R1" s="503" t="s">
        <v>311</v>
      </c>
      <c r="S1" s="503" t="s">
        <v>312</v>
      </c>
      <c r="T1" s="503" t="s">
        <v>313</v>
      </c>
      <c r="U1" s="503" t="s">
        <v>314</v>
      </c>
      <c r="V1" s="503" t="s">
        <v>315</v>
      </c>
      <c r="W1" s="503" t="s">
        <v>316</v>
      </c>
      <c r="X1" s="503" t="s">
        <v>317</v>
      </c>
      <c r="Y1" s="503" t="s">
        <v>318</v>
      </c>
      <c r="Z1" s="503" t="s">
        <v>319</v>
      </c>
      <c r="AA1" s="503" t="s">
        <v>320</v>
      </c>
      <c r="AB1" s="503" t="s">
        <v>321</v>
      </c>
      <c r="AC1" s="503" t="s">
        <v>322</v>
      </c>
      <c r="AD1" s="503" t="s">
        <v>323</v>
      </c>
      <c r="AE1" s="503" t="s">
        <v>324</v>
      </c>
      <c r="AF1" s="503" t="s">
        <v>325</v>
      </c>
      <c r="AG1" s="503" t="s">
        <v>326</v>
      </c>
      <c r="AH1" t="s">
        <v>327</v>
      </c>
    </row>
    <row r="2" spans="1:34">
      <c r="A2" s="503" t="s">
        <v>328</v>
      </c>
      <c r="B2" s="503" t="s">
        <v>236</v>
      </c>
      <c r="C2" s="526" t="s">
        <v>329</v>
      </c>
      <c r="D2" s="526" t="s">
        <v>330</v>
      </c>
      <c r="E2" s="526" t="s">
        <v>331</v>
      </c>
      <c r="F2" s="526" t="s">
        <v>332</v>
      </c>
      <c r="G2" s="526" t="s">
        <v>333</v>
      </c>
      <c r="H2" s="526" t="s">
        <v>334</v>
      </c>
      <c r="I2" s="526" t="s">
        <v>335</v>
      </c>
      <c r="J2" s="526" t="s">
        <v>336</v>
      </c>
      <c r="K2" s="526" t="s">
        <v>337</v>
      </c>
      <c r="L2" s="526" t="s">
        <v>338</v>
      </c>
      <c r="M2" s="526" t="s">
        <v>339</v>
      </c>
      <c r="N2" s="526" t="s">
        <v>340</v>
      </c>
      <c r="O2" s="526" t="s">
        <v>341</v>
      </c>
      <c r="P2" s="526" t="s">
        <v>342</v>
      </c>
      <c r="Q2" s="526" t="s">
        <v>343</v>
      </c>
      <c r="R2" s="526" t="s">
        <v>344</v>
      </c>
      <c r="S2" s="526" t="s">
        <v>345</v>
      </c>
      <c r="T2" s="526" t="s">
        <v>346</v>
      </c>
      <c r="U2" s="526" t="s">
        <v>347</v>
      </c>
      <c r="V2" s="526" t="s">
        <v>348</v>
      </c>
      <c r="W2" s="526" t="s">
        <v>349</v>
      </c>
      <c r="X2" s="526" t="s">
        <v>350</v>
      </c>
      <c r="Y2" s="526" t="s">
        <v>351</v>
      </c>
      <c r="Z2" s="526" t="s">
        <v>352</v>
      </c>
      <c r="AA2" s="526" t="s">
        <v>353</v>
      </c>
      <c r="AB2" s="526" t="s">
        <v>354</v>
      </c>
      <c r="AC2" s="526" t="s">
        <v>355</v>
      </c>
      <c r="AD2" s="526" t="s">
        <v>356</v>
      </c>
      <c r="AE2" s="526" t="s">
        <v>357</v>
      </c>
      <c r="AF2" s="526" t="s">
        <v>358</v>
      </c>
      <c r="AG2" s="526" t="s">
        <v>359</v>
      </c>
      <c r="AH2" s="502">
        <v>45628.229173113403</v>
      </c>
    </row>
    <row r="3" spans="1:34">
      <c r="A3" s="503" t="s">
        <v>328</v>
      </c>
      <c r="B3" s="503" t="s">
        <v>360</v>
      </c>
      <c r="C3" s="503" t="s">
        <v>109</v>
      </c>
      <c r="D3" s="503" t="s">
        <v>110</v>
      </c>
      <c r="E3" s="503" t="s">
        <v>111</v>
      </c>
      <c r="F3" s="503" t="s">
        <v>112</v>
      </c>
      <c r="G3" s="503" t="s">
        <v>106</v>
      </c>
      <c r="H3" s="503" t="s">
        <v>107</v>
      </c>
      <c r="I3" s="503" t="s">
        <v>108</v>
      </c>
      <c r="J3" s="503" t="s">
        <v>109</v>
      </c>
      <c r="K3" s="503" t="s">
        <v>110</v>
      </c>
      <c r="L3" s="503" t="s">
        <v>111</v>
      </c>
      <c r="M3" s="503" t="s">
        <v>112</v>
      </c>
      <c r="N3" s="503" t="s">
        <v>106</v>
      </c>
      <c r="O3" s="503" t="s">
        <v>107</v>
      </c>
      <c r="P3" s="503" t="s">
        <v>108</v>
      </c>
      <c r="Q3" s="503" t="s">
        <v>109</v>
      </c>
      <c r="R3" s="503" t="s">
        <v>110</v>
      </c>
      <c r="S3" s="503" t="s">
        <v>111</v>
      </c>
      <c r="T3" s="503" t="s">
        <v>112</v>
      </c>
      <c r="U3" s="503" t="s">
        <v>106</v>
      </c>
      <c r="V3" s="503" t="s">
        <v>107</v>
      </c>
      <c r="W3" s="503" t="s">
        <v>108</v>
      </c>
      <c r="X3" s="503" t="s">
        <v>109</v>
      </c>
      <c r="Y3" s="503" t="s">
        <v>110</v>
      </c>
      <c r="Z3" s="503" t="s">
        <v>111</v>
      </c>
      <c r="AA3" s="503" t="s">
        <v>112</v>
      </c>
      <c r="AB3" s="503" t="s">
        <v>106</v>
      </c>
      <c r="AC3" s="503" t="s">
        <v>107</v>
      </c>
      <c r="AD3" s="503" t="s">
        <v>108</v>
      </c>
      <c r="AE3" s="503" t="s">
        <v>109</v>
      </c>
      <c r="AF3" s="503" t="s">
        <v>110</v>
      </c>
      <c r="AG3" s="503" t="s">
        <v>111</v>
      </c>
      <c r="AH3" s="502">
        <v>45628.229173113403</v>
      </c>
    </row>
    <row r="5" spans="1:34">
      <c r="C5" s="551"/>
    </row>
    <row r="6" spans="1:34">
      <c r="C6" s="55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J13" sqref="J13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362</v>
      </c>
      <c r="AI1" s="1" t="s">
        <v>363</v>
      </c>
    </row>
    <row r="2" spans="1:37">
      <c r="A2" s="1" t="s">
        <v>328</v>
      </c>
      <c r="B2" s="1" t="s">
        <v>364</v>
      </c>
      <c r="C2" s="1" t="s">
        <v>365</v>
      </c>
      <c r="D2" s="1" t="s">
        <v>366</v>
      </c>
      <c r="E2" s="1" t="s">
        <v>367</v>
      </c>
      <c r="F2" s="1" t="s">
        <v>368</v>
      </c>
      <c r="G2" s="1" t="s">
        <v>369</v>
      </c>
      <c r="H2" s="1" t="s">
        <v>370</v>
      </c>
      <c r="I2" s="1" t="s">
        <v>371</v>
      </c>
      <c r="J2" s="1" t="s">
        <v>372</v>
      </c>
      <c r="K2" s="1" t="s">
        <v>373</v>
      </c>
      <c r="L2" s="1" t="s">
        <v>374</v>
      </c>
      <c r="M2" s="1" t="s">
        <v>375</v>
      </c>
      <c r="N2" s="1" t="s">
        <v>376</v>
      </c>
      <c r="O2" s="1" t="s">
        <v>377</v>
      </c>
      <c r="P2" s="1" t="s">
        <v>378</v>
      </c>
      <c r="Q2" s="1" t="s">
        <v>379</v>
      </c>
      <c r="R2" s="1" t="s">
        <v>380</v>
      </c>
      <c r="S2" s="1" t="s">
        <v>381</v>
      </c>
      <c r="T2" s="1" t="s">
        <v>382</v>
      </c>
      <c r="U2" s="1" t="s">
        <v>383</v>
      </c>
      <c r="V2" s="1" t="s">
        <v>384</v>
      </c>
      <c r="W2" s="1" t="s">
        <v>385</v>
      </c>
      <c r="X2" s="1" t="s">
        <v>386</v>
      </c>
      <c r="Y2" s="1" t="s">
        <v>387</v>
      </c>
      <c r="Z2" s="1" t="s">
        <v>388</v>
      </c>
      <c r="AA2" s="306" t="s">
        <v>389</v>
      </c>
      <c r="AB2" s="1" t="s">
        <v>390</v>
      </c>
      <c r="AC2" s="1" t="s">
        <v>391</v>
      </c>
      <c r="AD2" s="1" t="s">
        <v>392</v>
      </c>
      <c r="AE2" s="1" t="s">
        <v>393</v>
      </c>
      <c r="AF2" s="1" t="s">
        <v>394</v>
      </c>
      <c r="AG2" s="1" t="s">
        <v>395</v>
      </c>
      <c r="AH2" s="1" t="s">
        <v>396</v>
      </c>
      <c r="AI2" s="1" t="s">
        <v>397</v>
      </c>
      <c r="AJ2">
        <v>214520184</v>
      </c>
      <c r="AK2" s="502">
        <v>43056.229202361101</v>
      </c>
    </row>
    <row r="3" spans="1:37">
      <c r="A3" s="1" t="s">
        <v>328</v>
      </c>
      <c r="B3" s="1" t="s">
        <v>398</v>
      </c>
      <c r="C3" s="1" t="s">
        <v>399</v>
      </c>
      <c r="D3" s="1" t="s">
        <v>400</v>
      </c>
      <c r="E3" s="1" t="s">
        <v>401</v>
      </c>
      <c r="F3" s="1" t="s">
        <v>402</v>
      </c>
      <c r="G3" s="1" t="s">
        <v>402</v>
      </c>
      <c r="H3" s="1" t="s">
        <v>402</v>
      </c>
      <c r="I3" s="1" t="s">
        <v>403</v>
      </c>
      <c r="J3" s="1" t="s">
        <v>404</v>
      </c>
      <c r="K3" s="1" t="s">
        <v>405</v>
      </c>
      <c r="L3" s="1" t="s">
        <v>406</v>
      </c>
      <c r="M3" s="1" t="s">
        <v>407</v>
      </c>
      <c r="N3" s="1" t="s">
        <v>407</v>
      </c>
      <c r="O3" s="1" t="s">
        <v>408</v>
      </c>
      <c r="P3" s="1" t="s">
        <v>409</v>
      </c>
      <c r="Q3" s="1" t="s">
        <v>410</v>
      </c>
      <c r="R3" s="1" t="s">
        <v>411</v>
      </c>
      <c r="S3" s="1" t="s">
        <v>412</v>
      </c>
      <c r="T3" s="1" t="s">
        <v>413</v>
      </c>
      <c r="U3" s="1" t="s">
        <v>413</v>
      </c>
      <c r="V3" s="1" t="s">
        <v>414</v>
      </c>
      <c r="W3" s="1" t="s">
        <v>415</v>
      </c>
      <c r="X3" s="1" t="s">
        <v>416</v>
      </c>
      <c r="Y3" s="1" t="s">
        <v>417</v>
      </c>
      <c r="Z3" s="1" t="s">
        <v>417</v>
      </c>
      <c r="AA3" s="1" t="s">
        <v>417</v>
      </c>
      <c r="AB3" s="1" t="s">
        <v>418</v>
      </c>
      <c r="AC3" s="1" t="s">
        <v>419</v>
      </c>
      <c r="AD3" s="1" t="s">
        <v>420</v>
      </c>
      <c r="AE3" s="1" t="s">
        <v>421</v>
      </c>
      <c r="AF3" s="1" t="s">
        <v>422</v>
      </c>
      <c r="AG3" s="1" t="s">
        <v>423</v>
      </c>
      <c r="AH3" s="1" t="s">
        <v>424</v>
      </c>
      <c r="AI3" s="1" t="s">
        <v>425</v>
      </c>
      <c r="AJ3">
        <v>129394202</v>
      </c>
      <c r="AK3" s="502">
        <v>43056.229202361101</v>
      </c>
    </row>
    <row r="4" spans="1:37">
      <c r="A4" s="1" t="s">
        <v>328</v>
      </c>
      <c r="B4" s="1" t="s">
        <v>426</v>
      </c>
      <c r="C4" s="1" t="s">
        <v>427</v>
      </c>
      <c r="D4" s="1" t="s">
        <v>428</v>
      </c>
      <c r="E4" s="1" t="s">
        <v>429</v>
      </c>
      <c r="F4" s="1" t="s">
        <v>430</v>
      </c>
      <c r="G4" s="1" t="s">
        <v>430</v>
      </c>
      <c r="H4" s="1" t="s">
        <v>430</v>
      </c>
      <c r="I4" s="1" t="s">
        <v>431</v>
      </c>
      <c r="J4" s="1" t="s">
        <v>432</v>
      </c>
      <c r="K4" s="1" t="s">
        <v>433</v>
      </c>
      <c r="L4" s="1" t="s">
        <v>433</v>
      </c>
      <c r="M4" s="1" t="s">
        <v>434</v>
      </c>
      <c r="N4" s="1" t="s">
        <v>434</v>
      </c>
      <c r="O4" s="1" t="s">
        <v>435</v>
      </c>
      <c r="P4" s="1" t="s">
        <v>436</v>
      </c>
      <c r="Q4" s="1" t="s">
        <v>437</v>
      </c>
      <c r="R4" s="1" t="s">
        <v>438</v>
      </c>
      <c r="S4" s="1" t="s">
        <v>439</v>
      </c>
      <c r="T4" s="1" t="s">
        <v>440</v>
      </c>
      <c r="U4" s="1" t="s">
        <v>440</v>
      </c>
      <c r="V4" s="1" t="s">
        <v>441</v>
      </c>
      <c r="W4" s="1" t="s">
        <v>442</v>
      </c>
      <c r="X4" s="1" t="s">
        <v>443</v>
      </c>
      <c r="Y4" s="1" t="s">
        <v>444</v>
      </c>
      <c r="Z4" s="1" t="s">
        <v>444</v>
      </c>
      <c r="AA4" s="1" t="s">
        <v>444</v>
      </c>
      <c r="AB4" s="1" t="s">
        <v>444</v>
      </c>
      <c r="AC4" s="1" t="s">
        <v>445</v>
      </c>
      <c r="AD4" s="1" t="s">
        <v>446</v>
      </c>
      <c r="AE4" s="1" t="s">
        <v>447</v>
      </c>
      <c r="AF4" s="1" t="s">
        <v>448</v>
      </c>
      <c r="AG4" s="1" t="s">
        <v>449</v>
      </c>
      <c r="AH4" s="1" t="s">
        <v>450</v>
      </c>
      <c r="AI4" s="1" t="s">
        <v>451</v>
      </c>
      <c r="AJ4">
        <v>7407477</v>
      </c>
      <c r="AK4" s="502">
        <v>43056.229202361101</v>
      </c>
    </row>
    <row r="5" spans="1:37">
      <c r="A5" s="1" t="s">
        <v>328</v>
      </c>
      <c r="B5" s="1" t="s">
        <v>452</v>
      </c>
      <c r="C5" s="1" t="s">
        <v>453</v>
      </c>
      <c r="D5" s="1" t="s">
        <v>454</v>
      </c>
      <c r="E5" s="1" t="s">
        <v>455</v>
      </c>
      <c r="F5" s="1" t="s">
        <v>456</v>
      </c>
      <c r="G5" s="1" t="s">
        <v>456</v>
      </c>
      <c r="H5" s="1" t="s">
        <v>456</v>
      </c>
      <c r="I5" s="1" t="s">
        <v>457</v>
      </c>
      <c r="J5" s="1" t="s">
        <v>458</v>
      </c>
      <c r="K5" s="1" t="s">
        <v>459</v>
      </c>
      <c r="L5" s="1" t="s">
        <v>459</v>
      </c>
      <c r="M5" s="1" t="s">
        <v>460</v>
      </c>
      <c r="N5" s="1" t="s">
        <v>460</v>
      </c>
      <c r="O5" s="1" t="s">
        <v>461</v>
      </c>
      <c r="P5" s="1" t="s">
        <v>462</v>
      </c>
      <c r="Q5" s="1" t="s">
        <v>463</v>
      </c>
      <c r="R5" s="1" t="s">
        <v>464</v>
      </c>
      <c r="S5" s="1" t="s">
        <v>465</v>
      </c>
      <c r="T5" s="1" t="s">
        <v>466</v>
      </c>
      <c r="U5" s="1" t="s">
        <v>466</v>
      </c>
      <c r="V5" s="1" t="s">
        <v>467</v>
      </c>
      <c r="W5" s="1" t="s">
        <v>468</v>
      </c>
      <c r="X5" s="1" t="s">
        <v>469</v>
      </c>
      <c r="Y5" s="1" t="s">
        <v>470</v>
      </c>
      <c r="Z5" s="1" t="s">
        <v>471</v>
      </c>
      <c r="AA5" s="1" t="s">
        <v>471</v>
      </c>
      <c r="AB5" s="1" t="s">
        <v>472</v>
      </c>
      <c r="AC5" s="1" t="s">
        <v>473</v>
      </c>
      <c r="AD5" s="1" t="s">
        <v>474</v>
      </c>
      <c r="AE5" s="1" t="s">
        <v>475</v>
      </c>
      <c r="AF5" s="1" t="s">
        <v>476</v>
      </c>
      <c r="AG5" s="1" t="s">
        <v>477</v>
      </c>
      <c r="AH5" s="1" t="s">
        <v>478</v>
      </c>
      <c r="AI5" s="1" t="s">
        <v>479</v>
      </c>
      <c r="AJ5">
        <v>19279658</v>
      </c>
      <c r="AK5" s="502">
        <v>43056.229202361101</v>
      </c>
    </row>
    <row r="6" spans="1:37">
      <c r="A6" s="1" t="s">
        <v>328</v>
      </c>
      <c r="B6" s="1" t="s">
        <v>480</v>
      </c>
      <c r="C6" s="1" t="s">
        <v>481</v>
      </c>
      <c r="D6" s="1" t="s">
        <v>482</v>
      </c>
      <c r="E6" s="1" t="s">
        <v>483</v>
      </c>
      <c r="F6" s="1" t="s">
        <v>484</v>
      </c>
      <c r="G6" s="1" t="s">
        <v>484</v>
      </c>
      <c r="H6" s="1" t="s">
        <v>485</v>
      </c>
      <c r="I6" s="1" t="s">
        <v>486</v>
      </c>
      <c r="J6" s="1" t="s">
        <v>487</v>
      </c>
      <c r="K6" s="1" t="s">
        <v>488</v>
      </c>
      <c r="L6" s="1" t="s">
        <v>488</v>
      </c>
      <c r="M6" s="1" t="s">
        <v>489</v>
      </c>
      <c r="N6" s="1" t="s">
        <v>489</v>
      </c>
      <c r="O6" s="1" t="s">
        <v>490</v>
      </c>
      <c r="P6" s="1" t="s">
        <v>491</v>
      </c>
      <c r="Q6" s="1" t="s">
        <v>492</v>
      </c>
      <c r="R6" s="1" t="s">
        <v>493</v>
      </c>
      <c r="S6" s="1" t="s">
        <v>494</v>
      </c>
      <c r="T6" s="1" t="s">
        <v>495</v>
      </c>
      <c r="U6" s="1" t="s">
        <v>495</v>
      </c>
      <c r="V6" s="1" t="s">
        <v>496</v>
      </c>
      <c r="W6" s="1" t="s">
        <v>497</v>
      </c>
      <c r="X6" s="1" t="s">
        <v>498</v>
      </c>
      <c r="Y6" s="1" t="s">
        <v>499</v>
      </c>
      <c r="Z6" s="1" t="s">
        <v>500</v>
      </c>
      <c r="AA6" s="1" t="s">
        <v>501</v>
      </c>
      <c r="AB6" s="1" t="s">
        <v>502</v>
      </c>
      <c r="AC6" s="1" t="s">
        <v>503</v>
      </c>
      <c r="AD6" s="1" t="s">
        <v>504</v>
      </c>
      <c r="AE6" s="1" t="s">
        <v>505</v>
      </c>
      <c r="AF6" s="1" t="s">
        <v>506</v>
      </c>
      <c r="AG6" s="1" t="s">
        <v>507</v>
      </c>
      <c r="AH6" s="1" t="s">
        <v>508</v>
      </c>
      <c r="AI6" s="1" t="s">
        <v>509</v>
      </c>
      <c r="AJ6">
        <v>19767518</v>
      </c>
      <c r="AK6" s="502">
        <v>43056.229202361101</v>
      </c>
    </row>
    <row r="7" spans="1:37">
      <c r="A7" s="1" t="s">
        <v>328</v>
      </c>
      <c r="B7" s="1" t="s">
        <v>510</v>
      </c>
      <c r="C7" s="1" t="s">
        <v>511</v>
      </c>
      <c r="D7" s="1" t="s">
        <v>511</v>
      </c>
      <c r="E7" s="1" t="s">
        <v>511</v>
      </c>
      <c r="F7" s="1" t="s">
        <v>511</v>
      </c>
      <c r="G7" s="1" t="s">
        <v>511</v>
      </c>
      <c r="H7" s="1" t="s">
        <v>511</v>
      </c>
      <c r="I7" s="1" t="s">
        <v>511</v>
      </c>
      <c r="J7" s="1" t="s">
        <v>511</v>
      </c>
      <c r="K7" s="1" t="s">
        <v>511</v>
      </c>
      <c r="L7" s="1" t="s">
        <v>511</v>
      </c>
      <c r="M7" s="1" t="s">
        <v>511</v>
      </c>
      <c r="N7" s="1" t="s">
        <v>511</v>
      </c>
      <c r="O7" s="1" t="s">
        <v>511</v>
      </c>
      <c r="P7" s="1" t="s">
        <v>511</v>
      </c>
      <c r="Q7" s="1" t="s">
        <v>511</v>
      </c>
      <c r="R7" s="1" t="s">
        <v>511</v>
      </c>
      <c r="S7" s="1" t="s">
        <v>511</v>
      </c>
      <c r="T7" s="1" t="s">
        <v>511</v>
      </c>
      <c r="U7" s="1" t="s">
        <v>511</v>
      </c>
      <c r="V7" s="1" t="s">
        <v>511</v>
      </c>
      <c r="W7" s="1" t="s">
        <v>511</v>
      </c>
      <c r="X7" s="1" t="s">
        <v>511</v>
      </c>
      <c r="Y7" s="1" t="s">
        <v>511</v>
      </c>
      <c r="Z7" s="1" t="s">
        <v>511</v>
      </c>
      <c r="AA7" s="1" t="s">
        <v>511</v>
      </c>
      <c r="AB7" s="1" t="s">
        <v>511</v>
      </c>
      <c r="AC7" s="1" t="s">
        <v>511</v>
      </c>
      <c r="AD7" s="1" t="s">
        <v>511</v>
      </c>
      <c r="AE7" s="1" t="s">
        <v>511</v>
      </c>
      <c r="AF7" s="1" t="s">
        <v>511</v>
      </c>
      <c r="AG7" s="1" t="s">
        <v>511</v>
      </c>
      <c r="AH7" s="1" t="s">
        <v>511</v>
      </c>
      <c r="AI7" s="1" t="s">
        <v>511</v>
      </c>
      <c r="AJ7">
        <v>0</v>
      </c>
      <c r="AK7" s="502">
        <v>43056.229202361101</v>
      </c>
    </row>
    <row r="8" spans="1:37">
      <c r="A8" s="1" t="s">
        <v>328</v>
      </c>
      <c r="B8" s="1" t="s">
        <v>512</v>
      </c>
      <c r="C8" s="1" t="s">
        <v>513</v>
      </c>
      <c r="D8" s="1" t="s">
        <v>514</v>
      </c>
      <c r="E8" s="1" t="s">
        <v>515</v>
      </c>
      <c r="F8" s="1" t="s">
        <v>516</v>
      </c>
      <c r="G8" s="1" t="s">
        <v>517</v>
      </c>
      <c r="H8" s="1" t="s">
        <v>518</v>
      </c>
      <c r="I8" s="1" t="s">
        <v>519</v>
      </c>
      <c r="J8" s="1" t="s">
        <v>520</v>
      </c>
      <c r="K8" s="1" t="s">
        <v>521</v>
      </c>
      <c r="L8" s="1" t="s">
        <v>521</v>
      </c>
      <c r="M8" s="1" t="s">
        <v>522</v>
      </c>
      <c r="N8" s="1" t="s">
        <v>522</v>
      </c>
      <c r="O8" s="1" t="s">
        <v>523</v>
      </c>
      <c r="P8" s="1" t="s">
        <v>524</v>
      </c>
      <c r="Q8" s="1" t="s">
        <v>525</v>
      </c>
      <c r="R8" s="1" t="s">
        <v>526</v>
      </c>
      <c r="S8" s="1" t="s">
        <v>527</v>
      </c>
      <c r="T8" s="1" t="s">
        <v>528</v>
      </c>
      <c r="U8" s="1" t="s">
        <v>528</v>
      </c>
      <c r="V8" s="1" t="s">
        <v>529</v>
      </c>
      <c r="W8" s="1" t="s">
        <v>530</v>
      </c>
      <c r="X8" s="1" t="s">
        <v>531</v>
      </c>
      <c r="Y8" s="1" t="s">
        <v>532</v>
      </c>
      <c r="Z8" s="1" t="s">
        <v>532</v>
      </c>
      <c r="AA8" s="1" t="s">
        <v>532</v>
      </c>
      <c r="AB8" s="1" t="s">
        <v>533</v>
      </c>
      <c r="AC8" s="1" t="s">
        <v>534</v>
      </c>
      <c r="AD8" s="1" t="s">
        <v>535</v>
      </c>
      <c r="AE8" s="1" t="s">
        <v>536</v>
      </c>
      <c r="AF8" s="1" t="s">
        <v>537</v>
      </c>
      <c r="AG8" s="1" t="s">
        <v>538</v>
      </c>
      <c r="AH8" s="1" t="s">
        <v>539</v>
      </c>
      <c r="AI8" s="1" t="s">
        <v>540</v>
      </c>
      <c r="AJ8">
        <v>7768697</v>
      </c>
      <c r="AK8" s="502">
        <v>43056.229202361101</v>
      </c>
    </row>
    <row r="9" spans="1:37">
      <c r="A9" s="1" t="s">
        <v>328</v>
      </c>
      <c r="B9" s="1" t="s">
        <v>541</v>
      </c>
      <c r="C9" s="1" t="s">
        <v>511</v>
      </c>
      <c r="D9" s="1" t="s">
        <v>511</v>
      </c>
      <c r="E9" s="1" t="s">
        <v>511</v>
      </c>
      <c r="F9" s="1" t="s">
        <v>511</v>
      </c>
      <c r="G9" s="1" t="s">
        <v>511</v>
      </c>
      <c r="H9" s="1" t="s">
        <v>511</v>
      </c>
      <c r="I9" s="1" t="s">
        <v>511</v>
      </c>
      <c r="J9" s="1" t="s">
        <v>511</v>
      </c>
      <c r="K9" s="1" t="s">
        <v>511</v>
      </c>
      <c r="L9" s="1" t="s">
        <v>511</v>
      </c>
      <c r="M9" s="1" t="s">
        <v>511</v>
      </c>
      <c r="N9" s="1" t="s">
        <v>511</v>
      </c>
      <c r="O9" s="1" t="s">
        <v>511</v>
      </c>
      <c r="P9" s="1" t="s">
        <v>511</v>
      </c>
      <c r="Q9" s="1" t="s">
        <v>511</v>
      </c>
      <c r="R9" s="1" t="s">
        <v>511</v>
      </c>
      <c r="S9" s="1" t="s">
        <v>511</v>
      </c>
      <c r="T9" s="1" t="s">
        <v>511</v>
      </c>
      <c r="U9" s="1" t="s">
        <v>511</v>
      </c>
      <c r="V9" s="1" t="s">
        <v>511</v>
      </c>
      <c r="W9" s="1" t="s">
        <v>511</v>
      </c>
      <c r="X9" s="1" t="s">
        <v>511</v>
      </c>
      <c r="Y9" s="1" t="s">
        <v>511</v>
      </c>
      <c r="Z9" s="1" t="s">
        <v>511</v>
      </c>
      <c r="AA9" s="1" t="s">
        <v>511</v>
      </c>
      <c r="AB9" s="1" t="s">
        <v>511</v>
      </c>
      <c r="AC9" s="1" t="s">
        <v>511</v>
      </c>
      <c r="AD9" s="1" t="s">
        <v>511</v>
      </c>
      <c r="AE9" s="1" t="s">
        <v>511</v>
      </c>
      <c r="AF9" s="1" t="s">
        <v>511</v>
      </c>
      <c r="AG9" s="1" t="s">
        <v>511</v>
      </c>
      <c r="AH9" s="1" t="s">
        <v>511</v>
      </c>
      <c r="AI9" s="1" t="s">
        <v>511</v>
      </c>
      <c r="AJ9">
        <v>0</v>
      </c>
      <c r="AK9" s="502">
        <v>43056.229202361101</v>
      </c>
    </row>
    <row r="10" spans="1:37">
      <c r="A10" s="1" t="s">
        <v>328</v>
      </c>
      <c r="B10" s="1" t="s">
        <v>542</v>
      </c>
      <c r="C10" s="1" t="s">
        <v>543</v>
      </c>
      <c r="D10" s="1" t="s">
        <v>544</v>
      </c>
      <c r="E10" s="1" t="s">
        <v>545</v>
      </c>
      <c r="F10" s="1" t="s">
        <v>546</v>
      </c>
      <c r="G10" s="1" t="s">
        <v>546</v>
      </c>
      <c r="H10" s="1" t="s">
        <v>546</v>
      </c>
      <c r="I10" s="1" t="s">
        <v>547</v>
      </c>
      <c r="J10" s="1" t="s">
        <v>548</v>
      </c>
      <c r="K10" s="1" t="s">
        <v>549</v>
      </c>
      <c r="L10" s="1" t="s">
        <v>549</v>
      </c>
      <c r="M10" s="1" t="s">
        <v>550</v>
      </c>
      <c r="N10" s="1" t="s">
        <v>550</v>
      </c>
      <c r="O10" s="1" t="s">
        <v>551</v>
      </c>
      <c r="P10" s="1" t="s">
        <v>552</v>
      </c>
      <c r="Q10" s="1" t="s">
        <v>553</v>
      </c>
      <c r="R10" s="1" t="s">
        <v>554</v>
      </c>
      <c r="S10" s="1" t="s">
        <v>555</v>
      </c>
      <c r="T10" s="1" t="s">
        <v>556</v>
      </c>
      <c r="U10" s="1" t="s">
        <v>556</v>
      </c>
      <c r="V10" s="1" t="s">
        <v>557</v>
      </c>
      <c r="W10" s="1" t="s">
        <v>558</v>
      </c>
      <c r="X10" s="1" t="s">
        <v>559</v>
      </c>
      <c r="Y10" s="1" t="s">
        <v>560</v>
      </c>
      <c r="Z10" s="1" t="s">
        <v>560</v>
      </c>
      <c r="AA10" s="1" t="s">
        <v>560</v>
      </c>
      <c r="AB10" s="1" t="s">
        <v>561</v>
      </c>
      <c r="AC10" s="1" t="s">
        <v>562</v>
      </c>
      <c r="AD10" s="1" t="s">
        <v>563</v>
      </c>
      <c r="AE10" s="1" t="s">
        <v>564</v>
      </c>
      <c r="AF10" s="1" t="s">
        <v>565</v>
      </c>
      <c r="AG10" s="1" t="s">
        <v>566</v>
      </c>
      <c r="AH10" s="1" t="s">
        <v>567</v>
      </c>
      <c r="AI10" s="1" t="s">
        <v>568</v>
      </c>
      <c r="AJ10">
        <v>2782946</v>
      </c>
      <c r="AK10" s="502">
        <v>43056.229202361101</v>
      </c>
    </row>
    <row r="11" spans="1:37">
      <c r="A11" s="1" t="s">
        <v>328</v>
      </c>
      <c r="B11" s="1" t="s">
        <v>569</v>
      </c>
      <c r="C11" s="1" t="s">
        <v>570</v>
      </c>
      <c r="D11" s="1" t="s">
        <v>570</v>
      </c>
      <c r="E11" s="1" t="s">
        <v>570</v>
      </c>
      <c r="F11" s="1" t="s">
        <v>570</v>
      </c>
      <c r="G11" s="1" t="s">
        <v>570</v>
      </c>
      <c r="H11" s="1" t="s">
        <v>570</v>
      </c>
      <c r="I11" s="1" t="s">
        <v>570</v>
      </c>
      <c r="J11" s="1" t="s">
        <v>570</v>
      </c>
      <c r="K11" s="1" t="s">
        <v>570</v>
      </c>
      <c r="L11" s="1" t="s">
        <v>570</v>
      </c>
      <c r="M11" s="1" t="s">
        <v>570</v>
      </c>
      <c r="N11" s="1" t="s">
        <v>570</v>
      </c>
      <c r="O11" s="1" t="s">
        <v>570</v>
      </c>
      <c r="P11" s="1" t="s">
        <v>570</v>
      </c>
      <c r="Q11" s="1" t="s">
        <v>570</v>
      </c>
      <c r="R11" s="1" t="s">
        <v>570</v>
      </c>
      <c r="S11" s="1" t="s">
        <v>570</v>
      </c>
      <c r="T11" s="1" t="s">
        <v>570</v>
      </c>
      <c r="U11" s="1" t="s">
        <v>570</v>
      </c>
      <c r="V11" s="1" t="s">
        <v>570</v>
      </c>
      <c r="W11" s="1" t="s">
        <v>570</v>
      </c>
      <c r="X11" s="1" t="s">
        <v>570</v>
      </c>
      <c r="Y11" s="1" t="s">
        <v>570</v>
      </c>
      <c r="Z11" s="1" t="s">
        <v>570</v>
      </c>
      <c r="AA11" s="1" t="s">
        <v>570</v>
      </c>
      <c r="AB11" s="1" t="s">
        <v>570</v>
      </c>
      <c r="AC11" s="1" t="s">
        <v>570</v>
      </c>
      <c r="AD11" s="1" t="s">
        <v>570</v>
      </c>
      <c r="AE11" s="1" t="s">
        <v>570</v>
      </c>
      <c r="AF11" s="1" t="s">
        <v>570</v>
      </c>
      <c r="AG11" s="1" t="s">
        <v>570</v>
      </c>
      <c r="AH11" s="1" t="s">
        <v>511</v>
      </c>
      <c r="AI11" s="1" t="s">
        <v>570</v>
      </c>
      <c r="AJ11">
        <v>118299</v>
      </c>
      <c r="AK11" s="502">
        <v>43056.229202361101</v>
      </c>
    </row>
    <row r="12" spans="1:37">
      <c r="A12" s="1" t="s">
        <v>328</v>
      </c>
      <c r="B12" s="1" t="s">
        <v>571</v>
      </c>
      <c r="C12" s="1" t="s">
        <v>511</v>
      </c>
      <c r="D12" s="1" t="s">
        <v>511</v>
      </c>
      <c r="E12" s="1" t="s">
        <v>511</v>
      </c>
      <c r="F12" s="1" t="s">
        <v>511</v>
      </c>
      <c r="G12" s="1" t="s">
        <v>511</v>
      </c>
      <c r="H12" s="1" t="s">
        <v>511</v>
      </c>
      <c r="I12" s="1" t="s">
        <v>511</v>
      </c>
      <c r="J12" s="1" t="s">
        <v>511</v>
      </c>
      <c r="K12" s="1" t="s">
        <v>511</v>
      </c>
      <c r="L12" s="1" t="s">
        <v>511</v>
      </c>
      <c r="M12" s="1" t="s">
        <v>511</v>
      </c>
      <c r="N12" s="1" t="s">
        <v>511</v>
      </c>
      <c r="O12" s="1" t="s">
        <v>511</v>
      </c>
      <c r="P12" s="1" t="s">
        <v>511</v>
      </c>
      <c r="Q12" s="1" t="s">
        <v>511</v>
      </c>
      <c r="R12" s="1" t="s">
        <v>511</v>
      </c>
      <c r="S12" s="1" t="s">
        <v>511</v>
      </c>
      <c r="T12" s="1" t="s">
        <v>511</v>
      </c>
      <c r="U12" s="1" t="s">
        <v>511</v>
      </c>
      <c r="V12" s="1" t="s">
        <v>511</v>
      </c>
      <c r="W12" s="1" t="s">
        <v>511</v>
      </c>
      <c r="X12" s="1" t="s">
        <v>511</v>
      </c>
      <c r="Y12" s="1" t="s">
        <v>511</v>
      </c>
      <c r="Z12" s="1" t="s">
        <v>511</v>
      </c>
      <c r="AA12" s="1" t="s">
        <v>511</v>
      </c>
      <c r="AB12" s="1" t="s">
        <v>511</v>
      </c>
      <c r="AC12" s="1" t="s">
        <v>511</v>
      </c>
      <c r="AD12" s="1" t="s">
        <v>511</v>
      </c>
      <c r="AE12" s="1" t="s">
        <v>511</v>
      </c>
      <c r="AF12" s="1" t="s">
        <v>511</v>
      </c>
      <c r="AG12" s="1" t="s">
        <v>511</v>
      </c>
      <c r="AH12" s="1" t="s">
        <v>511</v>
      </c>
      <c r="AI12" s="1" t="s">
        <v>511</v>
      </c>
      <c r="AJ12">
        <v>0</v>
      </c>
      <c r="AK12" s="502">
        <v>43056.229202361101</v>
      </c>
    </row>
    <row r="13" spans="1:37">
      <c r="A13" s="1" t="s">
        <v>328</v>
      </c>
      <c r="B13" s="1" t="s">
        <v>572</v>
      </c>
      <c r="C13" s="1" t="s">
        <v>573</v>
      </c>
      <c r="D13" s="1" t="s">
        <v>574</v>
      </c>
      <c r="E13" s="1" t="s">
        <v>575</v>
      </c>
      <c r="F13" s="1" t="s">
        <v>576</v>
      </c>
      <c r="G13" s="1" t="s">
        <v>576</v>
      </c>
      <c r="H13" s="1" t="s">
        <v>576</v>
      </c>
      <c r="I13" s="1" t="s">
        <v>577</v>
      </c>
      <c r="J13" s="1" t="s">
        <v>578</v>
      </c>
      <c r="K13" s="1" t="s">
        <v>579</v>
      </c>
      <c r="L13" s="1" t="s">
        <v>579</v>
      </c>
      <c r="M13" s="1" t="s">
        <v>580</v>
      </c>
      <c r="N13" s="1" t="s">
        <v>580</v>
      </c>
      <c r="O13" s="1" t="s">
        <v>581</v>
      </c>
      <c r="P13" s="1" t="s">
        <v>582</v>
      </c>
      <c r="Q13" s="1" t="s">
        <v>583</v>
      </c>
      <c r="R13" s="1" t="s">
        <v>584</v>
      </c>
      <c r="S13" s="1" t="s">
        <v>585</v>
      </c>
      <c r="T13" s="1" t="s">
        <v>586</v>
      </c>
      <c r="U13" s="1" t="s">
        <v>586</v>
      </c>
      <c r="V13" s="1" t="s">
        <v>587</v>
      </c>
      <c r="W13" s="1" t="s">
        <v>588</v>
      </c>
      <c r="X13" s="1" t="s">
        <v>589</v>
      </c>
      <c r="Y13" s="1" t="s">
        <v>590</v>
      </c>
      <c r="Z13" s="1" t="s">
        <v>590</v>
      </c>
      <c r="AA13" s="1" t="s">
        <v>590</v>
      </c>
      <c r="AB13" s="1" t="s">
        <v>591</v>
      </c>
      <c r="AC13" s="1" t="s">
        <v>592</v>
      </c>
      <c r="AD13" s="1" t="s">
        <v>593</v>
      </c>
      <c r="AE13" s="1" t="s">
        <v>594</v>
      </c>
      <c r="AF13" s="1" t="s">
        <v>595</v>
      </c>
      <c r="AG13" s="1" t="s">
        <v>596</v>
      </c>
      <c r="AH13" s="1" t="s">
        <v>597</v>
      </c>
      <c r="AI13" s="1" t="s">
        <v>598</v>
      </c>
      <c r="AJ13">
        <v>1823954</v>
      </c>
      <c r="AK13" s="502">
        <v>43056.229202361101</v>
      </c>
    </row>
    <row r="14" spans="1:37">
      <c r="A14" s="1" t="s">
        <v>328</v>
      </c>
      <c r="B14" s="1" t="s">
        <v>599</v>
      </c>
      <c r="C14" s="1" t="s">
        <v>600</v>
      </c>
      <c r="D14" s="1" t="s">
        <v>601</v>
      </c>
      <c r="E14" s="1" t="s">
        <v>602</v>
      </c>
      <c r="F14" s="1" t="s">
        <v>603</v>
      </c>
      <c r="G14" s="1" t="s">
        <v>603</v>
      </c>
      <c r="H14" s="1" t="s">
        <v>603</v>
      </c>
      <c r="I14" s="1" t="s">
        <v>604</v>
      </c>
      <c r="J14" s="1" t="s">
        <v>605</v>
      </c>
      <c r="K14" s="1" t="s">
        <v>606</v>
      </c>
      <c r="L14" s="1" t="s">
        <v>606</v>
      </c>
      <c r="M14" s="1" t="s">
        <v>607</v>
      </c>
      <c r="N14" s="1" t="s">
        <v>607</v>
      </c>
      <c r="O14" s="1" t="s">
        <v>608</v>
      </c>
      <c r="P14" s="1" t="s">
        <v>609</v>
      </c>
      <c r="Q14" s="1" t="s">
        <v>610</v>
      </c>
      <c r="R14" s="1" t="s">
        <v>611</v>
      </c>
      <c r="S14" s="1" t="s">
        <v>612</v>
      </c>
      <c r="T14" s="1" t="s">
        <v>612</v>
      </c>
      <c r="U14" s="1" t="s">
        <v>612</v>
      </c>
      <c r="V14" s="1" t="s">
        <v>612</v>
      </c>
      <c r="W14" s="1" t="s">
        <v>613</v>
      </c>
      <c r="X14" s="1" t="s">
        <v>614</v>
      </c>
      <c r="Y14" s="1" t="s">
        <v>615</v>
      </c>
      <c r="Z14" s="1" t="s">
        <v>615</v>
      </c>
      <c r="AA14" s="1" t="s">
        <v>615</v>
      </c>
      <c r="AB14" s="1" t="s">
        <v>615</v>
      </c>
      <c r="AC14" s="1" t="s">
        <v>616</v>
      </c>
      <c r="AD14" s="1" t="s">
        <v>617</v>
      </c>
      <c r="AE14" s="1" t="s">
        <v>617</v>
      </c>
      <c r="AF14" s="1" t="s">
        <v>618</v>
      </c>
      <c r="AG14" s="1" t="s">
        <v>618</v>
      </c>
      <c r="AH14" s="1" t="s">
        <v>511</v>
      </c>
      <c r="AI14" s="1" t="s">
        <v>619</v>
      </c>
      <c r="AJ14">
        <v>542080</v>
      </c>
      <c r="AK14" s="502">
        <v>43056.229202361101</v>
      </c>
    </row>
    <row r="15" spans="1:37">
      <c r="A15" s="1" t="s">
        <v>328</v>
      </c>
      <c r="B15" s="1" t="s">
        <v>620</v>
      </c>
      <c r="C15" s="1" t="s">
        <v>511</v>
      </c>
      <c r="D15" s="1" t="s">
        <v>621</v>
      </c>
      <c r="E15" s="1" t="s">
        <v>622</v>
      </c>
      <c r="F15" s="1" t="s">
        <v>623</v>
      </c>
      <c r="G15" s="1" t="s">
        <v>623</v>
      </c>
      <c r="H15" s="1" t="s">
        <v>623</v>
      </c>
      <c r="I15" s="1" t="s">
        <v>624</v>
      </c>
      <c r="J15" s="1" t="s">
        <v>624</v>
      </c>
      <c r="K15" s="1" t="s">
        <v>624</v>
      </c>
      <c r="L15" s="1" t="s">
        <v>624</v>
      </c>
      <c r="M15" s="1" t="s">
        <v>624</v>
      </c>
      <c r="N15" s="1" t="s">
        <v>624</v>
      </c>
      <c r="O15" s="1" t="s">
        <v>625</v>
      </c>
      <c r="P15" s="1" t="s">
        <v>625</v>
      </c>
      <c r="Q15" s="1" t="s">
        <v>626</v>
      </c>
      <c r="R15" s="1" t="s">
        <v>626</v>
      </c>
      <c r="S15" s="1" t="s">
        <v>627</v>
      </c>
      <c r="T15" s="1" t="s">
        <v>627</v>
      </c>
      <c r="U15" s="1" t="s">
        <v>627</v>
      </c>
      <c r="V15" s="1" t="s">
        <v>628</v>
      </c>
      <c r="W15" s="1" t="s">
        <v>628</v>
      </c>
      <c r="X15" s="1" t="s">
        <v>628</v>
      </c>
      <c r="Y15" s="1" t="s">
        <v>628</v>
      </c>
      <c r="Z15" s="1" t="s">
        <v>628</v>
      </c>
      <c r="AA15" s="1" t="s">
        <v>628</v>
      </c>
      <c r="AB15" s="1" t="s">
        <v>628</v>
      </c>
      <c r="AC15" s="1" t="s">
        <v>629</v>
      </c>
      <c r="AD15" s="1" t="s">
        <v>630</v>
      </c>
      <c r="AE15" s="1" t="s">
        <v>631</v>
      </c>
      <c r="AF15" s="1" t="s">
        <v>632</v>
      </c>
      <c r="AG15" s="1" t="s">
        <v>633</v>
      </c>
      <c r="AH15" s="1" t="s">
        <v>634</v>
      </c>
      <c r="AI15" s="1" t="s">
        <v>635</v>
      </c>
      <c r="AJ15">
        <v>3162040</v>
      </c>
      <c r="AK15" s="502">
        <v>43056.229202361101</v>
      </c>
    </row>
    <row r="16" spans="1:37">
      <c r="A16" s="1" t="s">
        <v>328</v>
      </c>
      <c r="B16" s="1" t="s">
        <v>636</v>
      </c>
      <c r="C16" s="1" t="s">
        <v>637</v>
      </c>
      <c r="D16" s="1" t="s">
        <v>638</v>
      </c>
      <c r="E16" s="1" t="s">
        <v>639</v>
      </c>
      <c r="F16" s="1" t="s">
        <v>640</v>
      </c>
      <c r="G16" s="1" t="s">
        <v>640</v>
      </c>
      <c r="H16" s="1" t="s">
        <v>640</v>
      </c>
      <c r="I16" s="1" t="s">
        <v>641</v>
      </c>
      <c r="J16" s="1" t="s">
        <v>642</v>
      </c>
      <c r="K16" s="1" t="s">
        <v>643</v>
      </c>
      <c r="L16" s="1" t="s">
        <v>643</v>
      </c>
      <c r="M16" s="1" t="s">
        <v>644</v>
      </c>
      <c r="N16" s="1" t="s">
        <v>644</v>
      </c>
      <c r="O16" s="1" t="s">
        <v>645</v>
      </c>
      <c r="P16" s="1" t="s">
        <v>646</v>
      </c>
      <c r="Q16" s="1" t="s">
        <v>647</v>
      </c>
      <c r="R16" s="1" t="s">
        <v>648</v>
      </c>
      <c r="S16" s="1" t="s">
        <v>649</v>
      </c>
      <c r="T16" s="1" t="s">
        <v>650</v>
      </c>
      <c r="U16" s="1" t="s">
        <v>650</v>
      </c>
      <c r="V16" s="1" t="s">
        <v>651</v>
      </c>
      <c r="W16" s="1" t="s">
        <v>652</v>
      </c>
      <c r="X16" s="1" t="s">
        <v>653</v>
      </c>
      <c r="Y16" s="1" t="s">
        <v>654</v>
      </c>
      <c r="Z16" s="1" t="s">
        <v>654</v>
      </c>
      <c r="AA16" s="1" t="s">
        <v>655</v>
      </c>
      <c r="AB16" s="1" t="s">
        <v>656</v>
      </c>
      <c r="AC16" s="1" t="s">
        <v>657</v>
      </c>
      <c r="AD16" s="1" t="s">
        <v>658</v>
      </c>
      <c r="AE16" s="1" t="s">
        <v>659</v>
      </c>
      <c r="AF16" s="1" t="s">
        <v>660</v>
      </c>
      <c r="AG16" s="1" t="s">
        <v>661</v>
      </c>
      <c r="AH16" s="1" t="s">
        <v>662</v>
      </c>
      <c r="AI16" s="1" t="s">
        <v>663</v>
      </c>
      <c r="AJ16">
        <v>9930178</v>
      </c>
      <c r="AK16" s="502">
        <v>43056.229202361101</v>
      </c>
    </row>
    <row r="17" spans="1:37">
      <c r="A17" s="1" t="s">
        <v>328</v>
      </c>
      <c r="B17" s="1" t="s">
        <v>664</v>
      </c>
      <c r="C17" s="1" t="s">
        <v>665</v>
      </c>
      <c r="D17" s="1" t="s">
        <v>666</v>
      </c>
      <c r="E17" s="1" t="s">
        <v>667</v>
      </c>
      <c r="F17" s="1" t="s">
        <v>668</v>
      </c>
      <c r="G17" s="1" t="s">
        <v>668</v>
      </c>
      <c r="H17" s="1" t="s">
        <v>668</v>
      </c>
      <c r="I17" s="1" t="s">
        <v>669</v>
      </c>
      <c r="J17" s="1" t="s">
        <v>670</v>
      </c>
      <c r="K17" s="1" t="s">
        <v>671</v>
      </c>
      <c r="L17" s="1" t="s">
        <v>671</v>
      </c>
      <c r="M17" s="1" t="s">
        <v>672</v>
      </c>
      <c r="N17" s="1" t="s">
        <v>672</v>
      </c>
      <c r="O17" s="1" t="s">
        <v>673</v>
      </c>
      <c r="P17" s="1" t="s">
        <v>674</v>
      </c>
      <c r="Q17" s="1" t="s">
        <v>675</v>
      </c>
      <c r="R17" s="1" t="s">
        <v>676</v>
      </c>
      <c r="S17" s="1" t="s">
        <v>677</v>
      </c>
      <c r="T17" s="1" t="s">
        <v>678</v>
      </c>
      <c r="U17" s="1" t="s">
        <v>678</v>
      </c>
      <c r="V17" s="1" t="s">
        <v>679</v>
      </c>
      <c r="W17" s="1" t="s">
        <v>680</v>
      </c>
      <c r="X17" s="1" t="s">
        <v>681</v>
      </c>
      <c r="Y17" s="1" t="s">
        <v>682</v>
      </c>
      <c r="Z17" s="1" t="s">
        <v>682</v>
      </c>
      <c r="AA17" s="1" t="s">
        <v>682</v>
      </c>
      <c r="AB17" s="1" t="s">
        <v>683</v>
      </c>
      <c r="AC17" s="1" t="s">
        <v>684</v>
      </c>
      <c r="AD17" s="1" t="s">
        <v>685</v>
      </c>
      <c r="AE17" s="1" t="s">
        <v>686</v>
      </c>
      <c r="AF17" s="1" t="s">
        <v>687</v>
      </c>
      <c r="AG17" s="1" t="s">
        <v>688</v>
      </c>
      <c r="AH17" s="1" t="s">
        <v>689</v>
      </c>
      <c r="AI17" s="1" t="s">
        <v>690</v>
      </c>
      <c r="AJ17">
        <v>12733138</v>
      </c>
      <c r="AK17" s="502">
        <v>43056.229202361101</v>
      </c>
    </row>
    <row r="18" spans="1:37">
      <c r="A18" s="1" t="s">
        <v>328</v>
      </c>
      <c r="B18" s="501" t="s">
        <v>691</v>
      </c>
      <c r="C18" s="1" t="s">
        <v>692</v>
      </c>
      <c r="D18" s="1" t="s">
        <v>693</v>
      </c>
      <c r="E18" s="1" t="s">
        <v>694</v>
      </c>
      <c r="F18" s="1" t="s">
        <v>695</v>
      </c>
      <c r="G18" s="1" t="s">
        <v>695</v>
      </c>
      <c r="H18" s="1" t="s">
        <v>695</v>
      </c>
      <c r="I18" s="1" t="s">
        <v>696</v>
      </c>
      <c r="J18" s="1" t="s">
        <v>697</v>
      </c>
      <c r="K18" s="1" t="s">
        <v>698</v>
      </c>
      <c r="L18" s="1" t="s">
        <v>698</v>
      </c>
      <c r="M18" s="1" t="s">
        <v>699</v>
      </c>
      <c r="N18" s="1" t="s">
        <v>699</v>
      </c>
      <c r="O18" s="1" t="s">
        <v>700</v>
      </c>
      <c r="P18" s="1" t="s">
        <v>701</v>
      </c>
      <c r="Q18" s="1" t="s">
        <v>702</v>
      </c>
      <c r="R18" s="1" t="s">
        <v>703</v>
      </c>
      <c r="S18" s="1" t="s">
        <v>704</v>
      </c>
      <c r="T18" s="1" t="s">
        <v>705</v>
      </c>
      <c r="U18" s="1" t="s">
        <v>705</v>
      </c>
      <c r="V18" s="1" t="s">
        <v>706</v>
      </c>
      <c r="W18" s="1" t="s">
        <v>707</v>
      </c>
      <c r="X18" s="1" t="s">
        <v>708</v>
      </c>
      <c r="Y18" s="1" t="s">
        <v>709</v>
      </c>
      <c r="Z18" s="1" t="s">
        <v>709</v>
      </c>
      <c r="AA18" s="1" t="s">
        <v>709</v>
      </c>
      <c r="AB18" s="1" t="s">
        <v>710</v>
      </c>
      <c r="AC18" s="1" t="s">
        <v>711</v>
      </c>
      <c r="AD18" s="1" t="s">
        <v>712</v>
      </c>
      <c r="AE18" s="1" t="s">
        <v>713</v>
      </c>
      <c r="AF18" s="1" t="s">
        <v>714</v>
      </c>
      <c r="AG18" s="1" t="s">
        <v>715</v>
      </c>
      <c r="AH18" s="1" t="s">
        <v>716</v>
      </c>
      <c r="AI18" s="1" t="s">
        <v>717</v>
      </c>
      <c r="AJ18">
        <v>948824</v>
      </c>
      <c r="AK18" s="502">
        <v>43056.229202361101</v>
      </c>
    </row>
    <row r="19" spans="1:37">
      <c r="A19" s="1" t="s">
        <v>328</v>
      </c>
      <c r="B19" s="1" t="s">
        <v>718</v>
      </c>
      <c r="C19" s="1" t="s">
        <v>719</v>
      </c>
      <c r="D19" s="1" t="s">
        <v>719</v>
      </c>
      <c r="E19" s="1" t="s">
        <v>719</v>
      </c>
      <c r="F19" s="1" t="s">
        <v>719</v>
      </c>
      <c r="G19" s="1" t="s">
        <v>719</v>
      </c>
      <c r="H19" s="1" t="s">
        <v>719</v>
      </c>
      <c r="I19" s="1" t="s">
        <v>719</v>
      </c>
      <c r="J19" s="1" t="s">
        <v>719</v>
      </c>
      <c r="K19" s="1" t="s">
        <v>719</v>
      </c>
      <c r="L19" s="1" t="s">
        <v>719</v>
      </c>
      <c r="M19" s="1" t="s">
        <v>719</v>
      </c>
      <c r="N19" s="1" t="s">
        <v>719</v>
      </c>
      <c r="O19" s="1" t="s">
        <v>719</v>
      </c>
      <c r="P19" s="1" t="s">
        <v>719</v>
      </c>
      <c r="Q19" s="1" t="s">
        <v>719</v>
      </c>
      <c r="R19" s="1" t="s">
        <v>719</v>
      </c>
      <c r="S19" s="1" t="s">
        <v>719</v>
      </c>
      <c r="T19" s="1" t="s">
        <v>719</v>
      </c>
      <c r="U19" s="1" t="s">
        <v>719</v>
      </c>
      <c r="V19" s="1" t="s">
        <v>719</v>
      </c>
      <c r="W19" s="1" t="s">
        <v>719</v>
      </c>
      <c r="X19" s="1" t="s">
        <v>719</v>
      </c>
      <c r="Y19" s="1" t="s">
        <v>719</v>
      </c>
      <c r="Z19" s="1" t="s">
        <v>719</v>
      </c>
      <c r="AA19" s="1" t="s">
        <v>719</v>
      </c>
      <c r="AB19" s="1" t="s">
        <v>719</v>
      </c>
      <c r="AC19" s="1" t="s">
        <v>719</v>
      </c>
      <c r="AD19" s="1" t="s">
        <v>719</v>
      </c>
      <c r="AE19" s="1" t="s">
        <v>719</v>
      </c>
      <c r="AF19" s="1" t="s">
        <v>719</v>
      </c>
      <c r="AG19" s="1" t="s">
        <v>719</v>
      </c>
      <c r="AH19" s="1" t="s">
        <v>511</v>
      </c>
      <c r="AI19" s="1" t="s">
        <v>719</v>
      </c>
      <c r="AJ19">
        <v>1995934</v>
      </c>
      <c r="AK19" s="502">
        <v>43056.229202361101</v>
      </c>
    </row>
    <row r="20" spans="1:37">
      <c r="A20" s="1" t="s">
        <v>328</v>
      </c>
      <c r="B20" s="1" t="s">
        <v>720</v>
      </c>
      <c r="C20" s="1" t="s">
        <v>721</v>
      </c>
      <c r="D20" s="1" t="s">
        <v>721</v>
      </c>
      <c r="E20" s="1" t="s">
        <v>721</v>
      </c>
      <c r="F20" s="1" t="s">
        <v>721</v>
      </c>
      <c r="G20" s="1" t="s">
        <v>721</v>
      </c>
      <c r="H20" s="1" t="s">
        <v>721</v>
      </c>
      <c r="I20" s="1" t="s">
        <v>721</v>
      </c>
      <c r="J20" s="1" t="s">
        <v>721</v>
      </c>
      <c r="K20" s="1" t="s">
        <v>721</v>
      </c>
      <c r="L20" s="1" t="s">
        <v>721</v>
      </c>
      <c r="M20" s="1" t="s">
        <v>721</v>
      </c>
      <c r="N20" s="1" t="s">
        <v>721</v>
      </c>
      <c r="O20" s="1" t="s">
        <v>721</v>
      </c>
      <c r="P20" s="1" t="s">
        <v>721</v>
      </c>
      <c r="Q20" s="1" t="s">
        <v>721</v>
      </c>
      <c r="R20" s="1" t="s">
        <v>721</v>
      </c>
      <c r="S20" s="1" t="s">
        <v>721</v>
      </c>
      <c r="T20" s="1" t="s">
        <v>721</v>
      </c>
      <c r="U20" s="1" t="s">
        <v>721</v>
      </c>
      <c r="V20" s="1" t="s">
        <v>721</v>
      </c>
      <c r="W20" s="1" t="s">
        <v>721</v>
      </c>
      <c r="X20" s="1" t="s">
        <v>721</v>
      </c>
      <c r="Y20" s="1" t="s">
        <v>721</v>
      </c>
      <c r="Z20" s="1" t="s">
        <v>721</v>
      </c>
      <c r="AA20" s="1" t="s">
        <v>721</v>
      </c>
      <c r="AB20" s="1" t="s">
        <v>721</v>
      </c>
      <c r="AC20" s="1" t="s">
        <v>721</v>
      </c>
      <c r="AD20" s="1" t="s">
        <v>721</v>
      </c>
      <c r="AE20" s="1" t="s">
        <v>721</v>
      </c>
      <c r="AF20" s="1" t="s">
        <v>721</v>
      </c>
      <c r="AG20" s="1" t="s">
        <v>721</v>
      </c>
      <c r="AH20" s="1" t="s">
        <v>511</v>
      </c>
      <c r="AI20" s="1" t="s">
        <v>721</v>
      </c>
      <c r="AJ20">
        <v>10676173</v>
      </c>
      <c r="AK20" s="502">
        <v>43056.229202361101</v>
      </c>
    </row>
    <row r="21" spans="1:37">
      <c r="A21" s="1" t="s">
        <v>328</v>
      </c>
      <c r="B21" s="1" t="s">
        <v>722</v>
      </c>
      <c r="C21" s="1" t="s">
        <v>723</v>
      </c>
      <c r="D21" s="1" t="s">
        <v>723</v>
      </c>
      <c r="E21" s="1" t="s">
        <v>723</v>
      </c>
      <c r="F21" s="1" t="s">
        <v>723</v>
      </c>
      <c r="G21" s="1" t="s">
        <v>723</v>
      </c>
      <c r="H21" s="1" t="s">
        <v>723</v>
      </c>
      <c r="I21" s="1" t="s">
        <v>723</v>
      </c>
      <c r="J21" s="1" t="s">
        <v>723</v>
      </c>
      <c r="K21" s="1" t="s">
        <v>723</v>
      </c>
      <c r="L21" s="1" t="s">
        <v>723</v>
      </c>
      <c r="M21" s="1" t="s">
        <v>723</v>
      </c>
      <c r="N21" s="1" t="s">
        <v>723</v>
      </c>
      <c r="O21" s="1" t="s">
        <v>723</v>
      </c>
      <c r="P21" s="1" t="s">
        <v>723</v>
      </c>
      <c r="Q21" s="1" t="s">
        <v>724</v>
      </c>
      <c r="R21" s="1" t="s">
        <v>725</v>
      </c>
      <c r="S21" s="1" t="s">
        <v>725</v>
      </c>
      <c r="T21" s="1" t="s">
        <v>725</v>
      </c>
      <c r="U21" s="1" t="s">
        <v>725</v>
      </c>
      <c r="V21" s="1" t="s">
        <v>725</v>
      </c>
      <c r="W21" s="1" t="s">
        <v>725</v>
      </c>
      <c r="X21" s="1" t="s">
        <v>725</v>
      </c>
      <c r="Y21" s="1" t="s">
        <v>726</v>
      </c>
      <c r="Z21" s="1" t="s">
        <v>726</v>
      </c>
      <c r="AA21" s="1" t="s">
        <v>726</v>
      </c>
      <c r="AB21" s="1" t="s">
        <v>726</v>
      </c>
      <c r="AC21" s="1" t="s">
        <v>726</v>
      </c>
      <c r="AD21" s="1" t="s">
        <v>726</v>
      </c>
      <c r="AE21" s="1" t="s">
        <v>725</v>
      </c>
      <c r="AF21" s="1" t="s">
        <v>725</v>
      </c>
      <c r="AG21" s="1" t="s">
        <v>725</v>
      </c>
      <c r="AH21" s="1" t="s">
        <v>511</v>
      </c>
      <c r="AI21" s="1" t="s">
        <v>727</v>
      </c>
      <c r="AJ21">
        <v>10660622</v>
      </c>
      <c r="AK21" s="502">
        <v>43056.229202361101</v>
      </c>
    </row>
    <row r="22" spans="1:37">
      <c r="A22" s="1" t="s">
        <v>328</v>
      </c>
      <c r="B22" s="1" t="s">
        <v>728</v>
      </c>
      <c r="C22" s="1" t="s">
        <v>511</v>
      </c>
      <c r="D22" s="1" t="s">
        <v>511</v>
      </c>
      <c r="E22" s="1" t="s">
        <v>511</v>
      </c>
      <c r="F22" s="1" t="s">
        <v>511</v>
      </c>
      <c r="G22" s="1" t="s">
        <v>511</v>
      </c>
      <c r="H22" s="1" t="s">
        <v>511</v>
      </c>
      <c r="I22" s="1" t="s">
        <v>511</v>
      </c>
      <c r="J22" s="1" t="s">
        <v>511</v>
      </c>
      <c r="K22" s="1" t="s">
        <v>511</v>
      </c>
      <c r="L22" s="1" t="s">
        <v>511</v>
      </c>
      <c r="M22" s="1" t="s">
        <v>511</v>
      </c>
      <c r="N22" s="1" t="s">
        <v>511</v>
      </c>
      <c r="O22" s="1" t="s">
        <v>511</v>
      </c>
      <c r="P22" s="1" t="s">
        <v>511</v>
      </c>
      <c r="Q22" s="1" t="s">
        <v>511</v>
      </c>
      <c r="R22" s="1" t="s">
        <v>511</v>
      </c>
      <c r="S22" s="1" t="s">
        <v>511</v>
      </c>
      <c r="T22" s="1" t="s">
        <v>511</v>
      </c>
      <c r="U22" s="1" t="s">
        <v>511</v>
      </c>
      <c r="V22" s="1" t="s">
        <v>511</v>
      </c>
      <c r="W22" s="1" t="s">
        <v>511</v>
      </c>
      <c r="X22" s="1" t="s">
        <v>511</v>
      </c>
      <c r="Y22" s="1" t="s">
        <v>511</v>
      </c>
      <c r="Z22" s="1" t="s">
        <v>511</v>
      </c>
      <c r="AA22" s="1" t="s">
        <v>511</v>
      </c>
      <c r="AB22" s="1" t="s">
        <v>511</v>
      </c>
      <c r="AC22" s="1" t="s">
        <v>511</v>
      </c>
      <c r="AD22" s="1" t="s">
        <v>511</v>
      </c>
      <c r="AE22" s="1" t="s">
        <v>511</v>
      </c>
      <c r="AF22" s="1" t="s">
        <v>511</v>
      </c>
      <c r="AG22" s="1" t="s">
        <v>511</v>
      </c>
      <c r="AH22" s="1" t="s">
        <v>511</v>
      </c>
      <c r="AI22" s="1" t="s">
        <v>511</v>
      </c>
      <c r="AJ22">
        <v>473816</v>
      </c>
      <c r="AK22" s="502">
        <v>43056.229202361101</v>
      </c>
    </row>
    <row r="23" spans="1:37">
      <c r="A23" s="1" t="s">
        <v>328</v>
      </c>
      <c r="B23" s="501" t="s">
        <v>729</v>
      </c>
      <c r="C23" s="1" t="s">
        <v>511</v>
      </c>
      <c r="D23" s="1" t="s">
        <v>511</v>
      </c>
      <c r="E23" s="1" t="s">
        <v>511</v>
      </c>
      <c r="F23" s="1" t="s">
        <v>511</v>
      </c>
      <c r="G23" s="1" t="s">
        <v>511</v>
      </c>
      <c r="H23" s="1" t="s">
        <v>511</v>
      </c>
      <c r="I23" s="1" t="s">
        <v>511</v>
      </c>
      <c r="J23" s="1" t="s">
        <v>511</v>
      </c>
      <c r="K23" s="1" t="s">
        <v>511</v>
      </c>
      <c r="L23" s="1" t="s">
        <v>511</v>
      </c>
      <c r="M23" s="1" t="s">
        <v>511</v>
      </c>
      <c r="N23" s="1" t="s">
        <v>511</v>
      </c>
      <c r="O23" s="1" t="s">
        <v>511</v>
      </c>
      <c r="P23" s="1" t="s">
        <v>511</v>
      </c>
      <c r="Q23" s="1" t="s">
        <v>511</v>
      </c>
      <c r="R23" s="1" t="s">
        <v>511</v>
      </c>
      <c r="S23" s="1" t="s">
        <v>511</v>
      </c>
      <c r="T23" s="1" t="s">
        <v>511</v>
      </c>
      <c r="U23" s="1" t="s">
        <v>511</v>
      </c>
      <c r="V23" s="1" t="s">
        <v>511</v>
      </c>
      <c r="W23" s="1" t="s">
        <v>511</v>
      </c>
      <c r="X23" s="1" t="s">
        <v>511</v>
      </c>
      <c r="Y23" s="1" t="s">
        <v>511</v>
      </c>
      <c r="Z23" s="1" t="s">
        <v>511</v>
      </c>
      <c r="AA23" s="1" t="s">
        <v>511</v>
      </c>
      <c r="AB23" s="1" t="s">
        <v>511</v>
      </c>
      <c r="AC23" s="1" t="s">
        <v>511</v>
      </c>
      <c r="AD23" s="1" t="s">
        <v>511</v>
      </c>
      <c r="AE23" s="1" t="s">
        <v>511</v>
      </c>
      <c r="AF23" s="1" t="s">
        <v>511</v>
      </c>
      <c r="AG23" s="1" t="s">
        <v>511</v>
      </c>
      <c r="AH23" s="1" t="s">
        <v>511</v>
      </c>
      <c r="AI23" s="1" t="s">
        <v>511</v>
      </c>
      <c r="AJ23">
        <v>732707</v>
      </c>
      <c r="AK23" s="502">
        <v>43056.229202361101</v>
      </c>
    </row>
    <row r="24" spans="1:37">
      <c r="A24" s="1" t="s">
        <v>328</v>
      </c>
      <c r="B24" s="501" t="s">
        <v>730</v>
      </c>
      <c r="C24" s="1" t="s">
        <v>731</v>
      </c>
      <c r="D24" s="1" t="s">
        <v>732</v>
      </c>
      <c r="E24" s="1" t="s">
        <v>733</v>
      </c>
      <c r="F24" s="1" t="s">
        <v>734</v>
      </c>
      <c r="G24" s="1" t="s">
        <v>735</v>
      </c>
      <c r="H24" s="1" t="s">
        <v>736</v>
      </c>
      <c r="I24" s="1" t="s">
        <v>737</v>
      </c>
      <c r="J24" s="1" t="s">
        <v>738</v>
      </c>
      <c r="K24" s="1" t="s">
        <v>739</v>
      </c>
      <c r="L24" s="1" t="s">
        <v>739</v>
      </c>
      <c r="M24" s="1" t="s">
        <v>740</v>
      </c>
      <c r="N24" s="1" t="s">
        <v>740</v>
      </c>
      <c r="O24" s="1" t="s">
        <v>741</v>
      </c>
      <c r="P24" s="1" t="s">
        <v>742</v>
      </c>
      <c r="Q24" s="1" t="s">
        <v>743</v>
      </c>
      <c r="R24" s="1" t="s">
        <v>744</v>
      </c>
      <c r="S24" s="1" t="s">
        <v>745</v>
      </c>
      <c r="T24" s="1" t="s">
        <v>746</v>
      </c>
      <c r="U24" s="1" t="s">
        <v>746</v>
      </c>
      <c r="V24" s="1" t="s">
        <v>747</v>
      </c>
      <c r="W24" s="1" t="s">
        <v>748</v>
      </c>
      <c r="X24" s="1" t="s">
        <v>749</v>
      </c>
      <c r="Y24" s="1" t="s">
        <v>750</v>
      </c>
      <c r="Z24" s="1" t="s">
        <v>750</v>
      </c>
      <c r="AA24" s="1" t="s">
        <v>750</v>
      </c>
      <c r="AB24" s="1" t="s">
        <v>751</v>
      </c>
      <c r="AC24" s="1" t="s">
        <v>752</v>
      </c>
      <c r="AD24" s="1" t="s">
        <v>753</v>
      </c>
      <c r="AE24" s="1" t="s">
        <v>754</v>
      </c>
      <c r="AF24" s="1" t="s">
        <v>755</v>
      </c>
      <c r="AG24" s="1" t="s">
        <v>756</v>
      </c>
      <c r="AH24" s="1" t="s">
        <v>757</v>
      </c>
      <c r="AI24" s="1" t="s">
        <v>758</v>
      </c>
      <c r="AJ24">
        <v>884880</v>
      </c>
      <c r="AK24" s="502">
        <v>43056.229202361101</v>
      </c>
    </row>
    <row r="25" spans="1:37">
      <c r="A25" s="1" t="s">
        <v>328</v>
      </c>
      <c r="B25" s="501" t="s">
        <v>759</v>
      </c>
      <c r="C25" s="1" t="s">
        <v>760</v>
      </c>
      <c r="D25" s="1" t="s">
        <v>761</v>
      </c>
      <c r="E25" s="1" t="s">
        <v>762</v>
      </c>
      <c r="F25" s="1" t="s">
        <v>763</v>
      </c>
      <c r="G25" s="1" t="s">
        <v>763</v>
      </c>
      <c r="H25" s="1" t="s">
        <v>763</v>
      </c>
      <c r="I25" s="1" t="s">
        <v>764</v>
      </c>
      <c r="J25" s="1" t="s">
        <v>765</v>
      </c>
      <c r="K25" s="1" t="s">
        <v>766</v>
      </c>
      <c r="L25" s="1" t="s">
        <v>766</v>
      </c>
      <c r="M25" s="1" t="s">
        <v>767</v>
      </c>
      <c r="N25" s="1" t="s">
        <v>767</v>
      </c>
      <c r="O25" s="1" t="s">
        <v>768</v>
      </c>
      <c r="P25" s="1" t="s">
        <v>769</v>
      </c>
      <c r="Q25" s="1" t="s">
        <v>770</v>
      </c>
      <c r="R25" s="1" t="s">
        <v>771</v>
      </c>
      <c r="S25" s="1" t="s">
        <v>772</v>
      </c>
      <c r="T25" s="1" t="s">
        <v>773</v>
      </c>
      <c r="U25" s="1" t="s">
        <v>773</v>
      </c>
      <c r="V25" s="1" t="s">
        <v>774</v>
      </c>
      <c r="W25" s="1" t="s">
        <v>775</v>
      </c>
      <c r="X25" s="1" t="s">
        <v>776</v>
      </c>
      <c r="Y25" s="1" t="s">
        <v>777</v>
      </c>
      <c r="Z25" s="1" t="s">
        <v>777</v>
      </c>
      <c r="AA25" s="1" t="s">
        <v>777</v>
      </c>
      <c r="AB25" s="1" t="s">
        <v>777</v>
      </c>
      <c r="AC25" s="1" t="s">
        <v>778</v>
      </c>
      <c r="AD25" s="1" t="s">
        <v>779</v>
      </c>
      <c r="AE25" s="1" t="s">
        <v>780</v>
      </c>
      <c r="AF25" s="1" t="s">
        <v>781</v>
      </c>
      <c r="AG25" s="1" t="s">
        <v>782</v>
      </c>
      <c r="AH25" s="1" t="s">
        <v>783</v>
      </c>
      <c r="AI25" s="1" t="s">
        <v>784</v>
      </c>
      <c r="AJ25">
        <v>0</v>
      </c>
      <c r="AK25" s="502">
        <v>43056.229202361101</v>
      </c>
    </row>
    <row r="26" spans="1:37">
      <c r="A26" s="1"/>
      <c r="B26" s="5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502">
        <v>43056.229202361101</v>
      </c>
    </row>
    <row r="27" spans="1:37">
      <c r="A27" s="1"/>
      <c r="B27" s="5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502">
        <v>43056.229202361101</v>
      </c>
    </row>
    <row r="28" spans="1:37">
      <c r="A28" s="1"/>
      <c r="B28" s="5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502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785</v>
      </c>
    </row>
    <row r="2" spans="1:35">
      <c r="A2" s="1" t="s">
        <v>328</v>
      </c>
      <c r="B2" s="285" t="s">
        <v>364</v>
      </c>
      <c r="C2" s="1" t="s">
        <v>786</v>
      </c>
      <c r="D2" s="1" t="s">
        <v>787</v>
      </c>
      <c r="E2" s="1" t="s">
        <v>788</v>
      </c>
      <c r="F2" s="1" t="s">
        <v>787</v>
      </c>
      <c r="G2" s="1" t="s">
        <v>789</v>
      </c>
      <c r="H2" s="1" t="s">
        <v>789</v>
      </c>
      <c r="I2" s="1" t="s">
        <v>790</v>
      </c>
      <c r="J2" s="1" t="s">
        <v>787</v>
      </c>
      <c r="K2" s="1" t="s">
        <v>791</v>
      </c>
      <c r="L2" s="1" t="s">
        <v>789</v>
      </c>
      <c r="M2" s="1" t="s">
        <v>792</v>
      </c>
      <c r="N2" s="1" t="s">
        <v>789</v>
      </c>
      <c r="O2" s="1" t="s">
        <v>791</v>
      </c>
      <c r="P2" s="1" t="s">
        <v>788</v>
      </c>
      <c r="Q2" s="1" t="s">
        <v>793</v>
      </c>
      <c r="R2" s="1" t="s">
        <v>786</v>
      </c>
      <c r="S2" s="1" t="s">
        <v>787</v>
      </c>
      <c r="T2" s="1" t="s">
        <v>794</v>
      </c>
      <c r="U2" s="1" t="s">
        <v>789</v>
      </c>
      <c r="V2" s="1" t="s">
        <v>795</v>
      </c>
      <c r="W2" s="1" t="s">
        <v>786</v>
      </c>
      <c r="X2" s="1" t="s">
        <v>788</v>
      </c>
      <c r="Y2" s="1" t="s">
        <v>790</v>
      </c>
      <c r="Z2" s="1" t="s">
        <v>796</v>
      </c>
      <c r="AA2" s="1" t="s">
        <v>789</v>
      </c>
      <c r="AB2" s="1" t="s">
        <v>789</v>
      </c>
      <c r="AC2" s="1" t="s">
        <v>787</v>
      </c>
      <c r="AD2" s="1" t="s">
        <v>787</v>
      </c>
      <c r="AE2" s="1" t="s">
        <v>791</v>
      </c>
      <c r="AF2" s="1" t="s">
        <v>786</v>
      </c>
      <c r="AG2" s="1" t="s">
        <v>797</v>
      </c>
      <c r="AH2" s="1" t="s">
        <v>786</v>
      </c>
      <c r="AI2" s="502">
        <v>44412.229194178202</v>
      </c>
    </row>
    <row r="3" spans="1:35">
      <c r="A3" s="1" t="s">
        <v>328</v>
      </c>
      <c r="B3" s="285" t="s">
        <v>398</v>
      </c>
      <c r="C3" s="1" t="s">
        <v>795</v>
      </c>
      <c r="D3" s="1" t="s">
        <v>798</v>
      </c>
      <c r="E3" s="1" t="s">
        <v>790</v>
      </c>
      <c r="F3" s="1" t="s">
        <v>799</v>
      </c>
      <c r="G3" s="1" t="s">
        <v>789</v>
      </c>
      <c r="H3" s="1" t="s">
        <v>789</v>
      </c>
      <c r="I3" s="1" t="s">
        <v>798</v>
      </c>
      <c r="J3" s="1" t="s">
        <v>800</v>
      </c>
      <c r="K3" s="1" t="s">
        <v>786</v>
      </c>
      <c r="L3" s="1" t="s">
        <v>789</v>
      </c>
      <c r="M3" s="1" t="s">
        <v>788</v>
      </c>
      <c r="N3" s="1" t="s">
        <v>789</v>
      </c>
      <c r="O3" s="1" t="s">
        <v>795</v>
      </c>
      <c r="P3" s="1" t="s">
        <v>786</v>
      </c>
      <c r="Q3" s="1" t="s">
        <v>797</v>
      </c>
      <c r="R3" s="1" t="s">
        <v>801</v>
      </c>
      <c r="S3" s="1" t="s">
        <v>786</v>
      </c>
      <c r="T3" s="1" t="s">
        <v>802</v>
      </c>
      <c r="U3" s="1" t="s">
        <v>789</v>
      </c>
      <c r="V3" s="1" t="s">
        <v>803</v>
      </c>
      <c r="W3" s="1" t="s">
        <v>792</v>
      </c>
      <c r="X3" s="1" t="s">
        <v>792</v>
      </c>
      <c r="Y3" s="1" t="s">
        <v>786</v>
      </c>
      <c r="Z3" s="1" t="s">
        <v>789</v>
      </c>
      <c r="AA3" s="1" t="s">
        <v>789</v>
      </c>
      <c r="AB3" s="1" t="s">
        <v>789</v>
      </c>
      <c r="AC3" s="1" t="s">
        <v>804</v>
      </c>
      <c r="AD3" s="1" t="s">
        <v>804</v>
      </c>
      <c r="AE3" s="1" t="s">
        <v>792</v>
      </c>
      <c r="AF3" s="1" t="s">
        <v>791</v>
      </c>
      <c r="AG3" s="1" t="s">
        <v>788</v>
      </c>
      <c r="AH3" s="1" t="s">
        <v>788</v>
      </c>
      <c r="AI3" s="502">
        <v>44412.229194178202</v>
      </c>
    </row>
    <row r="4" spans="1:35">
      <c r="A4" s="1" t="s">
        <v>328</v>
      </c>
      <c r="B4" s="285" t="s">
        <v>426</v>
      </c>
      <c r="C4" s="1" t="s">
        <v>796</v>
      </c>
      <c r="D4" s="1" t="s">
        <v>796</v>
      </c>
      <c r="E4" s="1" t="s">
        <v>796</v>
      </c>
      <c r="F4" s="1" t="s">
        <v>805</v>
      </c>
      <c r="G4" s="1" t="s">
        <v>789</v>
      </c>
      <c r="H4" s="1" t="s">
        <v>789</v>
      </c>
      <c r="I4" s="1" t="s">
        <v>806</v>
      </c>
      <c r="J4" s="1" t="s">
        <v>807</v>
      </c>
      <c r="K4" s="1" t="s">
        <v>807</v>
      </c>
      <c r="L4" s="1" t="s">
        <v>789</v>
      </c>
      <c r="M4" s="1" t="s">
        <v>796</v>
      </c>
      <c r="N4" s="1" t="s">
        <v>789</v>
      </c>
      <c r="O4" s="1" t="s">
        <v>796</v>
      </c>
      <c r="P4" s="1" t="s">
        <v>808</v>
      </c>
      <c r="Q4" s="1" t="s">
        <v>796</v>
      </c>
      <c r="R4" s="1" t="s">
        <v>796</v>
      </c>
      <c r="S4" s="1" t="s">
        <v>796</v>
      </c>
      <c r="T4" s="1" t="s">
        <v>796</v>
      </c>
      <c r="U4" s="1" t="s">
        <v>789</v>
      </c>
      <c r="V4" s="1" t="s">
        <v>796</v>
      </c>
      <c r="W4" s="1" t="s">
        <v>807</v>
      </c>
      <c r="X4" s="1" t="s">
        <v>796</v>
      </c>
      <c r="Y4" s="1" t="s">
        <v>796</v>
      </c>
      <c r="Z4" s="1" t="s">
        <v>789</v>
      </c>
      <c r="AA4" s="1" t="s">
        <v>789</v>
      </c>
      <c r="AB4" s="1" t="s">
        <v>789</v>
      </c>
      <c r="AC4" s="1" t="s">
        <v>796</v>
      </c>
      <c r="AD4" s="1" t="s">
        <v>796</v>
      </c>
      <c r="AE4" s="1" t="s">
        <v>796</v>
      </c>
      <c r="AF4" s="1" t="s">
        <v>796</v>
      </c>
      <c r="AG4" s="1" t="s">
        <v>796</v>
      </c>
      <c r="AH4" s="1" t="s">
        <v>809</v>
      </c>
      <c r="AI4" s="502">
        <v>44412.229194178202</v>
      </c>
    </row>
    <row r="5" spans="1:35">
      <c r="A5" s="1" t="s">
        <v>328</v>
      </c>
      <c r="B5" s="285" t="s">
        <v>452</v>
      </c>
      <c r="C5" s="1" t="s">
        <v>810</v>
      </c>
      <c r="D5" s="1" t="s">
        <v>796</v>
      </c>
      <c r="E5" s="1" t="s">
        <v>811</v>
      </c>
      <c r="F5" s="1" t="s">
        <v>812</v>
      </c>
      <c r="G5" s="1" t="s">
        <v>789</v>
      </c>
      <c r="H5" s="1" t="s">
        <v>789</v>
      </c>
      <c r="I5" s="1" t="s">
        <v>813</v>
      </c>
      <c r="J5" s="1" t="s">
        <v>814</v>
      </c>
      <c r="K5" s="1" t="s">
        <v>815</v>
      </c>
      <c r="L5" s="1" t="s">
        <v>789</v>
      </c>
      <c r="M5" s="1" t="s">
        <v>816</v>
      </c>
      <c r="N5" s="1" t="s">
        <v>789</v>
      </c>
      <c r="O5" s="1" t="s">
        <v>817</v>
      </c>
      <c r="P5" s="1" t="s">
        <v>818</v>
      </c>
      <c r="Q5" s="1" t="s">
        <v>819</v>
      </c>
      <c r="R5" s="1" t="s">
        <v>820</v>
      </c>
      <c r="S5" s="1" t="s">
        <v>812</v>
      </c>
      <c r="T5" s="1" t="s">
        <v>821</v>
      </c>
      <c r="U5" s="1" t="s">
        <v>789</v>
      </c>
      <c r="V5" s="1" t="s">
        <v>822</v>
      </c>
      <c r="W5" s="1" t="s">
        <v>823</v>
      </c>
      <c r="X5" s="1" t="s">
        <v>824</v>
      </c>
      <c r="Y5" s="1" t="s">
        <v>825</v>
      </c>
      <c r="Z5" s="1" t="s">
        <v>789</v>
      </c>
      <c r="AA5" s="1" t="s">
        <v>789</v>
      </c>
      <c r="AB5" s="1" t="s">
        <v>789</v>
      </c>
      <c r="AC5" s="1" t="s">
        <v>826</v>
      </c>
      <c r="AD5" s="1" t="s">
        <v>827</v>
      </c>
      <c r="AE5" s="1" t="s">
        <v>828</v>
      </c>
      <c r="AF5" s="1" t="s">
        <v>824</v>
      </c>
      <c r="AG5" s="1" t="s">
        <v>829</v>
      </c>
      <c r="AH5" s="1" t="s">
        <v>830</v>
      </c>
      <c r="AI5" s="502">
        <v>44412.229194178202</v>
      </c>
    </row>
    <row r="6" spans="1:35">
      <c r="A6" s="1" t="s">
        <v>328</v>
      </c>
      <c r="B6" s="285" t="s">
        <v>480</v>
      </c>
      <c r="C6" s="1" t="s">
        <v>831</v>
      </c>
      <c r="D6" s="1" t="s">
        <v>808</v>
      </c>
      <c r="E6" s="1" t="s">
        <v>806</v>
      </c>
      <c r="F6" s="1" t="s">
        <v>808</v>
      </c>
      <c r="G6" s="1" t="s">
        <v>789</v>
      </c>
      <c r="H6" s="1" t="s">
        <v>789</v>
      </c>
      <c r="I6" s="1" t="s">
        <v>806</v>
      </c>
      <c r="J6" s="1" t="s">
        <v>832</v>
      </c>
      <c r="K6" s="1" t="s">
        <v>805</v>
      </c>
      <c r="L6" s="1" t="s">
        <v>789</v>
      </c>
      <c r="M6" s="1" t="s">
        <v>801</v>
      </c>
      <c r="N6" s="1" t="s">
        <v>789</v>
      </c>
      <c r="O6" s="1" t="s">
        <v>801</v>
      </c>
      <c r="P6" s="1" t="s">
        <v>805</v>
      </c>
      <c r="Q6" s="1" t="s">
        <v>806</v>
      </c>
      <c r="R6" s="1" t="s">
        <v>832</v>
      </c>
      <c r="S6" s="1" t="s">
        <v>832</v>
      </c>
      <c r="T6" s="1" t="s">
        <v>809</v>
      </c>
      <c r="U6" s="1" t="s">
        <v>789</v>
      </c>
      <c r="V6" s="1" t="s">
        <v>808</v>
      </c>
      <c r="W6" s="1" t="s">
        <v>807</v>
      </c>
      <c r="X6" s="1" t="s">
        <v>831</v>
      </c>
      <c r="Y6" s="1" t="s">
        <v>832</v>
      </c>
      <c r="Z6" s="1" t="s">
        <v>789</v>
      </c>
      <c r="AA6" s="1" t="s">
        <v>789</v>
      </c>
      <c r="AB6" s="1" t="s">
        <v>789</v>
      </c>
      <c r="AC6" s="1" t="s">
        <v>833</v>
      </c>
      <c r="AD6" s="1" t="s">
        <v>801</v>
      </c>
      <c r="AE6" s="1" t="s">
        <v>808</v>
      </c>
      <c r="AF6" s="1" t="s">
        <v>801</v>
      </c>
      <c r="AG6" s="1" t="s">
        <v>808</v>
      </c>
      <c r="AH6" s="1" t="s">
        <v>805</v>
      </c>
      <c r="AI6" s="502">
        <v>44412.229194178202</v>
      </c>
    </row>
    <row r="7" spans="1:35">
      <c r="A7" s="1" t="s">
        <v>328</v>
      </c>
      <c r="B7" s="285" t="s">
        <v>510</v>
      </c>
      <c r="C7" s="1" t="s">
        <v>789</v>
      </c>
      <c r="D7" s="1" t="s">
        <v>789</v>
      </c>
      <c r="E7" s="1" t="s">
        <v>789</v>
      </c>
      <c r="F7" s="1" t="s">
        <v>789</v>
      </c>
      <c r="G7" s="1" t="s">
        <v>789</v>
      </c>
      <c r="H7" s="1" t="s">
        <v>789</v>
      </c>
      <c r="I7" s="1" t="s">
        <v>789</v>
      </c>
      <c r="J7" s="1" t="s">
        <v>789</v>
      </c>
      <c r="K7" s="1" t="s">
        <v>789</v>
      </c>
      <c r="L7" s="1" t="s">
        <v>789</v>
      </c>
      <c r="M7" s="1" t="s">
        <v>789</v>
      </c>
      <c r="N7" s="1" t="s">
        <v>789</v>
      </c>
      <c r="O7" s="1" t="s">
        <v>789</v>
      </c>
      <c r="P7" s="1" t="s">
        <v>789</v>
      </c>
      <c r="Q7" s="1" t="s">
        <v>789</v>
      </c>
      <c r="R7" s="1" t="s">
        <v>789</v>
      </c>
      <c r="S7" s="1" t="s">
        <v>789</v>
      </c>
      <c r="T7" s="1" t="s">
        <v>789</v>
      </c>
      <c r="U7" s="1" t="s">
        <v>789</v>
      </c>
      <c r="V7" s="1" t="s">
        <v>789</v>
      </c>
      <c r="W7" s="1" t="s">
        <v>789</v>
      </c>
      <c r="X7" s="1" t="s">
        <v>789</v>
      </c>
      <c r="Y7" s="1" t="s">
        <v>789</v>
      </c>
      <c r="Z7" s="1" t="s">
        <v>789</v>
      </c>
      <c r="AA7" s="1" t="s">
        <v>789</v>
      </c>
      <c r="AB7" s="1" t="s">
        <v>789</v>
      </c>
      <c r="AC7" s="1" t="s">
        <v>789</v>
      </c>
      <c r="AD7" s="1" t="s">
        <v>789</v>
      </c>
      <c r="AE7" s="1" t="s">
        <v>789</v>
      </c>
      <c r="AF7" s="1" t="s">
        <v>789</v>
      </c>
      <c r="AG7" s="1" t="s">
        <v>789</v>
      </c>
      <c r="AH7" s="1" t="s">
        <v>789</v>
      </c>
      <c r="AI7" s="502">
        <v>44412.229194178202</v>
      </c>
    </row>
    <row r="8" spans="1:35">
      <c r="A8" s="1" t="s">
        <v>328</v>
      </c>
      <c r="B8" s="285" t="s">
        <v>512</v>
      </c>
      <c r="C8" s="1" t="s">
        <v>833</v>
      </c>
      <c r="D8" s="1" t="s">
        <v>806</v>
      </c>
      <c r="E8" s="1" t="s">
        <v>807</v>
      </c>
      <c r="F8" s="1" t="s">
        <v>805</v>
      </c>
      <c r="G8" s="1" t="s">
        <v>789</v>
      </c>
      <c r="H8" s="1" t="s">
        <v>789</v>
      </c>
      <c r="I8" s="1" t="s">
        <v>834</v>
      </c>
      <c r="J8" s="1" t="s">
        <v>835</v>
      </c>
      <c r="K8" s="1" t="s">
        <v>836</v>
      </c>
      <c r="L8" s="1" t="s">
        <v>789</v>
      </c>
      <c r="M8" s="1" t="s">
        <v>795</v>
      </c>
      <c r="N8" s="1" t="s">
        <v>789</v>
      </c>
      <c r="O8" s="1" t="s">
        <v>790</v>
      </c>
      <c r="P8" s="1" t="s">
        <v>786</v>
      </c>
      <c r="Q8" s="1" t="s">
        <v>837</v>
      </c>
      <c r="R8" s="1" t="s">
        <v>831</v>
      </c>
      <c r="S8" s="1" t="s">
        <v>805</v>
      </c>
      <c r="T8" s="1" t="s">
        <v>838</v>
      </c>
      <c r="U8" s="1" t="s">
        <v>789</v>
      </c>
      <c r="V8" s="1" t="s">
        <v>839</v>
      </c>
      <c r="W8" s="1" t="s">
        <v>840</v>
      </c>
      <c r="X8" s="1" t="s">
        <v>787</v>
      </c>
      <c r="Y8" s="1" t="s">
        <v>790</v>
      </c>
      <c r="Z8" s="1" t="s">
        <v>789</v>
      </c>
      <c r="AA8" s="1" t="s">
        <v>789</v>
      </c>
      <c r="AB8" s="1" t="s">
        <v>789</v>
      </c>
      <c r="AC8" s="1" t="s">
        <v>841</v>
      </c>
      <c r="AD8" s="1" t="s">
        <v>842</v>
      </c>
      <c r="AE8" s="1" t="s">
        <v>843</v>
      </c>
      <c r="AF8" s="1" t="s">
        <v>837</v>
      </c>
      <c r="AG8" s="1" t="s">
        <v>831</v>
      </c>
      <c r="AH8" s="1" t="s">
        <v>799</v>
      </c>
      <c r="AI8" s="502">
        <v>44412.229194178202</v>
      </c>
    </row>
    <row r="9" spans="1:35">
      <c r="A9" s="1" t="s">
        <v>328</v>
      </c>
      <c r="B9" s="285" t="s">
        <v>844</v>
      </c>
      <c r="C9" s="1" t="s">
        <v>796</v>
      </c>
      <c r="D9" s="1" t="s">
        <v>796</v>
      </c>
      <c r="E9" s="1" t="s">
        <v>796</v>
      </c>
      <c r="F9" s="1" t="s">
        <v>845</v>
      </c>
      <c r="G9" s="1" t="s">
        <v>789</v>
      </c>
      <c r="H9" s="1" t="s">
        <v>789</v>
      </c>
      <c r="I9" s="1" t="s">
        <v>846</v>
      </c>
      <c r="J9" s="1" t="s">
        <v>847</v>
      </c>
      <c r="K9" s="1" t="s">
        <v>796</v>
      </c>
      <c r="L9" s="1" t="s">
        <v>789</v>
      </c>
      <c r="M9" s="1" t="s">
        <v>848</v>
      </c>
      <c r="N9" s="1" t="s">
        <v>789</v>
      </c>
      <c r="O9" s="1" t="s">
        <v>796</v>
      </c>
      <c r="P9" s="1" t="s">
        <v>849</v>
      </c>
      <c r="Q9" s="1" t="s">
        <v>850</v>
      </c>
      <c r="R9" s="1" t="s">
        <v>851</v>
      </c>
      <c r="S9" s="1" t="s">
        <v>796</v>
      </c>
      <c r="T9" s="1" t="s">
        <v>789</v>
      </c>
      <c r="U9" s="1" t="s">
        <v>789</v>
      </c>
      <c r="V9" s="1" t="s">
        <v>829</v>
      </c>
      <c r="W9" s="1" t="s">
        <v>824</v>
      </c>
      <c r="X9" s="1" t="s">
        <v>796</v>
      </c>
      <c r="Y9" s="1" t="s">
        <v>823</v>
      </c>
      <c r="Z9" s="1" t="s">
        <v>789</v>
      </c>
      <c r="AA9" s="1" t="s">
        <v>789</v>
      </c>
      <c r="AB9" s="1" t="s">
        <v>789</v>
      </c>
      <c r="AC9" s="1" t="s">
        <v>796</v>
      </c>
      <c r="AD9" s="1" t="s">
        <v>796</v>
      </c>
      <c r="AE9" s="1" t="s">
        <v>796</v>
      </c>
      <c r="AF9" s="1" t="s">
        <v>796</v>
      </c>
      <c r="AG9" s="1" t="s">
        <v>796</v>
      </c>
      <c r="AH9" s="1" t="s">
        <v>852</v>
      </c>
      <c r="AI9" s="502">
        <v>44412.229194178202</v>
      </c>
    </row>
    <row r="10" spans="1:35">
      <c r="A10" s="1" t="s">
        <v>328</v>
      </c>
      <c r="B10" s="285" t="s">
        <v>853</v>
      </c>
      <c r="C10" s="1" t="s">
        <v>797</v>
      </c>
      <c r="D10" s="1" t="s">
        <v>797</v>
      </c>
      <c r="E10" s="1" t="s">
        <v>795</v>
      </c>
      <c r="F10" s="1" t="s">
        <v>786</v>
      </c>
      <c r="G10" s="1" t="s">
        <v>789</v>
      </c>
      <c r="H10" s="1" t="s">
        <v>789</v>
      </c>
      <c r="I10" s="1" t="s">
        <v>854</v>
      </c>
      <c r="J10" s="1" t="s">
        <v>787</v>
      </c>
      <c r="K10" s="1" t="s">
        <v>790</v>
      </c>
      <c r="L10" s="1" t="s">
        <v>789</v>
      </c>
      <c r="M10" s="1" t="s">
        <v>792</v>
      </c>
      <c r="N10" s="1" t="s">
        <v>789</v>
      </c>
      <c r="O10" s="1" t="s">
        <v>791</v>
      </c>
      <c r="P10" s="1" t="s">
        <v>786</v>
      </c>
      <c r="Q10" s="1" t="s">
        <v>790</v>
      </c>
      <c r="R10" s="1" t="s">
        <v>786</v>
      </c>
      <c r="S10" s="1" t="s">
        <v>797</v>
      </c>
      <c r="T10" s="1" t="s">
        <v>839</v>
      </c>
      <c r="U10" s="1" t="s">
        <v>789</v>
      </c>
      <c r="V10" s="1" t="s">
        <v>795</v>
      </c>
      <c r="W10" s="1" t="s">
        <v>788</v>
      </c>
      <c r="X10" s="1" t="s">
        <v>792</v>
      </c>
      <c r="Y10" s="1" t="s">
        <v>787</v>
      </c>
      <c r="Z10" s="1" t="s">
        <v>796</v>
      </c>
      <c r="AA10" s="1" t="s">
        <v>789</v>
      </c>
      <c r="AB10" s="1" t="s">
        <v>789</v>
      </c>
      <c r="AC10" s="1" t="s">
        <v>791</v>
      </c>
      <c r="AD10" s="1" t="s">
        <v>788</v>
      </c>
      <c r="AE10" s="1" t="s">
        <v>790</v>
      </c>
      <c r="AF10" s="1" t="s">
        <v>788</v>
      </c>
      <c r="AG10" s="1" t="s">
        <v>795</v>
      </c>
      <c r="AH10" s="1" t="s">
        <v>788</v>
      </c>
      <c r="AI10" s="502">
        <v>44412.229194178202</v>
      </c>
    </row>
    <row r="11" spans="1:35">
      <c r="A11" s="1" t="s">
        <v>328</v>
      </c>
      <c r="B11" s="285" t="s">
        <v>855</v>
      </c>
      <c r="C11" s="1" t="s">
        <v>796</v>
      </c>
      <c r="D11" s="1" t="s">
        <v>796</v>
      </c>
      <c r="E11" s="1" t="s">
        <v>796</v>
      </c>
      <c r="F11" s="1" t="s">
        <v>796</v>
      </c>
      <c r="G11" s="1" t="s">
        <v>789</v>
      </c>
      <c r="H11" s="1" t="s">
        <v>789</v>
      </c>
      <c r="I11" s="1" t="s">
        <v>796</v>
      </c>
      <c r="J11" s="1" t="s">
        <v>796</v>
      </c>
      <c r="K11" s="1" t="s">
        <v>796</v>
      </c>
      <c r="L11" s="1" t="s">
        <v>789</v>
      </c>
      <c r="M11" s="1" t="s">
        <v>796</v>
      </c>
      <c r="N11" s="1" t="s">
        <v>789</v>
      </c>
      <c r="O11" s="1" t="s">
        <v>796</v>
      </c>
      <c r="P11" s="1" t="s">
        <v>796</v>
      </c>
      <c r="Q11" s="1" t="s">
        <v>796</v>
      </c>
      <c r="R11" s="1" t="s">
        <v>796</v>
      </c>
      <c r="S11" s="1" t="s">
        <v>796</v>
      </c>
      <c r="T11" s="1" t="s">
        <v>796</v>
      </c>
      <c r="U11" s="1" t="s">
        <v>789</v>
      </c>
      <c r="V11" s="1" t="s">
        <v>796</v>
      </c>
      <c r="W11" s="1" t="s">
        <v>796</v>
      </c>
      <c r="X11" s="1" t="s">
        <v>796</v>
      </c>
      <c r="Y11" s="1" t="s">
        <v>796</v>
      </c>
      <c r="Z11" s="1" t="s">
        <v>789</v>
      </c>
      <c r="AA11" s="1" t="s">
        <v>789</v>
      </c>
      <c r="AB11" s="1" t="s">
        <v>789</v>
      </c>
      <c r="AC11" s="1" t="s">
        <v>796</v>
      </c>
      <c r="AD11" s="1" t="s">
        <v>796</v>
      </c>
      <c r="AE11" s="1" t="s">
        <v>796</v>
      </c>
      <c r="AF11" s="1" t="s">
        <v>796</v>
      </c>
      <c r="AG11" s="1" t="s">
        <v>796</v>
      </c>
      <c r="AH11" s="1" t="s">
        <v>796</v>
      </c>
      <c r="AI11" s="502">
        <v>44412.229194178202</v>
      </c>
    </row>
    <row r="12" spans="1:35">
      <c r="A12" s="1" t="s">
        <v>328</v>
      </c>
      <c r="B12" s="285" t="s">
        <v>856</v>
      </c>
      <c r="C12" s="1" t="s">
        <v>788</v>
      </c>
      <c r="D12" s="1" t="s">
        <v>796</v>
      </c>
      <c r="E12" s="1" t="s">
        <v>796</v>
      </c>
      <c r="F12" s="1" t="s">
        <v>796</v>
      </c>
      <c r="G12" s="1" t="s">
        <v>789</v>
      </c>
      <c r="H12" s="1" t="s">
        <v>789</v>
      </c>
      <c r="I12" s="1" t="s">
        <v>796</v>
      </c>
      <c r="J12" s="1" t="s">
        <v>796</v>
      </c>
      <c r="K12" s="1" t="s">
        <v>787</v>
      </c>
      <c r="L12" s="1" t="s">
        <v>789</v>
      </c>
      <c r="M12" s="1" t="s">
        <v>796</v>
      </c>
      <c r="N12" s="1" t="s">
        <v>789</v>
      </c>
      <c r="O12" s="1" t="s">
        <v>787</v>
      </c>
      <c r="P12" s="1" t="s">
        <v>796</v>
      </c>
      <c r="Q12" s="1" t="s">
        <v>799</v>
      </c>
      <c r="R12" s="1" t="s">
        <v>857</v>
      </c>
      <c r="S12" s="1" t="s">
        <v>796</v>
      </c>
      <c r="T12" s="1" t="s">
        <v>796</v>
      </c>
      <c r="U12" s="1" t="s">
        <v>789</v>
      </c>
      <c r="V12" s="1" t="s">
        <v>858</v>
      </c>
      <c r="W12" s="1" t="s">
        <v>799</v>
      </c>
      <c r="X12" s="1" t="s">
        <v>796</v>
      </c>
      <c r="Y12" s="1" t="s">
        <v>796</v>
      </c>
      <c r="Z12" s="1" t="s">
        <v>789</v>
      </c>
      <c r="AA12" s="1" t="s">
        <v>789</v>
      </c>
      <c r="AB12" s="1" t="s">
        <v>789</v>
      </c>
      <c r="AC12" s="1" t="s">
        <v>796</v>
      </c>
      <c r="AD12" s="1" t="s">
        <v>791</v>
      </c>
      <c r="AE12" s="1" t="s">
        <v>796</v>
      </c>
      <c r="AF12" s="1" t="s">
        <v>796</v>
      </c>
      <c r="AG12" s="1" t="s">
        <v>819</v>
      </c>
      <c r="AH12" s="1" t="s">
        <v>793</v>
      </c>
      <c r="AI12" s="502">
        <v>44412.229194178202</v>
      </c>
    </row>
    <row r="13" spans="1:35">
      <c r="A13" s="1" t="s">
        <v>328</v>
      </c>
      <c r="B13" s="285" t="s">
        <v>859</v>
      </c>
      <c r="C13" s="1" t="s">
        <v>860</v>
      </c>
      <c r="D13" s="1" t="s">
        <v>861</v>
      </c>
      <c r="E13" s="1" t="s">
        <v>862</v>
      </c>
      <c r="F13" s="1" t="s">
        <v>841</v>
      </c>
      <c r="G13" s="1" t="s">
        <v>789</v>
      </c>
      <c r="H13" s="1" t="s">
        <v>789</v>
      </c>
      <c r="I13" s="1" t="s">
        <v>863</v>
      </c>
      <c r="J13" s="1" t="s">
        <v>864</v>
      </c>
      <c r="K13" s="1" t="s">
        <v>831</v>
      </c>
      <c r="L13" s="1" t="s">
        <v>789</v>
      </c>
      <c r="M13" s="1" t="s">
        <v>806</v>
      </c>
      <c r="N13" s="1" t="s">
        <v>789</v>
      </c>
      <c r="O13" s="1" t="s">
        <v>837</v>
      </c>
      <c r="P13" s="1" t="s">
        <v>797</v>
      </c>
      <c r="Q13" s="1" t="s">
        <v>786</v>
      </c>
      <c r="R13" s="1" t="s">
        <v>803</v>
      </c>
      <c r="S13" s="1" t="s">
        <v>787</v>
      </c>
      <c r="T13" s="1" t="s">
        <v>865</v>
      </c>
      <c r="U13" s="1" t="s">
        <v>789</v>
      </c>
      <c r="V13" s="1" t="s">
        <v>864</v>
      </c>
      <c r="W13" s="1" t="s">
        <v>863</v>
      </c>
      <c r="X13" s="1" t="s">
        <v>792</v>
      </c>
      <c r="Y13" s="1" t="s">
        <v>848</v>
      </c>
      <c r="Z13" s="1" t="s">
        <v>789</v>
      </c>
      <c r="AA13" s="1" t="s">
        <v>789</v>
      </c>
      <c r="AB13" s="1" t="s">
        <v>789</v>
      </c>
      <c r="AC13" s="1" t="s">
        <v>866</v>
      </c>
      <c r="AD13" s="1" t="s">
        <v>802</v>
      </c>
      <c r="AE13" s="1" t="s">
        <v>863</v>
      </c>
      <c r="AF13" s="1" t="s">
        <v>791</v>
      </c>
      <c r="AG13" s="1" t="s">
        <v>795</v>
      </c>
      <c r="AH13" s="1" t="s">
        <v>867</v>
      </c>
      <c r="AI13" s="502">
        <v>44412.229194178202</v>
      </c>
    </row>
    <row r="14" spans="1:35">
      <c r="A14" s="1" t="s">
        <v>328</v>
      </c>
      <c r="B14" s="285" t="s">
        <v>868</v>
      </c>
      <c r="C14" s="1" t="s">
        <v>841</v>
      </c>
      <c r="D14" s="1" t="s">
        <v>869</v>
      </c>
      <c r="E14" s="1" t="s">
        <v>870</v>
      </c>
      <c r="F14" s="1" t="s">
        <v>871</v>
      </c>
      <c r="G14" s="1" t="s">
        <v>789</v>
      </c>
      <c r="H14" s="1" t="s">
        <v>789</v>
      </c>
      <c r="I14" s="1" t="s">
        <v>872</v>
      </c>
      <c r="J14" s="1" t="s">
        <v>873</v>
      </c>
      <c r="K14" s="1" t="s">
        <v>800</v>
      </c>
      <c r="L14" s="1" t="s">
        <v>789</v>
      </c>
      <c r="M14" s="1" t="s">
        <v>796</v>
      </c>
      <c r="N14" s="1" t="s">
        <v>789</v>
      </c>
      <c r="O14" s="1" t="s">
        <v>800</v>
      </c>
      <c r="P14" s="1" t="s">
        <v>796</v>
      </c>
      <c r="Q14" s="1" t="s">
        <v>800</v>
      </c>
      <c r="R14" s="1" t="s">
        <v>796</v>
      </c>
      <c r="S14" s="1" t="s">
        <v>842</v>
      </c>
      <c r="T14" s="1" t="s">
        <v>867</v>
      </c>
      <c r="U14" s="1" t="s">
        <v>789</v>
      </c>
      <c r="V14" s="1" t="s">
        <v>800</v>
      </c>
      <c r="W14" s="1" t="s">
        <v>800</v>
      </c>
      <c r="X14" s="1" t="s">
        <v>796</v>
      </c>
      <c r="Y14" s="1" t="s">
        <v>874</v>
      </c>
      <c r="Z14" s="1" t="s">
        <v>789</v>
      </c>
      <c r="AA14" s="1" t="s">
        <v>789</v>
      </c>
      <c r="AB14" s="1" t="s">
        <v>789</v>
      </c>
      <c r="AC14" s="1" t="s">
        <v>801</v>
      </c>
      <c r="AD14" s="1" t="s">
        <v>792</v>
      </c>
      <c r="AE14" s="1" t="s">
        <v>792</v>
      </c>
      <c r="AF14" s="1" t="s">
        <v>786</v>
      </c>
      <c r="AG14" s="1" t="s">
        <v>788</v>
      </c>
      <c r="AH14" s="1" t="s">
        <v>804</v>
      </c>
      <c r="AI14" s="502">
        <v>44412.229194178202</v>
      </c>
    </row>
    <row r="15" spans="1:35">
      <c r="A15" s="1" t="s">
        <v>328</v>
      </c>
      <c r="B15" s="285" t="s">
        <v>875</v>
      </c>
      <c r="C15" s="1" t="s">
        <v>789</v>
      </c>
      <c r="D15" s="1" t="s">
        <v>789</v>
      </c>
      <c r="E15" s="1" t="s">
        <v>789</v>
      </c>
      <c r="F15" s="1" t="s">
        <v>789</v>
      </c>
      <c r="G15" s="1" t="s">
        <v>789</v>
      </c>
      <c r="H15" s="1" t="s">
        <v>789</v>
      </c>
      <c r="I15" s="1" t="s">
        <v>789</v>
      </c>
      <c r="J15" s="1" t="s">
        <v>789</v>
      </c>
      <c r="K15" s="1" t="s">
        <v>789</v>
      </c>
      <c r="L15" s="1" t="s">
        <v>789</v>
      </c>
      <c r="M15" s="1" t="s">
        <v>789</v>
      </c>
      <c r="N15" s="1" t="s">
        <v>789</v>
      </c>
      <c r="O15" s="1" t="s">
        <v>789</v>
      </c>
      <c r="P15" s="1" t="s">
        <v>789</v>
      </c>
      <c r="Q15" s="1" t="s">
        <v>789</v>
      </c>
      <c r="R15" s="1" t="s">
        <v>789</v>
      </c>
      <c r="S15" s="1" t="s">
        <v>789</v>
      </c>
      <c r="T15" s="1" t="s">
        <v>789</v>
      </c>
      <c r="U15" s="1" t="s">
        <v>789</v>
      </c>
      <c r="V15" s="1" t="s">
        <v>789</v>
      </c>
      <c r="W15" s="1" t="s">
        <v>789</v>
      </c>
      <c r="X15" s="1" t="s">
        <v>789</v>
      </c>
      <c r="Y15" s="1" t="s">
        <v>789</v>
      </c>
      <c r="Z15" s="1" t="s">
        <v>789</v>
      </c>
      <c r="AA15" s="1" t="s">
        <v>789</v>
      </c>
      <c r="AB15" s="1" t="s">
        <v>789</v>
      </c>
      <c r="AC15" s="1" t="s">
        <v>789</v>
      </c>
      <c r="AD15" s="1" t="s">
        <v>789</v>
      </c>
      <c r="AE15" s="1" t="s">
        <v>789</v>
      </c>
      <c r="AF15" s="1" t="s">
        <v>789</v>
      </c>
      <c r="AG15" s="1" t="s">
        <v>789</v>
      </c>
      <c r="AH15" s="1" t="s">
        <v>789</v>
      </c>
      <c r="AI15" s="502">
        <v>44412.229194178202</v>
      </c>
    </row>
    <row r="16" spans="1:35">
      <c r="A16" s="1" t="s">
        <v>328</v>
      </c>
      <c r="B16" s="285" t="s">
        <v>876</v>
      </c>
      <c r="C16" s="1" t="s">
        <v>787</v>
      </c>
      <c r="D16" s="1" t="s">
        <v>788</v>
      </c>
      <c r="E16" s="1" t="s">
        <v>799</v>
      </c>
      <c r="F16" s="1" t="s">
        <v>804</v>
      </c>
      <c r="G16" s="1" t="s">
        <v>789</v>
      </c>
      <c r="H16" s="1" t="s">
        <v>789</v>
      </c>
      <c r="I16" s="1" t="s">
        <v>793</v>
      </c>
      <c r="J16" s="1" t="s">
        <v>792</v>
      </c>
      <c r="K16" s="1" t="s">
        <v>792</v>
      </c>
      <c r="L16" s="1" t="s">
        <v>789</v>
      </c>
      <c r="M16" s="1" t="s">
        <v>842</v>
      </c>
      <c r="N16" s="1" t="s">
        <v>789</v>
      </c>
      <c r="O16" s="1" t="s">
        <v>798</v>
      </c>
      <c r="P16" s="1" t="s">
        <v>788</v>
      </c>
      <c r="Q16" s="1" t="s">
        <v>797</v>
      </c>
      <c r="R16" s="1" t="s">
        <v>874</v>
      </c>
      <c r="S16" s="1" t="s">
        <v>788</v>
      </c>
      <c r="T16" s="1" t="s">
        <v>804</v>
      </c>
      <c r="U16" s="1" t="s">
        <v>789</v>
      </c>
      <c r="V16" s="1" t="s">
        <v>792</v>
      </c>
      <c r="W16" s="1" t="s">
        <v>787</v>
      </c>
      <c r="X16" s="1" t="s">
        <v>798</v>
      </c>
      <c r="Y16" s="1" t="s">
        <v>799</v>
      </c>
      <c r="Z16" s="1" t="s">
        <v>789</v>
      </c>
      <c r="AA16" s="1" t="s">
        <v>789</v>
      </c>
      <c r="AB16" s="1" t="s">
        <v>789</v>
      </c>
      <c r="AC16" s="1" t="s">
        <v>877</v>
      </c>
      <c r="AD16" s="1" t="s">
        <v>867</v>
      </c>
      <c r="AE16" s="1" t="s">
        <v>786</v>
      </c>
      <c r="AF16" s="1" t="s">
        <v>790</v>
      </c>
      <c r="AG16" s="1" t="s">
        <v>786</v>
      </c>
      <c r="AH16" s="1" t="s">
        <v>787</v>
      </c>
      <c r="AI16" s="502">
        <v>44412.229194178202</v>
      </c>
    </row>
    <row r="17" spans="1:35">
      <c r="A17" s="1" t="s">
        <v>328</v>
      </c>
      <c r="B17" s="275" t="s">
        <v>878</v>
      </c>
      <c r="C17" s="1" t="s">
        <v>789</v>
      </c>
      <c r="D17" s="1" t="s">
        <v>789</v>
      </c>
      <c r="E17" s="1" t="s">
        <v>789</v>
      </c>
      <c r="F17" s="1" t="s">
        <v>789</v>
      </c>
      <c r="G17" s="1" t="s">
        <v>789</v>
      </c>
      <c r="H17" s="1" t="s">
        <v>789</v>
      </c>
      <c r="I17" s="1" t="s">
        <v>789</v>
      </c>
      <c r="J17" s="1" t="s">
        <v>789</v>
      </c>
      <c r="K17" s="1" t="s">
        <v>789</v>
      </c>
      <c r="L17" s="1" t="s">
        <v>789</v>
      </c>
      <c r="M17" s="1" t="s">
        <v>789</v>
      </c>
      <c r="N17" s="1" t="s">
        <v>789</v>
      </c>
      <c r="O17" s="1" t="s">
        <v>789</v>
      </c>
      <c r="P17" s="1" t="s">
        <v>789</v>
      </c>
      <c r="Q17" s="1" t="s">
        <v>789</v>
      </c>
      <c r="R17" s="1" t="s">
        <v>789</v>
      </c>
      <c r="S17" s="1" t="s">
        <v>789</v>
      </c>
      <c r="T17" s="1" t="s">
        <v>789</v>
      </c>
      <c r="U17" s="1" t="s">
        <v>789</v>
      </c>
      <c r="V17" s="1" t="s">
        <v>789</v>
      </c>
      <c r="W17" s="1" t="s">
        <v>789</v>
      </c>
      <c r="X17" s="1" t="s">
        <v>789</v>
      </c>
      <c r="Y17" s="1" t="s">
        <v>789</v>
      </c>
      <c r="Z17" s="1" t="s">
        <v>789</v>
      </c>
      <c r="AA17" s="1" t="s">
        <v>789</v>
      </c>
      <c r="AB17" s="1" t="s">
        <v>789</v>
      </c>
      <c r="AC17" s="1" t="s">
        <v>789</v>
      </c>
      <c r="AD17" s="1" t="s">
        <v>789</v>
      </c>
      <c r="AE17" s="1" t="s">
        <v>789</v>
      </c>
      <c r="AF17" s="1" t="s">
        <v>789</v>
      </c>
      <c r="AG17" s="1" t="s">
        <v>789</v>
      </c>
      <c r="AH17" s="1" t="s">
        <v>789</v>
      </c>
      <c r="AI17" s="502">
        <v>44412.229194178202</v>
      </c>
    </row>
    <row r="18" spans="1:35">
      <c r="A18" s="1" t="s">
        <v>328</v>
      </c>
      <c r="B18" s="275" t="s">
        <v>879</v>
      </c>
      <c r="C18" s="1" t="s">
        <v>789</v>
      </c>
      <c r="D18" s="1" t="s">
        <v>789</v>
      </c>
      <c r="E18" s="1" t="s">
        <v>789</v>
      </c>
      <c r="F18" s="1" t="s">
        <v>789</v>
      </c>
      <c r="G18" s="1" t="s">
        <v>789</v>
      </c>
      <c r="H18" s="1" t="s">
        <v>789</v>
      </c>
      <c r="I18" s="1" t="s">
        <v>789</v>
      </c>
      <c r="J18" s="1" t="s">
        <v>789</v>
      </c>
      <c r="K18" s="1" t="s">
        <v>789</v>
      </c>
      <c r="L18" s="1" t="s">
        <v>789</v>
      </c>
      <c r="M18" s="1" t="s">
        <v>789</v>
      </c>
      <c r="N18" s="1" t="s">
        <v>789</v>
      </c>
      <c r="O18" s="1" t="s">
        <v>789</v>
      </c>
      <c r="P18" s="1" t="s">
        <v>789</v>
      </c>
      <c r="Q18" s="1" t="s">
        <v>789</v>
      </c>
      <c r="R18" s="1" t="s">
        <v>789</v>
      </c>
      <c r="S18" s="1" t="s">
        <v>789</v>
      </c>
      <c r="T18" s="1" t="s">
        <v>789</v>
      </c>
      <c r="U18" s="1" t="s">
        <v>789</v>
      </c>
      <c r="V18" s="1" t="s">
        <v>789</v>
      </c>
      <c r="W18" s="1" t="s">
        <v>789</v>
      </c>
      <c r="X18" s="1" t="s">
        <v>789</v>
      </c>
      <c r="Y18" s="1" t="s">
        <v>789</v>
      </c>
      <c r="Z18" s="1" t="s">
        <v>789</v>
      </c>
      <c r="AA18" s="1" t="s">
        <v>789</v>
      </c>
      <c r="AB18" s="1" t="s">
        <v>789</v>
      </c>
      <c r="AC18" s="1" t="s">
        <v>789</v>
      </c>
      <c r="AD18" s="1" t="s">
        <v>789</v>
      </c>
      <c r="AE18" s="1" t="s">
        <v>789</v>
      </c>
      <c r="AF18" s="1" t="s">
        <v>789</v>
      </c>
      <c r="AG18" s="1" t="s">
        <v>789</v>
      </c>
      <c r="AH18" s="1" t="s">
        <v>789</v>
      </c>
      <c r="AI18" s="502">
        <v>44412.229194178202</v>
      </c>
    </row>
    <row r="19" spans="1:35">
      <c r="A19" s="1" t="s">
        <v>328</v>
      </c>
      <c r="B19" s="275" t="s">
        <v>880</v>
      </c>
      <c r="C19" s="1" t="s">
        <v>789</v>
      </c>
      <c r="D19" s="1" t="s">
        <v>789</v>
      </c>
      <c r="E19" s="1" t="s">
        <v>789</v>
      </c>
      <c r="F19" s="1" t="s">
        <v>789</v>
      </c>
      <c r="G19" s="1" t="s">
        <v>789</v>
      </c>
      <c r="H19" s="1" t="s">
        <v>789</v>
      </c>
      <c r="I19" s="1" t="s">
        <v>789</v>
      </c>
      <c r="J19" s="1" t="s">
        <v>789</v>
      </c>
      <c r="K19" s="1" t="s">
        <v>789</v>
      </c>
      <c r="L19" s="1" t="s">
        <v>789</v>
      </c>
      <c r="M19" s="1" t="s">
        <v>789</v>
      </c>
      <c r="N19" s="1" t="s">
        <v>789</v>
      </c>
      <c r="O19" s="1" t="s">
        <v>789</v>
      </c>
      <c r="P19" s="1" t="s">
        <v>789</v>
      </c>
      <c r="Q19" s="1" t="s">
        <v>789</v>
      </c>
      <c r="R19" s="1" t="s">
        <v>789</v>
      </c>
      <c r="S19" s="1" t="s">
        <v>789</v>
      </c>
      <c r="T19" s="1" t="s">
        <v>789</v>
      </c>
      <c r="U19" s="1" t="s">
        <v>789</v>
      </c>
      <c r="V19" s="1" t="s">
        <v>789</v>
      </c>
      <c r="W19" s="1" t="s">
        <v>789</v>
      </c>
      <c r="X19" s="1" t="s">
        <v>789</v>
      </c>
      <c r="Y19" s="1" t="s">
        <v>789</v>
      </c>
      <c r="Z19" s="1" t="s">
        <v>789</v>
      </c>
      <c r="AA19" s="1" t="s">
        <v>789</v>
      </c>
      <c r="AB19" s="1" t="s">
        <v>789</v>
      </c>
      <c r="AC19" s="1" t="s">
        <v>789</v>
      </c>
      <c r="AD19" s="1" t="s">
        <v>789</v>
      </c>
      <c r="AE19" s="1" t="s">
        <v>789</v>
      </c>
      <c r="AF19" s="1" t="s">
        <v>789</v>
      </c>
      <c r="AG19" s="1" t="s">
        <v>789</v>
      </c>
      <c r="AH19" s="1" t="s">
        <v>789</v>
      </c>
      <c r="AI19" s="502">
        <v>44412.229194178202</v>
      </c>
    </row>
    <row r="20" spans="1:35">
      <c r="A20" s="1" t="s">
        <v>328</v>
      </c>
      <c r="B20" s="275" t="s">
        <v>881</v>
      </c>
      <c r="C20" s="1" t="s">
        <v>789</v>
      </c>
      <c r="D20" s="1" t="s">
        <v>789</v>
      </c>
      <c r="E20" s="1" t="s">
        <v>789</v>
      </c>
      <c r="F20" s="1" t="s">
        <v>789</v>
      </c>
      <c r="G20" s="1" t="s">
        <v>789</v>
      </c>
      <c r="H20" s="1" t="s">
        <v>789</v>
      </c>
      <c r="I20" s="1" t="s">
        <v>789</v>
      </c>
      <c r="J20" s="1" t="s">
        <v>789</v>
      </c>
      <c r="K20" s="1" t="s">
        <v>789</v>
      </c>
      <c r="L20" s="1" t="s">
        <v>789</v>
      </c>
      <c r="M20" s="1" t="s">
        <v>789</v>
      </c>
      <c r="N20" s="1" t="s">
        <v>789</v>
      </c>
      <c r="O20" s="1" t="s">
        <v>789</v>
      </c>
      <c r="P20" s="1" t="s">
        <v>789</v>
      </c>
      <c r="Q20" s="1" t="s">
        <v>789</v>
      </c>
      <c r="R20" s="1" t="s">
        <v>789</v>
      </c>
      <c r="S20" s="1" t="s">
        <v>789</v>
      </c>
      <c r="T20" s="1" t="s">
        <v>789</v>
      </c>
      <c r="U20" s="1" t="s">
        <v>789</v>
      </c>
      <c r="V20" s="1" t="s">
        <v>789</v>
      </c>
      <c r="W20" s="1" t="s">
        <v>789</v>
      </c>
      <c r="X20" s="1" t="s">
        <v>789</v>
      </c>
      <c r="Y20" s="1" t="s">
        <v>789</v>
      </c>
      <c r="Z20" s="1" t="s">
        <v>789</v>
      </c>
      <c r="AA20" s="1" t="s">
        <v>789</v>
      </c>
      <c r="AB20" s="1" t="s">
        <v>789</v>
      </c>
      <c r="AC20" s="1" t="s">
        <v>789</v>
      </c>
      <c r="AD20" s="1" t="s">
        <v>789</v>
      </c>
      <c r="AE20" s="1" t="s">
        <v>789</v>
      </c>
      <c r="AF20" s="1" t="s">
        <v>789</v>
      </c>
      <c r="AG20" s="1" t="s">
        <v>789</v>
      </c>
      <c r="AH20" s="1" t="s">
        <v>789</v>
      </c>
      <c r="AI20" s="502">
        <v>44412.229194178202</v>
      </c>
    </row>
    <row r="21" spans="1:35">
      <c r="A21" s="1" t="s">
        <v>328</v>
      </c>
      <c r="B21" s="275" t="s">
        <v>882</v>
      </c>
      <c r="C21" s="1" t="s">
        <v>796</v>
      </c>
      <c r="D21" s="1" t="s">
        <v>796</v>
      </c>
      <c r="E21" s="1" t="s">
        <v>796</v>
      </c>
      <c r="F21" s="1" t="s">
        <v>796</v>
      </c>
      <c r="G21" s="1" t="s">
        <v>789</v>
      </c>
      <c r="H21" s="1" t="s">
        <v>789</v>
      </c>
      <c r="I21" s="1" t="s">
        <v>796</v>
      </c>
      <c r="J21" s="1" t="s">
        <v>796</v>
      </c>
      <c r="K21" s="1" t="s">
        <v>796</v>
      </c>
      <c r="L21" s="1" t="s">
        <v>789</v>
      </c>
      <c r="M21" s="1" t="s">
        <v>796</v>
      </c>
      <c r="N21" s="1" t="s">
        <v>789</v>
      </c>
      <c r="O21" s="1" t="s">
        <v>796</v>
      </c>
      <c r="P21" s="1" t="s">
        <v>796</v>
      </c>
      <c r="Q21" s="1" t="s">
        <v>796</v>
      </c>
      <c r="R21" s="1" t="s">
        <v>796</v>
      </c>
      <c r="S21" s="1" t="s">
        <v>796</v>
      </c>
      <c r="T21" s="1" t="s">
        <v>796</v>
      </c>
      <c r="U21" s="1" t="s">
        <v>789</v>
      </c>
      <c r="V21" s="1" t="s">
        <v>796</v>
      </c>
      <c r="W21" s="1" t="s">
        <v>796</v>
      </c>
      <c r="X21" s="1" t="s">
        <v>796</v>
      </c>
      <c r="Y21" s="1" t="s">
        <v>796</v>
      </c>
      <c r="Z21" s="1" t="s">
        <v>789</v>
      </c>
      <c r="AA21" s="1" t="s">
        <v>789</v>
      </c>
      <c r="AB21" s="1" t="s">
        <v>789</v>
      </c>
      <c r="AC21" s="1" t="s">
        <v>796</v>
      </c>
      <c r="AD21" s="1" t="s">
        <v>796</v>
      </c>
      <c r="AE21" s="1" t="s">
        <v>796</v>
      </c>
      <c r="AF21" s="1" t="s">
        <v>796</v>
      </c>
      <c r="AG21" s="1" t="s">
        <v>796</v>
      </c>
      <c r="AH21" s="1" t="s">
        <v>796</v>
      </c>
      <c r="AI21" s="502">
        <v>44412.229194178202</v>
      </c>
    </row>
    <row r="22" spans="1:35">
      <c r="A22" s="1" t="s">
        <v>328</v>
      </c>
      <c r="B22" s="275" t="s">
        <v>883</v>
      </c>
      <c r="C22" s="1" t="s">
        <v>789</v>
      </c>
      <c r="D22" s="1" t="s">
        <v>789</v>
      </c>
      <c r="E22" s="1" t="s">
        <v>789</v>
      </c>
      <c r="F22" s="1" t="s">
        <v>789</v>
      </c>
      <c r="G22" s="1" t="s">
        <v>789</v>
      </c>
      <c r="H22" s="1" t="s">
        <v>789</v>
      </c>
      <c r="I22" s="1" t="s">
        <v>789</v>
      </c>
      <c r="J22" s="1" t="s">
        <v>789</v>
      </c>
      <c r="K22" s="1" t="s">
        <v>789</v>
      </c>
      <c r="L22" s="1" t="s">
        <v>789</v>
      </c>
      <c r="M22" s="1" t="s">
        <v>789</v>
      </c>
      <c r="N22" s="1" t="s">
        <v>789</v>
      </c>
      <c r="O22" s="1" t="s">
        <v>789</v>
      </c>
      <c r="P22" s="1" t="s">
        <v>789</v>
      </c>
      <c r="Q22" s="1" t="s">
        <v>789</v>
      </c>
      <c r="R22" s="1" t="s">
        <v>789</v>
      </c>
      <c r="S22" s="1" t="s">
        <v>789</v>
      </c>
      <c r="T22" s="1" t="s">
        <v>789</v>
      </c>
      <c r="U22" s="1" t="s">
        <v>789</v>
      </c>
      <c r="V22" s="1" t="s">
        <v>789</v>
      </c>
      <c r="W22" s="1" t="s">
        <v>789</v>
      </c>
      <c r="X22" s="1" t="s">
        <v>789</v>
      </c>
      <c r="Y22" s="1" t="s">
        <v>789</v>
      </c>
      <c r="Z22" s="1" t="s">
        <v>789</v>
      </c>
      <c r="AA22" s="1" t="s">
        <v>789</v>
      </c>
      <c r="AB22" s="1" t="s">
        <v>789</v>
      </c>
      <c r="AC22" s="1" t="s">
        <v>789</v>
      </c>
      <c r="AD22" s="1" t="s">
        <v>789</v>
      </c>
      <c r="AE22" s="1" t="s">
        <v>789</v>
      </c>
      <c r="AF22" s="1" t="s">
        <v>789</v>
      </c>
      <c r="AG22" s="1" t="s">
        <v>789</v>
      </c>
      <c r="AH22" s="1" t="s">
        <v>789</v>
      </c>
      <c r="AI22" s="502">
        <v>44412.229194178202</v>
      </c>
    </row>
    <row r="23" spans="1:35">
      <c r="A23" s="503" t="s">
        <v>328</v>
      </c>
      <c r="B23" s="275" t="s">
        <v>884</v>
      </c>
      <c r="C23" s="503" t="s">
        <v>885</v>
      </c>
      <c r="D23" s="503" t="s">
        <v>886</v>
      </c>
      <c r="E23" s="503" t="s">
        <v>887</v>
      </c>
      <c r="F23" s="503" t="s">
        <v>848</v>
      </c>
      <c r="G23" s="503" t="s">
        <v>789</v>
      </c>
      <c r="H23" s="503" t="s">
        <v>789</v>
      </c>
      <c r="I23" s="503" t="s">
        <v>888</v>
      </c>
      <c r="J23" s="503" t="s">
        <v>889</v>
      </c>
      <c r="K23" s="503" t="s">
        <v>845</v>
      </c>
      <c r="L23" s="503" t="s">
        <v>789</v>
      </c>
      <c r="M23" s="503" t="s">
        <v>890</v>
      </c>
      <c r="N23" s="503" t="s">
        <v>789</v>
      </c>
      <c r="O23" s="503" t="s">
        <v>891</v>
      </c>
      <c r="P23" s="503" t="s">
        <v>892</v>
      </c>
      <c r="Q23" s="503" t="s">
        <v>893</v>
      </c>
      <c r="R23" s="503" t="s">
        <v>834</v>
      </c>
      <c r="S23" s="503" t="s">
        <v>894</v>
      </c>
      <c r="T23" s="503" t="s">
        <v>873</v>
      </c>
      <c r="U23" s="503" t="s">
        <v>789</v>
      </c>
      <c r="V23" s="503" t="s">
        <v>895</v>
      </c>
      <c r="W23" s="503" t="s">
        <v>794</v>
      </c>
      <c r="X23" s="503" t="s">
        <v>894</v>
      </c>
      <c r="Y23" s="503" t="s">
        <v>896</v>
      </c>
      <c r="Z23" s="503" t="s">
        <v>789</v>
      </c>
      <c r="AA23" s="503" t="s">
        <v>789</v>
      </c>
      <c r="AB23" s="503" t="s">
        <v>789</v>
      </c>
      <c r="AC23" s="503" t="s">
        <v>819</v>
      </c>
      <c r="AD23" s="503" t="s">
        <v>860</v>
      </c>
      <c r="AE23" s="503" t="s">
        <v>897</v>
      </c>
      <c r="AF23" s="503" t="s">
        <v>898</v>
      </c>
      <c r="AG23" s="503" t="s">
        <v>899</v>
      </c>
      <c r="AH23" s="503" t="s">
        <v>900</v>
      </c>
      <c r="AI23" s="502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901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785</v>
      </c>
    </row>
    <row r="2" spans="1:36">
      <c r="A2" s="1" t="s">
        <v>328</v>
      </c>
      <c r="B2" s="275" t="s">
        <v>364</v>
      </c>
      <c r="C2" s="1" t="s">
        <v>236</v>
      </c>
      <c r="D2" s="1" t="s">
        <v>788</v>
      </c>
      <c r="E2" s="1" t="s">
        <v>791</v>
      </c>
      <c r="F2" s="1" t="s">
        <v>792</v>
      </c>
      <c r="G2" s="1" t="s">
        <v>792</v>
      </c>
      <c r="H2" s="1" t="s">
        <v>789</v>
      </c>
      <c r="I2" s="1" t="s">
        <v>789</v>
      </c>
      <c r="J2" s="1" t="s">
        <v>786</v>
      </c>
      <c r="K2" s="1" t="s">
        <v>790</v>
      </c>
      <c r="L2" s="1" t="s">
        <v>793</v>
      </c>
      <c r="M2" s="1" t="s">
        <v>789</v>
      </c>
      <c r="N2" s="1" t="s">
        <v>795</v>
      </c>
      <c r="O2" s="1" t="s">
        <v>789</v>
      </c>
      <c r="P2" s="1" t="s">
        <v>854</v>
      </c>
      <c r="Q2" s="1" t="s">
        <v>788</v>
      </c>
      <c r="R2" s="1" t="s">
        <v>793</v>
      </c>
      <c r="S2" s="1" t="s">
        <v>798</v>
      </c>
      <c r="T2" s="1" t="s">
        <v>797</v>
      </c>
      <c r="U2" s="1" t="s">
        <v>839</v>
      </c>
      <c r="V2" s="1" t="s">
        <v>789</v>
      </c>
      <c r="W2" s="1" t="s">
        <v>795</v>
      </c>
      <c r="X2" s="1" t="s">
        <v>791</v>
      </c>
      <c r="Y2" s="1" t="s">
        <v>842</v>
      </c>
      <c r="Z2" s="1" t="s">
        <v>791</v>
      </c>
      <c r="AA2" s="1" t="s">
        <v>796</v>
      </c>
      <c r="AB2" s="1" t="s">
        <v>789</v>
      </c>
      <c r="AC2" s="1" t="s">
        <v>789</v>
      </c>
      <c r="AD2" s="1" t="s">
        <v>790</v>
      </c>
      <c r="AE2" s="1" t="s">
        <v>787</v>
      </c>
      <c r="AF2" s="1" t="s">
        <v>791</v>
      </c>
      <c r="AG2" s="1" t="s">
        <v>788</v>
      </c>
      <c r="AH2" s="1" t="s">
        <v>798</v>
      </c>
      <c r="AI2" s="1" t="s">
        <v>786</v>
      </c>
      <c r="AJ2" s="502">
        <v>43056.229596249999</v>
      </c>
    </row>
    <row r="3" spans="1:36">
      <c r="A3" s="1" t="s">
        <v>328</v>
      </c>
      <c r="B3" s="275" t="s">
        <v>364</v>
      </c>
      <c r="C3" s="1" t="s">
        <v>237</v>
      </c>
      <c r="D3" s="1" t="s">
        <v>797</v>
      </c>
      <c r="E3" s="1" t="s">
        <v>792</v>
      </c>
      <c r="F3" s="1" t="s">
        <v>788</v>
      </c>
      <c r="G3" s="1" t="s">
        <v>797</v>
      </c>
      <c r="H3" s="1" t="s">
        <v>789</v>
      </c>
      <c r="I3" s="1" t="s">
        <v>789</v>
      </c>
      <c r="J3" s="1" t="s">
        <v>792</v>
      </c>
      <c r="K3" s="1" t="s">
        <v>788</v>
      </c>
      <c r="L3" s="1" t="s">
        <v>792</v>
      </c>
      <c r="M3" s="1" t="s">
        <v>789</v>
      </c>
      <c r="N3" s="1" t="s">
        <v>800</v>
      </c>
      <c r="O3" s="1" t="s">
        <v>789</v>
      </c>
      <c r="P3" s="1" t="s">
        <v>795</v>
      </c>
      <c r="Q3" s="1" t="s">
        <v>792</v>
      </c>
      <c r="R3" s="1" t="s">
        <v>787</v>
      </c>
      <c r="S3" s="1" t="s">
        <v>793</v>
      </c>
      <c r="T3" s="1" t="s">
        <v>797</v>
      </c>
      <c r="U3" s="1" t="s">
        <v>899</v>
      </c>
      <c r="V3" s="1" t="s">
        <v>789</v>
      </c>
      <c r="W3" s="1" t="s">
        <v>795</v>
      </c>
      <c r="X3" s="1" t="s">
        <v>795</v>
      </c>
      <c r="Y3" s="1" t="s">
        <v>787</v>
      </c>
      <c r="Z3" s="1" t="s">
        <v>788</v>
      </c>
      <c r="AA3" s="1" t="s">
        <v>796</v>
      </c>
      <c r="AB3" s="1" t="s">
        <v>789</v>
      </c>
      <c r="AC3" s="1" t="s">
        <v>789</v>
      </c>
      <c r="AD3" s="1" t="s">
        <v>786</v>
      </c>
      <c r="AE3" s="1" t="s">
        <v>786</v>
      </c>
      <c r="AF3" s="1" t="s">
        <v>786</v>
      </c>
      <c r="AG3" s="1" t="s">
        <v>792</v>
      </c>
      <c r="AH3" s="1" t="s">
        <v>790</v>
      </c>
      <c r="AI3" s="1" t="s">
        <v>788</v>
      </c>
      <c r="AJ3" s="502">
        <v>43056.229596249999</v>
      </c>
    </row>
    <row r="4" spans="1:36">
      <c r="A4" s="1" t="s">
        <v>328</v>
      </c>
      <c r="B4" s="275" t="s">
        <v>364</v>
      </c>
      <c r="C4" s="1" t="s">
        <v>902</v>
      </c>
      <c r="D4" s="1" t="s">
        <v>831</v>
      </c>
      <c r="E4" s="1" t="s">
        <v>832</v>
      </c>
      <c r="F4" s="1" t="s">
        <v>806</v>
      </c>
      <c r="G4" s="1" t="s">
        <v>831</v>
      </c>
      <c r="H4" s="1" t="s">
        <v>789</v>
      </c>
      <c r="I4" s="1" t="s">
        <v>789</v>
      </c>
      <c r="J4" s="1" t="s">
        <v>801</v>
      </c>
      <c r="K4" s="1" t="s">
        <v>805</v>
      </c>
      <c r="L4" s="1" t="s">
        <v>837</v>
      </c>
      <c r="M4" s="1" t="s">
        <v>789</v>
      </c>
      <c r="N4" s="1" t="s">
        <v>833</v>
      </c>
      <c r="O4" s="1" t="s">
        <v>789</v>
      </c>
      <c r="P4" s="1" t="s">
        <v>806</v>
      </c>
      <c r="Q4" s="1" t="s">
        <v>842</v>
      </c>
      <c r="R4" s="1" t="s">
        <v>833</v>
      </c>
      <c r="S4" s="1" t="s">
        <v>903</v>
      </c>
      <c r="T4" s="1" t="s">
        <v>874</v>
      </c>
      <c r="U4" s="1" t="s">
        <v>795</v>
      </c>
      <c r="V4" s="1" t="s">
        <v>789</v>
      </c>
      <c r="W4" s="1" t="s">
        <v>903</v>
      </c>
      <c r="X4" s="1" t="s">
        <v>874</v>
      </c>
      <c r="Y4" s="1" t="s">
        <v>792</v>
      </c>
      <c r="Z4" s="1" t="s">
        <v>801</v>
      </c>
      <c r="AA4" s="1" t="s">
        <v>789</v>
      </c>
      <c r="AB4" s="1" t="s">
        <v>789</v>
      </c>
      <c r="AC4" s="1" t="s">
        <v>789</v>
      </c>
      <c r="AD4" s="1" t="s">
        <v>801</v>
      </c>
      <c r="AE4" s="1" t="s">
        <v>903</v>
      </c>
      <c r="AF4" s="1" t="s">
        <v>903</v>
      </c>
      <c r="AG4" s="1" t="s">
        <v>831</v>
      </c>
      <c r="AH4" s="1" t="s">
        <v>831</v>
      </c>
      <c r="AI4" s="1" t="s">
        <v>801</v>
      </c>
      <c r="AJ4" s="502">
        <v>43056.229596249999</v>
      </c>
    </row>
    <row r="5" spans="1:36">
      <c r="A5" s="1" t="s">
        <v>328</v>
      </c>
      <c r="B5" s="275" t="s">
        <v>364</v>
      </c>
      <c r="C5" s="1" t="s">
        <v>904</v>
      </c>
      <c r="D5" s="1" t="s">
        <v>792</v>
      </c>
      <c r="E5" s="1" t="s">
        <v>797</v>
      </c>
      <c r="F5" s="1" t="s">
        <v>795</v>
      </c>
      <c r="G5" s="1" t="s">
        <v>795</v>
      </c>
      <c r="H5" s="1" t="s">
        <v>789</v>
      </c>
      <c r="I5" s="1" t="s">
        <v>789</v>
      </c>
      <c r="J5" s="1" t="s">
        <v>792</v>
      </c>
      <c r="K5" s="1" t="s">
        <v>797</v>
      </c>
      <c r="L5" s="1" t="s">
        <v>786</v>
      </c>
      <c r="M5" s="1" t="s">
        <v>789</v>
      </c>
      <c r="N5" s="1" t="s">
        <v>800</v>
      </c>
      <c r="O5" s="1" t="s">
        <v>789</v>
      </c>
      <c r="P5" s="1" t="s">
        <v>788</v>
      </c>
      <c r="Q5" s="1" t="s">
        <v>797</v>
      </c>
      <c r="R5" s="1" t="s">
        <v>787</v>
      </c>
      <c r="S5" s="1" t="s">
        <v>797</v>
      </c>
      <c r="T5" s="1" t="s">
        <v>792</v>
      </c>
      <c r="U5" s="1" t="s">
        <v>843</v>
      </c>
      <c r="V5" s="1" t="s">
        <v>789</v>
      </c>
      <c r="W5" s="1" t="s">
        <v>798</v>
      </c>
      <c r="X5" s="1" t="s">
        <v>797</v>
      </c>
      <c r="Y5" s="1" t="s">
        <v>792</v>
      </c>
      <c r="Z5" s="1" t="s">
        <v>788</v>
      </c>
      <c r="AA5" s="1" t="s">
        <v>796</v>
      </c>
      <c r="AB5" s="1" t="s">
        <v>789</v>
      </c>
      <c r="AC5" s="1" t="s">
        <v>789</v>
      </c>
      <c r="AD5" s="1" t="s">
        <v>786</v>
      </c>
      <c r="AE5" s="1" t="s">
        <v>788</v>
      </c>
      <c r="AF5" s="1" t="s">
        <v>786</v>
      </c>
      <c r="AG5" s="1" t="s">
        <v>795</v>
      </c>
      <c r="AH5" s="1" t="s">
        <v>792</v>
      </c>
      <c r="AI5" s="1" t="s">
        <v>797</v>
      </c>
      <c r="AJ5" s="502">
        <v>43056.229596249999</v>
      </c>
    </row>
    <row r="6" spans="1:36">
      <c r="A6" s="1" t="s">
        <v>328</v>
      </c>
      <c r="B6" s="275" t="s">
        <v>398</v>
      </c>
      <c r="C6" s="1" t="s">
        <v>904</v>
      </c>
      <c r="D6" s="1" t="s">
        <v>800</v>
      </c>
      <c r="E6" s="1" t="s">
        <v>833</v>
      </c>
      <c r="F6" s="1" t="s">
        <v>833</v>
      </c>
      <c r="G6" s="1" t="s">
        <v>792</v>
      </c>
      <c r="H6" s="1" t="s">
        <v>789</v>
      </c>
      <c r="I6" s="1" t="s">
        <v>789</v>
      </c>
      <c r="J6" s="1" t="s">
        <v>801</v>
      </c>
      <c r="K6" s="1" t="s">
        <v>903</v>
      </c>
      <c r="L6" s="1" t="s">
        <v>800</v>
      </c>
      <c r="M6" s="1" t="s">
        <v>789</v>
      </c>
      <c r="N6" s="1" t="s">
        <v>837</v>
      </c>
      <c r="O6" s="1" t="s">
        <v>789</v>
      </c>
      <c r="P6" s="1" t="s">
        <v>803</v>
      </c>
      <c r="Q6" s="1" t="s">
        <v>803</v>
      </c>
      <c r="R6" s="1" t="s">
        <v>874</v>
      </c>
      <c r="S6" s="1" t="s">
        <v>831</v>
      </c>
      <c r="T6" s="1" t="s">
        <v>798</v>
      </c>
      <c r="U6" s="1" t="s">
        <v>790</v>
      </c>
      <c r="V6" s="1" t="s">
        <v>789</v>
      </c>
      <c r="W6" s="1" t="s">
        <v>874</v>
      </c>
      <c r="X6" s="1" t="s">
        <v>874</v>
      </c>
      <c r="Y6" s="1" t="s">
        <v>803</v>
      </c>
      <c r="Z6" s="1" t="s">
        <v>800</v>
      </c>
      <c r="AA6" s="1" t="s">
        <v>789</v>
      </c>
      <c r="AB6" s="1" t="s">
        <v>789</v>
      </c>
      <c r="AC6" s="1" t="s">
        <v>789</v>
      </c>
      <c r="AD6" s="1" t="s">
        <v>854</v>
      </c>
      <c r="AE6" s="1" t="s">
        <v>905</v>
      </c>
      <c r="AF6" s="1" t="s">
        <v>842</v>
      </c>
      <c r="AG6" s="1" t="s">
        <v>800</v>
      </c>
      <c r="AH6" s="1" t="s">
        <v>800</v>
      </c>
      <c r="AI6" s="1" t="s">
        <v>842</v>
      </c>
      <c r="AJ6" s="502">
        <v>43056.229596249999</v>
      </c>
    </row>
    <row r="7" spans="1:36">
      <c r="A7" s="1" t="s">
        <v>328</v>
      </c>
      <c r="B7" s="275" t="s">
        <v>426</v>
      </c>
      <c r="C7" s="1" t="s">
        <v>904</v>
      </c>
      <c r="D7" s="1" t="s">
        <v>796</v>
      </c>
      <c r="E7" s="1" t="s">
        <v>796</v>
      </c>
      <c r="F7" s="1" t="s">
        <v>796</v>
      </c>
      <c r="G7" s="1" t="s">
        <v>805</v>
      </c>
      <c r="H7" s="1" t="s">
        <v>789</v>
      </c>
      <c r="I7" s="1" t="s">
        <v>789</v>
      </c>
      <c r="J7" s="1" t="s">
        <v>806</v>
      </c>
      <c r="K7" s="1" t="s">
        <v>807</v>
      </c>
      <c r="L7" s="1" t="s">
        <v>807</v>
      </c>
      <c r="M7" s="1" t="s">
        <v>789</v>
      </c>
      <c r="N7" s="1" t="s">
        <v>796</v>
      </c>
      <c r="O7" s="1" t="s">
        <v>789</v>
      </c>
      <c r="P7" s="1" t="s">
        <v>796</v>
      </c>
      <c r="Q7" s="1" t="s">
        <v>808</v>
      </c>
      <c r="R7" s="1" t="s">
        <v>796</v>
      </c>
      <c r="S7" s="1" t="s">
        <v>796</v>
      </c>
      <c r="T7" s="1" t="s">
        <v>796</v>
      </c>
      <c r="U7" s="1" t="s">
        <v>796</v>
      </c>
      <c r="V7" s="1" t="s">
        <v>789</v>
      </c>
      <c r="W7" s="1" t="s">
        <v>796</v>
      </c>
      <c r="X7" s="1" t="s">
        <v>807</v>
      </c>
      <c r="Y7" s="1" t="s">
        <v>796</v>
      </c>
      <c r="Z7" s="1" t="s">
        <v>796</v>
      </c>
      <c r="AA7" s="1" t="s">
        <v>789</v>
      </c>
      <c r="AB7" s="1" t="s">
        <v>789</v>
      </c>
      <c r="AC7" s="1" t="s">
        <v>789</v>
      </c>
      <c r="AD7" s="1" t="s">
        <v>796</v>
      </c>
      <c r="AE7" s="1" t="s">
        <v>796</v>
      </c>
      <c r="AF7" s="1" t="s">
        <v>796</v>
      </c>
      <c r="AG7" s="1" t="s">
        <v>796</v>
      </c>
      <c r="AH7" s="1" t="s">
        <v>796</v>
      </c>
      <c r="AI7" s="1" t="s">
        <v>809</v>
      </c>
      <c r="AJ7" s="502">
        <v>43056.229596249999</v>
      </c>
    </row>
    <row r="8" spans="1:36">
      <c r="A8" s="1" t="s">
        <v>328</v>
      </c>
      <c r="B8" s="275" t="s">
        <v>452</v>
      </c>
      <c r="C8" s="1" t="s">
        <v>904</v>
      </c>
      <c r="D8" s="1" t="s">
        <v>810</v>
      </c>
      <c r="E8" s="1" t="s">
        <v>796</v>
      </c>
      <c r="F8" s="1" t="s">
        <v>906</v>
      </c>
      <c r="G8" s="1" t="s">
        <v>812</v>
      </c>
      <c r="H8" s="1" t="s">
        <v>789</v>
      </c>
      <c r="I8" s="1" t="s">
        <v>789</v>
      </c>
      <c r="J8" s="1" t="s">
        <v>813</v>
      </c>
      <c r="K8" s="1" t="s">
        <v>814</v>
      </c>
      <c r="L8" s="1" t="s">
        <v>815</v>
      </c>
      <c r="M8" s="1" t="s">
        <v>789</v>
      </c>
      <c r="N8" s="1" t="s">
        <v>816</v>
      </c>
      <c r="O8" s="1" t="s">
        <v>789</v>
      </c>
      <c r="P8" s="1" t="s">
        <v>817</v>
      </c>
      <c r="Q8" s="1" t="s">
        <v>818</v>
      </c>
      <c r="R8" s="1" t="s">
        <v>819</v>
      </c>
      <c r="S8" s="1" t="s">
        <v>907</v>
      </c>
      <c r="T8" s="1" t="s">
        <v>812</v>
      </c>
      <c r="U8" s="1" t="s">
        <v>908</v>
      </c>
      <c r="V8" s="1" t="s">
        <v>789</v>
      </c>
      <c r="W8" s="1" t="s">
        <v>822</v>
      </c>
      <c r="X8" s="1" t="s">
        <v>823</v>
      </c>
      <c r="Y8" s="1" t="s">
        <v>824</v>
      </c>
      <c r="Z8" s="1" t="s">
        <v>825</v>
      </c>
      <c r="AA8" s="1" t="s">
        <v>789</v>
      </c>
      <c r="AB8" s="1" t="s">
        <v>789</v>
      </c>
      <c r="AC8" s="1" t="s">
        <v>789</v>
      </c>
      <c r="AD8" s="1" t="s">
        <v>909</v>
      </c>
      <c r="AE8" s="1" t="s">
        <v>850</v>
      </c>
      <c r="AF8" s="1" t="s">
        <v>796</v>
      </c>
      <c r="AG8" s="1" t="s">
        <v>824</v>
      </c>
      <c r="AH8" s="1" t="s">
        <v>829</v>
      </c>
      <c r="AI8" s="1" t="s">
        <v>910</v>
      </c>
      <c r="AJ8" s="502">
        <v>43056.229596249999</v>
      </c>
    </row>
    <row r="9" spans="1:36">
      <c r="A9" s="1" t="s">
        <v>328</v>
      </c>
      <c r="B9" s="275" t="s">
        <v>480</v>
      </c>
      <c r="C9" s="1" t="s">
        <v>904</v>
      </c>
      <c r="D9" s="1" t="s">
        <v>832</v>
      </c>
      <c r="E9" s="1" t="s">
        <v>831</v>
      </c>
      <c r="F9" s="1" t="s">
        <v>806</v>
      </c>
      <c r="G9" s="1" t="s">
        <v>808</v>
      </c>
      <c r="H9" s="1" t="s">
        <v>789</v>
      </c>
      <c r="I9" s="1" t="s">
        <v>789</v>
      </c>
      <c r="J9" s="1" t="s">
        <v>806</v>
      </c>
      <c r="K9" s="1" t="s">
        <v>806</v>
      </c>
      <c r="L9" s="1" t="s">
        <v>805</v>
      </c>
      <c r="M9" s="1" t="s">
        <v>789</v>
      </c>
      <c r="N9" s="1" t="s">
        <v>903</v>
      </c>
      <c r="O9" s="1" t="s">
        <v>789</v>
      </c>
      <c r="P9" s="1" t="s">
        <v>801</v>
      </c>
      <c r="Q9" s="1" t="s">
        <v>805</v>
      </c>
      <c r="R9" s="1" t="s">
        <v>806</v>
      </c>
      <c r="S9" s="1" t="s">
        <v>832</v>
      </c>
      <c r="T9" s="1" t="s">
        <v>806</v>
      </c>
      <c r="U9" s="1" t="s">
        <v>796</v>
      </c>
      <c r="V9" s="1" t="s">
        <v>789</v>
      </c>
      <c r="W9" s="1" t="s">
        <v>831</v>
      </c>
      <c r="X9" s="1" t="s">
        <v>807</v>
      </c>
      <c r="Y9" s="1" t="s">
        <v>831</v>
      </c>
      <c r="Z9" s="1" t="s">
        <v>832</v>
      </c>
      <c r="AA9" s="1" t="s">
        <v>789</v>
      </c>
      <c r="AB9" s="1" t="s">
        <v>789</v>
      </c>
      <c r="AC9" s="1" t="s">
        <v>789</v>
      </c>
      <c r="AD9" s="1" t="s">
        <v>833</v>
      </c>
      <c r="AE9" s="1" t="s">
        <v>903</v>
      </c>
      <c r="AF9" s="1" t="s">
        <v>831</v>
      </c>
      <c r="AG9" s="1" t="s">
        <v>903</v>
      </c>
      <c r="AH9" s="1" t="s">
        <v>831</v>
      </c>
      <c r="AI9" s="1" t="s">
        <v>805</v>
      </c>
      <c r="AJ9" s="502">
        <v>43056.229596249999</v>
      </c>
    </row>
    <row r="10" spans="1:36">
      <c r="A10" s="1" t="s">
        <v>328</v>
      </c>
      <c r="B10" s="275" t="s">
        <v>510</v>
      </c>
      <c r="C10" s="1" t="s">
        <v>904</v>
      </c>
      <c r="D10" s="1" t="s">
        <v>789</v>
      </c>
      <c r="E10" s="1" t="s">
        <v>789</v>
      </c>
      <c r="F10" s="1" t="s">
        <v>789</v>
      </c>
      <c r="G10" s="1" t="s">
        <v>789</v>
      </c>
      <c r="H10" s="1" t="s">
        <v>789</v>
      </c>
      <c r="I10" s="1" t="s">
        <v>789</v>
      </c>
      <c r="J10" s="1" t="s">
        <v>789</v>
      </c>
      <c r="K10" s="1" t="s">
        <v>789</v>
      </c>
      <c r="L10" s="1" t="s">
        <v>789</v>
      </c>
      <c r="M10" s="1" t="s">
        <v>789</v>
      </c>
      <c r="N10" s="1" t="s">
        <v>789</v>
      </c>
      <c r="O10" s="1" t="s">
        <v>789</v>
      </c>
      <c r="P10" s="1" t="s">
        <v>789</v>
      </c>
      <c r="Q10" s="1" t="s">
        <v>789</v>
      </c>
      <c r="R10" s="1" t="s">
        <v>789</v>
      </c>
      <c r="S10" s="1" t="s">
        <v>789</v>
      </c>
      <c r="T10" s="1" t="s">
        <v>789</v>
      </c>
      <c r="U10" s="1" t="s">
        <v>789</v>
      </c>
      <c r="V10" s="1" t="s">
        <v>789</v>
      </c>
      <c r="W10" s="1" t="s">
        <v>789</v>
      </c>
      <c r="X10" s="1" t="s">
        <v>789</v>
      </c>
      <c r="Y10" s="1" t="s">
        <v>789</v>
      </c>
      <c r="Z10" s="1" t="s">
        <v>789</v>
      </c>
      <c r="AA10" s="1" t="s">
        <v>789</v>
      </c>
      <c r="AB10" s="1" t="s">
        <v>789</v>
      </c>
      <c r="AC10" s="1" t="s">
        <v>789</v>
      </c>
      <c r="AD10" s="1" t="s">
        <v>789</v>
      </c>
      <c r="AE10" s="1" t="s">
        <v>789</v>
      </c>
      <c r="AF10" s="1" t="s">
        <v>789</v>
      </c>
      <c r="AG10" s="1" t="s">
        <v>789</v>
      </c>
      <c r="AH10" s="1" t="s">
        <v>789</v>
      </c>
      <c r="AI10" s="1" t="s">
        <v>789</v>
      </c>
      <c r="AJ10" s="502">
        <v>43056.229596249999</v>
      </c>
    </row>
    <row r="11" spans="1:36">
      <c r="A11" s="1" t="s">
        <v>328</v>
      </c>
      <c r="B11" s="275" t="s">
        <v>512</v>
      </c>
      <c r="C11" s="1" t="s">
        <v>904</v>
      </c>
      <c r="D11" s="1" t="s">
        <v>903</v>
      </c>
      <c r="E11" s="1" t="s">
        <v>807</v>
      </c>
      <c r="F11" s="1" t="s">
        <v>796</v>
      </c>
      <c r="G11" s="1" t="s">
        <v>805</v>
      </c>
      <c r="H11" s="1" t="s">
        <v>789</v>
      </c>
      <c r="I11" s="1" t="s">
        <v>789</v>
      </c>
      <c r="J11" s="1" t="s">
        <v>834</v>
      </c>
      <c r="K11" s="1" t="s">
        <v>835</v>
      </c>
      <c r="L11" s="1" t="s">
        <v>836</v>
      </c>
      <c r="M11" s="1" t="s">
        <v>789</v>
      </c>
      <c r="N11" s="1" t="s">
        <v>795</v>
      </c>
      <c r="O11" s="1" t="s">
        <v>789</v>
      </c>
      <c r="P11" s="1" t="s">
        <v>790</v>
      </c>
      <c r="Q11" s="1" t="s">
        <v>798</v>
      </c>
      <c r="R11" s="1" t="s">
        <v>803</v>
      </c>
      <c r="S11" s="1" t="s">
        <v>806</v>
      </c>
      <c r="T11" s="1" t="s">
        <v>805</v>
      </c>
      <c r="U11" s="1" t="s">
        <v>886</v>
      </c>
      <c r="V11" s="1" t="s">
        <v>789</v>
      </c>
      <c r="W11" s="1" t="s">
        <v>839</v>
      </c>
      <c r="X11" s="1" t="s">
        <v>840</v>
      </c>
      <c r="Y11" s="1" t="s">
        <v>792</v>
      </c>
      <c r="Z11" s="1" t="s">
        <v>788</v>
      </c>
      <c r="AA11" s="1" t="s">
        <v>789</v>
      </c>
      <c r="AB11" s="1" t="s">
        <v>789</v>
      </c>
      <c r="AC11" s="1" t="s">
        <v>789</v>
      </c>
      <c r="AD11" s="1" t="s">
        <v>841</v>
      </c>
      <c r="AE11" s="1" t="s">
        <v>842</v>
      </c>
      <c r="AF11" s="1" t="s">
        <v>843</v>
      </c>
      <c r="AG11" s="1" t="s">
        <v>801</v>
      </c>
      <c r="AH11" s="1" t="s">
        <v>831</v>
      </c>
      <c r="AI11" s="1" t="s">
        <v>799</v>
      </c>
      <c r="AJ11" s="502">
        <v>43056.229596249999</v>
      </c>
    </row>
    <row r="12" spans="1:36">
      <c r="A12" s="1" t="s">
        <v>328</v>
      </c>
      <c r="B12" s="275" t="s">
        <v>855</v>
      </c>
      <c r="C12" s="1" t="s">
        <v>904</v>
      </c>
      <c r="D12" s="1" t="s">
        <v>796</v>
      </c>
      <c r="E12" s="1" t="s">
        <v>796</v>
      </c>
      <c r="F12" s="1" t="s">
        <v>796</v>
      </c>
      <c r="G12" s="1" t="s">
        <v>796</v>
      </c>
      <c r="H12" s="1" t="s">
        <v>789</v>
      </c>
      <c r="I12" s="1" t="s">
        <v>789</v>
      </c>
      <c r="J12" s="1" t="s">
        <v>796</v>
      </c>
      <c r="K12" s="1" t="s">
        <v>796</v>
      </c>
      <c r="L12" s="1" t="s">
        <v>796</v>
      </c>
      <c r="M12" s="1" t="s">
        <v>789</v>
      </c>
      <c r="N12" s="1" t="s">
        <v>796</v>
      </c>
      <c r="O12" s="1" t="s">
        <v>789</v>
      </c>
      <c r="P12" s="1" t="s">
        <v>796</v>
      </c>
      <c r="Q12" s="1" t="s">
        <v>796</v>
      </c>
      <c r="R12" s="1" t="s">
        <v>796</v>
      </c>
      <c r="S12" s="1" t="s">
        <v>796</v>
      </c>
      <c r="T12" s="1" t="s">
        <v>796</v>
      </c>
      <c r="U12" s="1" t="s">
        <v>796</v>
      </c>
      <c r="V12" s="1" t="s">
        <v>789</v>
      </c>
      <c r="W12" s="1" t="s">
        <v>796</v>
      </c>
      <c r="X12" s="1" t="s">
        <v>796</v>
      </c>
      <c r="Y12" s="1" t="s">
        <v>796</v>
      </c>
      <c r="Z12" s="1" t="s">
        <v>796</v>
      </c>
      <c r="AA12" s="1" t="s">
        <v>789</v>
      </c>
      <c r="AB12" s="1" t="s">
        <v>789</v>
      </c>
      <c r="AC12" s="1" t="s">
        <v>789</v>
      </c>
      <c r="AD12" s="1" t="s">
        <v>796</v>
      </c>
      <c r="AE12" s="1" t="s">
        <v>796</v>
      </c>
      <c r="AF12" s="1" t="s">
        <v>796</v>
      </c>
      <c r="AG12" s="1" t="s">
        <v>796</v>
      </c>
      <c r="AH12" s="1" t="s">
        <v>796</v>
      </c>
      <c r="AI12" s="1" t="s">
        <v>796</v>
      </c>
      <c r="AJ12" s="502">
        <v>43056.229596249999</v>
      </c>
    </row>
    <row r="13" spans="1:36">
      <c r="A13" s="1" t="s">
        <v>328</v>
      </c>
      <c r="B13" s="275" t="s">
        <v>856</v>
      </c>
      <c r="C13" s="1" t="s">
        <v>904</v>
      </c>
      <c r="D13" s="1" t="s">
        <v>796</v>
      </c>
      <c r="E13" s="1" t="s">
        <v>796</v>
      </c>
      <c r="F13" s="1" t="s">
        <v>796</v>
      </c>
      <c r="G13" s="1" t="s">
        <v>796</v>
      </c>
      <c r="H13" s="1" t="s">
        <v>789</v>
      </c>
      <c r="I13" s="1" t="s">
        <v>789</v>
      </c>
      <c r="J13" s="1" t="s">
        <v>796</v>
      </c>
      <c r="K13" s="1" t="s">
        <v>796</v>
      </c>
      <c r="L13" s="1" t="s">
        <v>787</v>
      </c>
      <c r="M13" s="1" t="s">
        <v>789</v>
      </c>
      <c r="N13" s="1" t="s">
        <v>796</v>
      </c>
      <c r="O13" s="1" t="s">
        <v>789</v>
      </c>
      <c r="P13" s="1" t="s">
        <v>796</v>
      </c>
      <c r="Q13" s="1" t="s">
        <v>796</v>
      </c>
      <c r="R13" s="1" t="s">
        <v>799</v>
      </c>
      <c r="S13" s="1" t="s">
        <v>799</v>
      </c>
      <c r="T13" s="1" t="s">
        <v>796</v>
      </c>
      <c r="U13" s="1" t="s">
        <v>796</v>
      </c>
      <c r="V13" s="1" t="s">
        <v>789</v>
      </c>
      <c r="W13" s="1" t="s">
        <v>858</v>
      </c>
      <c r="X13" s="1" t="s">
        <v>799</v>
      </c>
      <c r="Y13" s="1" t="s">
        <v>796</v>
      </c>
      <c r="Z13" s="1" t="s">
        <v>796</v>
      </c>
      <c r="AA13" s="1" t="s">
        <v>789</v>
      </c>
      <c r="AB13" s="1" t="s">
        <v>789</v>
      </c>
      <c r="AC13" s="1" t="s">
        <v>789</v>
      </c>
      <c r="AD13" s="1" t="s">
        <v>796</v>
      </c>
      <c r="AE13" s="1" t="s">
        <v>796</v>
      </c>
      <c r="AF13" s="1" t="s">
        <v>796</v>
      </c>
      <c r="AG13" s="1" t="s">
        <v>796</v>
      </c>
      <c r="AH13" s="1" t="s">
        <v>796</v>
      </c>
      <c r="AI13" s="1" t="s">
        <v>800</v>
      </c>
      <c r="AJ13" s="502">
        <v>43056.229596249999</v>
      </c>
    </row>
    <row r="14" spans="1:36">
      <c r="A14" s="1" t="s">
        <v>328</v>
      </c>
      <c r="B14" s="275" t="s">
        <v>859</v>
      </c>
      <c r="C14" s="1" t="s">
        <v>904</v>
      </c>
      <c r="D14" s="1" t="s">
        <v>865</v>
      </c>
      <c r="E14" s="1" t="s">
        <v>911</v>
      </c>
      <c r="F14" s="1" t="s">
        <v>864</v>
      </c>
      <c r="G14" s="1" t="s">
        <v>865</v>
      </c>
      <c r="H14" s="1" t="s">
        <v>789</v>
      </c>
      <c r="I14" s="1" t="s">
        <v>789</v>
      </c>
      <c r="J14" s="1" t="s">
        <v>828</v>
      </c>
      <c r="K14" s="1" t="s">
        <v>843</v>
      </c>
      <c r="L14" s="1" t="s">
        <v>806</v>
      </c>
      <c r="M14" s="1" t="s">
        <v>789</v>
      </c>
      <c r="N14" s="1" t="s">
        <v>806</v>
      </c>
      <c r="O14" s="1" t="s">
        <v>789</v>
      </c>
      <c r="P14" s="1" t="s">
        <v>801</v>
      </c>
      <c r="Q14" s="1" t="s">
        <v>795</v>
      </c>
      <c r="R14" s="1" t="s">
        <v>797</v>
      </c>
      <c r="S14" s="1" t="s">
        <v>833</v>
      </c>
      <c r="T14" s="1" t="s">
        <v>788</v>
      </c>
      <c r="U14" s="1" t="s">
        <v>865</v>
      </c>
      <c r="V14" s="1" t="s">
        <v>789</v>
      </c>
      <c r="W14" s="1" t="s">
        <v>911</v>
      </c>
      <c r="X14" s="1" t="s">
        <v>864</v>
      </c>
      <c r="Y14" s="1" t="s">
        <v>792</v>
      </c>
      <c r="Z14" s="1" t="s">
        <v>898</v>
      </c>
      <c r="AA14" s="1" t="s">
        <v>789</v>
      </c>
      <c r="AB14" s="1" t="s">
        <v>789</v>
      </c>
      <c r="AC14" s="1" t="s">
        <v>789</v>
      </c>
      <c r="AD14" s="1" t="s">
        <v>912</v>
      </c>
      <c r="AE14" s="1" t="s">
        <v>905</v>
      </c>
      <c r="AF14" s="1" t="s">
        <v>913</v>
      </c>
      <c r="AG14" s="1" t="s">
        <v>787</v>
      </c>
      <c r="AH14" s="1" t="s">
        <v>842</v>
      </c>
      <c r="AI14" s="1" t="s">
        <v>802</v>
      </c>
      <c r="AJ14" s="502">
        <v>43056.229596249999</v>
      </c>
    </row>
    <row r="15" spans="1:36">
      <c r="A15" s="1" t="s">
        <v>328</v>
      </c>
      <c r="B15" s="275" t="s">
        <v>868</v>
      </c>
      <c r="C15" s="1" t="s">
        <v>904</v>
      </c>
      <c r="D15" s="1" t="s">
        <v>841</v>
      </c>
      <c r="E15" s="1" t="s">
        <v>869</v>
      </c>
      <c r="F15" s="1" t="s">
        <v>870</v>
      </c>
      <c r="G15" s="1" t="s">
        <v>871</v>
      </c>
      <c r="H15" s="1" t="s">
        <v>789</v>
      </c>
      <c r="I15" s="1" t="s">
        <v>789</v>
      </c>
      <c r="J15" s="1" t="s">
        <v>872</v>
      </c>
      <c r="K15" s="1" t="s">
        <v>873</v>
      </c>
      <c r="L15" s="1" t="s">
        <v>800</v>
      </c>
      <c r="M15" s="1" t="s">
        <v>789</v>
      </c>
      <c r="N15" s="1" t="s">
        <v>796</v>
      </c>
      <c r="O15" s="1" t="s">
        <v>789</v>
      </c>
      <c r="P15" s="1" t="s">
        <v>800</v>
      </c>
      <c r="Q15" s="1" t="s">
        <v>796</v>
      </c>
      <c r="R15" s="1" t="s">
        <v>796</v>
      </c>
      <c r="S15" s="1" t="s">
        <v>796</v>
      </c>
      <c r="T15" s="1" t="s">
        <v>842</v>
      </c>
      <c r="U15" s="1" t="s">
        <v>867</v>
      </c>
      <c r="V15" s="1" t="s">
        <v>789</v>
      </c>
      <c r="W15" s="1" t="s">
        <v>796</v>
      </c>
      <c r="X15" s="1" t="s">
        <v>800</v>
      </c>
      <c r="Y15" s="1" t="s">
        <v>796</v>
      </c>
      <c r="Z15" s="1" t="s">
        <v>874</v>
      </c>
      <c r="AA15" s="1" t="s">
        <v>789</v>
      </c>
      <c r="AB15" s="1" t="s">
        <v>789</v>
      </c>
      <c r="AC15" s="1" t="s">
        <v>789</v>
      </c>
      <c r="AD15" s="1" t="s">
        <v>801</v>
      </c>
      <c r="AE15" s="1" t="s">
        <v>792</v>
      </c>
      <c r="AF15" s="1" t="s">
        <v>792</v>
      </c>
      <c r="AG15" s="1" t="s">
        <v>786</v>
      </c>
      <c r="AH15" s="1" t="s">
        <v>788</v>
      </c>
      <c r="AI15" s="1" t="s">
        <v>839</v>
      </c>
      <c r="AJ15" s="502">
        <v>43056.229596249999</v>
      </c>
    </row>
    <row r="16" spans="1:36">
      <c r="A16" s="1" t="s">
        <v>328</v>
      </c>
      <c r="B16" s="275" t="s">
        <v>875</v>
      </c>
      <c r="C16" s="1" t="s">
        <v>904</v>
      </c>
      <c r="D16" s="1" t="s">
        <v>789</v>
      </c>
      <c r="E16" s="1" t="s">
        <v>789</v>
      </c>
      <c r="F16" s="1" t="s">
        <v>789</v>
      </c>
      <c r="G16" s="1" t="s">
        <v>789</v>
      </c>
      <c r="H16" s="1" t="s">
        <v>789</v>
      </c>
      <c r="I16" s="1" t="s">
        <v>789</v>
      </c>
      <c r="J16" s="1" t="s">
        <v>789</v>
      </c>
      <c r="K16" s="1" t="s">
        <v>789</v>
      </c>
      <c r="L16" s="1" t="s">
        <v>789</v>
      </c>
      <c r="M16" s="1" t="s">
        <v>789</v>
      </c>
      <c r="N16" s="1" t="s">
        <v>789</v>
      </c>
      <c r="O16" s="1" t="s">
        <v>789</v>
      </c>
      <c r="P16" s="1" t="s">
        <v>789</v>
      </c>
      <c r="Q16" s="1" t="s">
        <v>789</v>
      </c>
      <c r="R16" s="1" t="s">
        <v>789</v>
      </c>
      <c r="S16" s="1" t="s">
        <v>789</v>
      </c>
      <c r="T16" s="1" t="s">
        <v>789</v>
      </c>
      <c r="U16" s="1" t="s">
        <v>789</v>
      </c>
      <c r="V16" s="1" t="s">
        <v>789</v>
      </c>
      <c r="W16" s="1" t="s">
        <v>789</v>
      </c>
      <c r="X16" s="1" t="s">
        <v>789</v>
      </c>
      <c r="Y16" s="1" t="s">
        <v>789</v>
      </c>
      <c r="Z16" s="1" t="s">
        <v>789</v>
      </c>
      <c r="AA16" s="1" t="s">
        <v>789</v>
      </c>
      <c r="AB16" s="1" t="s">
        <v>789</v>
      </c>
      <c r="AC16" s="1" t="s">
        <v>789</v>
      </c>
      <c r="AD16" s="1" t="s">
        <v>789</v>
      </c>
      <c r="AE16" s="1" t="s">
        <v>789</v>
      </c>
      <c r="AF16" s="1" t="s">
        <v>789</v>
      </c>
      <c r="AG16" s="1" t="s">
        <v>789</v>
      </c>
      <c r="AH16" s="1" t="s">
        <v>789</v>
      </c>
      <c r="AI16" s="1" t="s">
        <v>789</v>
      </c>
      <c r="AJ16" s="502">
        <v>43056.229596249999</v>
      </c>
    </row>
    <row r="17" spans="1:36">
      <c r="A17" s="1" t="s">
        <v>328</v>
      </c>
      <c r="B17" s="275" t="s">
        <v>914</v>
      </c>
      <c r="C17" s="1" t="s">
        <v>904</v>
      </c>
      <c r="D17" s="1" t="s">
        <v>789</v>
      </c>
      <c r="E17" s="1" t="s">
        <v>789</v>
      </c>
      <c r="F17" s="1" t="s">
        <v>789</v>
      </c>
      <c r="G17" s="1" t="s">
        <v>789</v>
      </c>
      <c r="H17" s="1" t="s">
        <v>789</v>
      </c>
      <c r="I17" s="1" t="s">
        <v>789</v>
      </c>
      <c r="J17" s="1" t="s">
        <v>789</v>
      </c>
      <c r="K17" s="1" t="s">
        <v>789</v>
      </c>
      <c r="L17" s="1" t="s">
        <v>789</v>
      </c>
      <c r="M17" s="1" t="s">
        <v>789</v>
      </c>
      <c r="N17" s="1" t="s">
        <v>789</v>
      </c>
      <c r="O17" s="1" t="s">
        <v>789</v>
      </c>
      <c r="P17" s="1" t="s">
        <v>789</v>
      </c>
      <c r="Q17" s="1" t="s">
        <v>789</v>
      </c>
      <c r="R17" s="1" t="s">
        <v>789</v>
      </c>
      <c r="S17" s="1" t="s">
        <v>789</v>
      </c>
      <c r="T17" s="1" t="s">
        <v>789</v>
      </c>
      <c r="U17" s="1" t="s">
        <v>789</v>
      </c>
      <c r="V17" s="1" t="s">
        <v>789</v>
      </c>
      <c r="W17" s="1" t="s">
        <v>789</v>
      </c>
      <c r="X17" s="1" t="s">
        <v>789</v>
      </c>
      <c r="Y17" s="1" t="s">
        <v>789</v>
      </c>
      <c r="Z17" s="1" t="s">
        <v>789</v>
      </c>
      <c r="AA17" s="1" t="s">
        <v>789</v>
      </c>
      <c r="AB17" s="1" t="s">
        <v>789</v>
      </c>
      <c r="AC17" s="1" t="s">
        <v>789</v>
      </c>
      <c r="AD17" s="1" t="s">
        <v>789</v>
      </c>
      <c r="AE17" s="1" t="s">
        <v>789</v>
      </c>
      <c r="AF17" s="1" t="s">
        <v>789</v>
      </c>
      <c r="AG17" s="1" t="s">
        <v>789</v>
      </c>
      <c r="AH17" s="1" t="s">
        <v>789</v>
      </c>
      <c r="AI17" s="1" t="s">
        <v>789</v>
      </c>
      <c r="AJ17" s="502">
        <v>43056.229596249999</v>
      </c>
    </row>
    <row r="18" spans="1:36">
      <c r="A18" s="1" t="s">
        <v>328</v>
      </c>
      <c r="B18" s="275" t="s">
        <v>915</v>
      </c>
      <c r="C18" s="1" t="s">
        <v>904</v>
      </c>
      <c r="D18" s="1" t="s">
        <v>789</v>
      </c>
      <c r="E18" s="1" t="s">
        <v>789</v>
      </c>
      <c r="F18" s="1" t="s">
        <v>789</v>
      </c>
      <c r="G18" s="1" t="s">
        <v>789</v>
      </c>
      <c r="H18" s="1" t="s">
        <v>789</v>
      </c>
      <c r="I18" s="1" t="s">
        <v>789</v>
      </c>
      <c r="J18" s="1" t="s">
        <v>789</v>
      </c>
      <c r="K18" s="1" t="s">
        <v>789</v>
      </c>
      <c r="L18" s="1" t="s">
        <v>789</v>
      </c>
      <c r="M18" s="1" t="s">
        <v>789</v>
      </c>
      <c r="N18" s="1" t="s">
        <v>789</v>
      </c>
      <c r="O18" s="1" t="s">
        <v>789</v>
      </c>
      <c r="P18" s="1" t="s">
        <v>789</v>
      </c>
      <c r="Q18" s="1" t="s">
        <v>789</v>
      </c>
      <c r="R18" s="1" t="s">
        <v>789</v>
      </c>
      <c r="S18" s="1" t="s">
        <v>789</v>
      </c>
      <c r="T18" s="1" t="s">
        <v>789</v>
      </c>
      <c r="U18" s="1" t="s">
        <v>789</v>
      </c>
      <c r="V18" s="1" t="s">
        <v>789</v>
      </c>
      <c r="W18" s="1" t="s">
        <v>789</v>
      </c>
      <c r="X18" s="1" t="s">
        <v>789</v>
      </c>
      <c r="Y18" s="1" t="s">
        <v>789</v>
      </c>
      <c r="Z18" s="1" t="s">
        <v>789</v>
      </c>
      <c r="AA18" s="1" t="s">
        <v>789</v>
      </c>
      <c r="AB18" s="1" t="s">
        <v>789</v>
      </c>
      <c r="AC18" s="1" t="s">
        <v>789</v>
      </c>
      <c r="AD18" s="1" t="s">
        <v>789</v>
      </c>
      <c r="AE18" s="1" t="s">
        <v>789</v>
      </c>
      <c r="AF18" s="1" t="s">
        <v>789</v>
      </c>
      <c r="AG18" s="1" t="s">
        <v>789</v>
      </c>
      <c r="AH18" s="1" t="s">
        <v>789</v>
      </c>
      <c r="AI18" s="1" t="s">
        <v>789</v>
      </c>
      <c r="AJ18" s="502">
        <v>43056.229596249999</v>
      </c>
    </row>
    <row r="19" spans="1:36">
      <c r="A19" s="1" t="s">
        <v>328</v>
      </c>
      <c r="B19" s="275" t="s">
        <v>916</v>
      </c>
      <c r="C19" s="1" t="s">
        <v>904</v>
      </c>
      <c r="D19" s="1" t="s">
        <v>789</v>
      </c>
      <c r="E19" s="1" t="s">
        <v>789</v>
      </c>
      <c r="F19" s="1" t="s">
        <v>789</v>
      </c>
      <c r="G19" s="1" t="s">
        <v>789</v>
      </c>
      <c r="H19" s="1" t="s">
        <v>789</v>
      </c>
      <c r="I19" s="1" t="s">
        <v>789</v>
      </c>
      <c r="J19" s="1" t="s">
        <v>789</v>
      </c>
      <c r="K19" s="1" t="s">
        <v>789</v>
      </c>
      <c r="L19" s="1" t="s">
        <v>789</v>
      </c>
      <c r="M19" s="1" t="s">
        <v>789</v>
      </c>
      <c r="N19" s="1" t="s">
        <v>789</v>
      </c>
      <c r="O19" s="1" t="s">
        <v>789</v>
      </c>
      <c r="P19" s="1" t="s">
        <v>789</v>
      </c>
      <c r="Q19" s="1" t="s">
        <v>789</v>
      </c>
      <c r="R19" s="1" t="s">
        <v>789</v>
      </c>
      <c r="S19" s="1" t="s">
        <v>789</v>
      </c>
      <c r="T19" s="1" t="s">
        <v>789</v>
      </c>
      <c r="U19" s="1" t="s">
        <v>789</v>
      </c>
      <c r="V19" s="1" t="s">
        <v>789</v>
      </c>
      <c r="W19" s="1" t="s">
        <v>789</v>
      </c>
      <c r="X19" s="1" t="s">
        <v>789</v>
      </c>
      <c r="Y19" s="1" t="s">
        <v>789</v>
      </c>
      <c r="Z19" s="1" t="s">
        <v>789</v>
      </c>
      <c r="AA19" s="1" t="s">
        <v>789</v>
      </c>
      <c r="AB19" s="1" t="s">
        <v>789</v>
      </c>
      <c r="AC19" s="1" t="s">
        <v>789</v>
      </c>
      <c r="AD19" s="1" t="s">
        <v>789</v>
      </c>
      <c r="AE19" s="1" t="s">
        <v>789</v>
      </c>
      <c r="AF19" s="1" t="s">
        <v>789</v>
      </c>
      <c r="AG19" s="1" t="s">
        <v>789</v>
      </c>
      <c r="AH19" s="1" t="s">
        <v>789</v>
      </c>
      <c r="AI19" s="1" t="s">
        <v>789</v>
      </c>
      <c r="AJ19" s="502">
        <v>43056.229596249999</v>
      </c>
    </row>
    <row r="20" spans="1:36">
      <c r="A20" s="1" t="s">
        <v>328</v>
      </c>
      <c r="B20" s="275" t="s">
        <v>917</v>
      </c>
      <c r="C20" s="1" t="s">
        <v>904</v>
      </c>
      <c r="D20" s="1" t="s">
        <v>789</v>
      </c>
      <c r="E20" s="1" t="s">
        <v>789</v>
      </c>
      <c r="F20" s="1" t="s">
        <v>789</v>
      </c>
      <c r="G20" s="1" t="s">
        <v>789</v>
      </c>
      <c r="H20" s="1" t="s">
        <v>789</v>
      </c>
      <c r="I20" s="1" t="s">
        <v>789</v>
      </c>
      <c r="J20" s="1" t="s">
        <v>789</v>
      </c>
      <c r="K20" s="1" t="s">
        <v>789</v>
      </c>
      <c r="L20" s="1" t="s">
        <v>789</v>
      </c>
      <c r="M20" s="1" t="s">
        <v>789</v>
      </c>
      <c r="N20" s="1" t="s">
        <v>789</v>
      </c>
      <c r="O20" s="1" t="s">
        <v>789</v>
      </c>
      <c r="P20" s="1" t="s">
        <v>789</v>
      </c>
      <c r="Q20" s="1" t="s">
        <v>789</v>
      </c>
      <c r="R20" s="1" t="s">
        <v>789</v>
      </c>
      <c r="S20" s="1" t="s">
        <v>789</v>
      </c>
      <c r="T20" s="1" t="s">
        <v>789</v>
      </c>
      <c r="U20" s="1" t="s">
        <v>789</v>
      </c>
      <c r="V20" s="1" t="s">
        <v>789</v>
      </c>
      <c r="W20" s="1" t="s">
        <v>789</v>
      </c>
      <c r="X20" s="1" t="s">
        <v>789</v>
      </c>
      <c r="Y20" s="1" t="s">
        <v>789</v>
      </c>
      <c r="Z20" s="1" t="s">
        <v>789</v>
      </c>
      <c r="AA20" s="1" t="s">
        <v>789</v>
      </c>
      <c r="AB20" s="1" t="s">
        <v>789</v>
      </c>
      <c r="AC20" s="1" t="s">
        <v>789</v>
      </c>
      <c r="AD20" s="1" t="s">
        <v>789</v>
      </c>
      <c r="AE20" s="1" t="s">
        <v>789</v>
      </c>
      <c r="AF20" s="1" t="s">
        <v>789</v>
      </c>
      <c r="AG20" s="1" t="s">
        <v>789</v>
      </c>
      <c r="AH20" s="1" t="s">
        <v>789</v>
      </c>
      <c r="AI20" s="1" t="s">
        <v>789</v>
      </c>
      <c r="AJ20" s="502">
        <v>43056.229596249999</v>
      </c>
    </row>
    <row r="21" spans="1:36">
      <c r="A21" s="1" t="s">
        <v>328</v>
      </c>
      <c r="B21" s="275" t="s">
        <v>918</v>
      </c>
      <c r="C21" s="1" t="s">
        <v>904</v>
      </c>
      <c r="D21" s="1" t="s">
        <v>789</v>
      </c>
      <c r="E21" s="1" t="s">
        <v>789</v>
      </c>
      <c r="F21" s="1" t="s">
        <v>789</v>
      </c>
      <c r="G21" s="1" t="s">
        <v>789</v>
      </c>
      <c r="H21" s="1" t="s">
        <v>789</v>
      </c>
      <c r="I21" s="1" t="s">
        <v>789</v>
      </c>
      <c r="J21" s="1" t="s">
        <v>789</v>
      </c>
      <c r="K21" s="1" t="s">
        <v>789</v>
      </c>
      <c r="L21" s="1" t="s">
        <v>789</v>
      </c>
      <c r="M21" s="1" t="s">
        <v>789</v>
      </c>
      <c r="N21" s="1" t="s">
        <v>789</v>
      </c>
      <c r="O21" s="1" t="s">
        <v>789</v>
      </c>
      <c r="P21" s="1" t="s">
        <v>789</v>
      </c>
      <c r="Q21" s="1" t="s">
        <v>789</v>
      </c>
      <c r="R21" s="1" t="s">
        <v>789</v>
      </c>
      <c r="S21" s="1" t="s">
        <v>789</v>
      </c>
      <c r="T21" s="1" t="s">
        <v>789</v>
      </c>
      <c r="U21" s="1" t="s">
        <v>789</v>
      </c>
      <c r="V21" s="1" t="s">
        <v>789</v>
      </c>
      <c r="W21" s="1" t="s">
        <v>789</v>
      </c>
      <c r="X21" s="1" t="s">
        <v>789</v>
      </c>
      <c r="Y21" s="1" t="s">
        <v>789</v>
      </c>
      <c r="Z21" s="1" t="s">
        <v>789</v>
      </c>
      <c r="AA21" s="1" t="s">
        <v>789</v>
      </c>
      <c r="AB21" s="1" t="s">
        <v>789</v>
      </c>
      <c r="AC21" s="1" t="s">
        <v>789</v>
      </c>
      <c r="AD21" s="1" t="s">
        <v>789</v>
      </c>
      <c r="AE21" s="1" t="s">
        <v>789</v>
      </c>
      <c r="AF21" s="1" t="s">
        <v>789</v>
      </c>
      <c r="AG21" s="1" t="s">
        <v>789</v>
      </c>
      <c r="AH21" s="1" t="s">
        <v>789</v>
      </c>
      <c r="AI21" s="1" t="s">
        <v>789</v>
      </c>
      <c r="AJ21" s="502">
        <v>43056.229596249999</v>
      </c>
    </row>
    <row r="22" spans="1:36">
      <c r="A22" s="503" t="s">
        <v>328</v>
      </c>
      <c r="B22" s="503" t="s">
        <v>919</v>
      </c>
      <c r="C22" s="503" t="s">
        <v>904</v>
      </c>
      <c r="D22" s="503" t="s">
        <v>863</v>
      </c>
      <c r="E22" s="503" t="s">
        <v>899</v>
      </c>
      <c r="F22" s="503" t="s">
        <v>920</v>
      </c>
      <c r="G22" s="503" t="s">
        <v>840</v>
      </c>
      <c r="H22" s="503" t="s">
        <v>789</v>
      </c>
      <c r="I22" s="503" t="s">
        <v>789</v>
      </c>
      <c r="J22" s="503" t="s">
        <v>921</v>
      </c>
      <c r="K22" s="503" t="s">
        <v>922</v>
      </c>
      <c r="L22" s="503" t="s">
        <v>923</v>
      </c>
      <c r="M22" s="503" t="s">
        <v>789</v>
      </c>
      <c r="N22" s="503" t="s">
        <v>886</v>
      </c>
      <c r="O22" s="503" t="s">
        <v>789</v>
      </c>
      <c r="P22" s="503" t="s">
        <v>924</v>
      </c>
      <c r="Q22" s="503" t="s">
        <v>925</v>
      </c>
      <c r="R22" s="503" t="s">
        <v>897</v>
      </c>
      <c r="S22" s="503" t="s">
        <v>891</v>
      </c>
      <c r="T22" s="503" t="s">
        <v>839</v>
      </c>
      <c r="U22" s="503" t="s">
        <v>898</v>
      </c>
      <c r="V22" s="503" t="s">
        <v>789</v>
      </c>
      <c r="W22" s="503" t="s">
        <v>913</v>
      </c>
      <c r="X22" s="503" t="s">
        <v>843</v>
      </c>
      <c r="Y22" s="503" t="s">
        <v>839</v>
      </c>
      <c r="Z22" s="503" t="s">
        <v>889</v>
      </c>
      <c r="AA22" s="503" t="s">
        <v>789</v>
      </c>
      <c r="AB22" s="503" t="s">
        <v>789</v>
      </c>
      <c r="AC22" s="503" t="s">
        <v>789</v>
      </c>
      <c r="AD22" s="503" t="s">
        <v>926</v>
      </c>
      <c r="AE22" s="503" t="s">
        <v>913</v>
      </c>
      <c r="AF22" s="503" t="s">
        <v>922</v>
      </c>
      <c r="AG22" s="503" t="s">
        <v>922</v>
      </c>
      <c r="AH22" s="503" t="s">
        <v>862</v>
      </c>
      <c r="AI22" s="503" t="s">
        <v>835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294</v>
      </c>
      <c r="B1" s="1" t="s">
        <v>361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927</v>
      </c>
    </row>
    <row r="2" spans="1:35">
      <c r="A2" s="1" t="s">
        <v>328</v>
      </c>
      <c r="B2" s="275" t="s">
        <v>364</v>
      </c>
      <c r="C2" s="1" t="s">
        <v>928</v>
      </c>
      <c r="D2" s="1" t="s">
        <v>929</v>
      </c>
      <c r="E2" s="1" t="s">
        <v>930</v>
      </c>
      <c r="F2" s="1" t="s">
        <v>931</v>
      </c>
      <c r="G2" s="1" t="s">
        <v>511</v>
      </c>
      <c r="H2" s="1" t="s">
        <v>511</v>
      </c>
      <c r="I2" s="1"/>
      <c r="J2" s="1" t="s">
        <v>932</v>
      </c>
      <c r="K2" s="1" t="s">
        <v>933</v>
      </c>
      <c r="L2" s="1" t="s">
        <v>511</v>
      </c>
      <c r="M2" s="1" t="s">
        <v>934</v>
      </c>
      <c r="N2" s="1" t="s">
        <v>511</v>
      </c>
      <c r="O2" s="1" t="s">
        <v>935</v>
      </c>
      <c r="P2" s="1" t="s">
        <v>936</v>
      </c>
      <c r="Q2" s="1" t="s">
        <v>937</v>
      </c>
      <c r="R2" s="1" t="s">
        <v>938</v>
      </c>
      <c r="S2" s="1" t="s">
        <v>939</v>
      </c>
      <c r="T2" s="1" t="s">
        <v>940</v>
      </c>
      <c r="U2" s="1" t="s">
        <v>511</v>
      </c>
      <c r="V2" s="1" t="s">
        <v>941</v>
      </c>
      <c r="W2" s="1" t="s">
        <v>942</v>
      </c>
      <c r="X2" s="1" t="s">
        <v>939</v>
      </c>
      <c r="Y2" s="1" t="s">
        <v>943</v>
      </c>
      <c r="Z2" s="1" t="s">
        <v>511</v>
      </c>
      <c r="AA2" s="1" t="s">
        <v>511</v>
      </c>
      <c r="AB2" s="1" t="s">
        <v>511</v>
      </c>
      <c r="AC2" s="1" t="s">
        <v>944</v>
      </c>
      <c r="AD2" s="1" t="s">
        <v>945</v>
      </c>
      <c r="AE2" s="1" t="s">
        <v>946</v>
      </c>
      <c r="AF2" s="1" t="s">
        <v>938</v>
      </c>
      <c r="AG2" s="1" t="s">
        <v>947</v>
      </c>
      <c r="AH2" s="1" t="s">
        <v>948</v>
      </c>
      <c r="AI2" s="502">
        <v>43056.2297915741</v>
      </c>
    </row>
    <row r="3" spans="1:35">
      <c r="A3" s="1" t="s">
        <v>328</v>
      </c>
      <c r="B3" s="275" t="s">
        <v>398</v>
      </c>
      <c r="C3" s="1" t="s">
        <v>949</v>
      </c>
      <c r="D3" s="1" t="s">
        <v>950</v>
      </c>
      <c r="E3" s="1" t="s">
        <v>951</v>
      </c>
      <c r="F3" s="1" t="s">
        <v>952</v>
      </c>
      <c r="G3" s="1" t="s">
        <v>511</v>
      </c>
      <c r="H3" s="1" t="s">
        <v>511</v>
      </c>
      <c r="I3" s="1"/>
      <c r="J3" s="1" t="s">
        <v>952</v>
      </c>
      <c r="K3" s="1" t="s">
        <v>953</v>
      </c>
      <c r="L3" s="1" t="s">
        <v>511</v>
      </c>
      <c r="M3" s="1" t="s">
        <v>954</v>
      </c>
      <c r="N3" s="1" t="s">
        <v>511</v>
      </c>
      <c r="O3" s="1" t="s">
        <v>955</v>
      </c>
      <c r="P3" s="1" t="s">
        <v>956</v>
      </c>
      <c r="Q3" s="1" t="s">
        <v>957</v>
      </c>
      <c r="R3" s="1" t="s">
        <v>958</v>
      </c>
      <c r="S3" s="1" t="s">
        <v>959</v>
      </c>
      <c r="T3" s="1" t="s">
        <v>960</v>
      </c>
      <c r="U3" s="1" t="s">
        <v>511</v>
      </c>
      <c r="V3" s="1" t="s">
        <v>955</v>
      </c>
      <c r="W3" s="1" t="s">
        <v>951</v>
      </c>
      <c r="X3" s="1" t="s">
        <v>961</v>
      </c>
      <c r="Y3" s="1" t="s">
        <v>962</v>
      </c>
      <c r="Z3" s="1" t="s">
        <v>511</v>
      </c>
      <c r="AA3" s="1" t="s">
        <v>511</v>
      </c>
      <c r="AB3" s="1" t="s">
        <v>511</v>
      </c>
      <c r="AC3" s="1" t="s">
        <v>963</v>
      </c>
      <c r="AD3" s="1" t="s">
        <v>964</v>
      </c>
      <c r="AE3" s="1" t="s">
        <v>965</v>
      </c>
      <c r="AF3" s="1" t="s">
        <v>966</v>
      </c>
      <c r="AG3" s="1" t="s">
        <v>949</v>
      </c>
      <c r="AH3" s="1" t="s">
        <v>967</v>
      </c>
      <c r="AI3" s="502">
        <v>43056.2297915741</v>
      </c>
    </row>
    <row r="4" spans="1:35">
      <c r="A4" s="1" t="s">
        <v>328</v>
      </c>
      <c r="B4" s="275" t="s">
        <v>426</v>
      </c>
      <c r="C4" s="1" t="s">
        <v>511</v>
      </c>
      <c r="D4" s="1" t="s">
        <v>511</v>
      </c>
      <c r="E4" s="1" t="s">
        <v>511</v>
      </c>
      <c r="F4" s="1" t="s">
        <v>968</v>
      </c>
      <c r="G4" s="1" t="s">
        <v>511</v>
      </c>
      <c r="H4" s="1" t="s">
        <v>511</v>
      </c>
      <c r="I4" s="1"/>
      <c r="J4" s="1" t="s">
        <v>968</v>
      </c>
      <c r="K4" s="1" t="s">
        <v>968</v>
      </c>
      <c r="L4" s="1" t="s">
        <v>511</v>
      </c>
      <c r="M4" s="1" t="s">
        <v>511</v>
      </c>
      <c r="N4" s="1" t="s">
        <v>511</v>
      </c>
      <c r="O4" s="1" t="s">
        <v>511</v>
      </c>
      <c r="P4" s="1" t="s">
        <v>969</v>
      </c>
      <c r="Q4" s="1" t="s">
        <v>511</v>
      </c>
      <c r="R4" s="1" t="s">
        <v>511</v>
      </c>
      <c r="S4" s="1" t="s">
        <v>511</v>
      </c>
      <c r="T4" s="1" t="s">
        <v>511</v>
      </c>
      <c r="U4" s="1" t="s">
        <v>511</v>
      </c>
      <c r="V4" s="1" t="s">
        <v>511</v>
      </c>
      <c r="W4" s="1" t="s">
        <v>968</v>
      </c>
      <c r="X4" s="1" t="s">
        <v>511</v>
      </c>
      <c r="Y4" s="1" t="s">
        <v>511</v>
      </c>
      <c r="Z4" s="1" t="s">
        <v>511</v>
      </c>
      <c r="AA4" s="1" t="s">
        <v>511</v>
      </c>
      <c r="AB4" s="1" t="s">
        <v>511</v>
      </c>
      <c r="AC4" s="1" t="s">
        <v>511</v>
      </c>
      <c r="AD4" s="1" t="s">
        <v>511</v>
      </c>
      <c r="AE4" s="1" t="s">
        <v>511</v>
      </c>
      <c r="AF4" s="1" t="s">
        <v>511</v>
      </c>
      <c r="AG4" s="1" t="s">
        <v>511</v>
      </c>
      <c r="AH4" s="1" t="s">
        <v>970</v>
      </c>
      <c r="AI4" s="502">
        <v>43056.2297915741</v>
      </c>
    </row>
    <row r="5" spans="1:35">
      <c r="A5" s="1" t="s">
        <v>328</v>
      </c>
      <c r="B5" s="275" t="s">
        <v>452</v>
      </c>
      <c r="C5" s="1" t="s">
        <v>971</v>
      </c>
      <c r="D5" s="1" t="s">
        <v>511</v>
      </c>
      <c r="E5" s="1" t="s">
        <v>971</v>
      </c>
      <c r="F5" s="1" t="s">
        <v>972</v>
      </c>
      <c r="G5" s="1" t="s">
        <v>511</v>
      </c>
      <c r="H5" s="1" t="s">
        <v>511</v>
      </c>
      <c r="I5" s="1"/>
      <c r="J5" s="1" t="s">
        <v>969</v>
      </c>
      <c r="K5" s="1" t="s">
        <v>973</v>
      </c>
      <c r="L5" s="1" t="s">
        <v>511</v>
      </c>
      <c r="M5" s="1" t="s">
        <v>971</v>
      </c>
      <c r="N5" s="1" t="s">
        <v>511</v>
      </c>
      <c r="O5" s="1" t="s">
        <v>972</v>
      </c>
      <c r="P5" s="1" t="s">
        <v>969</v>
      </c>
      <c r="Q5" s="1" t="s">
        <v>973</v>
      </c>
      <c r="R5" s="1" t="s">
        <v>972</v>
      </c>
      <c r="S5" s="1" t="s">
        <v>972</v>
      </c>
      <c r="T5" s="1" t="s">
        <v>974</v>
      </c>
      <c r="U5" s="1" t="s">
        <v>511</v>
      </c>
      <c r="V5" s="1" t="s">
        <v>972</v>
      </c>
      <c r="W5" s="1" t="s">
        <v>968</v>
      </c>
      <c r="X5" s="1" t="s">
        <v>973</v>
      </c>
      <c r="Y5" s="1" t="s">
        <v>969</v>
      </c>
      <c r="Z5" s="1" t="s">
        <v>511</v>
      </c>
      <c r="AA5" s="1" t="s">
        <v>511</v>
      </c>
      <c r="AB5" s="1" t="s">
        <v>511</v>
      </c>
      <c r="AC5" s="1" t="s">
        <v>975</v>
      </c>
      <c r="AD5" s="1" t="s">
        <v>972</v>
      </c>
      <c r="AE5" s="1" t="s">
        <v>968</v>
      </c>
      <c r="AF5" s="1" t="s">
        <v>973</v>
      </c>
      <c r="AG5" s="1" t="s">
        <v>973</v>
      </c>
      <c r="AH5" s="1" t="s">
        <v>976</v>
      </c>
      <c r="AI5" s="502">
        <v>43056.2297915741</v>
      </c>
    </row>
    <row r="6" spans="1:35">
      <c r="A6" s="1" t="s">
        <v>328</v>
      </c>
      <c r="B6" s="275" t="s">
        <v>480</v>
      </c>
      <c r="C6" s="1" t="s">
        <v>977</v>
      </c>
      <c r="D6" s="1" t="s">
        <v>978</v>
      </c>
      <c r="E6" s="1" t="s">
        <v>979</v>
      </c>
      <c r="F6" s="1" t="s">
        <v>974</v>
      </c>
      <c r="G6" s="1" t="s">
        <v>511</v>
      </c>
      <c r="H6" s="1" t="s">
        <v>511</v>
      </c>
      <c r="I6" s="1"/>
      <c r="J6" s="1" t="s">
        <v>979</v>
      </c>
      <c r="K6" s="1" t="s">
        <v>974</v>
      </c>
      <c r="L6" s="1" t="s">
        <v>511</v>
      </c>
      <c r="M6" s="1" t="s">
        <v>980</v>
      </c>
      <c r="N6" s="1" t="s">
        <v>511</v>
      </c>
      <c r="O6" s="1" t="s">
        <v>981</v>
      </c>
      <c r="P6" s="1" t="s">
        <v>974</v>
      </c>
      <c r="Q6" s="1" t="s">
        <v>971</v>
      </c>
      <c r="R6" s="1" t="s">
        <v>975</v>
      </c>
      <c r="S6" s="1" t="s">
        <v>979</v>
      </c>
      <c r="T6" s="1" t="s">
        <v>968</v>
      </c>
      <c r="U6" s="1" t="s">
        <v>511</v>
      </c>
      <c r="V6" s="1" t="s">
        <v>981</v>
      </c>
      <c r="W6" s="1" t="s">
        <v>982</v>
      </c>
      <c r="X6" s="1" t="s">
        <v>983</v>
      </c>
      <c r="Y6" s="1" t="s">
        <v>979</v>
      </c>
      <c r="Z6" s="1" t="s">
        <v>511</v>
      </c>
      <c r="AA6" s="1" t="s">
        <v>511</v>
      </c>
      <c r="AB6" s="1" t="s">
        <v>511</v>
      </c>
      <c r="AC6" s="1" t="s">
        <v>965</v>
      </c>
      <c r="AD6" s="1" t="s">
        <v>958</v>
      </c>
      <c r="AE6" s="1" t="s">
        <v>984</v>
      </c>
      <c r="AF6" s="1" t="s">
        <v>981</v>
      </c>
      <c r="AG6" s="1" t="s">
        <v>983</v>
      </c>
      <c r="AH6" s="1" t="s">
        <v>985</v>
      </c>
      <c r="AI6" s="502">
        <v>43056.2297915741</v>
      </c>
    </row>
    <row r="7" spans="1:35">
      <c r="A7" s="1" t="s">
        <v>328</v>
      </c>
      <c r="B7" s="275" t="s">
        <v>510</v>
      </c>
      <c r="C7" s="1" t="s">
        <v>511</v>
      </c>
      <c r="D7" s="1" t="s">
        <v>511</v>
      </c>
      <c r="E7" s="1" t="s">
        <v>511</v>
      </c>
      <c r="F7" s="1" t="s">
        <v>511</v>
      </c>
      <c r="G7" s="1" t="s">
        <v>511</v>
      </c>
      <c r="H7" s="1" t="s">
        <v>511</v>
      </c>
      <c r="I7" s="1"/>
      <c r="J7" s="1" t="s">
        <v>511</v>
      </c>
      <c r="K7" s="1" t="s">
        <v>511</v>
      </c>
      <c r="L7" s="1" t="s">
        <v>511</v>
      </c>
      <c r="M7" s="1" t="s">
        <v>511</v>
      </c>
      <c r="N7" s="1" t="s">
        <v>511</v>
      </c>
      <c r="O7" s="1" t="s">
        <v>511</v>
      </c>
      <c r="P7" s="1" t="s">
        <v>511</v>
      </c>
      <c r="Q7" s="1" t="s">
        <v>511</v>
      </c>
      <c r="R7" s="1" t="s">
        <v>511</v>
      </c>
      <c r="S7" s="1" t="s">
        <v>511</v>
      </c>
      <c r="T7" s="1" t="s">
        <v>511</v>
      </c>
      <c r="U7" s="1" t="s">
        <v>511</v>
      </c>
      <c r="V7" s="1" t="s">
        <v>511</v>
      </c>
      <c r="W7" s="1" t="s">
        <v>511</v>
      </c>
      <c r="X7" s="1" t="s">
        <v>511</v>
      </c>
      <c r="Y7" s="1" t="s">
        <v>511</v>
      </c>
      <c r="Z7" s="1" t="s">
        <v>511</v>
      </c>
      <c r="AA7" s="1" t="s">
        <v>511</v>
      </c>
      <c r="AB7" s="1" t="s">
        <v>511</v>
      </c>
      <c r="AC7" s="1" t="s">
        <v>511</v>
      </c>
      <c r="AD7" s="1" t="s">
        <v>511</v>
      </c>
      <c r="AE7" s="1" t="s">
        <v>511</v>
      </c>
      <c r="AF7" s="1" t="s">
        <v>511</v>
      </c>
      <c r="AG7" s="1" t="s">
        <v>511</v>
      </c>
      <c r="AH7" s="1" t="s">
        <v>789</v>
      </c>
      <c r="AI7" s="502">
        <v>43056.2297915741</v>
      </c>
    </row>
    <row r="8" spans="1:35">
      <c r="A8" s="1" t="s">
        <v>328</v>
      </c>
      <c r="B8" s="275" t="s">
        <v>512</v>
      </c>
      <c r="C8" s="1" t="s">
        <v>982</v>
      </c>
      <c r="D8" s="1" t="s">
        <v>973</v>
      </c>
      <c r="E8" s="1" t="s">
        <v>968</v>
      </c>
      <c r="F8" s="1" t="s">
        <v>973</v>
      </c>
      <c r="G8" s="1" t="s">
        <v>511</v>
      </c>
      <c r="H8" s="1" t="s">
        <v>511</v>
      </c>
      <c r="I8" s="1"/>
      <c r="J8" s="1" t="s">
        <v>986</v>
      </c>
      <c r="K8" s="1" t="s">
        <v>987</v>
      </c>
      <c r="L8" s="1" t="s">
        <v>511</v>
      </c>
      <c r="M8" s="1" t="s">
        <v>974</v>
      </c>
      <c r="N8" s="1" t="s">
        <v>511</v>
      </c>
      <c r="O8" s="1" t="s">
        <v>974</v>
      </c>
      <c r="P8" s="1" t="s">
        <v>975</v>
      </c>
      <c r="Q8" s="1" t="s">
        <v>982</v>
      </c>
      <c r="R8" s="1" t="s">
        <v>973</v>
      </c>
      <c r="S8" s="1" t="s">
        <v>973</v>
      </c>
      <c r="T8" s="1" t="s">
        <v>954</v>
      </c>
      <c r="U8" s="1" t="s">
        <v>511</v>
      </c>
      <c r="V8" s="1" t="s">
        <v>988</v>
      </c>
      <c r="W8" s="1" t="s">
        <v>989</v>
      </c>
      <c r="X8" s="1" t="s">
        <v>984</v>
      </c>
      <c r="Y8" s="1" t="s">
        <v>978</v>
      </c>
      <c r="Z8" s="1" t="s">
        <v>511</v>
      </c>
      <c r="AA8" s="1" t="s">
        <v>511</v>
      </c>
      <c r="AB8" s="1" t="s">
        <v>511</v>
      </c>
      <c r="AC8" s="1" t="s">
        <v>966</v>
      </c>
      <c r="AD8" s="1" t="s">
        <v>971</v>
      </c>
      <c r="AE8" s="1" t="s">
        <v>983</v>
      </c>
      <c r="AF8" s="1" t="s">
        <v>982</v>
      </c>
      <c r="AG8" s="1" t="s">
        <v>973</v>
      </c>
      <c r="AH8" s="1" t="s">
        <v>990</v>
      </c>
      <c r="AI8" s="502">
        <v>43056.2297915741</v>
      </c>
    </row>
    <row r="9" spans="1:35">
      <c r="A9" s="1" t="s">
        <v>328</v>
      </c>
      <c r="B9" s="275" t="s">
        <v>844</v>
      </c>
      <c r="C9" s="1" t="s">
        <v>511</v>
      </c>
      <c r="D9" s="1" t="s">
        <v>511</v>
      </c>
      <c r="E9" s="1" t="s">
        <v>511</v>
      </c>
      <c r="F9" s="1" t="s">
        <v>968</v>
      </c>
      <c r="G9" s="1" t="s">
        <v>511</v>
      </c>
      <c r="H9" s="1" t="s">
        <v>511</v>
      </c>
      <c r="I9" s="1"/>
      <c r="J9" s="1" t="s">
        <v>973</v>
      </c>
      <c r="K9" s="1" t="s">
        <v>511</v>
      </c>
      <c r="L9" s="1" t="s">
        <v>511</v>
      </c>
      <c r="M9" s="1" t="s">
        <v>968</v>
      </c>
      <c r="N9" s="1" t="s">
        <v>511</v>
      </c>
      <c r="O9" s="1" t="s">
        <v>511</v>
      </c>
      <c r="P9" s="1" t="s">
        <v>969</v>
      </c>
      <c r="Q9" s="1" t="s">
        <v>972</v>
      </c>
      <c r="R9" s="1" t="s">
        <v>973</v>
      </c>
      <c r="S9" s="1" t="s">
        <v>511</v>
      </c>
      <c r="T9" s="1" t="s">
        <v>968</v>
      </c>
      <c r="U9" s="1" t="s">
        <v>511</v>
      </c>
      <c r="V9" s="1" t="s">
        <v>969</v>
      </c>
      <c r="W9" s="1" t="s">
        <v>968</v>
      </c>
      <c r="X9" s="1" t="s">
        <v>511</v>
      </c>
      <c r="Y9" s="1" t="s">
        <v>968</v>
      </c>
      <c r="Z9" s="1" t="s">
        <v>511</v>
      </c>
      <c r="AA9" s="1" t="s">
        <v>511</v>
      </c>
      <c r="AB9" s="1" t="s">
        <v>511</v>
      </c>
      <c r="AC9" s="1" t="s">
        <v>511</v>
      </c>
      <c r="AD9" s="1" t="s">
        <v>511</v>
      </c>
      <c r="AE9" s="1" t="s">
        <v>511</v>
      </c>
      <c r="AF9" s="1" t="s">
        <v>511</v>
      </c>
      <c r="AG9" s="1" t="s">
        <v>511</v>
      </c>
      <c r="AH9" s="1" t="s">
        <v>991</v>
      </c>
      <c r="AI9" s="502">
        <v>43056.2297915741</v>
      </c>
    </row>
    <row r="10" spans="1:35">
      <c r="A10" s="1" t="s">
        <v>328</v>
      </c>
      <c r="B10" s="275" t="s">
        <v>855</v>
      </c>
      <c r="C10" s="1" t="s">
        <v>511</v>
      </c>
      <c r="D10" s="1" t="s">
        <v>511</v>
      </c>
      <c r="E10" s="1" t="s">
        <v>511</v>
      </c>
      <c r="F10" s="1" t="s">
        <v>511</v>
      </c>
      <c r="G10" s="1" t="s">
        <v>511</v>
      </c>
      <c r="H10" s="1" t="s">
        <v>511</v>
      </c>
      <c r="I10" s="1"/>
      <c r="J10" s="1" t="s">
        <v>511</v>
      </c>
      <c r="K10" s="1" t="s">
        <v>511</v>
      </c>
      <c r="L10" s="1" t="s">
        <v>511</v>
      </c>
      <c r="M10" s="1" t="s">
        <v>511</v>
      </c>
      <c r="N10" s="1" t="s">
        <v>511</v>
      </c>
      <c r="O10" s="1" t="s">
        <v>511</v>
      </c>
      <c r="P10" s="1" t="s">
        <v>511</v>
      </c>
      <c r="Q10" s="1" t="s">
        <v>511</v>
      </c>
      <c r="R10" s="1" t="s">
        <v>511</v>
      </c>
      <c r="S10" s="1" t="s">
        <v>511</v>
      </c>
      <c r="T10" s="1" t="s">
        <v>511</v>
      </c>
      <c r="U10" s="1" t="s">
        <v>511</v>
      </c>
      <c r="V10" s="1" t="s">
        <v>511</v>
      </c>
      <c r="W10" s="1" t="s">
        <v>511</v>
      </c>
      <c r="X10" s="1" t="s">
        <v>511</v>
      </c>
      <c r="Y10" s="1" t="s">
        <v>511</v>
      </c>
      <c r="Z10" s="1" t="s">
        <v>511</v>
      </c>
      <c r="AA10" s="1" t="s">
        <v>511</v>
      </c>
      <c r="AB10" s="1" t="s">
        <v>511</v>
      </c>
      <c r="AC10" s="1" t="s">
        <v>511</v>
      </c>
      <c r="AD10" s="1" t="s">
        <v>511</v>
      </c>
      <c r="AE10" s="1" t="s">
        <v>511</v>
      </c>
      <c r="AF10" s="1" t="s">
        <v>511</v>
      </c>
      <c r="AG10" s="1" t="s">
        <v>511</v>
      </c>
      <c r="AH10" s="1" t="s">
        <v>789</v>
      </c>
      <c r="AI10" s="502">
        <v>43056.2297915741</v>
      </c>
    </row>
    <row r="11" spans="1:35">
      <c r="A11" s="1" t="s">
        <v>328</v>
      </c>
      <c r="B11" s="275" t="s">
        <v>856</v>
      </c>
      <c r="C11" s="1" t="s">
        <v>968</v>
      </c>
      <c r="D11" s="1" t="s">
        <v>511</v>
      </c>
      <c r="E11" s="1" t="s">
        <v>511</v>
      </c>
      <c r="F11" s="1" t="s">
        <v>511</v>
      </c>
      <c r="G11" s="1" t="s">
        <v>511</v>
      </c>
      <c r="H11" s="1" t="s">
        <v>511</v>
      </c>
      <c r="I11" s="1"/>
      <c r="J11" s="1" t="s">
        <v>511</v>
      </c>
      <c r="K11" s="1" t="s">
        <v>968</v>
      </c>
      <c r="L11" s="1" t="s">
        <v>511</v>
      </c>
      <c r="M11" s="1" t="s">
        <v>511</v>
      </c>
      <c r="N11" s="1" t="s">
        <v>511</v>
      </c>
      <c r="O11" s="1" t="s">
        <v>968</v>
      </c>
      <c r="P11" s="1" t="s">
        <v>511</v>
      </c>
      <c r="Q11" s="1" t="s">
        <v>968</v>
      </c>
      <c r="R11" s="1" t="s">
        <v>969</v>
      </c>
      <c r="S11" s="1" t="s">
        <v>511</v>
      </c>
      <c r="T11" s="1" t="s">
        <v>511</v>
      </c>
      <c r="U11" s="1" t="s">
        <v>511</v>
      </c>
      <c r="V11" s="1" t="s">
        <v>974</v>
      </c>
      <c r="W11" s="1" t="s">
        <v>968</v>
      </c>
      <c r="X11" s="1" t="s">
        <v>511</v>
      </c>
      <c r="Y11" s="1" t="s">
        <v>511</v>
      </c>
      <c r="Z11" s="1" t="s">
        <v>511</v>
      </c>
      <c r="AA11" s="1" t="s">
        <v>511</v>
      </c>
      <c r="AB11" s="1" t="s">
        <v>511</v>
      </c>
      <c r="AC11" s="1" t="s">
        <v>511</v>
      </c>
      <c r="AD11" s="1" t="s">
        <v>968</v>
      </c>
      <c r="AE11" s="1" t="s">
        <v>511</v>
      </c>
      <c r="AF11" s="1" t="s">
        <v>511</v>
      </c>
      <c r="AG11" s="1" t="s">
        <v>982</v>
      </c>
      <c r="AH11" s="1" t="s">
        <v>991</v>
      </c>
      <c r="AI11" s="502">
        <v>43056.2297915741</v>
      </c>
    </row>
    <row r="12" spans="1:35">
      <c r="A12" s="1" t="s">
        <v>328</v>
      </c>
      <c r="B12" s="275" t="s">
        <v>859</v>
      </c>
      <c r="C12" s="1" t="s">
        <v>988</v>
      </c>
      <c r="D12" s="1" t="s">
        <v>984</v>
      </c>
      <c r="E12" s="1" t="s">
        <v>981</v>
      </c>
      <c r="F12" s="1" t="s">
        <v>977</v>
      </c>
      <c r="G12" s="1" t="s">
        <v>511</v>
      </c>
      <c r="H12" s="1" t="s">
        <v>511</v>
      </c>
      <c r="I12" s="1"/>
      <c r="J12" s="1" t="s">
        <v>984</v>
      </c>
      <c r="K12" s="1" t="s">
        <v>973</v>
      </c>
      <c r="L12" s="1" t="s">
        <v>511</v>
      </c>
      <c r="M12" s="1" t="s">
        <v>968</v>
      </c>
      <c r="N12" s="1" t="s">
        <v>511</v>
      </c>
      <c r="O12" s="1" t="s">
        <v>982</v>
      </c>
      <c r="P12" s="1" t="s">
        <v>979</v>
      </c>
      <c r="Q12" s="1" t="s">
        <v>975</v>
      </c>
      <c r="R12" s="1" t="s">
        <v>982</v>
      </c>
      <c r="S12" s="1" t="s">
        <v>975</v>
      </c>
      <c r="T12" s="1" t="s">
        <v>977</v>
      </c>
      <c r="U12" s="1" t="s">
        <v>511</v>
      </c>
      <c r="V12" s="1" t="s">
        <v>958</v>
      </c>
      <c r="W12" s="1" t="s">
        <v>988</v>
      </c>
      <c r="X12" s="1" t="s">
        <v>975</v>
      </c>
      <c r="Y12" s="1" t="s">
        <v>955</v>
      </c>
      <c r="Z12" s="1" t="s">
        <v>511</v>
      </c>
      <c r="AA12" s="1" t="s">
        <v>511</v>
      </c>
      <c r="AB12" s="1" t="s">
        <v>511</v>
      </c>
      <c r="AC12" s="1" t="s">
        <v>952</v>
      </c>
      <c r="AD12" s="1" t="s">
        <v>974</v>
      </c>
      <c r="AE12" s="1" t="s">
        <v>958</v>
      </c>
      <c r="AF12" s="1" t="s">
        <v>974</v>
      </c>
      <c r="AG12" s="1" t="s">
        <v>971</v>
      </c>
      <c r="AH12" s="1" t="s">
        <v>992</v>
      </c>
      <c r="AI12" s="502">
        <v>43056.2297915741</v>
      </c>
    </row>
    <row r="13" spans="1:35">
      <c r="A13" s="1" t="s">
        <v>328</v>
      </c>
      <c r="B13" s="275" t="s">
        <v>868</v>
      </c>
      <c r="C13" s="1" t="s">
        <v>982</v>
      </c>
      <c r="D13" s="1" t="s">
        <v>974</v>
      </c>
      <c r="E13" s="1" t="s">
        <v>975</v>
      </c>
      <c r="F13" s="1" t="s">
        <v>972</v>
      </c>
      <c r="G13" s="1" t="s">
        <v>511</v>
      </c>
      <c r="H13" s="1" t="s">
        <v>511</v>
      </c>
      <c r="I13" s="1"/>
      <c r="J13" s="1" t="s">
        <v>982</v>
      </c>
      <c r="K13" s="1" t="s">
        <v>968</v>
      </c>
      <c r="L13" s="1" t="s">
        <v>511</v>
      </c>
      <c r="M13" s="1" t="s">
        <v>511</v>
      </c>
      <c r="N13" s="1" t="s">
        <v>511</v>
      </c>
      <c r="O13" s="1" t="s">
        <v>968</v>
      </c>
      <c r="P13" s="1" t="s">
        <v>511</v>
      </c>
      <c r="Q13" s="1" t="s">
        <v>968</v>
      </c>
      <c r="R13" s="1" t="s">
        <v>511</v>
      </c>
      <c r="S13" s="1" t="s">
        <v>968</v>
      </c>
      <c r="T13" s="1" t="s">
        <v>973</v>
      </c>
      <c r="U13" s="1" t="s">
        <v>511</v>
      </c>
      <c r="V13" s="1" t="s">
        <v>968</v>
      </c>
      <c r="W13" s="1" t="s">
        <v>968</v>
      </c>
      <c r="X13" s="1" t="s">
        <v>511</v>
      </c>
      <c r="Y13" s="1" t="s">
        <v>968</v>
      </c>
      <c r="Z13" s="1" t="s">
        <v>511</v>
      </c>
      <c r="AA13" s="1" t="s">
        <v>511</v>
      </c>
      <c r="AB13" s="1" t="s">
        <v>511</v>
      </c>
      <c r="AC13" s="1" t="s">
        <v>968</v>
      </c>
      <c r="AD13" s="1" t="s">
        <v>968</v>
      </c>
      <c r="AE13" s="1" t="s">
        <v>968</v>
      </c>
      <c r="AF13" s="1" t="s">
        <v>968</v>
      </c>
      <c r="AG13" s="1" t="s">
        <v>968</v>
      </c>
      <c r="AH13" s="1" t="s">
        <v>993</v>
      </c>
      <c r="AI13" s="502">
        <v>43056.2297915741</v>
      </c>
    </row>
    <row r="14" spans="1:35">
      <c r="A14" s="1" t="s">
        <v>328</v>
      </c>
      <c r="B14" s="275" t="s">
        <v>875</v>
      </c>
      <c r="C14" s="1" t="s">
        <v>511</v>
      </c>
      <c r="D14" s="1" t="s">
        <v>511</v>
      </c>
      <c r="E14" s="1" t="s">
        <v>511</v>
      </c>
      <c r="F14" s="1" t="s">
        <v>511</v>
      </c>
      <c r="G14" s="1" t="s">
        <v>511</v>
      </c>
      <c r="H14" s="1" t="s">
        <v>511</v>
      </c>
      <c r="I14" s="1"/>
      <c r="J14" s="1" t="s">
        <v>511</v>
      </c>
      <c r="K14" s="1" t="s">
        <v>511</v>
      </c>
      <c r="L14" s="1" t="s">
        <v>511</v>
      </c>
      <c r="M14" s="1" t="s">
        <v>511</v>
      </c>
      <c r="N14" s="1" t="s">
        <v>511</v>
      </c>
      <c r="O14" s="1" t="s">
        <v>968</v>
      </c>
      <c r="P14" s="1" t="s">
        <v>511</v>
      </c>
      <c r="Q14" s="1" t="s">
        <v>511</v>
      </c>
      <c r="R14" s="1" t="s">
        <v>511</v>
      </c>
      <c r="S14" s="1" t="s">
        <v>511</v>
      </c>
      <c r="T14" s="1" t="s">
        <v>511</v>
      </c>
      <c r="U14" s="1" t="s">
        <v>511</v>
      </c>
      <c r="V14" s="1" t="s">
        <v>511</v>
      </c>
      <c r="W14" s="1" t="s">
        <v>511</v>
      </c>
      <c r="X14" s="1" t="s">
        <v>511</v>
      </c>
      <c r="Y14" s="1" t="s">
        <v>511</v>
      </c>
      <c r="Z14" s="1" t="s">
        <v>511</v>
      </c>
      <c r="AA14" s="1" t="s">
        <v>511</v>
      </c>
      <c r="AB14" s="1" t="s">
        <v>511</v>
      </c>
      <c r="AC14" s="1" t="s">
        <v>511</v>
      </c>
      <c r="AD14" s="1" t="s">
        <v>511</v>
      </c>
      <c r="AE14" s="1" t="s">
        <v>511</v>
      </c>
      <c r="AF14" s="1" t="s">
        <v>511</v>
      </c>
      <c r="AG14" s="1" t="s">
        <v>511</v>
      </c>
      <c r="AH14" s="1" t="s">
        <v>236</v>
      </c>
      <c r="AI14" s="502">
        <v>43056.2297915741</v>
      </c>
    </row>
    <row r="15" spans="1:35">
      <c r="A15" s="1" t="s">
        <v>328</v>
      </c>
      <c r="B15" s="275" t="s">
        <v>914</v>
      </c>
      <c r="C15" s="1" t="s">
        <v>511</v>
      </c>
      <c r="D15" s="1" t="s">
        <v>511</v>
      </c>
      <c r="E15" s="1" t="s">
        <v>511</v>
      </c>
      <c r="F15" s="1" t="s">
        <v>511</v>
      </c>
      <c r="G15" s="1" t="s">
        <v>511</v>
      </c>
      <c r="H15" s="1" t="s">
        <v>511</v>
      </c>
      <c r="I15" s="1"/>
      <c r="J15" s="1" t="s">
        <v>511</v>
      </c>
      <c r="K15" s="1" t="s">
        <v>511</v>
      </c>
      <c r="L15" s="1" t="s">
        <v>511</v>
      </c>
      <c r="M15" s="1" t="s">
        <v>511</v>
      </c>
      <c r="N15" s="1" t="s">
        <v>511</v>
      </c>
      <c r="O15" s="1" t="s">
        <v>511</v>
      </c>
      <c r="P15" s="1" t="s">
        <v>511</v>
      </c>
      <c r="Q15" s="1" t="s">
        <v>511</v>
      </c>
      <c r="R15" s="1" t="s">
        <v>511</v>
      </c>
      <c r="S15" s="1" t="s">
        <v>511</v>
      </c>
      <c r="T15" s="1" t="s">
        <v>511</v>
      </c>
      <c r="U15" s="1" t="s">
        <v>511</v>
      </c>
      <c r="V15" s="1" t="s">
        <v>511</v>
      </c>
      <c r="W15" s="1" t="s">
        <v>511</v>
      </c>
      <c r="X15" s="1" t="s">
        <v>511</v>
      </c>
      <c r="Y15" s="1" t="s">
        <v>511</v>
      </c>
      <c r="Z15" s="1" t="s">
        <v>511</v>
      </c>
      <c r="AA15" s="1" t="s">
        <v>511</v>
      </c>
      <c r="AB15" s="1" t="s">
        <v>511</v>
      </c>
      <c r="AC15" s="1" t="s">
        <v>511</v>
      </c>
      <c r="AD15" s="1" t="s">
        <v>511</v>
      </c>
      <c r="AE15" s="1" t="s">
        <v>511</v>
      </c>
      <c r="AF15" s="1" t="s">
        <v>511</v>
      </c>
      <c r="AG15" s="1" t="s">
        <v>511</v>
      </c>
      <c r="AH15" s="1" t="s">
        <v>789</v>
      </c>
      <c r="AI15" s="502">
        <v>43056.2297915741</v>
      </c>
    </row>
    <row r="16" spans="1:35">
      <c r="A16" s="1" t="s">
        <v>328</v>
      </c>
      <c r="B16" s="275" t="s">
        <v>915</v>
      </c>
      <c r="C16" s="1" t="s">
        <v>511</v>
      </c>
      <c r="D16" s="1" t="s">
        <v>511</v>
      </c>
      <c r="E16" s="1" t="s">
        <v>511</v>
      </c>
      <c r="F16" s="1" t="s">
        <v>511</v>
      </c>
      <c r="G16" s="1" t="s">
        <v>511</v>
      </c>
      <c r="H16" s="1" t="s">
        <v>511</v>
      </c>
      <c r="I16" s="1"/>
      <c r="J16" s="1" t="s">
        <v>511</v>
      </c>
      <c r="K16" s="1" t="s">
        <v>511</v>
      </c>
      <c r="L16" s="1" t="s">
        <v>511</v>
      </c>
      <c r="M16" s="1" t="s">
        <v>511</v>
      </c>
      <c r="N16" s="1" t="s">
        <v>511</v>
      </c>
      <c r="O16" s="1" t="s">
        <v>511</v>
      </c>
      <c r="P16" s="1" t="s">
        <v>511</v>
      </c>
      <c r="Q16" s="1" t="s">
        <v>511</v>
      </c>
      <c r="R16" s="1" t="s">
        <v>511</v>
      </c>
      <c r="S16" s="1" t="s">
        <v>511</v>
      </c>
      <c r="T16" s="1" t="s">
        <v>511</v>
      </c>
      <c r="U16" s="1" t="s">
        <v>511</v>
      </c>
      <c r="V16" s="1" t="s">
        <v>511</v>
      </c>
      <c r="W16" s="1" t="s">
        <v>511</v>
      </c>
      <c r="X16" s="1" t="s">
        <v>511</v>
      </c>
      <c r="Y16" s="1" t="s">
        <v>511</v>
      </c>
      <c r="Z16" s="1" t="s">
        <v>511</v>
      </c>
      <c r="AA16" s="1" t="s">
        <v>511</v>
      </c>
      <c r="AB16" s="1" t="s">
        <v>511</v>
      </c>
      <c r="AC16" s="1" t="s">
        <v>511</v>
      </c>
      <c r="AD16" s="1" t="s">
        <v>511</v>
      </c>
      <c r="AE16" s="1" t="s">
        <v>511</v>
      </c>
      <c r="AF16" s="1" t="s">
        <v>511</v>
      </c>
      <c r="AG16" s="1" t="s">
        <v>511</v>
      </c>
      <c r="AH16" s="1" t="s">
        <v>789</v>
      </c>
      <c r="AI16" s="502">
        <v>43056.2297915741</v>
      </c>
    </row>
    <row r="17" spans="1:35">
      <c r="A17" s="1" t="s">
        <v>328</v>
      </c>
      <c r="B17" s="275" t="s">
        <v>916</v>
      </c>
      <c r="C17" s="1" t="s">
        <v>511</v>
      </c>
      <c r="D17" s="1" t="s">
        <v>511</v>
      </c>
      <c r="E17" s="1" t="s">
        <v>511</v>
      </c>
      <c r="F17" s="1" t="s">
        <v>511</v>
      </c>
      <c r="G17" s="1" t="s">
        <v>511</v>
      </c>
      <c r="H17" s="1" t="s">
        <v>511</v>
      </c>
      <c r="I17" s="1"/>
      <c r="J17" s="1" t="s">
        <v>511</v>
      </c>
      <c r="K17" s="1" t="s">
        <v>511</v>
      </c>
      <c r="L17" s="1" t="s">
        <v>511</v>
      </c>
      <c r="M17" s="1" t="s">
        <v>511</v>
      </c>
      <c r="N17" s="1" t="s">
        <v>511</v>
      </c>
      <c r="O17" s="1" t="s">
        <v>511</v>
      </c>
      <c r="P17" s="1" t="s">
        <v>511</v>
      </c>
      <c r="Q17" s="1" t="s">
        <v>511</v>
      </c>
      <c r="R17" s="1" t="s">
        <v>511</v>
      </c>
      <c r="S17" s="1" t="s">
        <v>511</v>
      </c>
      <c r="T17" s="1" t="s">
        <v>511</v>
      </c>
      <c r="U17" s="1" t="s">
        <v>511</v>
      </c>
      <c r="V17" s="1" t="s">
        <v>511</v>
      </c>
      <c r="W17" s="1" t="s">
        <v>511</v>
      </c>
      <c r="X17" s="1" t="s">
        <v>511</v>
      </c>
      <c r="Y17" s="1" t="s">
        <v>511</v>
      </c>
      <c r="Z17" s="1" t="s">
        <v>511</v>
      </c>
      <c r="AA17" s="1" t="s">
        <v>511</v>
      </c>
      <c r="AB17" s="1" t="s">
        <v>511</v>
      </c>
      <c r="AC17" s="1" t="s">
        <v>511</v>
      </c>
      <c r="AD17" s="1" t="s">
        <v>511</v>
      </c>
      <c r="AE17" s="1" t="s">
        <v>511</v>
      </c>
      <c r="AF17" s="1" t="s">
        <v>511</v>
      </c>
      <c r="AG17" s="1" t="s">
        <v>511</v>
      </c>
      <c r="AH17" s="1" t="s">
        <v>789</v>
      </c>
      <c r="AI17" s="502">
        <v>43056.2297915741</v>
      </c>
    </row>
    <row r="18" spans="1:35">
      <c r="A18" s="1" t="s">
        <v>328</v>
      </c>
      <c r="B18" s="275" t="s">
        <v>917</v>
      </c>
      <c r="C18" s="1" t="s">
        <v>511</v>
      </c>
      <c r="D18" s="1" t="s">
        <v>511</v>
      </c>
      <c r="E18" s="1" t="s">
        <v>511</v>
      </c>
      <c r="F18" s="1" t="s">
        <v>511</v>
      </c>
      <c r="G18" s="1" t="s">
        <v>511</v>
      </c>
      <c r="H18" s="1" t="s">
        <v>511</v>
      </c>
      <c r="I18" s="1"/>
      <c r="J18" s="1" t="s">
        <v>511</v>
      </c>
      <c r="K18" s="1" t="s">
        <v>511</v>
      </c>
      <c r="L18" s="1" t="s">
        <v>511</v>
      </c>
      <c r="M18" s="1" t="s">
        <v>511</v>
      </c>
      <c r="N18" s="1" t="s">
        <v>511</v>
      </c>
      <c r="O18" s="1" t="s">
        <v>511</v>
      </c>
      <c r="P18" s="1" t="s">
        <v>511</v>
      </c>
      <c r="Q18" s="1" t="s">
        <v>511</v>
      </c>
      <c r="R18" s="1" t="s">
        <v>511</v>
      </c>
      <c r="S18" s="1" t="s">
        <v>511</v>
      </c>
      <c r="T18" s="1" t="s">
        <v>511</v>
      </c>
      <c r="U18" s="1" t="s">
        <v>511</v>
      </c>
      <c r="V18" s="1" t="s">
        <v>511</v>
      </c>
      <c r="W18" s="1" t="s">
        <v>511</v>
      </c>
      <c r="X18" s="1" t="s">
        <v>511</v>
      </c>
      <c r="Y18" s="1" t="s">
        <v>511</v>
      </c>
      <c r="Z18" s="1" t="s">
        <v>511</v>
      </c>
      <c r="AA18" s="1" t="s">
        <v>511</v>
      </c>
      <c r="AB18" s="1" t="s">
        <v>511</v>
      </c>
      <c r="AC18" s="1" t="s">
        <v>511</v>
      </c>
      <c r="AD18" s="1" t="s">
        <v>511</v>
      </c>
      <c r="AE18" s="1" t="s">
        <v>511</v>
      </c>
      <c r="AF18" s="1" t="s">
        <v>511</v>
      </c>
      <c r="AG18" s="1" t="s">
        <v>511</v>
      </c>
      <c r="AH18" s="1" t="s">
        <v>789</v>
      </c>
      <c r="AI18" s="502">
        <v>43056.2297915741</v>
      </c>
    </row>
    <row r="19" spans="1:35">
      <c r="A19" s="1" t="s">
        <v>328</v>
      </c>
      <c r="B19" s="275" t="s">
        <v>918</v>
      </c>
      <c r="C19" s="1" t="s">
        <v>511</v>
      </c>
      <c r="D19" s="1" t="s">
        <v>511</v>
      </c>
      <c r="E19" s="1" t="s">
        <v>511</v>
      </c>
      <c r="F19" s="1" t="s">
        <v>511</v>
      </c>
      <c r="G19" s="1" t="s">
        <v>511</v>
      </c>
      <c r="H19" s="1" t="s">
        <v>511</v>
      </c>
      <c r="I19" s="1"/>
      <c r="J19" s="1" t="s">
        <v>511</v>
      </c>
      <c r="K19" s="1" t="s">
        <v>511</v>
      </c>
      <c r="L19" s="1" t="s">
        <v>511</v>
      </c>
      <c r="M19" s="1" t="s">
        <v>511</v>
      </c>
      <c r="N19" s="1" t="s">
        <v>511</v>
      </c>
      <c r="O19" s="1" t="s">
        <v>511</v>
      </c>
      <c r="P19" s="1" t="s">
        <v>511</v>
      </c>
      <c r="Q19" s="1" t="s">
        <v>511</v>
      </c>
      <c r="R19" s="1" t="s">
        <v>511</v>
      </c>
      <c r="S19" s="1" t="s">
        <v>511</v>
      </c>
      <c r="T19" s="1" t="s">
        <v>511</v>
      </c>
      <c r="U19" s="1" t="s">
        <v>511</v>
      </c>
      <c r="V19" s="1" t="s">
        <v>511</v>
      </c>
      <c r="W19" s="1" t="s">
        <v>511</v>
      </c>
      <c r="X19" s="1" t="s">
        <v>511</v>
      </c>
      <c r="Y19" s="1" t="s">
        <v>511</v>
      </c>
      <c r="Z19" s="1" t="s">
        <v>511</v>
      </c>
      <c r="AA19" s="1" t="s">
        <v>511</v>
      </c>
      <c r="AB19" s="1" t="s">
        <v>511</v>
      </c>
      <c r="AC19" s="1" t="s">
        <v>511</v>
      </c>
      <c r="AD19" s="1" t="s">
        <v>511</v>
      </c>
      <c r="AE19" s="1" t="s">
        <v>511</v>
      </c>
      <c r="AF19" s="1" t="s">
        <v>511</v>
      </c>
      <c r="AG19" s="1" t="s">
        <v>511</v>
      </c>
      <c r="AH19" s="1" t="s">
        <v>789</v>
      </c>
      <c r="AI19" s="502">
        <v>43056.2297915741</v>
      </c>
    </row>
    <row r="20" spans="1:35">
      <c r="A20" s="503" t="s">
        <v>328</v>
      </c>
      <c r="B20" s="275" t="s">
        <v>919</v>
      </c>
      <c r="C20" s="503" t="s">
        <v>987</v>
      </c>
      <c r="D20" s="503" t="s">
        <v>961</v>
      </c>
      <c r="E20" s="503" t="s">
        <v>955</v>
      </c>
      <c r="F20" s="503" t="s">
        <v>952</v>
      </c>
      <c r="G20" s="503" t="s">
        <v>511</v>
      </c>
      <c r="H20" s="503" t="s">
        <v>511</v>
      </c>
      <c r="I20" s="503"/>
      <c r="J20" s="503" t="s">
        <v>955</v>
      </c>
      <c r="K20" s="503" t="s">
        <v>994</v>
      </c>
      <c r="L20" s="503" t="s">
        <v>511</v>
      </c>
      <c r="M20" s="503" t="s">
        <v>951</v>
      </c>
      <c r="N20" s="503" t="s">
        <v>511</v>
      </c>
      <c r="O20" s="503" t="s">
        <v>959</v>
      </c>
      <c r="P20" s="503" t="s">
        <v>995</v>
      </c>
      <c r="Q20" s="503" t="s">
        <v>996</v>
      </c>
      <c r="R20" s="503" t="s">
        <v>997</v>
      </c>
      <c r="S20" s="503" t="s">
        <v>998</v>
      </c>
      <c r="T20" s="503" t="s">
        <v>981</v>
      </c>
      <c r="U20" s="503" t="s">
        <v>511</v>
      </c>
      <c r="V20" s="503" t="s">
        <v>955</v>
      </c>
      <c r="W20" s="503" t="s">
        <v>999</v>
      </c>
      <c r="X20" s="503" t="s">
        <v>1000</v>
      </c>
      <c r="Y20" s="503" t="s">
        <v>1001</v>
      </c>
      <c r="Z20" s="503" t="s">
        <v>511</v>
      </c>
      <c r="AA20" s="503" t="s">
        <v>511</v>
      </c>
      <c r="AB20" s="503" t="s">
        <v>511</v>
      </c>
      <c r="AC20" s="503" t="s">
        <v>1002</v>
      </c>
      <c r="AD20" s="503" t="s">
        <v>954</v>
      </c>
      <c r="AE20" s="503" t="s">
        <v>950</v>
      </c>
      <c r="AF20" s="503" t="s">
        <v>951</v>
      </c>
      <c r="AG20" s="503" t="s">
        <v>986</v>
      </c>
      <c r="AH20" s="503" t="s">
        <v>1003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294</v>
      </c>
      <c r="B1" s="1" t="s">
        <v>901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363</v>
      </c>
    </row>
    <row r="2" spans="1:35">
      <c r="A2" s="1" t="s">
        <v>328</v>
      </c>
      <c r="B2" s="1" t="s">
        <v>236</v>
      </c>
      <c r="C2" s="1" t="s">
        <v>1004</v>
      </c>
      <c r="D2" s="1" t="s">
        <v>1005</v>
      </c>
      <c r="E2" s="1" t="s">
        <v>1006</v>
      </c>
      <c r="F2" s="1" t="s">
        <v>1007</v>
      </c>
      <c r="G2" s="1" t="s">
        <v>1008</v>
      </c>
      <c r="H2" s="1" t="s">
        <v>1009</v>
      </c>
      <c r="I2" s="1" t="s">
        <v>1010</v>
      </c>
      <c r="J2" s="1" t="s">
        <v>1011</v>
      </c>
      <c r="K2" s="1" t="s">
        <v>1012</v>
      </c>
      <c r="L2" s="1" t="s">
        <v>1013</v>
      </c>
      <c r="M2" s="1" t="s">
        <v>1014</v>
      </c>
      <c r="N2" s="1" t="s">
        <v>1014</v>
      </c>
      <c r="O2" s="1" t="s">
        <v>1015</v>
      </c>
      <c r="P2" s="1" t="s">
        <v>1016</v>
      </c>
      <c r="Q2" s="1" t="s">
        <v>1017</v>
      </c>
      <c r="R2" s="1" t="s">
        <v>1018</v>
      </c>
      <c r="S2" s="1" t="s">
        <v>1019</v>
      </c>
      <c r="T2" s="1" t="s">
        <v>1020</v>
      </c>
      <c r="U2" s="1" t="s">
        <v>1021</v>
      </c>
      <c r="V2" s="1" t="s">
        <v>1022</v>
      </c>
      <c r="W2" s="1" t="s">
        <v>1023</v>
      </c>
      <c r="X2" s="1" t="s">
        <v>1024</v>
      </c>
      <c r="Y2" s="1" t="s">
        <v>1025</v>
      </c>
      <c r="Z2" s="1" t="s">
        <v>1026</v>
      </c>
      <c r="AA2" s="1" t="s">
        <v>1027</v>
      </c>
      <c r="AB2" s="1" t="s">
        <v>1028</v>
      </c>
      <c r="AC2" s="1" t="s">
        <v>1029</v>
      </c>
      <c r="AD2" s="1" t="s">
        <v>1030</v>
      </c>
      <c r="AE2" s="1" t="s">
        <v>1031</v>
      </c>
      <c r="AF2" s="1" t="s">
        <v>1032</v>
      </c>
      <c r="AG2" s="1" t="s">
        <v>1033</v>
      </c>
      <c r="AH2" s="1" t="s">
        <v>1034</v>
      </c>
      <c r="AI2" s="502">
        <v>43056.229888680602</v>
      </c>
    </row>
    <row r="3" spans="1:35">
      <c r="A3" s="1" t="s">
        <v>328</v>
      </c>
      <c r="B3" s="1" t="s">
        <v>237</v>
      </c>
      <c r="C3" s="1" t="s">
        <v>1035</v>
      </c>
      <c r="D3" s="1" t="s">
        <v>1036</v>
      </c>
      <c r="E3" s="1" t="s">
        <v>1037</v>
      </c>
      <c r="F3" s="1" t="s">
        <v>1038</v>
      </c>
      <c r="G3" s="1" t="s">
        <v>1039</v>
      </c>
      <c r="H3" s="1" t="s">
        <v>1040</v>
      </c>
      <c r="I3" s="1" t="s">
        <v>1041</v>
      </c>
      <c r="J3" s="1" t="s">
        <v>1042</v>
      </c>
      <c r="K3" s="1" t="s">
        <v>1043</v>
      </c>
      <c r="L3" s="1" t="s">
        <v>1044</v>
      </c>
      <c r="M3" s="1" t="s">
        <v>1045</v>
      </c>
      <c r="N3" s="1" t="s">
        <v>1046</v>
      </c>
      <c r="O3" s="1" t="s">
        <v>1047</v>
      </c>
      <c r="P3" s="1" t="s">
        <v>1048</v>
      </c>
      <c r="Q3" s="1" t="s">
        <v>1049</v>
      </c>
      <c r="R3" s="1" t="s">
        <v>1050</v>
      </c>
      <c r="S3" s="1" t="s">
        <v>1051</v>
      </c>
      <c r="T3" s="1" t="s">
        <v>1052</v>
      </c>
      <c r="U3" s="1" t="s">
        <v>1053</v>
      </c>
      <c r="V3" s="1" t="s">
        <v>1054</v>
      </c>
      <c r="W3" s="1" t="s">
        <v>1055</v>
      </c>
      <c r="X3" s="1" t="s">
        <v>1056</v>
      </c>
      <c r="Y3" s="1" t="s">
        <v>1057</v>
      </c>
      <c r="Z3" s="1" t="s">
        <v>1057</v>
      </c>
      <c r="AA3" s="1" t="s">
        <v>1057</v>
      </c>
      <c r="AB3" s="1" t="s">
        <v>1058</v>
      </c>
      <c r="AC3" s="1" t="s">
        <v>1059</v>
      </c>
      <c r="AD3" s="1" t="s">
        <v>1060</v>
      </c>
      <c r="AE3" s="1" t="s">
        <v>1061</v>
      </c>
      <c r="AF3" s="1" t="s">
        <v>1062</v>
      </c>
      <c r="AG3" s="1" t="s">
        <v>1063</v>
      </c>
      <c r="AH3" s="1" t="s">
        <v>1064</v>
      </c>
      <c r="AI3" s="502">
        <v>43056.229888680602</v>
      </c>
    </row>
    <row r="4" spans="1:35">
      <c r="A4" s="1" t="s">
        <v>328</v>
      </c>
      <c r="B4" s="1" t="s">
        <v>902</v>
      </c>
      <c r="C4" s="1" t="s">
        <v>1065</v>
      </c>
      <c r="D4" s="1" t="s">
        <v>1066</v>
      </c>
      <c r="E4" s="1" t="s">
        <v>1067</v>
      </c>
      <c r="F4" s="1" t="s">
        <v>1068</v>
      </c>
      <c r="G4" s="1" t="s">
        <v>1068</v>
      </c>
      <c r="H4" s="1" t="s">
        <v>1068</v>
      </c>
      <c r="I4" s="1" t="s">
        <v>1069</v>
      </c>
      <c r="J4" s="1" t="s">
        <v>1070</v>
      </c>
      <c r="K4" s="1" t="s">
        <v>1071</v>
      </c>
      <c r="L4" s="1" t="s">
        <v>1071</v>
      </c>
      <c r="M4" s="1" t="s">
        <v>1072</v>
      </c>
      <c r="N4" s="1" t="s">
        <v>1072</v>
      </c>
      <c r="O4" s="1" t="s">
        <v>1073</v>
      </c>
      <c r="P4" s="1" t="s">
        <v>1074</v>
      </c>
      <c r="Q4" s="1" t="s">
        <v>1075</v>
      </c>
      <c r="R4" s="1" t="s">
        <v>1076</v>
      </c>
      <c r="S4" s="1" t="s">
        <v>1077</v>
      </c>
      <c r="T4" s="1" t="s">
        <v>1078</v>
      </c>
      <c r="U4" s="1" t="s">
        <v>1078</v>
      </c>
      <c r="V4" s="1" t="s">
        <v>1079</v>
      </c>
      <c r="W4" s="1" t="s">
        <v>1080</v>
      </c>
      <c r="X4" s="1" t="s">
        <v>1081</v>
      </c>
      <c r="Y4" s="1" t="s">
        <v>1082</v>
      </c>
      <c r="Z4" s="1" t="s">
        <v>1082</v>
      </c>
      <c r="AA4" s="306" t="s">
        <v>1083</v>
      </c>
      <c r="AB4" s="1" t="s">
        <v>1084</v>
      </c>
      <c r="AC4" s="1" t="s">
        <v>1085</v>
      </c>
      <c r="AD4" s="1" t="s">
        <v>1086</v>
      </c>
      <c r="AE4" s="1" t="s">
        <v>1087</v>
      </c>
      <c r="AF4" s="1" t="s">
        <v>1088</v>
      </c>
      <c r="AG4" s="1" t="s">
        <v>1089</v>
      </c>
      <c r="AH4" s="1" t="s">
        <v>1090</v>
      </c>
      <c r="AI4" s="502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294</v>
      </c>
      <c r="B1" s="1" t="s">
        <v>361</v>
      </c>
      <c r="C1" s="1" t="s">
        <v>901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363</v>
      </c>
    </row>
    <row r="2" spans="1:36">
      <c r="A2" s="1" t="s">
        <v>328</v>
      </c>
      <c r="B2" s="1" t="s">
        <v>72</v>
      </c>
      <c r="C2" s="1" t="s">
        <v>236</v>
      </c>
      <c r="D2" s="1" t="s">
        <v>1091</v>
      </c>
      <c r="E2" s="1" t="s">
        <v>1092</v>
      </c>
      <c r="F2" s="1" t="s">
        <v>1093</v>
      </c>
      <c r="G2" s="1" t="s">
        <v>1094</v>
      </c>
      <c r="H2" s="1" t="s">
        <v>1094</v>
      </c>
      <c r="I2" s="1" t="s">
        <v>1094</v>
      </c>
      <c r="J2" s="1" t="s">
        <v>1095</v>
      </c>
      <c r="K2" s="1" t="s">
        <v>1096</v>
      </c>
      <c r="L2" s="1" t="s">
        <v>1097</v>
      </c>
      <c r="M2" s="1" t="s">
        <v>1097</v>
      </c>
      <c r="N2" s="1" t="s">
        <v>1098</v>
      </c>
      <c r="O2" s="1" t="s">
        <v>1098</v>
      </c>
      <c r="P2" s="1" t="s">
        <v>1099</v>
      </c>
      <c r="Q2" s="1" t="s">
        <v>1100</v>
      </c>
      <c r="R2" s="1" t="s">
        <v>1101</v>
      </c>
      <c r="S2" s="1" t="s">
        <v>1102</v>
      </c>
      <c r="T2" s="1" t="s">
        <v>1103</v>
      </c>
      <c r="U2" s="1" t="s">
        <v>1104</v>
      </c>
      <c r="V2" s="1" t="s">
        <v>1104</v>
      </c>
      <c r="W2" s="1" t="s">
        <v>1105</v>
      </c>
      <c r="X2" s="1" t="s">
        <v>1106</v>
      </c>
      <c r="Y2" s="1" t="s">
        <v>1107</v>
      </c>
      <c r="Z2" s="1" t="s">
        <v>1108</v>
      </c>
      <c r="AA2" s="1" t="s">
        <v>1108</v>
      </c>
      <c r="AB2" s="1" t="s">
        <v>1108</v>
      </c>
      <c r="AC2" s="1" t="s">
        <v>1108</v>
      </c>
      <c r="AD2" s="1" t="s">
        <v>1109</v>
      </c>
      <c r="AE2" s="1" t="s">
        <v>1110</v>
      </c>
      <c r="AF2" s="1" t="s">
        <v>1111</v>
      </c>
      <c r="AG2" s="1" t="s">
        <v>1112</v>
      </c>
      <c r="AH2" s="1" t="s">
        <v>1113</v>
      </c>
      <c r="AI2" s="1" t="s">
        <v>1114</v>
      </c>
      <c r="AJ2" s="502">
        <v>43056.229889050897</v>
      </c>
    </row>
    <row r="3" spans="1:36">
      <c r="A3" s="1" t="s">
        <v>328</v>
      </c>
      <c r="B3" s="1" t="s">
        <v>72</v>
      </c>
      <c r="C3" s="1" t="s">
        <v>237</v>
      </c>
      <c r="D3" s="1" t="s">
        <v>1115</v>
      </c>
      <c r="E3" s="1" t="s">
        <v>1116</v>
      </c>
      <c r="F3" s="1" t="s">
        <v>1117</v>
      </c>
      <c r="G3" s="1" t="s">
        <v>1118</v>
      </c>
      <c r="H3" s="1" t="s">
        <v>1118</v>
      </c>
      <c r="I3" s="1" t="s">
        <v>1118</v>
      </c>
      <c r="J3" s="1" t="s">
        <v>1119</v>
      </c>
      <c r="K3" s="1" t="s">
        <v>1120</v>
      </c>
      <c r="L3" s="1" t="s">
        <v>1121</v>
      </c>
      <c r="M3" s="1" t="s">
        <v>1121</v>
      </c>
      <c r="N3" s="1" t="s">
        <v>1121</v>
      </c>
      <c r="O3" s="1" t="s">
        <v>1121</v>
      </c>
      <c r="P3" s="1" t="s">
        <v>1122</v>
      </c>
      <c r="Q3" s="1" t="s">
        <v>1123</v>
      </c>
      <c r="R3" s="1" t="s">
        <v>1124</v>
      </c>
      <c r="S3" s="1" t="s">
        <v>1125</v>
      </c>
      <c r="T3" s="1" t="s">
        <v>1126</v>
      </c>
      <c r="U3" s="1" t="s">
        <v>1127</v>
      </c>
      <c r="V3" s="1" t="s">
        <v>1127</v>
      </c>
      <c r="W3" s="1" t="s">
        <v>1128</v>
      </c>
      <c r="X3" s="1" t="s">
        <v>1129</v>
      </c>
      <c r="Y3" s="1" t="s">
        <v>1130</v>
      </c>
      <c r="Z3" s="1" t="s">
        <v>1131</v>
      </c>
      <c r="AA3" s="1" t="s">
        <v>1131</v>
      </c>
      <c r="AB3" s="1" t="s">
        <v>1131</v>
      </c>
      <c r="AC3" s="1" t="s">
        <v>1131</v>
      </c>
      <c r="AD3" s="1" t="s">
        <v>1132</v>
      </c>
      <c r="AE3" s="1" t="s">
        <v>1133</v>
      </c>
      <c r="AF3" s="1" t="s">
        <v>1134</v>
      </c>
      <c r="AG3" s="1" t="s">
        <v>1135</v>
      </c>
      <c r="AH3" s="1" t="s">
        <v>1136</v>
      </c>
      <c r="AI3" s="1" t="s">
        <v>1137</v>
      </c>
      <c r="AJ3" s="502">
        <v>43056.229889050897</v>
      </c>
    </row>
    <row r="4" spans="1:36">
      <c r="A4" s="1" t="s">
        <v>328</v>
      </c>
      <c r="B4" s="1" t="s">
        <v>72</v>
      </c>
      <c r="C4" s="1" t="s">
        <v>902</v>
      </c>
      <c r="D4" s="1" t="s">
        <v>1138</v>
      </c>
      <c r="E4" s="1" t="s">
        <v>1139</v>
      </c>
      <c r="F4" s="1" t="s">
        <v>1140</v>
      </c>
      <c r="G4" s="1" t="s">
        <v>1140</v>
      </c>
      <c r="H4" s="1" t="s">
        <v>1140</v>
      </c>
      <c r="I4" s="1" t="s">
        <v>1140</v>
      </c>
      <c r="J4" s="1" t="s">
        <v>1141</v>
      </c>
      <c r="K4" s="1" t="s">
        <v>1142</v>
      </c>
      <c r="L4" s="1" t="s">
        <v>1143</v>
      </c>
      <c r="M4" s="1" t="s">
        <v>1143</v>
      </c>
      <c r="N4" s="1" t="s">
        <v>1143</v>
      </c>
      <c r="O4" s="1" t="s">
        <v>1143</v>
      </c>
      <c r="P4" s="1" t="s">
        <v>1144</v>
      </c>
      <c r="Q4" s="1" t="s">
        <v>1145</v>
      </c>
      <c r="R4" s="1" t="s">
        <v>1146</v>
      </c>
      <c r="S4" s="1" t="s">
        <v>1147</v>
      </c>
      <c r="T4" s="1" t="s">
        <v>1148</v>
      </c>
      <c r="U4" s="1" t="s">
        <v>1148</v>
      </c>
      <c r="V4" s="1" t="s">
        <v>1148</v>
      </c>
      <c r="W4" s="1" t="s">
        <v>1148</v>
      </c>
      <c r="X4" s="1" t="s">
        <v>1149</v>
      </c>
      <c r="Y4" s="1" t="s">
        <v>1150</v>
      </c>
      <c r="Z4" s="1" t="s">
        <v>1151</v>
      </c>
      <c r="AA4" s="1" t="s">
        <v>1151</v>
      </c>
      <c r="AB4" s="1" t="s">
        <v>1151</v>
      </c>
      <c r="AC4" s="1" t="s">
        <v>1151</v>
      </c>
      <c r="AD4" s="1" t="s">
        <v>1152</v>
      </c>
      <c r="AE4" s="1" t="s">
        <v>1153</v>
      </c>
      <c r="AF4" s="1" t="s">
        <v>1154</v>
      </c>
      <c r="AG4" s="1" t="s">
        <v>1155</v>
      </c>
      <c r="AH4" s="1" t="s">
        <v>1156</v>
      </c>
      <c r="AI4" s="1" t="s">
        <v>1157</v>
      </c>
      <c r="AJ4" s="502">
        <v>43056.229889050897</v>
      </c>
    </row>
    <row r="5" spans="1:36">
      <c r="A5" s="1" t="s">
        <v>328</v>
      </c>
      <c r="B5" s="1" t="s">
        <v>238</v>
      </c>
      <c r="C5" s="1" t="s">
        <v>236</v>
      </c>
      <c r="D5" s="1" t="s">
        <v>511</v>
      </c>
      <c r="E5" s="1" t="s">
        <v>511</v>
      </c>
      <c r="F5" s="1" t="s">
        <v>511</v>
      </c>
      <c r="G5" s="1" t="s">
        <v>511</v>
      </c>
      <c r="H5" s="1" t="s">
        <v>511</v>
      </c>
      <c r="I5" s="1" t="s">
        <v>511</v>
      </c>
      <c r="J5" s="1" t="s">
        <v>511</v>
      </c>
      <c r="K5" s="1" t="s">
        <v>511</v>
      </c>
      <c r="L5" s="1" t="s">
        <v>511</v>
      </c>
      <c r="M5" s="1" t="s">
        <v>511</v>
      </c>
      <c r="N5" s="1" t="s">
        <v>511</v>
      </c>
      <c r="O5" s="1" t="s">
        <v>511</v>
      </c>
      <c r="P5" s="1" t="s">
        <v>511</v>
      </c>
      <c r="Q5" s="1" t="s">
        <v>511</v>
      </c>
      <c r="R5" s="1" t="s">
        <v>511</v>
      </c>
      <c r="S5" s="1" t="s">
        <v>511</v>
      </c>
      <c r="T5" s="1" t="s">
        <v>511</v>
      </c>
      <c r="U5" s="1" t="s">
        <v>511</v>
      </c>
      <c r="V5" s="1" t="s">
        <v>511</v>
      </c>
      <c r="W5" s="1" t="s">
        <v>511</v>
      </c>
      <c r="X5" s="1" t="s">
        <v>511</v>
      </c>
      <c r="Y5" s="1" t="s">
        <v>511</v>
      </c>
      <c r="Z5" s="1" t="s">
        <v>511</v>
      </c>
      <c r="AA5" s="1" t="s">
        <v>511</v>
      </c>
      <c r="AB5" s="1" t="s">
        <v>511</v>
      </c>
      <c r="AC5" s="1" t="s">
        <v>511</v>
      </c>
      <c r="AD5" s="1" t="s">
        <v>511</v>
      </c>
      <c r="AE5" s="1" t="s">
        <v>511</v>
      </c>
      <c r="AF5" s="1" t="s">
        <v>511</v>
      </c>
      <c r="AG5" s="1" t="s">
        <v>511</v>
      </c>
      <c r="AH5" s="1" t="s">
        <v>511</v>
      </c>
      <c r="AI5" s="1" t="s">
        <v>511</v>
      </c>
      <c r="AJ5" s="502">
        <v>43056.229889050897</v>
      </c>
    </row>
    <row r="6" spans="1:36">
      <c r="A6" s="1" t="s">
        <v>328</v>
      </c>
      <c r="B6" s="1" t="s">
        <v>238</v>
      </c>
      <c r="C6" s="1" t="s">
        <v>237</v>
      </c>
      <c r="D6" s="1" t="s">
        <v>511</v>
      </c>
      <c r="E6" s="1" t="s">
        <v>511</v>
      </c>
      <c r="F6" s="1" t="s">
        <v>511</v>
      </c>
      <c r="G6" s="1" t="s">
        <v>511</v>
      </c>
      <c r="H6" s="1" t="s">
        <v>511</v>
      </c>
      <c r="I6" s="1" t="s">
        <v>511</v>
      </c>
      <c r="J6" s="1" t="s">
        <v>511</v>
      </c>
      <c r="K6" s="1" t="s">
        <v>511</v>
      </c>
      <c r="L6" s="1" t="s">
        <v>511</v>
      </c>
      <c r="M6" s="1" t="s">
        <v>511</v>
      </c>
      <c r="N6" s="1" t="s">
        <v>511</v>
      </c>
      <c r="O6" s="1" t="s">
        <v>511</v>
      </c>
      <c r="P6" s="1" t="s">
        <v>511</v>
      </c>
      <c r="Q6" s="1" t="s">
        <v>511</v>
      </c>
      <c r="R6" s="1" t="s">
        <v>511</v>
      </c>
      <c r="S6" s="1" t="s">
        <v>511</v>
      </c>
      <c r="T6" s="1" t="s">
        <v>511</v>
      </c>
      <c r="U6" s="1" t="s">
        <v>511</v>
      </c>
      <c r="V6" s="1" t="s">
        <v>511</v>
      </c>
      <c r="W6" s="1" t="s">
        <v>511</v>
      </c>
      <c r="X6" s="1" t="s">
        <v>511</v>
      </c>
      <c r="Y6" s="1" t="s">
        <v>511</v>
      </c>
      <c r="Z6" s="1" t="s">
        <v>511</v>
      </c>
      <c r="AA6" s="1" t="s">
        <v>511</v>
      </c>
      <c r="AB6" s="1" t="s">
        <v>511</v>
      </c>
      <c r="AC6" s="1" t="s">
        <v>511</v>
      </c>
      <c r="AD6" s="1" t="s">
        <v>511</v>
      </c>
      <c r="AE6" s="1" t="s">
        <v>511</v>
      </c>
      <c r="AF6" s="1" t="s">
        <v>511</v>
      </c>
      <c r="AG6" s="1" t="s">
        <v>511</v>
      </c>
      <c r="AH6" s="1" t="s">
        <v>511</v>
      </c>
      <c r="AI6" s="1" t="s">
        <v>511</v>
      </c>
      <c r="AJ6" s="502">
        <v>43056.229889050897</v>
      </c>
    </row>
    <row r="7" spans="1:36">
      <c r="A7" s="1" t="s">
        <v>328</v>
      </c>
      <c r="B7" s="1" t="s">
        <v>245</v>
      </c>
      <c r="C7" s="1" t="s">
        <v>236</v>
      </c>
      <c r="D7" s="1" t="s">
        <v>1158</v>
      </c>
      <c r="E7" s="1" t="s">
        <v>1159</v>
      </c>
      <c r="F7" s="1" t="s">
        <v>1160</v>
      </c>
      <c r="G7" s="1" t="s">
        <v>1161</v>
      </c>
      <c r="H7" s="1" t="s">
        <v>1161</v>
      </c>
      <c r="I7" s="1" t="s">
        <v>1161</v>
      </c>
      <c r="J7" s="1" t="s">
        <v>1162</v>
      </c>
      <c r="K7" s="1" t="s">
        <v>1163</v>
      </c>
      <c r="L7" s="1" t="s">
        <v>1164</v>
      </c>
      <c r="M7" s="1" t="s">
        <v>1164</v>
      </c>
      <c r="N7" s="1" t="s">
        <v>1164</v>
      </c>
      <c r="O7" s="1" t="s">
        <v>1164</v>
      </c>
      <c r="P7" s="1" t="s">
        <v>1165</v>
      </c>
      <c r="Q7" s="1" t="s">
        <v>1166</v>
      </c>
      <c r="R7" s="1" t="s">
        <v>1167</v>
      </c>
      <c r="S7" s="1" t="s">
        <v>1168</v>
      </c>
      <c r="T7" s="1" t="s">
        <v>1169</v>
      </c>
      <c r="U7" s="1" t="s">
        <v>1170</v>
      </c>
      <c r="V7" s="1" t="s">
        <v>1170</v>
      </c>
      <c r="W7" s="1" t="s">
        <v>1171</v>
      </c>
      <c r="X7" s="1" t="s">
        <v>1172</v>
      </c>
      <c r="Y7" s="1" t="s">
        <v>1173</v>
      </c>
      <c r="Z7" s="1" t="s">
        <v>1174</v>
      </c>
      <c r="AA7" s="1" t="s">
        <v>1174</v>
      </c>
      <c r="AB7" s="1" t="s">
        <v>1174</v>
      </c>
      <c r="AC7" s="1" t="s">
        <v>1174</v>
      </c>
      <c r="AD7" s="1" t="s">
        <v>1175</v>
      </c>
      <c r="AE7" s="1" t="s">
        <v>1176</v>
      </c>
      <c r="AF7" s="1" t="s">
        <v>1177</v>
      </c>
      <c r="AG7" s="1" t="s">
        <v>1178</v>
      </c>
      <c r="AH7" s="1" t="s">
        <v>1179</v>
      </c>
      <c r="AI7" s="1" t="s">
        <v>1180</v>
      </c>
      <c r="AJ7" s="502">
        <v>43056.229889050897</v>
      </c>
    </row>
    <row r="8" spans="1:36">
      <c r="A8" s="1" t="s">
        <v>328</v>
      </c>
      <c r="B8" s="1" t="s">
        <v>239</v>
      </c>
      <c r="C8" s="1" t="s">
        <v>236</v>
      </c>
      <c r="D8" s="1" t="s">
        <v>511</v>
      </c>
      <c r="E8" s="1" t="s">
        <v>511</v>
      </c>
      <c r="F8" s="1" t="s">
        <v>511</v>
      </c>
      <c r="G8" s="1" t="s">
        <v>511</v>
      </c>
      <c r="H8" s="1" t="s">
        <v>511</v>
      </c>
      <c r="I8" s="1" t="s">
        <v>511</v>
      </c>
      <c r="J8" s="1" t="s">
        <v>511</v>
      </c>
      <c r="K8" s="1" t="s">
        <v>511</v>
      </c>
      <c r="L8" s="1" t="s">
        <v>511</v>
      </c>
      <c r="M8" s="1" t="s">
        <v>511</v>
      </c>
      <c r="N8" s="1" t="s">
        <v>511</v>
      </c>
      <c r="O8" s="1" t="s">
        <v>511</v>
      </c>
      <c r="P8" s="1" t="s">
        <v>511</v>
      </c>
      <c r="Q8" s="1" t="s">
        <v>511</v>
      </c>
      <c r="R8" s="1" t="s">
        <v>511</v>
      </c>
      <c r="S8" s="1" t="s">
        <v>511</v>
      </c>
      <c r="T8" s="1" t="s">
        <v>511</v>
      </c>
      <c r="U8" s="1" t="s">
        <v>511</v>
      </c>
      <c r="V8" s="1" t="s">
        <v>511</v>
      </c>
      <c r="W8" s="1" t="s">
        <v>511</v>
      </c>
      <c r="X8" s="1" t="s">
        <v>511</v>
      </c>
      <c r="Y8" s="1" t="s">
        <v>511</v>
      </c>
      <c r="Z8" s="1" t="s">
        <v>511</v>
      </c>
      <c r="AA8" s="1" t="s">
        <v>511</v>
      </c>
      <c r="AB8" s="1" t="s">
        <v>511</v>
      </c>
      <c r="AC8" s="1" t="s">
        <v>511</v>
      </c>
      <c r="AD8" s="1" t="s">
        <v>511</v>
      </c>
      <c r="AE8" s="1" t="s">
        <v>511</v>
      </c>
      <c r="AF8" s="1" t="s">
        <v>511</v>
      </c>
      <c r="AG8" s="1" t="s">
        <v>511</v>
      </c>
      <c r="AH8" s="1" t="s">
        <v>511</v>
      </c>
      <c r="AI8" s="1" t="s">
        <v>511</v>
      </c>
      <c r="AJ8" s="502">
        <v>43056.229889050897</v>
      </c>
    </row>
    <row r="9" spans="1:36">
      <c r="A9" s="1" t="s">
        <v>328</v>
      </c>
      <c r="B9" s="1" t="s">
        <v>239</v>
      </c>
      <c r="C9" s="1" t="s">
        <v>237</v>
      </c>
      <c r="D9" s="1" t="s">
        <v>511</v>
      </c>
      <c r="E9" s="1" t="s">
        <v>511</v>
      </c>
      <c r="F9" s="1" t="s">
        <v>511</v>
      </c>
      <c r="G9" s="1" t="s">
        <v>511</v>
      </c>
      <c r="H9" s="1" t="s">
        <v>511</v>
      </c>
      <c r="I9" s="1" t="s">
        <v>511</v>
      </c>
      <c r="J9" s="1" t="s">
        <v>511</v>
      </c>
      <c r="K9" s="1" t="s">
        <v>511</v>
      </c>
      <c r="L9" s="1" t="s">
        <v>511</v>
      </c>
      <c r="M9" s="1" t="s">
        <v>511</v>
      </c>
      <c r="N9" s="1" t="s">
        <v>511</v>
      </c>
      <c r="O9" s="1" t="s">
        <v>511</v>
      </c>
      <c r="P9" s="1" t="s">
        <v>511</v>
      </c>
      <c r="Q9" s="1" t="s">
        <v>511</v>
      </c>
      <c r="R9" s="1" t="s">
        <v>511</v>
      </c>
      <c r="S9" s="1" t="s">
        <v>511</v>
      </c>
      <c r="T9" s="1" t="s">
        <v>511</v>
      </c>
      <c r="U9" s="1" t="s">
        <v>511</v>
      </c>
      <c r="V9" s="1" t="s">
        <v>511</v>
      </c>
      <c r="W9" s="1" t="s">
        <v>511</v>
      </c>
      <c r="X9" s="1" t="s">
        <v>511</v>
      </c>
      <c r="Y9" s="1" t="s">
        <v>511</v>
      </c>
      <c r="Z9" s="1" t="s">
        <v>511</v>
      </c>
      <c r="AA9" s="1" t="s">
        <v>511</v>
      </c>
      <c r="AB9" s="1" t="s">
        <v>511</v>
      </c>
      <c r="AC9" s="1" t="s">
        <v>511</v>
      </c>
      <c r="AD9" s="1" t="s">
        <v>511</v>
      </c>
      <c r="AE9" s="1" t="s">
        <v>511</v>
      </c>
      <c r="AF9" s="1" t="s">
        <v>511</v>
      </c>
      <c r="AG9" s="1" t="s">
        <v>511</v>
      </c>
      <c r="AH9" s="1" t="s">
        <v>511</v>
      </c>
      <c r="AI9" s="1" t="s">
        <v>511</v>
      </c>
      <c r="AJ9" s="502">
        <v>43056.229889050897</v>
      </c>
    </row>
    <row r="10" spans="1:36">
      <c r="A10" s="1" t="s">
        <v>328</v>
      </c>
      <c r="B10" s="1" t="s">
        <v>240</v>
      </c>
      <c r="C10" s="1" t="s">
        <v>236</v>
      </c>
      <c r="D10" s="1" t="s">
        <v>511</v>
      </c>
      <c r="E10" s="1" t="s">
        <v>511</v>
      </c>
      <c r="F10" s="1" t="s">
        <v>511</v>
      </c>
      <c r="G10" s="1" t="s">
        <v>511</v>
      </c>
      <c r="H10" s="1" t="s">
        <v>511</v>
      </c>
      <c r="I10" s="1" t="s">
        <v>511</v>
      </c>
      <c r="J10" s="1" t="s">
        <v>511</v>
      </c>
      <c r="K10" s="1" t="s">
        <v>511</v>
      </c>
      <c r="L10" s="1" t="s">
        <v>511</v>
      </c>
      <c r="M10" s="1" t="s">
        <v>511</v>
      </c>
      <c r="N10" s="1" t="s">
        <v>511</v>
      </c>
      <c r="O10" s="1" t="s">
        <v>511</v>
      </c>
      <c r="P10" s="1" t="s">
        <v>511</v>
      </c>
      <c r="Q10" s="1" t="s">
        <v>511</v>
      </c>
      <c r="R10" s="1" t="s">
        <v>511</v>
      </c>
      <c r="S10" s="1" t="s">
        <v>511</v>
      </c>
      <c r="T10" s="1" t="s">
        <v>511</v>
      </c>
      <c r="U10" s="1" t="s">
        <v>511</v>
      </c>
      <c r="V10" s="1" t="s">
        <v>511</v>
      </c>
      <c r="W10" s="1" t="s">
        <v>511</v>
      </c>
      <c r="X10" s="1" t="s">
        <v>511</v>
      </c>
      <c r="Y10" s="1" t="s">
        <v>511</v>
      </c>
      <c r="Z10" s="1" t="s">
        <v>511</v>
      </c>
      <c r="AA10" s="1" t="s">
        <v>511</v>
      </c>
      <c r="AB10" s="1" t="s">
        <v>511</v>
      </c>
      <c r="AC10" s="1" t="s">
        <v>511</v>
      </c>
      <c r="AD10" s="1" t="s">
        <v>511</v>
      </c>
      <c r="AE10" s="1" t="s">
        <v>511</v>
      </c>
      <c r="AF10" s="1" t="s">
        <v>511</v>
      </c>
      <c r="AG10" s="1" t="s">
        <v>511</v>
      </c>
      <c r="AH10" s="1" t="s">
        <v>511</v>
      </c>
      <c r="AI10" s="1" t="s">
        <v>511</v>
      </c>
      <c r="AJ10" s="502">
        <v>43056.229889050897</v>
      </c>
    </row>
    <row r="11" spans="1:36">
      <c r="A11" s="1" t="s">
        <v>328</v>
      </c>
      <c r="B11" s="1" t="s">
        <v>240</v>
      </c>
      <c r="C11" s="1" t="s">
        <v>237</v>
      </c>
      <c r="D11" s="1" t="s">
        <v>511</v>
      </c>
      <c r="E11" s="1" t="s">
        <v>511</v>
      </c>
      <c r="F11" s="1" t="s">
        <v>511</v>
      </c>
      <c r="G11" s="1" t="s">
        <v>511</v>
      </c>
      <c r="H11" s="1" t="s">
        <v>511</v>
      </c>
      <c r="I11" s="1" t="s">
        <v>511</v>
      </c>
      <c r="J11" s="1" t="s">
        <v>511</v>
      </c>
      <c r="K11" s="1" t="s">
        <v>511</v>
      </c>
      <c r="L11" s="1" t="s">
        <v>511</v>
      </c>
      <c r="M11" s="1" t="s">
        <v>511</v>
      </c>
      <c r="N11" s="1" t="s">
        <v>511</v>
      </c>
      <c r="O11" s="1" t="s">
        <v>511</v>
      </c>
      <c r="P11" s="1" t="s">
        <v>511</v>
      </c>
      <c r="Q11" s="1" t="s">
        <v>511</v>
      </c>
      <c r="R11" s="1" t="s">
        <v>511</v>
      </c>
      <c r="S11" s="1" t="s">
        <v>511</v>
      </c>
      <c r="T11" s="1" t="s">
        <v>511</v>
      </c>
      <c r="U11" s="1" t="s">
        <v>511</v>
      </c>
      <c r="V11" s="1" t="s">
        <v>511</v>
      </c>
      <c r="W11" s="1" t="s">
        <v>511</v>
      </c>
      <c r="X11" s="1" t="s">
        <v>511</v>
      </c>
      <c r="Y11" s="1" t="s">
        <v>511</v>
      </c>
      <c r="Z11" s="1" t="s">
        <v>511</v>
      </c>
      <c r="AA11" s="1" t="s">
        <v>511</v>
      </c>
      <c r="AB11" s="1" t="s">
        <v>511</v>
      </c>
      <c r="AC11" s="1" t="s">
        <v>511</v>
      </c>
      <c r="AD11" s="1" t="s">
        <v>511</v>
      </c>
      <c r="AE11" s="1" t="s">
        <v>511</v>
      </c>
      <c r="AF11" s="1" t="s">
        <v>511</v>
      </c>
      <c r="AG11" s="1" t="s">
        <v>511</v>
      </c>
      <c r="AH11" s="1" t="s">
        <v>511</v>
      </c>
      <c r="AI11" s="1" t="s">
        <v>511</v>
      </c>
      <c r="AJ11" s="502">
        <v>43056.229889050897</v>
      </c>
    </row>
    <row r="12" spans="1:36">
      <c r="A12" s="1" t="s">
        <v>328</v>
      </c>
      <c r="B12" s="1" t="s">
        <v>241</v>
      </c>
      <c r="C12" s="1" t="s">
        <v>237</v>
      </c>
      <c r="D12" s="1" t="s">
        <v>511</v>
      </c>
      <c r="E12" s="1" t="s">
        <v>511</v>
      </c>
      <c r="F12" s="1" t="s">
        <v>511</v>
      </c>
      <c r="G12" s="1" t="s">
        <v>511</v>
      </c>
      <c r="H12" s="1" t="s">
        <v>511</v>
      </c>
      <c r="I12" s="1" t="s">
        <v>511</v>
      </c>
      <c r="J12" s="1" t="s">
        <v>511</v>
      </c>
      <c r="K12" s="1" t="s">
        <v>511</v>
      </c>
      <c r="L12" s="1" t="s">
        <v>511</v>
      </c>
      <c r="M12" s="1" t="s">
        <v>511</v>
      </c>
      <c r="N12" s="1" t="s">
        <v>511</v>
      </c>
      <c r="O12" s="1" t="s">
        <v>511</v>
      </c>
      <c r="P12" s="1" t="s">
        <v>511</v>
      </c>
      <c r="Q12" s="1" t="s">
        <v>511</v>
      </c>
      <c r="R12" s="1" t="s">
        <v>511</v>
      </c>
      <c r="S12" s="1" t="s">
        <v>511</v>
      </c>
      <c r="T12" s="1" t="s">
        <v>511</v>
      </c>
      <c r="U12" s="1" t="s">
        <v>511</v>
      </c>
      <c r="V12" s="1" t="s">
        <v>511</v>
      </c>
      <c r="W12" s="1" t="s">
        <v>511</v>
      </c>
      <c r="X12" s="1" t="s">
        <v>511</v>
      </c>
      <c r="Y12" s="1" t="s">
        <v>511</v>
      </c>
      <c r="Z12" s="1" t="s">
        <v>511</v>
      </c>
      <c r="AA12" s="1" t="s">
        <v>511</v>
      </c>
      <c r="AB12" s="1" t="s">
        <v>511</v>
      </c>
      <c r="AC12" s="1" t="s">
        <v>511</v>
      </c>
      <c r="AD12" s="1" t="s">
        <v>511</v>
      </c>
      <c r="AE12" s="1" t="s">
        <v>511</v>
      </c>
      <c r="AF12" s="1" t="s">
        <v>511</v>
      </c>
      <c r="AG12" s="1" t="s">
        <v>511</v>
      </c>
      <c r="AH12" s="1" t="s">
        <v>511</v>
      </c>
      <c r="AI12" s="1" t="s">
        <v>511</v>
      </c>
      <c r="AJ12" s="502">
        <v>43056.229889050897</v>
      </c>
    </row>
    <row r="13" spans="1:36">
      <c r="A13" s="1" t="s">
        <v>328</v>
      </c>
      <c r="B13" s="1" t="s">
        <v>242</v>
      </c>
      <c r="C13" s="1" t="s">
        <v>237</v>
      </c>
      <c r="D13" s="1" t="s">
        <v>511</v>
      </c>
      <c r="E13" s="1" t="s">
        <v>511</v>
      </c>
      <c r="F13" s="1" t="s">
        <v>511</v>
      </c>
      <c r="G13" s="1" t="s">
        <v>511</v>
      </c>
      <c r="H13" s="1" t="s">
        <v>511</v>
      </c>
      <c r="I13" s="1" t="s">
        <v>511</v>
      </c>
      <c r="J13" s="1" t="s">
        <v>511</v>
      </c>
      <c r="K13" s="1" t="s">
        <v>511</v>
      </c>
      <c r="L13" s="1" t="s">
        <v>511</v>
      </c>
      <c r="M13" s="1" t="s">
        <v>511</v>
      </c>
      <c r="N13" s="1" t="s">
        <v>511</v>
      </c>
      <c r="O13" s="1" t="s">
        <v>511</v>
      </c>
      <c r="P13" s="1" t="s">
        <v>511</v>
      </c>
      <c r="Q13" s="1" t="s">
        <v>511</v>
      </c>
      <c r="R13" s="1" t="s">
        <v>511</v>
      </c>
      <c r="S13" s="1" t="s">
        <v>511</v>
      </c>
      <c r="T13" s="1" t="s">
        <v>511</v>
      </c>
      <c r="U13" s="1" t="s">
        <v>511</v>
      </c>
      <c r="V13" s="1" t="s">
        <v>511</v>
      </c>
      <c r="W13" s="1" t="s">
        <v>511</v>
      </c>
      <c r="X13" s="1" t="s">
        <v>511</v>
      </c>
      <c r="Y13" s="1" t="s">
        <v>511</v>
      </c>
      <c r="Z13" s="1" t="s">
        <v>511</v>
      </c>
      <c r="AA13" s="1" t="s">
        <v>511</v>
      </c>
      <c r="AB13" s="1" t="s">
        <v>511</v>
      </c>
      <c r="AC13" s="1" t="s">
        <v>511</v>
      </c>
      <c r="AD13" s="1" t="s">
        <v>511</v>
      </c>
      <c r="AE13" s="1" t="s">
        <v>511</v>
      </c>
      <c r="AF13" s="1" t="s">
        <v>511</v>
      </c>
      <c r="AG13" s="1" t="s">
        <v>511</v>
      </c>
      <c r="AH13" s="1" t="s">
        <v>511</v>
      </c>
      <c r="AI13" s="1" t="s">
        <v>511</v>
      </c>
      <c r="AJ13" s="502">
        <v>43056.229889050897</v>
      </c>
    </row>
    <row r="14" spans="1:36">
      <c r="A14" s="1" t="s">
        <v>328</v>
      </c>
      <c r="B14" s="1" t="s">
        <v>1181</v>
      </c>
      <c r="C14" s="1" t="s">
        <v>237</v>
      </c>
      <c r="D14" s="1" t="s">
        <v>511</v>
      </c>
      <c r="E14" s="1" t="s">
        <v>511</v>
      </c>
      <c r="F14" s="1" t="s">
        <v>511</v>
      </c>
      <c r="G14" s="1" t="s">
        <v>511</v>
      </c>
      <c r="H14" s="1" t="s">
        <v>511</v>
      </c>
      <c r="I14" s="1" t="s">
        <v>511</v>
      </c>
      <c r="J14" s="1" t="s">
        <v>511</v>
      </c>
      <c r="K14" s="1" t="s">
        <v>511</v>
      </c>
      <c r="L14" s="1" t="s">
        <v>511</v>
      </c>
      <c r="M14" s="1" t="s">
        <v>511</v>
      </c>
      <c r="N14" s="1" t="s">
        <v>511</v>
      </c>
      <c r="O14" s="1" t="s">
        <v>511</v>
      </c>
      <c r="P14" s="1" t="s">
        <v>511</v>
      </c>
      <c r="Q14" s="1" t="s">
        <v>511</v>
      </c>
      <c r="R14" s="1" t="s">
        <v>511</v>
      </c>
      <c r="S14" s="1" t="s">
        <v>511</v>
      </c>
      <c r="T14" s="1" t="s">
        <v>511</v>
      </c>
      <c r="U14" s="1" t="s">
        <v>511</v>
      </c>
      <c r="V14" s="1" t="s">
        <v>511</v>
      </c>
      <c r="W14" s="1" t="s">
        <v>511</v>
      </c>
      <c r="X14" s="1" t="s">
        <v>511</v>
      </c>
      <c r="Y14" s="1" t="s">
        <v>511</v>
      </c>
      <c r="Z14" s="1" t="s">
        <v>511</v>
      </c>
      <c r="AA14" s="1" t="s">
        <v>511</v>
      </c>
      <c r="AB14" s="1" t="s">
        <v>511</v>
      </c>
      <c r="AC14" s="1" t="s">
        <v>511</v>
      </c>
      <c r="AD14" s="1" t="s">
        <v>511</v>
      </c>
      <c r="AE14" s="1" t="s">
        <v>511</v>
      </c>
      <c r="AF14" s="1" t="s">
        <v>511</v>
      </c>
      <c r="AG14" s="1" t="s">
        <v>511</v>
      </c>
      <c r="AH14" s="1" t="s">
        <v>511</v>
      </c>
      <c r="AI14" s="1" t="s">
        <v>511</v>
      </c>
      <c r="AJ14" s="502">
        <v>43056.229889050897</v>
      </c>
    </row>
    <row r="15" spans="1:36">
      <c r="A15" s="1" t="s">
        <v>328</v>
      </c>
      <c r="B15" s="1" t="s">
        <v>243</v>
      </c>
      <c r="C15" s="1" t="s">
        <v>237</v>
      </c>
      <c r="D15" s="1" t="s">
        <v>1182</v>
      </c>
      <c r="E15" s="1" t="s">
        <v>1183</v>
      </c>
      <c r="F15" s="1" t="s">
        <v>1184</v>
      </c>
      <c r="G15" s="1" t="s">
        <v>1184</v>
      </c>
      <c r="H15" s="1" t="s">
        <v>1184</v>
      </c>
      <c r="I15" s="1" t="s">
        <v>1184</v>
      </c>
      <c r="J15" s="1" t="s">
        <v>1185</v>
      </c>
      <c r="K15" s="1" t="s">
        <v>1186</v>
      </c>
      <c r="L15" s="1" t="s">
        <v>1187</v>
      </c>
      <c r="M15" s="1" t="s">
        <v>1187</v>
      </c>
      <c r="N15" s="1" t="s">
        <v>1187</v>
      </c>
      <c r="O15" s="1" t="s">
        <v>1187</v>
      </c>
      <c r="P15" s="1" t="s">
        <v>1187</v>
      </c>
      <c r="Q15" s="1" t="s">
        <v>1188</v>
      </c>
      <c r="R15" s="1" t="s">
        <v>1189</v>
      </c>
      <c r="S15" s="1" t="s">
        <v>1190</v>
      </c>
      <c r="T15" s="1" t="s">
        <v>1191</v>
      </c>
      <c r="U15" s="1" t="s">
        <v>1191</v>
      </c>
      <c r="V15" s="1" t="s">
        <v>1191</v>
      </c>
      <c r="W15" s="1" t="s">
        <v>1192</v>
      </c>
      <c r="X15" s="1" t="s">
        <v>1193</v>
      </c>
      <c r="Y15" s="1" t="s">
        <v>1194</v>
      </c>
      <c r="Z15" s="1" t="s">
        <v>1194</v>
      </c>
      <c r="AA15" s="1" t="s">
        <v>1194</v>
      </c>
      <c r="AB15" s="1" t="s">
        <v>1194</v>
      </c>
      <c r="AC15" s="1" t="s">
        <v>1194</v>
      </c>
      <c r="AD15" s="1" t="s">
        <v>1195</v>
      </c>
      <c r="AE15" s="1" t="s">
        <v>1195</v>
      </c>
      <c r="AF15" s="1" t="s">
        <v>1196</v>
      </c>
      <c r="AG15" s="1" t="s">
        <v>1196</v>
      </c>
      <c r="AH15" s="1" t="s">
        <v>1197</v>
      </c>
      <c r="AI15" s="1" t="s">
        <v>1198</v>
      </c>
      <c r="AJ15" s="502">
        <v>43056.229889050897</v>
      </c>
    </row>
    <row r="16" spans="1:36">
      <c r="A16" s="1" t="s">
        <v>328</v>
      </c>
      <c r="B16" s="1" t="s">
        <v>244</v>
      </c>
      <c r="C16" s="1" t="s">
        <v>237</v>
      </c>
      <c r="D16" s="1" t="s">
        <v>511</v>
      </c>
      <c r="E16" s="1" t="s">
        <v>511</v>
      </c>
      <c r="F16" s="1" t="s">
        <v>511</v>
      </c>
      <c r="G16" s="1" t="s">
        <v>511</v>
      </c>
      <c r="H16" s="1" t="s">
        <v>511</v>
      </c>
      <c r="I16" s="1" t="s">
        <v>511</v>
      </c>
      <c r="J16" s="1" t="s">
        <v>511</v>
      </c>
      <c r="K16" s="1" t="s">
        <v>511</v>
      </c>
      <c r="L16" s="1" t="s">
        <v>511</v>
      </c>
      <c r="M16" s="1" t="s">
        <v>511</v>
      </c>
      <c r="N16" s="1" t="s">
        <v>511</v>
      </c>
      <c r="O16" s="1" t="s">
        <v>511</v>
      </c>
      <c r="P16" s="1" t="s">
        <v>511</v>
      </c>
      <c r="Q16" s="1" t="s">
        <v>511</v>
      </c>
      <c r="R16" s="1" t="s">
        <v>511</v>
      </c>
      <c r="S16" s="1" t="s">
        <v>511</v>
      </c>
      <c r="T16" s="1" t="s">
        <v>511</v>
      </c>
      <c r="U16" s="1" t="s">
        <v>511</v>
      </c>
      <c r="V16" s="1" t="s">
        <v>511</v>
      </c>
      <c r="W16" s="1" t="s">
        <v>511</v>
      </c>
      <c r="X16" s="1" t="s">
        <v>511</v>
      </c>
      <c r="Y16" s="1" t="s">
        <v>511</v>
      </c>
      <c r="Z16" s="1" t="s">
        <v>511</v>
      </c>
      <c r="AA16" s="1" t="s">
        <v>511</v>
      </c>
      <c r="AB16" s="1" t="s">
        <v>511</v>
      </c>
      <c r="AC16" s="1" t="s">
        <v>511</v>
      </c>
      <c r="AD16" s="1" t="s">
        <v>511</v>
      </c>
      <c r="AE16" s="1" t="s">
        <v>511</v>
      </c>
      <c r="AF16" s="1" t="s">
        <v>511</v>
      </c>
      <c r="AG16" s="1" t="s">
        <v>511</v>
      </c>
      <c r="AH16" s="1" t="s">
        <v>511</v>
      </c>
      <c r="AI16" s="1" t="s">
        <v>511</v>
      </c>
      <c r="AJ16" s="502">
        <v>43056.229889050897</v>
      </c>
    </row>
    <row r="17" spans="1:36">
      <c r="A17" s="1" t="s">
        <v>328</v>
      </c>
      <c r="B17" s="1" t="s">
        <v>249</v>
      </c>
      <c r="C17" s="1" t="s">
        <v>236</v>
      </c>
      <c r="D17" s="1" t="s">
        <v>511</v>
      </c>
      <c r="E17" s="1" t="s">
        <v>511</v>
      </c>
      <c r="F17" s="1" t="s">
        <v>511</v>
      </c>
      <c r="G17" s="1" t="s">
        <v>511</v>
      </c>
      <c r="H17" s="1" t="s">
        <v>511</v>
      </c>
      <c r="I17" s="1" t="s">
        <v>511</v>
      </c>
      <c r="J17" s="1" t="s">
        <v>511</v>
      </c>
      <c r="K17" s="1" t="s">
        <v>511</v>
      </c>
      <c r="L17" s="1" t="s">
        <v>511</v>
      </c>
      <c r="M17" s="1" t="s">
        <v>511</v>
      </c>
      <c r="N17" s="1" t="s">
        <v>511</v>
      </c>
      <c r="O17" s="1" t="s">
        <v>511</v>
      </c>
      <c r="P17" s="1" t="s">
        <v>511</v>
      </c>
      <c r="Q17" s="1" t="s">
        <v>511</v>
      </c>
      <c r="R17" s="1" t="s">
        <v>511</v>
      </c>
      <c r="S17" s="1" t="s">
        <v>511</v>
      </c>
      <c r="T17" s="1" t="s">
        <v>511</v>
      </c>
      <c r="U17" s="1" t="s">
        <v>511</v>
      </c>
      <c r="V17" s="1" t="s">
        <v>511</v>
      </c>
      <c r="W17" s="1" t="s">
        <v>511</v>
      </c>
      <c r="X17" s="1" t="s">
        <v>511</v>
      </c>
      <c r="Y17" s="1" t="s">
        <v>511</v>
      </c>
      <c r="Z17" s="1" t="s">
        <v>511</v>
      </c>
      <c r="AA17" s="1" t="s">
        <v>511</v>
      </c>
      <c r="AB17" s="1" t="s">
        <v>511</v>
      </c>
      <c r="AC17" s="1" t="s">
        <v>511</v>
      </c>
      <c r="AD17" s="1" t="s">
        <v>511</v>
      </c>
      <c r="AE17" s="1" t="s">
        <v>511</v>
      </c>
      <c r="AF17" s="1" t="s">
        <v>511</v>
      </c>
      <c r="AG17" s="1" t="s">
        <v>511</v>
      </c>
      <c r="AH17" s="1" t="s">
        <v>511</v>
      </c>
      <c r="AI17" s="1" t="s">
        <v>511</v>
      </c>
      <c r="AJ17" s="502">
        <v>43056.229889050897</v>
      </c>
    </row>
    <row r="18" spans="1:36">
      <c r="A18" s="1" t="s">
        <v>328</v>
      </c>
      <c r="B18" s="1" t="s">
        <v>250</v>
      </c>
      <c r="C18" s="1" t="s">
        <v>237</v>
      </c>
      <c r="D18" s="1" t="s">
        <v>511</v>
      </c>
      <c r="E18" s="1" t="s">
        <v>511</v>
      </c>
      <c r="F18" s="1" t="s">
        <v>511</v>
      </c>
      <c r="G18" s="1" t="s">
        <v>511</v>
      </c>
      <c r="H18" s="1" t="s">
        <v>511</v>
      </c>
      <c r="I18" s="1" t="s">
        <v>511</v>
      </c>
      <c r="J18" s="1" t="s">
        <v>511</v>
      </c>
      <c r="K18" s="1" t="s">
        <v>511</v>
      </c>
      <c r="L18" s="1" t="s">
        <v>511</v>
      </c>
      <c r="M18" s="1" t="s">
        <v>511</v>
      </c>
      <c r="N18" s="1" t="s">
        <v>511</v>
      </c>
      <c r="O18" s="1" t="s">
        <v>511</v>
      </c>
      <c r="P18" s="1" t="s">
        <v>511</v>
      </c>
      <c r="Q18" s="1" t="s">
        <v>511</v>
      </c>
      <c r="R18" s="1" t="s">
        <v>511</v>
      </c>
      <c r="S18" s="1" t="s">
        <v>511</v>
      </c>
      <c r="T18" s="1" t="s">
        <v>511</v>
      </c>
      <c r="U18" s="1" t="s">
        <v>511</v>
      </c>
      <c r="V18" s="1" t="s">
        <v>511</v>
      </c>
      <c r="W18" s="1" t="s">
        <v>511</v>
      </c>
      <c r="X18" s="1" t="s">
        <v>511</v>
      </c>
      <c r="Y18" s="1" t="s">
        <v>511</v>
      </c>
      <c r="Z18" s="1" t="s">
        <v>511</v>
      </c>
      <c r="AA18" s="1" t="s">
        <v>511</v>
      </c>
      <c r="AB18" s="1" t="s">
        <v>511</v>
      </c>
      <c r="AC18" s="1" t="s">
        <v>511</v>
      </c>
      <c r="AD18" s="1" t="s">
        <v>511</v>
      </c>
      <c r="AE18" s="1" t="s">
        <v>511</v>
      </c>
      <c r="AF18" s="1" t="s">
        <v>511</v>
      </c>
      <c r="AG18" s="1" t="s">
        <v>511</v>
      </c>
      <c r="AH18" s="1" t="s">
        <v>511</v>
      </c>
      <c r="AI18" s="1" t="s">
        <v>511</v>
      </c>
      <c r="AJ18" s="502">
        <v>43056.229889050897</v>
      </c>
    </row>
    <row r="19" spans="1:36">
      <c r="A19" s="1" t="s">
        <v>328</v>
      </c>
      <c r="B19" s="1" t="s">
        <v>246</v>
      </c>
      <c r="C19" s="1" t="s">
        <v>237</v>
      </c>
      <c r="D19" s="1" t="s">
        <v>511</v>
      </c>
      <c r="E19" s="1" t="s">
        <v>511</v>
      </c>
      <c r="F19" s="1" t="s">
        <v>511</v>
      </c>
      <c r="G19" s="1" t="s">
        <v>511</v>
      </c>
      <c r="H19" s="1" t="s">
        <v>511</v>
      </c>
      <c r="I19" s="1" t="s">
        <v>511</v>
      </c>
      <c r="J19" s="1" t="s">
        <v>511</v>
      </c>
      <c r="K19" s="1" t="s">
        <v>511</v>
      </c>
      <c r="L19" s="1" t="s">
        <v>511</v>
      </c>
      <c r="M19" s="1" t="s">
        <v>511</v>
      </c>
      <c r="N19" s="1" t="s">
        <v>511</v>
      </c>
      <c r="O19" s="1" t="s">
        <v>511</v>
      </c>
      <c r="P19" s="1" t="s">
        <v>511</v>
      </c>
      <c r="Q19" s="1" t="s">
        <v>511</v>
      </c>
      <c r="R19" s="1" t="s">
        <v>511</v>
      </c>
      <c r="S19" s="1" t="s">
        <v>511</v>
      </c>
      <c r="T19" s="1" t="s">
        <v>511</v>
      </c>
      <c r="U19" s="1" t="s">
        <v>511</v>
      </c>
      <c r="V19" s="1" t="s">
        <v>511</v>
      </c>
      <c r="W19" s="1" t="s">
        <v>511</v>
      </c>
      <c r="X19" s="1" t="s">
        <v>511</v>
      </c>
      <c r="Y19" s="1" t="s">
        <v>511</v>
      </c>
      <c r="Z19" s="1" t="s">
        <v>511</v>
      </c>
      <c r="AA19" s="1" t="s">
        <v>511</v>
      </c>
      <c r="AB19" s="1" t="s">
        <v>511</v>
      </c>
      <c r="AC19" s="1" t="s">
        <v>511</v>
      </c>
      <c r="AD19" s="1" t="s">
        <v>511</v>
      </c>
      <c r="AE19" s="1" t="s">
        <v>511</v>
      </c>
      <c r="AF19" s="1" t="s">
        <v>511</v>
      </c>
      <c r="AG19" s="1" t="s">
        <v>511</v>
      </c>
      <c r="AH19" s="1" t="s">
        <v>511</v>
      </c>
      <c r="AI19" s="1" t="s">
        <v>511</v>
      </c>
      <c r="AJ19" s="502">
        <v>43056.229889050897</v>
      </c>
    </row>
    <row r="20" spans="1:36">
      <c r="A20" s="1" t="s">
        <v>328</v>
      </c>
      <c r="B20" s="1" t="s">
        <v>248</v>
      </c>
      <c r="C20" s="1" t="s">
        <v>237</v>
      </c>
      <c r="D20" s="1" t="s">
        <v>511</v>
      </c>
      <c r="E20" s="1" t="s">
        <v>511</v>
      </c>
      <c r="F20" s="1" t="s">
        <v>511</v>
      </c>
      <c r="G20" s="1" t="s">
        <v>511</v>
      </c>
      <c r="H20" s="1" t="s">
        <v>511</v>
      </c>
      <c r="I20" s="1" t="s">
        <v>511</v>
      </c>
      <c r="J20" s="1" t="s">
        <v>511</v>
      </c>
      <c r="K20" s="1" t="s">
        <v>511</v>
      </c>
      <c r="L20" s="1" t="s">
        <v>511</v>
      </c>
      <c r="M20" s="1" t="s">
        <v>511</v>
      </c>
      <c r="N20" s="1" t="s">
        <v>511</v>
      </c>
      <c r="O20" s="1" t="s">
        <v>511</v>
      </c>
      <c r="P20" s="1" t="s">
        <v>511</v>
      </c>
      <c r="Q20" s="1" t="s">
        <v>511</v>
      </c>
      <c r="R20" s="1" t="s">
        <v>511</v>
      </c>
      <c r="S20" s="1" t="s">
        <v>511</v>
      </c>
      <c r="T20" s="1" t="s">
        <v>511</v>
      </c>
      <c r="U20" s="1" t="s">
        <v>511</v>
      </c>
      <c r="V20" s="1" t="s">
        <v>511</v>
      </c>
      <c r="W20" s="1" t="s">
        <v>511</v>
      </c>
      <c r="X20" s="1" t="s">
        <v>511</v>
      </c>
      <c r="Y20" s="1" t="s">
        <v>511</v>
      </c>
      <c r="Z20" s="1" t="s">
        <v>511</v>
      </c>
      <c r="AA20" s="1" t="s">
        <v>511</v>
      </c>
      <c r="AB20" s="1" t="s">
        <v>511</v>
      </c>
      <c r="AC20" s="1" t="s">
        <v>511</v>
      </c>
      <c r="AD20" s="1" t="s">
        <v>511</v>
      </c>
      <c r="AE20" s="1" t="s">
        <v>511</v>
      </c>
      <c r="AF20" s="1" t="s">
        <v>511</v>
      </c>
      <c r="AG20" s="1" t="s">
        <v>511</v>
      </c>
      <c r="AH20" s="1" t="s">
        <v>511</v>
      </c>
      <c r="AI20" s="1" t="s">
        <v>511</v>
      </c>
      <c r="AJ20" s="502">
        <v>43056.229889050897</v>
      </c>
    </row>
    <row r="21" spans="1:36">
      <c r="A21" s="1" t="s">
        <v>328</v>
      </c>
      <c r="B21" s="1" t="s">
        <v>247</v>
      </c>
      <c r="C21" s="1" t="s">
        <v>237</v>
      </c>
      <c r="D21" s="1" t="s">
        <v>511</v>
      </c>
      <c r="E21" s="1" t="s">
        <v>511</v>
      </c>
      <c r="F21" s="1" t="s">
        <v>511</v>
      </c>
      <c r="G21" s="1" t="s">
        <v>511</v>
      </c>
      <c r="H21" s="1" t="s">
        <v>511</v>
      </c>
      <c r="I21" s="1" t="s">
        <v>511</v>
      </c>
      <c r="J21" s="1" t="s">
        <v>511</v>
      </c>
      <c r="K21" s="1" t="s">
        <v>511</v>
      </c>
      <c r="L21" s="1" t="s">
        <v>511</v>
      </c>
      <c r="M21" s="1" t="s">
        <v>511</v>
      </c>
      <c r="N21" s="1" t="s">
        <v>511</v>
      </c>
      <c r="O21" s="1" t="s">
        <v>511</v>
      </c>
      <c r="P21" s="1" t="s">
        <v>511</v>
      </c>
      <c r="Q21" s="1" t="s">
        <v>511</v>
      </c>
      <c r="R21" s="1" t="s">
        <v>511</v>
      </c>
      <c r="S21" s="1" t="s">
        <v>511</v>
      </c>
      <c r="T21" s="1" t="s">
        <v>511</v>
      </c>
      <c r="U21" s="1" t="s">
        <v>511</v>
      </c>
      <c r="V21" s="1" t="s">
        <v>511</v>
      </c>
      <c r="W21" s="1" t="s">
        <v>511</v>
      </c>
      <c r="X21" s="1" t="s">
        <v>511</v>
      </c>
      <c r="Y21" s="1" t="s">
        <v>511</v>
      </c>
      <c r="Z21" s="1" t="s">
        <v>511</v>
      </c>
      <c r="AA21" s="1" t="s">
        <v>511</v>
      </c>
      <c r="AB21" s="1" t="s">
        <v>511</v>
      </c>
      <c r="AC21" s="1" t="s">
        <v>511</v>
      </c>
      <c r="AD21" s="1" t="s">
        <v>511</v>
      </c>
      <c r="AE21" s="1" t="s">
        <v>511</v>
      </c>
      <c r="AF21" s="1" t="s">
        <v>511</v>
      </c>
      <c r="AG21" s="1" t="s">
        <v>511</v>
      </c>
      <c r="AH21" s="1" t="s">
        <v>511</v>
      </c>
      <c r="AI21" s="1" t="s">
        <v>511</v>
      </c>
      <c r="AJ21" s="502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1199</v>
      </c>
      <c r="B1" s="1" t="s">
        <v>361</v>
      </c>
      <c r="C1" s="1" t="s">
        <v>1200</v>
      </c>
      <c r="D1" s="1" t="s">
        <v>1201</v>
      </c>
      <c r="E1" s="1" t="s">
        <v>1202</v>
      </c>
      <c r="F1" s="1" t="s">
        <v>1203</v>
      </c>
      <c r="G1" s="1" t="s">
        <v>1204</v>
      </c>
      <c r="H1" s="1" t="s">
        <v>1205</v>
      </c>
      <c r="I1" s="1" t="s">
        <v>1206</v>
      </c>
      <c r="J1" s="1" t="s">
        <v>1207</v>
      </c>
      <c r="K1" s="1" t="s">
        <v>1208</v>
      </c>
      <c r="L1" s="1" t="s">
        <v>1209</v>
      </c>
      <c r="M1" s="1" t="s">
        <v>1210</v>
      </c>
      <c r="N1" s="1" t="s">
        <v>1211</v>
      </c>
      <c r="O1" s="1" t="s">
        <v>363</v>
      </c>
      <c r="P1" s="1" t="s">
        <v>1212</v>
      </c>
      <c r="Q1" s="1" t="s">
        <v>1213</v>
      </c>
      <c r="R1" s="1" t="s">
        <v>1214</v>
      </c>
      <c r="S1" s="1" t="s">
        <v>1215</v>
      </c>
      <c r="T1" s="1" t="s">
        <v>1216</v>
      </c>
      <c r="U1" s="1" t="s">
        <v>1217</v>
      </c>
      <c r="V1" s="1" t="s">
        <v>1218</v>
      </c>
      <c r="W1" s="1" t="s">
        <v>1219</v>
      </c>
      <c r="X1" s="1" t="s">
        <v>1220</v>
      </c>
      <c r="Y1" s="1" t="s">
        <v>1221</v>
      </c>
      <c r="Z1" s="1" t="s">
        <v>1222</v>
      </c>
      <c r="AA1" s="1" t="s">
        <v>1223</v>
      </c>
      <c r="AB1" s="1" t="s">
        <v>1224</v>
      </c>
    </row>
    <row r="2" spans="1:29">
      <c r="A2" s="1" t="s">
        <v>1225</v>
      </c>
      <c r="B2" s="1" t="s">
        <v>364</v>
      </c>
      <c r="C2" s="1" t="s">
        <v>1226</v>
      </c>
      <c r="D2" s="1" t="s">
        <v>1227</v>
      </c>
      <c r="E2" s="1" t="s">
        <v>1228</v>
      </c>
      <c r="F2" s="1" t="s">
        <v>1229</v>
      </c>
      <c r="G2" s="1" t="s">
        <v>1230</v>
      </c>
      <c r="H2" s="1" t="s">
        <v>1231</v>
      </c>
      <c r="I2" s="1" t="s">
        <v>1232</v>
      </c>
      <c r="J2" s="1" t="s">
        <v>1233</v>
      </c>
      <c r="K2" s="1" t="s">
        <v>1234</v>
      </c>
      <c r="L2" s="1" t="s">
        <v>511</v>
      </c>
      <c r="M2" s="1" t="s">
        <v>511</v>
      </c>
      <c r="N2" s="1" t="s">
        <v>511</v>
      </c>
      <c r="O2" s="1" t="s">
        <v>1235</v>
      </c>
      <c r="P2" s="1" t="s">
        <v>1236</v>
      </c>
      <c r="Q2" s="1" t="s">
        <v>1237</v>
      </c>
      <c r="R2" s="1" t="s">
        <v>1238</v>
      </c>
      <c r="S2" s="1" t="s">
        <v>1239</v>
      </c>
      <c r="T2" s="1" t="s">
        <v>1240</v>
      </c>
      <c r="U2" s="1" t="s">
        <v>1241</v>
      </c>
      <c r="V2" s="1" t="s">
        <v>1242</v>
      </c>
      <c r="W2" s="1" t="s">
        <v>1243</v>
      </c>
      <c r="X2" s="1" t="s">
        <v>1244</v>
      </c>
      <c r="Y2" s="1" t="s">
        <v>511</v>
      </c>
      <c r="Z2" s="1" t="s">
        <v>511</v>
      </c>
      <c r="AA2" s="1" t="s">
        <v>511</v>
      </c>
      <c r="AB2" s="1" t="s">
        <v>1245</v>
      </c>
      <c r="AC2" s="502">
        <v>43045.229882731503</v>
      </c>
    </row>
    <row r="3" spans="1:29">
      <c r="A3" s="1" t="s">
        <v>1225</v>
      </c>
      <c r="B3" s="1" t="s">
        <v>398</v>
      </c>
      <c r="C3" s="1" t="s">
        <v>1246</v>
      </c>
      <c r="D3" s="1" t="s">
        <v>1247</v>
      </c>
      <c r="E3" s="1" t="s">
        <v>1248</v>
      </c>
      <c r="F3" s="1" t="s">
        <v>1249</v>
      </c>
      <c r="G3" s="1" t="s">
        <v>1250</v>
      </c>
      <c r="H3" s="1" t="s">
        <v>1251</v>
      </c>
      <c r="I3" s="1" t="s">
        <v>1252</v>
      </c>
      <c r="J3" s="1" t="s">
        <v>1253</v>
      </c>
      <c r="K3" s="1" t="s">
        <v>1254</v>
      </c>
      <c r="L3" s="1" t="s">
        <v>511</v>
      </c>
      <c r="M3" s="1" t="s">
        <v>511</v>
      </c>
      <c r="N3" s="1" t="s">
        <v>511</v>
      </c>
      <c r="O3" s="1" t="s">
        <v>1255</v>
      </c>
      <c r="P3" s="1" t="s">
        <v>1256</v>
      </c>
      <c r="Q3" s="1" t="s">
        <v>1257</v>
      </c>
      <c r="R3" s="1" t="s">
        <v>1258</v>
      </c>
      <c r="S3" s="1" t="s">
        <v>1259</v>
      </c>
      <c r="T3" s="1" t="s">
        <v>1260</v>
      </c>
      <c r="U3" s="1" t="s">
        <v>1261</v>
      </c>
      <c r="V3" s="1" t="s">
        <v>1262</v>
      </c>
      <c r="W3" s="1" t="s">
        <v>1263</v>
      </c>
      <c r="X3" s="1" t="s">
        <v>1264</v>
      </c>
      <c r="Y3" s="1" t="s">
        <v>511</v>
      </c>
      <c r="Z3" s="1" t="s">
        <v>511</v>
      </c>
      <c r="AA3" s="1" t="s">
        <v>511</v>
      </c>
      <c r="AB3" s="1" t="s">
        <v>1265</v>
      </c>
      <c r="AC3" s="502">
        <v>43045.229882731503</v>
      </c>
    </row>
    <row r="4" spans="1:29">
      <c r="A4" s="1" t="s">
        <v>1225</v>
      </c>
      <c r="B4" s="1" t="s">
        <v>426</v>
      </c>
      <c r="C4" s="1" t="s">
        <v>1266</v>
      </c>
      <c r="D4" s="1" t="s">
        <v>1267</v>
      </c>
      <c r="E4" s="1" t="s">
        <v>1268</v>
      </c>
      <c r="F4" s="1" t="s">
        <v>1269</v>
      </c>
      <c r="G4" s="1" t="s">
        <v>1270</v>
      </c>
      <c r="H4" s="1" t="s">
        <v>1271</v>
      </c>
      <c r="I4" s="1" t="s">
        <v>1272</v>
      </c>
      <c r="J4" s="1" t="s">
        <v>1273</v>
      </c>
      <c r="K4" s="1" t="s">
        <v>1274</v>
      </c>
      <c r="L4" s="1" t="s">
        <v>511</v>
      </c>
      <c r="M4" s="1" t="s">
        <v>511</v>
      </c>
      <c r="N4" s="1" t="s">
        <v>511</v>
      </c>
      <c r="O4" s="1" t="s">
        <v>1275</v>
      </c>
      <c r="P4" s="1" t="s">
        <v>1276</v>
      </c>
      <c r="Q4" s="1" t="s">
        <v>1277</v>
      </c>
      <c r="R4" s="1" t="s">
        <v>1278</v>
      </c>
      <c r="S4" s="1" t="s">
        <v>1279</v>
      </c>
      <c r="T4" s="1" t="s">
        <v>1280</v>
      </c>
      <c r="U4" s="1" t="s">
        <v>1281</v>
      </c>
      <c r="V4" s="1" t="s">
        <v>1282</v>
      </c>
      <c r="W4" s="1" t="s">
        <v>1283</v>
      </c>
      <c r="X4" s="1" t="s">
        <v>1284</v>
      </c>
      <c r="Y4" s="1" t="s">
        <v>511</v>
      </c>
      <c r="Z4" s="1" t="s">
        <v>511</v>
      </c>
      <c r="AA4" s="1" t="s">
        <v>511</v>
      </c>
      <c r="AB4" s="1" t="s">
        <v>1285</v>
      </c>
      <c r="AC4" s="502">
        <v>43045.229882731503</v>
      </c>
    </row>
    <row r="5" spans="1:29">
      <c r="A5" s="1" t="s">
        <v>1225</v>
      </c>
      <c r="B5" s="1" t="s">
        <v>452</v>
      </c>
      <c r="C5" s="1" t="s">
        <v>1286</v>
      </c>
      <c r="D5" s="1" t="s">
        <v>1287</v>
      </c>
      <c r="E5" s="1" t="s">
        <v>1288</v>
      </c>
      <c r="F5" s="1" t="s">
        <v>1289</v>
      </c>
      <c r="G5" s="1" t="s">
        <v>1290</v>
      </c>
      <c r="H5" s="1" t="s">
        <v>1291</v>
      </c>
      <c r="I5" s="1" t="s">
        <v>1292</v>
      </c>
      <c r="J5" s="1" t="s">
        <v>1293</v>
      </c>
      <c r="K5" s="1" t="s">
        <v>1294</v>
      </c>
      <c r="L5" s="1" t="s">
        <v>511</v>
      </c>
      <c r="M5" s="1" t="s">
        <v>511</v>
      </c>
      <c r="N5" s="1" t="s">
        <v>511</v>
      </c>
      <c r="O5" s="1" t="s">
        <v>1295</v>
      </c>
      <c r="P5" s="1" t="s">
        <v>1296</v>
      </c>
      <c r="Q5" s="1" t="s">
        <v>1297</v>
      </c>
      <c r="R5" s="1" t="s">
        <v>1298</v>
      </c>
      <c r="S5" s="1" t="s">
        <v>1299</v>
      </c>
      <c r="T5" s="1" t="s">
        <v>1300</v>
      </c>
      <c r="U5" s="1" t="s">
        <v>1301</v>
      </c>
      <c r="V5" s="1" t="s">
        <v>1302</v>
      </c>
      <c r="W5" s="1" t="s">
        <v>1303</v>
      </c>
      <c r="X5" s="1" t="s">
        <v>1304</v>
      </c>
      <c r="Y5" s="1" t="s">
        <v>511</v>
      </c>
      <c r="Z5" s="1" t="s">
        <v>511</v>
      </c>
      <c r="AA5" s="1" t="s">
        <v>511</v>
      </c>
      <c r="AB5" s="1" t="s">
        <v>1305</v>
      </c>
      <c r="AC5" s="502">
        <v>43045.229882731503</v>
      </c>
    </row>
    <row r="6" spans="1:29">
      <c r="A6" s="1" t="s">
        <v>1225</v>
      </c>
      <c r="B6" s="1" t="s">
        <v>480</v>
      </c>
      <c r="C6" s="1" t="s">
        <v>1306</v>
      </c>
      <c r="D6" s="1" t="s">
        <v>1307</v>
      </c>
      <c r="E6" s="1" t="s">
        <v>1308</v>
      </c>
      <c r="F6" s="1" t="s">
        <v>1309</v>
      </c>
      <c r="G6" s="1" t="s">
        <v>1310</v>
      </c>
      <c r="H6" s="1" t="s">
        <v>1311</v>
      </c>
      <c r="I6" s="1" t="s">
        <v>1312</v>
      </c>
      <c r="J6" s="1" t="s">
        <v>1313</v>
      </c>
      <c r="K6" s="1" t="s">
        <v>1314</v>
      </c>
      <c r="L6" s="1" t="s">
        <v>511</v>
      </c>
      <c r="M6" s="1" t="s">
        <v>511</v>
      </c>
      <c r="N6" s="1" t="s">
        <v>511</v>
      </c>
      <c r="O6" s="1" t="s">
        <v>1315</v>
      </c>
      <c r="P6" s="1" t="s">
        <v>1316</v>
      </c>
      <c r="Q6" s="1" t="s">
        <v>1317</v>
      </c>
      <c r="R6" s="1" t="s">
        <v>1318</v>
      </c>
      <c r="S6" s="1" t="s">
        <v>1319</v>
      </c>
      <c r="T6" s="1" t="s">
        <v>1320</v>
      </c>
      <c r="U6" s="1" t="s">
        <v>1321</v>
      </c>
      <c r="V6" s="1" t="s">
        <v>1322</v>
      </c>
      <c r="W6" s="1" t="s">
        <v>1323</v>
      </c>
      <c r="X6" s="1" t="s">
        <v>1324</v>
      </c>
      <c r="Y6" s="1" t="s">
        <v>511</v>
      </c>
      <c r="Z6" s="1" t="s">
        <v>511</v>
      </c>
      <c r="AA6" s="1" t="s">
        <v>511</v>
      </c>
      <c r="AB6" s="1" t="s">
        <v>1325</v>
      </c>
      <c r="AC6" s="502">
        <v>43045.229882731503</v>
      </c>
    </row>
    <row r="7" spans="1:29">
      <c r="A7" s="1" t="s">
        <v>1225</v>
      </c>
      <c r="B7" s="1" t="s">
        <v>510</v>
      </c>
      <c r="C7" s="1" t="s">
        <v>511</v>
      </c>
      <c r="D7" s="1" t="s">
        <v>511</v>
      </c>
      <c r="E7" s="1" t="s">
        <v>511</v>
      </c>
      <c r="F7" s="1" t="s">
        <v>511</v>
      </c>
      <c r="G7" s="1" t="s">
        <v>511</v>
      </c>
      <c r="H7" s="1" t="s">
        <v>511</v>
      </c>
      <c r="I7" s="1" t="s">
        <v>511</v>
      </c>
      <c r="J7" s="1" t="s">
        <v>511</v>
      </c>
      <c r="K7" s="1" t="s">
        <v>511</v>
      </c>
      <c r="L7" s="1" t="s">
        <v>511</v>
      </c>
      <c r="M7" s="1" t="s">
        <v>511</v>
      </c>
      <c r="N7" s="1" t="s">
        <v>511</v>
      </c>
      <c r="O7" s="1" t="s">
        <v>511</v>
      </c>
      <c r="P7" s="1" t="s">
        <v>511</v>
      </c>
      <c r="Q7" s="1" t="s">
        <v>511</v>
      </c>
      <c r="R7" s="1" t="s">
        <v>511</v>
      </c>
      <c r="S7" s="1" t="s">
        <v>511</v>
      </c>
      <c r="T7" s="1" t="s">
        <v>511</v>
      </c>
      <c r="U7" s="1" t="s">
        <v>511</v>
      </c>
      <c r="V7" s="1" t="s">
        <v>511</v>
      </c>
      <c r="W7" s="1" t="s">
        <v>511</v>
      </c>
      <c r="X7" s="1" t="s">
        <v>511</v>
      </c>
      <c r="Y7" s="1" t="s">
        <v>511</v>
      </c>
      <c r="Z7" s="1" t="s">
        <v>511</v>
      </c>
      <c r="AA7" s="1" t="s">
        <v>511</v>
      </c>
      <c r="AB7" s="1" t="s">
        <v>511</v>
      </c>
      <c r="AC7" s="502">
        <v>43045.229882731503</v>
      </c>
    </row>
    <row r="8" spans="1:29">
      <c r="A8" s="1" t="s">
        <v>1225</v>
      </c>
      <c r="B8" s="1" t="s">
        <v>512</v>
      </c>
      <c r="C8" s="1" t="s">
        <v>1326</v>
      </c>
      <c r="D8" s="1" t="s">
        <v>1327</v>
      </c>
      <c r="E8" s="1" t="s">
        <v>1328</v>
      </c>
      <c r="F8" s="1" t="s">
        <v>1329</v>
      </c>
      <c r="G8" s="1" t="s">
        <v>1330</v>
      </c>
      <c r="H8" s="1" t="s">
        <v>1331</v>
      </c>
      <c r="I8" s="1" t="s">
        <v>1332</v>
      </c>
      <c r="J8" s="1" t="s">
        <v>1333</v>
      </c>
      <c r="K8" s="1" t="s">
        <v>1334</v>
      </c>
      <c r="L8" s="1" t="s">
        <v>511</v>
      </c>
      <c r="M8" s="1" t="s">
        <v>511</v>
      </c>
      <c r="N8" s="1" t="s">
        <v>511</v>
      </c>
      <c r="O8" s="1" t="s">
        <v>1335</v>
      </c>
      <c r="P8" s="1" t="s">
        <v>1336</v>
      </c>
      <c r="Q8" s="1" t="s">
        <v>1337</v>
      </c>
      <c r="R8" s="1" t="s">
        <v>1338</v>
      </c>
      <c r="S8" s="1" t="s">
        <v>1339</v>
      </c>
      <c r="T8" s="1" t="s">
        <v>1340</v>
      </c>
      <c r="U8" s="1" t="s">
        <v>1341</v>
      </c>
      <c r="V8" s="1" t="s">
        <v>1342</v>
      </c>
      <c r="W8" s="1" t="s">
        <v>1343</v>
      </c>
      <c r="X8" s="1" t="s">
        <v>1344</v>
      </c>
      <c r="Y8" s="1" t="s">
        <v>511</v>
      </c>
      <c r="Z8" s="1" t="s">
        <v>511</v>
      </c>
      <c r="AA8" s="1" t="s">
        <v>511</v>
      </c>
      <c r="AB8" s="1" t="s">
        <v>1345</v>
      </c>
      <c r="AC8" s="502">
        <v>43045.229882731503</v>
      </c>
    </row>
    <row r="9" spans="1:29">
      <c r="A9" s="1" t="s">
        <v>1225</v>
      </c>
      <c r="B9" s="1" t="s">
        <v>541</v>
      </c>
      <c r="C9" s="1" t="s">
        <v>511</v>
      </c>
      <c r="D9" s="1" t="s">
        <v>511</v>
      </c>
      <c r="E9" s="1" t="s">
        <v>511</v>
      </c>
      <c r="F9" s="1" t="s">
        <v>511</v>
      </c>
      <c r="G9" s="1" t="s">
        <v>511</v>
      </c>
      <c r="H9" s="1" t="s">
        <v>511</v>
      </c>
      <c r="I9" s="1" t="s">
        <v>511</v>
      </c>
      <c r="J9" s="1" t="s">
        <v>511</v>
      </c>
      <c r="K9" s="1" t="s">
        <v>511</v>
      </c>
      <c r="L9" s="1" t="s">
        <v>511</v>
      </c>
      <c r="M9" s="1" t="s">
        <v>511</v>
      </c>
      <c r="N9" s="1" t="s">
        <v>511</v>
      </c>
      <c r="O9" s="1" t="s">
        <v>511</v>
      </c>
      <c r="P9" s="1" t="s">
        <v>511</v>
      </c>
      <c r="Q9" s="1" t="s">
        <v>511</v>
      </c>
      <c r="R9" s="1" t="s">
        <v>511</v>
      </c>
      <c r="S9" s="1" t="s">
        <v>511</v>
      </c>
      <c r="T9" s="1" t="s">
        <v>511</v>
      </c>
      <c r="U9" s="1" t="s">
        <v>511</v>
      </c>
      <c r="V9" s="1" t="s">
        <v>511</v>
      </c>
      <c r="W9" s="1" t="s">
        <v>511</v>
      </c>
      <c r="X9" s="1" t="s">
        <v>511</v>
      </c>
      <c r="Y9" s="1" t="s">
        <v>511</v>
      </c>
      <c r="Z9" s="1" t="s">
        <v>511</v>
      </c>
      <c r="AA9" s="1" t="s">
        <v>511</v>
      </c>
      <c r="AB9" s="1" t="s">
        <v>511</v>
      </c>
      <c r="AC9" s="502">
        <v>43045.229882731503</v>
      </c>
    </row>
    <row r="10" spans="1:29">
      <c r="A10" s="1" t="s">
        <v>1225</v>
      </c>
      <c r="B10" s="1" t="s">
        <v>542</v>
      </c>
      <c r="C10" s="1" t="s">
        <v>1346</v>
      </c>
      <c r="D10" s="1" t="s">
        <v>1347</v>
      </c>
      <c r="E10" s="1" t="s">
        <v>1348</v>
      </c>
      <c r="F10" s="1" t="s">
        <v>1349</v>
      </c>
      <c r="G10" s="1" t="s">
        <v>1350</v>
      </c>
      <c r="H10" s="1" t="s">
        <v>1351</v>
      </c>
      <c r="I10" s="1" t="s">
        <v>1352</v>
      </c>
      <c r="J10" s="1" t="s">
        <v>1353</v>
      </c>
      <c r="K10" s="1" t="s">
        <v>1354</v>
      </c>
      <c r="L10" s="1" t="s">
        <v>511</v>
      </c>
      <c r="M10" s="1" t="s">
        <v>511</v>
      </c>
      <c r="N10" s="1" t="s">
        <v>511</v>
      </c>
      <c r="O10" s="1" t="s">
        <v>1355</v>
      </c>
      <c r="P10" s="1" t="s">
        <v>1356</v>
      </c>
      <c r="Q10" s="1" t="s">
        <v>1357</v>
      </c>
      <c r="R10" s="1" t="s">
        <v>1358</v>
      </c>
      <c r="S10" s="1" t="s">
        <v>1359</v>
      </c>
      <c r="T10" s="1" t="s">
        <v>1360</v>
      </c>
      <c r="U10" s="1" t="s">
        <v>1361</v>
      </c>
      <c r="V10" s="1" t="s">
        <v>1362</v>
      </c>
      <c r="W10" s="1" t="s">
        <v>1363</v>
      </c>
      <c r="X10" s="1" t="s">
        <v>1364</v>
      </c>
      <c r="Y10" s="1" t="s">
        <v>511</v>
      </c>
      <c r="Z10" s="1" t="s">
        <v>511</v>
      </c>
      <c r="AA10" s="1" t="s">
        <v>511</v>
      </c>
      <c r="AB10" s="1" t="s">
        <v>1365</v>
      </c>
      <c r="AC10" s="502">
        <v>43045.229882731503</v>
      </c>
    </row>
    <row r="11" spans="1:29">
      <c r="A11" s="1" t="s">
        <v>1225</v>
      </c>
      <c r="B11" s="1" t="s">
        <v>569</v>
      </c>
      <c r="C11" s="1" t="s">
        <v>570</v>
      </c>
      <c r="D11" s="1" t="s">
        <v>570</v>
      </c>
      <c r="E11" s="1" t="s">
        <v>1366</v>
      </c>
      <c r="F11" s="1" t="s">
        <v>1367</v>
      </c>
      <c r="G11" s="1" t="s">
        <v>1368</v>
      </c>
      <c r="H11" s="1" t="s">
        <v>1369</v>
      </c>
      <c r="I11" s="1" t="s">
        <v>1370</v>
      </c>
      <c r="J11" s="1" t="s">
        <v>1371</v>
      </c>
      <c r="K11" s="1" t="s">
        <v>1372</v>
      </c>
      <c r="L11" s="1" t="s">
        <v>511</v>
      </c>
      <c r="M11" s="1" t="s">
        <v>511</v>
      </c>
      <c r="N11" s="1" t="s">
        <v>511</v>
      </c>
      <c r="O11" s="1" t="s">
        <v>1373</v>
      </c>
      <c r="P11" s="1" t="s">
        <v>570</v>
      </c>
      <c r="Q11" s="1" t="s">
        <v>570</v>
      </c>
      <c r="R11" s="1" t="s">
        <v>1374</v>
      </c>
      <c r="S11" s="1" t="s">
        <v>1368</v>
      </c>
      <c r="T11" s="1" t="s">
        <v>1368</v>
      </c>
      <c r="U11" s="1" t="s">
        <v>570</v>
      </c>
      <c r="V11" s="1" t="s">
        <v>570</v>
      </c>
      <c r="W11" s="1" t="s">
        <v>1375</v>
      </c>
      <c r="X11" s="1" t="s">
        <v>570</v>
      </c>
      <c r="Y11" s="1" t="s">
        <v>511</v>
      </c>
      <c r="Z11" s="1" t="s">
        <v>511</v>
      </c>
      <c r="AA11" s="1" t="s">
        <v>511</v>
      </c>
      <c r="AB11" s="1" t="s">
        <v>1376</v>
      </c>
      <c r="AC11" s="502">
        <v>43045.229882731503</v>
      </c>
    </row>
    <row r="12" spans="1:29">
      <c r="A12" s="1" t="s">
        <v>1225</v>
      </c>
      <c r="B12" s="1" t="s">
        <v>571</v>
      </c>
      <c r="C12" s="1" t="s">
        <v>511</v>
      </c>
      <c r="D12" s="1" t="s">
        <v>511</v>
      </c>
      <c r="E12" s="1" t="s">
        <v>511</v>
      </c>
      <c r="F12" s="1" t="s">
        <v>511</v>
      </c>
      <c r="G12" s="1" t="s">
        <v>511</v>
      </c>
      <c r="H12" s="1" t="s">
        <v>511</v>
      </c>
      <c r="I12" s="1" t="s">
        <v>511</v>
      </c>
      <c r="J12" s="1" t="s">
        <v>511</v>
      </c>
      <c r="K12" s="1" t="s">
        <v>511</v>
      </c>
      <c r="L12" s="1" t="s">
        <v>511</v>
      </c>
      <c r="M12" s="1" t="s">
        <v>511</v>
      </c>
      <c r="N12" s="1" t="s">
        <v>511</v>
      </c>
      <c r="O12" s="1" t="s">
        <v>511</v>
      </c>
      <c r="P12" s="1" t="s">
        <v>511</v>
      </c>
      <c r="Q12" s="1" t="s">
        <v>511</v>
      </c>
      <c r="R12" s="1" t="s">
        <v>511</v>
      </c>
      <c r="S12" s="1" t="s">
        <v>511</v>
      </c>
      <c r="T12" s="1" t="s">
        <v>511</v>
      </c>
      <c r="U12" s="1" t="s">
        <v>511</v>
      </c>
      <c r="V12" s="1" t="s">
        <v>511</v>
      </c>
      <c r="W12" s="1" t="s">
        <v>511</v>
      </c>
      <c r="X12" s="1" t="s">
        <v>511</v>
      </c>
      <c r="Y12" s="1" t="s">
        <v>511</v>
      </c>
      <c r="Z12" s="1" t="s">
        <v>511</v>
      </c>
      <c r="AA12" s="1" t="s">
        <v>511</v>
      </c>
      <c r="AB12" s="1" t="s">
        <v>511</v>
      </c>
      <c r="AC12" s="502">
        <v>43045.229882731503</v>
      </c>
    </row>
    <row r="13" spans="1:29">
      <c r="A13" s="1" t="s">
        <v>1225</v>
      </c>
      <c r="B13" s="1" t="s">
        <v>572</v>
      </c>
      <c r="C13" s="1" t="s">
        <v>1377</v>
      </c>
      <c r="D13" s="1" t="s">
        <v>1378</v>
      </c>
      <c r="E13" s="1" t="s">
        <v>1379</v>
      </c>
      <c r="F13" s="1" t="s">
        <v>1380</v>
      </c>
      <c r="G13" s="1" t="s">
        <v>1381</v>
      </c>
      <c r="H13" s="1" t="s">
        <v>1382</v>
      </c>
      <c r="I13" s="1" t="s">
        <v>1383</v>
      </c>
      <c r="J13" s="1" t="s">
        <v>1384</v>
      </c>
      <c r="K13" s="1" t="s">
        <v>1385</v>
      </c>
      <c r="L13" s="1" t="s">
        <v>511</v>
      </c>
      <c r="M13" s="1" t="s">
        <v>511</v>
      </c>
      <c r="N13" s="1" t="s">
        <v>511</v>
      </c>
      <c r="O13" s="1" t="s">
        <v>1386</v>
      </c>
      <c r="P13" s="1" t="s">
        <v>1387</v>
      </c>
      <c r="Q13" s="1" t="s">
        <v>1388</v>
      </c>
      <c r="R13" s="1" t="s">
        <v>1389</v>
      </c>
      <c r="S13" s="1" t="s">
        <v>1390</v>
      </c>
      <c r="T13" s="1" t="s">
        <v>1391</v>
      </c>
      <c r="U13" s="1" t="s">
        <v>1392</v>
      </c>
      <c r="V13" s="1" t="s">
        <v>1393</v>
      </c>
      <c r="W13" s="1" t="s">
        <v>1394</v>
      </c>
      <c r="X13" s="1" t="s">
        <v>1395</v>
      </c>
      <c r="Y13" s="1" t="s">
        <v>511</v>
      </c>
      <c r="Z13" s="1" t="s">
        <v>511</v>
      </c>
      <c r="AA13" s="1" t="s">
        <v>511</v>
      </c>
      <c r="AB13" s="1" t="s">
        <v>1396</v>
      </c>
      <c r="AC13" s="502">
        <v>43045.229882731503</v>
      </c>
    </row>
    <row r="14" spans="1:29">
      <c r="A14" s="1" t="s">
        <v>1225</v>
      </c>
      <c r="B14" s="1" t="s">
        <v>599</v>
      </c>
      <c r="C14" s="1" t="s">
        <v>1397</v>
      </c>
      <c r="D14" s="1" t="s">
        <v>1398</v>
      </c>
      <c r="E14" s="1" t="s">
        <v>1399</v>
      </c>
      <c r="F14" s="1" t="s">
        <v>1400</v>
      </c>
      <c r="G14" s="1" t="s">
        <v>1401</v>
      </c>
      <c r="H14" s="1" t="s">
        <v>1402</v>
      </c>
      <c r="I14" s="1" t="s">
        <v>1403</v>
      </c>
      <c r="J14" s="1" t="s">
        <v>1404</v>
      </c>
      <c r="K14" s="1" t="s">
        <v>1405</v>
      </c>
      <c r="L14" s="1" t="s">
        <v>511</v>
      </c>
      <c r="M14" s="1" t="s">
        <v>511</v>
      </c>
      <c r="N14" s="1" t="s">
        <v>511</v>
      </c>
      <c r="O14" s="1" t="s">
        <v>1406</v>
      </c>
      <c r="P14" s="1" t="s">
        <v>1407</v>
      </c>
      <c r="Q14" s="1" t="s">
        <v>1408</v>
      </c>
      <c r="R14" s="1" t="s">
        <v>1409</v>
      </c>
      <c r="S14" s="1" t="s">
        <v>1410</v>
      </c>
      <c r="T14" s="1" t="s">
        <v>1411</v>
      </c>
      <c r="U14" s="1" t="s">
        <v>1412</v>
      </c>
      <c r="V14" s="1" t="s">
        <v>1413</v>
      </c>
      <c r="W14" s="1" t="s">
        <v>1414</v>
      </c>
      <c r="X14" s="1" t="s">
        <v>1415</v>
      </c>
      <c r="Y14" s="1" t="s">
        <v>511</v>
      </c>
      <c r="Z14" s="1" t="s">
        <v>511</v>
      </c>
      <c r="AA14" s="1" t="s">
        <v>511</v>
      </c>
      <c r="AB14" s="1" t="s">
        <v>1416</v>
      </c>
      <c r="AC14" s="502">
        <v>43045.229882731503</v>
      </c>
    </row>
    <row r="15" spans="1:29">
      <c r="A15" s="1" t="s">
        <v>1225</v>
      </c>
      <c r="B15" s="1" t="s">
        <v>620</v>
      </c>
      <c r="C15" s="1" t="s">
        <v>1417</v>
      </c>
      <c r="D15" s="1" t="s">
        <v>1418</v>
      </c>
      <c r="E15" s="1" t="s">
        <v>1419</v>
      </c>
      <c r="F15" s="1" t="s">
        <v>1420</v>
      </c>
      <c r="G15" s="1" t="s">
        <v>1421</v>
      </c>
      <c r="H15" s="1" t="s">
        <v>1422</v>
      </c>
      <c r="I15" s="1" t="s">
        <v>1423</v>
      </c>
      <c r="J15" s="1" t="s">
        <v>1424</v>
      </c>
      <c r="K15" s="1" t="s">
        <v>1425</v>
      </c>
      <c r="L15" s="1" t="s">
        <v>511</v>
      </c>
      <c r="M15" s="1" t="s">
        <v>511</v>
      </c>
      <c r="N15" s="1" t="s">
        <v>511</v>
      </c>
      <c r="O15" s="1" t="s">
        <v>1426</v>
      </c>
      <c r="P15" s="1" t="s">
        <v>1427</v>
      </c>
      <c r="Q15" s="1" t="s">
        <v>1428</v>
      </c>
      <c r="R15" s="1" t="s">
        <v>1427</v>
      </c>
      <c r="S15" s="1" t="s">
        <v>1427</v>
      </c>
      <c r="T15" s="1" t="s">
        <v>1429</v>
      </c>
      <c r="U15" s="1" t="s">
        <v>1430</v>
      </c>
      <c r="V15" s="1" t="s">
        <v>511</v>
      </c>
      <c r="W15" s="1" t="s">
        <v>511</v>
      </c>
      <c r="X15" s="1" t="s">
        <v>511</v>
      </c>
      <c r="Y15" s="1" t="s">
        <v>511</v>
      </c>
      <c r="Z15" s="1" t="s">
        <v>511</v>
      </c>
      <c r="AA15" s="1" t="s">
        <v>511</v>
      </c>
      <c r="AB15" s="1" t="s">
        <v>1431</v>
      </c>
      <c r="AC15" s="502">
        <v>43045.229882731503</v>
      </c>
    </row>
    <row r="16" spans="1:29">
      <c r="A16" s="1" t="s">
        <v>1225</v>
      </c>
      <c r="B16" s="1" t="s">
        <v>1432</v>
      </c>
      <c r="C16" s="1" t="s">
        <v>511</v>
      </c>
      <c r="D16" s="1" t="s">
        <v>511</v>
      </c>
      <c r="E16" s="1" t="s">
        <v>511</v>
      </c>
      <c r="F16" s="1" t="s">
        <v>511</v>
      </c>
      <c r="G16" s="1" t="s">
        <v>511</v>
      </c>
      <c r="H16" s="1" t="s">
        <v>511</v>
      </c>
      <c r="I16" s="1" t="s">
        <v>511</v>
      </c>
      <c r="J16" s="1" t="s">
        <v>511</v>
      </c>
      <c r="K16" s="1" t="s">
        <v>511</v>
      </c>
      <c r="L16" s="1" t="s">
        <v>511</v>
      </c>
      <c r="M16" s="1" t="s">
        <v>511</v>
      </c>
      <c r="N16" s="1" t="s">
        <v>511</v>
      </c>
      <c r="O16" s="1" t="s">
        <v>511</v>
      </c>
      <c r="P16" s="1" t="s">
        <v>511</v>
      </c>
      <c r="Q16" s="1" t="s">
        <v>511</v>
      </c>
      <c r="R16" s="1" t="s">
        <v>511</v>
      </c>
      <c r="S16" s="1" t="s">
        <v>511</v>
      </c>
      <c r="T16" s="1" t="s">
        <v>511</v>
      </c>
      <c r="U16" s="1" t="s">
        <v>511</v>
      </c>
      <c r="V16" s="1" t="s">
        <v>511</v>
      </c>
      <c r="W16" s="1" t="s">
        <v>511</v>
      </c>
      <c r="X16" s="1" t="s">
        <v>511</v>
      </c>
      <c r="Y16" s="1" t="s">
        <v>511</v>
      </c>
      <c r="Z16" s="1" t="s">
        <v>511</v>
      </c>
      <c r="AA16" s="1" t="s">
        <v>511</v>
      </c>
      <c r="AB16" s="1" t="s">
        <v>511</v>
      </c>
      <c r="AC16" s="502">
        <v>43045.229882731503</v>
      </c>
    </row>
    <row r="17" spans="1:29">
      <c r="A17" s="1" t="s">
        <v>1225</v>
      </c>
      <c r="B17" s="1" t="s">
        <v>636</v>
      </c>
      <c r="C17" s="1" t="s">
        <v>1433</v>
      </c>
      <c r="D17" s="1" t="s">
        <v>1434</v>
      </c>
      <c r="E17" s="1" t="s">
        <v>1435</v>
      </c>
      <c r="F17" s="1" t="s">
        <v>1436</v>
      </c>
      <c r="G17" s="1" t="s">
        <v>1437</v>
      </c>
      <c r="H17" s="1" t="s">
        <v>1438</v>
      </c>
      <c r="I17" s="1" t="s">
        <v>1439</v>
      </c>
      <c r="J17" s="1" t="s">
        <v>1440</v>
      </c>
      <c r="K17" s="1" t="s">
        <v>1441</v>
      </c>
      <c r="L17" s="1" t="s">
        <v>511</v>
      </c>
      <c r="M17" s="1" t="s">
        <v>511</v>
      </c>
      <c r="N17" s="1" t="s">
        <v>511</v>
      </c>
      <c r="O17" s="1" t="s">
        <v>1442</v>
      </c>
      <c r="P17" s="1" t="s">
        <v>1443</v>
      </c>
      <c r="Q17" s="1" t="s">
        <v>1444</v>
      </c>
      <c r="R17" s="1" t="s">
        <v>1445</v>
      </c>
      <c r="S17" s="1" t="s">
        <v>1446</v>
      </c>
      <c r="T17" s="1" t="s">
        <v>1447</v>
      </c>
      <c r="U17" s="1" t="s">
        <v>1448</v>
      </c>
      <c r="V17" s="1" t="s">
        <v>1449</v>
      </c>
      <c r="W17" s="1" t="s">
        <v>1450</v>
      </c>
      <c r="X17" s="1" t="s">
        <v>1451</v>
      </c>
      <c r="Y17" s="1" t="s">
        <v>511</v>
      </c>
      <c r="Z17" s="1" t="s">
        <v>511</v>
      </c>
      <c r="AA17" s="1" t="s">
        <v>511</v>
      </c>
      <c r="AB17" s="1" t="s">
        <v>1452</v>
      </c>
      <c r="AC17" s="502">
        <v>43045.229882731503</v>
      </c>
    </row>
    <row r="18" spans="1:29">
      <c r="A18" s="1" t="s">
        <v>1225</v>
      </c>
      <c r="B18" s="501" t="s">
        <v>664</v>
      </c>
      <c r="C18" s="1" t="s">
        <v>1453</v>
      </c>
      <c r="D18" s="1" t="s">
        <v>1454</v>
      </c>
      <c r="E18" s="1" t="s">
        <v>1455</v>
      </c>
      <c r="F18" s="1" t="s">
        <v>1456</v>
      </c>
      <c r="G18" s="1" t="s">
        <v>1457</v>
      </c>
      <c r="H18" s="1" t="s">
        <v>1458</v>
      </c>
      <c r="I18" s="1" t="s">
        <v>1459</v>
      </c>
      <c r="J18" s="1" t="s">
        <v>1460</v>
      </c>
      <c r="K18" s="1" t="s">
        <v>1461</v>
      </c>
      <c r="L18" s="1" t="s">
        <v>511</v>
      </c>
      <c r="M18" s="1" t="s">
        <v>511</v>
      </c>
      <c r="N18" s="1" t="s">
        <v>511</v>
      </c>
      <c r="O18" s="1" t="s">
        <v>1462</v>
      </c>
      <c r="P18" s="1" t="s">
        <v>1463</v>
      </c>
      <c r="Q18" s="1" t="s">
        <v>1464</v>
      </c>
      <c r="R18" s="1" t="s">
        <v>1465</v>
      </c>
      <c r="S18" s="1" t="s">
        <v>1466</v>
      </c>
      <c r="T18" s="1" t="s">
        <v>1467</v>
      </c>
      <c r="U18" s="1" t="s">
        <v>1468</v>
      </c>
      <c r="V18" s="1" t="s">
        <v>1469</v>
      </c>
      <c r="W18" s="1" t="s">
        <v>1470</v>
      </c>
      <c r="X18" s="1" t="s">
        <v>1471</v>
      </c>
      <c r="Y18" s="1" t="s">
        <v>511</v>
      </c>
      <c r="Z18" s="1" t="s">
        <v>511</v>
      </c>
      <c r="AA18" s="1" t="s">
        <v>511</v>
      </c>
      <c r="AB18" s="1" t="s">
        <v>1472</v>
      </c>
      <c r="AC18" s="502">
        <v>43045.229882731503</v>
      </c>
    </row>
    <row r="19" spans="1:29">
      <c r="A19" s="1" t="s">
        <v>1225</v>
      </c>
      <c r="B19" s="1" t="s">
        <v>691</v>
      </c>
      <c r="C19" s="1" t="s">
        <v>1473</v>
      </c>
      <c r="D19" s="1" t="s">
        <v>1474</v>
      </c>
      <c r="E19" s="1" t="s">
        <v>1475</v>
      </c>
      <c r="F19" s="1" t="s">
        <v>1476</v>
      </c>
      <c r="G19" s="1" t="s">
        <v>1477</v>
      </c>
      <c r="H19" s="1" t="s">
        <v>1478</v>
      </c>
      <c r="I19" s="1" t="s">
        <v>1479</v>
      </c>
      <c r="J19" s="1" t="s">
        <v>1480</v>
      </c>
      <c r="K19" s="1" t="s">
        <v>1481</v>
      </c>
      <c r="L19" s="1" t="s">
        <v>511</v>
      </c>
      <c r="M19" s="1" t="s">
        <v>511</v>
      </c>
      <c r="N19" s="1" t="s">
        <v>511</v>
      </c>
      <c r="O19" s="1" t="s">
        <v>1482</v>
      </c>
      <c r="P19" s="1" t="s">
        <v>1483</v>
      </c>
      <c r="Q19" s="1" t="s">
        <v>1484</v>
      </c>
      <c r="R19" s="1" t="s">
        <v>1485</v>
      </c>
      <c r="S19" s="1" t="s">
        <v>1486</v>
      </c>
      <c r="T19" s="1" t="s">
        <v>1487</v>
      </c>
      <c r="U19" s="1" t="s">
        <v>1488</v>
      </c>
      <c r="V19" s="1" t="s">
        <v>1489</v>
      </c>
      <c r="W19" s="1" t="s">
        <v>1490</v>
      </c>
      <c r="X19" s="1" t="s">
        <v>1491</v>
      </c>
      <c r="Y19" s="1" t="s">
        <v>511</v>
      </c>
      <c r="Z19" s="1" t="s">
        <v>511</v>
      </c>
      <c r="AA19" s="1" t="s">
        <v>511</v>
      </c>
      <c r="AB19" s="1" t="s">
        <v>1492</v>
      </c>
      <c r="AC19" s="502">
        <v>43045.229882731503</v>
      </c>
    </row>
    <row r="20" spans="1:29">
      <c r="A20" s="1" t="s">
        <v>1225</v>
      </c>
      <c r="B20" s="1" t="s">
        <v>718</v>
      </c>
      <c r="C20" s="1" t="s">
        <v>719</v>
      </c>
      <c r="D20" s="1" t="s">
        <v>719</v>
      </c>
      <c r="E20" s="1" t="s">
        <v>719</v>
      </c>
      <c r="F20" s="1" t="s">
        <v>719</v>
      </c>
      <c r="G20" s="1" t="s">
        <v>719</v>
      </c>
      <c r="H20" s="1" t="s">
        <v>719</v>
      </c>
      <c r="I20" s="1" t="s">
        <v>719</v>
      </c>
      <c r="J20" s="1" t="s">
        <v>719</v>
      </c>
      <c r="K20" s="1" t="s">
        <v>719</v>
      </c>
      <c r="L20" s="1" t="s">
        <v>511</v>
      </c>
      <c r="M20" s="1" t="s">
        <v>511</v>
      </c>
      <c r="N20" s="1" t="s">
        <v>511</v>
      </c>
      <c r="O20" s="1" t="s">
        <v>719</v>
      </c>
      <c r="P20" s="1" t="s">
        <v>719</v>
      </c>
      <c r="Q20" s="1" t="s">
        <v>719</v>
      </c>
      <c r="R20" s="1" t="s">
        <v>719</v>
      </c>
      <c r="S20" s="1" t="s">
        <v>719</v>
      </c>
      <c r="T20" s="1" t="s">
        <v>719</v>
      </c>
      <c r="U20" s="1" t="s">
        <v>719</v>
      </c>
      <c r="V20" s="1" t="s">
        <v>719</v>
      </c>
      <c r="W20" s="1" t="s">
        <v>719</v>
      </c>
      <c r="X20" s="1" t="s">
        <v>719</v>
      </c>
      <c r="Y20" s="1" t="s">
        <v>511</v>
      </c>
      <c r="Z20" s="1" t="s">
        <v>511</v>
      </c>
      <c r="AA20" s="1" t="s">
        <v>511</v>
      </c>
      <c r="AB20" s="1" t="s">
        <v>719</v>
      </c>
      <c r="AC20" s="502">
        <v>43045.229882731503</v>
      </c>
    </row>
    <row r="21" spans="1:29">
      <c r="A21" s="1" t="s">
        <v>1225</v>
      </c>
      <c r="B21" s="1" t="s">
        <v>720</v>
      </c>
      <c r="C21" s="1" t="s">
        <v>1493</v>
      </c>
      <c r="D21" s="1" t="s">
        <v>1493</v>
      </c>
      <c r="E21" s="1" t="s">
        <v>1493</v>
      </c>
      <c r="F21" s="1" t="s">
        <v>1493</v>
      </c>
      <c r="G21" s="1" t="s">
        <v>1493</v>
      </c>
      <c r="H21" s="1" t="s">
        <v>1493</v>
      </c>
      <c r="I21" s="1" t="s">
        <v>1493</v>
      </c>
      <c r="J21" s="1" t="s">
        <v>1493</v>
      </c>
      <c r="K21" s="1" t="s">
        <v>721</v>
      </c>
      <c r="L21" s="1" t="s">
        <v>511</v>
      </c>
      <c r="M21" s="1" t="s">
        <v>511</v>
      </c>
      <c r="N21" s="1" t="s">
        <v>511</v>
      </c>
      <c r="O21" s="1" t="s">
        <v>1494</v>
      </c>
      <c r="P21" s="1" t="s">
        <v>1493</v>
      </c>
      <c r="Q21" s="1" t="s">
        <v>1493</v>
      </c>
      <c r="R21" s="1" t="s">
        <v>1493</v>
      </c>
      <c r="S21" s="1" t="s">
        <v>1493</v>
      </c>
      <c r="T21" s="1" t="s">
        <v>1493</v>
      </c>
      <c r="U21" s="1" t="s">
        <v>1493</v>
      </c>
      <c r="V21" s="1" t="s">
        <v>1493</v>
      </c>
      <c r="W21" s="1" t="s">
        <v>1493</v>
      </c>
      <c r="X21" s="1" t="s">
        <v>721</v>
      </c>
      <c r="Y21" s="1" t="s">
        <v>511</v>
      </c>
      <c r="Z21" s="1" t="s">
        <v>511</v>
      </c>
      <c r="AA21" s="1" t="s">
        <v>511</v>
      </c>
      <c r="AB21" s="1" t="s">
        <v>1494</v>
      </c>
      <c r="AC21" s="502">
        <v>43045.229882731503</v>
      </c>
    </row>
    <row r="22" spans="1:29">
      <c r="A22" s="1" t="s">
        <v>1225</v>
      </c>
      <c r="B22" s="1" t="s">
        <v>722</v>
      </c>
      <c r="C22" s="1" t="s">
        <v>1495</v>
      </c>
      <c r="D22" s="1" t="s">
        <v>1496</v>
      </c>
      <c r="E22" s="1" t="s">
        <v>1497</v>
      </c>
      <c r="F22" s="1" t="s">
        <v>1498</v>
      </c>
      <c r="G22" s="1" t="s">
        <v>1499</v>
      </c>
      <c r="H22" s="1" t="s">
        <v>1500</v>
      </c>
      <c r="I22" s="1" t="s">
        <v>1501</v>
      </c>
      <c r="J22" s="1" t="s">
        <v>1502</v>
      </c>
      <c r="K22" s="1" t="s">
        <v>1503</v>
      </c>
      <c r="L22" s="1" t="s">
        <v>511</v>
      </c>
      <c r="M22" s="1" t="s">
        <v>511</v>
      </c>
      <c r="N22" s="1" t="s">
        <v>511</v>
      </c>
      <c r="O22" s="1" t="s">
        <v>1504</v>
      </c>
      <c r="P22" s="1" t="s">
        <v>1495</v>
      </c>
      <c r="Q22" s="1" t="s">
        <v>1505</v>
      </c>
      <c r="R22" s="1" t="s">
        <v>1506</v>
      </c>
      <c r="S22" s="1" t="s">
        <v>1507</v>
      </c>
      <c r="T22" s="1" t="s">
        <v>1508</v>
      </c>
      <c r="U22" s="1" t="s">
        <v>1509</v>
      </c>
      <c r="V22" s="1" t="s">
        <v>1510</v>
      </c>
      <c r="W22" s="1" t="s">
        <v>1511</v>
      </c>
      <c r="X22" s="1" t="s">
        <v>723</v>
      </c>
      <c r="Y22" s="1" t="s">
        <v>511</v>
      </c>
      <c r="Z22" s="1" t="s">
        <v>511</v>
      </c>
      <c r="AA22" s="1" t="s">
        <v>511</v>
      </c>
      <c r="AB22" s="1" t="s">
        <v>1512</v>
      </c>
      <c r="AC22" s="502">
        <v>43045.229882731503</v>
      </c>
    </row>
    <row r="23" spans="1:29">
      <c r="A23" s="1" t="s">
        <v>1225</v>
      </c>
      <c r="B23" s="501" t="s">
        <v>728</v>
      </c>
      <c r="C23" s="1" t="s">
        <v>511</v>
      </c>
      <c r="D23" s="1" t="s">
        <v>511</v>
      </c>
      <c r="E23" s="1" t="s">
        <v>511</v>
      </c>
      <c r="F23" s="1" t="s">
        <v>511</v>
      </c>
      <c r="G23" s="1" t="s">
        <v>511</v>
      </c>
      <c r="H23" s="1" t="s">
        <v>511</v>
      </c>
      <c r="I23" s="1" t="s">
        <v>511</v>
      </c>
      <c r="J23" s="1" t="s">
        <v>511</v>
      </c>
      <c r="K23" s="1" t="s">
        <v>511</v>
      </c>
      <c r="L23" s="1" t="s">
        <v>511</v>
      </c>
      <c r="M23" s="1" t="s">
        <v>511</v>
      </c>
      <c r="N23" s="1" t="s">
        <v>511</v>
      </c>
      <c r="O23" s="1" t="s">
        <v>511</v>
      </c>
      <c r="P23" s="1" t="s">
        <v>511</v>
      </c>
      <c r="Q23" s="1" t="s">
        <v>511</v>
      </c>
      <c r="R23" s="1" t="s">
        <v>511</v>
      </c>
      <c r="S23" s="1" t="s">
        <v>511</v>
      </c>
      <c r="T23" s="1" t="s">
        <v>511</v>
      </c>
      <c r="U23" s="1" t="s">
        <v>511</v>
      </c>
      <c r="V23" s="1" t="s">
        <v>511</v>
      </c>
      <c r="W23" s="1" t="s">
        <v>511</v>
      </c>
      <c r="X23" s="1" t="s">
        <v>511</v>
      </c>
      <c r="Y23" s="1" t="s">
        <v>511</v>
      </c>
      <c r="Z23" s="1" t="s">
        <v>511</v>
      </c>
      <c r="AA23" s="1" t="s">
        <v>511</v>
      </c>
      <c r="AB23" s="1" t="s">
        <v>511</v>
      </c>
      <c r="AC23" s="502">
        <v>43045.229882731503</v>
      </c>
    </row>
    <row r="24" spans="1:29">
      <c r="A24" s="1" t="s">
        <v>1225</v>
      </c>
      <c r="B24" s="501" t="s">
        <v>729</v>
      </c>
      <c r="C24" s="1" t="s">
        <v>511</v>
      </c>
      <c r="D24" s="1" t="s">
        <v>511</v>
      </c>
      <c r="E24" s="1" t="s">
        <v>511</v>
      </c>
      <c r="F24" s="1" t="s">
        <v>511</v>
      </c>
      <c r="G24" s="1" t="s">
        <v>511</v>
      </c>
      <c r="H24" s="1" t="s">
        <v>511</v>
      </c>
      <c r="I24" s="1" t="s">
        <v>511</v>
      </c>
      <c r="J24" s="1" t="s">
        <v>511</v>
      </c>
      <c r="K24" s="1" t="s">
        <v>511</v>
      </c>
      <c r="L24" s="1" t="s">
        <v>511</v>
      </c>
      <c r="M24" s="1" t="s">
        <v>511</v>
      </c>
      <c r="N24" s="1" t="s">
        <v>511</v>
      </c>
      <c r="O24" s="1" t="s">
        <v>511</v>
      </c>
      <c r="P24" s="1" t="s">
        <v>511</v>
      </c>
      <c r="Q24" s="1" t="s">
        <v>511</v>
      </c>
      <c r="R24" s="1" t="s">
        <v>511</v>
      </c>
      <c r="S24" s="1" t="s">
        <v>511</v>
      </c>
      <c r="T24" s="1" t="s">
        <v>511</v>
      </c>
      <c r="U24" s="1" t="s">
        <v>511</v>
      </c>
      <c r="V24" s="1" t="s">
        <v>511</v>
      </c>
      <c r="W24" s="1" t="s">
        <v>511</v>
      </c>
      <c r="X24" s="1" t="s">
        <v>511</v>
      </c>
      <c r="Y24" s="1" t="s">
        <v>511</v>
      </c>
      <c r="Z24" s="1" t="s">
        <v>511</v>
      </c>
      <c r="AA24" s="1" t="s">
        <v>511</v>
      </c>
      <c r="AB24" s="1" t="s">
        <v>511</v>
      </c>
      <c r="AC24" s="502">
        <v>43045.229882731503</v>
      </c>
    </row>
    <row r="25" spans="1:29">
      <c r="A25" s="1" t="s">
        <v>1225</v>
      </c>
      <c r="B25" s="501" t="s">
        <v>730</v>
      </c>
      <c r="C25" s="1" t="s">
        <v>1513</v>
      </c>
      <c r="D25" s="1" t="s">
        <v>1514</v>
      </c>
      <c r="E25" s="1" t="s">
        <v>1515</v>
      </c>
      <c r="F25" s="1" t="s">
        <v>1516</v>
      </c>
      <c r="G25" s="1" t="s">
        <v>1517</v>
      </c>
      <c r="H25" s="1" t="s">
        <v>1518</v>
      </c>
      <c r="I25" s="1" t="s">
        <v>1519</v>
      </c>
      <c r="J25" s="1" t="s">
        <v>1520</v>
      </c>
      <c r="K25" s="1" t="s">
        <v>1521</v>
      </c>
      <c r="L25" s="1" t="s">
        <v>511</v>
      </c>
      <c r="M25" s="1" t="s">
        <v>511</v>
      </c>
      <c r="N25" s="1" t="s">
        <v>511</v>
      </c>
      <c r="O25" s="1" t="s">
        <v>1522</v>
      </c>
      <c r="P25" s="1" t="s">
        <v>1523</v>
      </c>
      <c r="Q25" s="1" t="s">
        <v>1524</v>
      </c>
      <c r="R25" s="1" t="s">
        <v>1525</v>
      </c>
      <c r="S25" s="1" t="s">
        <v>1526</v>
      </c>
      <c r="T25" s="1" t="s">
        <v>1527</v>
      </c>
      <c r="U25" s="1" t="s">
        <v>1528</v>
      </c>
      <c r="V25" s="1" t="s">
        <v>1529</v>
      </c>
      <c r="W25" s="1" t="s">
        <v>1530</v>
      </c>
      <c r="X25" s="1" t="s">
        <v>1531</v>
      </c>
      <c r="Y25" s="1" t="s">
        <v>511</v>
      </c>
      <c r="Z25" s="1" t="s">
        <v>511</v>
      </c>
      <c r="AA25" s="1" t="s">
        <v>511</v>
      </c>
      <c r="AB25" s="1" t="s">
        <v>1532</v>
      </c>
      <c r="AC25" s="502">
        <v>43045.229882731503</v>
      </c>
    </row>
    <row r="26" spans="1:29">
      <c r="A26" s="1" t="s">
        <v>1225</v>
      </c>
      <c r="B26" s="501" t="s">
        <v>759</v>
      </c>
      <c r="C26" s="1" t="s">
        <v>1533</v>
      </c>
      <c r="D26" s="1" t="s">
        <v>1534</v>
      </c>
      <c r="E26" s="1" t="s">
        <v>1535</v>
      </c>
      <c r="F26" s="1" t="s">
        <v>1536</v>
      </c>
      <c r="G26" s="1" t="s">
        <v>1537</v>
      </c>
      <c r="H26" s="1" t="s">
        <v>1538</v>
      </c>
      <c r="I26" s="1" t="s">
        <v>1539</v>
      </c>
      <c r="J26" s="1" t="s">
        <v>1540</v>
      </c>
      <c r="K26" s="1" t="s">
        <v>1541</v>
      </c>
      <c r="L26" s="1" t="s">
        <v>511</v>
      </c>
      <c r="M26" s="1" t="s">
        <v>511</v>
      </c>
      <c r="N26" s="1" t="s">
        <v>511</v>
      </c>
      <c r="O26" s="1" t="s">
        <v>1542</v>
      </c>
      <c r="P26" s="1" t="s">
        <v>1543</v>
      </c>
      <c r="Q26" s="1" t="s">
        <v>1544</v>
      </c>
      <c r="R26" s="1" t="s">
        <v>1545</v>
      </c>
      <c r="S26" s="1" t="s">
        <v>1546</v>
      </c>
      <c r="T26" s="1" t="s">
        <v>1547</v>
      </c>
      <c r="U26" s="1" t="s">
        <v>1548</v>
      </c>
      <c r="V26" s="1" t="s">
        <v>1549</v>
      </c>
      <c r="W26" s="1" t="s">
        <v>1550</v>
      </c>
      <c r="X26" s="1" t="s">
        <v>1551</v>
      </c>
      <c r="Y26" s="1" t="s">
        <v>511</v>
      </c>
      <c r="Z26" s="1" t="s">
        <v>511</v>
      </c>
      <c r="AA26" s="1" t="s">
        <v>511</v>
      </c>
      <c r="AB26" s="1" t="s">
        <v>1552</v>
      </c>
      <c r="AC26" s="502">
        <v>43045.229882731503</v>
      </c>
    </row>
    <row r="27" spans="1:29">
      <c r="B27" s="501"/>
      <c r="AC27" s="502">
        <v>43045.229882731503</v>
      </c>
    </row>
    <row r="28" spans="1:29">
      <c r="B28" s="501"/>
      <c r="AC28" s="502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1199</v>
      </c>
      <c r="B1" s="1" t="s">
        <v>361</v>
      </c>
      <c r="C1" s="1" t="s">
        <v>1200</v>
      </c>
      <c r="D1" s="1" t="s">
        <v>1201</v>
      </c>
      <c r="E1" s="1" t="s">
        <v>1202</v>
      </c>
      <c r="F1" s="1" t="s">
        <v>1203</v>
      </c>
      <c r="G1" s="1" t="s">
        <v>1204</v>
      </c>
      <c r="H1" s="1" t="s">
        <v>1205</v>
      </c>
      <c r="I1" s="1" t="s">
        <v>1206</v>
      </c>
      <c r="J1" s="1" t="s">
        <v>1207</v>
      </c>
      <c r="K1" s="1" t="s">
        <v>1208</v>
      </c>
      <c r="L1" s="1" t="s">
        <v>1209</v>
      </c>
      <c r="M1" s="1" t="s">
        <v>1210</v>
      </c>
      <c r="N1" s="1" t="s">
        <v>1211</v>
      </c>
      <c r="O1" s="1" t="s">
        <v>785</v>
      </c>
    </row>
    <row r="2" spans="1:17">
      <c r="A2" s="1" t="s">
        <v>1225</v>
      </c>
      <c r="B2" s="275" t="s">
        <v>364</v>
      </c>
      <c r="C2" s="1" t="s">
        <v>792</v>
      </c>
      <c r="D2" s="1" t="s">
        <v>788</v>
      </c>
      <c r="E2" s="1" t="s">
        <v>800</v>
      </c>
      <c r="F2" s="1" t="s">
        <v>800</v>
      </c>
      <c r="G2" s="1" t="s">
        <v>792</v>
      </c>
      <c r="H2" s="1" t="s">
        <v>786</v>
      </c>
      <c r="I2" s="1" t="s">
        <v>790</v>
      </c>
      <c r="J2" s="1" t="s">
        <v>786</v>
      </c>
      <c r="K2" s="1" t="s">
        <v>790</v>
      </c>
      <c r="L2" s="1" t="s">
        <v>789</v>
      </c>
      <c r="M2" s="1" t="s">
        <v>789</v>
      </c>
      <c r="N2" s="1" t="s">
        <v>789</v>
      </c>
      <c r="O2" s="1" t="s">
        <v>788</v>
      </c>
      <c r="P2" s="502"/>
      <c r="Q2" s="502"/>
    </row>
    <row r="3" spans="1:17">
      <c r="A3" s="1" t="s">
        <v>1225</v>
      </c>
      <c r="B3" s="275" t="s">
        <v>398</v>
      </c>
      <c r="C3" s="1" t="s">
        <v>790</v>
      </c>
      <c r="D3" s="1" t="s">
        <v>797</v>
      </c>
      <c r="E3" s="1" t="s">
        <v>798</v>
      </c>
      <c r="F3" s="1" t="s">
        <v>842</v>
      </c>
      <c r="G3" s="1" t="s">
        <v>800</v>
      </c>
      <c r="H3" s="1" t="s">
        <v>792</v>
      </c>
      <c r="I3" s="1" t="s">
        <v>792</v>
      </c>
      <c r="J3" s="1" t="s">
        <v>797</v>
      </c>
      <c r="K3" s="1" t="s">
        <v>793</v>
      </c>
      <c r="L3" s="1" t="s">
        <v>789</v>
      </c>
      <c r="M3" s="1" t="s">
        <v>789</v>
      </c>
      <c r="N3" s="1" t="s">
        <v>789</v>
      </c>
      <c r="O3" s="1" t="s">
        <v>797</v>
      </c>
      <c r="P3" s="502"/>
      <c r="Q3" s="502"/>
    </row>
    <row r="4" spans="1:17">
      <c r="A4" s="1" t="s">
        <v>1225</v>
      </c>
      <c r="B4" s="275" t="s">
        <v>426</v>
      </c>
      <c r="C4" s="1" t="s">
        <v>801</v>
      </c>
      <c r="D4" s="1" t="s">
        <v>809</v>
      </c>
      <c r="E4" s="1" t="s">
        <v>796</v>
      </c>
      <c r="F4" s="1" t="s">
        <v>796</v>
      </c>
      <c r="G4" s="1" t="s">
        <v>796</v>
      </c>
      <c r="H4" s="1" t="s">
        <v>809</v>
      </c>
      <c r="I4" s="1" t="s">
        <v>796</v>
      </c>
      <c r="J4" s="1" t="s">
        <v>809</v>
      </c>
      <c r="K4" s="1" t="s">
        <v>796</v>
      </c>
      <c r="L4" s="1" t="s">
        <v>789</v>
      </c>
      <c r="M4" s="1" t="s">
        <v>789</v>
      </c>
      <c r="N4" s="1" t="s">
        <v>789</v>
      </c>
      <c r="O4" s="1" t="s">
        <v>807</v>
      </c>
      <c r="P4" s="502"/>
      <c r="Q4" s="502"/>
    </row>
    <row r="5" spans="1:17">
      <c r="A5" s="1" t="s">
        <v>1225</v>
      </c>
      <c r="B5" s="275" t="s">
        <v>452</v>
      </c>
      <c r="C5" s="1" t="s">
        <v>1553</v>
      </c>
      <c r="D5" s="1" t="s">
        <v>870</v>
      </c>
      <c r="E5" s="1" t="s">
        <v>786</v>
      </c>
      <c r="F5" s="1" t="s">
        <v>1554</v>
      </c>
      <c r="G5" s="1" t="s">
        <v>1555</v>
      </c>
      <c r="H5" s="1" t="s">
        <v>1556</v>
      </c>
      <c r="I5" s="1" t="s">
        <v>1557</v>
      </c>
      <c r="J5" s="1" t="s">
        <v>893</v>
      </c>
      <c r="K5" s="1" t="s">
        <v>1558</v>
      </c>
      <c r="L5" s="1" t="s">
        <v>789</v>
      </c>
      <c r="M5" s="1" t="s">
        <v>789</v>
      </c>
      <c r="N5" s="1" t="s">
        <v>789</v>
      </c>
      <c r="O5" s="1" t="s">
        <v>1559</v>
      </c>
      <c r="P5" s="502"/>
      <c r="Q5" s="502"/>
    </row>
    <row r="6" spans="1:17">
      <c r="A6" s="1" t="s">
        <v>1225</v>
      </c>
      <c r="B6" s="275" t="s">
        <v>480</v>
      </c>
      <c r="C6" s="1" t="s">
        <v>806</v>
      </c>
      <c r="D6" s="1" t="s">
        <v>903</v>
      </c>
      <c r="E6" s="1" t="s">
        <v>805</v>
      </c>
      <c r="F6" s="1" t="s">
        <v>808</v>
      </c>
      <c r="G6" s="1" t="s">
        <v>806</v>
      </c>
      <c r="H6" s="1" t="s">
        <v>831</v>
      </c>
      <c r="I6" s="1" t="s">
        <v>806</v>
      </c>
      <c r="J6" s="1" t="s">
        <v>831</v>
      </c>
      <c r="K6" s="1" t="s">
        <v>831</v>
      </c>
      <c r="L6" s="1" t="s">
        <v>789</v>
      </c>
      <c r="M6" s="1" t="s">
        <v>789</v>
      </c>
      <c r="N6" s="1" t="s">
        <v>789</v>
      </c>
      <c r="O6" s="1" t="s">
        <v>831</v>
      </c>
      <c r="P6" s="502"/>
      <c r="Q6" s="502"/>
    </row>
    <row r="7" spans="1:17">
      <c r="A7" s="1" t="s">
        <v>1225</v>
      </c>
      <c r="B7" s="275" t="s">
        <v>510</v>
      </c>
      <c r="C7" s="1" t="s">
        <v>789</v>
      </c>
      <c r="D7" s="1" t="s">
        <v>789</v>
      </c>
      <c r="E7" s="1" t="s">
        <v>789</v>
      </c>
      <c r="F7" s="1" t="s">
        <v>789</v>
      </c>
      <c r="G7" s="1" t="s">
        <v>789</v>
      </c>
      <c r="H7" s="1" t="s">
        <v>789</v>
      </c>
      <c r="I7" s="1" t="s">
        <v>789</v>
      </c>
      <c r="J7" s="1" t="s">
        <v>789</v>
      </c>
      <c r="K7" s="1" t="s">
        <v>789</v>
      </c>
      <c r="L7" s="1" t="s">
        <v>789</v>
      </c>
      <c r="M7" s="1" t="s">
        <v>789</v>
      </c>
      <c r="N7" s="1" t="s">
        <v>789</v>
      </c>
      <c r="O7" s="1" t="s">
        <v>789</v>
      </c>
      <c r="P7" s="502"/>
      <c r="Q7" s="502"/>
    </row>
    <row r="8" spans="1:17">
      <c r="A8" s="1" t="s">
        <v>1225</v>
      </c>
      <c r="B8" s="275" t="s">
        <v>512</v>
      </c>
      <c r="C8" s="1" t="s">
        <v>788</v>
      </c>
      <c r="D8" s="1" t="s">
        <v>800</v>
      </c>
      <c r="E8" s="1" t="s">
        <v>837</v>
      </c>
      <c r="F8" s="1" t="s">
        <v>874</v>
      </c>
      <c r="G8" s="1" t="s">
        <v>788</v>
      </c>
      <c r="H8" s="1" t="s">
        <v>792</v>
      </c>
      <c r="I8" s="1" t="s">
        <v>790</v>
      </c>
      <c r="J8" s="1" t="s">
        <v>842</v>
      </c>
      <c r="K8" s="1" t="s">
        <v>787</v>
      </c>
      <c r="L8" s="1" t="s">
        <v>789</v>
      </c>
      <c r="M8" s="1" t="s">
        <v>789</v>
      </c>
      <c r="N8" s="1" t="s">
        <v>789</v>
      </c>
      <c r="O8" s="1" t="s">
        <v>792</v>
      </c>
      <c r="P8" s="502"/>
      <c r="Q8" s="502"/>
    </row>
    <row r="9" spans="1:17">
      <c r="A9" s="1" t="s">
        <v>1225</v>
      </c>
      <c r="B9" s="275" t="s">
        <v>844</v>
      </c>
      <c r="C9" s="1" t="s">
        <v>842</v>
      </c>
      <c r="D9" s="1" t="s">
        <v>886</v>
      </c>
      <c r="E9" s="1" t="s">
        <v>871</v>
      </c>
      <c r="F9" s="1" t="s">
        <v>806</v>
      </c>
      <c r="G9" s="1" t="s">
        <v>913</v>
      </c>
      <c r="H9" s="1" t="s">
        <v>895</v>
      </c>
      <c r="I9" s="1" t="s">
        <v>796</v>
      </c>
      <c r="J9" s="1" t="s">
        <v>795</v>
      </c>
      <c r="K9" s="1" t="s">
        <v>1560</v>
      </c>
      <c r="L9" s="1" t="s">
        <v>789</v>
      </c>
      <c r="M9" s="1" t="s">
        <v>789</v>
      </c>
      <c r="N9" s="1" t="s">
        <v>789</v>
      </c>
      <c r="O9" s="1" t="s">
        <v>862</v>
      </c>
      <c r="P9" s="502"/>
      <c r="Q9" s="502"/>
    </row>
    <row r="10" spans="1:17">
      <c r="A10" s="1" t="s">
        <v>1225</v>
      </c>
      <c r="B10" s="275" t="s">
        <v>853</v>
      </c>
      <c r="C10" s="1" t="s">
        <v>795</v>
      </c>
      <c r="D10" s="1" t="s">
        <v>797</v>
      </c>
      <c r="E10" s="1" t="s">
        <v>800</v>
      </c>
      <c r="F10" s="1" t="s">
        <v>842</v>
      </c>
      <c r="G10" s="1" t="s">
        <v>795</v>
      </c>
      <c r="H10" s="1" t="s">
        <v>788</v>
      </c>
      <c r="I10" s="1" t="s">
        <v>787</v>
      </c>
      <c r="J10" s="1" t="s">
        <v>788</v>
      </c>
      <c r="K10" s="1" t="s">
        <v>786</v>
      </c>
      <c r="L10" s="1" t="s">
        <v>789</v>
      </c>
      <c r="M10" s="1" t="s">
        <v>789</v>
      </c>
      <c r="N10" s="1" t="s">
        <v>789</v>
      </c>
      <c r="O10" s="1" t="s">
        <v>797</v>
      </c>
      <c r="P10" s="502"/>
      <c r="Q10" s="502"/>
    </row>
    <row r="11" spans="1:17">
      <c r="A11" s="1" t="s">
        <v>1225</v>
      </c>
      <c r="B11" s="275" t="s">
        <v>855</v>
      </c>
      <c r="C11" s="1" t="s">
        <v>894</v>
      </c>
      <c r="D11" s="1" t="s">
        <v>832</v>
      </c>
      <c r="E11" s="1" t="s">
        <v>796</v>
      </c>
      <c r="F11" s="1" t="s">
        <v>796</v>
      </c>
      <c r="G11" s="1" t="s">
        <v>832</v>
      </c>
      <c r="H11" s="1" t="s">
        <v>796</v>
      </c>
      <c r="I11" s="1" t="s">
        <v>807</v>
      </c>
      <c r="J11" s="1" t="s">
        <v>796</v>
      </c>
      <c r="K11" s="1" t="s">
        <v>796</v>
      </c>
      <c r="L11" s="1" t="s">
        <v>789</v>
      </c>
      <c r="M11" s="1" t="s">
        <v>789</v>
      </c>
      <c r="N11" s="1" t="s">
        <v>789</v>
      </c>
      <c r="O11" s="1" t="s">
        <v>831</v>
      </c>
      <c r="P11" s="502"/>
      <c r="Q11" s="502"/>
    </row>
    <row r="12" spans="1:17">
      <c r="A12" s="1" t="s">
        <v>1225</v>
      </c>
      <c r="B12" s="275" t="s">
        <v>856</v>
      </c>
      <c r="C12" s="1" t="s">
        <v>836</v>
      </c>
      <c r="D12" s="1" t="s">
        <v>894</v>
      </c>
      <c r="E12" s="1" t="s">
        <v>877</v>
      </c>
      <c r="F12" s="1" t="s">
        <v>790</v>
      </c>
      <c r="G12" s="1" t="s">
        <v>1561</v>
      </c>
      <c r="H12" s="1" t="s">
        <v>790</v>
      </c>
      <c r="I12" s="1" t="s">
        <v>905</v>
      </c>
      <c r="J12" s="1" t="s">
        <v>803</v>
      </c>
      <c r="K12" s="1" t="s">
        <v>800</v>
      </c>
      <c r="L12" s="1" t="s">
        <v>789</v>
      </c>
      <c r="M12" s="1" t="s">
        <v>789</v>
      </c>
      <c r="N12" s="1" t="s">
        <v>789</v>
      </c>
      <c r="O12" s="1" t="s">
        <v>911</v>
      </c>
      <c r="P12" s="502"/>
      <c r="Q12" s="502"/>
    </row>
    <row r="13" spans="1:17">
      <c r="A13" s="1" t="s">
        <v>1225</v>
      </c>
      <c r="B13" s="275" t="s">
        <v>859</v>
      </c>
      <c r="C13" s="1" t="s">
        <v>861</v>
      </c>
      <c r="D13" s="1" t="s">
        <v>865</v>
      </c>
      <c r="E13" s="1" t="s">
        <v>863</v>
      </c>
      <c r="F13" s="1" t="s">
        <v>804</v>
      </c>
      <c r="G13" s="1" t="s">
        <v>854</v>
      </c>
      <c r="H13" s="1" t="s">
        <v>867</v>
      </c>
      <c r="I13" s="1" t="s">
        <v>799</v>
      </c>
      <c r="J13" s="1" t="s">
        <v>828</v>
      </c>
      <c r="K13" s="1" t="s">
        <v>913</v>
      </c>
      <c r="L13" s="1" t="s">
        <v>789</v>
      </c>
      <c r="M13" s="1" t="s">
        <v>789</v>
      </c>
      <c r="N13" s="1" t="s">
        <v>789</v>
      </c>
      <c r="O13" s="1" t="s">
        <v>864</v>
      </c>
      <c r="P13" s="502"/>
      <c r="Q13" s="502"/>
    </row>
    <row r="14" spans="1:17">
      <c r="A14" s="1" t="s">
        <v>1225</v>
      </c>
      <c r="B14" s="275" t="s">
        <v>868</v>
      </c>
      <c r="C14" s="1" t="s">
        <v>1562</v>
      </c>
      <c r="D14" s="1" t="s">
        <v>1563</v>
      </c>
      <c r="E14" s="1" t="s">
        <v>835</v>
      </c>
      <c r="F14" s="1" t="s">
        <v>804</v>
      </c>
      <c r="G14" s="1" t="s">
        <v>828</v>
      </c>
      <c r="H14" s="1" t="s">
        <v>864</v>
      </c>
      <c r="I14" s="1" t="s">
        <v>792</v>
      </c>
      <c r="J14" s="1" t="s">
        <v>866</v>
      </c>
      <c r="K14" s="1" t="s">
        <v>1564</v>
      </c>
      <c r="L14" s="1" t="s">
        <v>789</v>
      </c>
      <c r="M14" s="1" t="s">
        <v>789</v>
      </c>
      <c r="N14" s="1" t="s">
        <v>789</v>
      </c>
      <c r="O14" s="1" t="s">
        <v>1565</v>
      </c>
      <c r="P14" s="502"/>
      <c r="Q14" s="502"/>
    </row>
    <row r="15" spans="1:17">
      <c r="A15" s="1" t="s">
        <v>1225</v>
      </c>
      <c r="B15" s="275" t="s">
        <v>875</v>
      </c>
      <c r="C15" s="1" t="s">
        <v>789</v>
      </c>
      <c r="D15" s="1" t="s">
        <v>789</v>
      </c>
      <c r="E15" s="1" t="s">
        <v>796</v>
      </c>
      <c r="F15" s="1" t="s">
        <v>1566</v>
      </c>
      <c r="G15" s="1" t="s">
        <v>789</v>
      </c>
      <c r="H15" s="1" t="s">
        <v>789</v>
      </c>
      <c r="I15" s="1" t="s">
        <v>789</v>
      </c>
      <c r="J15" s="1" t="s">
        <v>796</v>
      </c>
      <c r="K15" s="1" t="s">
        <v>789</v>
      </c>
      <c r="L15" s="1" t="s">
        <v>789</v>
      </c>
      <c r="M15" s="1" t="s">
        <v>789</v>
      </c>
      <c r="N15" s="1" t="s">
        <v>789</v>
      </c>
      <c r="O15" s="1" t="s">
        <v>1567</v>
      </c>
      <c r="P15" s="502"/>
      <c r="Q15" s="502"/>
    </row>
    <row r="16" spans="1:17">
      <c r="A16" s="1" t="s">
        <v>1225</v>
      </c>
      <c r="B16" s="275" t="s">
        <v>876</v>
      </c>
      <c r="C16" s="1" t="s">
        <v>861</v>
      </c>
      <c r="D16" s="1" t="s">
        <v>799</v>
      </c>
      <c r="E16" s="1" t="s">
        <v>790</v>
      </c>
      <c r="F16" s="1" t="s">
        <v>792</v>
      </c>
      <c r="G16" s="1" t="s">
        <v>792</v>
      </c>
      <c r="H16" s="1" t="s">
        <v>788</v>
      </c>
      <c r="I16" s="1" t="s">
        <v>797</v>
      </c>
      <c r="J16" s="1" t="s">
        <v>791</v>
      </c>
      <c r="K16" s="1" t="s">
        <v>799</v>
      </c>
      <c r="L16" s="1" t="s">
        <v>789</v>
      </c>
      <c r="M16" s="1" t="s">
        <v>789</v>
      </c>
      <c r="N16" s="1" t="s">
        <v>789</v>
      </c>
      <c r="O16" s="1" t="s">
        <v>791</v>
      </c>
      <c r="P16" s="502"/>
      <c r="Q16" s="502"/>
    </row>
    <row r="17" spans="1:17">
      <c r="A17" s="1" t="s">
        <v>1225</v>
      </c>
      <c r="B17" s="275" t="s">
        <v>878</v>
      </c>
      <c r="C17" s="1" t="s">
        <v>789</v>
      </c>
      <c r="D17" s="1" t="s">
        <v>789</v>
      </c>
      <c r="E17" s="1" t="s">
        <v>789</v>
      </c>
      <c r="F17" s="1" t="s">
        <v>789</v>
      </c>
      <c r="G17" s="1" t="s">
        <v>789</v>
      </c>
      <c r="H17" s="1" t="s">
        <v>789</v>
      </c>
      <c r="I17" s="1" t="s">
        <v>789</v>
      </c>
      <c r="J17" s="1" t="s">
        <v>789</v>
      </c>
      <c r="K17" s="1" t="s">
        <v>789</v>
      </c>
      <c r="L17" s="1" t="s">
        <v>789</v>
      </c>
      <c r="M17" s="1" t="s">
        <v>789</v>
      </c>
      <c r="N17" s="1" t="s">
        <v>789</v>
      </c>
      <c r="O17" s="1" t="s">
        <v>789</v>
      </c>
      <c r="P17" s="502"/>
      <c r="Q17" s="502"/>
    </row>
    <row r="18" spans="1:17">
      <c r="A18" s="1" t="s">
        <v>1225</v>
      </c>
      <c r="B18" s="275" t="s">
        <v>879</v>
      </c>
      <c r="C18" s="1" t="s">
        <v>789</v>
      </c>
      <c r="D18" s="1" t="s">
        <v>789</v>
      </c>
      <c r="E18" s="1" t="s">
        <v>789</v>
      </c>
      <c r="F18" s="1" t="s">
        <v>789</v>
      </c>
      <c r="G18" s="1" t="s">
        <v>789</v>
      </c>
      <c r="H18" s="1" t="s">
        <v>789</v>
      </c>
      <c r="I18" s="1" t="s">
        <v>789</v>
      </c>
      <c r="J18" s="1" t="s">
        <v>789</v>
      </c>
      <c r="K18" s="1" t="s">
        <v>789</v>
      </c>
      <c r="L18" s="1" t="s">
        <v>789</v>
      </c>
      <c r="M18" s="1" t="s">
        <v>789</v>
      </c>
      <c r="N18" s="1" t="s">
        <v>789</v>
      </c>
      <c r="O18" s="1" t="s">
        <v>789</v>
      </c>
      <c r="P18" s="502"/>
      <c r="Q18" s="502"/>
    </row>
    <row r="19" spans="1:17">
      <c r="A19" s="1" t="s">
        <v>1225</v>
      </c>
      <c r="B19" s="275" t="s">
        <v>880</v>
      </c>
      <c r="C19" s="1" t="s">
        <v>789</v>
      </c>
      <c r="D19" s="1" t="s">
        <v>789</v>
      </c>
      <c r="E19" s="1" t="s">
        <v>789</v>
      </c>
      <c r="F19" s="1" t="s">
        <v>789</v>
      </c>
      <c r="G19" s="1" t="s">
        <v>789</v>
      </c>
      <c r="H19" s="1" t="s">
        <v>789</v>
      </c>
      <c r="I19" s="1" t="s">
        <v>789</v>
      </c>
      <c r="J19" s="1" t="s">
        <v>789</v>
      </c>
      <c r="K19" s="1" t="s">
        <v>789</v>
      </c>
      <c r="L19" s="1" t="s">
        <v>789</v>
      </c>
      <c r="M19" s="1" t="s">
        <v>789</v>
      </c>
      <c r="N19" s="1" t="s">
        <v>789</v>
      </c>
      <c r="O19" s="1" t="s">
        <v>789</v>
      </c>
      <c r="P19" s="502"/>
      <c r="Q19" s="502"/>
    </row>
    <row r="20" spans="1:17">
      <c r="A20" s="1" t="s">
        <v>1225</v>
      </c>
      <c r="B20" s="275" t="s">
        <v>881</v>
      </c>
      <c r="C20" s="1" t="s">
        <v>789</v>
      </c>
      <c r="D20" s="1" t="s">
        <v>789</v>
      </c>
      <c r="E20" s="1" t="s">
        <v>789</v>
      </c>
      <c r="F20" s="1" t="s">
        <v>789</v>
      </c>
      <c r="G20" s="1" t="s">
        <v>789</v>
      </c>
      <c r="H20" s="1" t="s">
        <v>789</v>
      </c>
      <c r="I20" s="1" t="s">
        <v>789</v>
      </c>
      <c r="J20" s="1" t="s">
        <v>789</v>
      </c>
      <c r="K20" s="1" t="s">
        <v>789</v>
      </c>
      <c r="L20" s="1" t="s">
        <v>789</v>
      </c>
      <c r="M20" s="1" t="s">
        <v>789</v>
      </c>
      <c r="N20" s="1" t="s">
        <v>789</v>
      </c>
      <c r="O20" s="1" t="s">
        <v>789</v>
      </c>
      <c r="P20" s="502"/>
      <c r="Q20" s="502"/>
    </row>
    <row r="21" spans="1:17">
      <c r="A21" s="1" t="s">
        <v>1225</v>
      </c>
      <c r="B21" s="275" t="s">
        <v>882</v>
      </c>
      <c r="C21" s="1" t="s">
        <v>1568</v>
      </c>
      <c r="D21" s="1" t="s">
        <v>817</v>
      </c>
      <c r="E21" s="1" t="s">
        <v>1560</v>
      </c>
      <c r="F21" s="1" t="s">
        <v>796</v>
      </c>
      <c r="G21" s="1" t="s">
        <v>796</v>
      </c>
      <c r="H21" s="1" t="s">
        <v>796</v>
      </c>
      <c r="I21" s="1" t="s">
        <v>796</v>
      </c>
      <c r="J21" s="1" t="s">
        <v>796</v>
      </c>
      <c r="K21" s="1" t="s">
        <v>788</v>
      </c>
      <c r="L21" s="1" t="s">
        <v>789</v>
      </c>
      <c r="M21" s="1" t="s">
        <v>789</v>
      </c>
      <c r="N21" s="1" t="s">
        <v>789</v>
      </c>
      <c r="O21" s="1" t="s">
        <v>860</v>
      </c>
      <c r="P21" s="502"/>
      <c r="Q21" s="502"/>
    </row>
    <row r="22" spans="1:17">
      <c r="A22" s="1" t="s">
        <v>1225</v>
      </c>
      <c r="B22" s="275" t="s">
        <v>883</v>
      </c>
      <c r="C22" s="1" t="s">
        <v>789</v>
      </c>
      <c r="D22" s="1" t="s">
        <v>789</v>
      </c>
      <c r="E22" s="1" t="s">
        <v>789</v>
      </c>
      <c r="F22" s="1" t="s">
        <v>789</v>
      </c>
      <c r="G22" s="1" t="s">
        <v>789</v>
      </c>
      <c r="H22" s="1" t="s">
        <v>789</v>
      </c>
      <c r="I22" s="1" t="s">
        <v>789</v>
      </c>
      <c r="J22" s="1" t="s">
        <v>789</v>
      </c>
      <c r="K22" s="1" t="s">
        <v>789</v>
      </c>
      <c r="L22" s="1" t="s">
        <v>789</v>
      </c>
      <c r="M22" s="1" t="s">
        <v>789</v>
      </c>
      <c r="N22" s="1" t="s">
        <v>789</v>
      </c>
      <c r="O22" s="1" t="s">
        <v>789</v>
      </c>
      <c r="P22" s="502"/>
    </row>
    <row r="23" spans="1:17">
      <c r="A23" s="1" t="s">
        <v>1225</v>
      </c>
      <c r="B23" s="275" t="s">
        <v>884</v>
      </c>
      <c r="C23" s="1" t="s">
        <v>886</v>
      </c>
      <c r="D23" s="1" t="s">
        <v>886</v>
      </c>
      <c r="E23" s="1" t="s">
        <v>841</v>
      </c>
      <c r="F23" s="1" t="s">
        <v>895</v>
      </c>
      <c r="G23" s="1" t="s">
        <v>841</v>
      </c>
      <c r="H23" s="1" t="s">
        <v>922</v>
      </c>
      <c r="I23" s="1" t="s">
        <v>1569</v>
      </c>
      <c r="J23" s="1" t="s">
        <v>1570</v>
      </c>
      <c r="K23" s="1" t="s">
        <v>887</v>
      </c>
      <c r="L23" s="1" t="s">
        <v>789</v>
      </c>
      <c r="M23" s="1" t="s">
        <v>789</v>
      </c>
      <c r="N23" s="1" t="s">
        <v>789</v>
      </c>
      <c r="O23" s="1" t="s">
        <v>890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1199</v>
      </c>
      <c r="B1" s="1" t="s">
        <v>361</v>
      </c>
      <c r="C1" s="1" t="s">
        <v>901</v>
      </c>
      <c r="D1" s="1" t="s">
        <v>1200</v>
      </c>
      <c r="E1" s="1" t="s">
        <v>1201</v>
      </c>
      <c r="F1" s="1" t="s">
        <v>1202</v>
      </c>
      <c r="G1" s="1" t="s">
        <v>1203</v>
      </c>
      <c r="H1" s="1" t="s">
        <v>1204</v>
      </c>
      <c r="I1" s="1" t="s">
        <v>1205</v>
      </c>
      <c r="J1" s="1" t="s">
        <v>1206</v>
      </c>
      <c r="K1" s="1" t="s">
        <v>1207</v>
      </c>
      <c r="L1" s="1" t="s">
        <v>1208</v>
      </c>
      <c r="M1" s="1" t="s">
        <v>1209</v>
      </c>
      <c r="N1" s="1" t="s">
        <v>1210</v>
      </c>
      <c r="O1" s="1" t="s">
        <v>1211</v>
      </c>
      <c r="P1" s="1" t="s">
        <v>785</v>
      </c>
    </row>
    <row r="2" spans="1:17">
      <c r="A2" s="1" t="s">
        <v>1225</v>
      </c>
      <c r="B2" s="275" t="s">
        <v>364</v>
      </c>
      <c r="C2" s="1" t="s">
        <v>236</v>
      </c>
      <c r="D2" s="1" t="s">
        <v>797</v>
      </c>
      <c r="E2" s="1" t="s">
        <v>787</v>
      </c>
      <c r="F2" s="1" t="s">
        <v>842</v>
      </c>
      <c r="G2" s="1" t="s">
        <v>803</v>
      </c>
      <c r="H2" s="1" t="s">
        <v>800</v>
      </c>
      <c r="I2" s="1" t="s">
        <v>797</v>
      </c>
      <c r="J2" s="1" t="s">
        <v>787</v>
      </c>
      <c r="K2" s="1" t="s">
        <v>790</v>
      </c>
      <c r="L2" s="1" t="s">
        <v>854</v>
      </c>
      <c r="M2" s="1" t="s">
        <v>789</v>
      </c>
      <c r="N2" s="1" t="s">
        <v>789</v>
      </c>
      <c r="O2" s="1" t="s">
        <v>789</v>
      </c>
      <c r="P2" s="1" t="s">
        <v>797</v>
      </c>
      <c r="Q2" s="502">
        <v>43045.229883090302</v>
      </c>
    </row>
    <row r="3" spans="1:17">
      <c r="A3" s="1" t="s">
        <v>1225</v>
      </c>
      <c r="B3" s="275" t="s">
        <v>364</v>
      </c>
      <c r="C3" s="1" t="s">
        <v>237</v>
      </c>
      <c r="D3" s="1" t="s">
        <v>798</v>
      </c>
      <c r="E3" s="1" t="s">
        <v>798</v>
      </c>
      <c r="F3" s="1" t="s">
        <v>842</v>
      </c>
      <c r="G3" s="1" t="s">
        <v>803</v>
      </c>
      <c r="H3" s="1" t="s">
        <v>792</v>
      </c>
      <c r="I3" s="1" t="s">
        <v>787</v>
      </c>
      <c r="J3" s="1" t="s">
        <v>787</v>
      </c>
      <c r="K3" s="1" t="s">
        <v>795</v>
      </c>
      <c r="L3" s="1" t="s">
        <v>788</v>
      </c>
      <c r="M3" s="1" t="s">
        <v>789</v>
      </c>
      <c r="N3" s="1" t="s">
        <v>789</v>
      </c>
      <c r="O3" s="1" t="s">
        <v>789</v>
      </c>
      <c r="P3" s="1" t="s">
        <v>792</v>
      </c>
      <c r="Q3" s="502">
        <v>43045.229883090302</v>
      </c>
    </row>
    <row r="4" spans="1:17">
      <c r="A4" s="1" t="s">
        <v>1225</v>
      </c>
      <c r="B4" s="275" t="s">
        <v>364</v>
      </c>
      <c r="C4" s="1" t="s">
        <v>902</v>
      </c>
      <c r="D4" s="1" t="s">
        <v>808</v>
      </c>
      <c r="E4" s="1" t="s">
        <v>808</v>
      </c>
      <c r="F4" s="1" t="s">
        <v>831</v>
      </c>
      <c r="G4" s="1" t="s">
        <v>831</v>
      </c>
      <c r="H4" s="1" t="s">
        <v>903</v>
      </c>
      <c r="I4" s="1" t="s">
        <v>801</v>
      </c>
      <c r="J4" s="1" t="s">
        <v>808</v>
      </c>
      <c r="K4" s="1" t="s">
        <v>801</v>
      </c>
      <c r="L4" s="1" t="s">
        <v>903</v>
      </c>
      <c r="M4" s="1" t="s">
        <v>789</v>
      </c>
      <c r="N4" s="1" t="s">
        <v>789</v>
      </c>
      <c r="O4" s="1" t="s">
        <v>789</v>
      </c>
      <c r="P4" s="1" t="s">
        <v>808</v>
      </c>
      <c r="Q4" s="502">
        <v>43045.229883090302</v>
      </c>
    </row>
    <row r="5" spans="1:17">
      <c r="A5" s="1" t="s">
        <v>1225</v>
      </c>
      <c r="B5" s="275" t="s">
        <v>364</v>
      </c>
      <c r="C5" s="1" t="s">
        <v>904</v>
      </c>
      <c r="D5" s="1" t="s">
        <v>795</v>
      </c>
      <c r="E5" s="1" t="s">
        <v>792</v>
      </c>
      <c r="F5" s="1" t="s">
        <v>803</v>
      </c>
      <c r="G5" s="1" t="s">
        <v>803</v>
      </c>
      <c r="H5" s="1" t="s">
        <v>800</v>
      </c>
      <c r="I5" s="1" t="s">
        <v>797</v>
      </c>
      <c r="J5" s="1" t="s">
        <v>788</v>
      </c>
      <c r="K5" s="1" t="s">
        <v>797</v>
      </c>
      <c r="L5" s="1" t="s">
        <v>786</v>
      </c>
      <c r="M5" s="1" t="s">
        <v>789</v>
      </c>
      <c r="N5" s="1" t="s">
        <v>789</v>
      </c>
      <c r="O5" s="1" t="s">
        <v>789</v>
      </c>
      <c r="P5" s="1" t="s">
        <v>795</v>
      </c>
      <c r="Q5" s="502">
        <v>43045.229883090302</v>
      </c>
    </row>
    <row r="6" spans="1:17">
      <c r="A6" s="1" t="s">
        <v>1225</v>
      </c>
      <c r="B6" s="275" t="s">
        <v>398</v>
      </c>
      <c r="C6" s="1" t="s">
        <v>904</v>
      </c>
      <c r="D6" s="1" t="s">
        <v>792</v>
      </c>
      <c r="E6" s="1" t="s">
        <v>803</v>
      </c>
      <c r="F6" s="1" t="s">
        <v>833</v>
      </c>
      <c r="G6" s="1" t="s">
        <v>903</v>
      </c>
      <c r="H6" s="1" t="s">
        <v>801</v>
      </c>
      <c r="I6" s="1" t="s">
        <v>874</v>
      </c>
      <c r="J6" s="1" t="s">
        <v>874</v>
      </c>
      <c r="K6" s="1" t="s">
        <v>837</v>
      </c>
      <c r="L6" s="1" t="s">
        <v>792</v>
      </c>
      <c r="M6" s="1" t="s">
        <v>789</v>
      </c>
      <c r="N6" s="1" t="s">
        <v>789</v>
      </c>
      <c r="O6" s="1" t="s">
        <v>789</v>
      </c>
      <c r="P6" s="1" t="s">
        <v>837</v>
      </c>
      <c r="Q6" s="502">
        <v>43045.229883090302</v>
      </c>
    </row>
    <row r="7" spans="1:17">
      <c r="A7" s="1" t="s">
        <v>1225</v>
      </c>
      <c r="B7" s="275" t="s">
        <v>426</v>
      </c>
      <c r="C7" s="1" t="s">
        <v>904</v>
      </c>
      <c r="D7" s="1" t="s">
        <v>903</v>
      </c>
      <c r="E7" s="1" t="s">
        <v>809</v>
      </c>
      <c r="F7" s="1" t="s">
        <v>809</v>
      </c>
      <c r="G7" s="1" t="s">
        <v>809</v>
      </c>
      <c r="H7" s="1" t="s">
        <v>809</v>
      </c>
      <c r="I7" s="1" t="s">
        <v>809</v>
      </c>
      <c r="J7" s="1" t="s">
        <v>796</v>
      </c>
      <c r="K7" s="1" t="s">
        <v>809</v>
      </c>
      <c r="L7" s="1" t="s">
        <v>809</v>
      </c>
      <c r="M7" s="1" t="s">
        <v>789</v>
      </c>
      <c r="N7" s="1" t="s">
        <v>789</v>
      </c>
      <c r="O7" s="1" t="s">
        <v>789</v>
      </c>
      <c r="P7" s="1" t="s">
        <v>807</v>
      </c>
      <c r="Q7" s="502">
        <v>43045.229883090302</v>
      </c>
    </row>
    <row r="8" spans="1:17">
      <c r="A8" s="1" t="s">
        <v>1225</v>
      </c>
      <c r="B8" s="275" t="s">
        <v>452</v>
      </c>
      <c r="C8" s="1" t="s">
        <v>904</v>
      </c>
      <c r="D8" s="1" t="s">
        <v>1571</v>
      </c>
      <c r="E8" s="1" t="s">
        <v>898</v>
      </c>
      <c r="F8" s="1" t="s">
        <v>1564</v>
      </c>
      <c r="G8" s="1" t="s">
        <v>1572</v>
      </c>
      <c r="H8" s="1" t="s">
        <v>924</v>
      </c>
      <c r="I8" s="1" t="s">
        <v>892</v>
      </c>
      <c r="J8" s="1" t="s">
        <v>1558</v>
      </c>
      <c r="K8" s="1" t="s">
        <v>1573</v>
      </c>
      <c r="L8" s="1" t="s">
        <v>1574</v>
      </c>
      <c r="M8" s="1" t="s">
        <v>789</v>
      </c>
      <c r="N8" s="1" t="s">
        <v>789</v>
      </c>
      <c r="O8" s="1" t="s">
        <v>789</v>
      </c>
      <c r="P8" s="1" t="s">
        <v>1575</v>
      </c>
      <c r="Q8" s="502">
        <v>43045.229883090302</v>
      </c>
    </row>
    <row r="9" spans="1:17">
      <c r="A9" s="1" t="s">
        <v>1225</v>
      </c>
      <c r="B9" s="275" t="s">
        <v>480</v>
      </c>
      <c r="C9" s="1" t="s">
        <v>904</v>
      </c>
      <c r="D9" s="1" t="s">
        <v>806</v>
      </c>
      <c r="E9" s="1" t="s">
        <v>903</v>
      </c>
      <c r="F9" s="1" t="s">
        <v>805</v>
      </c>
      <c r="G9" s="1" t="s">
        <v>808</v>
      </c>
      <c r="H9" s="1" t="s">
        <v>832</v>
      </c>
      <c r="I9" s="1" t="s">
        <v>831</v>
      </c>
      <c r="J9" s="1" t="s">
        <v>806</v>
      </c>
      <c r="K9" s="1" t="s">
        <v>831</v>
      </c>
      <c r="L9" s="1" t="s">
        <v>831</v>
      </c>
      <c r="M9" s="1" t="s">
        <v>789</v>
      </c>
      <c r="N9" s="1" t="s">
        <v>789</v>
      </c>
      <c r="O9" s="1" t="s">
        <v>789</v>
      </c>
      <c r="P9" s="1" t="s">
        <v>805</v>
      </c>
      <c r="Q9" s="502">
        <v>43045.229883090302</v>
      </c>
    </row>
    <row r="10" spans="1:17">
      <c r="A10" s="1" t="s">
        <v>1225</v>
      </c>
      <c r="B10" s="275" t="s">
        <v>510</v>
      </c>
      <c r="C10" s="1" t="s">
        <v>904</v>
      </c>
      <c r="D10" s="1" t="s">
        <v>789</v>
      </c>
      <c r="E10" s="1" t="s">
        <v>789</v>
      </c>
      <c r="F10" s="1" t="s">
        <v>789</v>
      </c>
      <c r="G10" s="1" t="s">
        <v>789</v>
      </c>
      <c r="H10" s="1" t="s">
        <v>789</v>
      </c>
      <c r="I10" s="1" t="s">
        <v>789</v>
      </c>
      <c r="J10" s="1" t="s">
        <v>789</v>
      </c>
      <c r="K10" s="1" t="s">
        <v>789</v>
      </c>
      <c r="L10" s="1" t="s">
        <v>789</v>
      </c>
      <c r="M10" s="1" t="s">
        <v>789</v>
      </c>
      <c r="N10" s="1" t="s">
        <v>789</v>
      </c>
      <c r="O10" s="1" t="s">
        <v>789</v>
      </c>
      <c r="P10" s="1" t="s">
        <v>789</v>
      </c>
      <c r="Q10" s="502">
        <v>43045.229883090302</v>
      </c>
    </row>
    <row r="11" spans="1:17">
      <c r="A11" s="1" t="s">
        <v>1225</v>
      </c>
      <c r="B11" s="275" t="s">
        <v>512</v>
      </c>
      <c r="C11" s="1" t="s">
        <v>904</v>
      </c>
      <c r="D11" s="1" t="s">
        <v>788</v>
      </c>
      <c r="E11" s="1" t="s">
        <v>800</v>
      </c>
      <c r="F11" s="1" t="s">
        <v>837</v>
      </c>
      <c r="G11" s="1" t="s">
        <v>874</v>
      </c>
      <c r="H11" s="1" t="s">
        <v>788</v>
      </c>
      <c r="I11" s="1" t="s">
        <v>797</v>
      </c>
      <c r="J11" s="1" t="s">
        <v>791</v>
      </c>
      <c r="K11" s="1" t="s">
        <v>842</v>
      </c>
      <c r="L11" s="1" t="s">
        <v>786</v>
      </c>
      <c r="M11" s="1" t="s">
        <v>789</v>
      </c>
      <c r="N11" s="1" t="s">
        <v>789</v>
      </c>
      <c r="O11" s="1" t="s">
        <v>789</v>
      </c>
      <c r="P11" s="1" t="s">
        <v>795</v>
      </c>
      <c r="Q11" s="502">
        <v>43045.229883090302</v>
      </c>
    </row>
    <row r="12" spans="1:17">
      <c r="A12" s="1" t="s">
        <v>1225</v>
      </c>
      <c r="B12" s="275" t="s">
        <v>855</v>
      </c>
      <c r="C12" s="1" t="s">
        <v>904</v>
      </c>
      <c r="D12" s="1" t="s">
        <v>895</v>
      </c>
      <c r="E12" s="1" t="s">
        <v>805</v>
      </c>
      <c r="F12" s="1" t="s">
        <v>796</v>
      </c>
      <c r="G12" s="1" t="s">
        <v>796</v>
      </c>
      <c r="H12" s="1" t="s">
        <v>832</v>
      </c>
      <c r="I12" s="1" t="s">
        <v>796</v>
      </c>
      <c r="J12" s="1" t="s">
        <v>807</v>
      </c>
      <c r="K12" s="1" t="s">
        <v>796</v>
      </c>
      <c r="L12" s="1" t="s">
        <v>796</v>
      </c>
      <c r="M12" s="1" t="s">
        <v>789</v>
      </c>
      <c r="N12" s="1" t="s">
        <v>789</v>
      </c>
      <c r="O12" s="1" t="s">
        <v>789</v>
      </c>
      <c r="P12" s="1" t="s">
        <v>831</v>
      </c>
      <c r="Q12" s="502">
        <v>43045.229883090302</v>
      </c>
    </row>
    <row r="13" spans="1:17">
      <c r="A13" s="1" t="s">
        <v>1225</v>
      </c>
      <c r="B13" s="275" t="s">
        <v>856</v>
      </c>
      <c r="C13" s="1" t="s">
        <v>904</v>
      </c>
      <c r="D13" s="1" t="s">
        <v>885</v>
      </c>
      <c r="E13" s="1" t="s">
        <v>1570</v>
      </c>
      <c r="F13" s="1" t="s">
        <v>911</v>
      </c>
      <c r="G13" s="1" t="s">
        <v>874</v>
      </c>
      <c r="H13" s="1" t="s">
        <v>800</v>
      </c>
      <c r="I13" s="1" t="s">
        <v>792</v>
      </c>
      <c r="J13" s="1" t="s">
        <v>790</v>
      </c>
      <c r="K13" s="1" t="s">
        <v>837</v>
      </c>
      <c r="L13" s="1" t="s">
        <v>842</v>
      </c>
      <c r="M13" s="1" t="s">
        <v>789</v>
      </c>
      <c r="N13" s="1" t="s">
        <v>789</v>
      </c>
      <c r="O13" s="1" t="s">
        <v>789</v>
      </c>
      <c r="P13" s="1" t="s">
        <v>905</v>
      </c>
      <c r="Q13" s="502">
        <v>43045.229883090302</v>
      </c>
    </row>
    <row r="14" spans="1:17">
      <c r="A14" s="1" t="s">
        <v>1225</v>
      </c>
      <c r="B14" s="275" t="s">
        <v>859</v>
      </c>
      <c r="C14" s="1" t="s">
        <v>904</v>
      </c>
      <c r="D14" s="1" t="s">
        <v>905</v>
      </c>
      <c r="E14" s="1" t="s">
        <v>1561</v>
      </c>
      <c r="F14" s="1" t="s">
        <v>1561</v>
      </c>
      <c r="G14" s="1" t="s">
        <v>911</v>
      </c>
      <c r="H14" s="1" t="s">
        <v>787</v>
      </c>
      <c r="I14" s="1" t="s">
        <v>799</v>
      </c>
      <c r="J14" s="1" t="s">
        <v>793</v>
      </c>
      <c r="K14" s="1" t="s">
        <v>793</v>
      </c>
      <c r="L14" s="1" t="s">
        <v>839</v>
      </c>
      <c r="M14" s="1" t="s">
        <v>789</v>
      </c>
      <c r="N14" s="1" t="s">
        <v>789</v>
      </c>
      <c r="O14" s="1" t="s">
        <v>789</v>
      </c>
      <c r="P14" s="1" t="s">
        <v>911</v>
      </c>
      <c r="Q14" s="502">
        <v>43045.229883090302</v>
      </c>
    </row>
    <row r="15" spans="1:17">
      <c r="A15" s="1" t="s">
        <v>1225</v>
      </c>
      <c r="B15" s="275" t="s">
        <v>868</v>
      </c>
      <c r="C15" s="1" t="s">
        <v>904</v>
      </c>
      <c r="D15" s="1" t="s">
        <v>1576</v>
      </c>
      <c r="E15" s="1" t="s">
        <v>1575</v>
      </c>
      <c r="F15" s="1" t="s">
        <v>835</v>
      </c>
      <c r="G15" s="1" t="s">
        <v>804</v>
      </c>
      <c r="H15" s="1" t="s">
        <v>794</v>
      </c>
      <c r="I15" s="1" t="s">
        <v>877</v>
      </c>
      <c r="J15" s="1" t="s">
        <v>797</v>
      </c>
      <c r="K15" s="1" t="s">
        <v>898</v>
      </c>
      <c r="L15" s="1" t="s">
        <v>1564</v>
      </c>
      <c r="M15" s="1" t="s">
        <v>789</v>
      </c>
      <c r="N15" s="1" t="s">
        <v>789</v>
      </c>
      <c r="O15" s="1" t="s">
        <v>789</v>
      </c>
      <c r="P15" s="1" t="s">
        <v>889</v>
      </c>
      <c r="Q15" s="502">
        <v>43045.229883090302</v>
      </c>
    </row>
    <row r="16" spans="1:17">
      <c r="A16" s="1" t="s">
        <v>1225</v>
      </c>
      <c r="B16" s="275" t="s">
        <v>875</v>
      </c>
      <c r="C16" s="1" t="s">
        <v>904</v>
      </c>
      <c r="D16" s="1" t="s">
        <v>789</v>
      </c>
      <c r="E16" s="1" t="s">
        <v>789</v>
      </c>
      <c r="F16" s="1" t="s">
        <v>789</v>
      </c>
      <c r="G16" s="1" t="s">
        <v>789</v>
      </c>
      <c r="H16" s="1" t="s">
        <v>789</v>
      </c>
      <c r="I16" s="1" t="s">
        <v>789</v>
      </c>
      <c r="J16" s="1" t="s">
        <v>789</v>
      </c>
      <c r="K16" s="1" t="s">
        <v>789</v>
      </c>
      <c r="L16" s="1" t="s">
        <v>789</v>
      </c>
      <c r="M16" s="1" t="s">
        <v>789</v>
      </c>
      <c r="N16" s="1" t="s">
        <v>789</v>
      </c>
      <c r="O16" s="1" t="s">
        <v>789</v>
      </c>
      <c r="P16" s="1" t="s">
        <v>789</v>
      </c>
      <c r="Q16" s="502">
        <v>43045.229883090302</v>
      </c>
    </row>
    <row r="17" spans="1:17">
      <c r="A17" s="1" t="s">
        <v>1225</v>
      </c>
      <c r="B17" s="275" t="s">
        <v>914</v>
      </c>
      <c r="C17" s="1" t="s">
        <v>904</v>
      </c>
      <c r="D17" s="1" t="s">
        <v>789</v>
      </c>
      <c r="E17" s="1" t="s">
        <v>789</v>
      </c>
      <c r="F17" s="1" t="s">
        <v>789</v>
      </c>
      <c r="G17" s="1" t="s">
        <v>789</v>
      </c>
      <c r="H17" s="1" t="s">
        <v>789</v>
      </c>
      <c r="I17" s="1" t="s">
        <v>789</v>
      </c>
      <c r="J17" s="1" t="s">
        <v>789</v>
      </c>
      <c r="K17" s="1" t="s">
        <v>789</v>
      </c>
      <c r="L17" s="1" t="s">
        <v>789</v>
      </c>
      <c r="M17" s="1" t="s">
        <v>789</v>
      </c>
      <c r="N17" s="1" t="s">
        <v>789</v>
      </c>
      <c r="O17" s="1" t="s">
        <v>789</v>
      </c>
      <c r="P17" s="1" t="s">
        <v>789</v>
      </c>
      <c r="Q17" s="502">
        <v>43045.229883090302</v>
      </c>
    </row>
    <row r="18" spans="1:17">
      <c r="A18" s="1" t="s">
        <v>1225</v>
      </c>
      <c r="B18" s="275" t="s">
        <v>915</v>
      </c>
      <c r="C18" s="1" t="s">
        <v>904</v>
      </c>
      <c r="D18" s="1" t="s">
        <v>789</v>
      </c>
      <c r="E18" s="1" t="s">
        <v>789</v>
      </c>
      <c r="F18" s="1" t="s">
        <v>789</v>
      </c>
      <c r="G18" s="1" t="s">
        <v>789</v>
      </c>
      <c r="H18" s="1" t="s">
        <v>789</v>
      </c>
      <c r="I18" s="1" t="s">
        <v>789</v>
      </c>
      <c r="J18" s="1" t="s">
        <v>789</v>
      </c>
      <c r="K18" s="1" t="s">
        <v>789</v>
      </c>
      <c r="L18" s="1" t="s">
        <v>789</v>
      </c>
      <c r="M18" s="1" t="s">
        <v>789</v>
      </c>
      <c r="N18" s="1" t="s">
        <v>789</v>
      </c>
      <c r="O18" s="1" t="s">
        <v>789</v>
      </c>
      <c r="P18" s="1" t="s">
        <v>789</v>
      </c>
      <c r="Q18" s="502">
        <v>43045.229883090302</v>
      </c>
    </row>
    <row r="19" spans="1:17">
      <c r="A19" s="1" t="s">
        <v>1225</v>
      </c>
      <c r="B19" s="275" t="s">
        <v>916</v>
      </c>
      <c r="C19" s="1" t="s">
        <v>904</v>
      </c>
      <c r="D19" s="1" t="s">
        <v>789</v>
      </c>
      <c r="E19" s="1" t="s">
        <v>789</v>
      </c>
      <c r="F19" s="1" t="s">
        <v>789</v>
      </c>
      <c r="G19" s="1" t="s">
        <v>789</v>
      </c>
      <c r="H19" s="1" t="s">
        <v>789</v>
      </c>
      <c r="I19" s="1" t="s">
        <v>789</v>
      </c>
      <c r="J19" s="1" t="s">
        <v>789</v>
      </c>
      <c r="K19" s="1" t="s">
        <v>789</v>
      </c>
      <c r="L19" s="1" t="s">
        <v>789</v>
      </c>
      <c r="M19" s="1" t="s">
        <v>789</v>
      </c>
      <c r="N19" s="1" t="s">
        <v>789</v>
      </c>
      <c r="O19" s="1" t="s">
        <v>789</v>
      </c>
      <c r="P19" s="1" t="s">
        <v>789</v>
      </c>
      <c r="Q19" s="502">
        <v>43045.229883090302</v>
      </c>
    </row>
    <row r="20" spans="1:17">
      <c r="A20" s="1" t="s">
        <v>1225</v>
      </c>
      <c r="B20" s="275" t="s">
        <v>917</v>
      </c>
      <c r="C20" s="1" t="s">
        <v>904</v>
      </c>
      <c r="D20" s="1" t="s">
        <v>789</v>
      </c>
      <c r="E20" s="1" t="s">
        <v>789</v>
      </c>
      <c r="F20" s="1" t="s">
        <v>789</v>
      </c>
      <c r="G20" s="1" t="s">
        <v>789</v>
      </c>
      <c r="H20" s="1" t="s">
        <v>789</v>
      </c>
      <c r="I20" s="1" t="s">
        <v>789</v>
      </c>
      <c r="J20" s="1" t="s">
        <v>789</v>
      </c>
      <c r="K20" s="1" t="s">
        <v>789</v>
      </c>
      <c r="L20" s="1" t="s">
        <v>789</v>
      </c>
      <c r="M20" s="1" t="s">
        <v>789</v>
      </c>
      <c r="N20" s="1" t="s">
        <v>789</v>
      </c>
      <c r="O20" s="1" t="s">
        <v>789</v>
      </c>
      <c r="P20" s="1" t="s">
        <v>789</v>
      </c>
      <c r="Q20" s="502">
        <v>43045.229883090302</v>
      </c>
    </row>
    <row r="21" spans="1:17">
      <c r="A21" s="1" t="s">
        <v>1225</v>
      </c>
      <c r="B21" s="275" t="s">
        <v>918</v>
      </c>
      <c r="C21" s="1" t="s">
        <v>904</v>
      </c>
      <c r="D21" s="1" t="s">
        <v>789</v>
      </c>
      <c r="E21" s="1" t="s">
        <v>789</v>
      </c>
      <c r="F21" s="1" t="s">
        <v>789</v>
      </c>
      <c r="G21" s="1" t="s">
        <v>789</v>
      </c>
      <c r="H21" s="1" t="s">
        <v>789</v>
      </c>
      <c r="I21" s="1" t="s">
        <v>789</v>
      </c>
      <c r="J21" s="1" t="s">
        <v>789</v>
      </c>
      <c r="K21" s="1" t="s">
        <v>789</v>
      </c>
      <c r="L21" s="1" t="s">
        <v>789</v>
      </c>
      <c r="M21" s="1" t="s">
        <v>789</v>
      </c>
      <c r="N21" s="1" t="s">
        <v>789</v>
      </c>
      <c r="O21" s="1" t="s">
        <v>789</v>
      </c>
      <c r="P21" s="1" t="s">
        <v>789</v>
      </c>
      <c r="Q21" s="502">
        <v>43045.229883090302</v>
      </c>
    </row>
    <row r="22" spans="1:17">
      <c r="A22" s="1" t="s">
        <v>1225</v>
      </c>
      <c r="B22" s="275" t="s">
        <v>919</v>
      </c>
      <c r="C22" s="1" t="s">
        <v>904</v>
      </c>
      <c r="D22" s="1" t="s">
        <v>894</v>
      </c>
      <c r="E22" s="1" t="s">
        <v>913</v>
      </c>
      <c r="F22" s="1" t="s">
        <v>1561</v>
      </c>
      <c r="G22" s="1" t="s">
        <v>861</v>
      </c>
      <c r="H22" s="1" t="s">
        <v>1561</v>
      </c>
      <c r="I22" s="1" t="s">
        <v>865</v>
      </c>
      <c r="J22" s="1" t="s">
        <v>1573</v>
      </c>
      <c r="K22" s="1" t="s">
        <v>823</v>
      </c>
      <c r="L22" s="1" t="s">
        <v>840</v>
      </c>
      <c r="M22" s="1" t="s">
        <v>789</v>
      </c>
      <c r="N22" s="1" t="s">
        <v>789</v>
      </c>
      <c r="O22" s="1" t="s">
        <v>789</v>
      </c>
      <c r="P22" s="1" t="s">
        <v>885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503" t="s">
        <v>1199</v>
      </c>
      <c r="B1" s="503" t="s">
        <v>361</v>
      </c>
      <c r="C1" s="503" t="s">
        <v>1200</v>
      </c>
      <c r="D1" s="503" t="s">
        <v>1201</v>
      </c>
      <c r="E1" s="503" t="s">
        <v>1202</v>
      </c>
      <c r="F1" s="503" t="s">
        <v>1203</v>
      </c>
      <c r="G1" s="503" t="s">
        <v>1204</v>
      </c>
      <c r="H1" s="503" t="s">
        <v>1205</v>
      </c>
      <c r="I1" s="503" t="s">
        <v>1206</v>
      </c>
      <c r="J1" s="503" t="s">
        <v>1207</v>
      </c>
      <c r="K1" s="503" t="s">
        <v>1208</v>
      </c>
      <c r="L1" s="503" t="s">
        <v>1209</v>
      </c>
      <c r="M1" s="503" t="s">
        <v>1210</v>
      </c>
      <c r="N1" s="503" t="s">
        <v>1211</v>
      </c>
      <c r="O1" s="503" t="s">
        <v>1577</v>
      </c>
    </row>
    <row r="2" spans="1:15">
      <c r="A2" s="503" t="s">
        <v>1225</v>
      </c>
      <c r="B2" s="503" t="s">
        <v>364</v>
      </c>
      <c r="C2" s="503" t="s">
        <v>1578</v>
      </c>
      <c r="D2" s="503" t="s">
        <v>1579</v>
      </c>
      <c r="E2" s="503" t="s">
        <v>1580</v>
      </c>
      <c r="F2" s="503" t="s">
        <v>1581</v>
      </c>
      <c r="G2" s="503" t="s">
        <v>1582</v>
      </c>
      <c r="H2" s="503" t="s">
        <v>1583</v>
      </c>
      <c r="I2" s="503" t="s">
        <v>1584</v>
      </c>
      <c r="J2" s="503" t="s">
        <v>1585</v>
      </c>
      <c r="K2" s="503" t="s">
        <v>1586</v>
      </c>
      <c r="L2" s="503" t="s">
        <v>789</v>
      </c>
      <c r="M2" s="503" t="s">
        <v>789</v>
      </c>
      <c r="N2" s="503" t="s">
        <v>789</v>
      </c>
      <c r="O2" s="503" t="s">
        <v>1587</v>
      </c>
    </row>
    <row r="3" spans="1:15">
      <c r="A3" s="503" t="s">
        <v>1225</v>
      </c>
      <c r="B3" s="503" t="s">
        <v>398</v>
      </c>
      <c r="C3" s="503" t="s">
        <v>1588</v>
      </c>
      <c r="D3" s="503" t="s">
        <v>1589</v>
      </c>
      <c r="E3" s="503" t="s">
        <v>1590</v>
      </c>
      <c r="F3" s="503" t="s">
        <v>1591</v>
      </c>
      <c r="G3" s="503" t="s">
        <v>1592</v>
      </c>
      <c r="H3" s="503" t="s">
        <v>1593</v>
      </c>
      <c r="I3" s="503" t="s">
        <v>1594</v>
      </c>
      <c r="J3" s="503" t="s">
        <v>1595</v>
      </c>
      <c r="K3" s="503" t="s">
        <v>1596</v>
      </c>
      <c r="L3" s="503" t="s">
        <v>789</v>
      </c>
      <c r="M3" s="503" t="s">
        <v>789</v>
      </c>
      <c r="N3" s="503" t="s">
        <v>789</v>
      </c>
      <c r="O3" s="503" t="s">
        <v>1597</v>
      </c>
    </row>
    <row r="4" spans="1:15">
      <c r="A4" s="503" t="s">
        <v>1225</v>
      </c>
      <c r="B4" s="503" t="s">
        <v>426</v>
      </c>
      <c r="C4" s="503" t="s">
        <v>1598</v>
      </c>
      <c r="D4" s="503" t="s">
        <v>1599</v>
      </c>
      <c r="E4" s="503" t="s">
        <v>237</v>
      </c>
      <c r="F4" s="503" t="s">
        <v>1599</v>
      </c>
      <c r="G4" s="503" t="s">
        <v>236</v>
      </c>
      <c r="H4" s="503" t="s">
        <v>1600</v>
      </c>
      <c r="I4" s="503" t="s">
        <v>789</v>
      </c>
      <c r="J4" s="503" t="s">
        <v>1600</v>
      </c>
      <c r="K4" s="503" t="s">
        <v>237</v>
      </c>
      <c r="L4" s="503" t="s">
        <v>789</v>
      </c>
      <c r="M4" s="503" t="s">
        <v>789</v>
      </c>
      <c r="N4" s="503" t="s">
        <v>789</v>
      </c>
      <c r="O4" s="503" t="s">
        <v>1601</v>
      </c>
    </row>
    <row r="5" spans="1:15">
      <c r="A5" s="503" t="s">
        <v>1225</v>
      </c>
      <c r="B5" s="503" t="s">
        <v>452</v>
      </c>
      <c r="C5" s="503" t="s">
        <v>1602</v>
      </c>
      <c r="D5" s="503" t="s">
        <v>1603</v>
      </c>
      <c r="E5" s="503" t="s">
        <v>1604</v>
      </c>
      <c r="F5" s="503" t="s">
        <v>1605</v>
      </c>
      <c r="G5" s="503" t="s">
        <v>1606</v>
      </c>
      <c r="H5" s="503" t="s">
        <v>814</v>
      </c>
      <c r="I5" s="503" t="s">
        <v>1562</v>
      </c>
      <c r="J5" s="503" t="s">
        <v>1607</v>
      </c>
      <c r="K5" s="503" t="s">
        <v>1608</v>
      </c>
      <c r="L5" s="503" t="s">
        <v>789</v>
      </c>
      <c r="M5" s="503" t="s">
        <v>789</v>
      </c>
      <c r="N5" s="503" t="s">
        <v>789</v>
      </c>
      <c r="O5" s="503" t="s">
        <v>993</v>
      </c>
    </row>
    <row r="6" spans="1:15">
      <c r="A6" s="503" t="s">
        <v>1225</v>
      </c>
      <c r="B6" s="503" t="s">
        <v>480</v>
      </c>
      <c r="C6" s="503" t="s">
        <v>1609</v>
      </c>
      <c r="D6" s="503" t="s">
        <v>1610</v>
      </c>
      <c r="E6" s="503" t="s">
        <v>1611</v>
      </c>
      <c r="F6" s="503" t="s">
        <v>1612</v>
      </c>
      <c r="G6" s="503" t="s">
        <v>1613</v>
      </c>
      <c r="H6" s="503" t="s">
        <v>1614</v>
      </c>
      <c r="I6" s="503" t="s">
        <v>1615</v>
      </c>
      <c r="J6" s="503" t="s">
        <v>1616</v>
      </c>
      <c r="K6" s="503" t="s">
        <v>1617</v>
      </c>
      <c r="L6" s="503" t="s">
        <v>789</v>
      </c>
      <c r="M6" s="503" t="s">
        <v>789</v>
      </c>
      <c r="N6" s="503" t="s">
        <v>789</v>
      </c>
      <c r="O6" s="503" t="s">
        <v>1618</v>
      </c>
    </row>
    <row r="7" spans="1:15">
      <c r="A7" s="503" t="s">
        <v>1225</v>
      </c>
      <c r="B7" s="503" t="s">
        <v>510</v>
      </c>
      <c r="C7" s="503" t="s">
        <v>789</v>
      </c>
      <c r="D7" s="503" t="s">
        <v>789</v>
      </c>
      <c r="E7" s="503" t="s">
        <v>789</v>
      </c>
      <c r="F7" s="503" t="s">
        <v>789</v>
      </c>
      <c r="G7" s="503" t="s">
        <v>789</v>
      </c>
      <c r="H7" s="503" t="s">
        <v>789</v>
      </c>
      <c r="I7" s="503" t="s">
        <v>789</v>
      </c>
      <c r="J7" s="503" t="s">
        <v>789</v>
      </c>
      <c r="K7" s="503" t="s">
        <v>789</v>
      </c>
      <c r="L7" s="503" t="s">
        <v>789</v>
      </c>
      <c r="M7" s="503" t="s">
        <v>789</v>
      </c>
      <c r="N7" s="503" t="s">
        <v>789</v>
      </c>
      <c r="O7" s="503" t="s">
        <v>789</v>
      </c>
    </row>
    <row r="8" spans="1:15">
      <c r="A8" s="503" t="s">
        <v>1225</v>
      </c>
      <c r="B8" s="503" t="s">
        <v>512</v>
      </c>
      <c r="C8" s="503" t="s">
        <v>1611</v>
      </c>
      <c r="D8" s="503" t="s">
        <v>1619</v>
      </c>
      <c r="E8" s="503" t="s">
        <v>1620</v>
      </c>
      <c r="F8" s="503" t="s">
        <v>1598</v>
      </c>
      <c r="G8" s="503" t="s">
        <v>1621</v>
      </c>
      <c r="H8" s="503" t="s">
        <v>1622</v>
      </c>
      <c r="I8" s="503" t="s">
        <v>1623</v>
      </c>
      <c r="J8" s="503" t="s">
        <v>1624</v>
      </c>
      <c r="K8" s="503" t="s">
        <v>1625</v>
      </c>
      <c r="L8" s="503" t="s">
        <v>789</v>
      </c>
      <c r="M8" s="503" t="s">
        <v>789</v>
      </c>
      <c r="N8" s="503" t="s">
        <v>789</v>
      </c>
      <c r="O8" s="503" t="s">
        <v>1626</v>
      </c>
    </row>
    <row r="9" spans="1:15">
      <c r="A9" s="503" t="s">
        <v>1225</v>
      </c>
      <c r="B9" s="503" t="s">
        <v>844</v>
      </c>
      <c r="C9" s="503" t="s">
        <v>360</v>
      </c>
      <c r="D9" s="503" t="s">
        <v>1627</v>
      </c>
      <c r="E9" s="503" t="s">
        <v>1628</v>
      </c>
      <c r="F9" s="503" t="s">
        <v>236</v>
      </c>
      <c r="G9" s="503" t="s">
        <v>1604</v>
      </c>
      <c r="H9" s="503" t="s">
        <v>821</v>
      </c>
      <c r="I9" s="503" t="s">
        <v>789</v>
      </c>
      <c r="J9" s="503" t="s">
        <v>970</v>
      </c>
      <c r="K9" s="503" t="s">
        <v>1629</v>
      </c>
      <c r="L9" s="503" t="s">
        <v>789</v>
      </c>
      <c r="M9" s="503" t="s">
        <v>789</v>
      </c>
      <c r="N9" s="503" t="s">
        <v>789</v>
      </c>
      <c r="O9" s="503" t="s">
        <v>1630</v>
      </c>
    </row>
    <row r="10" spans="1:15">
      <c r="A10" s="503" t="s">
        <v>1225</v>
      </c>
      <c r="B10" s="503" t="s">
        <v>855</v>
      </c>
      <c r="C10" s="503" t="s">
        <v>1628</v>
      </c>
      <c r="D10" s="503" t="s">
        <v>360</v>
      </c>
      <c r="E10" s="503" t="s">
        <v>789</v>
      </c>
      <c r="F10" s="503" t="s">
        <v>789</v>
      </c>
      <c r="G10" s="503" t="s">
        <v>360</v>
      </c>
      <c r="H10" s="503" t="s">
        <v>789</v>
      </c>
      <c r="I10" s="503" t="s">
        <v>236</v>
      </c>
      <c r="J10" s="503" t="s">
        <v>789</v>
      </c>
      <c r="K10" s="503" t="s">
        <v>789</v>
      </c>
      <c r="L10" s="503" t="s">
        <v>789</v>
      </c>
      <c r="M10" s="503" t="s">
        <v>789</v>
      </c>
      <c r="N10" s="503" t="s">
        <v>789</v>
      </c>
      <c r="O10" s="503" t="s">
        <v>237</v>
      </c>
    </row>
    <row r="11" spans="1:15">
      <c r="A11" s="503" t="s">
        <v>1225</v>
      </c>
      <c r="B11" s="503" t="s">
        <v>856</v>
      </c>
      <c r="C11" s="503" t="s">
        <v>1631</v>
      </c>
      <c r="D11" s="503" t="s">
        <v>1632</v>
      </c>
      <c r="E11" s="503" t="s">
        <v>908</v>
      </c>
      <c r="F11" s="503" t="s">
        <v>1633</v>
      </c>
      <c r="G11" s="503" t="s">
        <v>1634</v>
      </c>
      <c r="H11" s="503" t="s">
        <v>1635</v>
      </c>
      <c r="I11" s="503" t="s">
        <v>1636</v>
      </c>
      <c r="J11" s="503" t="s">
        <v>1632</v>
      </c>
      <c r="K11" s="503" t="s">
        <v>1601</v>
      </c>
      <c r="L11" s="503" t="s">
        <v>789</v>
      </c>
      <c r="M11" s="503" t="s">
        <v>789</v>
      </c>
      <c r="N11" s="503" t="s">
        <v>789</v>
      </c>
      <c r="O11" s="503" t="s">
        <v>1633</v>
      </c>
    </row>
    <row r="12" spans="1:15">
      <c r="A12" s="503" t="s">
        <v>1225</v>
      </c>
      <c r="B12" s="503" t="s">
        <v>859</v>
      </c>
      <c r="C12" s="503" t="s">
        <v>1637</v>
      </c>
      <c r="D12" s="503" t="s">
        <v>1638</v>
      </c>
      <c r="E12" s="503" t="s">
        <v>1639</v>
      </c>
      <c r="F12" s="503" t="s">
        <v>1640</v>
      </c>
      <c r="G12" s="503" t="s">
        <v>1641</v>
      </c>
      <c r="H12" s="503" t="s">
        <v>1642</v>
      </c>
      <c r="I12" s="503" t="s">
        <v>1643</v>
      </c>
      <c r="J12" s="503" t="s">
        <v>1644</v>
      </c>
      <c r="K12" s="503" t="s">
        <v>1645</v>
      </c>
      <c r="L12" s="503" t="s">
        <v>789</v>
      </c>
      <c r="M12" s="503" t="s">
        <v>789</v>
      </c>
      <c r="N12" s="503" t="s">
        <v>789</v>
      </c>
      <c r="O12" s="503" t="s">
        <v>1646</v>
      </c>
    </row>
    <row r="13" spans="1:15">
      <c r="A13" s="503" t="s">
        <v>1225</v>
      </c>
      <c r="B13" s="503" t="s">
        <v>868</v>
      </c>
      <c r="C13" s="503" t="s">
        <v>1647</v>
      </c>
      <c r="D13" s="503" t="s">
        <v>1648</v>
      </c>
      <c r="E13" s="503" t="s">
        <v>890</v>
      </c>
      <c r="F13" s="503" t="s">
        <v>1649</v>
      </c>
      <c r="G13" s="503" t="s">
        <v>1650</v>
      </c>
      <c r="H13" s="503" t="s">
        <v>1651</v>
      </c>
      <c r="I13" s="503" t="s">
        <v>1635</v>
      </c>
      <c r="J13" s="503" t="s">
        <v>894</v>
      </c>
      <c r="K13" s="503" t="s">
        <v>1652</v>
      </c>
      <c r="L13" s="503" t="s">
        <v>789</v>
      </c>
      <c r="M13" s="503" t="s">
        <v>789</v>
      </c>
      <c r="N13" s="503" t="s">
        <v>789</v>
      </c>
      <c r="O13" s="503" t="s">
        <v>833</v>
      </c>
    </row>
    <row r="14" spans="1:15">
      <c r="A14" s="503" t="s">
        <v>1225</v>
      </c>
      <c r="B14" s="503" t="s">
        <v>875</v>
      </c>
      <c r="C14" s="503" t="s">
        <v>789</v>
      </c>
      <c r="D14" s="503" t="s">
        <v>237</v>
      </c>
      <c r="E14" s="503" t="s">
        <v>789</v>
      </c>
      <c r="F14" s="503" t="s">
        <v>236</v>
      </c>
      <c r="G14" s="503" t="s">
        <v>789</v>
      </c>
      <c r="H14" s="503" t="s">
        <v>236</v>
      </c>
      <c r="I14" s="503" t="s">
        <v>236</v>
      </c>
      <c r="J14" s="503" t="s">
        <v>789</v>
      </c>
      <c r="K14" s="503" t="s">
        <v>789</v>
      </c>
      <c r="L14" s="503" t="s">
        <v>789</v>
      </c>
      <c r="M14" s="503" t="s">
        <v>789</v>
      </c>
      <c r="N14" s="503" t="s">
        <v>789</v>
      </c>
      <c r="O14" s="503" t="s">
        <v>236</v>
      </c>
    </row>
    <row r="15" spans="1:15">
      <c r="A15" s="503" t="s">
        <v>1225</v>
      </c>
      <c r="B15" s="503" t="s">
        <v>914</v>
      </c>
      <c r="C15" s="503" t="s">
        <v>789</v>
      </c>
      <c r="D15" s="503" t="s">
        <v>789</v>
      </c>
      <c r="E15" s="503" t="s">
        <v>789</v>
      </c>
      <c r="F15" s="503" t="s">
        <v>789</v>
      </c>
      <c r="G15" s="503" t="s">
        <v>789</v>
      </c>
      <c r="H15" s="503" t="s">
        <v>789</v>
      </c>
      <c r="I15" s="503" t="s">
        <v>789</v>
      </c>
      <c r="J15" s="503" t="s">
        <v>789</v>
      </c>
      <c r="K15" s="503" t="s">
        <v>789</v>
      </c>
      <c r="L15" s="503" t="s">
        <v>789</v>
      </c>
      <c r="M15" s="503" t="s">
        <v>789</v>
      </c>
      <c r="N15" s="503" t="s">
        <v>789</v>
      </c>
      <c r="O15" s="503" t="s">
        <v>789</v>
      </c>
    </row>
    <row r="16" spans="1:15">
      <c r="A16" s="503" t="s">
        <v>1225</v>
      </c>
      <c r="B16" s="503" t="s">
        <v>915</v>
      </c>
      <c r="C16" s="503" t="s">
        <v>789</v>
      </c>
      <c r="D16" s="503" t="s">
        <v>789</v>
      </c>
      <c r="E16" s="503" t="s">
        <v>789</v>
      </c>
      <c r="F16" s="503" t="s">
        <v>789</v>
      </c>
      <c r="G16" s="503" t="s">
        <v>789</v>
      </c>
      <c r="H16" s="503" t="s">
        <v>789</v>
      </c>
      <c r="I16" s="503" t="s">
        <v>789</v>
      </c>
      <c r="J16" s="503" t="s">
        <v>789</v>
      </c>
      <c r="K16" s="503" t="s">
        <v>789</v>
      </c>
      <c r="L16" s="503" t="s">
        <v>789</v>
      </c>
      <c r="M16" s="503" t="s">
        <v>789</v>
      </c>
      <c r="N16" s="503" t="s">
        <v>789</v>
      </c>
      <c r="O16" s="503" t="s">
        <v>789</v>
      </c>
    </row>
    <row r="17" spans="1:15">
      <c r="A17" s="503" t="s">
        <v>1225</v>
      </c>
      <c r="B17" s="503" t="s">
        <v>916</v>
      </c>
      <c r="C17" s="503" t="s">
        <v>789</v>
      </c>
      <c r="D17" s="503" t="s">
        <v>789</v>
      </c>
      <c r="E17" s="503" t="s">
        <v>789</v>
      </c>
      <c r="F17" s="503" t="s">
        <v>789</v>
      </c>
      <c r="G17" s="503" t="s">
        <v>789</v>
      </c>
      <c r="H17" s="503" t="s">
        <v>789</v>
      </c>
      <c r="I17" s="503" t="s">
        <v>789</v>
      </c>
      <c r="J17" s="503" t="s">
        <v>789</v>
      </c>
      <c r="K17" s="503" t="s">
        <v>789</v>
      </c>
      <c r="L17" s="503" t="s">
        <v>789</v>
      </c>
      <c r="M17" s="503" t="s">
        <v>789</v>
      </c>
      <c r="N17" s="503" t="s">
        <v>789</v>
      </c>
      <c r="O17" s="503" t="s">
        <v>789</v>
      </c>
    </row>
    <row r="18" spans="1:15">
      <c r="A18" s="503" t="s">
        <v>1225</v>
      </c>
      <c r="B18" s="503" t="s">
        <v>917</v>
      </c>
      <c r="C18" s="503" t="s">
        <v>789</v>
      </c>
      <c r="D18" s="503" t="s">
        <v>789</v>
      </c>
      <c r="E18" s="503" t="s">
        <v>789</v>
      </c>
      <c r="F18" s="503" t="s">
        <v>789</v>
      </c>
      <c r="G18" s="503" t="s">
        <v>789</v>
      </c>
      <c r="H18" s="503" t="s">
        <v>789</v>
      </c>
      <c r="I18" s="503" t="s">
        <v>789</v>
      </c>
      <c r="J18" s="503" t="s">
        <v>789</v>
      </c>
      <c r="K18" s="503" t="s">
        <v>789</v>
      </c>
      <c r="L18" s="503" t="s">
        <v>789</v>
      </c>
      <c r="M18" s="503" t="s">
        <v>789</v>
      </c>
      <c r="N18" s="503" t="s">
        <v>789</v>
      </c>
      <c r="O18" s="503" t="s">
        <v>789</v>
      </c>
    </row>
    <row r="19" spans="1:15">
      <c r="A19" s="503" t="s">
        <v>1225</v>
      </c>
      <c r="B19" s="503" t="s">
        <v>918</v>
      </c>
      <c r="C19" s="503" t="s">
        <v>789</v>
      </c>
      <c r="D19" s="503" t="s">
        <v>789</v>
      </c>
      <c r="E19" s="503" t="s">
        <v>789</v>
      </c>
      <c r="F19" s="503" t="s">
        <v>789</v>
      </c>
      <c r="G19" s="503" t="s">
        <v>789</v>
      </c>
      <c r="H19" s="503" t="s">
        <v>789</v>
      </c>
      <c r="I19" s="503" t="s">
        <v>789</v>
      </c>
      <c r="J19" s="503" t="s">
        <v>789</v>
      </c>
      <c r="K19" s="503" t="s">
        <v>789</v>
      </c>
      <c r="L19" s="503" t="s">
        <v>789</v>
      </c>
      <c r="M19" s="503" t="s">
        <v>789</v>
      </c>
      <c r="N19" s="503" t="s">
        <v>789</v>
      </c>
      <c r="O19" s="503" t="s">
        <v>789</v>
      </c>
    </row>
    <row r="20" spans="1:15">
      <c r="A20" s="503" t="s">
        <v>1225</v>
      </c>
      <c r="B20" s="503" t="s">
        <v>919</v>
      </c>
      <c r="C20" s="503" t="s">
        <v>1653</v>
      </c>
      <c r="D20" s="503" t="s">
        <v>1654</v>
      </c>
      <c r="E20" s="503" t="s">
        <v>1655</v>
      </c>
      <c r="F20" s="503" t="s">
        <v>1656</v>
      </c>
      <c r="G20" s="503" t="s">
        <v>1657</v>
      </c>
      <c r="H20" s="503" t="s">
        <v>1658</v>
      </c>
      <c r="I20" s="503" t="s">
        <v>1659</v>
      </c>
      <c r="J20" s="503" t="s">
        <v>1660</v>
      </c>
      <c r="K20" s="503" t="s">
        <v>1661</v>
      </c>
      <c r="L20" s="503" t="s">
        <v>789</v>
      </c>
      <c r="M20" s="503" t="s">
        <v>789</v>
      </c>
      <c r="N20" s="503" t="s">
        <v>789</v>
      </c>
      <c r="O20" s="503" t="s">
        <v>1662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286451e1ff009814e9923c6ca9c9f7ed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5c200a29c1beb9be1e681ed435ec8e1b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7239D-59F0-4EEF-ACF2-57D62CF26EBC}"/>
</file>

<file path=customXml/itemProps2.xml><?xml version="1.0" encoding="utf-8"?>
<ds:datastoreItem xmlns:ds="http://schemas.openxmlformats.org/officeDocument/2006/customXml" ds:itemID="{EC39957D-8F25-4C5A-A3A8-28652AEF8862}"/>
</file>

<file path=customXml/itemProps3.xml><?xml version="1.0" encoding="utf-8"?>
<ds:datastoreItem xmlns:ds="http://schemas.openxmlformats.org/officeDocument/2006/customXml" ds:itemID="{F41A8249-89ED-4B3F-A022-AAD3848DAA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謝尚穎</cp:lastModifiedBy>
  <cp:revision/>
  <dcterms:created xsi:type="dcterms:W3CDTF">2010-08-05T03:30:00Z</dcterms:created>
  <dcterms:modified xsi:type="dcterms:W3CDTF">2025-11-03T09:32:28Z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2025-11-03T00:05:31Z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008f2ff8-d787-4620-86c0-1165e02bb92a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10, 3, 0, 2</vt:lpwstr>
  </property>
</Properties>
</file>