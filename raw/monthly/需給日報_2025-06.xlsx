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1" documentId="13_ncr:1_{30BF410C-24C1-488C-A89A-D93491F82DFC}" xr6:coauthVersionLast="47" xr6:coauthVersionMax="47" xr10:uidLastSave="{509BDEB7-CC87-4D23-9F8A-BD895D94A6D7}"/>
  <bookViews>
    <workbookView xWindow="2868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<sst xmlns="http://schemas.openxmlformats.org/spreadsheetml/2006/main" count="7071" uniqueCount="1413">
  <si>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</si>
  <si>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</si>
  <si>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</si>
  <si>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</si>
  <si>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</si>
  <si>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</si>
  <si>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</si>
  <si>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</si>
  <si>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</si>
  <si>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</si>
  <si>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</si>
  <si>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</si>
  <si>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</si>
  <si>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</si>
  <si>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</si>
  <si>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</si>
  <si>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</si>
  <si>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</si>
  <si>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</si>
  <si>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</si>
  <si>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</si>
  <si>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</si>
  <si>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</si>
  <si>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</si>
  <si>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</si>
  <si>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</si>
  <si>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</si>
  <si>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</si>
  <si>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</si>
  <si>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</si>
  <si>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</si>
  <si>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</si>
  <si>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</si>
  <si>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</si>
  <si>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</si>
  <si>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</si>
  <si>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</si>
  <si>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</si>
  <si>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</si>
  <si>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</si>
  <si>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</si>
  <si>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</si>
  <si>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</si>
  <si>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</si>
  <si>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</si>
  <si>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</si>
  <si>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</si>
  <si>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</si>
  <si>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</si>
  <si>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</si>
  <si>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</si>
  <si>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</si>
  <si>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</si>
  <si>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</si>
  <si>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</si>
  <si>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</si>
  <si>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</si>
  <si>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</si>
  <si>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</si>
  <si>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</si>
  <si>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</si>
  <si>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</si>
  <si>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</si>
  <si>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</si>
  <si>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</si>
  <si>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</si>
  <si>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</si>
  <si>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</si>
  <si>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</si>
  <si>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</si>
  <si>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</si>
  <si>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</si>
  <si>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</si>
  <si>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</si>
  <si>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</si>
  <si>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</si>
  <si>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</si>
  <si>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</si>
  <si>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</si>
  <si>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</si>
  <si>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</si>
  <si>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</si>
  <si>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</si>
  <si>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</si>
  <si>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</si>
  <si>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</si>
  <si>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</si>
  <si>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</si>
  <si>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</si>
  <si>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</si>
  <si>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</si>
  <si>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</si>
  <si>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</si>
  <si>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</si>
  <si>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</si>
  <si>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</si>
  <si>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</si>
  <si>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</si>
  <si>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</si>
  <si>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</si>
  <si>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</si>
  <si>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</si>
  <si>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</si>
  <si>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</si>
  <si>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</si>
  <si>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</si>
  <si>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</si>
  <si>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</si>
  <si>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</si>
  <si>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</si>
  <si>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</si>
  <si>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</si>
  <si>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</si>
  <si>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</si>
  <si>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</si>
  <si>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</si>
  <si>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</si>
  <si>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</si>
  <si>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</si>
  <si>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</si>
  <si>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</si>
  <si>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</si>
  <si>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</si>
  <si>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</si>
  <si>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</si>
  <si>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</si>
  <si>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</si>
  <si>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</si>
  <si>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</si>
  <si>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</si>
  <si>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</si>
  <si>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</si>
  <si>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</si>
  <si>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</si>
  <si>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</si>
  <si>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</si>
  <si>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</si>
  <si>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</si>
  <si>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</si>
  <si>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</si>
  <si>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</si>
  <si>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</si>
  <si>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</si>
  <si>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</si>
  <si>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</si>
  <si>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</si>
  <si>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</si>
  <si>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</si>
  <si>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</si>
  <si>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</si>
  <si>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</si>
  <si>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</si>
  <si>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</si>
  <si>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</si>
  <si>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</si>
  <si>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</si>
  <si>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</si>
  <si>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</si>
  <si>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</si>
  <si>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</si>
  <si>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</si>
  <si>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</si>
  <si>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</si>
  <si>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</si>
  <si>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</si>
  <si>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</si>
  <si>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</si>
  <si>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</si>
  <si>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</si>
  <si>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</si>
  <si>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</si>
  <si>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</si>
  <si>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</si>
  <si>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</si>
  <si>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</si>
  <si>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</si>
  <si>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</si>
  <si>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</si>
  <si>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</si>
  <si>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</si>
  <si>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</si>
  <si>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</si>
  <si>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</si>
  <si>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</si>
  <si>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</si>
  <si>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</si>
  <si>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</si>
  <si>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</si>
  <si>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</si>
  <si>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</si>
  <si>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</si>
  <si>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</si>
  <si>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</si>
  <si>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</si>
  <si>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</si>
  <si>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</si>
  <si>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</si>
  <si>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</si>
  <si>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</si>
  <si>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</si>
  <si>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</si>
  <si>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</si>
  <si>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</si>
  <si>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</si>
  <si>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</si>
  <si>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</si>
  <si>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</si>
  <si>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</si>
  <si>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</si>
  <si>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</si>
  <si>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</si>
  <si>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</si>
  <si>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</si>
  <si>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</si>
  <si>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</si>
  <si>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</si>
  <si>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</si>
  <si>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</si>
  <si>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</si>
  <si>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</si>
  <si>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</si>
  <si>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</si>
  <si>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</si>
  <si>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</si>
  <si>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</si>
  <si>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</si>
  <si>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</si>
  <si>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</si>
  <si>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</si>
  <si>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</si>
  <si>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</si>
  <si>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</si>
  <si>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</si>
  <si>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</si>
  <si>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</si>
  <si>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</si>
  <si>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</si>
  <si>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</si>
  <si>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</si>
  <si>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</si>
  <si>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</si>
  <si>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</si>
  <si>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</si>
  <si>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</si>
  <si>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</si>
  <si>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</si>
  <si>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</si>
  <si>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</si>
  <si>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</si>
  <si>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</si>
  <si>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</si>
  <si>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</si>
  <si>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</si>
  <si>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</si>
  <si>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</si>
  <si>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</si>
  <si>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</si>
  <si>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</si>
  <si>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</si>
  <si>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</si>
  <si>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</si>
  <si>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</si>
  <si>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</si>
  <si>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</si>
  <si>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</si>
  <si>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</si>
  <si>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</si>
  <si>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</si>
  <si>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</si>
  <si>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</si>
  <si>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</si>
  <si>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</si>
  <si>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</si>
  <si>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</si>
  <si>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</si>
  <si>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</si>
  <si>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</si>
  <si>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</si>
  <si>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</si>
  <si>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</si>
  <si>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</si>
  <si>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</si>
  <si>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</si>
  <si>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</si>
  <si>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</si>
  <si>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</si>
  <si>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</si>
  <si>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</si>
  <si>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</si>
  <si>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</si>
  <si>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</si>
  <si>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</si>
  <si>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</si>
  <si>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</si>
  <si>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</si>
  <si>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</si>
  <si>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</si>
  <si>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</si>
  <si>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</si>
  <si>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</si>
  <si>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</si>
  <si>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</si>
  <si>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</si>
  <si>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</si>
  <si>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</si>
  <si>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</si>
  <si>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</si>
  <si>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</si>
  <si>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</si>
  <si>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</si>
  <si>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</si>
  <si>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</si>
  <si>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</si>
  <si>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</si>
  <si>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</si>
  <si>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</si>
  <si>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</si>
  <si>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</si>
  <si>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</si>
  <si>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</si>
  <si>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</si>
  <si>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</si>
  <si>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</si>
  <si>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</si>
  <si>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</si>
  <si>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</si>
  <si>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</si>
  <si>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</si>
  <si>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202505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</si>
  <si>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</si>
  <si>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</si>
  <si>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</si>
  <si>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</si>
  <si>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</si>
  <si>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</si>
  <si>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</si>
  <si>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</si>
  <si>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</si>
  <si>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</si>
  <si>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</si>
  <si>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</si>
  <si>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</si>
  <si>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</si>
  <si>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</si>
  <si>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</si>
  <si>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</si>
  <si>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</si>
  <si>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</si>
  <si>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</si>
  <si>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</si>
  <si>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</si>
  <si>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</si>
  <si>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</si>
  <si>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</si>
  <si>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</si>
  <si>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</si>
  <si>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</si>
  <si>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</si>
  <si>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</si>
  <si>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</si>
  <si>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</t>
  </si>
  <si>
    <t>FRCD</t>
  </si>
  <si>
    <t>DIFFAMT</t>
  </si>
  <si>
    <t>AVGAMT</t>
  </si>
  <si>
    <t>01-A</t>
  </si>
  <si>
    <t>311974084.00</t>
  </si>
  <si>
    <t>307339949.00</t>
  </si>
  <si>
    <t>304349072.00</t>
  </si>
  <si>
    <t>304335526.00</t>
  </si>
  <si>
    <t>305949450.00</t>
  </si>
  <si>
    <t>304814994.00</t>
  </si>
  <si>
    <t>313159147.00</t>
  </si>
  <si>
    <t>315264198.00</t>
  </si>
  <si>
    <t>320237052.00</t>
  </si>
  <si>
    <t>314936876.00</t>
  </si>
  <si>
    <t>314930282.00</t>
  </si>
  <si>
    <t>314944194.00</t>
  </si>
  <si>
    <t>313395125.00</t>
  </si>
  <si>
    <t>310772860.00</t>
  </si>
  <si>
    <t>307940880.00</t>
  </si>
  <si>
    <t>302680475.00</t>
  </si>
  <si>
    <t>295890173.00</t>
  </si>
  <si>
    <t>295866348.00</t>
  </si>
  <si>
    <t>294901039.00</t>
  </si>
  <si>
    <t>292665866.00</t>
  </si>
  <si>
    <t>292394873.00</t>
  </si>
  <si>
    <t>288012408.00</t>
  </si>
  <si>
    <t>286805048.00</t>
  </si>
  <si>
    <t>281262645.00</t>
  </si>
  <si>
    <t>281254432.00</t>
  </si>
  <si>
    <t>281694742.00</t>
  </si>
  <si>
    <t>279348944.00</t>
  </si>
  <si>
    <t>278253460.00</t>
  </si>
  <si>
    <t>276437537.00</t>
  </si>
  <si>
    <t>276368546.00</t>
  </si>
  <si>
    <t>.00</t>
  </si>
  <si>
    <t>298211250.68</t>
  </si>
  <si>
    <t>02-D</t>
  </si>
  <si>
    <t>249410081.00</t>
  </si>
  <si>
    <t>251063268.00</t>
  </si>
  <si>
    <t>249183991.00</t>
  </si>
  <si>
    <t>250375060.00</t>
  </si>
  <si>
    <t>250382011.00</t>
  </si>
  <si>
    <t>250622297.00</t>
  </si>
  <si>
    <t>249929837.00</t>
  </si>
  <si>
    <t>251546348.00</t>
  </si>
  <si>
    <t>250034468.00</t>
  </si>
  <si>
    <t>250030499.00</t>
  </si>
  <si>
    <t>250868843.00</t>
  </si>
  <si>
    <t>251041281.00</t>
  </si>
  <si>
    <t>249704020.00</t>
  </si>
  <si>
    <t>251432949.00</t>
  </si>
  <si>
    <t>250086448.00</t>
  </si>
  <si>
    <t>248273934.00</t>
  </si>
  <si>
    <t>247428501.00</t>
  </si>
  <si>
    <t>245605462.00</t>
  </si>
  <si>
    <t>245267428.00</t>
  </si>
  <si>
    <t>241595037.00</t>
  </si>
  <si>
    <t>239664748.00</t>
  </si>
  <si>
    <t>238211286.00</t>
  </si>
  <si>
    <t>238021360.00</t>
  </si>
  <si>
    <t>234624833.00</t>
  </si>
  <si>
    <t>229987875.00</t>
  </si>
  <si>
    <t>225086934.00</t>
  </si>
  <si>
    <t>225086945.00</t>
  </si>
  <si>
    <t>11.00</t>
  </si>
  <si>
    <t>244365222.23</t>
  </si>
  <si>
    <t>03-J</t>
  </si>
  <si>
    <t>6400194.00</t>
  </si>
  <si>
    <t>5793832.00</t>
  </si>
  <si>
    <t>4172804.00</t>
  </si>
  <si>
    <t>4090908.00</t>
  </si>
  <si>
    <t>5178997.00</t>
  </si>
  <si>
    <t>4948274.00</t>
  </si>
  <si>
    <t>5571175.00</t>
  </si>
  <si>
    <t>7202093.00</t>
  </si>
  <si>
    <t>5213212.00</t>
  </si>
  <si>
    <t>4523455.00</t>
  </si>
  <si>
    <t>5025743.00</t>
  </si>
  <si>
    <t>6555248.00</t>
  </si>
  <si>
    <t>4675945.00</t>
  </si>
  <si>
    <t>7156093.00</t>
  </si>
  <si>
    <t>4864407.00</t>
  </si>
  <si>
    <t>5083485.00</t>
  </si>
  <si>
    <t>6128581.00</t>
  </si>
  <si>
    <t>6681104.00</t>
  </si>
  <si>
    <t>6705997.00</t>
  </si>
  <si>
    <t>7288015.00</t>
  </si>
  <si>
    <t>5274518.00</t>
  </si>
  <si>
    <t>5214735.00</t>
  </si>
  <si>
    <t>5919370.00</t>
  </si>
  <si>
    <t>5670066.00</t>
  </si>
  <si>
    <t>7600695.00</t>
  </si>
  <si>
    <t>5731137.97</t>
  </si>
  <si>
    <t>04-O</t>
  </si>
  <si>
    <t>6800876.00</t>
  </si>
  <si>
    <t>7018299.00</t>
  </si>
  <si>
    <t>6929576.00</t>
  </si>
  <si>
    <t>6811797.00</t>
  </si>
  <si>
    <t>6680095.00</t>
  </si>
  <si>
    <t>6447781.00</t>
  </si>
  <si>
    <t>6289744.00</t>
  </si>
  <si>
    <t>6165907.00</t>
  </si>
  <si>
    <t>6050967.00</t>
  </si>
  <si>
    <t>6142152.00</t>
  </si>
  <si>
    <t>6029571.00</t>
  </si>
  <si>
    <t>5916864.00</t>
  </si>
  <si>
    <t>5702028.00</t>
  </si>
  <si>
    <t>5598452.00</t>
  </si>
  <si>
    <t>5529684.00</t>
  </si>
  <si>
    <t>5463540.00</t>
  </si>
  <si>
    <t>5323223.00</t>
  </si>
  <si>
    <t>5394794.00</t>
  </si>
  <si>
    <t>5556369.00</t>
  </si>
  <si>
    <t>5611499.00</t>
  </si>
  <si>
    <t>5516591.00</t>
  </si>
  <si>
    <t>5491591.00</t>
  </si>
  <si>
    <t>5373873.00</t>
  </si>
  <si>
    <t>5241109.00</t>
  </si>
  <si>
    <t>5117407.00</t>
  </si>
  <si>
    <t>5885981.32</t>
  </si>
  <si>
    <t>05-N</t>
  </si>
  <si>
    <t>21065273.00</t>
  </si>
  <si>
    <t>21030984.00</t>
  </si>
  <si>
    <t>18935940.00</t>
  </si>
  <si>
    <t>18944440.00</t>
  </si>
  <si>
    <t>19015629.00</t>
  </si>
  <si>
    <t>19222197.00</t>
  </si>
  <si>
    <t>18480250.00</t>
  </si>
  <si>
    <t>19224641.00</t>
  </si>
  <si>
    <t>20673838.00</t>
  </si>
  <si>
    <t>18631528.00</t>
  </si>
  <si>
    <t>18807609.00</t>
  </si>
  <si>
    <t>17892973.00</t>
  </si>
  <si>
    <t>18012362.00</t>
  </si>
  <si>
    <t>19696808.00</t>
  </si>
  <si>
    <t>20256082.00</t>
  </si>
  <si>
    <t>18095489.00</t>
  </si>
  <si>
    <t>19054652.00</t>
  </si>
  <si>
    <t>18540160.00</t>
  </si>
  <si>
    <t>19776614.00</t>
  </si>
  <si>
    <t>20374748.00</t>
  </si>
  <si>
    <t>22038392.00</t>
  </si>
  <si>
    <t>20152866.00</t>
  </si>
  <si>
    <t>20150947.00</t>
  </si>
  <si>
    <t>21569345.00</t>
  </si>
  <si>
    <t>20911301.00</t>
  </si>
  <si>
    <t>23264593.00</t>
  </si>
  <si>
    <t>21843172.00</t>
  </si>
  <si>
    <t>19873425.61</t>
  </si>
  <si>
    <t>06-C</t>
  </si>
  <si>
    <t>07-H</t>
  </si>
  <si>
    <t>22844347.00</t>
  </si>
  <si>
    <t>18673412.00</t>
  </si>
  <si>
    <t>15666274.00</t>
  </si>
  <si>
    <t>12022271.00</t>
  </si>
  <si>
    <t>12367191.00</t>
  </si>
  <si>
    <t>12485632.00</t>
  </si>
  <si>
    <t>11439101.00</t>
  </si>
  <si>
    <t>10811308.00</t>
  </si>
  <si>
    <t>7422341.00</t>
  </si>
  <si>
    <t>7146191.00</t>
  </si>
  <si>
    <t>9108097.00</t>
  </si>
  <si>
    <t>9920465.00</t>
  </si>
  <si>
    <t>10056002.00</t>
  </si>
  <si>
    <t>9955098.00</t>
  </si>
  <si>
    <t>6372326.00</t>
  </si>
  <si>
    <t>5949208.00</t>
  </si>
  <si>
    <t>8773085.00</t>
  </si>
  <si>
    <t>9912113.00</t>
  </si>
  <si>
    <t>10075158.00</t>
  </si>
  <si>
    <t>11705450.00</t>
  </si>
  <si>
    <t>8589694.00</t>
  </si>
  <si>
    <t>10477856.00</t>
  </si>
  <si>
    <t>12093372.00</t>
  </si>
  <si>
    <t>13288885.00</t>
  </si>
  <si>
    <t>14936114.00</t>
  </si>
  <si>
    <t>19621557.00</t>
  </si>
  <si>
    <t>19631221.00</t>
  </si>
  <si>
    <t>9664.00</t>
  </si>
  <si>
    <t>11593367.87</t>
  </si>
  <si>
    <t>08-E</t>
  </si>
  <si>
    <t>09-F</t>
  </si>
  <si>
    <t>2642042.00</t>
  </si>
  <si>
    <t>2489817.00</t>
  </si>
  <si>
    <t>2382952.00</t>
  </si>
  <si>
    <t>2203662.00</t>
  </si>
  <si>
    <t>2083032.00</t>
  </si>
  <si>
    <t>2616642.00</t>
  </si>
  <si>
    <t>2461137.00</t>
  </si>
  <si>
    <t>2310287.00</t>
  </si>
  <si>
    <t>2182257.00</t>
  </si>
  <si>
    <t>2067952.00</t>
  </si>
  <si>
    <t>1922607.00</t>
  </si>
  <si>
    <t>1782862.00</t>
  </si>
  <si>
    <t>1986207.00</t>
  </si>
  <si>
    <t>2060227.00</t>
  </si>
  <si>
    <t>1800482.00</t>
  </si>
  <si>
    <t>1602127.00</t>
  </si>
  <si>
    <t>1429102.00</t>
  </si>
  <si>
    <t>2077562.00</t>
  </si>
  <si>
    <t>1887637.00</t>
  </si>
  <si>
    <t>1677972.00</t>
  </si>
  <si>
    <t>1522512.00</t>
  </si>
  <si>
    <t>2328622.00</t>
  </si>
  <si>
    <t>2193547.00</t>
  </si>
  <si>
    <t>2085202.00</t>
  </si>
  <si>
    <t>2010192.00</t>
  </si>
  <si>
    <t>2055329.90</t>
  </si>
  <si>
    <t>10-P</t>
  </si>
  <si>
    <t>91839.00</t>
  </si>
  <si>
    <t>11-G</t>
  </si>
  <si>
    <t>12-M</t>
  </si>
  <si>
    <t>1381676.00</t>
  </si>
  <si>
    <t>1660145.00</t>
  </si>
  <si>
    <t>1497869.00</t>
  </si>
  <si>
    <t>953630.00</t>
  </si>
  <si>
    <t>1067226.00</t>
  </si>
  <si>
    <t>841090.00</t>
  </si>
  <si>
    <t>1124538.00</t>
  </si>
  <si>
    <t>1546892.00</t>
  </si>
  <si>
    <t>1232160.00</t>
  </si>
  <si>
    <t>1292723.00</t>
  </si>
  <si>
    <t>1580209.00</t>
  </si>
  <si>
    <t>2069964.00</t>
  </si>
  <si>
    <t>1467504.00</t>
  </si>
  <si>
    <t>1824230.00</t>
  </si>
  <si>
    <t>1490606.00</t>
  </si>
  <si>
    <t>1669969.00</t>
  </si>
  <si>
    <t>1769537.00</t>
  </si>
  <si>
    <t>1634288.00</t>
  </si>
  <si>
    <t>1727301.00</t>
  </si>
  <si>
    <t>1780322.00</t>
  </si>
  <si>
    <t>1326118.00</t>
  </si>
  <si>
    <t>2000721.00</t>
  </si>
  <si>
    <t>1596900.00</t>
  </si>
  <si>
    <t>1452903.00</t>
  </si>
  <si>
    <t>2094697.00</t>
  </si>
  <si>
    <t>1542560.16</t>
  </si>
  <si>
    <t>13-U</t>
  </si>
  <si>
    <t>243488.00</t>
  </si>
  <si>
    <t>240788.00</t>
  </si>
  <si>
    <t>238238.00</t>
  </si>
  <si>
    <t>234458.00</t>
  </si>
  <si>
    <t>233378.00</t>
  </si>
  <si>
    <t>245258.00</t>
  </si>
  <si>
    <t>244718.00</t>
  </si>
  <si>
    <t>244178.00</t>
  </si>
  <si>
    <t>243098.00</t>
  </si>
  <si>
    <t>241478.00</t>
  </si>
  <si>
    <t>240398.00</t>
  </si>
  <si>
    <t>239318.00</t>
  </si>
  <si>
    <t>236848.00</t>
  </si>
  <si>
    <t>235768.00</t>
  </si>
  <si>
    <t>235228.00</t>
  </si>
  <si>
    <t>233078.00</t>
  </si>
  <si>
    <t>231148.00</t>
  </si>
  <si>
    <t>230068.00</t>
  </si>
  <si>
    <t>228678.00</t>
  </si>
  <si>
    <t>227598.00</t>
  </si>
  <si>
    <t>218018.00</t>
  </si>
  <si>
    <t>216398.00</t>
  </si>
  <si>
    <t>214778.00</t>
  </si>
  <si>
    <t>213698.00</t>
  </si>
  <si>
    <t>156098.00</t>
  </si>
  <si>
    <t>226225.10</t>
  </si>
  <si>
    <t>14-L</t>
  </si>
  <si>
    <t>1605674.00</t>
  </si>
  <si>
    <t>1624429.00</t>
  </si>
  <si>
    <t>1637530.00</t>
  </si>
  <si>
    <t>1646031.00</t>
  </si>
  <si>
    <t>1639655.00</t>
  </si>
  <si>
    <t>1641175.00</t>
  </si>
  <si>
    <t>1617368.23</t>
  </si>
  <si>
    <t>18-T</t>
  </si>
  <si>
    <t>9516089.00</t>
  </si>
  <si>
    <t>8864892.00</t>
  </si>
  <si>
    <t>8255098.00</t>
  </si>
  <si>
    <t>7645206.00</t>
  </si>
  <si>
    <t>7757589.00</t>
  </si>
  <si>
    <t>7621441.00</t>
  </si>
  <si>
    <t>7309649.00</t>
  </si>
  <si>
    <t>6853678.00</t>
  </si>
  <si>
    <t>6261144.00</t>
  </si>
  <si>
    <t>6352358.00</t>
  </si>
  <si>
    <t>6660304.00</t>
  </si>
  <si>
    <t>6231908.00</t>
  </si>
  <si>
    <t>5924719.00</t>
  </si>
  <si>
    <t>6511298.00</t>
  </si>
  <si>
    <t>5719600.00</t>
  </si>
  <si>
    <t>5168182.00</t>
  </si>
  <si>
    <t>4676495.00</t>
  </si>
  <si>
    <t>4772236.00</t>
  </si>
  <si>
    <t>4930127.00</t>
  </si>
  <si>
    <t>5768365.00</t>
  </si>
  <si>
    <t>4997799.00</t>
  </si>
  <si>
    <t>4709584.00</t>
  </si>
  <si>
    <t>5323982.00</t>
  </si>
  <si>
    <t>5829454.00</t>
  </si>
  <si>
    <t>6875955.00</t>
  </si>
  <si>
    <t>8732706.00</t>
  </si>
  <si>
    <t>6556006.61</t>
  </si>
  <si>
    <t>19-V</t>
  </si>
  <si>
    <t>10247940.00</t>
  </si>
  <si>
    <t>10807041.00</t>
  </si>
  <si>
    <t>10073622.00</t>
  </si>
  <si>
    <t>9994226.00</t>
  </si>
  <si>
    <t>9123488.00</t>
  </si>
  <si>
    <t>9112326.00</t>
  </si>
  <si>
    <t>10120532.00</t>
  </si>
  <si>
    <t>10631479.00</t>
  </si>
  <si>
    <t>9984626.00</t>
  </si>
  <si>
    <t>9825477.00</t>
  </si>
  <si>
    <t>9255119.00</t>
  </si>
  <si>
    <t>9210278.00</t>
  </si>
  <si>
    <t>9667445.00</t>
  </si>
  <si>
    <t>10186450.00</t>
  </si>
  <si>
    <t>9416619.00</t>
  </si>
  <si>
    <t>9352456.00</t>
  </si>
  <si>
    <t>8816323.00</t>
  </si>
  <si>
    <t>8859361.00</t>
  </si>
  <si>
    <t>9173855.00</t>
  </si>
  <si>
    <t>9881830.00</t>
  </si>
  <si>
    <t>9027199.00</t>
  </si>
  <si>
    <t>9686442.00</t>
  </si>
  <si>
    <t>10790177.00</t>
  </si>
  <si>
    <t>11690330.00</t>
  </si>
  <si>
    <t>10635612.00</t>
  </si>
  <si>
    <t>9849791.71</t>
  </si>
  <si>
    <t>20-S</t>
  </si>
  <si>
    <t>22038535.00</t>
  </si>
  <si>
    <t>21937400.00</t>
  </si>
  <si>
    <t>21770553.00</t>
  </si>
  <si>
    <t>21704746.00</t>
  </si>
  <si>
    <t>21524694.00</t>
  </si>
  <si>
    <t>21405046.00</t>
  </si>
  <si>
    <t>21254419.00</t>
  </si>
  <si>
    <t>21138439.00</t>
  </si>
  <si>
    <t>21064181.00</t>
  </si>
  <si>
    <t>20963490.00</t>
  </si>
  <si>
    <t>20825083.00</t>
  </si>
  <si>
    <t>20740953.00</t>
  </si>
  <si>
    <t>20635848.00</t>
  </si>
  <si>
    <t>20453859.00</t>
  </si>
  <si>
    <t>20359307.00</t>
  </si>
  <si>
    <t>20328541.00</t>
  </si>
  <si>
    <t>20090432.00</t>
  </si>
  <si>
    <t>19860726.00</t>
  </si>
  <si>
    <t>19707714.00</t>
  </si>
  <si>
    <t>19492060.00</t>
  </si>
  <si>
    <t>19363741.00</t>
  </si>
  <si>
    <t>19322886.00</t>
  </si>
  <si>
    <t>19134427.00</t>
  </si>
  <si>
    <t>18994671.00</t>
  </si>
  <si>
    <t>18904055.00</t>
  </si>
  <si>
    <t>20431667.68</t>
  </si>
  <si>
    <t>21-Q</t>
  </si>
  <si>
    <t>162800.00</t>
  </si>
  <si>
    <t>22-2</t>
  </si>
  <si>
    <t>161176.00</t>
  </si>
  <si>
    <t>23-3</t>
  </si>
  <si>
    <t>209338.00</t>
  </si>
  <si>
    <t>115978.00</t>
  </si>
  <si>
    <t>132178.00</t>
  </si>
  <si>
    <t>136660.58</t>
  </si>
  <si>
    <t>24-4</t>
  </si>
  <si>
    <t>25-5</t>
  </si>
  <si>
    <t>26-6</t>
  </si>
  <si>
    <t>11070523.00</t>
  </si>
  <si>
    <t>11515761.00</t>
  </si>
  <si>
    <t>10122796.00</t>
  </si>
  <si>
    <t>8860220.00</t>
  </si>
  <si>
    <t>8522101.00</t>
  </si>
  <si>
    <t>7658952.00</t>
  </si>
  <si>
    <t>10206107.00</t>
  </si>
  <si>
    <t>9838044.00</t>
  </si>
  <si>
    <t>8302585.00</t>
  </si>
  <si>
    <t>7174265.00</t>
  </si>
  <si>
    <t>7012237.00</t>
  </si>
  <si>
    <t>9917487.00</t>
  </si>
  <si>
    <t>8989571.00</t>
  </si>
  <si>
    <t>10854785.00</t>
  </si>
  <si>
    <t>9055711.00</t>
  </si>
  <si>
    <t>8154751.00</t>
  </si>
  <si>
    <t>7001763.00</t>
  </si>
  <si>
    <t>9381705.00</t>
  </si>
  <si>
    <t>8287167.00</t>
  </si>
  <si>
    <t>10370046.00</t>
  </si>
  <si>
    <t>8805058.00</t>
  </si>
  <si>
    <t>9276699.00</t>
  </si>
  <si>
    <t>11202979.00</t>
  </si>
  <si>
    <t>12902092.00</t>
  </si>
  <si>
    <t>11313936.00</t>
  </si>
  <si>
    <t>9506818.16</t>
  </si>
  <si>
    <t>27-7</t>
  </si>
  <si>
    <t>7753957.00</t>
  </si>
  <si>
    <t>7891858.00</t>
  </si>
  <si>
    <t>7737458.00</t>
  </si>
  <si>
    <t>7638137.00</t>
  </si>
  <si>
    <t>6627115.00</t>
  </si>
  <si>
    <t>6594735.00</t>
  </si>
  <si>
    <t>6538735.00</t>
  </si>
  <si>
    <t>7295535.00</t>
  </si>
  <si>
    <t>7213135.00</t>
  </si>
  <si>
    <t>7247595.00</t>
  </si>
  <si>
    <t>6857092.00</t>
  </si>
  <si>
    <t>6730081.00</t>
  </si>
  <si>
    <t>6672681.00</t>
  </si>
  <si>
    <t>6954809.00</t>
  </si>
  <si>
    <t>6804409.00</t>
  </si>
  <si>
    <t>6823139.00</t>
  </si>
  <si>
    <t>6244405.00</t>
  </si>
  <si>
    <t>6428361.00</t>
  </si>
  <si>
    <t>7252205.00</t>
  </si>
  <si>
    <t>7981718.00</t>
  </si>
  <si>
    <t>7896118.00</t>
  </si>
  <si>
    <t>7773320.00</t>
  </si>
  <si>
    <t>8003503.00</t>
  </si>
  <si>
    <t>10378684.00</t>
  </si>
  <si>
    <t>10222320.00</t>
  </si>
  <si>
    <t>7601834.36</t>
  </si>
  <si>
    <t>AVGSR</t>
  </si>
  <si>
    <t>0</t>
  </si>
  <si>
    <t>98.1</t>
  </si>
  <si>
    <t>98.6</t>
  </si>
  <si>
    <t>98.4</t>
  </si>
  <si>
    <t>98.2</t>
  </si>
  <si>
    <t>98.5</t>
  </si>
  <si>
    <t>98.8</t>
  </si>
  <si>
    <t>98.3</t>
  </si>
  <si>
    <t>97.6</t>
  </si>
  <si>
    <t>97.8</t>
  </si>
  <si>
    <t>97.9</t>
  </si>
  <si>
    <t>97.7</t>
  </si>
  <si>
    <t>99</t>
  </si>
  <si>
    <t>98.7</t>
  </si>
  <si>
    <t>99.1</t>
  </si>
  <si>
    <t>99.2</t>
  </si>
  <si>
    <t>99.3</t>
  </si>
  <si>
    <t>100</t>
  </si>
  <si>
    <t>99.8</t>
  </si>
  <si>
    <t>95.6</t>
  </si>
  <si>
    <t>87.1</t>
  </si>
  <si>
    <t>84.4</t>
  </si>
  <si>
    <t>82.8</t>
  </si>
  <si>
    <t>82</t>
  </si>
  <si>
    <t>80</t>
  </si>
  <si>
    <t>85.2</t>
  </si>
  <si>
    <t>94.2</t>
  </si>
  <si>
    <t>86.7</t>
  </si>
  <si>
    <t>86.3</t>
  </si>
  <si>
    <t>90.9</t>
  </si>
  <si>
    <t>92.4</t>
  </si>
  <si>
    <t>89.5</t>
  </si>
  <si>
    <t>96.2</t>
  </si>
  <si>
    <t>82.5</t>
  </si>
  <si>
    <t>92.8</t>
  </si>
  <si>
    <t>88.3</t>
  </si>
  <si>
    <t>88.8</t>
  </si>
  <si>
    <t>96</t>
  </si>
  <si>
    <t>89</t>
  </si>
  <si>
    <t>99.4</t>
  </si>
  <si>
    <t>99.5</t>
  </si>
  <si>
    <t>99.7</t>
  </si>
  <si>
    <t>99.9</t>
  </si>
  <si>
    <t>99.6</t>
  </si>
  <si>
    <t>95.8</t>
  </si>
  <si>
    <t>95.1</t>
  </si>
  <si>
    <t>96.3</t>
  </si>
  <si>
    <t>98.9</t>
  </si>
  <si>
    <t>96.7</t>
  </si>
  <si>
    <t>93.6</t>
  </si>
  <si>
    <t>93.9</t>
  </si>
  <si>
    <t>97.1</t>
  </si>
  <si>
    <t>94.7</t>
  </si>
  <si>
    <t>98</t>
  </si>
  <si>
    <t>08-Z</t>
  </si>
  <si>
    <t>95.4</t>
  </si>
  <si>
    <t>92</t>
  </si>
  <si>
    <t>94.4</t>
  </si>
  <si>
    <t>85.7</t>
  </si>
  <si>
    <t>75</t>
  </si>
  <si>
    <t>83.3</t>
  </si>
  <si>
    <t>95</t>
  </si>
  <si>
    <t>09-@</t>
  </si>
  <si>
    <t>10-M</t>
  </si>
  <si>
    <t>91.3</t>
  </si>
  <si>
    <t>11-S</t>
  </si>
  <si>
    <t>97</t>
  </si>
  <si>
    <t>97.2</t>
  </si>
  <si>
    <t>94.8</t>
  </si>
  <si>
    <t>95.9</t>
  </si>
  <si>
    <t>96.1</t>
  </si>
  <si>
    <t>12-V</t>
  </si>
  <si>
    <t>96.6</t>
  </si>
  <si>
    <t>97.3</t>
  </si>
  <si>
    <t>95.7</t>
  </si>
  <si>
    <t>96.5</t>
  </si>
  <si>
    <t>97.4</t>
  </si>
  <si>
    <t>13-T</t>
  </si>
  <si>
    <t>91.8</t>
  </si>
  <si>
    <t>96.9</t>
  </si>
  <si>
    <t>93.7</t>
  </si>
  <si>
    <t>95.3</t>
  </si>
  <si>
    <t>87.8</t>
  </si>
  <si>
    <t>89.3</t>
  </si>
  <si>
    <t>90.5</t>
  </si>
  <si>
    <t>93.3</t>
  </si>
  <si>
    <t>14-P</t>
  </si>
  <si>
    <t>16-#</t>
  </si>
  <si>
    <t>97.5</t>
  </si>
  <si>
    <t>17-2</t>
  </si>
  <si>
    <t>18-3</t>
  </si>
  <si>
    <t>19-4</t>
  </si>
  <si>
    <t>20-5</t>
  </si>
  <si>
    <t>21-$</t>
  </si>
  <si>
    <t>22-7</t>
  </si>
  <si>
    <t>23-6</t>
  </si>
  <si>
    <t>95.2</t>
  </si>
  <si>
    <t>92.7</t>
  </si>
  <si>
    <t>94.1</t>
  </si>
  <si>
    <t>96.4</t>
  </si>
  <si>
    <t>95.5</t>
  </si>
  <si>
    <t>84.8</t>
  </si>
  <si>
    <t>88.6</t>
  </si>
  <si>
    <t>93</t>
  </si>
  <si>
    <t>IMPCD</t>
  </si>
  <si>
    <t>4</t>
  </si>
  <si>
    <t>ALL</t>
  </si>
  <si>
    <t>90</t>
  </si>
  <si>
    <t>85.9</t>
  </si>
  <si>
    <t>92.2</t>
  </si>
  <si>
    <t>93.8</t>
  </si>
  <si>
    <t>96.8</t>
  </si>
  <si>
    <t>94.9</t>
  </si>
  <si>
    <t>93.5</t>
  </si>
  <si>
    <t>16-2</t>
  </si>
  <si>
    <t>17-3</t>
  </si>
  <si>
    <t>18-4</t>
  </si>
  <si>
    <t>19-5</t>
  </si>
  <si>
    <t>20-7</t>
  </si>
  <si>
    <t>21-6</t>
  </si>
  <si>
    <t>SUMITEMS</t>
  </si>
  <si>
    <t>223.00</t>
  </si>
  <si>
    <t>112.00</t>
  </si>
  <si>
    <t>151.00</t>
  </si>
  <si>
    <t>186.00</t>
  </si>
  <si>
    <t>157.00</t>
  </si>
  <si>
    <t>170.00</t>
  </si>
  <si>
    <t>93.00</t>
  </si>
  <si>
    <t>195.00</t>
  </si>
  <si>
    <t>175.00</t>
  </si>
  <si>
    <t>126.00</t>
  </si>
  <si>
    <t>182.00</t>
  </si>
  <si>
    <t>137.00</t>
  </si>
  <si>
    <t>118.00</t>
  </si>
  <si>
    <t>222.00</t>
  </si>
  <si>
    <t>196.00</t>
  </si>
  <si>
    <t>258.00</t>
  </si>
  <si>
    <t>220.00</t>
  </si>
  <si>
    <t>162.00</t>
  </si>
  <si>
    <t>248.00</t>
  </si>
  <si>
    <t>271.00</t>
  </si>
  <si>
    <t>242.00</t>
  </si>
  <si>
    <t>197.00</t>
  </si>
  <si>
    <t>4413</t>
  </si>
  <si>
    <t>15.00</t>
  </si>
  <si>
    <t>14.00</t>
  </si>
  <si>
    <t>31.00</t>
  </si>
  <si>
    <t>22.00</t>
  </si>
  <si>
    <t>12.00</t>
  </si>
  <si>
    <t>7.00</t>
  </si>
  <si>
    <t>36.00</t>
  </si>
  <si>
    <t>38.00</t>
  </si>
  <si>
    <t>26.00</t>
  </si>
  <si>
    <t>10.00</t>
  </si>
  <si>
    <t>37.00</t>
  </si>
  <si>
    <t>29.00</t>
  </si>
  <si>
    <t>28.00</t>
  </si>
  <si>
    <t>9.00</t>
  </si>
  <si>
    <t>35.00</t>
  </si>
  <si>
    <t>34.00</t>
  </si>
  <si>
    <t>594</t>
  </si>
  <si>
    <t>1.00</t>
  </si>
  <si>
    <t>5.00</t>
  </si>
  <si>
    <t>6.00</t>
  </si>
  <si>
    <t>2.00</t>
  </si>
  <si>
    <t>3.00</t>
  </si>
  <si>
    <t>4.00</t>
  </si>
  <si>
    <t>102</t>
  </si>
  <si>
    <t>41.00</t>
  </si>
  <si>
    <t>25.00</t>
  </si>
  <si>
    <t>157</t>
  </si>
  <si>
    <t>19.00</t>
  </si>
  <si>
    <t>16.00</t>
  </si>
  <si>
    <t>21.00</t>
  </si>
  <si>
    <t>218</t>
  </si>
  <si>
    <t>18</t>
  </si>
  <si>
    <t>51</t>
  </si>
  <si>
    <t>8.00</t>
  </si>
  <si>
    <t>13.00</t>
  </si>
  <si>
    <t>18.00</t>
  </si>
  <si>
    <t>203</t>
  </si>
  <si>
    <t>68</t>
  </si>
  <si>
    <t>39.00</t>
  </si>
  <si>
    <t>27.00</t>
  </si>
  <si>
    <t>23.00</t>
  </si>
  <si>
    <t>81.00</t>
  </si>
  <si>
    <t>57.00</t>
  </si>
  <si>
    <t>20.00</t>
  </si>
  <si>
    <t>640</t>
  </si>
  <si>
    <t>139794654.00</t>
  </si>
  <si>
    <t>137959501.00</t>
  </si>
  <si>
    <t>135574128.00</t>
  </si>
  <si>
    <t>135573833.00</t>
  </si>
  <si>
    <t>136404498.00</t>
  </si>
  <si>
    <t>136226803.00</t>
  </si>
  <si>
    <t>136074028.00</t>
  </si>
  <si>
    <t>137485748.00</t>
  </si>
  <si>
    <t>141204218.00</t>
  </si>
  <si>
    <t>139138711.00</t>
  </si>
  <si>
    <t>139132231.00</t>
  </si>
  <si>
    <t>141399429.00</t>
  </si>
  <si>
    <t>142964866.00</t>
  </si>
  <si>
    <t>143611345.00</t>
  </si>
  <si>
    <t>143961194.00</t>
  </si>
  <si>
    <t>144828265.00</t>
  </si>
  <si>
    <t>141596584.00</t>
  </si>
  <si>
    <t>141589344.00</t>
  </si>
  <si>
    <t>140647507.00</t>
  </si>
  <si>
    <t>140822388.00</t>
  </si>
  <si>
    <t>141404208.00</t>
  </si>
  <si>
    <t>139344591.00</t>
  </si>
  <si>
    <t>138544899.00</t>
  </si>
  <si>
    <t>136247571.00</t>
  </si>
  <si>
    <t>136240634.00</t>
  </si>
  <si>
    <t>136082859.00</t>
  </si>
  <si>
    <t>132681403.00</t>
  </si>
  <si>
    <t>127902067.00</t>
  </si>
  <si>
    <t>125837986.00</t>
  </si>
  <si>
    <t>125768995.00</t>
  </si>
  <si>
    <t>137477854.29</t>
  </si>
  <si>
    <t>130463017.00</t>
  </si>
  <si>
    <t>129811627.00</t>
  </si>
  <si>
    <t>130330030.00</t>
  </si>
  <si>
    <t>130316779.00</t>
  </si>
  <si>
    <t>132467376.00</t>
  </si>
  <si>
    <t>132435736.00</t>
  </si>
  <si>
    <t>140265325.00</t>
  </si>
  <si>
    <t>139812651.00</t>
  </si>
  <si>
    <t>141933387.00</t>
  </si>
  <si>
    <t>139591064.00</t>
  </si>
  <si>
    <t>138107159.00</t>
  </si>
  <si>
    <t>134974302.00</t>
  </si>
  <si>
    <t>129978644.00</t>
  </si>
  <si>
    <t>125454401.00</t>
  </si>
  <si>
    <t>120761130.00</t>
  </si>
  <si>
    <t>118219809.00</t>
  </si>
  <si>
    <t>118204084.00</t>
  </si>
  <si>
    <t>117929780.00</t>
  </si>
  <si>
    <t>116625937.00</t>
  </si>
  <si>
    <t>116730102.00</t>
  </si>
  <si>
    <t>115832952.00</t>
  </si>
  <si>
    <t>116565819.00</t>
  </si>
  <si>
    <t>114209640.00</t>
  </si>
  <si>
    <t>114208364.00</t>
  </si>
  <si>
    <t>114512706.00</t>
  </si>
  <si>
    <t>115065696.00</t>
  </si>
  <si>
    <t>117418276.00</t>
  </si>
  <si>
    <t>117948248.00</t>
  </si>
  <si>
    <t>125343922.61</t>
  </si>
  <si>
    <t>41716413.00</t>
  </si>
  <si>
    <t>39568821.00</t>
  </si>
  <si>
    <t>38444914.00</t>
  </si>
  <si>
    <t>37077576.00</t>
  </si>
  <si>
    <t>36152455.00</t>
  </si>
  <si>
    <t>36819794.00</t>
  </si>
  <si>
    <t>37965799.00</t>
  </si>
  <si>
    <t>37099447.00</t>
  </si>
  <si>
    <t>36207101.00</t>
  </si>
  <si>
    <t>36206987.00</t>
  </si>
  <si>
    <t>35437606.00</t>
  </si>
  <si>
    <t>35455957.00</t>
  </si>
  <si>
    <t>37182871.00</t>
  </si>
  <si>
    <t>38525285.00</t>
  </si>
  <si>
    <t>37091080.00</t>
  </si>
  <si>
    <t>36073780.00</t>
  </si>
  <si>
    <t>36072920.00</t>
  </si>
  <si>
    <t>36323752.00</t>
  </si>
  <si>
    <t>35217541.00</t>
  </si>
  <si>
    <t>34260563.00</t>
  </si>
  <si>
    <t>32834865.00</t>
  </si>
  <si>
    <t>31694330.00</t>
  </si>
  <si>
    <t>30805434.00</t>
  </si>
  <si>
    <t>31099177.00</t>
  </si>
  <si>
    <t>31601845.00</t>
  </si>
  <si>
    <t>32933117.00</t>
  </si>
  <si>
    <t>32651303.00</t>
  </si>
  <si>
    <t>35389473.77</t>
  </si>
  <si>
    <t>11269974.00</t>
  </si>
  <si>
    <t>11199118.00</t>
  </si>
  <si>
    <t>10215716.00</t>
  </si>
  <si>
    <t>9664888.00</t>
  </si>
  <si>
    <t>7647046.00</t>
  </si>
  <si>
    <t>7061967.00</t>
  </si>
  <si>
    <t>7016879.00</t>
  </si>
  <si>
    <t>7257779.00</t>
  </si>
  <si>
    <t>7325248.00</t>
  </si>
  <si>
    <t>7293924.00</t>
  </si>
  <si>
    <t>7424014.00</t>
  </si>
  <si>
    <t>7511787.00</t>
  </si>
  <si>
    <t>7750505.00</t>
  </si>
  <si>
    <t>7774722.00</t>
  </si>
  <si>
    <t>7841622.00</t>
  </si>
  <si>
    <t>7808133.00</t>
  </si>
  <si>
    <t>7795733.00</t>
  </si>
  <si>
    <t>7831328.00</t>
  </si>
  <si>
    <t>7984331.00</t>
  </si>
  <si>
    <t>7978830.00</t>
  </si>
  <si>
    <t>8066521.00</t>
  </si>
  <si>
    <t>8000620.00</t>
  </si>
  <si>
    <t>7048446.00</t>
  </si>
  <si>
    <t>5543196.00</t>
  </si>
  <si>
    <t>7886063.13</t>
  </si>
  <si>
    <t>6346190.00</t>
  </si>
  <si>
    <t>6359939.00</t>
  </si>
  <si>
    <t>6381708.00</t>
  </si>
  <si>
    <t>6696677.00</t>
  </si>
  <si>
    <t>8008940.00</t>
  </si>
  <si>
    <t>5417301.00</t>
  </si>
  <si>
    <t>5363136.00</t>
  </si>
  <si>
    <t>5243232.00</t>
  </si>
  <si>
    <t>5249076.00</t>
  </si>
  <si>
    <t>5257668.00</t>
  </si>
  <si>
    <t>5864927.00</t>
  </si>
  <si>
    <t>5713884.00</t>
  </si>
  <si>
    <t>5700124.00</t>
  </si>
  <si>
    <t>5493048.00</t>
  </si>
  <si>
    <t>5445753.00</t>
  </si>
  <si>
    <t>5438368.00</t>
  </si>
  <si>
    <t>5433008.00</t>
  </si>
  <si>
    <t>5383803.00</t>
  </si>
  <si>
    <t>5135085.00</t>
  </si>
  <si>
    <t>5170416.00</t>
  </si>
  <si>
    <t>5375722.00</t>
  </si>
  <si>
    <t>5309001.00</t>
  </si>
  <si>
    <t>5301032.00</t>
  </si>
  <si>
    <t>5225078.00</t>
  </si>
  <si>
    <t>5630663.48</t>
  </si>
  <si>
    <t>3592653.00</t>
  </si>
  <si>
    <t>3603441.00</t>
  </si>
  <si>
    <t>3438490.00</t>
  </si>
  <si>
    <t>3611995.00</t>
  </si>
  <si>
    <t>3573832.00</t>
  </si>
  <si>
    <t>3660313.00</t>
  </si>
  <si>
    <t>3602557.00</t>
  </si>
  <si>
    <t>3602662.00</t>
  </si>
  <si>
    <t>3602762.00</t>
  </si>
  <si>
    <t>3613248.00</t>
  </si>
  <si>
    <t>3587858.00</t>
  </si>
  <si>
    <t>3468947.00</t>
  </si>
  <si>
    <t>3469753.00</t>
  </si>
  <si>
    <t>3469840.00</t>
  </si>
  <si>
    <t>3462629.00</t>
  </si>
  <si>
    <t>3384277.00</t>
  </si>
  <si>
    <t>3367385.00</t>
  </si>
  <si>
    <t>3297941.00</t>
  </si>
  <si>
    <t>3089159.00</t>
  </si>
  <si>
    <t>3126783.00</t>
  </si>
  <si>
    <t>1504496.00</t>
  </si>
  <si>
    <t>54178.00</t>
  </si>
  <si>
    <t>3085112.48</t>
  </si>
  <si>
    <t>1815285.00</t>
  </si>
  <si>
    <t>1834673.00</t>
  </si>
  <si>
    <t>1792821.00</t>
  </si>
  <si>
    <t>1933945.00</t>
  </si>
  <si>
    <t>1938267.00</t>
  </si>
  <si>
    <t>1754019.00</t>
  </si>
  <si>
    <t>1743335.00</t>
  </si>
  <si>
    <t>1750941.00</t>
  </si>
  <si>
    <t>1744125.00</t>
  </si>
  <si>
    <t>1743153.00</t>
  </si>
  <si>
    <t>1755930.00</t>
  </si>
  <si>
    <t>2952221.00</t>
  </si>
  <si>
    <t>2792471.00</t>
  </si>
  <si>
    <t>4076022.00</t>
  </si>
  <si>
    <t>4052412.00</t>
  </si>
  <si>
    <t>4073631.00</t>
  </si>
  <si>
    <t>5468026.00</t>
  </si>
  <si>
    <t>5466760.00</t>
  </si>
  <si>
    <t>5482660.00</t>
  </si>
  <si>
    <t>7112763.00</t>
  </si>
  <si>
    <t>7108225.00</t>
  </si>
  <si>
    <t>7131861.00</t>
  </si>
  <si>
    <t>7164131.00</t>
  </si>
  <si>
    <t>7073896.00</t>
  </si>
  <si>
    <t>8233891.00</t>
  </si>
  <si>
    <t>4166478.35</t>
  </si>
  <si>
    <t>24192.00</t>
  </si>
  <si>
    <t>19509.68</t>
  </si>
  <si>
    <t>M</t>
  </si>
  <si>
    <t>6350.00</t>
  </si>
  <si>
    <t>11444.00</t>
  </si>
  <si>
    <t>47744.00</t>
  </si>
  <si>
    <t>55051.00</t>
  </si>
  <si>
    <t>18751.00</t>
  </si>
  <si>
    <t>23349.00</t>
  </si>
  <si>
    <t>25714.00</t>
  </si>
  <si>
    <t>17894.00</t>
  </si>
  <si>
    <t>26097.97</t>
  </si>
  <si>
    <t>1968.00</t>
  </si>
  <si>
    <t>63.48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</si>
  <si>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</si>
  <si>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</si>
  <si>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</si>
  <si>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</si>
  <si>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</si>
  <si>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</si>
  <si>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</si>
  <si>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</si>
  <si>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</si>
  <si>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</si>
  <si>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</si>
  <si>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</si>
  <si>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</si>
  <si>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</si>
  <si>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</si>
  <si>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</si>
  <si>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</si>
  <si>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</si>
  <si>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</si>
  <si>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</si>
  <si>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</si>
  <si>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</si>
  <si>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</si>
  <si>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</si>
  <si>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</si>
  <si>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</si>
  <si>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</si>
  <si>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</si>
  <si>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</si>
  <si>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303547104.61</t>
  </si>
  <si>
    <t>305015691.73</t>
  </si>
  <si>
    <t>298934055.00</t>
  </si>
  <si>
    <t>301522048.00</t>
  </si>
  <si>
    <t>312011790.00</t>
  </si>
  <si>
    <t>307804297.00</t>
  </si>
  <si>
    <t>311952904.00</t>
  </si>
  <si>
    <t>308322760.00</t>
  </si>
  <si>
    <t>213813987.06</t>
  </si>
  <si>
    <t>216421676.39</t>
  </si>
  <si>
    <t>230735445.39</t>
  </si>
  <si>
    <t>242111303.37</t>
  </si>
  <si>
    <t>225770603.00</t>
  </si>
  <si>
    <t>217348722.00</t>
  </si>
  <si>
    <t>229286452.00</t>
  </si>
  <si>
    <t>234536820.00</t>
  </si>
  <si>
    <t>232645519.00</t>
  </si>
  <si>
    <t>6894022.48</t>
  </si>
  <si>
    <t>7273219.50</t>
  </si>
  <si>
    <t>6022622.23</t>
  </si>
  <si>
    <t>6246401.67</t>
  </si>
  <si>
    <t>6609067.00</t>
  </si>
  <si>
    <t>11731801.00</t>
  </si>
  <si>
    <t>6677578.00</t>
  </si>
  <si>
    <t>7953023.00</t>
  </si>
  <si>
    <t>8190649.00</t>
  </si>
  <si>
    <t>11103888.48</t>
  </si>
  <si>
    <t>10717600.11</t>
  </si>
  <si>
    <t>7939466.94</t>
  </si>
  <si>
    <t>7405026.60</t>
  </si>
  <si>
    <t>9291496.00</t>
  </si>
  <si>
    <t>11043043.00</t>
  </si>
  <si>
    <t>11016551.00</t>
  </si>
  <si>
    <t>6604155.00</t>
  </si>
  <si>
    <t>8866156.00</t>
  </si>
  <si>
    <t>21593172.87</t>
  </si>
  <si>
    <t>19382073.82</t>
  </si>
  <si>
    <t>19671570.68</t>
  </si>
  <si>
    <t>18629028.17</t>
  </si>
  <si>
    <t>19818962.00</t>
  </si>
  <si>
    <t>18962815.00</t>
  </si>
  <si>
    <t>23106428.00</t>
  </si>
  <si>
    <t>21071693.00</t>
  </si>
  <si>
    <t>21051552.00</t>
  </si>
  <si>
    <t>9729574.06</t>
  </si>
  <si>
    <t>13250904.71</t>
  </si>
  <si>
    <t>11342667.68</t>
  </si>
  <si>
    <t>11143472.50</t>
  </si>
  <si>
    <t>11366655.00</t>
  </si>
  <si>
    <t>11220240.00</t>
  </si>
  <si>
    <t>19113676.00</t>
  </si>
  <si>
    <t>13631227.00</t>
  </si>
  <si>
    <t>16702373.00</t>
  </si>
  <si>
    <t>1710555.94</t>
  </si>
  <si>
    <t>1534112.82</t>
  </si>
  <si>
    <t>1354194.52</t>
  </si>
  <si>
    <t>2181402.27</t>
  </si>
  <si>
    <t>1695067.00</t>
  </si>
  <si>
    <t>1745249.00</t>
  </si>
  <si>
    <t>1677636.00</t>
  </si>
  <si>
    <t>1480486.00</t>
  </si>
  <si>
    <t>1886353.00</t>
  </si>
  <si>
    <t>106839.00</t>
  </si>
  <si>
    <t>97968.03</t>
  </si>
  <si>
    <t>94797.33</t>
  </si>
  <si>
    <t>101611.00</t>
  </si>
  <si>
    <t>93089.00</t>
  </si>
  <si>
    <t>99652.00</t>
  </si>
  <si>
    <t>2731882.90</t>
  </si>
  <si>
    <t>2401477.71</t>
  </si>
  <si>
    <t>1864895.61</t>
  </si>
  <si>
    <t>1992262.87</t>
  </si>
  <si>
    <t>2247630.00</t>
  </si>
  <si>
    <t>4434328.00</t>
  </si>
  <si>
    <t>2190434.00</t>
  </si>
  <si>
    <t>2572318.00</t>
  </si>
  <si>
    <t>2644689.00</t>
  </si>
  <si>
    <t>279829.61</t>
  </si>
  <si>
    <t>312786.57</t>
  </si>
  <si>
    <t>306112.52</t>
  </si>
  <si>
    <t>267643.33</t>
  </si>
  <si>
    <t>291593.00</t>
  </si>
  <si>
    <t>295438.00</t>
  </si>
  <si>
    <t>352938.00</t>
  </si>
  <si>
    <t>271778.00</t>
  </si>
  <si>
    <t>290911.00</t>
  </si>
  <si>
    <t>1636322.68</t>
  </si>
  <si>
    <t>1606880.50</t>
  </si>
  <si>
    <t>1608277.81</t>
  </si>
  <si>
    <t>1614727.63</t>
  </si>
  <si>
    <t>1616553.00</t>
  </si>
  <si>
    <t>1609870.00</t>
  </si>
  <si>
    <t>1606723.00</t>
  </si>
  <si>
    <t>17-8</t>
  </si>
  <si>
    <t>4738534.16</t>
  </si>
  <si>
    <t>6616871.43</t>
  </si>
  <si>
    <t>6569016.87</t>
  </si>
  <si>
    <t>6269507.10</t>
  </si>
  <si>
    <t>6048482.00</t>
  </si>
  <si>
    <t>5742313.00</t>
  </si>
  <si>
    <t>8972166.00</t>
  </si>
  <si>
    <t>8317135.00</t>
  </si>
  <si>
    <t>8136926.00</t>
  </si>
  <si>
    <t>12592603.32</t>
  </si>
  <si>
    <t>10668231.32</t>
  </si>
  <si>
    <t>11760706.42</t>
  </si>
  <si>
    <t>10427096.50</t>
  </si>
  <si>
    <t>11362159.00</t>
  </si>
  <si>
    <t>11062673.00</t>
  </si>
  <si>
    <t>12466503.00</t>
  </si>
  <si>
    <t>10840157.00</t>
  </si>
  <si>
    <t>11154318.00</t>
  </si>
  <si>
    <t>8170824.77</t>
  </si>
  <si>
    <t>16891475.68</t>
  </si>
  <si>
    <t>24401515.81</t>
  </si>
  <si>
    <t>23605583.47</t>
  </si>
  <si>
    <t>18267350.00</t>
  </si>
  <si>
    <t>8141268.00</t>
  </si>
  <si>
    <t>21387425.00</t>
  </si>
  <si>
    <t>25013368.00</t>
  </si>
  <si>
    <t>19145149.00</t>
  </si>
  <si>
    <t>138994.00</t>
  </si>
  <si>
    <t>159046.00</t>
  </si>
  <si>
    <t>188859.81</t>
  </si>
  <si>
    <t>173142.00</t>
  </si>
  <si>
    <t>165011.00</t>
  </si>
  <si>
    <t>201634.00</t>
  </si>
  <si>
    <t>179314.00</t>
  </si>
  <si>
    <t>182320.00</t>
  </si>
  <si>
    <t>9106516.68</t>
  </si>
  <si>
    <t>9492109.11</t>
  </si>
  <si>
    <t>9381405.61</t>
  </si>
  <si>
    <t>8789643.90</t>
  </si>
  <si>
    <t>9192419.00</t>
  </si>
  <si>
    <t>7670141.00</t>
  </si>
  <si>
    <t>10611816.00</t>
  </si>
  <si>
    <t>9016362.00</t>
  </si>
  <si>
    <t>9592211.00</t>
  </si>
  <si>
    <t>4444644.09</t>
  </si>
  <si>
    <t>5507793.46</t>
  </si>
  <si>
    <t>5928979.93</t>
  </si>
  <si>
    <t>7326142.47</t>
  </si>
  <si>
    <t>5801890.00</t>
  </si>
  <si>
    <t>4802566.00</t>
  </si>
  <si>
    <t>5405462.00</t>
  </si>
  <si>
    <t>6546163.00</t>
  </si>
  <si>
    <t>6127037.00</t>
  </si>
  <si>
    <t>91.1</t>
  </si>
  <si>
    <t>91.2</t>
  </si>
  <si>
    <t>83</t>
  </si>
  <si>
    <t>87.4</t>
  </si>
  <si>
    <t>90.3</t>
  </si>
  <si>
    <t>50</t>
  </si>
  <si>
    <t>37.5</t>
  </si>
  <si>
    <t>85.5</t>
  </si>
  <si>
    <t>80.7</t>
  </si>
  <si>
    <t>90.7</t>
  </si>
  <si>
    <t>89.2</t>
  </si>
  <si>
    <t>84.5</t>
  </si>
  <si>
    <t>89.1</t>
  </si>
  <si>
    <t>92.6</t>
  </si>
  <si>
    <t>82.9</t>
  </si>
  <si>
    <t>88.2</t>
  </si>
  <si>
    <t>AVGITEMS</t>
  </si>
  <si>
    <t>4435</t>
  </si>
  <si>
    <t>5186</t>
  </si>
  <si>
    <t>4253</t>
  </si>
  <si>
    <t>3663</t>
  </si>
  <si>
    <t>4384</t>
  </si>
  <si>
    <t>884</t>
  </si>
  <si>
    <t>782</t>
  </si>
  <si>
    <t>727</t>
  </si>
  <si>
    <t>575</t>
  </si>
  <si>
    <t>742</t>
  </si>
  <si>
    <t>101</t>
  </si>
  <si>
    <t>5</t>
  </si>
  <si>
    <t>29</t>
  </si>
  <si>
    <t>44</t>
  </si>
  <si>
    <t>20</t>
  </si>
  <si>
    <t>37</t>
  </si>
  <si>
    <t>30</t>
  </si>
  <si>
    <t>143</t>
  </si>
  <si>
    <t>330</t>
  </si>
  <si>
    <t>239</t>
  </si>
  <si>
    <t>315</t>
  </si>
  <si>
    <t>257</t>
  </si>
  <si>
    <t>127</t>
  </si>
  <si>
    <t>140</t>
  </si>
  <si>
    <t>152</t>
  </si>
  <si>
    <t>9</t>
  </si>
  <si>
    <t>26</t>
  </si>
  <si>
    <t>10</t>
  </si>
  <si>
    <t>7</t>
  </si>
  <si>
    <t>21</t>
  </si>
  <si>
    <t>17</t>
  </si>
  <si>
    <t>27</t>
  </si>
  <si>
    <t>24</t>
  </si>
  <si>
    <t>260</t>
  </si>
  <si>
    <t>350</t>
  </si>
  <si>
    <t>394</t>
  </si>
  <si>
    <t>246</t>
  </si>
  <si>
    <t>313</t>
  </si>
  <si>
    <t>230</t>
  </si>
  <si>
    <t>153</t>
  </si>
  <si>
    <t>94</t>
  </si>
  <si>
    <t>47</t>
  </si>
  <si>
    <t>131</t>
  </si>
  <si>
    <t>570</t>
  </si>
  <si>
    <t>546</t>
  </si>
  <si>
    <t>665</t>
  </si>
  <si>
    <t>434</t>
  </si>
  <si>
    <t>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</si>
</sst>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AK5" activePane="bottomRight" state="frozen"/>
      <selection pane="bottomRight" activeCell="AO17" sqref="AL17:AO17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81" t="s">
        <v>1</v>
      </c>
      <c r="B3" s="582"/>
      <c r="C3" s="583"/>
      <c r="D3" s="509" t="str">
        <f>YEAR(日期!C2)-1&amp;"/"&amp;MONTH(日期!C2)</f>
        <v>2024/5</v>
      </c>
      <c r="E3" s="509" t="str">
        <f>YEAR(日期!C2)&amp;"/"&amp;MONTH(日期!C2)</f>
        <v>2025/5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2025/05/01</v>
      </c>
      <c r="J3" s="527" t="str">
        <f>日期!D2</f>
        <v>2025/05/02</v>
      </c>
      <c r="K3" s="527" t="str">
        <f>日期!E2</f>
        <v>2025/05/03</v>
      </c>
      <c r="L3" s="527" t="str">
        <f>日期!F2</f>
        <v>2025/05/04</v>
      </c>
      <c r="M3" s="527" t="str">
        <f>日期!G2</f>
        <v>2025/05/05</v>
      </c>
      <c r="N3" s="527" t="str">
        <f>日期!H2</f>
        <v>2025/05/06</v>
      </c>
      <c r="O3" s="527" t="str">
        <f>日期!I2</f>
        <v>2025/05/07</v>
      </c>
      <c r="P3" s="527" t="str">
        <f>日期!J2</f>
        <v>2025/05/08</v>
      </c>
      <c r="Q3" s="527" t="str">
        <f>日期!K2</f>
        <v>2025/05/09</v>
      </c>
      <c r="R3" s="527" t="str">
        <f>日期!L2</f>
        <v>2025/05/10</v>
      </c>
      <c r="S3" s="527" t="str">
        <f>日期!M2</f>
        <v>2025/05/11</v>
      </c>
      <c r="T3" s="527" t="str">
        <f>日期!N2</f>
        <v>2025/05/12</v>
      </c>
      <c r="U3" s="527" t="str">
        <f>日期!O2</f>
        <v>2025/05/13</v>
      </c>
      <c r="V3" s="527" t="str">
        <f>日期!P2</f>
        <v>2025/05/14</v>
      </c>
      <c r="W3" s="527" t="str">
        <f>日期!Q2</f>
        <v>2025/05/15</v>
      </c>
      <c r="X3" s="527" t="str">
        <f>日期!R2</f>
        <v>2025/05/16</v>
      </c>
      <c r="Y3" s="527" t="str">
        <f>日期!S2</f>
        <v>2025/05/17</v>
      </c>
      <c r="Z3" s="527" t="str">
        <f>日期!T2</f>
        <v>2025/05/18</v>
      </c>
      <c r="AA3" s="527" t="str">
        <f>日期!U2</f>
        <v>2025/05/19</v>
      </c>
      <c r="AB3" s="527" t="str">
        <f>日期!V2</f>
        <v>2025/05/20</v>
      </c>
      <c r="AC3" s="527" t="str">
        <f>日期!W2</f>
        <v>2025/05/21</v>
      </c>
      <c r="AD3" s="527" t="str">
        <f>日期!X2</f>
        <v>2025/05/22</v>
      </c>
      <c r="AE3" s="527" t="str">
        <f>日期!Y2</f>
        <v>2025/05/23</v>
      </c>
      <c r="AF3" s="527" t="str">
        <f>日期!Z2</f>
        <v>2025/05/24</v>
      </c>
      <c r="AG3" s="527" t="str">
        <f>日期!AA2</f>
        <v>2025/05/25</v>
      </c>
      <c r="AH3" s="527" t="str">
        <f>日期!AB2</f>
        <v>2025/05/26</v>
      </c>
      <c r="AI3" s="527" t="str">
        <f>日期!AC2</f>
        <v>2025/05/27</v>
      </c>
      <c r="AJ3" s="527" t="str">
        <f>日期!AD2</f>
        <v>2025/05/28</v>
      </c>
      <c r="AK3" s="527" t="str">
        <f>日期!AE2</f>
        <v>2025/05/29</v>
      </c>
      <c r="AL3" s="527" t="str">
        <f>日期!AF2</f>
        <v>2025/05/30</v>
      </c>
      <c r="AM3" s="527" t="str">
        <f>日期!AG2</f>
        <v>2025/05/31</v>
      </c>
      <c r="AN3" s="587" t="s">
        <v>2</v>
      </c>
      <c r="AO3" s="579" t="s">
        <v>3</v>
      </c>
    </row>
    <row r="4" spans="1:44" s="14" customFormat="1" ht="21.4" customHeight="1" thickBot="1">
      <c r="A4" s="584"/>
      <c r="B4" s="585"/>
      <c r="C4" s="58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Thu</v>
      </c>
      <c r="J4" s="12" t="str">
        <f>日期!D3</f>
        <v>Fri</v>
      </c>
      <c r="K4" s="12" t="str">
        <f>日期!E3</f>
        <v>Sat</v>
      </c>
      <c r="L4" s="12" t="str">
        <f>日期!F3</f>
        <v>Sun</v>
      </c>
      <c r="M4" s="12" t="str">
        <f>日期!G3</f>
        <v>Mon</v>
      </c>
      <c r="N4" s="12" t="str">
        <f>日期!H3</f>
        <v>Tue</v>
      </c>
      <c r="O4" s="12" t="str">
        <f>日期!I3</f>
        <v>Wed</v>
      </c>
      <c r="P4" s="12" t="str">
        <f>日期!J3</f>
        <v>Thu</v>
      </c>
      <c r="Q4" s="12" t="str">
        <f>日期!K3</f>
        <v>Fri</v>
      </c>
      <c r="R4" s="12" t="str">
        <f>日期!L3</f>
        <v>Sat</v>
      </c>
      <c r="S4" s="12" t="str">
        <f>日期!M3</f>
        <v>Sun</v>
      </c>
      <c r="T4" s="12" t="str">
        <f>日期!N3</f>
        <v>Mon</v>
      </c>
      <c r="U4" s="12" t="str">
        <f>日期!O3</f>
        <v>Tue</v>
      </c>
      <c r="V4" s="12" t="str">
        <f>日期!P3</f>
        <v>Wed</v>
      </c>
      <c r="W4" s="12" t="str">
        <f>日期!Q3</f>
        <v>Thu</v>
      </c>
      <c r="X4" s="12" t="str">
        <f>日期!R3</f>
        <v>Fri</v>
      </c>
      <c r="Y4" s="12" t="str">
        <f>日期!S3</f>
        <v>Sat</v>
      </c>
      <c r="Z4" s="12" t="str">
        <f>日期!T3</f>
        <v>Sun</v>
      </c>
      <c r="AA4" s="12" t="str">
        <f>日期!U3</f>
        <v>Mon</v>
      </c>
      <c r="AB4" s="12" t="str">
        <f>日期!V3</f>
        <v>Tue</v>
      </c>
      <c r="AC4" s="12" t="str">
        <f>日期!W3</f>
        <v>Wed</v>
      </c>
      <c r="AD4" s="12" t="str">
        <f>日期!X3</f>
        <v>Thu</v>
      </c>
      <c r="AE4" s="12" t="str">
        <f>日期!Y3</f>
        <v>Fri</v>
      </c>
      <c r="AF4" s="12" t="str">
        <f>日期!Z3</f>
        <v>Sat</v>
      </c>
      <c r="AG4" s="12" t="str">
        <f>日期!AA3</f>
        <v>Sun</v>
      </c>
      <c r="AH4" s="12" t="str">
        <f>日期!AB3</f>
        <v>Mon</v>
      </c>
      <c r="AI4" s="12" t="str">
        <f>日期!AC3</f>
        <v>Tue</v>
      </c>
      <c r="AJ4" s="12" t="str">
        <f>日期!AD3</f>
        <v>Wed</v>
      </c>
      <c r="AK4" s="12" t="str">
        <f>日期!AE3</f>
        <v>Thu</v>
      </c>
      <c r="AL4" s="12" t="str">
        <f>日期!AF3</f>
        <v>Fri</v>
      </c>
      <c r="AM4" s="12" t="str">
        <f>日期!AG3</f>
        <v>Sat</v>
      </c>
      <c r="AN4" s="588"/>
      <c r="AO4" s="580"/>
      <c r="AP4" s="13"/>
      <c r="AQ4" s="13"/>
    </row>
    <row r="5" spans="1:44" s="18" customFormat="1" ht="21.95" customHeight="1">
      <c r="A5" s="589" t="s">
        <v>9</v>
      </c>
      <c r="B5" s="590"/>
      <c r="C5" s="591"/>
      <c r="D5" s="301">
        <f>D6+D13+D18+D26</f>
        <v>554844513.64515805</v>
      </c>
      <c r="E5" s="301">
        <f>E6+E13+E18+E26</f>
        <v>624060079.8201282</v>
      </c>
      <c r="F5" s="301">
        <f>F6+F13+F18+F26</f>
        <v>641963499.03144717</v>
      </c>
      <c r="G5" s="15">
        <f>G6+G13+G18+G26</f>
        <v>609877385</v>
      </c>
      <c r="H5" s="15">
        <f>H6+H13+H18+H26</f>
        <v>636071307</v>
      </c>
      <c r="I5" s="15">
        <f t="shared" ref="I5:AM5" si="0">I6+I13+I18+I26</f>
        <v>684014258</v>
      </c>
      <c r="J5" s="15">
        <f t="shared" si="0"/>
        <v>676952599</v>
      </c>
      <c r="K5" s="15">
        <f t="shared" si="0"/>
        <v>661941396</v>
      </c>
      <c r="L5" s="15">
        <f t="shared" si="0"/>
        <v>661936350</v>
      </c>
      <c r="M5" s="15">
        <f t="shared" si="0"/>
        <v>658124553</v>
      </c>
      <c r="N5" s="15">
        <f t="shared" si="0"/>
        <v>656209261</v>
      </c>
      <c r="O5" s="15">
        <f t="shared" si="0"/>
        <v>662770664</v>
      </c>
      <c r="P5" s="15">
        <f t="shared" si="0"/>
        <v>667526524</v>
      </c>
      <c r="Q5" s="15">
        <f t="shared" si="0"/>
        <v>677043071</v>
      </c>
      <c r="R5" s="15">
        <f t="shared" si="0"/>
        <v>659320571</v>
      </c>
      <c r="S5" s="15">
        <f t="shared" si="0"/>
        <v>659310008</v>
      </c>
      <c r="T5" s="15">
        <f t="shared" si="0"/>
        <v>658145775</v>
      </c>
      <c r="U5" s="15">
        <f t="shared" si="0"/>
        <v>657377632</v>
      </c>
      <c r="V5" s="15">
        <f t="shared" si="0"/>
        <v>658336463</v>
      </c>
      <c r="W5" s="15">
        <f t="shared" si="0"/>
        <v>655617228</v>
      </c>
      <c r="X5" s="15">
        <f t="shared" si="0"/>
        <v>655345867</v>
      </c>
      <c r="Y5" s="15">
        <f t="shared" si="0"/>
        <v>634439768</v>
      </c>
      <c r="Z5" s="15">
        <f t="shared" si="0"/>
        <v>634415943</v>
      </c>
      <c r="AA5" s="15">
        <f t="shared" si="0"/>
        <v>631744461</v>
      </c>
      <c r="AB5" s="15">
        <f t="shared" si="0"/>
        <v>627827375</v>
      </c>
      <c r="AC5" s="15">
        <f t="shared" si="0"/>
        <v>633203026</v>
      </c>
      <c r="AD5" s="15">
        <f t="shared" si="0"/>
        <v>626046194</v>
      </c>
      <c r="AE5" s="15">
        <f t="shared" si="0"/>
        <v>630824856</v>
      </c>
      <c r="AF5" s="15">
        <f t="shared" si="0"/>
        <v>612695956</v>
      </c>
      <c r="AG5" s="15">
        <f t="shared" si="0"/>
        <v>612685824</v>
      </c>
      <c r="AH5" s="15">
        <f t="shared" si="0"/>
        <v>618316094</v>
      </c>
      <c r="AI5" s="15">
        <f t="shared" si="0"/>
        <v>617263779</v>
      </c>
      <c r="AJ5" s="15">
        <f t="shared" si="0"/>
        <v>619784815</v>
      </c>
      <c r="AK5" s="15">
        <f t="shared" si="0"/>
        <v>613766517</v>
      </c>
      <c r="AL5" s="15">
        <f t="shared" si="0"/>
        <v>620239720</v>
      </c>
      <c r="AM5" s="15">
        <f t="shared" si="0"/>
        <v>620249395</v>
      </c>
      <c r="AN5" s="524">
        <f>AN6+AN13+AN18+AN26</f>
        <v>9675</v>
      </c>
      <c r="AO5" s="238">
        <f>AO6+AO13+AO18+AO26</f>
        <v>643983094.94000006</v>
      </c>
      <c r="AP5" s="16">
        <f t="shared" ref="AP5:AP13" si="1">AJ5/10000</f>
        <v>61978.481500000002</v>
      </c>
      <c r="AQ5" s="17">
        <f t="shared" ref="AQ5:AQ13" si="2">AO5/10000</f>
        <v>64398.309494000008</v>
      </c>
    </row>
    <row r="6" spans="1:44" s="14" customFormat="1" ht="21.95" customHeight="1">
      <c r="A6" s="19"/>
      <c r="B6" s="592" t="s">
        <v>10</v>
      </c>
      <c r="C6" s="593"/>
      <c r="D6" s="287">
        <f t="shared" ref="D6:I6" si="3">SUM(D7:D12)</f>
        <v>330715751.63999999</v>
      </c>
      <c r="E6" s="287">
        <f t="shared" si="3"/>
        <v>343552985.32492054</v>
      </c>
      <c r="F6" s="287">
        <f t="shared" si="3"/>
        <v>347930651.35389996</v>
      </c>
      <c r="G6" s="20">
        <f>SUM(G7:G12)</f>
        <v>346020235</v>
      </c>
      <c r="H6" s="20">
        <f t="shared" si="3"/>
        <v>363133490</v>
      </c>
      <c r="I6" s="20">
        <f t="shared" si="3"/>
        <v>369084774</v>
      </c>
      <c r="J6" s="20">
        <f>SUM(J7:J12)</f>
        <v>359856476</v>
      </c>
      <c r="K6" s="20">
        <f>SUM(K7:K12)</f>
        <v>350053666</v>
      </c>
      <c r="L6" s="20">
        <f t="shared" ref="L6:AO6" si="4">SUM(L7:L12)</f>
        <v>350048620</v>
      </c>
      <c r="M6" s="20">
        <f t="shared" si="4"/>
        <v>347890055</v>
      </c>
      <c r="N6" s="20">
        <f t="shared" si="4"/>
        <v>348263474</v>
      </c>
      <c r="O6" s="20">
        <f t="shared" si="4"/>
        <v>355521084</v>
      </c>
      <c r="P6" s="20">
        <f t="shared" si="4"/>
        <v>357788859</v>
      </c>
      <c r="Q6" s="20">
        <f t="shared" si="4"/>
        <v>365090198</v>
      </c>
      <c r="R6" s="20">
        <f t="shared" si="4"/>
        <v>352254924</v>
      </c>
      <c r="S6" s="20">
        <f t="shared" si="4"/>
        <v>352248330</v>
      </c>
      <c r="T6" s="20">
        <f t="shared" si="4"/>
        <v>351563601</v>
      </c>
      <c r="U6" s="20">
        <f t="shared" si="4"/>
        <v>351451509</v>
      </c>
      <c r="V6" s="20">
        <f t="shared" si="4"/>
        <v>351177799</v>
      </c>
      <c r="W6" s="20">
        <f t="shared" si="4"/>
        <v>348071663</v>
      </c>
      <c r="X6" s="20">
        <f t="shared" si="4"/>
        <v>345646200</v>
      </c>
      <c r="Y6" s="20">
        <f t="shared" si="4"/>
        <v>330752079</v>
      </c>
      <c r="Z6" s="20">
        <f t="shared" si="4"/>
        <v>330728254</v>
      </c>
      <c r="AA6" s="20">
        <f t="shared" si="4"/>
        <v>330451924</v>
      </c>
      <c r="AB6" s="20">
        <f t="shared" si="4"/>
        <v>331430915</v>
      </c>
      <c r="AC6" s="20">
        <f t="shared" si="4"/>
        <v>334159498</v>
      </c>
      <c r="AD6" s="20">
        <f t="shared" si="4"/>
        <v>330724680</v>
      </c>
      <c r="AE6" s="20">
        <f t="shared" si="4"/>
        <v>333448404</v>
      </c>
      <c r="AF6" s="20">
        <f t="shared" si="4"/>
        <v>320796314</v>
      </c>
      <c r="AG6" s="20">
        <f t="shared" si="4"/>
        <v>320786182</v>
      </c>
      <c r="AH6" s="20">
        <f t="shared" si="4"/>
        <v>324448269</v>
      </c>
      <c r="AI6" s="20">
        <f t="shared" si="4"/>
        <v>323646860</v>
      </c>
      <c r="AJ6" s="20">
        <f t="shared" si="4"/>
        <v>325718113</v>
      </c>
      <c r="AK6" s="20">
        <f t="shared" si="4"/>
        <v>325934925</v>
      </c>
      <c r="AL6" s="20">
        <f t="shared" si="4"/>
        <v>330551377</v>
      </c>
      <c r="AM6" s="20">
        <f t="shared" si="4"/>
        <v>330561041</v>
      </c>
      <c r="AN6" s="525">
        <f t="shared" si="4"/>
        <v>9664</v>
      </c>
      <c r="AO6" s="21">
        <f t="shared" si="4"/>
        <v>341295163.45000005</v>
      </c>
      <c r="AP6" s="16">
        <f t="shared" si="1"/>
        <v>32571.811300000001</v>
      </c>
      <c r="AQ6" s="17">
        <f t="shared" si="2"/>
        <v>34129.516345000004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290494156.06</v>
      </c>
      <c r="E7" s="309">
        <f>HLOOKUP(MONTH(日期!$C$2),當年目標設定!$D$1:$O$33,5,TRUE)</f>
        <v>299861286.73782527</v>
      </c>
      <c r="F7" s="308">
        <f>HLOOKUP(MONTH(日期!$C$2),當年目標設定!$R$1:$AC$33,5,TRUE)</f>
        <v>301193449.80506229</v>
      </c>
      <c r="G7" s="308">
        <f>當年月推移!P5</f>
        <v>298934055</v>
      </c>
      <c r="H7" s="308">
        <f>當年月推移!P39</f>
        <v>308322760</v>
      </c>
      <c r="I7" s="27">
        <f>VALUE(庫存金額!C2)</f>
        <v>311974084</v>
      </c>
      <c r="J7" s="27">
        <f>VALUE(庫存金額!D2)</f>
        <v>307339949</v>
      </c>
      <c r="K7" s="27">
        <f>VALUE(庫存金額!E2)</f>
        <v>304349072</v>
      </c>
      <c r="L7" s="27">
        <f>VALUE(庫存金額!F2)</f>
        <v>304335526</v>
      </c>
      <c r="M7" s="27">
        <f>VALUE(庫存金額!G2)</f>
        <v>305949450</v>
      </c>
      <c r="N7" s="27">
        <f>VALUE(庫存金額!H2)</f>
        <v>304814994</v>
      </c>
      <c r="O7" s="27">
        <f>VALUE(庫存金額!I2)</f>
        <v>313159147</v>
      </c>
      <c r="P7" s="27">
        <f>VALUE(庫存金額!J2)</f>
        <v>315264198</v>
      </c>
      <c r="Q7" s="27">
        <f>VALUE(庫存金額!K2)</f>
        <v>320237052</v>
      </c>
      <c r="R7" s="27">
        <f>VALUE(庫存金額!L2)</f>
        <v>314936876</v>
      </c>
      <c r="S7" s="27">
        <f>VALUE(庫存金額!M2)</f>
        <v>314930282</v>
      </c>
      <c r="T7" s="27">
        <f>VALUE(庫存金額!N2)</f>
        <v>314944194</v>
      </c>
      <c r="U7" s="27">
        <f>VALUE(庫存金額!O2)</f>
        <v>313395125</v>
      </c>
      <c r="V7" s="27">
        <f>VALUE(庫存金額!P2)</f>
        <v>310772860</v>
      </c>
      <c r="W7" s="27">
        <f>VALUE(庫存金額!Q2)</f>
        <v>307940880</v>
      </c>
      <c r="X7" s="27">
        <f>VALUE(庫存金額!R2)</f>
        <v>302680475</v>
      </c>
      <c r="Y7" s="27">
        <f>VALUE(庫存金額!S2)</f>
        <v>295890173</v>
      </c>
      <c r="Z7" s="27">
        <f>VALUE(庫存金額!T2)</f>
        <v>295866348</v>
      </c>
      <c r="AA7" s="27">
        <f>VALUE(庫存金額!U2)</f>
        <v>294901039</v>
      </c>
      <c r="AB7" s="27">
        <f>VALUE(庫存金額!V2)</f>
        <v>292665866</v>
      </c>
      <c r="AC7" s="27">
        <f>VALUE(庫存金額!W2)</f>
        <v>292394873</v>
      </c>
      <c r="AD7" s="27">
        <f>VALUE(庫存金額!X2)</f>
        <v>288012408</v>
      </c>
      <c r="AE7" s="27">
        <f>VALUE(庫存金額!Y2)</f>
        <v>286805048</v>
      </c>
      <c r="AF7" s="27">
        <f>VALUE(庫存金額!Z2)</f>
        <v>281262645</v>
      </c>
      <c r="AG7" s="27">
        <f>VALUE(庫存金額!AA2)</f>
        <v>281254432</v>
      </c>
      <c r="AH7" s="27">
        <f>VALUE(庫存金額!AB2)</f>
        <v>281694742</v>
      </c>
      <c r="AI7" s="27">
        <f>VALUE(庫存金額!AC2)</f>
        <v>279348944</v>
      </c>
      <c r="AJ7" s="27">
        <f>VALUE(庫存金額!AD2)</f>
        <v>278253460</v>
      </c>
      <c r="AK7" s="27">
        <f>VALUE(庫存金額!AE2)</f>
        <v>276437537</v>
      </c>
      <c r="AL7" s="27">
        <f>VALUE(庫存金額!AF2)</f>
        <v>276368546</v>
      </c>
      <c r="AM7" s="27">
        <f>VALUE(庫存金額!AG2)</f>
        <v>276368546</v>
      </c>
      <c r="AN7" s="27">
        <f>VALUE(庫存金額!AH2)</f>
        <v>0</v>
      </c>
      <c r="AO7" s="27">
        <f>VALUE(庫存金額!AI2)</f>
        <v>298211250.68000001</v>
      </c>
      <c r="AP7" s="16">
        <f t="shared" si="1"/>
        <v>27825.346000000001</v>
      </c>
      <c r="AQ7" s="17">
        <f t="shared" si="2"/>
        <v>29821.125068000001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5803713.5199999996</v>
      </c>
      <c r="E8" s="309">
        <f>HLOOKUP(MONTH(日期!$C$2),當年目標設定!$D$1:$O$33,6,TRUE)</f>
        <v>5817287.8454297502</v>
      </c>
      <c r="F8" s="308">
        <f>HLOOKUP(MONTH(日期!$C$2),當年目標設定!$R$1:$AC$33,6,TRUE)</f>
        <v>6699898.7214175006</v>
      </c>
      <c r="G8" s="308">
        <f>當年月推移!$P6</f>
        <v>6609067</v>
      </c>
      <c r="H8" s="308">
        <f>當年月推移!P40</f>
        <v>8190649</v>
      </c>
      <c r="I8" s="27">
        <f>VALUE(庫存金額!C4)</f>
        <v>6400194</v>
      </c>
      <c r="J8" s="27">
        <f>VALUE(庫存金額!D4)</f>
        <v>5793832</v>
      </c>
      <c r="K8" s="27">
        <f>VALUE(庫存金額!E4)</f>
        <v>4172804</v>
      </c>
      <c r="L8" s="27">
        <f>VALUE(庫存金額!F4)</f>
        <v>4172804</v>
      </c>
      <c r="M8" s="27">
        <f>VALUE(庫存金額!G4)</f>
        <v>4090908</v>
      </c>
      <c r="N8" s="27">
        <f>VALUE(庫存金額!H4)</f>
        <v>5178997</v>
      </c>
      <c r="O8" s="27">
        <f>VALUE(庫存金額!I4)</f>
        <v>4948274</v>
      </c>
      <c r="P8" s="27">
        <f>VALUE(庫存金額!J4)</f>
        <v>5571175</v>
      </c>
      <c r="Q8" s="27">
        <f>VALUE(庫存金額!K4)</f>
        <v>7202093</v>
      </c>
      <c r="R8" s="27">
        <f>VALUE(庫存金額!L4)</f>
        <v>5213212</v>
      </c>
      <c r="S8" s="27">
        <f>VALUE(庫存金額!M4)</f>
        <v>5213212</v>
      </c>
      <c r="T8" s="27">
        <f>VALUE(庫存金額!N4)</f>
        <v>4523455</v>
      </c>
      <c r="U8" s="27">
        <f>VALUE(庫存金額!O4)</f>
        <v>5025743</v>
      </c>
      <c r="V8" s="27">
        <f>VALUE(庫存金額!P4)</f>
        <v>6555248</v>
      </c>
      <c r="W8" s="27">
        <f>VALUE(庫存金額!Q4)</f>
        <v>4675945</v>
      </c>
      <c r="X8" s="27">
        <f>VALUE(庫存金額!R4)</f>
        <v>7156093</v>
      </c>
      <c r="Y8" s="27">
        <f>VALUE(庫存金額!S4)</f>
        <v>4864407</v>
      </c>
      <c r="Z8" s="27">
        <f>VALUE(庫存金額!T4)</f>
        <v>4864407</v>
      </c>
      <c r="AA8" s="27">
        <f>VALUE(庫存金額!U4)</f>
        <v>5083485</v>
      </c>
      <c r="AB8" s="27">
        <f>VALUE(庫存金額!V4)</f>
        <v>6128581</v>
      </c>
      <c r="AC8" s="27">
        <f>VALUE(庫存金額!W4)</f>
        <v>6681104</v>
      </c>
      <c r="AD8" s="27">
        <f>VALUE(庫存金額!X4)</f>
        <v>6705997</v>
      </c>
      <c r="AE8" s="27">
        <f>VALUE(庫存金額!Y4)</f>
        <v>7288015</v>
      </c>
      <c r="AF8" s="27">
        <f>VALUE(庫存金額!Z4)</f>
        <v>5274518</v>
      </c>
      <c r="AG8" s="27">
        <f>VALUE(庫存金額!AA4)</f>
        <v>5274518</v>
      </c>
      <c r="AH8" s="27">
        <f>VALUE(庫存金額!AB4)</f>
        <v>5214735</v>
      </c>
      <c r="AI8" s="27">
        <f>VALUE(庫存金額!AC4)</f>
        <v>5919370</v>
      </c>
      <c r="AJ8" s="27">
        <f>VALUE(庫存金額!AD4)</f>
        <v>5670066</v>
      </c>
      <c r="AK8" s="27">
        <f>VALUE(庫存金額!AE4)</f>
        <v>7600695</v>
      </c>
      <c r="AL8" s="27">
        <f>VALUE(庫存金額!AF4)</f>
        <v>7600695</v>
      </c>
      <c r="AM8" s="27">
        <f>VALUE(庫存金額!AG4)</f>
        <v>7600695</v>
      </c>
      <c r="AN8" s="27">
        <f>VALUE(庫存金額!AH4)</f>
        <v>0</v>
      </c>
      <c r="AO8" s="27">
        <f>VALUE(庫存金額!AI4)</f>
        <v>5731137.9699999997</v>
      </c>
      <c r="AP8" s="16">
        <f t="shared" si="1"/>
        <v>567.00660000000005</v>
      </c>
      <c r="AQ8" s="17">
        <f t="shared" si="2"/>
        <v>573.11379699999998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3746962.8999999985</v>
      </c>
      <c r="E9" s="309">
        <f>HLOOKUP(MONTH(日期!$C$2),當年目標設定!$D$1:$O$33,7,TRUE)</f>
        <v>7794994.3155912505</v>
      </c>
      <c r="F9" s="308">
        <f>HLOOKUP(MONTH(日期!$C$2),當年目標設定!$R$1:$AC$33,7,TRUE)</f>
        <v>9312238.7973463126</v>
      </c>
      <c r="G9" s="308">
        <f>當年月推移!$P7</f>
        <v>9291496</v>
      </c>
      <c r="H9" s="308">
        <f>當年月推移!P41</f>
        <v>8866156</v>
      </c>
      <c r="I9" s="27">
        <f>VALUE(庫存金額!C5)</f>
        <v>6800876</v>
      </c>
      <c r="J9" s="27">
        <f>VALUE(庫存金額!D5)</f>
        <v>7018299</v>
      </c>
      <c r="K9" s="27">
        <f>VALUE(庫存金額!E5)</f>
        <v>6929576</v>
      </c>
      <c r="L9" s="27">
        <f>VALUE(庫存金額!F5)</f>
        <v>6929576</v>
      </c>
      <c r="M9" s="27">
        <f>VALUE(庫存金額!G5)</f>
        <v>6811797</v>
      </c>
      <c r="N9" s="27">
        <f>VALUE(庫存金額!H5)</f>
        <v>6680095</v>
      </c>
      <c r="O9" s="27">
        <f>VALUE(庫存金額!I5)</f>
        <v>6447781</v>
      </c>
      <c r="P9" s="27">
        <f>VALUE(庫存金額!J5)</f>
        <v>6289744</v>
      </c>
      <c r="Q9" s="27">
        <f>VALUE(庫存金額!K5)</f>
        <v>6165907</v>
      </c>
      <c r="R9" s="27">
        <f>VALUE(庫存金額!L5)</f>
        <v>6050967</v>
      </c>
      <c r="S9" s="27">
        <f>VALUE(庫存金額!M5)</f>
        <v>6050967</v>
      </c>
      <c r="T9" s="27">
        <f>VALUE(庫存金額!N5)</f>
        <v>6142152</v>
      </c>
      <c r="U9" s="27">
        <f>VALUE(庫存金額!O5)</f>
        <v>6029571</v>
      </c>
      <c r="V9" s="27">
        <f>VALUE(庫存金額!P5)</f>
        <v>5916864</v>
      </c>
      <c r="W9" s="27">
        <f>VALUE(庫存金額!Q5)</f>
        <v>5702028</v>
      </c>
      <c r="X9" s="27">
        <f>VALUE(庫存金額!R5)</f>
        <v>5598452</v>
      </c>
      <c r="Y9" s="27">
        <f>VALUE(庫存金額!S5)</f>
        <v>5529684</v>
      </c>
      <c r="Z9" s="27">
        <f>VALUE(庫存金額!T5)</f>
        <v>5529684</v>
      </c>
      <c r="AA9" s="27">
        <f>VALUE(庫存金額!U5)</f>
        <v>5463540</v>
      </c>
      <c r="AB9" s="27">
        <f>VALUE(庫存金額!V5)</f>
        <v>5323223</v>
      </c>
      <c r="AC9" s="27">
        <f>VALUE(庫存金額!W5)</f>
        <v>5394794</v>
      </c>
      <c r="AD9" s="27">
        <f>VALUE(庫存金額!X5)</f>
        <v>5556369</v>
      </c>
      <c r="AE9" s="27">
        <f>VALUE(庫存金額!Y5)</f>
        <v>5611499</v>
      </c>
      <c r="AF9" s="27">
        <f>VALUE(庫存金額!Z5)</f>
        <v>5516591</v>
      </c>
      <c r="AG9" s="27">
        <f>VALUE(庫存金額!AA5)</f>
        <v>5516591</v>
      </c>
      <c r="AH9" s="27">
        <f>VALUE(庫存金額!AB5)</f>
        <v>5491591</v>
      </c>
      <c r="AI9" s="27">
        <f>VALUE(庫存金額!AC5)</f>
        <v>5373873</v>
      </c>
      <c r="AJ9" s="27">
        <f>VALUE(庫存金額!AD5)</f>
        <v>5241109</v>
      </c>
      <c r="AK9" s="27">
        <f>VALUE(庫存金額!AE5)</f>
        <v>5117407</v>
      </c>
      <c r="AL9" s="27">
        <f>VALUE(庫存金額!AF5)</f>
        <v>5117407</v>
      </c>
      <c r="AM9" s="27">
        <f>VALUE(庫存金額!AG5)</f>
        <v>5117407</v>
      </c>
      <c r="AN9" s="27">
        <f>VALUE(庫存金額!AH5)</f>
        <v>0</v>
      </c>
      <c r="AO9" s="27">
        <f>VALUE(庫存金額!AI5)</f>
        <v>5885981.3200000003</v>
      </c>
      <c r="AP9" s="16">
        <f t="shared" si="1"/>
        <v>524.11090000000002</v>
      </c>
      <c r="AQ9" s="17">
        <f t="shared" si="2"/>
        <v>588.59813200000008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19958824.550000001</v>
      </c>
      <c r="E10" s="309">
        <f>HLOOKUP(MONTH(日期!$C$2),當年目標設定!$D$1:$O$33,8,TRUE)</f>
        <v>18097092.637096252</v>
      </c>
      <c r="F10" s="308">
        <f>HLOOKUP(MONTH(日期!$C$2),當年目標設定!$R$1:$AC$33,8,TRUE)</f>
        <v>18767601.522135064</v>
      </c>
      <c r="G10" s="308">
        <f>當年月推移!$P8</f>
        <v>19818962</v>
      </c>
      <c r="H10" s="308">
        <f>當年月推移!P42</f>
        <v>21051552</v>
      </c>
      <c r="I10" s="27">
        <f>VALUE(庫存金額!C6)</f>
        <v>21065273</v>
      </c>
      <c r="J10" s="27">
        <f>VALUE(庫存金額!D6)</f>
        <v>21030984</v>
      </c>
      <c r="K10" s="27">
        <f>VALUE(庫存金額!E6)</f>
        <v>18935940</v>
      </c>
      <c r="L10" s="27">
        <f>VALUE(庫存金額!F6)</f>
        <v>18944440</v>
      </c>
      <c r="M10" s="27">
        <f>VALUE(庫存金額!G6)</f>
        <v>19015629</v>
      </c>
      <c r="N10" s="27">
        <f>VALUE(庫存金額!H6)</f>
        <v>19222197</v>
      </c>
      <c r="O10" s="27">
        <f>VALUE(庫存金額!I6)</f>
        <v>18480250</v>
      </c>
      <c r="P10" s="27">
        <f>VALUE(庫存金額!J6)</f>
        <v>19224641</v>
      </c>
      <c r="Q10" s="27">
        <f>VALUE(庫存金額!K6)</f>
        <v>20673838</v>
      </c>
      <c r="R10" s="27">
        <f>VALUE(庫存金額!L6)</f>
        <v>18631528</v>
      </c>
      <c r="S10" s="27">
        <f>VALUE(庫存金額!M6)</f>
        <v>18631528</v>
      </c>
      <c r="T10" s="27">
        <f>VALUE(庫存金額!N6)</f>
        <v>18807609</v>
      </c>
      <c r="U10" s="27">
        <f>VALUE(庫存金額!O6)</f>
        <v>17892973</v>
      </c>
      <c r="V10" s="27">
        <f>VALUE(庫存金額!P6)</f>
        <v>18012362</v>
      </c>
      <c r="W10" s="27">
        <f>VALUE(庫存金額!Q6)</f>
        <v>19696808</v>
      </c>
      <c r="X10" s="27">
        <f>VALUE(庫存金額!R6)</f>
        <v>20256082</v>
      </c>
      <c r="Y10" s="27">
        <f>VALUE(庫存金額!S6)</f>
        <v>18095489</v>
      </c>
      <c r="Z10" s="27">
        <f>VALUE(庫存金額!T6)</f>
        <v>18095489</v>
      </c>
      <c r="AA10" s="27">
        <f>VALUE(庫存金額!U6)</f>
        <v>19054652</v>
      </c>
      <c r="AB10" s="27">
        <f>VALUE(庫存金額!V6)</f>
        <v>18540160</v>
      </c>
      <c r="AC10" s="27">
        <f>VALUE(庫存金額!W6)</f>
        <v>19776614</v>
      </c>
      <c r="AD10" s="27">
        <f>VALUE(庫存金額!X6)</f>
        <v>20374748</v>
      </c>
      <c r="AE10" s="27">
        <f>VALUE(庫存金額!Y6)</f>
        <v>22038392</v>
      </c>
      <c r="AF10" s="27">
        <f>VALUE(庫存金額!Z6)</f>
        <v>20152866</v>
      </c>
      <c r="AG10" s="27">
        <f>VALUE(庫存金額!AA6)</f>
        <v>20150947</v>
      </c>
      <c r="AH10" s="27">
        <f>VALUE(庫存金額!AB6)</f>
        <v>21569345</v>
      </c>
      <c r="AI10" s="27">
        <f>VALUE(庫存金額!AC6)</f>
        <v>20911301</v>
      </c>
      <c r="AJ10" s="27">
        <f>VALUE(庫存金額!AD6)</f>
        <v>23264593</v>
      </c>
      <c r="AK10" s="27">
        <f>VALUE(庫存金額!AE6)</f>
        <v>21843172</v>
      </c>
      <c r="AL10" s="27">
        <f>VALUE(庫存金額!AF6)</f>
        <v>21843172</v>
      </c>
      <c r="AM10" s="27">
        <f>VALUE(庫存金額!AG6)</f>
        <v>21843172</v>
      </c>
      <c r="AN10" s="27">
        <f>VALUE(庫存金額!AH6)</f>
        <v>0</v>
      </c>
      <c r="AO10" s="27">
        <f>VALUE(庫存金額!AI6)</f>
        <v>19873425.609999999</v>
      </c>
      <c r="AP10" s="16">
        <f t="shared" si="1"/>
        <v>2326.4593</v>
      </c>
      <c r="AQ10" s="17">
        <f t="shared" si="2"/>
        <v>1987.3425609999999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10712094.609999999</v>
      </c>
      <c r="E12" s="309">
        <f>HLOOKUP(MONTH(日期!$C$2),當年目標設定!$D$1:$O$33,10,TRUE)</f>
        <v>11982323.788977999</v>
      </c>
      <c r="F12" s="308">
        <f>HLOOKUP(MONTH(日期!$C$2),當年目標設定!$R$1:$AC$33,10,TRUE)</f>
        <v>11957462.50793881</v>
      </c>
      <c r="G12" s="308">
        <f>當年月推移!$P10</f>
        <v>11366655</v>
      </c>
      <c r="H12" s="308">
        <f>當年月推移!P44</f>
        <v>16702373</v>
      </c>
      <c r="I12" s="27">
        <f>VALUE(庫存金額!C8)</f>
        <v>22844347</v>
      </c>
      <c r="J12" s="27">
        <f>VALUE(庫存金額!D8)</f>
        <v>18673412</v>
      </c>
      <c r="K12" s="27">
        <f>VALUE(庫存金額!E8)</f>
        <v>15666274</v>
      </c>
      <c r="L12" s="27">
        <f>VALUE(庫存金額!F8)</f>
        <v>15666274</v>
      </c>
      <c r="M12" s="27">
        <f>VALUE(庫存金額!G8)</f>
        <v>12022271</v>
      </c>
      <c r="N12" s="27">
        <f>VALUE(庫存金額!H8)</f>
        <v>12367191</v>
      </c>
      <c r="O12" s="27">
        <f>VALUE(庫存金額!I8)</f>
        <v>12485632</v>
      </c>
      <c r="P12" s="27">
        <f>VALUE(庫存金額!J8)</f>
        <v>11439101</v>
      </c>
      <c r="Q12" s="27">
        <f>VALUE(庫存金額!K8)</f>
        <v>10811308</v>
      </c>
      <c r="R12" s="27">
        <f>VALUE(庫存金額!L8)</f>
        <v>7422341</v>
      </c>
      <c r="S12" s="27">
        <f>VALUE(庫存金額!M8)</f>
        <v>7422341</v>
      </c>
      <c r="T12" s="27">
        <f>VALUE(庫存金額!N8)</f>
        <v>7146191</v>
      </c>
      <c r="U12" s="27">
        <f>VALUE(庫存金額!O8)</f>
        <v>9108097</v>
      </c>
      <c r="V12" s="27">
        <f>VALUE(庫存金額!P8)</f>
        <v>9920465</v>
      </c>
      <c r="W12" s="27">
        <f>VALUE(庫存金額!Q8)</f>
        <v>10056002</v>
      </c>
      <c r="X12" s="27">
        <f>VALUE(庫存金額!R8)</f>
        <v>9955098</v>
      </c>
      <c r="Y12" s="27">
        <f>VALUE(庫存金額!S8)</f>
        <v>6372326</v>
      </c>
      <c r="Z12" s="27">
        <f>VALUE(庫存金額!T8)</f>
        <v>6372326</v>
      </c>
      <c r="AA12" s="27">
        <f>VALUE(庫存金額!U8)</f>
        <v>5949208</v>
      </c>
      <c r="AB12" s="27">
        <f>VALUE(庫存金額!V8)</f>
        <v>8773085</v>
      </c>
      <c r="AC12" s="27">
        <f>VALUE(庫存金額!W8)</f>
        <v>9912113</v>
      </c>
      <c r="AD12" s="27">
        <f>VALUE(庫存金額!X8)</f>
        <v>10075158</v>
      </c>
      <c r="AE12" s="27">
        <f>VALUE(庫存金額!Y8)</f>
        <v>11705450</v>
      </c>
      <c r="AF12" s="27">
        <f>VALUE(庫存金額!Z8)</f>
        <v>8589694</v>
      </c>
      <c r="AG12" s="27">
        <f>VALUE(庫存金額!AA8)</f>
        <v>8589694</v>
      </c>
      <c r="AH12" s="27">
        <f>VALUE(庫存金額!AB8)</f>
        <v>10477856</v>
      </c>
      <c r="AI12" s="27">
        <f>VALUE(庫存金額!AC8)</f>
        <v>12093372</v>
      </c>
      <c r="AJ12" s="27">
        <f>VALUE(庫存金額!AD8)</f>
        <v>13288885</v>
      </c>
      <c r="AK12" s="27">
        <f>VALUE(庫存金額!AE8)</f>
        <v>14936114</v>
      </c>
      <c r="AL12" s="27">
        <f>VALUE(庫存金額!AF8)</f>
        <v>19621557</v>
      </c>
      <c r="AM12" s="27">
        <f>VALUE(庫存金額!AG8)</f>
        <v>19631221</v>
      </c>
      <c r="AN12" s="27">
        <f>VALUE(庫存金額!AH8)</f>
        <v>9664</v>
      </c>
      <c r="AO12" s="27">
        <f>VALUE(庫存金額!AI8)</f>
        <v>11593367.869999999</v>
      </c>
      <c r="AP12" s="16">
        <f t="shared" si="1"/>
        <v>1328.8885</v>
      </c>
      <c r="AQ12" s="17">
        <f t="shared" si="2"/>
        <v>1159.336787</v>
      </c>
      <c r="AR12" s="22"/>
    </row>
    <row r="13" spans="1:44" s="14" customFormat="1" ht="21.95" customHeight="1">
      <c r="A13" s="23"/>
      <c r="B13" s="594" t="s">
        <v>17</v>
      </c>
      <c r="C13" s="595"/>
      <c r="D13" s="323">
        <f t="shared" ref="D13:I13" si="5">SUM(D14:D17)</f>
        <v>13122132.359999999</v>
      </c>
      <c r="E13" s="323">
        <f t="shared" si="5"/>
        <v>12222079.225267999</v>
      </c>
      <c r="F13" s="323">
        <f t="shared" si="5"/>
        <v>11024744.810895063</v>
      </c>
      <c r="G13" s="323">
        <f t="shared" si="5"/>
        <v>1986660</v>
      </c>
      <c r="H13" s="323">
        <f t="shared" si="5"/>
        <v>2177264</v>
      </c>
      <c r="I13" s="20">
        <f t="shared" si="5"/>
        <v>13956053</v>
      </c>
      <c r="J13" s="20">
        <f t="shared" ref="J13:AO13" si="6">SUM(J14:J17)</f>
        <v>14246366</v>
      </c>
      <c r="K13" s="20">
        <f t="shared" si="6"/>
        <v>12743986</v>
      </c>
      <c r="L13" s="20">
        <f t="shared" si="6"/>
        <v>12743986</v>
      </c>
      <c r="M13" s="20">
        <f t="shared" si="6"/>
        <v>11298340</v>
      </c>
      <c r="N13" s="20">
        <f t="shared" si="6"/>
        <v>10838511</v>
      </c>
      <c r="O13" s="20">
        <f t="shared" si="6"/>
        <v>10520852</v>
      </c>
      <c r="P13" s="20">
        <f t="shared" si="6"/>
        <v>12911962</v>
      </c>
      <c r="Q13" s="20">
        <f t="shared" si="6"/>
        <v>12392509</v>
      </c>
      <c r="R13" s="20">
        <f t="shared" si="6"/>
        <v>10727940</v>
      </c>
      <c r="S13" s="20">
        <f t="shared" si="6"/>
        <v>10727940</v>
      </c>
      <c r="T13" s="20">
        <f t="shared" si="6"/>
        <v>9483695</v>
      </c>
      <c r="U13" s="20">
        <f t="shared" si="6"/>
        <v>9175242</v>
      </c>
      <c r="V13" s="20">
        <f t="shared" si="6"/>
        <v>11939667</v>
      </c>
      <c r="W13" s="20">
        <f t="shared" si="6"/>
        <v>11212626</v>
      </c>
      <c r="X13" s="20">
        <f t="shared" si="6"/>
        <v>13150780</v>
      </c>
      <c r="Y13" s="20">
        <f t="shared" si="6"/>
        <v>11091421</v>
      </c>
      <c r="Z13" s="20">
        <f t="shared" si="6"/>
        <v>11091421</v>
      </c>
      <c r="AA13" s="20">
        <f t="shared" si="6"/>
        <v>9989956</v>
      </c>
      <c r="AB13" s="20">
        <f t="shared" si="6"/>
        <v>8662013</v>
      </c>
      <c r="AC13" s="20">
        <f t="shared" si="6"/>
        <v>11689335</v>
      </c>
      <c r="AD13" s="20">
        <f t="shared" si="6"/>
        <v>10403482</v>
      </c>
      <c r="AE13" s="20">
        <f t="shared" si="6"/>
        <v>12275616</v>
      </c>
      <c r="AF13" s="20">
        <f t="shared" si="6"/>
        <v>10545588</v>
      </c>
      <c r="AG13" s="20">
        <f t="shared" si="6"/>
        <v>10545588</v>
      </c>
      <c r="AH13" s="20">
        <f t="shared" si="6"/>
        <v>11821719</v>
      </c>
      <c r="AI13" s="20">
        <f t="shared" si="6"/>
        <v>13611304</v>
      </c>
      <c r="AJ13" s="20">
        <f t="shared" si="6"/>
        <v>15200992</v>
      </c>
      <c r="AK13" s="20">
        <f t="shared" si="6"/>
        <v>13480226</v>
      </c>
      <c r="AL13" s="20">
        <f t="shared" si="6"/>
        <v>13480226</v>
      </c>
      <c r="AM13" s="20">
        <f t="shared" si="6"/>
        <v>13480226</v>
      </c>
      <c r="AN13" s="20">
        <f t="shared" si="6"/>
        <v>0</v>
      </c>
      <c r="AO13" s="20">
        <f t="shared" si="6"/>
        <v>11788373.16</v>
      </c>
      <c r="AP13" s="16">
        <f t="shared" si="1"/>
        <v>1520.0992000000001</v>
      </c>
      <c r="AQ13" s="17">
        <f t="shared" si="2"/>
        <v>1178.8373160000001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3735778.23</v>
      </c>
      <c r="E15" s="309">
        <f>HLOOKUP(MONTH(日期!$C$2),當年目標設定!$D$1:$O$33,13,TRUE)</f>
        <v>3075747.8467739997</v>
      </c>
      <c r="F15" s="308">
        <f>HLOOKUP(MONTH(日期!$C$2),當年目標設定!$R$1:$AC$33,13,TRUE)</f>
        <v>1648865.0794957499</v>
      </c>
      <c r="G15" s="308">
        <f>當年月推移!P13</f>
        <v>1695067</v>
      </c>
      <c r="H15" s="308">
        <f>當年月推移!P47</f>
        <v>1886353</v>
      </c>
      <c r="I15" s="27">
        <f>VALUE(庫存金額!C10)</f>
        <v>2642042</v>
      </c>
      <c r="J15" s="27">
        <f>VALUE(庫存金額!D10)</f>
        <v>2489817</v>
      </c>
      <c r="K15" s="27">
        <f>VALUE(庫存金額!E10)</f>
        <v>2382952</v>
      </c>
      <c r="L15" s="27">
        <f>VALUE(庫存金額!F10)</f>
        <v>2382952</v>
      </c>
      <c r="M15" s="27">
        <f>VALUE(庫存金額!G10)</f>
        <v>2203662</v>
      </c>
      <c r="N15" s="27">
        <f>VALUE(庫存金額!H10)</f>
        <v>2083032</v>
      </c>
      <c r="O15" s="27">
        <f>VALUE(庫存金額!I10)</f>
        <v>2616642</v>
      </c>
      <c r="P15" s="27">
        <f>VALUE(庫存金額!J10)</f>
        <v>2461137</v>
      </c>
      <c r="Q15" s="27">
        <f>VALUE(庫存金額!K10)</f>
        <v>2310287</v>
      </c>
      <c r="R15" s="27">
        <f>VALUE(庫存金額!L10)</f>
        <v>2182257</v>
      </c>
      <c r="S15" s="27">
        <f>VALUE(庫存金額!M10)</f>
        <v>2182257</v>
      </c>
      <c r="T15" s="27">
        <f>VALUE(庫存金額!N10)</f>
        <v>2067952</v>
      </c>
      <c r="U15" s="27">
        <f>VALUE(庫存金額!O10)</f>
        <v>1922607</v>
      </c>
      <c r="V15" s="27">
        <f>VALUE(庫存金額!P10)</f>
        <v>1782862</v>
      </c>
      <c r="W15" s="27">
        <f>VALUE(庫存金額!Q10)</f>
        <v>1986207</v>
      </c>
      <c r="X15" s="27">
        <f>VALUE(庫存金額!R10)</f>
        <v>2060227</v>
      </c>
      <c r="Y15" s="27">
        <f>VALUE(庫存金額!S10)</f>
        <v>1800482</v>
      </c>
      <c r="Z15" s="27">
        <f>VALUE(庫存金額!T10)</f>
        <v>1800482</v>
      </c>
      <c r="AA15" s="27">
        <f>VALUE(庫存金額!U10)</f>
        <v>1602127</v>
      </c>
      <c r="AB15" s="27">
        <f>VALUE(庫存金額!V10)</f>
        <v>1429102</v>
      </c>
      <c r="AC15" s="27">
        <f>VALUE(庫存金額!W10)</f>
        <v>2077562</v>
      </c>
      <c r="AD15" s="27">
        <f>VALUE(庫存金額!X10)</f>
        <v>1887637</v>
      </c>
      <c r="AE15" s="27">
        <f>VALUE(庫存金額!Y10)</f>
        <v>1677972</v>
      </c>
      <c r="AF15" s="27">
        <f>VALUE(庫存金額!Z10)</f>
        <v>1522512</v>
      </c>
      <c r="AG15" s="27">
        <f>VALUE(庫存金額!AA10)</f>
        <v>1522512</v>
      </c>
      <c r="AH15" s="27">
        <f>VALUE(庫存金額!AB10)</f>
        <v>2328622</v>
      </c>
      <c r="AI15" s="27">
        <f>VALUE(庫存金額!AC10)</f>
        <v>2193547</v>
      </c>
      <c r="AJ15" s="27">
        <f>VALUE(庫存金額!AD10)</f>
        <v>2085202</v>
      </c>
      <c r="AK15" s="27">
        <f>VALUE(庫存金額!AE10)</f>
        <v>2010192</v>
      </c>
      <c r="AL15" s="27">
        <f>VALUE(庫存金額!AF10)</f>
        <v>2010192</v>
      </c>
      <c r="AM15" s="27">
        <f>VALUE(庫存金額!AG10)</f>
        <v>2010192</v>
      </c>
      <c r="AN15" s="27">
        <f>VALUE(庫存金額!AH10)</f>
        <v>0</v>
      </c>
      <c r="AO15" s="27">
        <f>VALUE(庫存金額!AI10)</f>
        <v>2055329.9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173471.55</v>
      </c>
      <c r="E16" s="309">
        <f>HLOOKUP(MONTH(日期!$C$2),當年目標設定!$D$1:$O$33,14,TRUE)</f>
        <v>303775.23924700002</v>
      </c>
      <c r="F16" s="308">
        <f>HLOOKUP(MONTH(日期!$C$2),當年目標設定!$R$1:$AC$33,14,TRUE)</f>
        <v>344969.47717743751</v>
      </c>
      <c r="G16" s="308">
        <f>當年月推移!P15</f>
        <v>291593</v>
      </c>
      <c r="H16" s="308">
        <f>當年月推移!P49</f>
        <v>290911</v>
      </c>
      <c r="I16" s="232">
        <f>VALUE(庫存金額!C14)</f>
        <v>243488</v>
      </c>
      <c r="J16" s="232">
        <f>VALUE(庫存金額!D14)</f>
        <v>240788</v>
      </c>
      <c r="K16" s="232">
        <f>VALUE(庫存金額!E14)</f>
        <v>238238</v>
      </c>
      <c r="L16" s="232">
        <f>VALUE(庫存金額!F14)</f>
        <v>238238</v>
      </c>
      <c r="M16" s="232">
        <f>VALUE(庫存金額!G14)</f>
        <v>234458</v>
      </c>
      <c r="N16" s="232">
        <f>VALUE(庫存金額!H14)</f>
        <v>233378</v>
      </c>
      <c r="O16" s="232">
        <f>VALUE(庫存金額!I14)</f>
        <v>245258</v>
      </c>
      <c r="P16" s="232">
        <f>VALUE(庫存金額!J14)</f>
        <v>244718</v>
      </c>
      <c r="Q16" s="232">
        <f>VALUE(庫存金額!K14)</f>
        <v>244178</v>
      </c>
      <c r="R16" s="232">
        <f>VALUE(庫存金額!L14)</f>
        <v>243098</v>
      </c>
      <c r="S16" s="232">
        <f>VALUE(庫存金額!M14)</f>
        <v>243098</v>
      </c>
      <c r="T16" s="232">
        <f>VALUE(庫存金額!N14)</f>
        <v>241478</v>
      </c>
      <c r="U16" s="232">
        <f>VALUE(庫存金額!O14)</f>
        <v>240398</v>
      </c>
      <c r="V16" s="232">
        <f>VALUE(庫存金額!P14)</f>
        <v>239318</v>
      </c>
      <c r="W16" s="232">
        <f>VALUE(庫存金額!Q14)</f>
        <v>236848</v>
      </c>
      <c r="X16" s="232">
        <f>VALUE(庫存金額!R14)</f>
        <v>235768</v>
      </c>
      <c r="Y16" s="232">
        <f>VALUE(庫存金額!S14)</f>
        <v>235228</v>
      </c>
      <c r="Z16" s="232">
        <f>VALUE(庫存金額!T14)</f>
        <v>235228</v>
      </c>
      <c r="AA16" s="232">
        <f>VALUE(庫存金額!U14)</f>
        <v>233078</v>
      </c>
      <c r="AB16" s="232">
        <f>VALUE(庫存金額!V14)</f>
        <v>231148</v>
      </c>
      <c r="AC16" s="232">
        <f>VALUE(庫存金額!W14)</f>
        <v>230068</v>
      </c>
      <c r="AD16" s="232">
        <f>VALUE(庫存金額!X14)</f>
        <v>228678</v>
      </c>
      <c r="AE16" s="232">
        <f>VALUE(庫存金額!Y14)</f>
        <v>227598</v>
      </c>
      <c r="AF16" s="232">
        <f>VALUE(庫存金額!Z14)</f>
        <v>218018</v>
      </c>
      <c r="AG16" s="232">
        <f>VALUE(庫存金額!AA14)</f>
        <v>218018</v>
      </c>
      <c r="AH16" s="232">
        <f>VALUE(庫存金額!AB14)</f>
        <v>216398</v>
      </c>
      <c r="AI16" s="232">
        <f>VALUE(庫存金額!AC14)</f>
        <v>214778</v>
      </c>
      <c r="AJ16" s="232">
        <f>VALUE(庫存金額!AD14)</f>
        <v>213698</v>
      </c>
      <c r="AK16" s="232">
        <f>VALUE(庫存金額!AE14)</f>
        <v>156098</v>
      </c>
      <c r="AL16" s="232">
        <f>VALUE(庫存金額!AF14)</f>
        <v>156098</v>
      </c>
      <c r="AM16" s="232">
        <f>VALUE(庫存金額!AG14)</f>
        <v>156098</v>
      </c>
      <c r="AN16" s="232">
        <f>VALUE(庫存金額!AH14)</f>
        <v>0</v>
      </c>
      <c r="AO16" s="232">
        <f>VALUE(庫存金額!AI14)</f>
        <v>226225.1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9212882.5800000001</v>
      </c>
      <c r="E17" s="309">
        <f>HLOOKUP(MONTH(日期!$C$2),當年目標設定!$D$1:$O$33,15,TRUE)</f>
        <v>8842556.1392470002</v>
      </c>
      <c r="F17" s="308">
        <f>HLOOKUP(MONTH(日期!$C$2),當年目標設定!$R$1:$AC$33,15,TRUE)</f>
        <v>9030910.2542218752</v>
      </c>
      <c r="G17" s="308">
        <f>當年月推移!P33</f>
        <v>0</v>
      </c>
      <c r="H17" s="308">
        <f>當年月推移!P67</f>
        <v>0</v>
      </c>
      <c r="I17" s="232">
        <f>VALUE(庫存金額!C24)</f>
        <v>11070523</v>
      </c>
      <c r="J17" s="232">
        <f>VALUE(庫存金額!D24)</f>
        <v>11515761</v>
      </c>
      <c r="K17" s="232">
        <f>VALUE(庫存金額!E24)</f>
        <v>10122796</v>
      </c>
      <c r="L17" s="232">
        <f>VALUE(庫存金額!F24)</f>
        <v>10122796</v>
      </c>
      <c r="M17" s="232">
        <f>VALUE(庫存金額!G24)</f>
        <v>8860220</v>
      </c>
      <c r="N17" s="232">
        <f>VALUE(庫存金額!H24)</f>
        <v>8522101</v>
      </c>
      <c r="O17" s="232">
        <f>VALUE(庫存金額!I24)</f>
        <v>7658952</v>
      </c>
      <c r="P17" s="232">
        <f>VALUE(庫存金額!J24)</f>
        <v>10206107</v>
      </c>
      <c r="Q17" s="232">
        <f>VALUE(庫存金額!K24)</f>
        <v>9838044</v>
      </c>
      <c r="R17" s="232">
        <f>VALUE(庫存金額!L24)</f>
        <v>8302585</v>
      </c>
      <c r="S17" s="232">
        <f>VALUE(庫存金額!M24)</f>
        <v>8302585</v>
      </c>
      <c r="T17" s="232">
        <f>VALUE(庫存金額!N24)</f>
        <v>7174265</v>
      </c>
      <c r="U17" s="232">
        <f>VALUE(庫存金額!O24)</f>
        <v>7012237</v>
      </c>
      <c r="V17" s="232">
        <f>VALUE(庫存金額!P24)</f>
        <v>9917487</v>
      </c>
      <c r="W17" s="232">
        <f>VALUE(庫存金額!Q24)</f>
        <v>8989571</v>
      </c>
      <c r="X17" s="232">
        <f>VALUE(庫存金額!R24)</f>
        <v>10854785</v>
      </c>
      <c r="Y17" s="232">
        <f>VALUE(庫存金額!S24)</f>
        <v>9055711</v>
      </c>
      <c r="Z17" s="232">
        <f>VALUE(庫存金額!T24)</f>
        <v>9055711</v>
      </c>
      <c r="AA17" s="232">
        <f>VALUE(庫存金額!U24)</f>
        <v>8154751</v>
      </c>
      <c r="AB17" s="232">
        <f>VALUE(庫存金額!V24)</f>
        <v>7001763</v>
      </c>
      <c r="AC17" s="232">
        <f>VALUE(庫存金額!W24)</f>
        <v>9381705</v>
      </c>
      <c r="AD17" s="232">
        <f>VALUE(庫存金額!X24)</f>
        <v>8287167</v>
      </c>
      <c r="AE17" s="232">
        <f>VALUE(庫存金額!Y24)</f>
        <v>10370046</v>
      </c>
      <c r="AF17" s="232">
        <f>VALUE(庫存金額!Z24)</f>
        <v>8805058</v>
      </c>
      <c r="AG17" s="232">
        <f>VALUE(庫存金額!AA24)</f>
        <v>8805058</v>
      </c>
      <c r="AH17" s="232">
        <f>VALUE(庫存金額!AB24)</f>
        <v>9276699</v>
      </c>
      <c r="AI17" s="232">
        <f>VALUE(庫存金額!AC24)</f>
        <v>11202979</v>
      </c>
      <c r="AJ17" s="232">
        <f>VALUE(庫存金額!AD24)</f>
        <v>12902092</v>
      </c>
      <c r="AK17" s="232">
        <f>VALUE(庫存金額!AE24)</f>
        <v>11313936</v>
      </c>
      <c r="AL17" s="232">
        <f>VALUE(庫存金額!AF24)</f>
        <v>11313936</v>
      </c>
      <c r="AM17" s="232">
        <f>VALUE(庫存金額!AG24)</f>
        <v>11313936</v>
      </c>
      <c r="AN17" s="232">
        <f>VALUE(庫存金額!AH24)</f>
        <v>0</v>
      </c>
      <c r="AO17" s="232">
        <f>VALUE(庫存金額!AI24)</f>
        <v>9506818.1600000001</v>
      </c>
    </row>
    <row r="18" spans="1:44" s="14" customFormat="1" ht="21.95" customHeight="1">
      <c r="A18" s="23"/>
      <c r="B18" s="602" t="s">
        <v>22</v>
      </c>
      <c r="C18" s="603"/>
      <c r="D18" s="324">
        <f t="shared" ref="D18:I18" si="7">SUM(D19:D25)</f>
        <v>209283437.64515901</v>
      </c>
      <c r="E18" s="554">
        <f t="shared" si="7"/>
        <v>268285015.26993972</v>
      </c>
      <c r="F18" s="324">
        <f t="shared" si="7"/>
        <v>283008102.86665213</v>
      </c>
      <c r="G18" s="317">
        <f t="shared" si="7"/>
        <v>246876181</v>
      </c>
      <c r="H18" s="317">
        <f t="shared" si="7"/>
        <v>255041305</v>
      </c>
      <c r="I18" s="237">
        <f t="shared" si="7"/>
        <v>292848960</v>
      </c>
      <c r="J18" s="237">
        <f t="shared" ref="J18:AO18" si="8">SUM(J19:J25)</f>
        <v>294587385</v>
      </c>
      <c r="K18" s="237">
        <f t="shared" si="8"/>
        <v>291035772</v>
      </c>
      <c r="L18" s="237">
        <f t="shared" si="8"/>
        <v>291035772</v>
      </c>
      <c r="M18" s="237">
        <f t="shared" si="8"/>
        <v>290927507</v>
      </c>
      <c r="N18" s="237">
        <f t="shared" si="8"/>
        <v>290109647</v>
      </c>
      <c r="O18" s="237">
        <f t="shared" si="8"/>
        <v>289856839</v>
      </c>
      <c r="P18" s="237">
        <f t="shared" si="8"/>
        <v>289993614</v>
      </c>
      <c r="Q18" s="237">
        <f t="shared" si="8"/>
        <v>291971475</v>
      </c>
      <c r="R18" s="237">
        <f t="shared" si="8"/>
        <v>288831218</v>
      </c>
      <c r="S18" s="237">
        <f t="shared" si="8"/>
        <v>288827249</v>
      </c>
      <c r="T18" s="237">
        <f t="shared" si="8"/>
        <v>289557530</v>
      </c>
      <c r="U18" s="237">
        <f t="shared" si="8"/>
        <v>289616635</v>
      </c>
      <c r="V18" s="237">
        <f t="shared" si="8"/>
        <v>288211762</v>
      </c>
      <c r="W18" s="237">
        <f t="shared" si="8"/>
        <v>289383104</v>
      </c>
      <c r="X18" s="237">
        <f t="shared" si="8"/>
        <v>289316924</v>
      </c>
      <c r="Y18" s="237">
        <f t="shared" si="8"/>
        <v>285514705</v>
      </c>
      <c r="Z18" s="237">
        <f t="shared" si="8"/>
        <v>285514705</v>
      </c>
      <c r="AA18" s="237">
        <f t="shared" si="8"/>
        <v>284202288</v>
      </c>
      <c r="AB18" s="237">
        <f t="shared" si="8"/>
        <v>281212888</v>
      </c>
      <c r="AC18" s="237">
        <f t="shared" si="8"/>
        <v>280648678</v>
      </c>
      <c r="AD18" s="237">
        <f t="shared" si="8"/>
        <v>277388673</v>
      </c>
      <c r="AE18" s="237">
        <f t="shared" si="8"/>
        <v>276841964</v>
      </c>
      <c r="AF18" s="237">
        <f t="shared" si="8"/>
        <v>273180782</v>
      </c>
      <c r="AG18" s="237">
        <f t="shared" si="8"/>
        <v>273180782</v>
      </c>
      <c r="AH18" s="237">
        <f t="shared" si="8"/>
        <v>273995632</v>
      </c>
      <c r="AI18" s="237">
        <f t="shared" si="8"/>
        <v>271724958</v>
      </c>
      <c r="AJ18" s="237">
        <f t="shared" si="8"/>
        <v>268209872</v>
      </c>
      <c r="AK18" s="237">
        <f t="shared" si="8"/>
        <v>263851892</v>
      </c>
      <c r="AL18" s="237">
        <f t="shared" si="8"/>
        <v>265708643</v>
      </c>
      <c r="AM18" s="237">
        <f t="shared" si="8"/>
        <v>265708654</v>
      </c>
      <c r="AN18" s="237">
        <f t="shared" si="8"/>
        <v>11</v>
      </c>
      <c r="AO18" s="237">
        <f t="shared" si="8"/>
        <v>282999887.38999999</v>
      </c>
      <c r="AP18" s="16">
        <f>AJ18/10000</f>
        <v>26820.9872</v>
      </c>
      <c r="AQ18" s="17">
        <f>AO18/10000</f>
        <v>28299.988739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181758393.38709599</v>
      </c>
      <c r="E19" s="555">
        <f>HLOOKUP(MONTH(日期!$C$2),當年目標設定!$D$1:$O$33,17,TRUE)</f>
        <v>243726451.14449635</v>
      </c>
      <c r="F19" s="309">
        <f>HLOOKUP(MONTH(日期!$C$2),當年目標設定!$R$1:$AC$33,17,TRUE)</f>
        <v>257499409.11003131</v>
      </c>
      <c r="G19" s="308">
        <f>當年月推移!P17</f>
        <v>225770603</v>
      </c>
      <c r="H19" s="308">
        <f>當年月推移!P51</f>
        <v>232645519</v>
      </c>
      <c r="I19" s="27">
        <f>VALUE(庫存金額!C3)</f>
        <v>249410081</v>
      </c>
      <c r="J19" s="27">
        <f>VALUE(庫存金額!D3)</f>
        <v>251063268</v>
      </c>
      <c r="K19" s="27">
        <f>VALUE(庫存金額!E3)</f>
        <v>249183991</v>
      </c>
      <c r="L19" s="27">
        <f>VALUE(庫存金額!F3)</f>
        <v>249183991</v>
      </c>
      <c r="M19" s="27">
        <f>VALUE(庫存金額!G3)</f>
        <v>250375060</v>
      </c>
      <c r="N19" s="27">
        <f>VALUE(庫存金額!H3)</f>
        <v>250382011</v>
      </c>
      <c r="O19" s="27">
        <f>VALUE(庫存金額!I3)</f>
        <v>250622297</v>
      </c>
      <c r="P19" s="27">
        <f>VALUE(庫存金額!J3)</f>
        <v>249929837</v>
      </c>
      <c r="Q19" s="27">
        <f>VALUE(庫存金額!K3)</f>
        <v>251546348</v>
      </c>
      <c r="R19" s="27">
        <f>VALUE(庫存金額!L3)</f>
        <v>250034468</v>
      </c>
      <c r="S19" s="27">
        <f>VALUE(庫存金額!M3)</f>
        <v>250030499</v>
      </c>
      <c r="T19" s="27">
        <f>VALUE(庫存金額!N3)</f>
        <v>250868843</v>
      </c>
      <c r="U19" s="27">
        <f>VALUE(庫存金額!O3)</f>
        <v>251041281</v>
      </c>
      <c r="V19" s="27">
        <f>VALUE(庫存金額!P3)</f>
        <v>249704020</v>
      </c>
      <c r="W19" s="27">
        <f>VALUE(庫存金額!Q3)</f>
        <v>251432949</v>
      </c>
      <c r="X19" s="27">
        <f>VALUE(庫存金額!R3)</f>
        <v>250086448</v>
      </c>
      <c r="Y19" s="27">
        <f>VALUE(庫存金額!S3)</f>
        <v>248273934</v>
      </c>
      <c r="Z19" s="27">
        <f>VALUE(庫存金額!T3)</f>
        <v>248273934</v>
      </c>
      <c r="AA19" s="27">
        <f>VALUE(庫存金額!U3)</f>
        <v>247428501</v>
      </c>
      <c r="AB19" s="27">
        <f>VALUE(庫存金額!V3)</f>
        <v>245605462</v>
      </c>
      <c r="AC19" s="27">
        <f>VALUE(庫存金額!W3)</f>
        <v>245267428</v>
      </c>
      <c r="AD19" s="27">
        <f>VALUE(庫存金額!X3)</f>
        <v>241595037</v>
      </c>
      <c r="AE19" s="27">
        <f>VALUE(庫存金額!Y3)</f>
        <v>239664748</v>
      </c>
      <c r="AF19" s="27">
        <f>VALUE(庫存金額!Z3)</f>
        <v>238211286</v>
      </c>
      <c r="AG19" s="27">
        <f>VALUE(庫存金額!AA3)</f>
        <v>238211286</v>
      </c>
      <c r="AH19" s="27">
        <f>VALUE(庫存金額!AB3)</f>
        <v>238021360</v>
      </c>
      <c r="AI19" s="27">
        <f>VALUE(庫存金額!AC3)</f>
        <v>234624833</v>
      </c>
      <c r="AJ19" s="27">
        <f>VALUE(庫存金額!AD3)</f>
        <v>229987875</v>
      </c>
      <c r="AK19" s="27">
        <f>VALUE(庫存金額!AE3)</f>
        <v>225086934</v>
      </c>
      <c r="AL19" s="27">
        <f>VALUE(庫存金額!AF3)</f>
        <v>225086934</v>
      </c>
      <c r="AM19" s="27">
        <f>VALUE(庫存金額!AG3)</f>
        <v>225086945</v>
      </c>
      <c r="AN19" s="27">
        <f>VALUE(庫存金額!AH3)</f>
        <v>11</v>
      </c>
      <c r="AO19" s="27">
        <f>VALUE(庫存金額!AI3)</f>
        <v>244365222.22999999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2373800.7096770001</v>
      </c>
      <c r="E20" s="555">
        <f>HLOOKUP(MONTH(日期!$C$2),當年目標設定!$D$1:$O$33,18,TRUE)</f>
        <v>2079356.1620721605</v>
      </c>
      <c r="F20" s="309">
        <f>HLOOKUP(MONTH(日期!$C$2),當年目標設定!$R$1:$AC$33,18,TRUE)</f>
        <v>2031522.1239670373</v>
      </c>
      <c r="G20" s="308">
        <f>當年月推移!P18</f>
        <v>2247630</v>
      </c>
      <c r="H20" s="308">
        <f>當年月推移!P52</f>
        <v>2644689</v>
      </c>
      <c r="I20" s="232">
        <f>VALUE(庫存金額!C13)</f>
        <v>1381676</v>
      </c>
      <c r="J20" s="232">
        <f>VALUE(庫存金額!D13)</f>
        <v>1660145</v>
      </c>
      <c r="K20" s="232">
        <f>VALUE(庫存金額!E13)</f>
        <v>1497869</v>
      </c>
      <c r="L20" s="232">
        <f>VALUE(庫存金額!F13)</f>
        <v>1497869</v>
      </c>
      <c r="M20" s="232">
        <f>VALUE(庫存金額!G13)</f>
        <v>953630</v>
      </c>
      <c r="N20" s="232">
        <f>VALUE(庫存金額!H13)</f>
        <v>1067226</v>
      </c>
      <c r="O20" s="232">
        <f>VALUE(庫存金額!I13)</f>
        <v>841090</v>
      </c>
      <c r="P20" s="232">
        <f>VALUE(庫存金額!J13)</f>
        <v>1124538</v>
      </c>
      <c r="Q20" s="232">
        <f>VALUE(庫存金額!K13)</f>
        <v>1546892</v>
      </c>
      <c r="R20" s="232">
        <f>VALUE(庫存金額!L13)</f>
        <v>1232160</v>
      </c>
      <c r="S20" s="232">
        <f>VALUE(庫存金額!M13)</f>
        <v>1232160</v>
      </c>
      <c r="T20" s="232">
        <f>VALUE(庫存金額!N13)</f>
        <v>1292723</v>
      </c>
      <c r="U20" s="232">
        <f>VALUE(庫存金額!O13)</f>
        <v>1580209</v>
      </c>
      <c r="V20" s="232">
        <f>VALUE(庫存金額!P13)</f>
        <v>2069964</v>
      </c>
      <c r="W20" s="232">
        <f>VALUE(庫存金額!Q13)</f>
        <v>1467504</v>
      </c>
      <c r="X20" s="232">
        <f>VALUE(庫存金額!R13)</f>
        <v>1824230</v>
      </c>
      <c r="Y20" s="232">
        <f>VALUE(庫存金額!S13)</f>
        <v>1490606</v>
      </c>
      <c r="Z20" s="232">
        <f>VALUE(庫存金額!T13)</f>
        <v>1490606</v>
      </c>
      <c r="AA20" s="232">
        <f>VALUE(庫存金額!U13)</f>
        <v>1669969</v>
      </c>
      <c r="AB20" s="232">
        <f>VALUE(庫存金額!V13)</f>
        <v>1769537</v>
      </c>
      <c r="AC20" s="232">
        <f>VALUE(庫存金額!W13)</f>
        <v>1634288</v>
      </c>
      <c r="AD20" s="232">
        <f>VALUE(庫存金額!X13)</f>
        <v>1727301</v>
      </c>
      <c r="AE20" s="232">
        <f>VALUE(庫存金額!Y13)</f>
        <v>1780322</v>
      </c>
      <c r="AF20" s="232">
        <f>VALUE(庫存金額!Z13)</f>
        <v>1326118</v>
      </c>
      <c r="AG20" s="232">
        <f>VALUE(庫存金額!AA13)</f>
        <v>1326118</v>
      </c>
      <c r="AH20" s="232">
        <f>VALUE(庫存金額!AB13)</f>
        <v>2000721</v>
      </c>
      <c r="AI20" s="232">
        <f>VALUE(庫存金額!AC13)</f>
        <v>1596900</v>
      </c>
      <c r="AJ20" s="232">
        <f>VALUE(庫存金額!AD13)</f>
        <v>1452903</v>
      </c>
      <c r="AK20" s="232">
        <f>VALUE(庫存金額!AE13)</f>
        <v>2094697</v>
      </c>
      <c r="AL20" s="232">
        <f>VALUE(庫存金額!AF13)</f>
        <v>2094697</v>
      </c>
      <c r="AM20" s="232">
        <f>VALUE(庫存金額!AG13)</f>
        <v>2094697</v>
      </c>
      <c r="AN20" s="232">
        <f>VALUE(庫存金額!AH13)</f>
        <v>0</v>
      </c>
      <c r="AO20" s="232">
        <f>VALUE(庫存金額!AI13)</f>
        <v>1542560.16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7812749.5806449996</v>
      </c>
      <c r="E21" s="555">
        <f>HLOOKUP(MONTH(日期!$C$2),當年目標設定!$D$1:$O$33,19,TRUE)</f>
        <v>5673644.6316201864</v>
      </c>
      <c r="F21" s="309">
        <f>HLOOKUP(MONTH(日期!$C$2),當年目標設定!$R$1:$AC$33,19,TRUE)</f>
        <v>6722407.5527320802</v>
      </c>
      <c r="G21" s="308">
        <f>當年月推移!P19</f>
        <v>161176</v>
      </c>
      <c r="H21" s="308">
        <f>當年月推移!P53</f>
        <v>161176</v>
      </c>
      <c r="I21" s="232">
        <f>VALUE(庫存金額!C18)</f>
        <v>22038535</v>
      </c>
      <c r="J21" s="232">
        <f>VALUE(庫存金額!D18)</f>
        <v>21937400</v>
      </c>
      <c r="K21" s="232">
        <f>VALUE(庫存金額!E18)</f>
        <v>21770553</v>
      </c>
      <c r="L21" s="232">
        <f>VALUE(庫存金額!F18)</f>
        <v>21770553</v>
      </c>
      <c r="M21" s="232">
        <f>VALUE(庫存金額!G18)</f>
        <v>21704746</v>
      </c>
      <c r="N21" s="232">
        <f>VALUE(庫存金額!H18)</f>
        <v>21524694</v>
      </c>
      <c r="O21" s="232">
        <f>VALUE(庫存金額!I18)</f>
        <v>21405046</v>
      </c>
      <c r="P21" s="232">
        <f>VALUE(庫存金額!J18)</f>
        <v>21254419</v>
      </c>
      <c r="Q21" s="232">
        <f>VALUE(庫存金額!K18)</f>
        <v>21138439</v>
      </c>
      <c r="R21" s="232">
        <f>VALUE(庫存金額!L18)</f>
        <v>21064181</v>
      </c>
      <c r="S21" s="232">
        <f>VALUE(庫存金額!M18)</f>
        <v>21064181</v>
      </c>
      <c r="T21" s="232">
        <f>VALUE(庫存金額!N18)</f>
        <v>20963490</v>
      </c>
      <c r="U21" s="232">
        <f>VALUE(庫存金額!O18)</f>
        <v>20825083</v>
      </c>
      <c r="V21" s="232">
        <f>VALUE(庫存金額!P18)</f>
        <v>20740953</v>
      </c>
      <c r="W21" s="232">
        <f>VALUE(庫存金額!Q18)</f>
        <v>20635848</v>
      </c>
      <c r="X21" s="232">
        <f>VALUE(庫存金額!R18)</f>
        <v>20453859</v>
      </c>
      <c r="Y21" s="232">
        <f>VALUE(庫存金額!S18)</f>
        <v>20359307</v>
      </c>
      <c r="Z21" s="232">
        <f>VALUE(庫存金額!T18)</f>
        <v>20359307</v>
      </c>
      <c r="AA21" s="232">
        <f>VALUE(庫存金額!U18)</f>
        <v>20328541</v>
      </c>
      <c r="AB21" s="232">
        <f>VALUE(庫存金額!V18)</f>
        <v>20090432</v>
      </c>
      <c r="AC21" s="232">
        <f>VALUE(庫存金額!W18)</f>
        <v>19860726</v>
      </c>
      <c r="AD21" s="232">
        <f>VALUE(庫存金額!X18)</f>
        <v>19707714</v>
      </c>
      <c r="AE21" s="232">
        <f>VALUE(庫存金額!Y18)</f>
        <v>19492060</v>
      </c>
      <c r="AF21" s="232">
        <f>VALUE(庫存金額!Z18)</f>
        <v>19363741</v>
      </c>
      <c r="AG21" s="232">
        <f>VALUE(庫存金額!AA18)</f>
        <v>19363741</v>
      </c>
      <c r="AH21" s="232">
        <f>VALUE(庫存金額!AB18)</f>
        <v>19322886</v>
      </c>
      <c r="AI21" s="232">
        <f>VALUE(庫存金額!AC18)</f>
        <v>19134427</v>
      </c>
      <c r="AJ21" s="232">
        <f>VALUE(庫存金額!AD18)</f>
        <v>18994671</v>
      </c>
      <c r="AK21" s="232">
        <f>VALUE(庫存金額!AE18)</f>
        <v>18904055</v>
      </c>
      <c r="AL21" s="232">
        <f>VALUE(庫存金額!AF18)</f>
        <v>18904055</v>
      </c>
      <c r="AM21" s="232">
        <f>VALUE(庫存金額!AG18)</f>
        <v>18904055</v>
      </c>
      <c r="AN21" s="232">
        <f>VALUE(庫存金額!AH18)</f>
        <v>0</v>
      </c>
      <c r="AO21" s="232">
        <f>VALUE(庫存金額!AI18)</f>
        <v>20431667.68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12864029.548387</v>
      </c>
      <c r="E22" s="555">
        <f>HLOOKUP(MONTH(日期!$C$2),當年目標設定!$D$1:$O$33,20,TRUE)</f>
        <v>10373819.470369428</v>
      </c>
      <c r="F22" s="309">
        <f>HLOOKUP(MONTH(日期!$C$2),當年目標設定!$R$1:$AC$33,20,TRUE)</f>
        <v>10394302.314033996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10247940</v>
      </c>
      <c r="J22" s="232">
        <f>VALUE(庫存金額!D17)</f>
        <v>10807041</v>
      </c>
      <c r="K22" s="232">
        <f>VALUE(庫存金額!E17)</f>
        <v>10073622</v>
      </c>
      <c r="L22" s="232">
        <f>VALUE(庫存金額!F17)</f>
        <v>10073622</v>
      </c>
      <c r="M22" s="232">
        <f>VALUE(庫存金額!G17)</f>
        <v>9994226</v>
      </c>
      <c r="N22" s="232">
        <f>VALUE(庫存金額!H17)</f>
        <v>9123488</v>
      </c>
      <c r="O22" s="232">
        <f>VALUE(庫存金額!I17)</f>
        <v>9112326</v>
      </c>
      <c r="P22" s="232">
        <f>VALUE(庫存金額!J17)</f>
        <v>10120532</v>
      </c>
      <c r="Q22" s="232">
        <f>VALUE(庫存金額!K17)</f>
        <v>10631479</v>
      </c>
      <c r="R22" s="232">
        <f>VALUE(庫存金額!L17)</f>
        <v>9984626</v>
      </c>
      <c r="S22" s="232">
        <f>VALUE(庫存金額!M17)</f>
        <v>9984626</v>
      </c>
      <c r="T22" s="232">
        <f>VALUE(庫存金額!N17)</f>
        <v>9825477</v>
      </c>
      <c r="U22" s="232">
        <f>VALUE(庫存金額!O17)</f>
        <v>9255119</v>
      </c>
      <c r="V22" s="232">
        <f>VALUE(庫存金額!P17)</f>
        <v>9210278</v>
      </c>
      <c r="W22" s="232">
        <f>VALUE(庫存金額!Q17)</f>
        <v>9667445</v>
      </c>
      <c r="X22" s="232">
        <f>VALUE(庫存金額!R17)</f>
        <v>10186450</v>
      </c>
      <c r="Y22" s="232">
        <f>VALUE(庫存金額!S17)</f>
        <v>9416619</v>
      </c>
      <c r="Z22" s="232">
        <f>VALUE(庫存金額!T17)</f>
        <v>9416619</v>
      </c>
      <c r="AA22" s="232">
        <f>VALUE(庫存金額!U17)</f>
        <v>9352456</v>
      </c>
      <c r="AB22" s="232">
        <f>VALUE(庫存金額!V17)</f>
        <v>8816323</v>
      </c>
      <c r="AC22" s="232">
        <f>VALUE(庫存金額!W17)</f>
        <v>8859361</v>
      </c>
      <c r="AD22" s="232">
        <f>VALUE(庫存金額!X17)</f>
        <v>9173855</v>
      </c>
      <c r="AE22" s="232">
        <f>VALUE(庫存金額!Y17)</f>
        <v>9881830</v>
      </c>
      <c r="AF22" s="232">
        <f>VALUE(庫存金額!Z17)</f>
        <v>9027199</v>
      </c>
      <c r="AG22" s="232">
        <f>VALUE(庫存金額!AA17)</f>
        <v>9027199</v>
      </c>
      <c r="AH22" s="232">
        <f>VALUE(庫存金額!AB17)</f>
        <v>9686442</v>
      </c>
      <c r="AI22" s="232">
        <f>VALUE(庫存金額!AC17)</f>
        <v>10790177</v>
      </c>
      <c r="AJ22" s="232">
        <f>VALUE(庫存金額!AD17)</f>
        <v>11690330</v>
      </c>
      <c r="AK22" s="232">
        <f>VALUE(庫存金額!AE17)</f>
        <v>10635612</v>
      </c>
      <c r="AL22" s="232">
        <f>VALUE(庫存金額!AF17)</f>
        <v>10635612</v>
      </c>
      <c r="AM22" s="232">
        <f>VALUE(庫存金額!AG17)</f>
        <v>10635612</v>
      </c>
      <c r="AN22" s="232">
        <f>VALUE(庫存金額!AH17)</f>
        <v>0</v>
      </c>
      <c r="AO22" s="232">
        <f>VALUE(庫存金額!AI17)</f>
        <v>9849791.7100000009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4186738.3225799999</v>
      </c>
      <c r="E23" s="555">
        <f>HLOOKUP(MONTH(日期!$C$2),當年目標設定!$D$1:$O$33,21,TRUE)</f>
        <v>6248420.6389158517</v>
      </c>
      <c r="F23" s="309">
        <f>HLOOKUP(MONTH(日期!$C$2),當年目標設定!$R$1:$AC$33,21,TRUE)</f>
        <v>6179311.4990999214</v>
      </c>
      <c r="G23" s="308">
        <f>當年月推移!P21</f>
        <v>18267350</v>
      </c>
      <c r="H23" s="308">
        <f>當年月推移!P55</f>
        <v>19145149</v>
      </c>
      <c r="I23" s="232">
        <f>VALUE(庫存金額!C16)</f>
        <v>9516089</v>
      </c>
      <c r="J23" s="232">
        <f>VALUE(庫存金額!D16)</f>
        <v>8864892</v>
      </c>
      <c r="K23" s="232">
        <f>VALUE(庫存金額!E16)</f>
        <v>8255098</v>
      </c>
      <c r="L23" s="232">
        <f>VALUE(庫存金額!F16)</f>
        <v>8255098</v>
      </c>
      <c r="M23" s="232">
        <f>VALUE(庫存金額!G16)</f>
        <v>7645206</v>
      </c>
      <c r="N23" s="232">
        <f>VALUE(庫存金額!H16)</f>
        <v>7757589</v>
      </c>
      <c r="O23" s="232">
        <f>VALUE(庫存金額!I16)</f>
        <v>7621441</v>
      </c>
      <c r="P23" s="232">
        <f>VALUE(庫存金額!J16)</f>
        <v>7309649</v>
      </c>
      <c r="Q23" s="232">
        <f>VALUE(庫存金額!K16)</f>
        <v>6853678</v>
      </c>
      <c r="R23" s="232">
        <f>VALUE(庫存金額!L16)</f>
        <v>6261144</v>
      </c>
      <c r="S23" s="232">
        <f>VALUE(庫存金額!M16)</f>
        <v>6261144</v>
      </c>
      <c r="T23" s="232">
        <f>VALUE(庫存金額!N16)</f>
        <v>6352358</v>
      </c>
      <c r="U23" s="232">
        <f>VALUE(庫存金額!O16)</f>
        <v>6660304</v>
      </c>
      <c r="V23" s="232">
        <f>VALUE(庫存金額!P16)</f>
        <v>6231908</v>
      </c>
      <c r="W23" s="232">
        <f>VALUE(庫存金額!Q16)</f>
        <v>5924719</v>
      </c>
      <c r="X23" s="232">
        <f>VALUE(庫存金額!R16)</f>
        <v>6511298</v>
      </c>
      <c r="Y23" s="232">
        <f>VALUE(庫存金額!S16)</f>
        <v>5719600</v>
      </c>
      <c r="Z23" s="232">
        <f>VALUE(庫存金額!T16)</f>
        <v>5719600</v>
      </c>
      <c r="AA23" s="232">
        <f>VALUE(庫存金額!U16)</f>
        <v>5168182</v>
      </c>
      <c r="AB23" s="232">
        <f>VALUE(庫存金額!V16)</f>
        <v>4676495</v>
      </c>
      <c r="AC23" s="232">
        <f>VALUE(庫存金額!W16)</f>
        <v>4772236</v>
      </c>
      <c r="AD23" s="232">
        <f>VALUE(庫存金額!X16)</f>
        <v>4930127</v>
      </c>
      <c r="AE23" s="232">
        <f>VALUE(庫存金額!Y16)</f>
        <v>5768365</v>
      </c>
      <c r="AF23" s="232">
        <f>VALUE(庫存金額!Z16)</f>
        <v>4997799</v>
      </c>
      <c r="AG23" s="232">
        <f>VALUE(庫存金額!AA16)</f>
        <v>4997799</v>
      </c>
      <c r="AH23" s="232">
        <f>VALUE(庫存金額!AB16)</f>
        <v>4709584</v>
      </c>
      <c r="AI23" s="232">
        <f>VALUE(庫存金額!AC16)</f>
        <v>5323982</v>
      </c>
      <c r="AJ23" s="232">
        <f>VALUE(庫存金額!AD16)</f>
        <v>5829454</v>
      </c>
      <c r="AK23" s="232">
        <f>VALUE(庫存金額!AE16)</f>
        <v>6875955</v>
      </c>
      <c r="AL23" s="232">
        <f>VALUE(庫存金額!AF16)</f>
        <v>8732706</v>
      </c>
      <c r="AM23" s="232">
        <f>VALUE(庫存金額!AG16)</f>
        <v>8732706</v>
      </c>
      <c r="AN23" s="232">
        <f>VALUE(庫存金額!AH16)</f>
        <v>0</v>
      </c>
      <c r="AO23" s="232">
        <f>VALUE(庫存金額!AI16)</f>
        <v>6556006.6100000003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124926.09677400001</v>
      </c>
      <c r="E24" s="555">
        <f>HLOOKUP(MONTH(日期!$C$2),當年目標設定!$D$1:$O$33,22,TRUE)</f>
        <v>183323.22246576444</v>
      </c>
      <c r="F24" s="309">
        <f>HLOOKUP(MONTH(日期!$C$2),當年目標設定!$R$1:$AC$33,22,TRUE)</f>
        <v>181150.26678775484</v>
      </c>
      <c r="G24" s="308">
        <f>當年月推移!P22</f>
        <v>101611</v>
      </c>
      <c r="H24" s="308">
        <f>當年月推移!P56</f>
        <v>99652</v>
      </c>
      <c r="I24" s="232">
        <f>VALUE(庫存金額!C11)</f>
        <v>91839</v>
      </c>
      <c r="J24" s="232">
        <f>VALUE(庫存金額!D11)</f>
        <v>91839</v>
      </c>
      <c r="K24" s="232">
        <f>VALUE(庫存金額!E11)</f>
        <v>91839</v>
      </c>
      <c r="L24" s="232">
        <f>VALUE(庫存金額!F11)</f>
        <v>91839</v>
      </c>
      <c r="M24" s="232">
        <f>VALUE(庫存金額!G11)</f>
        <v>91839</v>
      </c>
      <c r="N24" s="232">
        <f>VALUE(庫存金額!H11)</f>
        <v>91839</v>
      </c>
      <c r="O24" s="232">
        <f>VALUE(庫存金額!I11)</f>
        <v>91839</v>
      </c>
      <c r="P24" s="232">
        <f>VALUE(庫存金額!J11)</f>
        <v>91839</v>
      </c>
      <c r="Q24" s="232">
        <f>VALUE(庫存金額!K11)</f>
        <v>91839</v>
      </c>
      <c r="R24" s="232">
        <f>VALUE(庫存金額!L11)</f>
        <v>91839</v>
      </c>
      <c r="S24" s="232">
        <f>VALUE(庫存金額!M11)</f>
        <v>91839</v>
      </c>
      <c r="T24" s="232">
        <f>VALUE(庫存金額!N11)</f>
        <v>91839</v>
      </c>
      <c r="U24" s="232">
        <f>VALUE(庫存金額!O11)</f>
        <v>91839</v>
      </c>
      <c r="V24" s="232">
        <f>VALUE(庫存金額!P11)</f>
        <v>91839</v>
      </c>
      <c r="W24" s="232">
        <f>VALUE(庫存金額!Q11)</f>
        <v>91839</v>
      </c>
      <c r="X24" s="232">
        <f>VALUE(庫存金額!R11)</f>
        <v>91839</v>
      </c>
      <c r="Y24" s="232">
        <f>VALUE(庫存金額!S11)</f>
        <v>91839</v>
      </c>
      <c r="Z24" s="232">
        <f>VALUE(庫存金額!T11)</f>
        <v>91839</v>
      </c>
      <c r="AA24" s="232">
        <f>VALUE(庫存金額!U11)</f>
        <v>91839</v>
      </c>
      <c r="AB24" s="232">
        <f>VALUE(庫存金額!V11)</f>
        <v>91839</v>
      </c>
      <c r="AC24" s="232">
        <f>VALUE(庫存金額!W11)</f>
        <v>91839</v>
      </c>
      <c r="AD24" s="232">
        <f>VALUE(庫存金額!X11)</f>
        <v>91839</v>
      </c>
      <c r="AE24" s="232">
        <f>VALUE(庫存金額!Y11)</f>
        <v>91839</v>
      </c>
      <c r="AF24" s="232">
        <f>VALUE(庫存金額!Z11)</f>
        <v>91839</v>
      </c>
      <c r="AG24" s="232">
        <f>VALUE(庫存金額!AA11)</f>
        <v>91839</v>
      </c>
      <c r="AH24" s="232">
        <f>VALUE(庫存金額!AB11)</f>
        <v>91839</v>
      </c>
      <c r="AI24" s="232">
        <f>VALUE(庫存金額!AC11)</f>
        <v>91839</v>
      </c>
      <c r="AJ24" s="232">
        <f>VALUE(庫存金額!AD11)</f>
        <v>91839</v>
      </c>
      <c r="AK24" s="232">
        <f>VALUE(庫存金額!AE11)</f>
        <v>91839</v>
      </c>
      <c r="AL24" s="232">
        <f>VALUE(庫存金額!AF11)</f>
        <v>91839</v>
      </c>
      <c r="AM24" s="232">
        <f>VALUE(庫存金額!AG11)</f>
        <v>91839</v>
      </c>
      <c r="AN24" s="232">
        <f>VALUE(庫存金額!AH11)</f>
        <v>0</v>
      </c>
      <c r="AO24" s="232">
        <f>VALUE(庫存金額!AI11)</f>
        <v>91839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165011</v>
      </c>
      <c r="H25" s="308">
        <f>當年月推移!P57</f>
        <v>182320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1723191.9999990002</v>
      </c>
      <c r="E26" s="325">
        <f t="shared" si="9"/>
        <v>0</v>
      </c>
      <c r="F26" s="318">
        <f t="shared" si="9"/>
        <v>0</v>
      </c>
      <c r="G26" s="318">
        <f t="shared" si="9"/>
        <v>14994309</v>
      </c>
      <c r="H26" s="318">
        <f t="shared" si="9"/>
        <v>15719248</v>
      </c>
      <c r="I26" s="237">
        <f t="shared" si="9"/>
        <v>8124471</v>
      </c>
      <c r="J26" s="237">
        <f t="shared" ref="J26:AO26" si="10">SUM(J27:J31)</f>
        <v>8262372</v>
      </c>
      <c r="K26" s="237">
        <f t="shared" si="10"/>
        <v>8107972</v>
      </c>
      <c r="L26" s="237">
        <f t="shared" si="10"/>
        <v>8107972</v>
      </c>
      <c r="M26" s="237">
        <f t="shared" si="10"/>
        <v>8008651</v>
      </c>
      <c r="N26" s="237">
        <f t="shared" si="10"/>
        <v>6997629</v>
      </c>
      <c r="O26" s="237">
        <f t="shared" si="10"/>
        <v>6871889</v>
      </c>
      <c r="P26" s="237">
        <f t="shared" si="10"/>
        <v>6832089</v>
      </c>
      <c r="Q26" s="237">
        <f t="shared" si="10"/>
        <v>7588889</v>
      </c>
      <c r="R26" s="237">
        <f t="shared" si="10"/>
        <v>7506489</v>
      </c>
      <c r="S26" s="237">
        <f t="shared" si="10"/>
        <v>7506489</v>
      </c>
      <c r="T26" s="237">
        <f t="shared" si="10"/>
        <v>7540949</v>
      </c>
      <c r="U26" s="237">
        <f t="shared" si="10"/>
        <v>7134246</v>
      </c>
      <c r="V26" s="237">
        <f t="shared" si="10"/>
        <v>7007235</v>
      </c>
      <c r="W26" s="237">
        <f t="shared" si="10"/>
        <v>6949835</v>
      </c>
      <c r="X26" s="237">
        <f t="shared" si="10"/>
        <v>7231963</v>
      </c>
      <c r="Y26" s="237">
        <f t="shared" si="10"/>
        <v>7081563</v>
      </c>
      <c r="Z26" s="237">
        <f t="shared" si="10"/>
        <v>7081563</v>
      </c>
      <c r="AA26" s="237">
        <f t="shared" si="10"/>
        <v>7100293</v>
      </c>
      <c r="AB26" s="237">
        <f t="shared" si="10"/>
        <v>6521559</v>
      </c>
      <c r="AC26" s="237">
        <f t="shared" si="10"/>
        <v>6705515</v>
      </c>
      <c r="AD26" s="237">
        <f t="shared" si="10"/>
        <v>7529359</v>
      </c>
      <c r="AE26" s="237">
        <f t="shared" si="10"/>
        <v>8258872</v>
      </c>
      <c r="AF26" s="237">
        <f t="shared" si="10"/>
        <v>8173272</v>
      </c>
      <c r="AG26" s="237">
        <f t="shared" si="10"/>
        <v>8173272</v>
      </c>
      <c r="AH26" s="237">
        <f t="shared" si="10"/>
        <v>8050474</v>
      </c>
      <c r="AI26" s="237">
        <f t="shared" si="10"/>
        <v>8280657</v>
      </c>
      <c r="AJ26" s="237">
        <f t="shared" si="10"/>
        <v>10655838</v>
      </c>
      <c r="AK26" s="237">
        <f t="shared" si="10"/>
        <v>10499474</v>
      </c>
      <c r="AL26" s="237">
        <f t="shared" si="10"/>
        <v>10499474</v>
      </c>
      <c r="AM26" s="237">
        <f t="shared" si="10"/>
        <v>10499474</v>
      </c>
      <c r="AN26" s="237">
        <f t="shared" si="10"/>
        <v>0</v>
      </c>
      <c r="AO26" s="237">
        <f t="shared" si="10"/>
        <v>7899670.9400000004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161176</v>
      </c>
      <c r="Y27" s="27">
        <f>VALUE(庫存金額!S20)</f>
        <v>161176</v>
      </c>
      <c r="Z27" s="27">
        <f>VALUE(庫存金額!T20)</f>
        <v>161176</v>
      </c>
      <c r="AA27" s="27">
        <f>VALUE(庫存金額!U20)</f>
        <v>161176</v>
      </c>
      <c r="AB27" s="27">
        <f>VALUE(庫存金額!V20)</f>
        <v>161176</v>
      </c>
      <c r="AC27" s="27">
        <f>VALUE(庫存金額!W20)</f>
        <v>161176</v>
      </c>
      <c r="AD27" s="27">
        <f>VALUE(庫存金額!X20)</f>
        <v>161176</v>
      </c>
      <c r="AE27" s="27">
        <f>VALUE(庫存金額!Y20)</f>
        <v>161176</v>
      </c>
      <c r="AF27" s="27">
        <f>VALUE(庫存金額!Z20)</f>
        <v>161176</v>
      </c>
      <c r="AG27" s="27">
        <f>VALUE(庫存金額!AA20)</f>
        <v>161176</v>
      </c>
      <c r="AH27" s="27">
        <f>VALUE(庫存金額!AB20)</f>
        <v>161176</v>
      </c>
      <c r="AI27" s="27">
        <f>VALUE(庫存金額!AC20)</f>
        <v>161176</v>
      </c>
      <c r="AJ27" s="27">
        <f>VALUE(庫存金額!AD20)</f>
        <v>161176</v>
      </c>
      <c r="AK27" s="27">
        <f>VALUE(庫存金額!AE20)</f>
        <v>161176</v>
      </c>
      <c r="AL27" s="27">
        <f>VALUE(庫存金額!AF20)</f>
        <v>161176</v>
      </c>
      <c r="AM27" s="27">
        <f>VALUE(庫存金額!AG20)</f>
        <v>161176</v>
      </c>
      <c r="AN27" s="27">
        <f>VALUE(庫存金額!AH20)</f>
        <v>0</v>
      </c>
      <c r="AO27" s="27">
        <f>VALUE(庫存金額!AI20)</f>
        <v>161176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173744.451612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209338</v>
      </c>
      <c r="J28" s="27">
        <f>VALUE(庫存金額!D21)</f>
        <v>209338</v>
      </c>
      <c r="K28" s="27">
        <f>VALUE(庫存金額!E21)</f>
        <v>209338</v>
      </c>
      <c r="L28" s="27">
        <f>VALUE(庫存金額!F21)</f>
        <v>209338</v>
      </c>
      <c r="M28" s="27">
        <f>VALUE(庫存金額!G21)</f>
        <v>209338</v>
      </c>
      <c r="N28" s="27">
        <f>VALUE(庫存金額!H21)</f>
        <v>209338</v>
      </c>
      <c r="O28" s="27">
        <f>VALUE(庫存金額!I21)</f>
        <v>115978</v>
      </c>
      <c r="P28" s="27">
        <f>VALUE(庫存金額!J21)</f>
        <v>132178</v>
      </c>
      <c r="Q28" s="27">
        <f>VALUE(庫存金額!K21)</f>
        <v>132178</v>
      </c>
      <c r="R28" s="27">
        <f>VALUE(庫存金額!L21)</f>
        <v>132178</v>
      </c>
      <c r="S28" s="27">
        <f>VALUE(庫存金額!M21)</f>
        <v>132178</v>
      </c>
      <c r="T28" s="27">
        <f>VALUE(庫存金額!N21)</f>
        <v>132178</v>
      </c>
      <c r="U28" s="27">
        <f>VALUE(庫存金額!O21)</f>
        <v>115978</v>
      </c>
      <c r="V28" s="27">
        <f>VALUE(庫存金額!P21)</f>
        <v>115978</v>
      </c>
      <c r="W28" s="27">
        <f>VALUE(庫存金額!Q21)</f>
        <v>115978</v>
      </c>
      <c r="X28" s="27">
        <f>VALUE(庫存金額!R21)</f>
        <v>115978</v>
      </c>
      <c r="Y28" s="27">
        <f>VALUE(庫存金額!S21)</f>
        <v>115978</v>
      </c>
      <c r="Z28" s="27">
        <f>VALUE(庫存金額!T21)</f>
        <v>115978</v>
      </c>
      <c r="AA28" s="27">
        <f>VALUE(庫存金額!U21)</f>
        <v>115978</v>
      </c>
      <c r="AB28" s="27">
        <f>VALUE(庫存金額!V21)</f>
        <v>115978</v>
      </c>
      <c r="AC28" s="27">
        <f>VALUE(庫存金額!W21)</f>
        <v>115978</v>
      </c>
      <c r="AD28" s="27">
        <f>VALUE(庫存金額!X21)</f>
        <v>115978</v>
      </c>
      <c r="AE28" s="27">
        <f>VALUE(庫存金額!Y21)</f>
        <v>115978</v>
      </c>
      <c r="AF28" s="27">
        <f>VALUE(庫存金額!Z21)</f>
        <v>115978</v>
      </c>
      <c r="AG28" s="27">
        <f>VALUE(庫存金額!AA21)</f>
        <v>115978</v>
      </c>
      <c r="AH28" s="27">
        <f>VALUE(庫存金額!AB21)</f>
        <v>115978</v>
      </c>
      <c r="AI28" s="27">
        <f>VALUE(庫存金額!AC21)</f>
        <v>115978</v>
      </c>
      <c r="AJ28" s="27">
        <f>VALUE(庫存金額!AD21)</f>
        <v>115978</v>
      </c>
      <c r="AK28" s="27">
        <f>VALUE(庫存金額!AE21)</f>
        <v>115978</v>
      </c>
      <c r="AL28" s="27">
        <f>VALUE(庫存金額!AF21)</f>
        <v>115978</v>
      </c>
      <c r="AM28" s="27">
        <f>VALUE(庫存金額!AG21)</f>
        <v>115978</v>
      </c>
      <c r="AN28" s="27">
        <f>VALUE(庫存金額!AH21)</f>
        <v>0</v>
      </c>
      <c r="AO28" s="27">
        <f>VALUE(庫存金額!AI21)</f>
        <v>136660.57999999999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9192419</v>
      </c>
      <c r="H29" s="308">
        <f>當年月推移!P61</f>
        <v>9592211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5801890</v>
      </c>
      <c r="H30" s="308">
        <f>當年月推移!P62</f>
        <v>6127037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1388271.5483870001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7753957</v>
      </c>
      <c r="J31" s="111">
        <f>VALUE(庫存金額!D25)</f>
        <v>7891858</v>
      </c>
      <c r="K31" s="111">
        <f>VALUE(庫存金額!E25)</f>
        <v>7737458</v>
      </c>
      <c r="L31" s="111">
        <f>VALUE(庫存金額!F25)</f>
        <v>7737458</v>
      </c>
      <c r="M31" s="111">
        <f>VALUE(庫存金額!G25)</f>
        <v>7638137</v>
      </c>
      <c r="N31" s="111">
        <f>VALUE(庫存金額!H25)</f>
        <v>6627115</v>
      </c>
      <c r="O31" s="111">
        <f>VALUE(庫存金額!I25)</f>
        <v>6594735</v>
      </c>
      <c r="P31" s="111">
        <f>VALUE(庫存金額!J25)</f>
        <v>6538735</v>
      </c>
      <c r="Q31" s="111">
        <f>VALUE(庫存金額!K25)</f>
        <v>7295535</v>
      </c>
      <c r="R31" s="111">
        <f>VALUE(庫存金額!L25)</f>
        <v>7213135</v>
      </c>
      <c r="S31" s="111">
        <f>VALUE(庫存金額!M25)</f>
        <v>7213135</v>
      </c>
      <c r="T31" s="111">
        <f>VALUE(庫存金額!N25)</f>
        <v>7247595</v>
      </c>
      <c r="U31" s="111">
        <f>VALUE(庫存金額!O25)</f>
        <v>6857092</v>
      </c>
      <c r="V31" s="111">
        <f>VALUE(庫存金額!P25)</f>
        <v>6730081</v>
      </c>
      <c r="W31" s="111">
        <f>VALUE(庫存金額!Q25)</f>
        <v>6672681</v>
      </c>
      <c r="X31" s="111">
        <f>VALUE(庫存金額!R25)</f>
        <v>6954809</v>
      </c>
      <c r="Y31" s="111">
        <f>VALUE(庫存金額!S25)</f>
        <v>6804409</v>
      </c>
      <c r="Z31" s="111">
        <f>VALUE(庫存金額!T25)</f>
        <v>6804409</v>
      </c>
      <c r="AA31" s="111">
        <f>VALUE(庫存金額!U25)</f>
        <v>6823139</v>
      </c>
      <c r="AB31" s="111">
        <f>VALUE(庫存金額!V25)</f>
        <v>6244405</v>
      </c>
      <c r="AC31" s="111">
        <f>VALUE(庫存金額!W25)</f>
        <v>6428361</v>
      </c>
      <c r="AD31" s="111">
        <f>VALUE(庫存金額!X25)</f>
        <v>7252205</v>
      </c>
      <c r="AE31" s="111">
        <f>VALUE(庫存金額!Y25)</f>
        <v>7981718</v>
      </c>
      <c r="AF31" s="111">
        <f>VALUE(庫存金額!Z25)</f>
        <v>7896118</v>
      </c>
      <c r="AG31" s="111">
        <f>VALUE(庫存金額!AA25)</f>
        <v>7896118</v>
      </c>
      <c r="AH31" s="111">
        <f>VALUE(庫存金額!AB25)</f>
        <v>7773320</v>
      </c>
      <c r="AI31" s="111">
        <f>VALUE(庫存金額!AC25)</f>
        <v>8003503</v>
      </c>
      <c r="AJ31" s="111">
        <f>VALUE(庫存金額!AD25)</f>
        <v>10378684</v>
      </c>
      <c r="AK31" s="111">
        <f>VALUE(庫存金額!AE25)</f>
        <v>10222320</v>
      </c>
      <c r="AL31" s="111">
        <f>VALUE(庫存金額!AF25)</f>
        <v>10222320</v>
      </c>
      <c r="AM31" s="111">
        <f>VALUE(庫存金額!AG25)</f>
        <v>10222320</v>
      </c>
      <c r="AN31" s="111">
        <f>VALUE(庫存金額!AH25)</f>
        <v>0</v>
      </c>
      <c r="AO31" s="111">
        <f>VALUE(庫存金額!AI25)</f>
        <v>7601834.3600000003</v>
      </c>
    </row>
    <row r="32" spans="1:44" s="32" customFormat="1" ht="21.95" customHeight="1">
      <c r="A32" s="596" t="s">
        <v>36</v>
      </c>
      <c r="B32" s="597"/>
      <c r="C32" s="31" t="s">
        <v>37</v>
      </c>
      <c r="D32" s="327">
        <f>HLOOKUP(MONTH(日期!$C$2),去年月推移!$D$1:$O$33,30,TRUE)</f>
        <v>2763037.1290322579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1616553</v>
      </c>
      <c r="H32" s="328">
        <f>當年月推移!P63</f>
        <v>1606723</v>
      </c>
      <c r="I32" s="110">
        <f>VALUE(庫存金額!C15)</f>
        <v>1605674</v>
      </c>
      <c r="J32" s="110">
        <f>VALUE(庫存金額!D15)</f>
        <v>1605674</v>
      </c>
      <c r="K32" s="110">
        <f>VALUE(庫存金額!E15)</f>
        <v>1605674</v>
      </c>
      <c r="L32" s="110">
        <f>VALUE(庫存金額!F15)</f>
        <v>1605674</v>
      </c>
      <c r="M32" s="110">
        <f>VALUE(庫存金額!G15)</f>
        <v>1605674</v>
      </c>
      <c r="N32" s="110">
        <f>VALUE(庫存金額!H15)</f>
        <v>1624429</v>
      </c>
      <c r="O32" s="110">
        <f>VALUE(庫存金額!I15)</f>
        <v>1605674</v>
      </c>
      <c r="P32" s="110">
        <f>VALUE(庫存金額!J15)</f>
        <v>1605674</v>
      </c>
      <c r="Q32" s="110">
        <f>VALUE(庫存金額!K15)</f>
        <v>1605674</v>
      </c>
      <c r="R32" s="110">
        <f>VALUE(庫存金額!L15)</f>
        <v>1605674</v>
      </c>
      <c r="S32" s="110">
        <f>VALUE(庫存金額!M15)</f>
        <v>1605674</v>
      </c>
      <c r="T32" s="110">
        <f>VALUE(庫存金額!N15)</f>
        <v>1605674</v>
      </c>
      <c r="U32" s="110">
        <f>VALUE(庫存金額!O15)</f>
        <v>1605674</v>
      </c>
      <c r="V32" s="110">
        <f>VALUE(庫存金額!P15)</f>
        <v>1605674</v>
      </c>
      <c r="W32" s="110">
        <f>VALUE(庫存金額!Q15)</f>
        <v>1605674</v>
      </c>
      <c r="X32" s="110">
        <f>VALUE(庫存金額!R15)</f>
        <v>1605674</v>
      </c>
      <c r="Y32" s="110">
        <f>VALUE(庫存金額!S15)</f>
        <v>1605674</v>
      </c>
      <c r="Z32" s="110">
        <f>VALUE(庫存金額!T15)</f>
        <v>1605674</v>
      </c>
      <c r="AA32" s="110">
        <f>VALUE(庫存金額!U15)</f>
        <v>1605674</v>
      </c>
      <c r="AB32" s="110">
        <f>VALUE(庫存金額!V15)</f>
        <v>1605674</v>
      </c>
      <c r="AC32" s="110">
        <f>VALUE(庫存金額!W15)</f>
        <v>1605674</v>
      </c>
      <c r="AD32" s="110">
        <f>VALUE(庫存金額!X15)</f>
        <v>1637530</v>
      </c>
      <c r="AE32" s="110">
        <f>VALUE(庫存金額!Y15)</f>
        <v>1637530</v>
      </c>
      <c r="AF32" s="110">
        <f>VALUE(庫存金額!Z15)</f>
        <v>1637530</v>
      </c>
      <c r="AG32" s="110">
        <f>VALUE(庫存金額!AA15)</f>
        <v>1637530</v>
      </c>
      <c r="AH32" s="110">
        <f>VALUE(庫存金額!AB15)</f>
        <v>1646031</v>
      </c>
      <c r="AI32" s="110">
        <f>VALUE(庫存金額!AC15)</f>
        <v>1639655</v>
      </c>
      <c r="AJ32" s="110">
        <f>VALUE(庫存金額!AD15)</f>
        <v>1641175</v>
      </c>
      <c r="AK32" s="110">
        <f>VALUE(庫存金額!AE15)</f>
        <v>1641175</v>
      </c>
      <c r="AL32" s="110">
        <f>VALUE(庫存金額!AF15)</f>
        <v>1641175</v>
      </c>
      <c r="AM32" s="110">
        <f>VALUE(庫存金額!AG15)</f>
        <v>1641175</v>
      </c>
      <c r="AN32" s="110">
        <f>VALUE(庫存金額!AH15)</f>
        <v>0</v>
      </c>
      <c r="AO32" s="110">
        <f>VALUE(庫存金額!AI15)</f>
        <v>1617368.23</v>
      </c>
    </row>
    <row r="33" spans="1:41" s="32" customFormat="1" ht="21.95" customHeight="1">
      <c r="A33" s="598"/>
      <c r="B33" s="599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98"/>
      <c r="B34" s="599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6048482</v>
      </c>
      <c r="H34" s="328">
        <f>當年月推移!P65</f>
        <v>8136926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00"/>
      <c r="B35" s="601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11362159</v>
      </c>
      <c r="H35" s="508">
        <f>當年月推移!P66</f>
        <v>11154318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606" t="s">
        <v>1</v>
      </c>
      <c r="B38" s="587"/>
      <c r="C38" s="587"/>
      <c r="D38" s="608" t="str">
        <f>D3</f>
        <v>2024/5</v>
      </c>
      <c r="E38" s="610" t="str">
        <f>E3</f>
        <v>2025/5</v>
      </c>
      <c r="F38" s="332"/>
      <c r="G38" s="565">
        <f>YEAR(日期!C2)</f>
        <v>2025</v>
      </c>
      <c r="H38" s="566"/>
      <c r="I38" s="527" t="str">
        <f>日期!C2</f>
        <v>2025/05/01</v>
      </c>
      <c r="J38" s="527" t="str">
        <f>日期!D2</f>
        <v>2025/05/02</v>
      </c>
      <c r="K38" s="527" t="str">
        <f>日期!E2</f>
        <v>2025/05/03</v>
      </c>
      <c r="L38" s="527" t="str">
        <f>日期!F2</f>
        <v>2025/05/04</v>
      </c>
      <c r="M38" s="527" t="str">
        <f>日期!G2</f>
        <v>2025/05/05</v>
      </c>
      <c r="N38" s="527" t="str">
        <f>日期!H2</f>
        <v>2025/05/06</v>
      </c>
      <c r="O38" s="527" t="str">
        <f>日期!I2</f>
        <v>2025/05/07</v>
      </c>
      <c r="P38" s="527" t="str">
        <f>日期!J2</f>
        <v>2025/05/08</v>
      </c>
      <c r="Q38" s="527" t="str">
        <f>日期!K2</f>
        <v>2025/05/09</v>
      </c>
      <c r="R38" s="527" t="str">
        <f>日期!L2</f>
        <v>2025/05/10</v>
      </c>
      <c r="S38" s="527" t="str">
        <f>日期!M2</f>
        <v>2025/05/11</v>
      </c>
      <c r="T38" s="527" t="str">
        <f>日期!N2</f>
        <v>2025/05/12</v>
      </c>
      <c r="U38" s="527" t="str">
        <f>日期!O2</f>
        <v>2025/05/13</v>
      </c>
      <c r="V38" s="527" t="str">
        <f>日期!P2</f>
        <v>2025/05/14</v>
      </c>
      <c r="W38" s="527" t="str">
        <f>日期!Q2</f>
        <v>2025/05/15</v>
      </c>
      <c r="X38" s="527" t="str">
        <f>日期!R2</f>
        <v>2025/05/16</v>
      </c>
      <c r="Y38" s="527" t="str">
        <f>日期!S2</f>
        <v>2025/05/17</v>
      </c>
      <c r="Z38" s="527" t="str">
        <f>日期!T2</f>
        <v>2025/05/18</v>
      </c>
      <c r="AA38" s="527" t="str">
        <f>日期!U2</f>
        <v>2025/05/19</v>
      </c>
      <c r="AB38" s="527" t="str">
        <f>日期!V2</f>
        <v>2025/05/20</v>
      </c>
      <c r="AC38" s="527" t="str">
        <f>日期!W2</f>
        <v>2025/05/21</v>
      </c>
      <c r="AD38" s="527" t="str">
        <f>日期!X2</f>
        <v>2025/05/22</v>
      </c>
      <c r="AE38" s="527" t="str">
        <f>日期!Y2</f>
        <v>2025/05/23</v>
      </c>
      <c r="AF38" s="527" t="str">
        <f>日期!Z2</f>
        <v>2025/05/24</v>
      </c>
      <c r="AG38" s="527" t="str">
        <f>日期!AA2</f>
        <v>2025/05/25</v>
      </c>
      <c r="AH38" s="527" t="str">
        <f>日期!AB2</f>
        <v>2025/05/26</v>
      </c>
      <c r="AI38" s="527" t="str">
        <f>日期!AC2</f>
        <v>2025/05/27</v>
      </c>
      <c r="AJ38" s="527" t="str">
        <f>日期!AD2</f>
        <v>2025/05/28</v>
      </c>
      <c r="AK38" s="527" t="str">
        <f>日期!AE2</f>
        <v>2025/05/29</v>
      </c>
      <c r="AL38" s="527" t="str">
        <f>日期!AF2</f>
        <v>2025/05/30</v>
      </c>
      <c r="AM38" s="527" t="str">
        <f>日期!AG2</f>
        <v>2025/05/31</v>
      </c>
      <c r="AN38" s="604" t="s">
        <v>42</v>
      </c>
    </row>
    <row r="39" spans="1:41" s="14" customFormat="1" ht="24" customHeight="1" thickBot="1">
      <c r="A39" s="607"/>
      <c r="B39" s="588"/>
      <c r="C39" s="588"/>
      <c r="D39" s="609"/>
      <c r="E39" s="611"/>
      <c r="F39" s="333"/>
      <c r="G39" s="567" t="s">
        <v>43</v>
      </c>
      <c r="H39" s="568"/>
      <c r="I39" s="12" t="str">
        <f>日期!C3</f>
        <v>Thu</v>
      </c>
      <c r="J39" s="12" t="str">
        <f>日期!D3</f>
        <v>Fri</v>
      </c>
      <c r="K39" s="12" t="str">
        <f>日期!E3</f>
        <v>Sat</v>
      </c>
      <c r="L39" s="12" t="str">
        <f>日期!F3</f>
        <v>Sun</v>
      </c>
      <c r="M39" s="12" t="str">
        <f>日期!G3</f>
        <v>Mon</v>
      </c>
      <c r="N39" s="12" t="str">
        <f>日期!H3</f>
        <v>Tue</v>
      </c>
      <c r="O39" s="12" t="str">
        <f>日期!I3</f>
        <v>Wed</v>
      </c>
      <c r="P39" s="12" t="str">
        <f>日期!J3</f>
        <v>Thu</v>
      </c>
      <c r="Q39" s="12" t="str">
        <f>日期!K3</f>
        <v>Fri</v>
      </c>
      <c r="R39" s="12" t="str">
        <f>日期!L3</f>
        <v>Sat</v>
      </c>
      <c r="S39" s="12" t="str">
        <f>日期!M3</f>
        <v>Sun</v>
      </c>
      <c r="T39" s="12" t="str">
        <f>日期!N3</f>
        <v>Mon</v>
      </c>
      <c r="U39" s="12" t="str">
        <f>日期!O3</f>
        <v>Tue</v>
      </c>
      <c r="V39" s="12" t="str">
        <f>日期!P3</f>
        <v>Wed</v>
      </c>
      <c r="W39" s="12" t="str">
        <f>日期!Q3</f>
        <v>Thu</v>
      </c>
      <c r="X39" s="12" t="str">
        <f>日期!R3</f>
        <v>Fri</v>
      </c>
      <c r="Y39" s="12" t="str">
        <f>日期!S3</f>
        <v>Sat</v>
      </c>
      <c r="Z39" s="12" t="str">
        <f>日期!T3</f>
        <v>Sun</v>
      </c>
      <c r="AA39" s="12" t="str">
        <f>日期!U3</f>
        <v>Mon</v>
      </c>
      <c r="AB39" s="12" t="str">
        <f>日期!V3</f>
        <v>Tue</v>
      </c>
      <c r="AC39" s="12" t="str">
        <f>日期!W3</f>
        <v>Wed</v>
      </c>
      <c r="AD39" s="12" t="str">
        <f>日期!X3</f>
        <v>Thu</v>
      </c>
      <c r="AE39" s="12" t="str">
        <f>日期!Y3</f>
        <v>Fri</v>
      </c>
      <c r="AF39" s="12" t="str">
        <f>日期!Z3</f>
        <v>Sat</v>
      </c>
      <c r="AG39" s="12" t="str">
        <f>日期!AA3</f>
        <v>Sun</v>
      </c>
      <c r="AH39" s="12" t="str">
        <f>日期!AB3</f>
        <v>Mon</v>
      </c>
      <c r="AI39" s="12" t="str">
        <f>日期!AC3</f>
        <v>Tue</v>
      </c>
      <c r="AJ39" s="12" t="str">
        <f>日期!AD3</f>
        <v>Wed</v>
      </c>
      <c r="AK39" s="12" t="str">
        <f>日期!AE3</f>
        <v>Thu</v>
      </c>
      <c r="AL39" s="12" t="str">
        <f>日期!AF3</f>
        <v>Fri</v>
      </c>
      <c r="AM39" s="12" t="str">
        <f>日期!AG3</f>
        <v>Sat</v>
      </c>
      <c r="AN39" s="605"/>
    </row>
    <row r="40" spans="1:41" s="14" customFormat="1" ht="21.95" customHeight="1">
      <c r="A40" s="557" t="s">
        <v>44</v>
      </c>
      <c r="B40" s="558"/>
      <c r="C40" s="558"/>
      <c r="D40" s="272">
        <f>HLOOKUP(MONTH(日期!$C$2),去年月推移!$D$1:$O$200,98,TRUE)</f>
        <v>98.731240999999997</v>
      </c>
      <c r="E40" s="45">
        <v>97.8</v>
      </c>
      <c r="F40" s="46" t="s">
        <v>45</v>
      </c>
      <c r="G40" s="559">
        <f>ROUND(當年月推移!P99,1)</f>
        <v>98.3</v>
      </c>
      <c r="H40" s="560"/>
      <c r="I40" s="245">
        <f>ROUND(供應率ALL!C2,1)</f>
        <v>0</v>
      </c>
      <c r="J40" s="245">
        <f>ROUND(供應率ALL!D2,1)</f>
        <v>98.1</v>
      </c>
      <c r="K40" s="245">
        <f>ROUND(供應率ALL!E2,1)</f>
        <v>98.6</v>
      </c>
      <c r="L40" s="245">
        <f>ROUND(供應率ALL!F2,1)</f>
        <v>0</v>
      </c>
      <c r="M40" s="245">
        <f>ROUND(供應率ALL!G2,1)</f>
        <v>98.6</v>
      </c>
      <c r="N40" s="245">
        <f>ROUND(供應率ALL!H2,1)</f>
        <v>98.4</v>
      </c>
      <c r="O40" s="245">
        <f>ROUND(供應率ALL!I2,1)</f>
        <v>98.4</v>
      </c>
      <c r="P40" s="245">
        <f>ROUND(供應率ALL!J2,1)</f>
        <v>98.4</v>
      </c>
      <c r="Q40" s="245">
        <f>ROUND(供應率ALL!K2,1)</f>
        <v>98.1</v>
      </c>
      <c r="R40" s="245">
        <f>ROUND(供應率ALL!L2,1)</f>
        <v>98.6</v>
      </c>
      <c r="S40" s="245">
        <f>ROUND(供應率ALL!M2,1)</f>
        <v>0</v>
      </c>
      <c r="T40" s="245">
        <f>ROUND(供應率ALL!N2,1)</f>
        <v>98.2</v>
      </c>
      <c r="U40" s="245">
        <f>ROUND(供應率ALL!O2,1)</f>
        <v>98.5</v>
      </c>
      <c r="V40" s="245">
        <f>ROUND(供應率ALL!P2,1)</f>
        <v>98.8</v>
      </c>
      <c r="W40" s="245">
        <f>ROUND(供應率ALL!Q2,1)</f>
        <v>98.3</v>
      </c>
      <c r="X40" s="245">
        <f>ROUND(供應率ALL!R2,1)</f>
        <v>98.5</v>
      </c>
      <c r="Y40" s="245">
        <f>ROUND(供應率ALL!S2,1)</f>
        <v>98.4</v>
      </c>
      <c r="Z40" s="245">
        <f>ROUND(供應率ALL!T2,1)</f>
        <v>0</v>
      </c>
      <c r="AA40" s="245">
        <f>ROUND(供應率ALL!U2,1)</f>
        <v>98.1</v>
      </c>
      <c r="AB40" s="245">
        <f>ROUND(供應率ALL!V2,1)</f>
        <v>98.2</v>
      </c>
      <c r="AC40" s="245">
        <f>ROUND(供應率ALL!W2,1)</f>
        <v>97.6</v>
      </c>
      <c r="AD40" s="245">
        <f>ROUND(供應率ALL!X2,1)</f>
        <v>97.8</v>
      </c>
      <c r="AE40" s="245">
        <f>ROUND(供應率ALL!Y2,1)</f>
        <v>97.9</v>
      </c>
      <c r="AF40" s="245">
        <f>ROUND(供應率ALL!Z2,1)</f>
        <v>97.7</v>
      </c>
      <c r="AG40" s="245">
        <f>ROUND(供應率ALL!AA2,1)</f>
        <v>0</v>
      </c>
      <c r="AH40" s="245">
        <f>ROUND(供應率ALL!AB2,1)</f>
        <v>97.8</v>
      </c>
      <c r="AI40" s="245">
        <f>ROUND(供應率ALL!AC2,1)</f>
        <v>97.7</v>
      </c>
      <c r="AJ40" s="245">
        <f>ROUND(供應率ALL!AD2,1)</f>
        <v>97.7</v>
      </c>
      <c r="AK40" s="245">
        <f>ROUND(供應率ALL!AE2,1)</f>
        <v>97.9</v>
      </c>
      <c r="AL40" s="245">
        <f>ROUND(供應率ALL!AF2,1)</f>
        <v>0</v>
      </c>
      <c r="AM40" s="245">
        <f>ROUND(供應率ALL!AG2,1)</f>
        <v>0</v>
      </c>
      <c r="AN40" s="213">
        <f>ROUND(供應率ALL!AH2,1)</f>
        <v>98.2</v>
      </c>
      <c r="AO40" s="48"/>
    </row>
    <row r="41" spans="1:41" s="14" customFormat="1" ht="21.95" customHeight="1">
      <c r="A41" s="561" t="s">
        <v>46</v>
      </c>
      <c r="B41" s="562"/>
      <c r="C41" s="562"/>
      <c r="D41" s="44">
        <f>HLOOKUP(MONTH(日期!$C$2),去年月推移!$D$1:$O$200,99,TRUE)</f>
        <v>99.989087999999995</v>
      </c>
      <c r="E41" s="50">
        <v>99</v>
      </c>
      <c r="F41" s="51" t="s">
        <v>45</v>
      </c>
      <c r="G41" s="563">
        <f>ROUND(當年月推移!P100,1)</f>
        <v>99.7</v>
      </c>
      <c r="H41" s="564"/>
      <c r="I41" s="47">
        <f>ROUND(供應率ALL!C4,1)</f>
        <v>0</v>
      </c>
      <c r="J41" s="47">
        <f>ROUND(供應率ALL!D4,1)</f>
        <v>100</v>
      </c>
      <c r="K41" s="47">
        <f>ROUND(供應率ALL!E4,1)</f>
        <v>100</v>
      </c>
      <c r="L41" s="47">
        <f>ROUND(供應率ALL!F4,1)</f>
        <v>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0</v>
      </c>
      <c r="T41" s="47">
        <f>ROUND(供應率ALL!N4,1)</f>
        <v>100</v>
      </c>
      <c r="U41" s="47">
        <f>ROUND(供應率ALL!O4,1)</f>
        <v>100</v>
      </c>
      <c r="V41" s="47">
        <f>ROUND(供應率ALL!P4,1)</f>
        <v>100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0</v>
      </c>
      <c r="AA41" s="47">
        <f>ROUND(供應率ALL!U4,1)</f>
        <v>100</v>
      </c>
      <c r="AB41" s="47">
        <f>ROUND(供應率ALL!V4,1)</f>
        <v>99.8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0</v>
      </c>
      <c r="AM41" s="47">
        <f>ROUND(供應率ALL!AG4,1)</f>
        <v>0</v>
      </c>
      <c r="AN41" s="214">
        <f>ROUND(供應率ALL!AH4,1)</f>
        <v>100</v>
      </c>
      <c r="AO41" s="48"/>
    </row>
    <row r="42" spans="1:41" s="14" customFormat="1" ht="21.95" customHeight="1">
      <c r="A42" s="561" t="s">
        <v>13</v>
      </c>
      <c r="B42" s="562"/>
      <c r="C42" s="562"/>
      <c r="D42" s="44">
        <f>HLOOKUP(MONTH(日期!$C$2),去年月推移!$D$1:$O$200,100,TRUE)</f>
        <v>86.044273000000004</v>
      </c>
      <c r="E42" s="50">
        <v>75</v>
      </c>
      <c r="F42" s="51" t="s">
        <v>45</v>
      </c>
      <c r="G42" s="563">
        <f>ROUND(當年月推移!P101,1)</f>
        <v>92.4</v>
      </c>
      <c r="H42" s="564"/>
      <c r="I42" s="47">
        <f>ROUND(供應率ALL!C5,1)</f>
        <v>0</v>
      </c>
      <c r="J42" s="47">
        <f>ROUND(供應率ALL!D5,1)</f>
        <v>100</v>
      </c>
      <c r="K42" s="47">
        <f>ROUND(供應率ALL!E5,1)</f>
        <v>100</v>
      </c>
      <c r="L42" s="47">
        <f>ROUND(供應率ALL!F5,1)</f>
        <v>0</v>
      </c>
      <c r="M42" s="47">
        <f>ROUND(供應率ALL!G5,1)</f>
        <v>95.6</v>
      </c>
      <c r="N42" s="47">
        <f>ROUND(供應率ALL!H5,1)</f>
        <v>87.1</v>
      </c>
      <c r="O42" s="47">
        <f>ROUND(供應率ALL!I5,1)</f>
        <v>84.4</v>
      </c>
      <c r="P42" s="47">
        <f>ROUND(供應率ALL!J5,1)</f>
        <v>82.8</v>
      </c>
      <c r="Q42" s="47">
        <f>ROUND(供應率ALL!K5,1)</f>
        <v>82</v>
      </c>
      <c r="R42" s="47">
        <f>ROUND(供應率ALL!L5,1)</f>
        <v>80</v>
      </c>
      <c r="S42" s="47">
        <f>ROUND(供應率ALL!M5,1)</f>
        <v>0</v>
      </c>
      <c r="T42" s="47">
        <f>ROUND(供應率ALL!N5,1)</f>
        <v>85.2</v>
      </c>
      <c r="U42" s="47">
        <f>ROUND(供應率ALL!O5,1)</f>
        <v>94.2</v>
      </c>
      <c r="V42" s="47">
        <f>ROUND(供應率ALL!P5,1)</f>
        <v>86.7</v>
      </c>
      <c r="W42" s="47">
        <f>ROUND(供應率ALL!Q5,1)</f>
        <v>94.2</v>
      </c>
      <c r="X42" s="47">
        <f>ROUND(供應率ALL!R5,1)</f>
        <v>86.3</v>
      </c>
      <c r="Y42" s="47">
        <f>ROUND(供應率ALL!S5,1)</f>
        <v>90.9</v>
      </c>
      <c r="Z42" s="47">
        <f>ROUND(供應率ALL!T5,1)</f>
        <v>0</v>
      </c>
      <c r="AA42" s="47">
        <f>ROUND(供應率ALL!U5,1)</f>
        <v>92.4</v>
      </c>
      <c r="AB42" s="47">
        <f>ROUND(供應率ALL!V5,1)</f>
        <v>89.5</v>
      </c>
      <c r="AC42" s="47">
        <f>ROUND(供應率ALL!W5,1)</f>
        <v>96.2</v>
      </c>
      <c r="AD42" s="47">
        <f>ROUND(供應率ALL!X5,1)</f>
        <v>84.4</v>
      </c>
      <c r="AE42" s="47">
        <f>ROUND(供應率ALL!Y5,1)</f>
        <v>82.5</v>
      </c>
      <c r="AF42" s="47">
        <f>ROUND(供應率ALL!Z5,1)</f>
        <v>92.8</v>
      </c>
      <c r="AG42" s="47">
        <f>ROUND(供應率ALL!AA5,1)</f>
        <v>0</v>
      </c>
      <c r="AH42" s="47">
        <f>ROUND(供應率ALL!AB5,1)</f>
        <v>88.3</v>
      </c>
      <c r="AI42" s="47">
        <f>ROUND(供應率ALL!AC5,1)</f>
        <v>88.8</v>
      </c>
      <c r="AJ42" s="47">
        <f>ROUND(供應率ALL!AD5,1)</f>
        <v>96</v>
      </c>
      <c r="AK42" s="47">
        <f>ROUND(供應率ALL!AE5,1)</f>
        <v>92.8</v>
      </c>
      <c r="AL42" s="47">
        <f>ROUND(供應率ALL!AF5,1)</f>
        <v>0</v>
      </c>
      <c r="AM42" s="47">
        <f>ROUND(供應率ALL!AG5,1)</f>
        <v>0</v>
      </c>
      <c r="AN42" s="214">
        <f>ROUND(供應率ALL!AH5,1)</f>
        <v>89</v>
      </c>
      <c r="AO42" s="48"/>
    </row>
    <row r="43" spans="1:41" s="14" customFormat="1" ht="21.95" customHeight="1">
      <c r="A43" s="561" t="s">
        <v>14</v>
      </c>
      <c r="B43" s="562"/>
      <c r="C43" s="562"/>
      <c r="D43" s="44">
        <f>HLOOKUP(MONTH(日期!$C$2),去年月推移!$D$1:$O$200,101,TRUE)</f>
        <v>99.481830000000002</v>
      </c>
      <c r="E43" s="50">
        <v>99</v>
      </c>
      <c r="F43" s="51" t="s">
        <v>45</v>
      </c>
      <c r="G43" s="563">
        <f>ROUND(當年月推移!P102,1)</f>
        <v>99.4</v>
      </c>
      <c r="H43" s="564"/>
      <c r="I43" s="47">
        <f>ROUND(供應率ALL!C6,1)</f>
        <v>0</v>
      </c>
      <c r="J43" s="47">
        <f>ROUND(供應率ALL!D6,1)</f>
        <v>99.4</v>
      </c>
      <c r="K43" s="47">
        <f>ROUND(供應率ALL!E6,1)</f>
        <v>99.4</v>
      </c>
      <c r="L43" s="47">
        <f>ROUND(供應率ALL!F6,1)</f>
        <v>0</v>
      </c>
      <c r="M43" s="47">
        <f>ROUND(供應率ALL!G6,1)</f>
        <v>97.9</v>
      </c>
      <c r="N43" s="47">
        <f>ROUND(供應率ALL!H6,1)</f>
        <v>98.6</v>
      </c>
      <c r="O43" s="47">
        <f>ROUND(供應率ALL!I6,1)</f>
        <v>99.5</v>
      </c>
      <c r="P43" s="47">
        <f>ROUND(供應率ALL!J6,1)</f>
        <v>99.7</v>
      </c>
      <c r="Q43" s="47">
        <f>ROUND(供應率ALL!K6,1)</f>
        <v>99.8</v>
      </c>
      <c r="R43" s="47">
        <f>ROUND(供應率ALL!L6,1)</f>
        <v>99.9</v>
      </c>
      <c r="S43" s="47">
        <f>ROUND(供應率ALL!M6,1)</f>
        <v>0</v>
      </c>
      <c r="T43" s="47">
        <f>ROUND(供應率ALL!N6,1)</f>
        <v>99.9</v>
      </c>
      <c r="U43" s="47">
        <f>ROUND(供應率ALL!O6,1)</f>
        <v>99.9</v>
      </c>
      <c r="V43" s="47">
        <f>ROUND(供應率ALL!P6,1)</f>
        <v>99.8</v>
      </c>
      <c r="W43" s="47">
        <f>ROUND(供應率ALL!Q6,1)</f>
        <v>99.1</v>
      </c>
      <c r="X43" s="47">
        <f>ROUND(供應率ALL!R6,1)</f>
        <v>99.8</v>
      </c>
      <c r="Y43" s="47">
        <f>ROUND(供應率ALL!S6,1)</f>
        <v>99.9</v>
      </c>
      <c r="Z43" s="47">
        <f>ROUND(供應率ALL!T6,1)</f>
        <v>0</v>
      </c>
      <c r="AA43" s="47">
        <f>ROUND(供應率ALL!U6,1)</f>
        <v>99.8</v>
      </c>
      <c r="AB43" s="47">
        <f>ROUND(供應率ALL!V6,1)</f>
        <v>100</v>
      </c>
      <c r="AC43" s="47">
        <f>ROUND(供應率ALL!W6,1)</f>
        <v>99.8</v>
      </c>
      <c r="AD43" s="47">
        <f>ROUND(供應率ALL!X6,1)</f>
        <v>99.8</v>
      </c>
      <c r="AE43" s="47">
        <f>ROUND(供應率ALL!Y6,1)</f>
        <v>99.8</v>
      </c>
      <c r="AF43" s="47">
        <f>ROUND(供應率ALL!Z6,1)</f>
        <v>99.7</v>
      </c>
      <c r="AG43" s="47">
        <f>ROUND(供應率ALL!AA6,1)</f>
        <v>0</v>
      </c>
      <c r="AH43" s="47">
        <f>ROUND(供應率ALL!AB6,1)</f>
        <v>99.6</v>
      </c>
      <c r="AI43" s="47">
        <f>ROUND(供應率ALL!AC6,1)</f>
        <v>99.8</v>
      </c>
      <c r="AJ43" s="47">
        <f>ROUND(供應率ALL!AD6,1)</f>
        <v>99.9</v>
      </c>
      <c r="AK43" s="47">
        <f>ROUND(供應率ALL!AE6,1)</f>
        <v>99.9</v>
      </c>
      <c r="AL43" s="47">
        <f>ROUND(供應率ALL!AF6,1)</f>
        <v>0</v>
      </c>
      <c r="AM43" s="47">
        <f>ROUND(供應率ALL!AG6,1)</f>
        <v>0</v>
      </c>
      <c r="AN43" s="214">
        <f>ROUND(供應率ALL!AH6,1)</f>
        <v>99.7</v>
      </c>
      <c r="AO43" s="48"/>
    </row>
    <row r="44" spans="1:41" s="14" customFormat="1" ht="21.95" customHeight="1">
      <c r="A44" s="561" t="s">
        <v>47</v>
      </c>
      <c r="B44" s="562"/>
      <c r="C44" s="562"/>
      <c r="D44" s="44">
        <f>HLOOKUP(MONTH(日期!$C$2),去年月推移!$D$1:$O$200,102,TRUE)</f>
        <v>93.484419000000003</v>
      </c>
      <c r="E44" s="50">
        <v>92</v>
      </c>
      <c r="F44" s="51" t="s">
        <v>45</v>
      </c>
      <c r="G44" s="563">
        <f>ROUND(當年月推移!P103,1)</f>
        <v>94.9</v>
      </c>
      <c r="H44" s="564"/>
      <c r="I44" s="47">
        <f>ROUND(供應率ALL!C23,1)</f>
        <v>0</v>
      </c>
      <c r="J44" s="47">
        <f>ROUND(供應率ALL!D23,1)</f>
        <v>95.3</v>
      </c>
      <c r="K44" s="47">
        <f>ROUND(供應率ALL!E23,1)</f>
        <v>96.6</v>
      </c>
      <c r="L44" s="47">
        <f>ROUND(供應率ALL!F23,1)</f>
        <v>0</v>
      </c>
      <c r="M44" s="47">
        <f>ROUND(供應率ALL!G23,1)</f>
        <v>96.5</v>
      </c>
      <c r="N44" s="47">
        <f>ROUND(供應率ALL!H23,1)</f>
        <v>95.2</v>
      </c>
      <c r="O44" s="47">
        <f>ROUND(供應率ALL!I23,1)</f>
        <v>95</v>
      </c>
      <c r="P44" s="47">
        <f>ROUND(供應率ALL!J23,1)</f>
        <v>97.1</v>
      </c>
      <c r="Q44" s="47">
        <f>ROUND(供應率ALL!K23,1)</f>
        <v>91.8</v>
      </c>
      <c r="R44" s="47">
        <f>ROUND(供應率ALL!L23,1)</f>
        <v>97.2</v>
      </c>
      <c r="S44" s="47">
        <f>ROUND(供應率ALL!M23,1)</f>
        <v>0</v>
      </c>
      <c r="T44" s="47">
        <f>ROUND(供應率ALL!N23,1)</f>
        <v>96.2</v>
      </c>
      <c r="U44" s="47">
        <f>ROUND(供應率ALL!O23,1)</f>
        <v>92.7</v>
      </c>
      <c r="V44" s="47">
        <f>ROUND(供應率ALL!P23,1)</f>
        <v>94.1</v>
      </c>
      <c r="W44" s="47">
        <f>ROUND(供應率ALL!Q23,1)</f>
        <v>94.8</v>
      </c>
      <c r="X44" s="47">
        <f>ROUND(供應率ALL!R23,1)</f>
        <v>96.4</v>
      </c>
      <c r="Y44" s="47">
        <f>ROUND(供應率ALL!S23,1)</f>
        <v>95.2</v>
      </c>
      <c r="Z44" s="47">
        <f>ROUND(供應率ALL!T23,1)</f>
        <v>0</v>
      </c>
      <c r="AA44" s="47">
        <f>ROUND(供應率ALL!U23,1)</f>
        <v>95.5</v>
      </c>
      <c r="AB44" s="47">
        <f>ROUND(供應率ALL!V23,1)</f>
        <v>95.1</v>
      </c>
      <c r="AC44" s="47">
        <f>ROUND(供應率ALL!W23,1)</f>
        <v>94.4</v>
      </c>
      <c r="AD44" s="47">
        <f>ROUND(供應率ALL!X23,1)</f>
        <v>94.2</v>
      </c>
      <c r="AE44" s="47">
        <f>ROUND(供應率ALL!Y23,1)</f>
        <v>84.8</v>
      </c>
      <c r="AF44" s="47">
        <f>ROUND(供應率ALL!Z23,1)</f>
        <v>88.6</v>
      </c>
      <c r="AG44" s="47">
        <f>ROUND(供應率ALL!AA23,1)</f>
        <v>0</v>
      </c>
      <c r="AH44" s="47">
        <f>ROUND(供應率ALL!AB23,1)</f>
        <v>93</v>
      </c>
      <c r="AI44" s="47">
        <f>ROUND(供應率ALL!AC23,1)</f>
        <v>96.1</v>
      </c>
      <c r="AJ44" s="47">
        <f>ROUND(供應率ALL!AD23,1)</f>
        <v>95.9</v>
      </c>
      <c r="AK44" s="47">
        <f>ROUND(供應率ALL!AE23,1)</f>
        <v>94.8</v>
      </c>
      <c r="AL44" s="47">
        <f>ROUND(供應率ALL!AF23,1)</f>
        <v>0</v>
      </c>
      <c r="AM44" s="47">
        <f>ROUND(供應率ALL!AG23,1)</f>
        <v>0</v>
      </c>
      <c r="AN44" s="214">
        <f>ROUND(供應率ALL!AH23,1)</f>
        <v>94.4</v>
      </c>
      <c r="AO44" s="48"/>
    </row>
    <row r="45" spans="1:41" s="14" customFormat="1" ht="21.95" customHeight="1">
      <c r="A45" s="561" t="s">
        <v>48</v>
      </c>
      <c r="B45" s="562"/>
      <c r="C45" s="562"/>
      <c r="D45" s="44">
        <f>HLOOKUP(MONTH(日期!$C$2),去年月推移!$D$1:$O$200,103,TRUE)</f>
        <v>98.716325999999995</v>
      </c>
      <c r="E45" s="50">
        <v>95</v>
      </c>
      <c r="F45" s="51" t="s">
        <v>45</v>
      </c>
      <c r="G45" s="563">
        <f>ROUND(當年月推移!P104,1)</f>
        <v>98.5</v>
      </c>
      <c r="H45" s="564"/>
      <c r="I45" s="47">
        <f>ROUND(供應率ALL!C8,1)</f>
        <v>0</v>
      </c>
      <c r="J45" s="47">
        <f>ROUND(供應率ALL!D8,1)</f>
        <v>98.7</v>
      </c>
      <c r="K45" s="47">
        <f>ROUND(供應率ALL!E8,1)</f>
        <v>98.2</v>
      </c>
      <c r="L45" s="47">
        <f>ROUND(供應率ALL!F8,1)</f>
        <v>0</v>
      </c>
      <c r="M45" s="47">
        <f>ROUND(供應率ALL!G8,1)</f>
        <v>95.8</v>
      </c>
      <c r="N45" s="47">
        <f>ROUND(供應率ALL!H8,1)</f>
        <v>95.1</v>
      </c>
      <c r="O45" s="47">
        <f>ROUND(供應率ALL!I8,1)</f>
        <v>97.8</v>
      </c>
      <c r="P45" s="47">
        <f>ROUND(供應率ALL!J8,1)</f>
        <v>99.7</v>
      </c>
      <c r="Q45" s="47">
        <f>ROUND(供應率ALL!K8,1)</f>
        <v>100</v>
      </c>
      <c r="R45" s="47">
        <f>ROUND(供應率ALL!L8,1)</f>
        <v>100</v>
      </c>
      <c r="S45" s="47">
        <f>ROUND(供應率ALL!M8,1)</f>
        <v>0</v>
      </c>
      <c r="T45" s="47">
        <f>ROUND(供應率ALL!N8,1)</f>
        <v>97.6</v>
      </c>
      <c r="U45" s="47">
        <f>ROUND(供應率ALL!O8,1)</f>
        <v>96.3</v>
      </c>
      <c r="V45" s="47">
        <f>ROUND(供應率ALL!P8,1)</f>
        <v>98.8</v>
      </c>
      <c r="W45" s="47">
        <f>ROUND(供應率ALL!Q8,1)</f>
        <v>99.2</v>
      </c>
      <c r="X45" s="47">
        <f>ROUND(供應率ALL!R8,1)</f>
        <v>98.9</v>
      </c>
      <c r="Y45" s="47">
        <f>ROUND(供應率ALL!S8,1)</f>
        <v>96.7</v>
      </c>
      <c r="Z45" s="47">
        <f>ROUND(供應率ALL!T8,1)</f>
        <v>0</v>
      </c>
      <c r="AA45" s="47">
        <f>ROUND(供應率ALL!U8,1)</f>
        <v>93.6</v>
      </c>
      <c r="AB45" s="47">
        <f>ROUND(供應率ALL!V8,1)</f>
        <v>93.9</v>
      </c>
      <c r="AC45" s="47">
        <f>ROUND(供應率ALL!W8,1)</f>
        <v>100</v>
      </c>
      <c r="AD45" s="47">
        <f>ROUND(供應率ALL!X8,1)</f>
        <v>97.1</v>
      </c>
      <c r="AE45" s="47">
        <f>ROUND(供應率ALL!Y8,1)</f>
        <v>98.9</v>
      </c>
      <c r="AF45" s="47">
        <f>ROUND(供應率ALL!Z8,1)</f>
        <v>99.2</v>
      </c>
      <c r="AG45" s="47">
        <f>ROUND(供應率ALL!AA8,1)</f>
        <v>0</v>
      </c>
      <c r="AH45" s="47">
        <f>ROUND(供應率ALL!AB8,1)</f>
        <v>94.7</v>
      </c>
      <c r="AI45" s="47">
        <f>ROUND(供應率ALL!AC8,1)</f>
        <v>99.1</v>
      </c>
      <c r="AJ45" s="47">
        <f>ROUND(供應率ALL!AD8,1)</f>
        <v>98.9</v>
      </c>
      <c r="AK45" s="47">
        <f>ROUND(供應率ALL!AE8,1)</f>
        <v>99.4</v>
      </c>
      <c r="AL45" s="47">
        <f>ROUND(供應率ALL!AF8,1)</f>
        <v>0</v>
      </c>
      <c r="AM45" s="47">
        <f>ROUND(供應率ALL!AG8,1)</f>
        <v>0</v>
      </c>
      <c r="AN45" s="214">
        <f>ROUND(供應率ALL!AH8,1)</f>
        <v>98</v>
      </c>
      <c r="AO45" s="48"/>
    </row>
    <row r="46" spans="1:41" s="14" customFormat="1" ht="21.95" customHeight="1">
      <c r="A46" s="561" t="s">
        <v>17</v>
      </c>
      <c r="B46" s="562"/>
      <c r="C46" s="562"/>
      <c r="D46" s="44">
        <f>HLOOKUP(MONTH(日期!$C$2),去年月推移!$D$1:$O$200,104,TRUE)</f>
        <v>99.816175999999999</v>
      </c>
      <c r="E46" s="50">
        <v>95</v>
      </c>
      <c r="F46" s="51" t="s">
        <v>45</v>
      </c>
      <c r="G46" s="563">
        <f>ROUND(當年月推移!P105,1)</f>
        <v>96</v>
      </c>
      <c r="H46" s="564"/>
      <c r="I46" s="47">
        <f>ROUND(供應率ALL!C9,1)</f>
        <v>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0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95.4</v>
      </c>
      <c r="P46" s="47">
        <f>ROUND(供應率ALL!J9,1)</f>
        <v>100</v>
      </c>
      <c r="Q46" s="47">
        <f>ROUND(供應率ALL!K9,1)</f>
        <v>100</v>
      </c>
      <c r="R46" s="47">
        <f>ROUND(供應率ALL!L9,1)</f>
        <v>100</v>
      </c>
      <c r="S46" s="47">
        <f>ROUND(供應率ALL!M9,1)</f>
        <v>0</v>
      </c>
      <c r="T46" s="47">
        <f>ROUND(供應率ALL!N9,1)</f>
        <v>100</v>
      </c>
      <c r="U46" s="47">
        <f>ROUND(供應率ALL!O9,1)</f>
        <v>100</v>
      </c>
      <c r="V46" s="47">
        <f>ROUND(供應率ALL!P9,1)</f>
        <v>100</v>
      </c>
      <c r="W46" s="47">
        <f>ROUND(供應率ALL!Q9,1)</f>
        <v>92</v>
      </c>
      <c r="X46" s="47">
        <f>ROUND(供應率ALL!R9,1)</f>
        <v>96</v>
      </c>
      <c r="Y46" s="47">
        <f>ROUND(供應率ALL!S9,1)</f>
        <v>94.4</v>
      </c>
      <c r="Z46" s="47">
        <f>ROUND(供應率ALL!T9,1)</f>
        <v>0</v>
      </c>
      <c r="AA46" s="47">
        <f>ROUND(供應率ALL!U9,1)</f>
        <v>100</v>
      </c>
      <c r="AB46" s="47">
        <f>ROUND(供應率ALL!V9,1)</f>
        <v>85.7</v>
      </c>
      <c r="AC46" s="47">
        <f>ROUND(供應率ALL!W9,1)</f>
        <v>75</v>
      </c>
      <c r="AD46" s="47">
        <f>ROUND(供應率ALL!X9,1)</f>
        <v>100</v>
      </c>
      <c r="AE46" s="47">
        <f>ROUND(供應率ALL!Y9,1)</f>
        <v>100</v>
      </c>
      <c r="AF46" s="47">
        <f>ROUND(供應率ALL!Z9,1)</f>
        <v>83.3</v>
      </c>
      <c r="AG46" s="47">
        <f>ROUND(供應率ALL!AA9,1)</f>
        <v>0</v>
      </c>
      <c r="AH46" s="47">
        <f>ROUND(供應率ALL!AB9,1)</f>
        <v>95</v>
      </c>
      <c r="AI46" s="47">
        <f>ROUND(供應率ALL!AC9,1)</f>
        <v>100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0</v>
      </c>
      <c r="AM46" s="47">
        <f>ROUND(供應率ALL!AG9,1)</f>
        <v>0</v>
      </c>
      <c r="AN46" s="214">
        <f>ROUND(供應率ALL!AH9,1)</f>
        <v>96.2</v>
      </c>
      <c r="AO46" s="48"/>
    </row>
    <row r="47" spans="1:41" s="14" customFormat="1" ht="21.95" customHeight="1" thickBot="1">
      <c r="A47" s="576" t="s">
        <v>49</v>
      </c>
      <c r="B47" s="577"/>
      <c r="C47" s="578"/>
      <c r="D47" s="231">
        <f>HLOOKUP(MONTH(日期!$C$2),去年月推移!$D$1:$O$200,105,TRUE)</f>
        <v>98.650398999999993</v>
      </c>
      <c r="E47" s="52">
        <v>97.8</v>
      </c>
      <c r="F47" s="53"/>
      <c r="G47" s="574">
        <f>ROUND(當年月推移!P106,1)</f>
        <v>98.3</v>
      </c>
      <c r="H47" s="575"/>
      <c r="I47" s="242">
        <f>ROUND(供應率ALL!C10,1)</f>
        <v>0</v>
      </c>
      <c r="J47" s="242">
        <f>ROUND(供應率ALL!D10,1)</f>
        <v>98.3</v>
      </c>
      <c r="K47" s="242">
        <f>ROUND(供應率ALL!E10,1)</f>
        <v>98.7</v>
      </c>
      <c r="L47" s="242">
        <f>ROUND(供應率ALL!F10,1)</f>
        <v>0</v>
      </c>
      <c r="M47" s="242">
        <f>ROUND(供應率ALL!G10,1)</f>
        <v>98.4</v>
      </c>
      <c r="N47" s="242">
        <f>ROUND(供應率ALL!H10,1)</f>
        <v>98.3</v>
      </c>
      <c r="O47" s="242">
        <f>ROUND(供應率ALL!I10,1)</f>
        <v>98.4</v>
      </c>
      <c r="P47" s="242">
        <f>ROUND(供應率ALL!J10,1)</f>
        <v>98.6</v>
      </c>
      <c r="Q47" s="242">
        <f>ROUND(供應率ALL!K10,1)</f>
        <v>98.2</v>
      </c>
      <c r="R47" s="242">
        <f>ROUND(供應率ALL!L10,1)</f>
        <v>98.8</v>
      </c>
      <c r="S47" s="242">
        <f>ROUND(供應率ALL!M10,1)</f>
        <v>0</v>
      </c>
      <c r="T47" s="242">
        <f>ROUND(供應率ALL!N10,1)</f>
        <v>98.4</v>
      </c>
      <c r="U47" s="242">
        <f>ROUND(供應率ALL!O10,1)</f>
        <v>98.5</v>
      </c>
      <c r="V47" s="242">
        <f>ROUND(供應率ALL!P10,1)</f>
        <v>98.8</v>
      </c>
      <c r="W47" s="242">
        <f>ROUND(供應率ALL!Q10,1)</f>
        <v>98.4</v>
      </c>
      <c r="X47" s="242">
        <f>ROUND(供應率ALL!R10,1)</f>
        <v>98.6</v>
      </c>
      <c r="Y47" s="242">
        <f>ROUND(供應率ALL!S10,1)</f>
        <v>98.4</v>
      </c>
      <c r="Z47" s="242">
        <f>ROUND(供應率ALL!T10,1)</f>
        <v>0</v>
      </c>
      <c r="AA47" s="242">
        <f>ROUND(供應率ALL!U10,1)</f>
        <v>98.1</v>
      </c>
      <c r="AB47" s="242">
        <f>ROUND(供應率ALL!V10,1)</f>
        <v>98.2</v>
      </c>
      <c r="AC47" s="242">
        <f>ROUND(供應率ALL!W10,1)</f>
        <v>97.9</v>
      </c>
      <c r="AD47" s="242">
        <f>ROUND(供應率ALL!X10,1)</f>
        <v>97.9</v>
      </c>
      <c r="AE47" s="242">
        <f>ROUND(供應率ALL!Y10,1)</f>
        <v>97.7</v>
      </c>
      <c r="AF47" s="242">
        <f>ROUND(供應率ALL!Z10,1)</f>
        <v>97.7</v>
      </c>
      <c r="AG47" s="242">
        <f>ROUND(供應率ALL!AA10,1)</f>
        <v>0</v>
      </c>
      <c r="AH47" s="242">
        <f>ROUND(供應率ALL!AB10,1)</f>
        <v>97.8</v>
      </c>
      <c r="AI47" s="242">
        <f>ROUND(供應率ALL!AC10,1)</f>
        <v>98.1</v>
      </c>
      <c r="AJ47" s="242">
        <f>ROUND(供應率ALL!AD10,1)</f>
        <v>98.1</v>
      </c>
      <c r="AK47" s="242">
        <f>ROUND(供應率ALL!AE10,1)</f>
        <v>98.2</v>
      </c>
      <c r="AL47" s="242">
        <f>ROUND(供應率ALL!AF10,1)</f>
        <v>0</v>
      </c>
      <c r="AM47" s="242">
        <f>ROUND(供應率ALL!AG10,1)</f>
        <v>0</v>
      </c>
      <c r="AN47" s="271">
        <f>ROUND(供應率ALL!AH10,1)</f>
        <v>98.3</v>
      </c>
      <c r="AO47" s="48"/>
    </row>
    <row r="48" spans="1:41" s="14" customFormat="1" ht="21.95" customHeight="1">
      <c r="A48" s="572" t="s">
        <v>23</v>
      </c>
      <c r="B48" s="573"/>
      <c r="C48" s="573"/>
      <c r="D48" s="44">
        <f>HLOOKUP(MONTH(日期!$C$2),去年月推移!$D$1:$O$200,106,TRUE)</f>
        <v>97.718209000000002</v>
      </c>
      <c r="E48" s="269">
        <v>97.8</v>
      </c>
      <c r="F48" s="270" t="s">
        <v>45</v>
      </c>
      <c r="G48" s="563">
        <f>ROUND(當年月推移!P107,1)</f>
        <v>98.2</v>
      </c>
      <c r="H48" s="564"/>
      <c r="I48" s="47">
        <f>ROUND(供應率ALL!C3,1)</f>
        <v>0</v>
      </c>
      <c r="J48" s="47">
        <f>ROUND(供應率ALL!D3,1)</f>
        <v>99</v>
      </c>
      <c r="K48" s="47">
        <f>ROUND(供應率ALL!E3,1)</f>
        <v>98.7</v>
      </c>
      <c r="L48" s="47">
        <f>ROUND(供應率ALL!F3,1)</f>
        <v>0</v>
      </c>
      <c r="M48" s="47">
        <f>ROUND(供應率ALL!G3,1)</f>
        <v>99.1</v>
      </c>
      <c r="N48" s="47">
        <f>ROUND(供應率ALL!H3,1)</f>
        <v>98.5</v>
      </c>
      <c r="O48" s="47">
        <f>ROUND(供應率ALL!I3,1)</f>
        <v>99</v>
      </c>
      <c r="P48" s="47">
        <f>ROUND(供應率ALL!J3,1)</f>
        <v>98.6</v>
      </c>
      <c r="Q48" s="47">
        <f>ROUND(供應率ALL!K3,1)</f>
        <v>99.2</v>
      </c>
      <c r="R48" s="47">
        <f>ROUND(供應率ALL!L3,1)</f>
        <v>99.3</v>
      </c>
      <c r="S48" s="47">
        <f>ROUND(供應率ALL!M3,1)</f>
        <v>0</v>
      </c>
      <c r="T48" s="47">
        <f>ROUND(供應率ALL!N3,1)</f>
        <v>99.3</v>
      </c>
      <c r="U48" s="47">
        <f>ROUND(供應率ALL!O3,1)</f>
        <v>98.2</v>
      </c>
      <c r="V48" s="47">
        <f>ROUND(供應率ALL!P3,1)</f>
        <v>97.7</v>
      </c>
      <c r="W48" s="47">
        <f>ROUND(供應率ALL!Q3,1)</f>
        <v>98.4</v>
      </c>
      <c r="X48" s="47">
        <f>ROUND(供應率ALL!R3,1)</f>
        <v>97.9</v>
      </c>
      <c r="Y48" s="47">
        <f>ROUND(供應率ALL!S3,1)</f>
        <v>99</v>
      </c>
      <c r="Z48" s="47">
        <f>ROUND(供應率ALL!T3,1)</f>
        <v>0</v>
      </c>
      <c r="AA48" s="47">
        <f>ROUND(供應率ALL!U3,1)</f>
        <v>97.6</v>
      </c>
      <c r="AB48" s="47">
        <f>ROUND(供應率ALL!V3,1)</f>
        <v>98.3</v>
      </c>
      <c r="AC48" s="47">
        <f>ROUND(供應率ALL!W3,1)</f>
        <v>98.3</v>
      </c>
      <c r="AD48" s="47">
        <f>ROUND(供應率ALL!X3,1)</f>
        <v>98.4</v>
      </c>
      <c r="AE48" s="47">
        <f>ROUND(供應率ALL!Y3,1)</f>
        <v>97.6</v>
      </c>
      <c r="AF48" s="47">
        <f>ROUND(供應率ALL!Z3,1)</f>
        <v>99.1</v>
      </c>
      <c r="AG48" s="47">
        <f>ROUND(供應率ALL!AA3,1)</f>
        <v>0</v>
      </c>
      <c r="AH48" s="47">
        <f>ROUND(供應率ALL!AB3,1)</f>
        <v>98.2</v>
      </c>
      <c r="AI48" s="47">
        <f>ROUND(供應率ALL!AC3,1)</f>
        <v>98.3</v>
      </c>
      <c r="AJ48" s="47">
        <f>ROUND(供應率ALL!AD3,1)</f>
        <v>97.9</v>
      </c>
      <c r="AK48" s="47">
        <f>ROUND(供應率ALL!AE3,1)</f>
        <v>97.8</v>
      </c>
      <c r="AL48" s="47">
        <f>ROUND(供應率ALL!AF3,1)</f>
        <v>0</v>
      </c>
      <c r="AM48" s="47">
        <f>ROUND(供應率ALL!AG3,1)</f>
        <v>0</v>
      </c>
      <c r="AN48" s="214">
        <f>ROUND(供應率ALL!AH3,1)</f>
        <v>98.5</v>
      </c>
      <c r="AO48" s="48"/>
    </row>
    <row r="49" spans="1:41" s="14" customFormat="1" ht="21.95" customHeight="1">
      <c r="A49" s="569" t="s">
        <v>24</v>
      </c>
      <c r="B49" s="570"/>
      <c r="C49" s="571"/>
      <c r="D49" s="44">
        <f>HLOOKUP(MONTH(日期!$C$2),去年月推移!$D$1:$O$200,107,TRUE)</f>
        <v>99.682034000000002</v>
      </c>
      <c r="E49" s="50">
        <v>99</v>
      </c>
      <c r="F49" s="51"/>
      <c r="G49" s="612">
        <f>ROUND(當年月推移!P108,1)</f>
        <v>98.9</v>
      </c>
      <c r="H49" s="613"/>
      <c r="I49" s="47">
        <f>ROUND(供應率ALL!C11,1)</f>
        <v>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91.3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0</v>
      </c>
      <c r="AM49" s="47">
        <f>ROUND(供應率ALL!AG11,1)</f>
        <v>0</v>
      </c>
      <c r="AN49" s="214">
        <f>ROUND(供應率ALL!AH11,1)</f>
        <v>99.6</v>
      </c>
      <c r="AO49" s="48"/>
    </row>
    <row r="50" spans="1:41" s="14" customFormat="1" ht="21.95" customHeight="1">
      <c r="A50" s="569" t="s">
        <v>25</v>
      </c>
      <c r="B50" s="570"/>
      <c r="C50" s="571"/>
      <c r="D50" s="44">
        <f>HLOOKUP(MONTH(日期!$C$2),去年月推移!$D$1:$O$200,108,TRUE)</f>
        <v>76.346153000000001</v>
      </c>
      <c r="E50" s="50">
        <v>75</v>
      </c>
      <c r="F50" s="51"/>
      <c r="G50" s="612">
        <f>ROUND(當年月推移!P109,1)</f>
        <v>96.3</v>
      </c>
      <c r="H50" s="613"/>
      <c r="I50" s="47">
        <f>ROUND(供應率ALL!C12,1)</f>
        <v>0</v>
      </c>
      <c r="J50" s="47">
        <f>ROUND(供應率ALL!D12,1)</f>
        <v>98.1</v>
      </c>
      <c r="K50" s="47">
        <f>ROUND(供應率ALL!E12,1)</f>
        <v>97</v>
      </c>
      <c r="L50" s="47">
        <f>ROUND(供應率ALL!F12,1)</f>
        <v>0</v>
      </c>
      <c r="M50" s="47">
        <f>ROUND(供應率ALL!G12,1)</f>
        <v>97.2</v>
      </c>
      <c r="N50" s="47">
        <f>ROUND(供應率ALL!H12,1)</f>
        <v>75</v>
      </c>
      <c r="O50" s="47">
        <f>ROUND(供應率ALL!I12,1)</f>
        <v>86.3</v>
      </c>
      <c r="P50" s="47">
        <f>ROUND(供應率ALL!J12,1)</f>
        <v>92.8</v>
      </c>
      <c r="Q50" s="47">
        <f>ROUND(供應率ALL!K12,1)</f>
        <v>100</v>
      </c>
      <c r="R50" s="47">
        <f>ROUND(供應率ALL!L12,1)</f>
        <v>100</v>
      </c>
      <c r="S50" s="47">
        <f>ROUND(供應率ALL!M12,1)</f>
        <v>0</v>
      </c>
      <c r="T50" s="47">
        <f>ROUND(供應率ALL!N12,1)</f>
        <v>94.2</v>
      </c>
      <c r="U50" s="47">
        <f>ROUND(供應率ALL!O12,1)</f>
        <v>94.8</v>
      </c>
      <c r="V50" s="47">
        <f>ROUND(供應率ALL!P12,1)</f>
        <v>100</v>
      </c>
      <c r="W50" s="47">
        <f>ROUND(供應率ALL!Q12,1)</f>
        <v>95.9</v>
      </c>
      <c r="X50" s="47">
        <f>ROUND(供應率ALL!R12,1)</f>
        <v>98</v>
      </c>
      <c r="Y50" s="47">
        <f>ROUND(供應率ALL!S12,1)</f>
        <v>100</v>
      </c>
      <c r="Z50" s="47">
        <f>ROUND(供應率ALL!T12,1)</f>
        <v>0</v>
      </c>
      <c r="AA50" s="47">
        <f>ROUND(供應率ALL!U12,1)</f>
        <v>100</v>
      </c>
      <c r="AB50" s="47">
        <f>ROUND(供應率ALL!V12,1)</f>
        <v>98</v>
      </c>
      <c r="AC50" s="47">
        <f>ROUND(供應率ALL!W12,1)</f>
        <v>96.1</v>
      </c>
      <c r="AD50" s="47">
        <f>ROUND(供應率ALL!X12,1)</f>
        <v>98.1</v>
      </c>
      <c r="AE50" s="47">
        <f>ROUND(供應率ALL!Y12,1)</f>
        <v>100</v>
      </c>
      <c r="AF50" s="47">
        <f>ROUND(供應率ALL!Z12,1)</f>
        <v>100</v>
      </c>
      <c r="AG50" s="47">
        <f>ROUND(供應率ALL!AA12,1)</f>
        <v>0</v>
      </c>
      <c r="AH50" s="47">
        <f>ROUND(供應率ALL!AB12,1)</f>
        <v>100</v>
      </c>
      <c r="AI50" s="47">
        <f>ROUND(供應率ALL!AC12,1)</f>
        <v>98.4</v>
      </c>
      <c r="AJ50" s="47">
        <f>ROUND(供應率ALL!AD12,1)</f>
        <v>100</v>
      </c>
      <c r="AK50" s="47">
        <f>ROUND(供應率ALL!AE12,1)</f>
        <v>97.9</v>
      </c>
      <c r="AL50" s="47">
        <f>ROUND(供應率ALL!AF12,1)</f>
        <v>0</v>
      </c>
      <c r="AM50" s="47">
        <f>ROUND(供應率ALL!AG12,1)</f>
        <v>0</v>
      </c>
      <c r="AN50" s="214">
        <f>ROUND(供應率ALL!AH12,1)</f>
        <v>95.8</v>
      </c>
      <c r="AO50" s="48"/>
    </row>
    <row r="51" spans="1:41" s="14" customFormat="1" ht="21.95" customHeight="1">
      <c r="A51" s="569" t="s">
        <v>26</v>
      </c>
      <c r="B51" s="570"/>
      <c r="C51" s="571"/>
      <c r="D51" s="44">
        <f>HLOOKUP(MONTH(日期!$C$2),去年月推移!$D$1:$O$200,109,TRUE)</f>
        <v>95.456924000000001</v>
      </c>
      <c r="E51" s="50">
        <v>98.7</v>
      </c>
      <c r="F51" s="51"/>
      <c r="G51" s="612">
        <f>ROUND(當年月推移!P110,1)</f>
        <v>96.1</v>
      </c>
      <c r="H51" s="613"/>
      <c r="I51" s="47">
        <f>ROUND(供應率ALL!C13,1)</f>
        <v>0</v>
      </c>
      <c r="J51" s="47">
        <f>ROUND(供應率ALL!D13,1)</f>
        <v>99.1</v>
      </c>
      <c r="K51" s="47">
        <f>ROUND(供應率ALL!E13,1)</f>
        <v>98.9</v>
      </c>
      <c r="L51" s="47">
        <f>ROUND(供應率ALL!F13,1)</f>
        <v>0</v>
      </c>
      <c r="M51" s="47">
        <f>ROUND(供應率ALL!G13,1)</f>
        <v>99.1</v>
      </c>
      <c r="N51" s="47">
        <f>ROUND(供應率ALL!H13,1)</f>
        <v>96.6</v>
      </c>
      <c r="O51" s="47">
        <f>ROUND(供應率ALL!I13,1)</f>
        <v>97.9</v>
      </c>
      <c r="P51" s="47">
        <f>ROUND(供應率ALL!J13,1)</f>
        <v>97.3</v>
      </c>
      <c r="Q51" s="47">
        <f>ROUND(供應率ALL!K13,1)</f>
        <v>96.7</v>
      </c>
      <c r="R51" s="47">
        <f>ROUND(供應率ALL!L13,1)</f>
        <v>95.7</v>
      </c>
      <c r="S51" s="47">
        <f>ROUND(供應率ALL!M13,1)</f>
        <v>0</v>
      </c>
      <c r="T51" s="47">
        <f>ROUND(供應率ALL!N13,1)</f>
        <v>96.5</v>
      </c>
      <c r="U51" s="47">
        <f>ROUND(供應率ALL!O13,1)</f>
        <v>97.2</v>
      </c>
      <c r="V51" s="47">
        <f>ROUND(供應率ALL!P13,1)</f>
        <v>99.1</v>
      </c>
      <c r="W51" s="47">
        <f>ROUND(供應率ALL!Q13,1)</f>
        <v>97.6</v>
      </c>
      <c r="X51" s="47">
        <f>ROUND(供應率ALL!R13,1)</f>
        <v>98.5</v>
      </c>
      <c r="Y51" s="47">
        <f>ROUND(供應率ALL!S13,1)</f>
        <v>97.1</v>
      </c>
      <c r="Z51" s="47">
        <f>ROUND(供應率ALL!T13,1)</f>
        <v>0</v>
      </c>
      <c r="AA51" s="47">
        <f>ROUND(供應率ALL!U13,1)</f>
        <v>95.7</v>
      </c>
      <c r="AB51" s="47">
        <f>ROUND(供應率ALL!V13,1)</f>
        <v>98.4</v>
      </c>
      <c r="AC51" s="47">
        <f>ROUND(供應率ALL!W13,1)</f>
        <v>98.6</v>
      </c>
      <c r="AD51" s="47">
        <f>ROUND(供應率ALL!X13,1)</f>
        <v>94.8</v>
      </c>
      <c r="AE51" s="47">
        <f>ROUND(供應率ALL!Y13,1)</f>
        <v>95.9</v>
      </c>
      <c r="AF51" s="47">
        <f>ROUND(供應率ALL!Z13,1)</f>
        <v>97.7</v>
      </c>
      <c r="AG51" s="47">
        <f>ROUND(供應率ALL!AA13,1)</f>
        <v>0</v>
      </c>
      <c r="AH51" s="47">
        <f>ROUND(供應率ALL!AB13,1)</f>
        <v>94.4</v>
      </c>
      <c r="AI51" s="47">
        <f>ROUND(供應率ALL!AC13,1)</f>
        <v>97.9</v>
      </c>
      <c r="AJ51" s="47">
        <f>ROUND(供應率ALL!AD13,1)</f>
        <v>98</v>
      </c>
      <c r="AK51" s="47">
        <f>ROUND(供應率ALL!AE13,1)</f>
        <v>98</v>
      </c>
      <c r="AL51" s="47">
        <f>ROUND(供應率ALL!AF13,1)</f>
        <v>0</v>
      </c>
      <c r="AM51" s="47">
        <f>ROUND(供應率ALL!AG13,1)</f>
        <v>0</v>
      </c>
      <c r="AN51" s="214">
        <f>ROUND(供應率ALL!AH13,1)</f>
        <v>97.4</v>
      </c>
      <c r="AO51" s="48"/>
    </row>
    <row r="52" spans="1:41" s="14" customFormat="1" ht="21.95" customHeight="1">
      <c r="A52" s="569" t="s">
        <v>27</v>
      </c>
      <c r="B52" s="570"/>
      <c r="C52" s="571"/>
      <c r="D52" s="44">
        <f>HLOOKUP(MONTH(日期!$C$2),去年月推移!$D$1:$O$200,110,TRUE)</f>
        <v>88.613477000000003</v>
      </c>
      <c r="E52" s="50">
        <v>95</v>
      </c>
      <c r="F52" s="51"/>
      <c r="G52" s="612">
        <f>ROUND(當年月推移!P111,1)</f>
        <v>90.3</v>
      </c>
      <c r="H52" s="613"/>
      <c r="I52" s="47">
        <f>ROUND(供應率ALL!C14,1)</f>
        <v>0</v>
      </c>
      <c r="J52" s="47">
        <f>ROUND(供應率ALL!D14,1)</f>
        <v>97</v>
      </c>
      <c r="K52" s="47">
        <f>ROUND(供應率ALL!E14,1)</f>
        <v>91.8</v>
      </c>
      <c r="L52" s="47">
        <f>ROUND(供應率ALL!F14,1)</f>
        <v>0</v>
      </c>
      <c r="M52" s="47">
        <f>ROUND(供應率ALL!G14,1)</f>
        <v>95.7</v>
      </c>
      <c r="N52" s="47">
        <f>ROUND(供應率ALL!H14,1)</f>
        <v>95</v>
      </c>
      <c r="O52" s="47">
        <f>ROUND(供應率ALL!I14,1)</f>
        <v>100</v>
      </c>
      <c r="P52" s="47">
        <f>ROUND(供應率ALL!J14,1)</f>
        <v>96.9</v>
      </c>
      <c r="Q52" s="47">
        <f>ROUND(供應率ALL!K14,1)</f>
        <v>98.4</v>
      </c>
      <c r="R52" s="47">
        <f>ROUND(供應率ALL!L14,1)</f>
        <v>98.2</v>
      </c>
      <c r="S52" s="47">
        <f>ROUND(供應率ALL!M14,1)</f>
        <v>0</v>
      </c>
      <c r="T52" s="47">
        <f>ROUND(供應率ALL!N14,1)</f>
        <v>98.2</v>
      </c>
      <c r="U52" s="47">
        <f>ROUND(供應率ALL!O14,1)</f>
        <v>93.7</v>
      </c>
      <c r="V52" s="47">
        <f>ROUND(供應率ALL!P14,1)</f>
        <v>98.4</v>
      </c>
      <c r="W52" s="47">
        <f>ROUND(供應率ALL!Q14,1)</f>
        <v>94.2</v>
      </c>
      <c r="X52" s="47">
        <f>ROUND(供應率ALL!R14,1)</f>
        <v>98.1</v>
      </c>
      <c r="Y52" s="47">
        <f>ROUND(供應率ALL!S14,1)</f>
        <v>95.3</v>
      </c>
      <c r="Z52" s="47">
        <f>ROUND(供應率ALL!T14,1)</f>
        <v>0</v>
      </c>
      <c r="AA52" s="47">
        <f>ROUND(供應率ALL!U14,1)</f>
        <v>87.8</v>
      </c>
      <c r="AB52" s="47">
        <f>ROUND(供應率ALL!V14,1)</f>
        <v>89.3</v>
      </c>
      <c r="AC52" s="47">
        <f>ROUND(供應率ALL!W14,1)</f>
        <v>90.5</v>
      </c>
      <c r="AD52" s="47">
        <f>ROUND(供應率ALL!X14,1)</f>
        <v>95.3</v>
      </c>
      <c r="AE52" s="47">
        <f>ROUND(供應率ALL!Y14,1)</f>
        <v>100</v>
      </c>
      <c r="AF52" s="47">
        <f>ROUND(供應率ALL!Z14,1)</f>
        <v>100</v>
      </c>
      <c r="AG52" s="47">
        <f>ROUND(供應率ALL!AA14,1)</f>
        <v>0</v>
      </c>
      <c r="AH52" s="47">
        <f>ROUND(供應率ALL!AB14,1)</f>
        <v>93.3</v>
      </c>
      <c r="AI52" s="47">
        <f>ROUND(供應率ALL!AC14,1)</f>
        <v>93.9</v>
      </c>
      <c r="AJ52" s="47">
        <f>ROUND(供應率ALL!AD14,1)</f>
        <v>92</v>
      </c>
      <c r="AK52" s="47">
        <f>ROUND(供應率ALL!AE14,1)</f>
        <v>100</v>
      </c>
      <c r="AL52" s="47">
        <f>ROUND(供應率ALL!AF14,1)</f>
        <v>0</v>
      </c>
      <c r="AM52" s="47">
        <f>ROUND(供應率ALL!AG14,1)</f>
        <v>0</v>
      </c>
      <c r="AN52" s="214">
        <f>ROUND(供應率ALL!AH14,1)</f>
        <v>95.6</v>
      </c>
      <c r="AO52" s="48"/>
    </row>
    <row r="53" spans="1:41" s="14" customFormat="1" ht="21.95" customHeight="1">
      <c r="A53" s="569" t="s">
        <v>28</v>
      </c>
      <c r="B53" s="570"/>
      <c r="C53" s="571"/>
      <c r="D53" s="44">
        <f>HLOOKUP(MONTH(日期!$C$2),去年月推移!$D$1:$O$200,111,TRUE)</f>
        <v>50</v>
      </c>
      <c r="E53" s="50"/>
      <c r="F53" s="51"/>
      <c r="G53" s="612">
        <f>ROUND(當年月推移!P112,1)</f>
        <v>37.5</v>
      </c>
      <c r="H53" s="613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616" t="s">
        <v>50</v>
      </c>
      <c r="B54" s="617"/>
      <c r="C54" s="617"/>
      <c r="D54" s="231">
        <f>HLOOKUP(MONTH(日期!$C$2),去年月推移!$D$1:$O$200,112,TRUE)</f>
        <v>96.637553999999994</v>
      </c>
      <c r="E54" s="52"/>
      <c r="F54" s="53" t="s">
        <v>45</v>
      </c>
      <c r="G54" s="574">
        <f>ROUND(當年月推移!P113,1)</f>
        <v>97.5</v>
      </c>
      <c r="H54" s="575"/>
      <c r="I54" s="242">
        <f>ROUND(供應率ALL!C16,1)</f>
        <v>0</v>
      </c>
      <c r="J54" s="242">
        <f>ROUND(供應率ALL!D16,1)</f>
        <v>99</v>
      </c>
      <c r="K54" s="242">
        <f>ROUND(供應率ALL!E16,1)</f>
        <v>98.5</v>
      </c>
      <c r="L54" s="242">
        <f>ROUND(供應率ALL!F16,1)</f>
        <v>0</v>
      </c>
      <c r="M54" s="242">
        <f>ROUND(供應率ALL!G16,1)</f>
        <v>99</v>
      </c>
      <c r="N54" s="242">
        <f>ROUND(供應率ALL!H16,1)</f>
        <v>97.4</v>
      </c>
      <c r="O54" s="242">
        <f>ROUND(供應率ALL!I16,1)</f>
        <v>98.5</v>
      </c>
      <c r="P54" s="242">
        <f>ROUND(供應率ALL!J16,1)</f>
        <v>98.3</v>
      </c>
      <c r="Q54" s="242">
        <f>ROUND(供應率ALL!K16,1)</f>
        <v>98.9</v>
      </c>
      <c r="R54" s="242">
        <f>ROUND(供應率ALL!L16,1)</f>
        <v>98.7</v>
      </c>
      <c r="S54" s="242">
        <f>ROUND(供應率ALL!M16,1)</f>
        <v>0</v>
      </c>
      <c r="T54" s="242">
        <f>ROUND(供應率ALL!N16,1)</f>
        <v>98.8</v>
      </c>
      <c r="U54" s="242">
        <f>ROUND(供應率ALL!O16,1)</f>
        <v>97.9</v>
      </c>
      <c r="V54" s="242">
        <f>ROUND(供應率ALL!P16,1)</f>
        <v>98</v>
      </c>
      <c r="W54" s="242">
        <f>ROUND(供應率ALL!Q16,1)</f>
        <v>98.2</v>
      </c>
      <c r="X54" s="242">
        <f>ROUND(供應率ALL!R16,1)</f>
        <v>98.1</v>
      </c>
      <c r="Y54" s="242">
        <f>ROUND(供應率ALL!S16,1)</f>
        <v>98.5</v>
      </c>
      <c r="Z54" s="242">
        <f>ROUND(供應率ALL!T16,1)</f>
        <v>0</v>
      </c>
      <c r="AA54" s="242">
        <f>ROUND(供應率ALL!U16,1)</f>
        <v>97.1</v>
      </c>
      <c r="AB54" s="242">
        <f>ROUND(供應率ALL!V16,1)</f>
        <v>98.2</v>
      </c>
      <c r="AC54" s="242">
        <f>ROUND(供應率ALL!W16,1)</f>
        <v>98.1</v>
      </c>
      <c r="AD54" s="242">
        <f>ROUND(供應率ALL!X16,1)</f>
        <v>97.8</v>
      </c>
      <c r="AE54" s="242">
        <f>ROUND(供應率ALL!Y16,1)</f>
        <v>97.5</v>
      </c>
      <c r="AF54" s="242">
        <f>ROUND(供應率ALL!Z16,1)</f>
        <v>98.9</v>
      </c>
      <c r="AG54" s="242">
        <f>ROUND(供應率ALL!AA16,1)</f>
        <v>0</v>
      </c>
      <c r="AH54" s="242">
        <f>ROUND(供應率ALL!AB16,1)</f>
        <v>97.6</v>
      </c>
      <c r="AI54" s="242">
        <f>ROUND(供應率ALL!AC16,1)</f>
        <v>98.2</v>
      </c>
      <c r="AJ54" s="242">
        <f>ROUND(供應率ALL!AD16,1)</f>
        <v>97.9</v>
      </c>
      <c r="AK54" s="242">
        <f>ROUND(供應率ALL!AE16,1)</f>
        <v>98</v>
      </c>
      <c r="AL54" s="242">
        <f>ROUND(供應率ALL!AF16,1)</f>
        <v>0</v>
      </c>
      <c r="AM54" s="242">
        <f>ROUND(供應率ALL!AG16,1)</f>
        <v>0</v>
      </c>
      <c r="AN54" s="215">
        <f>ROUND(供應率ALL!AH16,1)</f>
        <v>98.2</v>
      </c>
      <c r="AO54" s="54"/>
    </row>
    <row r="55" spans="1:41" s="42" customFormat="1" ht="21.95" customHeight="1">
      <c r="A55" s="618" t="s">
        <v>31</v>
      </c>
      <c r="B55" s="619"/>
      <c r="C55" s="620"/>
      <c r="D55" s="272">
        <f>HLOOKUP(MONTH(日期!$C$2),去年月推移!$D$1:$O$200,113,TRUE)</f>
        <v>0</v>
      </c>
      <c r="E55" s="267"/>
      <c r="F55" s="267"/>
      <c r="G55" s="563">
        <f>ROUND(當年月推移!P114,1)</f>
        <v>0</v>
      </c>
      <c r="H55" s="564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69" t="s">
        <v>32</v>
      </c>
      <c r="B56" s="570"/>
      <c r="C56" s="571"/>
      <c r="D56" s="49">
        <f>HLOOKUP(MONTH(日期!$C$2),去年月推移!$D$1:$O$200,114,TRUE)</f>
        <v>0</v>
      </c>
      <c r="E56" s="268"/>
      <c r="F56" s="268"/>
      <c r="G56" s="563">
        <f>ROUND(當年月推移!P115,1)</f>
        <v>0</v>
      </c>
      <c r="H56" s="564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69" t="s">
        <v>33</v>
      </c>
      <c r="B57" s="570"/>
      <c r="C57" s="571"/>
      <c r="D57" s="49">
        <f>HLOOKUP(MONTH(日期!$C$2),去年月推移!$D$1:$O$200,115,TRUE)</f>
        <v>0</v>
      </c>
      <c r="E57" s="268"/>
      <c r="F57" s="268"/>
      <c r="G57" s="563">
        <f>ROUND(當年月推移!P116,1)</f>
        <v>0</v>
      </c>
      <c r="H57" s="564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69" t="s">
        <v>34</v>
      </c>
      <c r="B58" s="570"/>
      <c r="C58" s="571"/>
      <c r="D58" s="49">
        <f>HLOOKUP(MONTH(日期!$C$2),去年月推移!$D$1:$O$200,116,TRUE)</f>
        <v>0</v>
      </c>
      <c r="E58" s="268"/>
      <c r="F58" s="268"/>
      <c r="G58" s="563">
        <f>ROUND(當年月推移!P117,1)</f>
        <v>0</v>
      </c>
      <c r="H58" s="564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69" t="s">
        <v>35</v>
      </c>
      <c r="B59" s="570"/>
      <c r="C59" s="571"/>
      <c r="D59" s="243">
        <f>HLOOKUP(MONTH(日期!$C$2),去年月推移!$D$1:$O$200,117,TRUE)</f>
        <v>0</v>
      </c>
      <c r="E59" s="297"/>
      <c r="F59" s="297"/>
      <c r="G59" s="563">
        <f>ROUND(當年月推移!P118,1)</f>
        <v>0</v>
      </c>
      <c r="H59" s="564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76" t="s">
        <v>30</v>
      </c>
      <c r="B60" s="577"/>
      <c r="C60" s="578"/>
      <c r="D60" s="523">
        <f>HLOOKUP(MONTH(日期!$C$2),去年月推移!$D$1:$O$200,118,TRUE)</f>
        <v>0</v>
      </c>
      <c r="E60" s="231"/>
      <c r="F60" s="231"/>
      <c r="G60" s="574">
        <f>ROUND(當年月推移!P119,1)</f>
        <v>89.2</v>
      </c>
      <c r="H60" s="575"/>
      <c r="I60" s="242">
        <f>ROUND(供應率ALL!C21,1)</f>
        <v>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0</v>
      </c>
      <c r="AM60" s="242">
        <f>ROUND(供應率ALL!AG21,1)</f>
        <v>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606" t="s">
        <v>1</v>
      </c>
      <c r="B63" s="587"/>
      <c r="C63" s="587"/>
      <c r="D63" s="608" t="str">
        <f>D3</f>
        <v>2024/5</v>
      </c>
      <c r="E63" s="610" t="str">
        <f>E3</f>
        <v>2025/5</v>
      </c>
      <c r="F63" s="623"/>
      <c r="G63" s="565">
        <f>YEAR(日期!C2)</f>
        <v>2025</v>
      </c>
      <c r="H63" s="566"/>
      <c r="I63" s="527" t="str">
        <f>日期!C2</f>
        <v>2025/05/01</v>
      </c>
      <c r="J63" s="527" t="str">
        <f>日期!D2</f>
        <v>2025/05/02</v>
      </c>
      <c r="K63" s="527" t="str">
        <f>日期!E2</f>
        <v>2025/05/03</v>
      </c>
      <c r="L63" s="527" t="str">
        <f>日期!F2</f>
        <v>2025/05/04</v>
      </c>
      <c r="M63" s="527" t="str">
        <f>日期!G2</f>
        <v>2025/05/05</v>
      </c>
      <c r="N63" s="527" t="str">
        <f>日期!H2</f>
        <v>2025/05/06</v>
      </c>
      <c r="O63" s="527" t="str">
        <f>日期!I2</f>
        <v>2025/05/07</v>
      </c>
      <c r="P63" s="527" t="str">
        <f>日期!J2</f>
        <v>2025/05/08</v>
      </c>
      <c r="Q63" s="527" t="str">
        <f>日期!K2</f>
        <v>2025/05/09</v>
      </c>
      <c r="R63" s="527" t="str">
        <f>日期!L2</f>
        <v>2025/05/10</v>
      </c>
      <c r="S63" s="527" t="str">
        <f>日期!M2</f>
        <v>2025/05/11</v>
      </c>
      <c r="T63" s="527" t="str">
        <f>日期!N2</f>
        <v>2025/05/12</v>
      </c>
      <c r="U63" s="527" t="str">
        <f>日期!O2</f>
        <v>2025/05/13</v>
      </c>
      <c r="V63" s="527" t="str">
        <f>日期!P2</f>
        <v>2025/05/14</v>
      </c>
      <c r="W63" s="527" t="str">
        <f>日期!Q2</f>
        <v>2025/05/15</v>
      </c>
      <c r="X63" s="527" t="str">
        <f>日期!R2</f>
        <v>2025/05/16</v>
      </c>
      <c r="Y63" s="527" t="str">
        <f>日期!S2</f>
        <v>2025/05/17</v>
      </c>
      <c r="Z63" s="527" t="str">
        <f>日期!T2</f>
        <v>2025/05/18</v>
      </c>
      <c r="AA63" s="527" t="str">
        <f>日期!U2</f>
        <v>2025/05/19</v>
      </c>
      <c r="AB63" s="527" t="str">
        <f>日期!V2</f>
        <v>2025/05/20</v>
      </c>
      <c r="AC63" s="527" t="str">
        <f>日期!W2</f>
        <v>2025/05/21</v>
      </c>
      <c r="AD63" s="527" t="str">
        <f>日期!X2</f>
        <v>2025/05/22</v>
      </c>
      <c r="AE63" s="527" t="str">
        <f>日期!Y2</f>
        <v>2025/05/23</v>
      </c>
      <c r="AF63" s="527" t="str">
        <f>日期!Z2</f>
        <v>2025/05/24</v>
      </c>
      <c r="AG63" s="527" t="str">
        <f>日期!AA2</f>
        <v>2025/05/25</v>
      </c>
      <c r="AH63" s="527" t="str">
        <f>日期!AB2</f>
        <v>2025/05/26</v>
      </c>
      <c r="AI63" s="527" t="str">
        <f>日期!AC2</f>
        <v>2025/05/27</v>
      </c>
      <c r="AJ63" s="527" t="str">
        <f>日期!AD2</f>
        <v>2025/05/28</v>
      </c>
      <c r="AK63" s="527" t="str">
        <f>日期!AE2</f>
        <v>2025/05/29</v>
      </c>
      <c r="AL63" s="527" t="str">
        <f>日期!AF2</f>
        <v>2025/05/30</v>
      </c>
      <c r="AM63" s="527" t="str">
        <f>日期!AG2</f>
        <v>2025/05/31</v>
      </c>
      <c r="AN63" s="604" t="s">
        <v>42</v>
      </c>
    </row>
    <row r="64" spans="1:41" s="14" customFormat="1" ht="22.7" customHeight="1" thickBot="1">
      <c r="A64" s="607"/>
      <c r="B64" s="588"/>
      <c r="C64" s="588"/>
      <c r="D64" s="609"/>
      <c r="E64" s="611"/>
      <c r="F64" s="624"/>
      <c r="G64" s="567" t="s">
        <v>43</v>
      </c>
      <c r="H64" s="568"/>
      <c r="I64" s="12" t="str">
        <f>日期!C3</f>
        <v>Thu</v>
      </c>
      <c r="J64" s="12" t="str">
        <f>日期!D3</f>
        <v>Fri</v>
      </c>
      <c r="K64" s="12" t="str">
        <f>日期!E3</f>
        <v>Sat</v>
      </c>
      <c r="L64" s="12" t="str">
        <f>日期!F3</f>
        <v>Sun</v>
      </c>
      <c r="M64" s="12" t="str">
        <f>日期!G3</f>
        <v>Mon</v>
      </c>
      <c r="N64" s="12" t="str">
        <f>日期!H3</f>
        <v>Tue</v>
      </c>
      <c r="O64" s="12" t="str">
        <f>日期!I3</f>
        <v>Wed</v>
      </c>
      <c r="P64" s="12" t="str">
        <f>日期!J3</f>
        <v>Thu</v>
      </c>
      <c r="Q64" s="12" t="str">
        <f>日期!K3</f>
        <v>Fri</v>
      </c>
      <c r="R64" s="12" t="str">
        <f>日期!L3</f>
        <v>Sat</v>
      </c>
      <c r="S64" s="12" t="str">
        <f>日期!M3</f>
        <v>Sun</v>
      </c>
      <c r="T64" s="12" t="str">
        <f>日期!N3</f>
        <v>Mon</v>
      </c>
      <c r="U64" s="12" t="str">
        <f>日期!O3</f>
        <v>Tue</v>
      </c>
      <c r="V64" s="12" t="str">
        <f>日期!P3</f>
        <v>Wed</v>
      </c>
      <c r="W64" s="12" t="str">
        <f>日期!Q3</f>
        <v>Thu</v>
      </c>
      <c r="X64" s="12" t="str">
        <f>日期!R3</f>
        <v>Fri</v>
      </c>
      <c r="Y64" s="12" t="str">
        <f>日期!S3</f>
        <v>Sat</v>
      </c>
      <c r="Z64" s="12" t="str">
        <f>日期!T3</f>
        <v>Sun</v>
      </c>
      <c r="AA64" s="12" t="str">
        <f>日期!U3</f>
        <v>Mon</v>
      </c>
      <c r="AB64" s="12" t="str">
        <f>日期!V3</f>
        <v>Tue</v>
      </c>
      <c r="AC64" s="12" t="str">
        <f>日期!W3</f>
        <v>Wed</v>
      </c>
      <c r="AD64" s="12" t="str">
        <f>日期!X3</f>
        <v>Thu</v>
      </c>
      <c r="AE64" s="12" t="str">
        <f>日期!Y3</f>
        <v>Fri</v>
      </c>
      <c r="AF64" s="12" t="str">
        <f>日期!Z3</f>
        <v>Sat</v>
      </c>
      <c r="AG64" s="12" t="str">
        <f>日期!AA3</f>
        <v>Sun</v>
      </c>
      <c r="AH64" s="12" t="str">
        <f>日期!AB3</f>
        <v>Mon</v>
      </c>
      <c r="AI64" s="12" t="str">
        <f>日期!AC3</f>
        <v>Tue</v>
      </c>
      <c r="AJ64" s="12" t="str">
        <f>日期!AD3</f>
        <v>Wed</v>
      </c>
      <c r="AK64" s="12" t="str">
        <f>日期!AE3</f>
        <v>Thu</v>
      </c>
      <c r="AL64" s="12" t="str">
        <f>日期!AF3</f>
        <v>Fri</v>
      </c>
      <c r="AM64" s="12" t="str">
        <f>日期!AG3</f>
        <v>Sat</v>
      </c>
      <c r="AN64" s="605"/>
    </row>
    <row r="65" spans="1:41" s="11" customFormat="1" ht="21.95" customHeight="1">
      <c r="A65" s="614" t="s">
        <v>52</v>
      </c>
      <c r="B65" s="615"/>
      <c r="C65" s="615"/>
      <c r="D65" s="313">
        <f>HLOOKUP(MONTH(日期!$C$2),去年月推移!$D$1:$O$200,122,TRUE)</f>
        <v>98.767424000000005</v>
      </c>
      <c r="E65" s="272">
        <v>98</v>
      </c>
      <c r="F65" s="272" t="s">
        <v>45</v>
      </c>
      <c r="G65" s="559">
        <f>ROUND(當年月推移!P124,1)</f>
        <v>98.3</v>
      </c>
      <c r="H65" s="560"/>
      <c r="I65" s="245">
        <f>ROUND(供應率!D2,1)</f>
        <v>0</v>
      </c>
      <c r="J65" s="245">
        <f>ROUND(供應率!E2,1)</f>
        <v>98.6</v>
      </c>
      <c r="K65" s="245">
        <f>ROUND(供應率!F2,1)</f>
        <v>98.7</v>
      </c>
      <c r="L65" s="245">
        <f>ROUND(供應率!G2,1)</f>
        <v>0</v>
      </c>
      <c r="M65" s="245">
        <f>ROUND(供應率!H2,1)</f>
        <v>98.7</v>
      </c>
      <c r="N65" s="245">
        <f>ROUND(供應率!I2,1)</f>
        <v>98.1</v>
      </c>
      <c r="O65" s="245">
        <f>ROUND(供應率!J2,1)</f>
        <v>98.2</v>
      </c>
      <c r="P65" s="245">
        <f>ROUND(供應率!K2,1)</f>
        <v>98.4</v>
      </c>
      <c r="Q65" s="245">
        <f>ROUND(供應率!L2,1)</f>
        <v>98.1</v>
      </c>
      <c r="R65" s="245">
        <f>ROUND(供應率!M2,1)</f>
        <v>98.5</v>
      </c>
      <c r="S65" s="245">
        <f>ROUND(供應率!N2,1)</f>
        <v>0</v>
      </c>
      <c r="T65" s="245">
        <f>ROUND(供應率!O2,1)</f>
        <v>98.3</v>
      </c>
      <c r="U65" s="245">
        <f>ROUND(供應率!P2,1)</f>
        <v>98.3</v>
      </c>
      <c r="V65" s="245">
        <f>ROUND(供應率!Q2,1)</f>
        <v>98.8</v>
      </c>
      <c r="W65" s="245">
        <f>ROUND(供應率!R2,1)</f>
        <v>98.5</v>
      </c>
      <c r="X65" s="245">
        <f>ROUND(供應率!S2,1)</f>
        <v>98.6</v>
      </c>
      <c r="Y65" s="245">
        <f>ROUND(供應率!T2,1)</f>
        <v>98.8</v>
      </c>
      <c r="Z65" s="245">
        <f>ROUND(供應率!U2,1)</f>
        <v>0</v>
      </c>
      <c r="AA65" s="245">
        <f>ROUND(供應率!V2,1)</f>
        <v>98.7</v>
      </c>
      <c r="AB65" s="245">
        <f>ROUND(供應率!W2,1)</f>
        <v>98.3</v>
      </c>
      <c r="AC65" s="245">
        <f>ROUND(供應率!X2,1)</f>
        <v>98.4</v>
      </c>
      <c r="AD65" s="245">
        <f>ROUND(供應率!Y2,1)</f>
        <v>98.6</v>
      </c>
      <c r="AE65" s="245">
        <f>ROUND(供應率!Z2,1)</f>
        <v>98.6</v>
      </c>
      <c r="AF65" s="245">
        <f>ROUND(供應率!AA2,1)</f>
        <v>98.8</v>
      </c>
      <c r="AG65" s="245">
        <f>ROUND(供應率!AB2,1)</f>
        <v>0</v>
      </c>
      <c r="AH65" s="245">
        <f>ROUND(供應率!AC2,1)</f>
        <v>98.6</v>
      </c>
      <c r="AI65" s="245">
        <f>ROUND(供應率!AD2,1)</f>
        <v>98.7</v>
      </c>
      <c r="AJ65" s="245">
        <f>ROUND(供應率!AE2,1)</f>
        <v>98.1</v>
      </c>
      <c r="AK65" s="245">
        <f>ROUND(供應率!AF2,1)</f>
        <v>98.5</v>
      </c>
      <c r="AL65" s="245">
        <f>ROUND(供應率!AG2,1)</f>
        <v>0</v>
      </c>
      <c r="AM65" s="245">
        <f>ROUND(供應率!AH2,1)</f>
        <v>0</v>
      </c>
      <c r="AN65" s="213">
        <f>ROUND(供應率!AI2,1)</f>
        <v>98.5</v>
      </c>
      <c r="AO65" s="55"/>
    </row>
    <row r="66" spans="1:41" s="11" customFormat="1" ht="21.95" customHeight="1">
      <c r="A66" s="621" t="s">
        <v>53</v>
      </c>
      <c r="B66" s="622"/>
      <c r="C66" s="622"/>
      <c r="D66" s="311">
        <f>HLOOKUP(MONTH(日期!$C$2),去年月推移!$D$1:$O$200,123,TRUE)</f>
        <v>99.093311</v>
      </c>
      <c r="E66" s="49">
        <v>98</v>
      </c>
      <c r="F66" s="49" t="s">
        <v>45</v>
      </c>
      <c r="G66" s="563">
        <f>ROUND(當年月推移!P125,1)</f>
        <v>98.5</v>
      </c>
      <c r="H66" s="564"/>
      <c r="I66" s="47">
        <f>ROUND(供應率!D3,1)</f>
        <v>0</v>
      </c>
      <c r="J66" s="47">
        <f>ROUND(供應率!E3,1)</f>
        <v>98.1</v>
      </c>
      <c r="K66" s="47">
        <f>ROUND(供應率!F3,1)</f>
        <v>98.6</v>
      </c>
      <c r="L66" s="47">
        <f>ROUND(供應率!G3,1)</f>
        <v>0</v>
      </c>
      <c r="M66" s="47">
        <f>ROUND(供應率!H3,1)</f>
        <v>98.8</v>
      </c>
      <c r="N66" s="47">
        <f>ROUND(供應率!I3,1)</f>
        <v>99</v>
      </c>
      <c r="O66" s="47">
        <f>ROUND(供應率!J3,1)</f>
        <v>98.7</v>
      </c>
      <c r="P66" s="47">
        <f>ROUND(供應率!K3,1)</f>
        <v>98.9</v>
      </c>
      <c r="Q66" s="47">
        <f>ROUND(供應率!L3,1)</f>
        <v>98.4</v>
      </c>
      <c r="R66" s="47">
        <f>ROUND(供應率!M3,1)</f>
        <v>98.7</v>
      </c>
      <c r="S66" s="47">
        <f>ROUND(供應率!N3,1)</f>
        <v>0</v>
      </c>
      <c r="T66" s="47">
        <f>ROUND(供應率!O3,1)</f>
        <v>99</v>
      </c>
      <c r="U66" s="47">
        <f>ROUND(供應率!P3,1)</f>
        <v>98.9</v>
      </c>
      <c r="V66" s="47">
        <f>ROUND(供應率!Q3,1)</f>
        <v>99.1</v>
      </c>
      <c r="W66" s="47">
        <f>ROUND(供應率!R3,1)</f>
        <v>98.8</v>
      </c>
      <c r="X66" s="47">
        <f>ROUND(供應率!S3,1)</f>
        <v>98.6</v>
      </c>
      <c r="Y66" s="47">
        <f>ROUND(供應率!T3,1)</f>
        <v>98.3</v>
      </c>
      <c r="Z66" s="47">
        <f>ROUND(供應率!U3,1)</f>
        <v>0</v>
      </c>
      <c r="AA66" s="47">
        <f>ROUND(供應率!V3,1)</f>
        <v>97.8</v>
      </c>
      <c r="AB66" s="47">
        <f>ROUND(供應率!W3,1)</f>
        <v>98.3</v>
      </c>
      <c r="AC66" s="47">
        <f>ROUND(供應率!X3,1)</f>
        <v>97.5</v>
      </c>
      <c r="AD66" s="47">
        <f>ROUND(供應率!Y3,1)</f>
        <v>97.2</v>
      </c>
      <c r="AE66" s="47">
        <f>ROUND(供應率!Z3,1)</f>
        <v>97.4</v>
      </c>
      <c r="AF66" s="47">
        <f>ROUND(供應率!AA3,1)</f>
        <v>96.7</v>
      </c>
      <c r="AG66" s="47">
        <f>ROUND(供應率!AB3,1)</f>
        <v>0</v>
      </c>
      <c r="AH66" s="47">
        <f>ROUND(供應率!AC3,1)</f>
        <v>97.3</v>
      </c>
      <c r="AI66" s="47">
        <f>ROUND(供應率!AD3,1)</f>
        <v>97.4</v>
      </c>
      <c r="AJ66" s="47">
        <f>ROUND(供應率!AE3,1)</f>
        <v>97.6</v>
      </c>
      <c r="AK66" s="47">
        <f>ROUND(供應率!AF3,1)</f>
        <v>97.6</v>
      </c>
      <c r="AL66" s="47">
        <f>ROUND(供應率!AG3,1)</f>
        <v>0</v>
      </c>
      <c r="AM66" s="47">
        <f>ROUND(供應率!AH3,1)</f>
        <v>0</v>
      </c>
      <c r="AN66" s="214">
        <f>ROUND(供應率!AI3,1)</f>
        <v>98.2</v>
      </c>
      <c r="AO66" s="55"/>
    </row>
    <row r="67" spans="1:41" s="11" customFormat="1" ht="21.95" customHeight="1">
      <c r="A67" s="621" t="s">
        <v>54</v>
      </c>
      <c r="B67" s="622"/>
      <c r="C67" s="622"/>
      <c r="D67" s="311">
        <f>HLOOKUP(MONTH(日期!$C$2),去年月推移!$D$1:$O$200,124,TRUE)</f>
        <v>99.487926000000002</v>
      </c>
      <c r="E67" s="49">
        <v>99.2</v>
      </c>
      <c r="F67" s="49" t="s">
        <v>45</v>
      </c>
      <c r="G67" s="563">
        <f>ROUND(當年月推移!P126,1)</f>
        <v>99.3</v>
      </c>
      <c r="H67" s="564"/>
      <c r="I67" s="47">
        <f>ROUND(供應率!D4,1)</f>
        <v>0</v>
      </c>
      <c r="J67" s="47">
        <f>ROUND(供應率!E4,1)</f>
        <v>99.2</v>
      </c>
      <c r="K67" s="47">
        <f>ROUND(供應率!F4,1)</f>
        <v>98.9</v>
      </c>
      <c r="L67" s="47">
        <f>ROUND(供應率!G4,1)</f>
        <v>0</v>
      </c>
      <c r="M67" s="47">
        <f>ROUND(供應率!H4,1)</f>
        <v>99.2</v>
      </c>
      <c r="N67" s="47">
        <f>ROUND(供應率!I4,1)</f>
        <v>98.7</v>
      </c>
      <c r="O67" s="47">
        <f>ROUND(供應率!J4,1)</f>
        <v>98.8</v>
      </c>
      <c r="P67" s="47">
        <f>ROUND(供應率!K4,1)</f>
        <v>98.9</v>
      </c>
      <c r="Q67" s="47">
        <f>ROUND(供應率!L4,1)</f>
        <v>99.6</v>
      </c>
      <c r="R67" s="47">
        <f>ROUND(供應率!M4,1)</f>
        <v>99.7</v>
      </c>
      <c r="S67" s="47">
        <f>ROUND(供應率!N4,1)</f>
        <v>0</v>
      </c>
      <c r="T67" s="47">
        <f>ROUND(供應率!O4,1)</f>
        <v>99.2</v>
      </c>
      <c r="U67" s="47">
        <f>ROUND(供應率!P4,1)</f>
        <v>99.3</v>
      </c>
      <c r="V67" s="47">
        <f>ROUND(供應率!Q4,1)</f>
        <v>99.6</v>
      </c>
      <c r="W67" s="47">
        <f>ROUND(供應率!R4,1)</f>
        <v>99.4</v>
      </c>
      <c r="X67" s="47">
        <f>ROUND(供應率!S4,1)</f>
        <v>100</v>
      </c>
      <c r="Y67" s="47">
        <f>ROUND(供應率!T4,1)</f>
        <v>98.8</v>
      </c>
      <c r="Z67" s="47">
        <f>ROUND(供應率!U4,1)</f>
        <v>0</v>
      </c>
      <c r="AA67" s="47">
        <f>ROUND(供應率!V4,1)</f>
        <v>99.2</v>
      </c>
      <c r="AB67" s="47">
        <f>ROUND(供應率!W4,1)</f>
        <v>99.1</v>
      </c>
      <c r="AC67" s="47">
        <f>ROUND(供應率!X4,1)</f>
        <v>99</v>
      </c>
      <c r="AD67" s="47">
        <f>ROUND(供應率!Y4,1)</f>
        <v>98.8</v>
      </c>
      <c r="AE67" s="47">
        <f>ROUND(供應率!Z4,1)</f>
        <v>98.9</v>
      </c>
      <c r="AF67" s="47">
        <f>ROUND(供應率!AA4,1)</f>
        <v>99.3</v>
      </c>
      <c r="AG67" s="47">
        <f>ROUND(供應率!AB4,1)</f>
        <v>0</v>
      </c>
      <c r="AH67" s="47">
        <f>ROUND(供應率!AC4,1)</f>
        <v>99.2</v>
      </c>
      <c r="AI67" s="47">
        <f>ROUND(供應率!AD4,1)</f>
        <v>98.9</v>
      </c>
      <c r="AJ67" s="47">
        <f>ROUND(供應率!AE4,1)</f>
        <v>99.3</v>
      </c>
      <c r="AK67" s="47">
        <f>ROUND(供應率!AF4,1)</f>
        <v>99.1</v>
      </c>
      <c r="AL67" s="47">
        <f>ROUND(供應率!AG4,1)</f>
        <v>0</v>
      </c>
      <c r="AM67" s="47">
        <f>ROUND(供應率!AH4,1)</f>
        <v>0</v>
      </c>
      <c r="AN67" s="214">
        <f>ROUND(供應率!AI4,1)</f>
        <v>99.2</v>
      </c>
      <c r="AO67" s="55"/>
    </row>
    <row r="68" spans="1:41" s="11" customFormat="1" ht="21.95" customHeight="1">
      <c r="A68" s="625" t="s">
        <v>55</v>
      </c>
      <c r="B68" s="626"/>
      <c r="C68" s="627"/>
      <c r="D68" s="319">
        <f>HLOOKUP(MONTH(日期!$C$2),去年月推移!$D$1:$O$200,125,TRUE)</f>
        <v>98.988433000000001</v>
      </c>
      <c r="E68" s="56">
        <v>98.1</v>
      </c>
      <c r="F68" s="56" t="s">
        <v>45</v>
      </c>
      <c r="G68" s="628">
        <f>ROUND(當年月推移!P127,1)</f>
        <v>98.5</v>
      </c>
      <c r="H68" s="629"/>
      <c r="I68" s="57">
        <f>ROUND(供應率!D5,1)</f>
        <v>0</v>
      </c>
      <c r="J68" s="57">
        <f>ROUND(供應率!E5,1)</f>
        <v>98.5</v>
      </c>
      <c r="K68" s="57">
        <f>ROUND(供應率!F5,1)</f>
        <v>98.7</v>
      </c>
      <c r="L68" s="57">
        <f>ROUND(供應率!G5,1)</f>
        <v>0</v>
      </c>
      <c r="M68" s="57">
        <f>ROUND(供應率!H5,1)</f>
        <v>98.8</v>
      </c>
      <c r="N68" s="57">
        <f>ROUND(供應率!I5,1)</f>
        <v>98.6</v>
      </c>
      <c r="O68" s="57">
        <f>ROUND(供應率!J5,1)</f>
        <v>98.5</v>
      </c>
      <c r="P68" s="57">
        <f>ROUND(供應率!K5,1)</f>
        <v>98.7</v>
      </c>
      <c r="Q68" s="57">
        <f>ROUND(供應率!L5,1)</f>
        <v>98.5</v>
      </c>
      <c r="R68" s="57">
        <f>ROUND(供應率!M5,1)</f>
        <v>98.7</v>
      </c>
      <c r="S68" s="57">
        <f>ROUND(供應率!N5,1)</f>
        <v>0</v>
      </c>
      <c r="T68" s="57">
        <f>ROUND(供應率!O5,1)</f>
        <v>98.7</v>
      </c>
      <c r="U68" s="57">
        <f>ROUND(供應率!P5,1)</f>
        <v>98.7</v>
      </c>
      <c r="V68" s="57">
        <f>ROUND(供應率!Q5,1)</f>
        <v>99</v>
      </c>
      <c r="W68" s="57">
        <f>ROUND(供應率!R5,1)</f>
        <v>98.7</v>
      </c>
      <c r="X68" s="57">
        <f>ROUND(供應率!S5,1)</f>
        <v>98.8</v>
      </c>
      <c r="Y68" s="57">
        <f>ROUND(供應率!T5,1)</f>
        <v>98.6</v>
      </c>
      <c r="Z68" s="57">
        <f>ROUND(供應率!U5,1)</f>
        <v>0</v>
      </c>
      <c r="AA68" s="57">
        <f>ROUND(供應率!V5,1)</f>
        <v>98.3</v>
      </c>
      <c r="AB68" s="57">
        <f>ROUND(供應率!W5,1)</f>
        <v>98.4</v>
      </c>
      <c r="AC68" s="57">
        <f>ROUND(供應率!X5,1)</f>
        <v>98</v>
      </c>
      <c r="AD68" s="57">
        <f>ROUND(供應率!Y5,1)</f>
        <v>98</v>
      </c>
      <c r="AE68" s="57">
        <f>ROUND(供應率!Z5,1)</f>
        <v>98.1</v>
      </c>
      <c r="AF68" s="57">
        <f>ROUND(供應率!AA5,1)</f>
        <v>98.1</v>
      </c>
      <c r="AG68" s="57">
        <f>ROUND(供應率!AB5,1)</f>
        <v>0</v>
      </c>
      <c r="AH68" s="57">
        <f>ROUND(供應率!AC5,1)</f>
        <v>98.1</v>
      </c>
      <c r="AI68" s="57">
        <f>ROUND(供應率!AD5,1)</f>
        <v>98.1</v>
      </c>
      <c r="AJ68" s="57">
        <f>ROUND(供應率!AE5,1)</f>
        <v>98.1</v>
      </c>
      <c r="AK68" s="57">
        <f>ROUND(供應率!AF5,1)</f>
        <v>98.2</v>
      </c>
      <c r="AL68" s="57">
        <f>ROUND(供應率!AG5,1)</f>
        <v>0</v>
      </c>
      <c r="AM68" s="57">
        <f>ROUND(供應率!AH5,1)</f>
        <v>0</v>
      </c>
      <c r="AN68" s="216">
        <f>ROUND(供應率!AI5,1)</f>
        <v>98.5</v>
      </c>
      <c r="AO68" s="55"/>
    </row>
    <row r="69" spans="1:41" s="11" customFormat="1" ht="21.95" customHeight="1">
      <c r="A69" s="621" t="s">
        <v>12</v>
      </c>
      <c r="B69" s="622"/>
      <c r="C69" s="622"/>
      <c r="D69" s="311">
        <f>HLOOKUP(MONTH(日期!$C$2),去年月推移!$D$1:$O$200,126,TRUE)</f>
        <v>99.989020999999994</v>
      </c>
      <c r="E69" s="49">
        <v>99</v>
      </c>
      <c r="F69" s="49" t="s">
        <v>45</v>
      </c>
      <c r="G69" s="563">
        <f>ROUND(當年月推移!P128,1)</f>
        <v>99.7</v>
      </c>
      <c r="H69" s="564"/>
      <c r="I69" s="47">
        <f>ROUND(供應率!D7,1)</f>
        <v>0</v>
      </c>
      <c r="J69" s="47">
        <f>ROUND(供應率!E7,1)</f>
        <v>100</v>
      </c>
      <c r="K69" s="47">
        <f>ROUND(供應率!F7,1)</f>
        <v>100</v>
      </c>
      <c r="L69" s="47">
        <f>ROUND(供應率!G7,1)</f>
        <v>0</v>
      </c>
      <c r="M69" s="47">
        <f>ROUND(供應率!H7,1)</f>
        <v>100</v>
      </c>
      <c r="N69" s="47">
        <f>ROUND(供應率!I7,1)</f>
        <v>100</v>
      </c>
      <c r="O69" s="47">
        <f>ROUND(供應率!J7,1)</f>
        <v>100</v>
      </c>
      <c r="P69" s="47">
        <f>ROUND(供應率!K7,1)</f>
        <v>100</v>
      </c>
      <c r="Q69" s="47">
        <f>ROUND(供應率!L7,1)</f>
        <v>100</v>
      </c>
      <c r="R69" s="47">
        <f>ROUND(供應率!M7,1)</f>
        <v>100</v>
      </c>
      <c r="S69" s="47">
        <f>ROUND(供應率!N7,1)</f>
        <v>0</v>
      </c>
      <c r="T69" s="47">
        <f>ROUND(供應率!O7,1)</f>
        <v>100</v>
      </c>
      <c r="U69" s="47">
        <f>ROUND(供應率!P7,1)</f>
        <v>100</v>
      </c>
      <c r="V69" s="47">
        <f>ROUND(供應率!Q7,1)</f>
        <v>100</v>
      </c>
      <c r="W69" s="47">
        <f>ROUND(供應率!R7,1)</f>
        <v>100</v>
      </c>
      <c r="X69" s="47">
        <f>ROUND(供應率!S7,1)</f>
        <v>100</v>
      </c>
      <c r="Y69" s="47">
        <f>ROUND(供應率!T7,1)</f>
        <v>100</v>
      </c>
      <c r="Z69" s="47">
        <f>ROUND(供應率!U7,1)</f>
        <v>0</v>
      </c>
      <c r="AA69" s="47">
        <f>ROUND(供應率!V7,1)</f>
        <v>100</v>
      </c>
      <c r="AB69" s="47">
        <f>ROUND(供應率!W7,1)</f>
        <v>99.8</v>
      </c>
      <c r="AC69" s="47">
        <f>ROUND(供應率!X7,1)</f>
        <v>100</v>
      </c>
      <c r="AD69" s="47">
        <f>ROUND(供應率!Y7,1)</f>
        <v>100</v>
      </c>
      <c r="AE69" s="47">
        <f>ROUND(供應率!Z7,1)</f>
        <v>100</v>
      </c>
      <c r="AF69" s="47">
        <f>ROUND(供應率!AA7,1)</f>
        <v>100</v>
      </c>
      <c r="AG69" s="47">
        <f>ROUND(供應率!AB7,1)</f>
        <v>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0</v>
      </c>
      <c r="AM69" s="47">
        <f>ROUND(供應率!AH7,1)</f>
        <v>0</v>
      </c>
      <c r="AN69" s="214">
        <f>ROUND(供應率!AI7,1)</f>
        <v>99.9</v>
      </c>
      <c r="AO69" s="55"/>
    </row>
    <row r="70" spans="1:41" s="11" customFormat="1" ht="21.95" customHeight="1">
      <c r="A70" s="621" t="s">
        <v>13</v>
      </c>
      <c r="B70" s="622"/>
      <c r="C70" s="622"/>
      <c r="D70" s="311">
        <f>HLOOKUP(MONTH(日期!$C$2),去年月推移!$D$1:$O$200,127,TRUE)</f>
        <v>89.557738999999998</v>
      </c>
      <c r="E70" s="49">
        <v>70</v>
      </c>
      <c r="F70" s="49" t="s">
        <v>45</v>
      </c>
      <c r="G70" s="563">
        <f>ROUND(當年月推移!P129,1)</f>
        <v>89.1</v>
      </c>
      <c r="H70" s="564"/>
      <c r="I70" s="47">
        <f>ROUND(供應率!D8,1)</f>
        <v>0</v>
      </c>
      <c r="J70" s="47">
        <f>ROUND(供應率!E8,1)</f>
        <v>100</v>
      </c>
      <c r="K70" s="47">
        <f>ROUND(供應率!F8,1)</f>
        <v>100</v>
      </c>
      <c r="L70" s="47">
        <f>ROUND(供應率!G8,1)</f>
        <v>0</v>
      </c>
      <c r="M70" s="47">
        <f>ROUND(供應率!H8,1)</f>
        <v>95.4</v>
      </c>
      <c r="N70" s="47">
        <f>ROUND(供應率!I8,1)</f>
        <v>94.2</v>
      </c>
      <c r="O70" s="47">
        <f>ROUND(供應率!J8,1)</f>
        <v>97.4</v>
      </c>
      <c r="P70" s="47">
        <f>ROUND(供應率!K8,1)</f>
        <v>100</v>
      </c>
      <c r="Q70" s="47">
        <f>ROUND(供應率!L8,1)</f>
        <v>100</v>
      </c>
      <c r="R70" s="47">
        <f>ROUND(供應率!M8,1)</f>
        <v>100</v>
      </c>
      <c r="S70" s="47">
        <f>ROUND(供應率!N8,1)</f>
        <v>0</v>
      </c>
      <c r="T70" s="47">
        <f>ROUND(供應率!O8,1)</f>
        <v>85.2</v>
      </c>
      <c r="U70" s="47">
        <f>ROUND(供應率!P8,1)</f>
        <v>94.2</v>
      </c>
      <c r="V70" s="47">
        <f>ROUND(供應率!Q8,1)</f>
        <v>90</v>
      </c>
      <c r="W70" s="47">
        <f>ROUND(供應率!R8,1)</f>
        <v>94.2</v>
      </c>
      <c r="X70" s="47">
        <f>ROUND(供應率!S8,1)</f>
        <v>85.7</v>
      </c>
      <c r="Y70" s="47">
        <f>ROUND(供應率!T8,1)</f>
        <v>90.9</v>
      </c>
      <c r="Z70" s="47">
        <f>ROUND(供應率!U8,1)</f>
        <v>0</v>
      </c>
      <c r="AA70" s="47">
        <f>ROUND(供應率!V8,1)</f>
        <v>92.4</v>
      </c>
      <c r="AB70" s="47">
        <f>ROUND(供應率!W8,1)</f>
        <v>89.5</v>
      </c>
      <c r="AC70" s="47">
        <f>ROUND(供應率!X8,1)</f>
        <v>96.2</v>
      </c>
      <c r="AD70" s="47">
        <f>ROUND(供應率!Y8,1)</f>
        <v>85.9</v>
      </c>
      <c r="AE70" s="47">
        <f>ROUND(供應率!Z8,1)</f>
        <v>82.5</v>
      </c>
      <c r="AF70" s="47">
        <f>ROUND(供應率!AA8,1)</f>
        <v>95.1</v>
      </c>
      <c r="AG70" s="47">
        <f>ROUND(供應率!AB8,1)</f>
        <v>0</v>
      </c>
      <c r="AH70" s="47">
        <f>ROUND(供應率!AC8,1)</f>
        <v>88.3</v>
      </c>
      <c r="AI70" s="47">
        <f>ROUND(供應率!AD8,1)</f>
        <v>88.8</v>
      </c>
      <c r="AJ70" s="47">
        <f>ROUND(供應率!AE8,1)</f>
        <v>96</v>
      </c>
      <c r="AK70" s="47">
        <f>ROUND(供應率!AF8,1)</f>
        <v>96.2</v>
      </c>
      <c r="AL70" s="47">
        <f>ROUND(供應率!AG8,1)</f>
        <v>0</v>
      </c>
      <c r="AM70" s="47">
        <f>ROUND(供應率!AH8,1)</f>
        <v>0</v>
      </c>
      <c r="AN70" s="214">
        <f>ROUND(供應率!AI8,1)</f>
        <v>92.2</v>
      </c>
      <c r="AO70" s="55"/>
    </row>
    <row r="71" spans="1:41" s="11" customFormat="1" ht="21.75" customHeight="1">
      <c r="A71" s="621" t="s">
        <v>14</v>
      </c>
      <c r="B71" s="622"/>
      <c r="C71" s="622"/>
      <c r="D71" s="311">
        <f>HLOOKUP(MONTH(日期!$C$2),去年月推移!$D$1:$O$200,128,TRUE)</f>
        <v>99.512129000000002</v>
      </c>
      <c r="E71" s="49">
        <v>99.1</v>
      </c>
      <c r="F71" s="49" t="s">
        <v>45</v>
      </c>
      <c r="G71" s="563">
        <f>ROUND(當年月推移!P130,1)</f>
        <v>99.4</v>
      </c>
      <c r="H71" s="564"/>
      <c r="I71" s="47">
        <f>ROUND(供應率!D9,1)</f>
        <v>0</v>
      </c>
      <c r="J71" s="47">
        <f>ROUND(供應率!E9,1)</f>
        <v>99.4</v>
      </c>
      <c r="K71" s="47">
        <f>ROUND(供應率!F9,1)</f>
        <v>99.5</v>
      </c>
      <c r="L71" s="47">
        <f>ROUND(供應率!G9,1)</f>
        <v>0</v>
      </c>
      <c r="M71" s="47">
        <f>ROUND(供應率!H9,1)</f>
        <v>98</v>
      </c>
      <c r="N71" s="47">
        <f>ROUND(供應率!I9,1)</f>
        <v>98.6</v>
      </c>
      <c r="O71" s="47">
        <f>ROUND(供應率!J9,1)</f>
        <v>99.5</v>
      </c>
      <c r="P71" s="47">
        <f>ROUND(供應率!K9,1)</f>
        <v>99.7</v>
      </c>
      <c r="Q71" s="47">
        <f>ROUND(供應率!L9,1)</f>
        <v>99.8</v>
      </c>
      <c r="R71" s="47">
        <f>ROUND(供應率!M9,1)</f>
        <v>100</v>
      </c>
      <c r="S71" s="47">
        <f>ROUND(供應率!N9,1)</f>
        <v>0</v>
      </c>
      <c r="T71" s="47">
        <f>ROUND(供應率!O9,1)</f>
        <v>99.9</v>
      </c>
      <c r="U71" s="47">
        <f>ROUND(供應率!P9,1)</f>
        <v>99.9</v>
      </c>
      <c r="V71" s="47">
        <f>ROUND(供應率!Q9,1)</f>
        <v>99.9</v>
      </c>
      <c r="W71" s="47">
        <f>ROUND(供應率!R9,1)</f>
        <v>99.1</v>
      </c>
      <c r="X71" s="47">
        <f>ROUND(供應率!S9,1)</f>
        <v>99.8</v>
      </c>
      <c r="Y71" s="47">
        <f>ROUND(供應率!T9,1)</f>
        <v>99.9</v>
      </c>
      <c r="Z71" s="47">
        <f>ROUND(供應率!U9,1)</f>
        <v>0</v>
      </c>
      <c r="AA71" s="47">
        <f>ROUND(供應率!V9,1)</f>
        <v>99.8</v>
      </c>
      <c r="AB71" s="47">
        <f>ROUND(供應率!W9,1)</f>
        <v>100</v>
      </c>
      <c r="AC71" s="47">
        <f>ROUND(供應率!X9,1)</f>
        <v>99.8</v>
      </c>
      <c r="AD71" s="47">
        <f>ROUND(供應率!Y9,1)</f>
        <v>99.8</v>
      </c>
      <c r="AE71" s="47">
        <f>ROUND(供應率!Z9,1)</f>
        <v>99.8</v>
      </c>
      <c r="AF71" s="47">
        <f>ROUND(供應率!AA9,1)</f>
        <v>99.7</v>
      </c>
      <c r="AG71" s="47">
        <f>ROUND(供應率!AB9,1)</f>
        <v>0</v>
      </c>
      <c r="AH71" s="47">
        <f>ROUND(供應率!AC9,1)</f>
        <v>99.7</v>
      </c>
      <c r="AI71" s="47">
        <f>ROUND(供應率!AD9,1)</f>
        <v>99.9</v>
      </c>
      <c r="AJ71" s="47">
        <f>ROUND(供應率!AE9,1)</f>
        <v>99.9</v>
      </c>
      <c r="AK71" s="47">
        <f>ROUND(供應率!AF9,1)</f>
        <v>99.9</v>
      </c>
      <c r="AL71" s="47">
        <f>ROUND(供應率!AG9,1)</f>
        <v>0</v>
      </c>
      <c r="AM71" s="47">
        <f>ROUND(供應率!AH9,1)</f>
        <v>0</v>
      </c>
      <c r="AN71" s="214">
        <f>ROUND(供應率!AI9,1)</f>
        <v>99.6</v>
      </c>
      <c r="AO71" s="55"/>
    </row>
    <row r="72" spans="1:41" s="11" customFormat="1" ht="21.95" customHeight="1">
      <c r="A72" s="621" t="s">
        <v>56</v>
      </c>
      <c r="B72" s="622"/>
      <c r="C72" s="622"/>
      <c r="D72" s="311">
        <f>HLOOKUP(MONTH(日期!$C$2),[2]去年月推移!$D$1:$O$200,129,TRUE)</f>
        <v>0</v>
      </c>
      <c r="E72" s="49">
        <v>92.3</v>
      </c>
      <c r="F72" s="49" t="s">
        <v>45</v>
      </c>
      <c r="G72" s="563">
        <f>ROUND(當年月推移!P131,1)</f>
        <v>96.2</v>
      </c>
      <c r="H72" s="564"/>
      <c r="I72" s="47">
        <f>ROUND(供應率!D22,1)</f>
        <v>0</v>
      </c>
      <c r="J72" s="47">
        <f>ROUND(供應率!E22,1)</f>
        <v>96.5</v>
      </c>
      <c r="K72" s="47">
        <f>ROUND(供應率!F22,1)</f>
        <v>98</v>
      </c>
      <c r="L72" s="47">
        <f>ROUND(供應率!G22,1)</f>
        <v>0</v>
      </c>
      <c r="M72" s="47">
        <f>ROUND(供應率!H22,1)</f>
        <v>97.3</v>
      </c>
      <c r="N72" s="47">
        <f>ROUND(供應率!I22,1)</f>
        <v>96.7</v>
      </c>
      <c r="O72" s="47">
        <f>ROUND(供應率!J22,1)</f>
        <v>98.1</v>
      </c>
      <c r="P72" s="47">
        <f>ROUND(供應率!K22,1)</f>
        <v>98.9</v>
      </c>
      <c r="Q72" s="47">
        <f>ROUND(供應率!L22,1)</f>
        <v>92.7</v>
      </c>
      <c r="R72" s="47">
        <f>ROUND(供應率!M22,1)</f>
        <v>98.1</v>
      </c>
      <c r="S72" s="47">
        <f>ROUND(供應率!N22,1)</f>
        <v>0</v>
      </c>
      <c r="T72" s="47">
        <f>ROUND(供應率!O22,1)</f>
        <v>97.4</v>
      </c>
      <c r="U72" s="47">
        <f>ROUND(供應率!P22,1)</f>
        <v>93.8</v>
      </c>
      <c r="V72" s="47">
        <f>ROUND(供應率!Q22,1)</f>
        <v>95.8</v>
      </c>
      <c r="W72" s="47">
        <f>ROUND(供應率!R22,1)</f>
        <v>96.6</v>
      </c>
      <c r="X72" s="47">
        <f>ROUND(供應率!S22,1)</f>
        <v>98.1</v>
      </c>
      <c r="Y72" s="47">
        <f>ROUND(供應率!T22,1)</f>
        <v>96.8</v>
      </c>
      <c r="Z72" s="47">
        <f>ROUND(供應率!U22,1)</f>
        <v>0</v>
      </c>
      <c r="AA72" s="47">
        <f>ROUND(供應率!V22,1)</f>
        <v>96.8</v>
      </c>
      <c r="AB72" s="47">
        <f>ROUND(供應率!W22,1)</f>
        <v>96.9</v>
      </c>
      <c r="AC72" s="47">
        <f>ROUND(供應率!X22,1)</f>
        <v>95.8</v>
      </c>
      <c r="AD72" s="47">
        <f>ROUND(供應率!Y22,1)</f>
        <v>96.1</v>
      </c>
      <c r="AE72" s="47">
        <f>ROUND(供應率!Z22,1)</f>
        <v>86.3</v>
      </c>
      <c r="AF72" s="47">
        <f>ROUND(供應率!AA22,1)</f>
        <v>88.8</v>
      </c>
      <c r="AG72" s="47">
        <f>ROUND(供應率!AB22,1)</f>
        <v>0</v>
      </c>
      <c r="AH72" s="47">
        <f>ROUND(供應率!AC22,1)</f>
        <v>94.8</v>
      </c>
      <c r="AI72" s="47">
        <f>ROUND(供應率!AD22,1)</f>
        <v>97.2</v>
      </c>
      <c r="AJ72" s="47">
        <f>ROUND(供應率!AE22,1)</f>
        <v>97.7</v>
      </c>
      <c r="AK72" s="47">
        <f>ROUND(供應率!AF22,1)</f>
        <v>97.2</v>
      </c>
      <c r="AL72" s="47">
        <f>ROUND(供應率!AG22,1)</f>
        <v>0</v>
      </c>
      <c r="AM72" s="47">
        <f>ROUND(供應率!AH22,1)</f>
        <v>0</v>
      </c>
      <c r="AN72" s="214">
        <f>ROUND(供應率!AI22,1)</f>
        <v>95.8</v>
      </c>
      <c r="AO72" s="55"/>
    </row>
    <row r="73" spans="1:41" s="11" customFormat="1" ht="21.95" customHeight="1" thickBot="1">
      <c r="A73" s="640" t="s">
        <v>16</v>
      </c>
      <c r="B73" s="641"/>
      <c r="C73" s="641"/>
      <c r="D73" s="320">
        <f>HLOOKUP(MONTH(日期!$C$2),去年月推移!$D$1:$O$200,130,TRUE)</f>
        <v>98.751807999999997</v>
      </c>
      <c r="E73" s="58">
        <v>95</v>
      </c>
      <c r="F73" s="58" t="s">
        <v>45</v>
      </c>
      <c r="G73" s="642">
        <f>ROUND(當年月推移!P132,1)</f>
        <v>98.6</v>
      </c>
      <c r="H73" s="643"/>
      <c r="I73" s="59">
        <f>ROUND(供應率!D11,1)</f>
        <v>0</v>
      </c>
      <c r="J73" s="59">
        <f>ROUND(供應率!E11,1)</f>
        <v>98.7</v>
      </c>
      <c r="K73" s="59">
        <f>ROUND(供應率!F11,1)</f>
        <v>98.2</v>
      </c>
      <c r="L73" s="59">
        <f>ROUND(供應率!G11,1)</f>
        <v>0</v>
      </c>
      <c r="M73" s="59">
        <f>ROUND(供應率!H11,1)</f>
        <v>95.8</v>
      </c>
      <c r="N73" s="59">
        <f>ROUND(供應率!I11,1)</f>
        <v>95.1</v>
      </c>
      <c r="O73" s="59">
        <f>ROUND(供應率!J11,1)</f>
        <v>97.8</v>
      </c>
      <c r="P73" s="59">
        <f>ROUND(供應率!K11,1)</f>
        <v>99.7</v>
      </c>
      <c r="Q73" s="59">
        <f>ROUND(供應率!L11,1)</f>
        <v>100</v>
      </c>
      <c r="R73" s="59">
        <f>ROUND(供應率!M11,1)</f>
        <v>100</v>
      </c>
      <c r="S73" s="59">
        <f>ROUND(供應率!N11,1)</f>
        <v>0</v>
      </c>
      <c r="T73" s="59">
        <f>ROUND(供應率!O11,1)</f>
        <v>97.5</v>
      </c>
      <c r="U73" s="59">
        <f>ROUND(供應率!P11,1)</f>
        <v>96.4</v>
      </c>
      <c r="V73" s="59">
        <f>ROUND(供應率!Q11,1)</f>
        <v>98.7</v>
      </c>
      <c r="W73" s="59">
        <f>ROUND(供應率!R11,1)</f>
        <v>99.7</v>
      </c>
      <c r="X73" s="59">
        <f>ROUND(供應率!S11,1)</f>
        <v>99.4</v>
      </c>
      <c r="Y73" s="59">
        <f>ROUND(供應率!T11,1)</f>
        <v>98.7</v>
      </c>
      <c r="Z73" s="59">
        <f>ROUND(供應率!U11,1)</f>
        <v>0</v>
      </c>
      <c r="AA73" s="59">
        <f>ROUND(供應率!V11,1)</f>
        <v>93.8</v>
      </c>
      <c r="AB73" s="59">
        <f>ROUND(供應率!W11,1)</f>
        <v>93.9</v>
      </c>
      <c r="AC73" s="59">
        <f>ROUND(供應率!X11,1)</f>
        <v>100</v>
      </c>
      <c r="AD73" s="59">
        <f>ROUND(供應率!Y11,1)</f>
        <v>97.1</v>
      </c>
      <c r="AE73" s="59">
        <f>ROUND(供應率!Z11,1)</f>
        <v>98.9</v>
      </c>
      <c r="AF73" s="59">
        <f>ROUND(供應率!AA11,1)</f>
        <v>99.2</v>
      </c>
      <c r="AG73" s="59">
        <f>ROUND(供應率!AB11,1)</f>
        <v>0</v>
      </c>
      <c r="AH73" s="59">
        <f>ROUND(供應率!AC11,1)</f>
        <v>94.7</v>
      </c>
      <c r="AI73" s="59">
        <f>ROUND(供應率!AD11,1)</f>
        <v>99.2</v>
      </c>
      <c r="AJ73" s="59">
        <f>ROUND(供應率!AE11,1)</f>
        <v>98.9</v>
      </c>
      <c r="AK73" s="59">
        <f>ROUND(供應率!AF11,1)</f>
        <v>99.4</v>
      </c>
      <c r="AL73" s="59">
        <f>ROUND(供應率!AG11,1)</f>
        <v>0</v>
      </c>
      <c r="AM73" s="59">
        <f>ROUND(供應率!AH11,1)</f>
        <v>0</v>
      </c>
      <c r="AN73" s="217">
        <f>ROUND(供應率!AI11,1)</f>
        <v>98</v>
      </c>
      <c r="AO73" s="55"/>
    </row>
    <row r="74" spans="1:41" s="11" customFormat="1" ht="21.95" customHeight="1">
      <c r="A74" s="621" t="s">
        <v>23</v>
      </c>
      <c r="B74" s="622"/>
      <c r="C74" s="622"/>
      <c r="D74" s="313">
        <f>HLOOKUP(MONTH(日期!$C$2),去年月推移!$D$1:$O$200,131,TRUE)</f>
        <v>98.322626</v>
      </c>
      <c r="E74" s="49">
        <v>98.559727106188546</v>
      </c>
      <c r="F74" s="49" t="s">
        <v>45</v>
      </c>
      <c r="G74" s="563">
        <f>ROUND(當年月推移!P133,1)</f>
        <v>98.8</v>
      </c>
      <c r="H74" s="564"/>
      <c r="I74" s="47">
        <f>ROUND(供應率!D6,1)</f>
        <v>0</v>
      </c>
      <c r="J74" s="47">
        <f>ROUND(供應率!E6,1)</f>
        <v>99.4</v>
      </c>
      <c r="K74" s="47">
        <f>ROUND(供應率!F6,1)</f>
        <v>99.3</v>
      </c>
      <c r="L74" s="47">
        <f>ROUND(供應率!G6,1)</f>
        <v>0</v>
      </c>
      <c r="M74" s="47">
        <f>ROUND(供應率!H6,1)</f>
        <v>99.4</v>
      </c>
      <c r="N74" s="47">
        <f>ROUND(供應率!I6,1)</f>
        <v>99</v>
      </c>
      <c r="O74" s="47">
        <f>ROUND(供應率!J6,1)</f>
        <v>99.2</v>
      </c>
      <c r="P74" s="47">
        <f>ROUND(供應率!K6,1)</f>
        <v>99.3</v>
      </c>
      <c r="Q74" s="47">
        <f>ROUND(供應率!L6,1)</f>
        <v>99.4</v>
      </c>
      <c r="R74" s="47">
        <f>ROUND(供應率!M6,1)</f>
        <v>99.6</v>
      </c>
      <c r="S74" s="47">
        <f>ROUND(供應率!N6,1)</f>
        <v>0</v>
      </c>
      <c r="T74" s="47">
        <f>ROUND(供應率!O6,1)</f>
        <v>99.7</v>
      </c>
      <c r="U74" s="47">
        <f>ROUND(供應率!P6,1)</f>
        <v>99.1</v>
      </c>
      <c r="V74" s="47">
        <f>ROUND(供應率!Q6,1)</f>
        <v>99.1</v>
      </c>
      <c r="W74" s="47">
        <f>ROUND(供應率!R6,1)</f>
        <v>98.9</v>
      </c>
      <c r="X74" s="47">
        <f>ROUND(供應率!S6,1)</f>
        <v>99.2</v>
      </c>
      <c r="Y74" s="47">
        <f>ROUND(供應率!T6,1)</f>
        <v>99.6</v>
      </c>
      <c r="Z74" s="47">
        <f>ROUND(供應率!U6,1)</f>
        <v>0</v>
      </c>
      <c r="AA74" s="47">
        <f>ROUND(供應率!V6,1)</f>
        <v>98.8</v>
      </c>
      <c r="AB74" s="47">
        <f>ROUND(供應率!W6,1)</f>
        <v>98.9</v>
      </c>
      <c r="AC74" s="47">
        <f>ROUND(供應率!X6,1)</f>
        <v>98.9</v>
      </c>
      <c r="AD74" s="47">
        <f>ROUND(供應率!Y6,1)</f>
        <v>98.9</v>
      </c>
      <c r="AE74" s="47">
        <f>ROUND(供應率!Z6,1)</f>
        <v>98.4</v>
      </c>
      <c r="AF74" s="47">
        <f>ROUND(供應率!AA6,1)</f>
        <v>99.5</v>
      </c>
      <c r="AG74" s="47">
        <f>ROUND(供應率!AB6,1)</f>
        <v>0</v>
      </c>
      <c r="AH74" s="47">
        <f>ROUND(供應率!AC6,1)</f>
        <v>98.6</v>
      </c>
      <c r="AI74" s="47">
        <f>ROUND(供應率!AD6,1)</f>
        <v>98.9</v>
      </c>
      <c r="AJ74" s="47">
        <f>ROUND(供應率!AE6,1)</f>
        <v>99</v>
      </c>
      <c r="AK74" s="47">
        <f>ROUND(供應率!AF6,1)</f>
        <v>98.3</v>
      </c>
      <c r="AL74" s="47">
        <f>ROUND(供應率!AG6,1)</f>
        <v>0</v>
      </c>
      <c r="AM74" s="47">
        <f>ROUND(供應率!AH6,1)</f>
        <v>0</v>
      </c>
      <c r="AN74" s="214">
        <f>ROUND(供應率!AI6,1)</f>
        <v>99.1</v>
      </c>
      <c r="AO74" s="55"/>
    </row>
    <row r="75" spans="1:41" s="11" customFormat="1" ht="21.95" customHeight="1">
      <c r="A75" s="637" t="s">
        <v>24</v>
      </c>
      <c r="B75" s="638"/>
      <c r="C75" s="639"/>
      <c r="D75" s="310">
        <f>HLOOKUP(MONTH(日期!$C$2),去年月推移!$D$1:$O$200,132,TRUE)</f>
        <v>99.840763999999993</v>
      </c>
      <c r="E75" s="243"/>
      <c r="F75" s="243"/>
      <c r="G75" s="563">
        <f>ROUND(當年月推移!P134,1)</f>
        <v>98.8</v>
      </c>
      <c r="H75" s="564"/>
      <c r="I75" s="244">
        <f>ROUND(供應率!D12,1)</f>
        <v>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91.3</v>
      </c>
      <c r="P75" s="244">
        <f>ROUND(供應率!K12,1)</f>
        <v>100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0</v>
      </c>
      <c r="AM75" s="244">
        <f>ROUND(供應率!AH12,1)</f>
        <v>0</v>
      </c>
      <c r="AN75" s="246">
        <f>ROUND(供應率!AI12,1)</f>
        <v>99.6</v>
      </c>
      <c r="AO75" s="55"/>
    </row>
    <row r="76" spans="1:41" s="11" customFormat="1" ht="21.95" customHeight="1">
      <c r="A76" s="637" t="s">
        <v>25</v>
      </c>
      <c r="B76" s="638"/>
      <c r="C76" s="639"/>
      <c r="D76" s="310">
        <f>HLOOKUP(MONTH(日期!$C$2),去年月推移!$D$1:$O$200,133,TRUE)</f>
        <v>75.425790000000006</v>
      </c>
      <c r="E76" s="243"/>
      <c r="F76" s="243"/>
      <c r="G76" s="563">
        <f>ROUND(當年月推移!P135,1)</f>
        <v>95.9</v>
      </c>
      <c r="H76" s="564"/>
      <c r="I76" s="244">
        <f>ROUND(供應率!D13,1)</f>
        <v>0</v>
      </c>
      <c r="J76" s="244">
        <f>ROUND(供應率!E13,1)</f>
        <v>100</v>
      </c>
      <c r="K76" s="244">
        <f>ROUND(供應率!F13,1)</f>
        <v>97</v>
      </c>
      <c r="L76" s="244">
        <f>ROUND(供應率!G13,1)</f>
        <v>0</v>
      </c>
      <c r="M76" s="244">
        <f>ROUND(供應率!H13,1)</f>
        <v>97.2</v>
      </c>
      <c r="N76" s="244">
        <f>ROUND(供應率!I13,1)</f>
        <v>97</v>
      </c>
      <c r="O76" s="244">
        <f>ROUND(供應率!J13,1)</f>
        <v>100</v>
      </c>
      <c r="P76" s="244">
        <f>ROUND(供應率!K13,1)</f>
        <v>92.8</v>
      </c>
      <c r="Q76" s="244">
        <f>ROUND(供應率!L13,1)</f>
        <v>100</v>
      </c>
      <c r="R76" s="244">
        <f>ROUND(供應率!M13,1)</f>
        <v>100</v>
      </c>
      <c r="S76" s="244">
        <f>ROUND(供應率!N13,1)</f>
        <v>0</v>
      </c>
      <c r="T76" s="244">
        <f>ROUND(供應率!O13,1)</f>
        <v>94.2</v>
      </c>
      <c r="U76" s="244">
        <f>ROUND(供應率!P13,1)</f>
        <v>94.8</v>
      </c>
      <c r="V76" s="244">
        <f>ROUND(供應率!Q13,1)</f>
        <v>100</v>
      </c>
      <c r="W76" s="244">
        <f>ROUND(供應率!R13,1)</f>
        <v>100</v>
      </c>
      <c r="X76" s="244">
        <f>ROUND(供應率!S13,1)</f>
        <v>98</v>
      </c>
      <c r="Y76" s="244">
        <f>ROUND(供應率!T13,1)</f>
        <v>100</v>
      </c>
      <c r="Z76" s="244">
        <f>ROUND(供應率!U13,1)</f>
        <v>0</v>
      </c>
      <c r="AA76" s="244">
        <f>ROUND(供應率!V13,1)</f>
        <v>100</v>
      </c>
      <c r="AB76" s="244">
        <f>ROUND(供應率!W13,1)</f>
        <v>97.9</v>
      </c>
      <c r="AC76" s="244">
        <f>ROUND(供應率!X13,1)</f>
        <v>98</v>
      </c>
      <c r="AD76" s="244">
        <f>ROUND(供應率!Y13,1)</f>
        <v>100</v>
      </c>
      <c r="AE76" s="244">
        <f>ROUND(供應率!Z13,1)</f>
        <v>100</v>
      </c>
      <c r="AF76" s="244">
        <f>ROUND(供應率!AA13,1)</f>
        <v>100</v>
      </c>
      <c r="AG76" s="244">
        <f>ROUND(供應率!AB13,1)</f>
        <v>0</v>
      </c>
      <c r="AH76" s="244">
        <f>ROUND(供應率!AC13,1)</f>
        <v>100</v>
      </c>
      <c r="AI76" s="244">
        <f>ROUND(供應率!AD13,1)</f>
        <v>98.4</v>
      </c>
      <c r="AJ76" s="244">
        <f>ROUND(供應率!AE13,1)</f>
        <v>100</v>
      </c>
      <c r="AK76" s="244">
        <f>ROUND(供應率!AF13,1)</f>
        <v>97.9</v>
      </c>
      <c r="AL76" s="244">
        <f>ROUND(供應率!AG13,1)</f>
        <v>0</v>
      </c>
      <c r="AM76" s="244">
        <f>ROUND(供應率!AH13,1)</f>
        <v>0</v>
      </c>
      <c r="AN76" s="246">
        <f>ROUND(供應率!AI13,1)</f>
        <v>98.5</v>
      </c>
      <c r="AO76" s="55"/>
    </row>
    <row r="77" spans="1:41" s="11" customFormat="1" ht="21.95" customHeight="1">
      <c r="A77" s="637" t="s">
        <v>26</v>
      </c>
      <c r="B77" s="638"/>
      <c r="C77" s="639"/>
      <c r="D77" s="310">
        <f>HLOOKUP(MONTH(日期!$C$2),去年月推移!$D$1:$O$200,134,TRUE)</f>
        <v>98.6</v>
      </c>
      <c r="E77" s="243"/>
      <c r="F77" s="243"/>
      <c r="G77" s="563">
        <f>ROUND(當年月推移!P136,1)</f>
        <v>96.5</v>
      </c>
      <c r="H77" s="564"/>
      <c r="I77" s="244">
        <f>ROUND(供應率!D14,1)</f>
        <v>0</v>
      </c>
      <c r="J77" s="244">
        <f>ROUND(供應率!E14,1)</f>
        <v>99.1</v>
      </c>
      <c r="K77" s="244">
        <f>ROUND(供應率!F14,1)</f>
        <v>99.3</v>
      </c>
      <c r="L77" s="244">
        <f>ROUND(供應率!G14,1)</f>
        <v>0</v>
      </c>
      <c r="M77" s="244">
        <f>ROUND(供應率!H14,1)</f>
        <v>99.7</v>
      </c>
      <c r="N77" s="244">
        <f>ROUND(供應率!I14,1)</f>
        <v>96.8</v>
      </c>
      <c r="O77" s="244">
        <f>ROUND(供應率!J14,1)</f>
        <v>98.6</v>
      </c>
      <c r="P77" s="244">
        <f>ROUND(供應率!K14,1)</f>
        <v>97.6</v>
      </c>
      <c r="Q77" s="244">
        <f>ROUND(供應率!L14,1)</f>
        <v>97.6</v>
      </c>
      <c r="R77" s="244">
        <f>ROUND(供應率!M14,1)</f>
        <v>96.4</v>
      </c>
      <c r="S77" s="244">
        <f>ROUND(供應率!N14,1)</f>
        <v>0</v>
      </c>
      <c r="T77" s="244">
        <f>ROUND(供應率!O14,1)</f>
        <v>97.1</v>
      </c>
      <c r="U77" s="244">
        <f>ROUND(供應率!P14,1)</f>
        <v>98.1</v>
      </c>
      <c r="V77" s="244">
        <f>ROUND(供應率!Q14,1)</f>
        <v>99</v>
      </c>
      <c r="W77" s="244">
        <f>ROUND(供應率!R14,1)</f>
        <v>97.9</v>
      </c>
      <c r="X77" s="244">
        <f>ROUND(供應率!S14,1)</f>
        <v>98.8</v>
      </c>
      <c r="Y77" s="244">
        <f>ROUND(供應率!T14,1)</f>
        <v>97.4</v>
      </c>
      <c r="Z77" s="244">
        <f>ROUND(供應率!U14,1)</f>
        <v>0</v>
      </c>
      <c r="AA77" s="244">
        <f>ROUND(供應率!V14,1)</f>
        <v>96.3</v>
      </c>
      <c r="AB77" s="244">
        <f>ROUND(供應率!W14,1)</f>
        <v>98.4</v>
      </c>
      <c r="AC77" s="244">
        <f>ROUND(供應率!X14,1)</f>
        <v>99.3</v>
      </c>
      <c r="AD77" s="244">
        <f>ROUND(供應率!Y14,1)</f>
        <v>95.4</v>
      </c>
      <c r="AE77" s="244">
        <f>ROUND(供應率!Z14,1)</f>
        <v>97.4</v>
      </c>
      <c r="AF77" s="244">
        <f>ROUND(供應率!AA14,1)</f>
        <v>97.6</v>
      </c>
      <c r="AG77" s="244">
        <f>ROUND(供應率!AB14,1)</f>
        <v>0</v>
      </c>
      <c r="AH77" s="244">
        <f>ROUND(供應率!AC14,1)</f>
        <v>95</v>
      </c>
      <c r="AI77" s="244">
        <f>ROUND(供應率!AD14,1)</f>
        <v>98.1</v>
      </c>
      <c r="AJ77" s="244">
        <f>ROUND(供應率!AE14,1)</f>
        <v>98.6</v>
      </c>
      <c r="AK77" s="244">
        <f>ROUND(供應率!AF14,1)</f>
        <v>98.5</v>
      </c>
      <c r="AL77" s="244">
        <f>ROUND(供應率!AG14,1)</f>
        <v>0</v>
      </c>
      <c r="AM77" s="244">
        <f>ROUND(供應率!AH14,1)</f>
        <v>0</v>
      </c>
      <c r="AN77" s="246">
        <f>ROUND(供應率!AI14,1)</f>
        <v>97.8</v>
      </c>
      <c r="AO77" s="55"/>
    </row>
    <row r="78" spans="1:41" s="11" customFormat="1" ht="21.95" customHeight="1">
      <c r="A78" s="637" t="s">
        <v>27</v>
      </c>
      <c r="B78" s="638"/>
      <c r="C78" s="639"/>
      <c r="D78" s="310">
        <f>HLOOKUP(MONTH(日期!$C$2),去年月推移!$D$1:$O$200,135,TRUE)</f>
        <v>88.59581</v>
      </c>
      <c r="E78" s="243"/>
      <c r="F78" s="243"/>
      <c r="G78" s="563">
        <f>ROUND(當年月推移!P137,1)</f>
        <v>90.5</v>
      </c>
      <c r="H78" s="564"/>
      <c r="I78" s="244">
        <f>ROUND(供應率!D15,1)</f>
        <v>0</v>
      </c>
      <c r="J78" s="244">
        <f>ROUND(供應率!E15,1)</f>
        <v>97</v>
      </c>
      <c r="K78" s="244">
        <f>ROUND(供應率!F15,1)</f>
        <v>91.8</v>
      </c>
      <c r="L78" s="244">
        <f>ROUND(供應率!G15,1)</f>
        <v>0</v>
      </c>
      <c r="M78" s="244">
        <f>ROUND(供應率!H15,1)</f>
        <v>95.7</v>
      </c>
      <c r="N78" s="244">
        <f>ROUND(供應率!I15,1)</f>
        <v>94.9</v>
      </c>
      <c r="O78" s="244">
        <f>ROUND(供應率!J15,1)</f>
        <v>100</v>
      </c>
      <c r="P78" s="244">
        <f>ROUND(供應率!K15,1)</f>
        <v>96.9</v>
      </c>
      <c r="Q78" s="244">
        <f>ROUND(供應率!L15,1)</f>
        <v>98.4</v>
      </c>
      <c r="R78" s="244">
        <f>ROUND(供應率!M15,1)</f>
        <v>98.2</v>
      </c>
      <c r="S78" s="244">
        <f>ROUND(供應率!N15,1)</f>
        <v>0</v>
      </c>
      <c r="T78" s="244">
        <f>ROUND(供應率!O15,1)</f>
        <v>98.2</v>
      </c>
      <c r="U78" s="244">
        <f>ROUND(供應率!P15,1)</f>
        <v>96.7</v>
      </c>
      <c r="V78" s="244">
        <f>ROUND(供應率!Q15,1)</f>
        <v>98.3</v>
      </c>
      <c r="W78" s="244">
        <f>ROUND(供應率!R15,1)</f>
        <v>93.6</v>
      </c>
      <c r="X78" s="244">
        <f>ROUND(供應率!S15,1)</f>
        <v>98</v>
      </c>
      <c r="Y78" s="244">
        <f>ROUND(供應率!T15,1)</f>
        <v>94.9</v>
      </c>
      <c r="Z78" s="244">
        <f>ROUND(供應率!U15,1)</f>
        <v>0</v>
      </c>
      <c r="AA78" s="244">
        <f>ROUND(供應率!V15,1)</f>
        <v>89</v>
      </c>
      <c r="AB78" s="244">
        <f>ROUND(供應率!W15,1)</f>
        <v>89.3</v>
      </c>
      <c r="AC78" s="244">
        <f>ROUND(供應率!X15,1)</f>
        <v>90.5</v>
      </c>
      <c r="AD78" s="244">
        <f>ROUND(供應率!Y15,1)</f>
        <v>95.3</v>
      </c>
      <c r="AE78" s="244">
        <f>ROUND(供應率!Z15,1)</f>
        <v>100</v>
      </c>
      <c r="AF78" s="244">
        <f>ROUND(供應率!AA15,1)</f>
        <v>100</v>
      </c>
      <c r="AG78" s="244">
        <f>ROUND(供應率!AB15,1)</f>
        <v>0</v>
      </c>
      <c r="AH78" s="244">
        <f>ROUND(供應率!AC15,1)</f>
        <v>93.3</v>
      </c>
      <c r="AI78" s="244">
        <f>ROUND(供應率!AD15,1)</f>
        <v>93.9</v>
      </c>
      <c r="AJ78" s="244">
        <f>ROUND(供應率!AE15,1)</f>
        <v>93.5</v>
      </c>
      <c r="AK78" s="244">
        <f>ROUND(供應率!AF15,1)</f>
        <v>100</v>
      </c>
      <c r="AL78" s="244">
        <f>ROUND(供應率!AG15,1)</f>
        <v>0</v>
      </c>
      <c r="AM78" s="244">
        <f>ROUND(供應率!AH15,1)</f>
        <v>0</v>
      </c>
      <c r="AN78" s="246">
        <f>ROUND(供應率!AI15,1)</f>
        <v>95.7</v>
      </c>
      <c r="AO78" s="55"/>
    </row>
    <row r="79" spans="1:41" s="11" customFormat="1" ht="21.95" customHeight="1" thickBot="1">
      <c r="A79" s="632" t="s">
        <v>28</v>
      </c>
      <c r="B79" s="633"/>
      <c r="C79" s="634"/>
      <c r="D79" s="320">
        <f>HLOOKUP(MONTH(日期!$C$2),去年月推移!$D$1:$O$200,136,TRUE)</f>
        <v>0</v>
      </c>
      <c r="E79" s="243"/>
      <c r="F79" s="243"/>
      <c r="G79" s="642">
        <f>ROUND(當年月推移!P138,1)</f>
        <v>0</v>
      </c>
      <c r="H79" s="643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55" t="s">
        <v>31</v>
      </c>
      <c r="B80" s="656"/>
      <c r="C80" s="656"/>
      <c r="D80" s="313">
        <f>HLOOKUP(MONTH(日期!$C$2),去年月推移!$D$1:$O$200,137,TRUE)</f>
        <v>0</v>
      </c>
      <c r="E80" s="272"/>
      <c r="F80" s="272"/>
      <c r="G80" s="563">
        <f>ROUND(當年月推移!P139,1)</f>
        <v>0</v>
      </c>
      <c r="H80" s="564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57" t="s">
        <v>32</v>
      </c>
      <c r="B81" s="658"/>
      <c r="C81" s="658"/>
      <c r="D81" s="310">
        <f>HLOOKUP(MONTH(日期!$C$2),去年月推移!$D$1:$O$200,138,TRUE)</f>
        <v>0</v>
      </c>
      <c r="E81" s="49"/>
      <c r="F81" s="49"/>
      <c r="G81" s="563">
        <f>ROUND(當年月推移!P140,1)</f>
        <v>0</v>
      </c>
      <c r="H81" s="564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57" t="s">
        <v>33</v>
      </c>
      <c r="B82" s="658"/>
      <c r="C82" s="658"/>
      <c r="D82" s="310">
        <f>HLOOKUP(MONTH(日期!$C$2),去年月推移!$D$1:$O$200,139,TRUE)</f>
        <v>0</v>
      </c>
      <c r="E82" s="49"/>
      <c r="F82" s="49"/>
      <c r="G82" s="563">
        <f>ROUND(當年月推移!P141,1)</f>
        <v>0</v>
      </c>
      <c r="H82" s="564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57" t="s">
        <v>34</v>
      </c>
      <c r="B83" s="658"/>
      <c r="C83" s="658"/>
      <c r="D83" s="310">
        <f>HLOOKUP(MONTH(日期!$C$2),去年月推移!$D$1:$O$200,140,TRUE)</f>
        <v>0</v>
      </c>
      <c r="E83" s="49"/>
      <c r="F83" s="49"/>
      <c r="G83" s="563">
        <f>ROUND(當年月推移!P142,1)</f>
        <v>0</v>
      </c>
      <c r="H83" s="564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44" t="s">
        <v>35</v>
      </c>
      <c r="B84" s="645"/>
      <c r="C84" s="645"/>
      <c r="D84" s="312">
        <f>HLOOKUP(MONTH(日期!$C$2),去年月推移!$D$1:$O$200,141,TRUE)</f>
        <v>0</v>
      </c>
      <c r="E84" s="58"/>
      <c r="F84" s="58"/>
      <c r="G84" s="642">
        <f>ROUND(當年月推移!P143,1)</f>
        <v>0</v>
      </c>
      <c r="H84" s="643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606" t="s">
        <v>1</v>
      </c>
      <c r="B87" s="587"/>
      <c r="C87" s="587"/>
      <c r="D87" s="608" t="str">
        <f>D3</f>
        <v>2024/5</v>
      </c>
      <c r="E87" s="608" t="str">
        <f>E3</f>
        <v>2025/5</v>
      </c>
      <c r="F87" s="335">
        <f>YEAR(日期!C2)-1</f>
        <v>2024</v>
      </c>
      <c r="G87" s="635">
        <f>YEAR(日期!C2)</f>
        <v>2025</v>
      </c>
      <c r="H87" s="636"/>
      <c r="I87" s="527" t="str">
        <f>日期!C2</f>
        <v>2025/05/01</v>
      </c>
      <c r="J87" s="527" t="str">
        <f>日期!D2</f>
        <v>2025/05/02</v>
      </c>
      <c r="K87" s="527" t="str">
        <f>日期!E2</f>
        <v>2025/05/03</v>
      </c>
      <c r="L87" s="527" t="str">
        <f>日期!F2</f>
        <v>2025/05/04</v>
      </c>
      <c r="M87" s="527" t="str">
        <f>日期!G2</f>
        <v>2025/05/05</v>
      </c>
      <c r="N87" s="527" t="str">
        <f>日期!H2</f>
        <v>2025/05/06</v>
      </c>
      <c r="O87" s="527" t="str">
        <f>日期!I2</f>
        <v>2025/05/07</v>
      </c>
      <c r="P87" s="527" t="str">
        <f>日期!J2</f>
        <v>2025/05/08</v>
      </c>
      <c r="Q87" s="527" t="str">
        <f>日期!K2</f>
        <v>2025/05/09</v>
      </c>
      <c r="R87" s="527" t="str">
        <f>日期!L2</f>
        <v>2025/05/10</v>
      </c>
      <c r="S87" s="527" t="str">
        <f>日期!M2</f>
        <v>2025/05/11</v>
      </c>
      <c r="T87" s="527" t="str">
        <f>日期!N2</f>
        <v>2025/05/12</v>
      </c>
      <c r="U87" s="527" t="str">
        <f>日期!O2</f>
        <v>2025/05/13</v>
      </c>
      <c r="V87" s="527" t="str">
        <f>日期!P2</f>
        <v>2025/05/14</v>
      </c>
      <c r="W87" s="527" t="str">
        <f>日期!Q2</f>
        <v>2025/05/15</v>
      </c>
      <c r="X87" s="527" t="str">
        <f>日期!R2</f>
        <v>2025/05/16</v>
      </c>
      <c r="Y87" s="527" t="str">
        <f>日期!S2</f>
        <v>2025/05/17</v>
      </c>
      <c r="Z87" s="527" t="str">
        <f>日期!T2</f>
        <v>2025/05/18</v>
      </c>
      <c r="AA87" s="527" t="str">
        <f>日期!U2</f>
        <v>2025/05/19</v>
      </c>
      <c r="AB87" s="527" t="str">
        <f>日期!V2</f>
        <v>2025/05/20</v>
      </c>
      <c r="AC87" s="527" t="str">
        <f>日期!W2</f>
        <v>2025/05/21</v>
      </c>
      <c r="AD87" s="527" t="str">
        <f>日期!X2</f>
        <v>2025/05/22</v>
      </c>
      <c r="AE87" s="527" t="str">
        <f>日期!Y2</f>
        <v>2025/05/23</v>
      </c>
      <c r="AF87" s="527" t="str">
        <f>日期!Z2</f>
        <v>2025/05/24</v>
      </c>
      <c r="AG87" s="527" t="str">
        <f>日期!AA2</f>
        <v>2025/05/25</v>
      </c>
      <c r="AH87" s="527" t="str">
        <f>日期!AB2</f>
        <v>2025/05/26</v>
      </c>
      <c r="AI87" s="527" t="str">
        <f>日期!AC2</f>
        <v>2025/05/27</v>
      </c>
      <c r="AJ87" s="527" t="str">
        <f>日期!AD2</f>
        <v>2025/05/28</v>
      </c>
      <c r="AK87" s="527" t="str">
        <f>日期!AE2</f>
        <v>2025/05/29</v>
      </c>
      <c r="AL87" s="527" t="str">
        <f>日期!AF2</f>
        <v>2025/05/30</v>
      </c>
      <c r="AM87" s="527" t="str">
        <f>日期!AG2</f>
        <v>2025/05/31</v>
      </c>
      <c r="AN87" s="604" t="s">
        <v>42</v>
      </c>
    </row>
    <row r="88" spans="1:41" s="35" customFormat="1" ht="24" customHeight="1" thickBot="1">
      <c r="A88" s="650"/>
      <c r="B88" s="651"/>
      <c r="C88" s="651"/>
      <c r="D88" s="609"/>
      <c r="E88" s="652"/>
      <c r="F88" s="334" t="s">
        <v>58</v>
      </c>
      <c r="G88" s="653" t="s">
        <v>59</v>
      </c>
      <c r="H88" s="654"/>
      <c r="I88" s="12" t="str">
        <f>日期!C3</f>
        <v>Thu</v>
      </c>
      <c r="J88" s="12" t="str">
        <f>日期!D3</f>
        <v>Fri</v>
      </c>
      <c r="K88" s="12" t="str">
        <f>日期!E3</f>
        <v>Sat</v>
      </c>
      <c r="L88" s="12" t="str">
        <f>日期!F3</f>
        <v>Sun</v>
      </c>
      <c r="M88" s="12" t="str">
        <f>日期!G3</f>
        <v>Mon</v>
      </c>
      <c r="N88" s="12" t="str">
        <f>日期!H3</f>
        <v>Tue</v>
      </c>
      <c r="O88" s="12" t="str">
        <f>日期!I3</f>
        <v>Wed</v>
      </c>
      <c r="P88" s="12" t="str">
        <f>日期!J3</f>
        <v>Thu</v>
      </c>
      <c r="Q88" s="12" t="str">
        <f>日期!K3</f>
        <v>Fri</v>
      </c>
      <c r="R88" s="12" t="str">
        <f>日期!L3</f>
        <v>Sat</v>
      </c>
      <c r="S88" s="12" t="str">
        <f>日期!M3</f>
        <v>Sun</v>
      </c>
      <c r="T88" s="12" t="str">
        <f>日期!N3</f>
        <v>Mon</v>
      </c>
      <c r="U88" s="12" t="str">
        <f>日期!O3</f>
        <v>Tue</v>
      </c>
      <c r="V88" s="12" t="str">
        <f>日期!P3</f>
        <v>Wed</v>
      </c>
      <c r="W88" s="12" t="str">
        <f>日期!Q3</f>
        <v>Thu</v>
      </c>
      <c r="X88" s="12" t="str">
        <f>日期!R3</f>
        <v>Fri</v>
      </c>
      <c r="Y88" s="12" t="str">
        <f>日期!S3</f>
        <v>Sat</v>
      </c>
      <c r="Z88" s="12" t="str">
        <f>日期!T3</f>
        <v>Sun</v>
      </c>
      <c r="AA88" s="12" t="str">
        <f>日期!U3</f>
        <v>Mon</v>
      </c>
      <c r="AB88" s="12" t="str">
        <f>日期!V3</f>
        <v>Tue</v>
      </c>
      <c r="AC88" s="12" t="str">
        <f>日期!W3</f>
        <v>Wed</v>
      </c>
      <c r="AD88" s="12" t="str">
        <f>日期!X3</f>
        <v>Thu</v>
      </c>
      <c r="AE88" s="12" t="str">
        <f>日期!Y3</f>
        <v>Fri</v>
      </c>
      <c r="AF88" s="12" t="str">
        <f>日期!Z3</f>
        <v>Sat</v>
      </c>
      <c r="AG88" s="12" t="str">
        <f>日期!AA3</f>
        <v>Sun</v>
      </c>
      <c r="AH88" s="12" t="str">
        <f>日期!AB3</f>
        <v>Mon</v>
      </c>
      <c r="AI88" s="12" t="str">
        <f>日期!AC3</f>
        <v>Tue</v>
      </c>
      <c r="AJ88" s="12" t="str">
        <f>日期!AD3</f>
        <v>Wed</v>
      </c>
      <c r="AK88" s="12" t="str">
        <f>日期!AE3</f>
        <v>Thu</v>
      </c>
      <c r="AL88" s="12" t="str">
        <f>日期!AF3</f>
        <v>Fri</v>
      </c>
      <c r="AM88" s="12" t="str">
        <f>日期!AG3</f>
        <v>Sat</v>
      </c>
      <c r="AN88" s="605"/>
    </row>
    <row r="89" spans="1:41" s="35" customFormat="1" ht="21.95" customHeight="1">
      <c r="A89" s="646" t="s">
        <v>11</v>
      </c>
      <c r="B89" s="647"/>
      <c r="C89" s="647"/>
      <c r="D89" s="314">
        <f>HLOOKUP(MONTH(日期!$C$2),去年月推移!$D$1:$O$200,145,TRUE)</f>
        <v>3466</v>
      </c>
      <c r="E89" s="62" t="s">
        <v>45</v>
      </c>
      <c r="F89" s="62" t="s">
        <v>45</v>
      </c>
      <c r="G89" s="648">
        <f>當年月推移!P147</f>
        <v>4384</v>
      </c>
      <c r="H89" s="649"/>
      <c r="I89" s="63">
        <f>VALUE(點數BO!C2)</f>
        <v>0</v>
      </c>
      <c r="J89" s="63">
        <f>VALUE(點數BO!D2)</f>
        <v>223</v>
      </c>
      <c r="K89" s="63">
        <f>VALUE(點數BO!E2)</f>
        <v>112</v>
      </c>
      <c r="L89" s="63">
        <f>VALUE(點數BO!F2)</f>
        <v>0</v>
      </c>
      <c r="M89" s="63">
        <f>VALUE(點數BO!G2)</f>
        <v>151</v>
      </c>
      <c r="N89" s="63">
        <f>VALUE(點數BO!H2)</f>
        <v>186</v>
      </c>
      <c r="O89" s="63">
        <f>VALUE(點數BO!I2)</f>
        <v>0</v>
      </c>
      <c r="P89" s="63">
        <f>VALUE(點數BO!J2)</f>
        <v>157</v>
      </c>
      <c r="Q89" s="63">
        <f>VALUE(點數BO!K2)</f>
        <v>170</v>
      </c>
      <c r="R89" s="63">
        <f>VALUE(點數BO!L2)</f>
        <v>93</v>
      </c>
      <c r="S89" s="63">
        <f>VALUE(點數BO!M2)</f>
        <v>0</v>
      </c>
      <c r="T89" s="63">
        <f>VALUE(點數BO!N2)</f>
        <v>195</v>
      </c>
      <c r="U89" s="63">
        <f>VALUE(點數BO!O2)</f>
        <v>175</v>
      </c>
      <c r="V89" s="63">
        <f>VALUE(點數BO!P2)</f>
        <v>126</v>
      </c>
      <c r="W89" s="63">
        <f>VALUE(點數BO!Q2)</f>
        <v>182</v>
      </c>
      <c r="X89" s="63">
        <f>VALUE(點數BO!R2)</f>
        <v>137</v>
      </c>
      <c r="Y89" s="63">
        <f>VALUE(點數BO!S2)</f>
        <v>118</v>
      </c>
      <c r="Z89" s="63">
        <f>VALUE(點數BO!T2)</f>
        <v>0</v>
      </c>
      <c r="AA89" s="63">
        <f>VALUE(點數BO!U2)</f>
        <v>222</v>
      </c>
      <c r="AB89" s="63">
        <f>VALUE(點數BO!V2)</f>
        <v>196</v>
      </c>
      <c r="AC89" s="63">
        <f>VALUE(點數BO!W2)</f>
        <v>258</v>
      </c>
      <c r="AD89" s="63">
        <f>VALUE(點數BO!X2)</f>
        <v>220</v>
      </c>
      <c r="AE89" s="63">
        <f>VALUE(點數BO!Y2)</f>
        <v>196</v>
      </c>
      <c r="AF89" s="63">
        <f>VALUE(點數BO!Z2)</f>
        <v>162</v>
      </c>
      <c r="AG89" s="63">
        <f>VALUE(點數BO!AA2)</f>
        <v>0</v>
      </c>
      <c r="AH89" s="63">
        <f>VALUE(點數BO!AB2)</f>
        <v>248</v>
      </c>
      <c r="AI89" s="63">
        <f>VALUE(點數BO!AC2)</f>
        <v>271</v>
      </c>
      <c r="AJ89" s="63">
        <f>VALUE(點數BO!AD2)</f>
        <v>242</v>
      </c>
      <c r="AK89" s="63">
        <f>VALUE(點數BO!AE2)</f>
        <v>197</v>
      </c>
      <c r="AL89" s="63">
        <f>VALUE(點數BO!AF2)</f>
        <v>0</v>
      </c>
      <c r="AM89" s="63">
        <f>VALUE(點數BO!AG2)</f>
        <v>0</v>
      </c>
      <c r="AN89" s="516">
        <f>VALUE(點數BO!AH2)</f>
        <v>4413</v>
      </c>
    </row>
    <row r="90" spans="1:41" s="35" customFormat="1" ht="21.95" customHeight="1">
      <c r="A90" s="621" t="s">
        <v>12</v>
      </c>
      <c r="B90" s="622"/>
      <c r="C90" s="622"/>
      <c r="D90" s="314">
        <f>HLOOKUP(MONTH(日期!$C$2),去年月推移!$D$1:$O$200,146,TRUE)</f>
        <v>17</v>
      </c>
      <c r="E90" s="64" t="s">
        <v>45</v>
      </c>
      <c r="F90" s="64" t="s">
        <v>45</v>
      </c>
      <c r="G90" s="630">
        <f>當年月推移!P148</f>
        <v>29</v>
      </c>
      <c r="H90" s="631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1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7">
        <f>VALUE(點數BO!AH4)</f>
        <v>1</v>
      </c>
    </row>
    <row r="91" spans="1:41" s="35" customFormat="1" ht="21.95" customHeight="1">
      <c r="A91" s="621" t="s">
        <v>13</v>
      </c>
      <c r="B91" s="622"/>
      <c r="C91" s="622"/>
      <c r="D91" s="314">
        <f>HLOOKUP(MONTH(日期!$C$2),去年月推移!$D$1:$O$200,147,TRUE)</f>
        <v>145</v>
      </c>
      <c r="E91" s="64" t="s">
        <v>45</v>
      </c>
      <c r="F91" s="64" t="s">
        <v>45</v>
      </c>
      <c r="G91" s="630">
        <f>當年月推移!P149</f>
        <v>30</v>
      </c>
      <c r="H91" s="631"/>
      <c r="I91" s="63">
        <f>VALUE(點數BO!C5)</f>
        <v>0</v>
      </c>
      <c r="J91" s="63">
        <f>VALUE(點數BO!D5)</f>
        <v>0</v>
      </c>
      <c r="K91" s="63">
        <f>VALUE(點數BO!E5)</f>
        <v>0</v>
      </c>
      <c r="L91" s="63">
        <f>VALUE(點數BO!F5)</f>
        <v>0</v>
      </c>
      <c r="M91" s="63">
        <f>VALUE(點數BO!G5)</f>
        <v>1</v>
      </c>
      <c r="N91" s="63">
        <f>VALUE(點數BO!H5)</f>
        <v>5</v>
      </c>
      <c r="O91" s="63">
        <f>VALUE(點數BO!I5)</f>
        <v>0</v>
      </c>
      <c r="P91" s="63">
        <f>VALUE(點數BO!J5)</f>
        <v>6</v>
      </c>
      <c r="Q91" s="63">
        <f>VALUE(點數BO!K5)</f>
        <v>7</v>
      </c>
      <c r="R91" s="63">
        <f>VALUE(點數BO!L5)</f>
        <v>6</v>
      </c>
      <c r="S91" s="63">
        <f>VALUE(點數BO!M5)</f>
        <v>0</v>
      </c>
      <c r="T91" s="63">
        <f>VALUE(點數BO!N5)</f>
        <v>5</v>
      </c>
      <c r="U91" s="63">
        <f>VALUE(點數BO!O5)</f>
        <v>2</v>
      </c>
      <c r="V91" s="63">
        <f>VALUE(點數BO!P5)</f>
        <v>7</v>
      </c>
      <c r="W91" s="63">
        <f>VALUE(點數BO!Q5)</f>
        <v>3</v>
      </c>
      <c r="X91" s="63">
        <f>VALUE(點數BO!R5)</f>
        <v>6</v>
      </c>
      <c r="Y91" s="63">
        <f>VALUE(點數BO!S5)</f>
        <v>3</v>
      </c>
      <c r="Z91" s="63">
        <f>VALUE(點數BO!T5)</f>
        <v>0</v>
      </c>
      <c r="AA91" s="63">
        <f>VALUE(點數BO!U5)</f>
        <v>4</v>
      </c>
      <c r="AB91" s="63">
        <f>VALUE(點數BO!V5)</f>
        <v>5</v>
      </c>
      <c r="AC91" s="63">
        <f>VALUE(點數BO!W5)</f>
        <v>2</v>
      </c>
      <c r="AD91" s="63">
        <f>VALUE(點數BO!X5)</f>
        <v>9</v>
      </c>
      <c r="AE91" s="63">
        <f>VALUE(點數BO!Y5)</f>
        <v>7</v>
      </c>
      <c r="AF91" s="63">
        <f>VALUE(點數BO!Z5)</f>
        <v>3</v>
      </c>
      <c r="AG91" s="63">
        <f>VALUE(點數BO!AA5)</f>
        <v>0</v>
      </c>
      <c r="AH91" s="63">
        <f>VALUE(點數BO!AB5)</f>
        <v>7</v>
      </c>
      <c r="AI91" s="63">
        <f>VALUE(點數BO!AC5)</f>
        <v>4</v>
      </c>
      <c r="AJ91" s="63">
        <f>VALUE(點數BO!AD5)</f>
        <v>1</v>
      </c>
      <c r="AK91" s="63">
        <f>VALUE(點數BO!AE5)</f>
        <v>2</v>
      </c>
      <c r="AL91" s="63">
        <f>VALUE(點數BO!AF5)</f>
        <v>0</v>
      </c>
      <c r="AM91" s="63">
        <f>VALUE(點數BO!AG5)</f>
        <v>0</v>
      </c>
      <c r="AN91" s="517">
        <f>VALUE(點數BO!AH5)</f>
        <v>102</v>
      </c>
    </row>
    <row r="92" spans="1:41" s="35" customFormat="1" ht="21.95" customHeight="1">
      <c r="A92" s="621" t="s">
        <v>14</v>
      </c>
      <c r="B92" s="622"/>
      <c r="C92" s="622"/>
      <c r="D92" s="314">
        <f>HLOOKUP(MONTH(日期!$C$2),去年月推移!$D$1:$O$200,148,TRUE)</f>
        <v>230</v>
      </c>
      <c r="E92" s="64" t="s">
        <v>45</v>
      </c>
      <c r="F92" s="64" t="s">
        <v>45</v>
      </c>
      <c r="G92" s="630">
        <f>當年月推移!P150</f>
        <v>257</v>
      </c>
      <c r="H92" s="631"/>
      <c r="I92" s="63">
        <f>VALUE(點數BO!C6)</f>
        <v>0</v>
      </c>
      <c r="J92" s="63">
        <f>VALUE(點數BO!D6)</f>
        <v>12</v>
      </c>
      <c r="K92" s="63">
        <f>VALUE(點數BO!E6)</f>
        <v>9</v>
      </c>
      <c r="L92" s="63">
        <f>VALUE(點數BO!F6)</f>
        <v>0</v>
      </c>
      <c r="M92" s="63">
        <f>VALUE(點數BO!G6)</f>
        <v>41</v>
      </c>
      <c r="N92" s="63">
        <f>VALUE(點數BO!H6)</f>
        <v>25</v>
      </c>
      <c r="O92" s="63">
        <f>VALUE(點數BO!I6)</f>
        <v>0</v>
      </c>
      <c r="P92" s="63">
        <f>VALUE(點數BO!J6)</f>
        <v>5</v>
      </c>
      <c r="Q92" s="63">
        <f>VALUE(點數BO!K6)</f>
        <v>3</v>
      </c>
      <c r="R92" s="63">
        <f>VALUE(點數BO!L6)</f>
        <v>1</v>
      </c>
      <c r="S92" s="63">
        <f>VALUE(點數BO!M6)</f>
        <v>0</v>
      </c>
      <c r="T92" s="63">
        <f>VALUE(點數BO!N6)</f>
        <v>2</v>
      </c>
      <c r="U92" s="63">
        <f>VALUE(點數BO!O6)</f>
        <v>2</v>
      </c>
      <c r="V92" s="63">
        <f>VALUE(點數BO!P6)</f>
        <v>2</v>
      </c>
      <c r="W92" s="63">
        <f>VALUE(點數BO!Q6)</f>
        <v>14</v>
      </c>
      <c r="X92" s="63">
        <f>VALUE(點數BO!R6)</f>
        <v>3</v>
      </c>
      <c r="Y92" s="63">
        <f>VALUE(點數BO!S6)</f>
        <v>1</v>
      </c>
      <c r="Z92" s="63">
        <f>VALUE(點數BO!T6)</f>
        <v>0</v>
      </c>
      <c r="AA92" s="63">
        <f>VALUE(點數BO!U6)</f>
        <v>4</v>
      </c>
      <c r="AB92" s="63">
        <f>VALUE(點數BO!V6)</f>
        <v>0</v>
      </c>
      <c r="AC92" s="63">
        <f>VALUE(點數BO!W6)</f>
        <v>2</v>
      </c>
      <c r="AD92" s="63">
        <f>VALUE(點數BO!X6)</f>
        <v>3</v>
      </c>
      <c r="AE92" s="63">
        <f>VALUE(點數BO!Y6)</f>
        <v>2</v>
      </c>
      <c r="AF92" s="63">
        <f>VALUE(點數BO!Z6)</f>
        <v>4</v>
      </c>
      <c r="AG92" s="63">
        <f>VALUE(點數BO!AA6)</f>
        <v>0</v>
      </c>
      <c r="AH92" s="63">
        <f>VALUE(點數BO!AB6)</f>
        <v>7</v>
      </c>
      <c r="AI92" s="63">
        <f>VALUE(點數BO!AC6)</f>
        <v>3</v>
      </c>
      <c r="AJ92" s="63">
        <f>VALUE(點數BO!AD6)</f>
        <v>2</v>
      </c>
      <c r="AK92" s="63">
        <f>VALUE(點數BO!AE6)</f>
        <v>2</v>
      </c>
      <c r="AL92" s="63">
        <f>VALUE(點數BO!AF6)</f>
        <v>0</v>
      </c>
      <c r="AM92" s="63">
        <f>VALUE(點數BO!AG6)</f>
        <v>0</v>
      </c>
      <c r="AN92" s="517">
        <f>VALUE(點數BO!AH6)</f>
        <v>157</v>
      </c>
    </row>
    <row r="93" spans="1:41" s="35" customFormat="1" ht="21.95" customHeight="1">
      <c r="A93" s="621" t="s">
        <v>56</v>
      </c>
      <c r="B93" s="622"/>
      <c r="C93" s="622"/>
      <c r="D93" s="314">
        <f>HLOOKUP(MONTH(日期!$C$2),去年月推移!$D$1:$O$200,149,TRUE)</f>
        <v>758</v>
      </c>
      <c r="E93" s="64" t="s">
        <v>45</v>
      </c>
      <c r="F93" s="64" t="s">
        <v>45</v>
      </c>
      <c r="G93" s="630">
        <f>當年月推移!P151</f>
        <v>554</v>
      </c>
      <c r="H93" s="631"/>
      <c r="I93" s="63">
        <f>VALUE(點數BO!C20)</f>
        <v>0</v>
      </c>
      <c r="J93" s="63">
        <f>VALUE(點數BO!D20)</f>
        <v>26</v>
      </c>
      <c r="K93" s="63">
        <f>VALUE(點數BO!E20)</f>
        <v>14</v>
      </c>
      <c r="L93" s="63">
        <f>VALUE(點數BO!F20)</f>
        <v>0</v>
      </c>
      <c r="M93" s="63">
        <f>VALUE(點數BO!G20)</f>
        <v>16</v>
      </c>
      <c r="N93" s="63">
        <f>VALUE(點數BO!H20)</f>
        <v>21</v>
      </c>
      <c r="O93" s="63">
        <f>VALUE(點數BO!I20)</f>
        <v>0</v>
      </c>
      <c r="P93" s="63">
        <f>VALUE(點數BO!J20)</f>
        <v>11</v>
      </c>
      <c r="Q93" s="63">
        <f>VALUE(點數BO!K20)</f>
        <v>39</v>
      </c>
      <c r="R93" s="63">
        <f>VALUE(點數BO!L20)</f>
        <v>14</v>
      </c>
      <c r="S93" s="63">
        <f>VALUE(點數BO!M20)</f>
        <v>0</v>
      </c>
      <c r="T93" s="63">
        <f>VALUE(點數BO!N20)</f>
        <v>18</v>
      </c>
      <c r="U93" s="63">
        <f>VALUE(點數BO!O20)</f>
        <v>31</v>
      </c>
      <c r="V93" s="63">
        <f>VALUE(點數BO!P20)</f>
        <v>27</v>
      </c>
      <c r="W93" s="63">
        <f>VALUE(點數BO!Q20)</f>
        <v>22</v>
      </c>
      <c r="X93" s="63">
        <f>VALUE(點數BO!R20)</f>
        <v>18</v>
      </c>
      <c r="Y93" s="63">
        <f>VALUE(點數BO!S20)</f>
        <v>26</v>
      </c>
      <c r="Z93" s="63">
        <f>VALUE(點數BO!T20)</f>
        <v>0</v>
      </c>
      <c r="AA93" s="63">
        <f>VALUE(點數BO!U20)</f>
        <v>23</v>
      </c>
      <c r="AB93" s="63">
        <f>VALUE(點數BO!V20)</f>
        <v>21</v>
      </c>
      <c r="AC93" s="63">
        <f>VALUE(點數BO!W20)</f>
        <v>23</v>
      </c>
      <c r="AD93" s="63">
        <f>VALUE(點數BO!X20)</f>
        <v>26</v>
      </c>
      <c r="AE93" s="63">
        <f>VALUE(點數BO!Y20)</f>
        <v>81</v>
      </c>
      <c r="AF93" s="63">
        <f>VALUE(點數BO!Z20)</f>
        <v>57</v>
      </c>
      <c r="AG93" s="63">
        <f>VALUE(點數BO!AA20)</f>
        <v>0</v>
      </c>
      <c r="AH93" s="63">
        <f>VALUE(點數BO!AB20)</f>
        <v>37</v>
      </c>
      <c r="AI93" s="63">
        <f>VALUE(點數BO!AC20)</f>
        <v>20</v>
      </c>
      <c r="AJ93" s="63">
        <f>VALUE(點數BO!AD20)</f>
        <v>19</v>
      </c>
      <c r="AK93" s="63">
        <f>VALUE(點數BO!AE20)</f>
        <v>28</v>
      </c>
      <c r="AL93" s="63">
        <f>VALUE(點數BO!AF20)</f>
        <v>0</v>
      </c>
      <c r="AM93" s="63">
        <f>VALUE(點數BO!AG20)</f>
        <v>0</v>
      </c>
      <c r="AN93" s="517">
        <f>VALUE(點數BO!AH20)</f>
        <v>640</v>
      </c>
    </row>
    <row r="94" spans="1:41" s="35" customFormat="1" ht="21.95" customHeight="1">
      <c r="A94" s="621" t="s">
        <v>16</v>
      </c>
      <c r="B94" s="622"/>
      <c r="C94" s="622"/>
      <c r="D94" s="314">
        <f>HLOOKUP(MONTH(日期!$C$2),去年月推移!$D$1:$O$200,150,TRUE)</f>
        <v>142</v>
      </c>
      <c r="E94" s="64" t="s">
        <v>45</v>
      </c>
      <c r="F94" s="64" t="s">
        <v>45</v>
      </c>
      <c r="G94" s="630">
        <f>當年月推移!P152</f>
        <v>152</v>
      </c>
      <c r="H94" s="631"/>
      <c r="I94" s="63">
        <f>VALUE(點數BO!C8)</f>
        <v>0</v>
      </c>
      <c r="J94" s="63">
        <f>VALUE(點數BO!D8)</f>
        <v>6</v>
      </c>
      <c r="K94" s="63">
        <f>VALUE(點數BO!E8)</f>
        <v>7</v>
      </c>
      <c r="L94" s="63">
        <f>VALUE(點數BO!F8)</f>
        <v>0</v>
      </c>
      <c r="M94" s="63">
        <f>VALUE(點數BO!G8)</f>
        <v>19</v>
      </c>
      <c r="N94" s="63">
        <f>VALUE(點數BO!H8)</f>
        <v>16</v>
      </c>
      <c r="O94" s="63">
        <f>VALUE(點數BO!I8)</f>
        <v>0</v>
      </c>
      <c r="P94" s="63">
        <f>VALUE(點數BO!J8)</f>
        <v>1</v>
      </c>
      <c r="Q94" s="63">
        <f>VALUE(點數BO!K8)</f>
        <v>0</v>
      </c>
      <c r="R94" s="63">
        <f>VALUE(點數BO!L8)</f>
        <v>0</v>
      </c>
      <c r="S94" s="63">
        <f>VALUE(點數BO!M8)</f>
        <v>0</v>
      </c>
      <c r="T94" s="63">
        <f>VALUE(點數BO!N8)</f>
        <v>10</v>
      </c>
      <c r="U94" s="63">
        <f>VALUE(點數BO!O8)</f>
        <v>12</v>
      </c>
      <c r="V94" s="63">
        <f>VALUE(點數BO!P8)</f>
        <v>5</v>
      </c>
      <c r="W94" s="63">
        <f>VALUE(點數BO!Q8)</f>
        <v>3</v>
      </c>
      <c r="X94" s="63">
        <f>VALUE(點數BO!R8)</f>
        <v>4</v>
      </c>
      <c r="Y94" s="63">
        <f>VALUE(點數BO!S8)</f>
        <v>15</v>
      </c>
      <c r="Z94" s="63">
        <f>VALUE(點數BO!T8)</f>
        <v>0</v>
      </c>
      <c r="AA94" s="63">
        <f>VALUE(點數BO!U8)</f>
        <v>28</v>
      </c>
      <c r="AB94" s="63">
        <f>VALUE(點數BO!V8)</f>
        <v>21</v>
      </c>
      <c r="AC94" s="63">
        <f>VALUE(點數BO!W8)</f>
        <v>0</v>
      </c>
      <c r="AD94" s="63">
        <f>VALUE(點數BO!X8)</f>
        <v>10</v>
      </c>
      <c r="AE94" s="63">
        <f>VALUE(點數BO!Y8)</f>
        <v>4</v>
      </c>
      <c r="AF94" s="63">
        <f>VALUE(點數BO!Z8)</f>
        <v>3</v>
      </c>
      <c r="AG94" s="63">
        <f>VALUE(點數BO!AA8)</f>
        <v>0</v>
      </c>
      <c r="AH94" s="63">
        <f>VALUE(點數BO!AB8)</f>
        <v>29</v>
      </c>
      <c r="AI94" s="63">
        <f>VALUE(點數BO!AC8)</f>
        <v>6</v>
      </c>
      <c r="AJ94" s="63">
        <f>VALUE(點數BO!AD8)</f>
        <v>7</v>
      </c>
      <c r="AK94" s="63">
        <f>VALUE(點數BO!AE8)</f>
        <v>4</v>
      </c>
      <c r="AL94" s="63">
        <f>VALUE(點數BO!AF8)</f>
        <v>0</v>
      </c>
      <c r="AM94" s="63">
        <f>VALUE(點數BO!AG8)</f>
        <v>0</v>
      </c>
      <c r="AN94" s="517">
        <f>VALUE(點數BO!AH8)</f>
        <v>218</v>
      </c>
    </row>
    <row r="95" spans="1:41" s="35" customFormat="1" ht="21.95" customHeight="1">
      <c r="A95" s="657" t="s">
        <v>17</v>
      </c>
      <c r="B95" s="658"/>
      <c r="C95" s="658"/>
      <c r="D95" s="314">
        <f>HLOOKUP(MONTH(日期!$C$2),去年月推移!$D$1:$O$200,151,TRUE)</f>
        <v>1</v>
      </c>
      <c r="E95" s="65" t="s">
        <v>45</v>
      </c>
      <c r="F95" s="65" t="s">
        <v>45</v>
      </c>
      <c r="G95" s="630">
        <f>當年月推移!P153</f>
        <v>10</v>
      </c>
      <c r="H95" s="6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2</v>
      </c>
      <c r="X95" s="63">
        <f>VALUE(點數BO!R9)</f>
        <v>1</v>
      </c>
      <c r="Y95" s="63">
        <f>VALUE(點數BO!S9)</f>
        <v>1</v>
      </c>
      <c r="Z95" s="63">
        <f>VALUE(點數BO!T9)</f>
        <v>0</v>
      </c>
      <c r="AA95" s="63">
        <f>VALUE(點數BO!U9)</f>
        <v>0</v>
      </c>
      <c r="AB95" s="63">
        <f>VALUE(點數BO!V9)</f>
        <v>4</v>
      </c>
      <c r="AC95" s="63">
        <f>VALUE(點數BO!W9)</f>
        <v>4</v>
      </c>
      <c r="AD95" s="63">
        <f>VALUE(點數BO!X9)</f>
        <v>0</v>
      </c>
      <c r="AE95" s="63">
        <f>VALUE(點數BO!Y9)</f>
        <v>0</v>
      </c>
      <c r="AF95" s="63">
        <f>VALUE(點數BO!Z9)</f>
        <v>4</v>
      </c>
      <c r="AG95" s="63">
        <f>VALUE(點數BO!AA9)</f>
        <v>0</v>
      </c>
      <c r="AH95" s="63">
        <f>VALUE(點數BO!AB9)</f>
        <v>1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18</v>
      </c>
    </row>
    <row r="96" spans="1:41" s="35" customFormat="1" ht="21.95" customHeight="1">
      <c r="A96" s="661" t="s">
        <v>49</v>
      </c>
      <c r="B96" s="662"/>
      <c r="C96" s="663"/>
      <c r="D96" s="321">
        <f>HLOOKUP(MONTH(日期!$C$2),去年月推移!$D$1:$O$200,152,TRUE)</f>
        <v>4759</v>
      </c>
      <c r="E96" s="248"/>
      <c r="F96" s="248"/>
      <c r="G96" s="664">
        <f>當年月推移!P154</f>
        <v>5416</v>
      </c>
      <c r="H96" s="665"/>
      <c r="I96" s="249">
        <f>SUM(I89:I95)</f>
        <v>0</v>
      </c>
      <c r="J96" s="249">
        <f>SUM(J89:J95)</f>
        <v>267</v>
      </c>
      <c r="K96" s="249">
        <f>SUM(K89:K95)</f>
        <v>142</v>
      </c>
      <c r="L96" s="249">
        <f t="shared" ref="L96:AN96" si="11">SUM(L89:L95)</f>
        <v>0</v>
      </c>
      <c r="M96" s="249">
        <f t="shared" si="11"/>
        <v>228</v>
      </c>
      <c r="N96" s="249">
        <f t="shared" si="11"/>
        <v>253</v>
      </c>
      <c r="O96" s="249">
        <f t="shared" si="11"/>
        <v>0</v>
      </c>
      <c r="P96" s="249">
        <f t="shared" si="11"/>
        <v>180</v>
      </c>
      <c r="Q96" s="249">
        <f t="shared" si="11"/>
        <v>219</v>
      </c>
      <c r="R96" s="249">
        <f t="shared" si="11"/>
        <v>114</v>
      </c>
      <c r="S96" s="249">
        <f t="shared" si="11"/>
        <v>0</v>
      </c>
      <c r="T96" s="249">
        <f t="shared" si="11"/>
        <v>230</v>
      </c>
      <c r="U96" s="249">
        <f t="shared" si="11"/>
        <v>222</v>
      </c>
      <c r="V96" s="249">
        <f t="shared" si="11"/>
        <v>167</v>
      </c>
      <c r="W96" s="249">
        <f t="shared" si="11"/>
        <v>226</v>
      </c>
      <c r="X96" s="249">
        <f t="shared" si="11"/>
        <v>169</v>
      </c>
      <c r="Y96" s="249">
        <f t="shared" si="11"/>
        <v>164</v>
      </c>
      <c r="Z96" s="249">
        <f t="shared" si="11"/>
        <v>0</v>
      </c>
      <c r="AA96" s="249">
        <f t="shared" si="11"/>
        <v>281</v>
      </c>
      <c r="AB96" s="249">
        <f t="shared" si="11"/>
        <v>248</v>
      </c>
      <c r="AC96" s="249">
        <f t="shared" si="11"/>
        <v>289</v>
      </c>
      <c r="AD96" s="249">
        <f t="shared" si="11"/>
        <v>268</v>
      </c>
      <c r="AE96" s="249">
        <f t="shared" si="11"/>
        <v>290</v>
      </c>
      <c r="AF96" s="249">
        <f t="shared" si="11"/>
        <v>233</v>
      </c>
      <c r="AG96" s="249">
        <f t="shared" si="11"/>
        <v>0</v>
      </c>
      <c r="AH96" s="249">
        <f t="shared" si="11"/>
        <v>329</v>
      </c>
      <c r="AI96" s="249">
        <f t="shared" si="11"/>
        <v>304</v>
      </c>
      <c r="AJ96" s="249">
        <f t="shared" si="11"/>
        <v>271</v>
      </c>
      <c r="AK96" s="249">
        <f t="shared" si="11"/>
        <v>233</v>
      </c>
      <c r="AL96" s="249">
        <f t="shared" si="11"/>
        <v>0</v>
      </c>
      <c r="AM96" s="249">
        <f t="shared" si="11"/>
        <v>0</v>
      </c>
      <c r="AN96" s="250">
        <f t="shared" si="11"/>
        <v>5549</v>
      </c>
    </row>
    <row r="97" spans="1:41" s="35" customFormat="1" ht="21.95" customHeight="1">
      <c r="A97" s="621" t="s">
        <v>23</v>
      </c>
      <c r="B97" s="622"/>
      <c r="C97" s="622"/>
      <c r="D97" s="316">
        <f>HLOOKUP(MONTH(日期!$C$2),去年月推移!$D$1:$O$200,153,TRUE)</f>
        <v>864</v>
      </c>
      <c r="E97" s="64" t="s">
        <v>45</v>
      </c>
      <c r="F97" s="64" t="s">
        <v>45</v>
      </c>
      <c r="G97" s="630">
        <f>當年月推移!P155</f>
        <v>742</v>
      </c>
      <c r="H97" s="631"/>
      <c r="I97" s="63">
        <f>VALUE(點數BO!C3)</f>
        <v>0</v>
      </c>
      <c r="J97" s="63">
        <f>VALUE(點數BO!D3)</f>
        <v>15</v>
      </c>
      <c r="K97" s="63">
        <f>VALUE(點數BO!E3)</f>
        <v>14</v>
      </c>
      <c r="L97" s="63">
        <f>VALUE(點數BO!F3)</f>
        <v>0</v>
      </c>
      <c r="M97" s="63">
        <f>VALUE(點數BO!G3)</f>
        <v>14</v>
      </c>
      <c r="N97" s="63">
        <f>VALUE(點數BO!H3)</f>
        <v>31</v>
      </c>
      <c r="O97" s="63">
        <f>VALUE(點數BO!I3)</f>
        <v>0</v>
      </c>
      <c r="P97" s="63">
        <f>VALUE(點數BO!J3)</f>
        <v>22</v>
      </c>
      <c r="Q97" s="63">
        <f>VALUE(點數BO!K3)</f>
        <v>12</v>
      </c>
      <c r="R97" s="63">
        <f>VALUE(點數BO!L3)</f>
        <v>7</v>
      </c>
      <c r="S97" s="63">
        <f>VALUE(點數BO!M3)</f>
        <v>0</v>
      </c>
      <c r="T97" s="63">
        <f>VALUE(點數BO!N3)</f>
        <v>11</v>
      </c>
      <c r="U97" s="63">
        <f>VALUE(點數BO!O3)</f>
        <v>36</v>
      </c>
      <c r="V97" s="63">
        <f>VALUE(點數BO!P3)</f>
        <v>38</v>
      </c>
      <c r="W97" s="63">
        <f>VALUE(點數BO!Q3)</f>
        <v>26</v>
      </c>
      <c r="X97" s="63">
        <f>VALUE(點數BO!R3)</f>
        <v>31</v>
      </c>
      <c r="Y97" s="63">
        <f>VALUE(點數BO!S3)</f>
        <v>10</v>
      </c>
      <c r="Z97" s="63">
        <f>VALUE(點數BO!T3)</f>
        <v>0</v>
      </c>
      <c r="AA97" s="63">
        <f>VALUE(點數BO!U3)</f>
        <v>37</v>
      </c>
      <c r="AB97" s="63">
        <f>VALUE(點數BO!V3)</f>
        <v>36</v>
      </c>
      <c r="AC97" s="63">
        <f>VALUE(點數BO!W3)</f>
        <v>29</v>
      </c>
      <c r="AD97" s="63">
        <f>VALUE(點數BO!X3)</f>
        <v>28</v>
      </c>
      <c r="AE97" s="63">
        <f>VALUE(點數BO!Y3)</f>
        <v>38</v>
      </c>
      <c r="AF97" s="63">
        <f>VALUE(點數BO!Z3)</f>
        <v>9</v>
      </c>
      <c r="AG97" s="63">
        <f>VALUE(點數BO!AA3)</f>
        <v>0</v>
      </c>
      <c r="AH97" s="63">
        <f>VALUE(點數BO!AB3)</f>
        <v>28</v>
      </c>
      <c r="AI97" s="63">
        <f>VALUE(點數BO!AC3)</f>
        <v>36</v>
      </c>
      <c r="AJ97" s="63">
        <f>VALUE(點數BO!AD3)</f>
        <v>35</v>
      </c>
      <c r="AK97" s="63">
        <f>VALUE(點數BO!AE3)</f>
        <v>34</v>
      </c>
      <c r="AL97" s="63">
        <f>VALUE(點數BO!AF3)</f>
        <v>0</v>
      </c>
      <c r="AM97" s="63">
        <f>VALUE(點數BO!AG3)</f>
        <v>0</v>
      </c>
      <c r="AN97" s="517">
        <f>VALUE(點數BO!AH3)</f>
        <v>594</v>
      </c>
    </row>
    <row r="98" spans="1:41" s="35" customFormat="1" ht="21.95" customHeight="1">
      <c r="A98" s="637" t="s">
        <v>24</v>
      </c>
      <c r="B98" s="638"/>
      <c r="C98" s="639"/>
      <c r="D98" s="314">
        <f>HLOOKUP(MONTH(日期!$C$2),去年月推移!$D$1:$O$200,154,TRUE)</f>
        <v>2</v>
      </c>
      <c r="E98" s="65"/>
      <c r="F98" s="65"/>
      <c r="G98" s="630">
        <f>當年月推移!P156</f>
        <v>7</v>
      </c>
      <c r="H98" s="6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2</v>
      </c>
    </row>
    <row r="99" spans="1:41" s="35" customFormat="1" ht="21.95" customHeight="1">
      <c r="A99" s="637" t="s">
        <v>25</v>
      </c>
      <c r="B99" s="638"/>
      <c r="C99" s="639"/>
      <c r="D99" s="314">
        <f>HLOOKUP(MONTH(日期!$C$2),去年月推移!$D$1:$O$200,155,TRUE)</f>
        <v>246</v>
      </c>
      <c r="E99" s="65"/>
      <c r="F99" s="65"/>
      <c r="G99" s="630">
        <f>當年月推移!P157</f>
        <v>24</v>
      </c>
      <c r="H99" s="631"/>
      <c r="I99" s="63">
        <f>VALUE(點數BO!C11)</f>
        <v>0</v>
      </c>
      <c r="J99" s="63">
        <f>VALUE(點數BO!D11)</f>
        <v>1</v>
      </c>
      <c r="K99" s="63">
        <f>VALUE(點數BO!E11)</f>
        <v>1</v>
      </c>
      <c r="L99" s="63">
        <f>VALUE(點數BO!F11)</f>
        <v>0</v>
      </c>
      <c r="M99" s="63">
        <f>VALUE(點數BO!G11)</f>
        <v>1</v>
      </c>
      <c r="N99" s="63">
        <f>VALUE(點數BO!H11)</f>
        <v>22</v>
      </c>
      <c r="O99" s="63">
        <f>VALUE(點數BO!I11)</f>
        <v>0</v>
      </c>
      <c r="P99" s="63">
        <f>VALUE(點數BO!J11)</f>
        <v>4</v>
      </c>
      <c r="Q99" s="63">
        <f>VALUE(點數BO!K11)</f>
        <v>0</v>
      </c>
      <c r="R99" s="63">
        <f>VALUE(點數BO!L11)</f>
        <v>0</v>
      </c>
      <c r="S99" s="63">
        <f>VALUE(點數BO!M11)</f>
        <v>0</v>
      </c>
      <c r="T99" s="63">
        <f>VALUE(點數BO!N11)</f>
        <v>2</v>
      </c>
      <c r="U99" s="63">
        <f>VALUE(點數BO!O11)</f>
        <v>2</v>
      </c>
      <c r="V99" s="63">
        <f>VALUE(點數BO!P11)</f>
        <v>0</v>
      </c>
      <c r="W99" s="63">
        <f>VALUE(點數BO!Q11)</f>
        <v>2</v>
      </c>
      <c r="X99" s="63">
        <f>VALUE(點數BO!R11)</f>
        <v>1</v>
      </c>
      <c r="Y99" s="63">
        <f>VALUE(點數BO!S11)</f>
        <v>0</v>
      </c>
      <c r="Z99" s="63">
        <f>VALUE(點數BO!T11)</f>
        <v>0</v>
      </c>
      <c r="AA99" s="63">
        <f>VALUE(點數BO!U11)</f>
        <v>0</v>
      </c>
      <c r="AB99" s="63">
        <f>VALUE(點數BO!V11)</f>
        <v>1</v>
      </c>
      <c r="AC99" s="63">
        <f>VALUE(點數BO!W11)</f>
        <v>2</v>
      </c>
      <c r="AD99" s="63">
        <f>VALUE(點數BO!X11)</f>
        <v>1</v>
      </c>
      <c r="AE99" s="63">
        <f>VALUE(點數BO!Y11)</f>
        <v>0</v>
      </c>
      <c r="AF99" s="63">
        <f>VALUE(點數BO!Z11)</f>
        <v>0</v>
      </c>
      <c r="AG99" s="63">
        <f>VALUE(點數BO!AA11)</f>
        <v>0</v>
      </c>
      <c r="AH99" s="63">
        <f>VALUE(點數BO!AB11)</f>
        <v>0</v>
      </c>
      <c r="AI99" s="63">
        <f>VALUE(點數BO!AC11)</f>
        <v>1</v>
      </c>
      <c r="AJ99" s="63">
        <f>VALUE(點數BO!AD11)</f>
        <v>0</v>
      </c>
      <c r="AK99" s="63">
        <f>VALUE(點數BO!AE11)</f>
        <v>1</v>
      </c>
      <c r="AL99" s="63">
        <f>VALUE(點數BO!AF11)</f>
        <v>0</v>
      </c>
      <c r="AM99" s="63">
        <f>VALUE(點數BO!AG11)</f>
        <v>0</v>
      </c>
      <c r="AN99" s="517">
        <f>VALUE(點數BO!AH11)</f>
        <v>51</v>
      </c>
    </row>
    <row r="100" spans="1:41" s="35" customFormat="1" ht="21.95" customHeight="1">
      <c r="A100" s="637" t="s">
        <v>26</v>
      </c>
      <c r="B100" s="638"/>
      <c r="C100" s="639"/>
      <c r="D100" s="314">
        <f>HLOOKUP(MONTH(日期!$C$2),去年月推移!$D$1:$O$200,156,TRUE)</f>
        <v>434</v>
      </c>
      <c r="E100" s="65"/>
      <c r="F100" s="65"/>
      <c r="G100" s="630">
        <f>當年月推移!P158</f>
        <v>313</v>
      </c>
      <c r="H100" s="631"/>
      <c r="I100" s="63">
        <f>VALUE(點數BO!C12)</f>
        <v>0</v>
      </c>
      <c r="J100" s="63">
        <f>VALUE(點數BO!D12)</f>
        <v>3</v>
      </c>
      <c r="K100" s="63">
        <f>VALUE(點數BO!E12)</f>
        <v>3</v>
      </c>
      <c r="L100" s="63">
        <f>VALUE(點數BO!F12)</f>
        <v>0</v>
      </c>
      <c r="M100" s="63">
        <f>VALUE(點數BO!G12)</f>
        <v>3</v>
      </c>
      <c r="N100" s="63">
        <f>VALUE(點數BO!H12)</f>
        <v>12</v>
      </c>
      <c r="O100" s="63">
        <f>VALUE(點數BO!I12)</f>
        <v>0</v>
      </c>
      <c r="P100" s="63">
        <f>VALUE(點數BO!J12)</f>
        <v>8</v>
      </c>
      <c r="Q100" s="63">
        <f>VALUE(點數BO!K12)</f>
        <v>10</v>
      </c>
      <c r="R100" s="63">
        <f>VALUE(點數BO!L12)</f>
        <v>12</v>
      </c>
      <c r="S100" s="63">
        <f>VALUE(點數BO!M12)</f>
        <v>0</v>
      </c>
      <c r="T100" s="63">
        <f>VALUE(點數BO!N12)</f>
        <v>11</v>
      </c>
      <c r="U100" s="63">
        <f>VALUE(點數BO!O12)</f>
        <v>9</v>
      </c>
      <c r="V100" s="63">
        <f>VALUE(點數BO!P12)</f>
        <v>3</v>
      </c>
      <c r="W100" s="63">
        <f>VALUE(點數BO!Q12)</f>
        <v>8</v>
      </c>
      <c r="X100" s="63">
        <f>VALUE(點數BO!R12)</f>
        <v>5</v>
      </c>
      <c r="Y100" s="63">
        <f>VALUE(點數BO!S12)</f>
        <v>9</v>
      </c>
      <c r="Z100" s="63">
        <f>VALUE(點數BO!T12)</f>
        <v>0</v>
      </c>
      <c r="AA100" s="63">
        <f>VALUE(點數BO!U12)</f>
        <v>13</v>
      </c>
      <c r="AB100" s="63">
        <f>VALUE(點數BO!V12)</f>
        <v>5</v>
      </c>
      <c r="AC100" s="63">
        <f>VALUE(點數BO!W12)</f>
        <v>4</v>
      </c>
      <c r="AD100" s="63">
        <f>VALUE(點數BO!X12)</f>
        <v>18</v>
      </c>
      <c r="AE100" s="63">
        <f>VALUE(點數BO!Y12)</f>
        <v>13</v>
      </c>
      <c r="AF100" s="63">
        <f>VALUE(點數BO!Z12)</f>
        <v>7</v>
      </c>
      <c r="AG100" s="63">
        <f>VALUE(點數BO!AA12)</f>
        <v>0</v>
      </c>
      <c r="AH100" s="63">
        <f>VALUE(點數BO!AB12)</f>
        <v>19</v>
      </c>
      <c r="AI100" s="63">
        <f>VALUE(點數BO!AC12)</f>
        <v>8</v>
      </c>
      <c r="AJ100" s="63">
        <f>VALUE(點數BO!AD12)</f>
        <v>7</v>
      </c>
      <c r="AK100" s="63">
        <f>VALUE(點數BO!AE12)</f>
        <v>7</v>
      </c>
      <c r="AL100" s="63">
        <f>VALUE(點數BO!AF12)</f>
        <v>0</v>
      </c>
      <c r="AM100" s="63">
        <f>VALUE(點數BO!AG12)</f>
        <v>0</v>
      </c>
      <c r="AN100" s="517">
        <f>VALUE(點數BO!AH12)</f>
        <v>203</v>
      </c>
    </row>
    <row r="101" spans="1:41" s="35" customFormat="1" ht="21.95" customHeight="1">
      <c r="A101" s="637" t="s">
        <v>27</v>
      </c>
      <c r="B101" s="638"/>
      <c r="C101" s="639"/>
      <c r="D101" s="314">
        <f>HLOOKUP(MONTH(日期!$C$2),去年月推移!$D$1:$O$200,157,TRUE)</f>
        <v>147</v>
      </c>
      <c r="E101" s="65" t="s">
        <v>45</v>
      </c>
      <c r="F101" s="65" t="s">
        <v>45</v>
      </c>
      <c r="G101" s="630">
        <f>當年月推移!P159</f>
        <v>131</v>
      </c>
      <c r="H101" s="631"/>
      <c r="I101" s="63">
        <f>VALUE(點數BO!C13)</f>
        <v>0</v>
      </c>
      <c r="J101" s="63">
        <f>VALUE(點數BO!D13)</f>
        <v>2</v>
      </c>
      <c r="K101" s="63">
        <f>VALUE(點數BO!E13)</f>
        <v>5</v>
      </c>
      <c r="L101" s="63">
        <f>VALUE(點數BO!F13)</f>
        <v>0</v>
      </c>
      <c r="M101" s="63">
        <f>VALUE(點數BO!G13)</f>
        <v>3</v>
      </c>
      <c r="N101" s="63">
        <f>VALUE(點數BO!H13)</f>
        <v>3</v>
      </c>
      <c r="O101" s="63">
        <f>VALUE(點數BO!I13)</f>
        <v>0</v>
      </c>
      <c r="P101" s="63">
        <f>VALUE(點數BO!J13)</f>
        <v>2</v>
      </c>
      <c r="Q101" s="63">
        <f>VALUE(點數BO!K13)</f>
        <v>1</v>
      </c>
      <c r="R101" s="63">
        <f>VALUE(點數BO!L13)</f>
        <v>1</v>
      </c>
      <c r="S101" s="63">
        <f>VALUE(點數BO!M13)</f>
        <v>0</v>
      </c>
      <c r="T101" s="63">
        <f>VALUE(點數BO!N13)</f>
        <v>1</v>
      </c>
      <c r="U101" s="63">
        <f>VALUE(點數BO!O13)</f>
        <v>4</v>
      </c>
      <c r="V101" s="63">
        <f>VALUE(點數BO!P13)</f>
        <v>1</v>
      </c>
      <c r="W101" s="63">
        <f>VALUE(點數BO!Q13)</f>
        <v>4</v>
      </c>
      <c r="X101" s="63">
        <f>VALUE(點數BO!R13)</f>
        <v>1</v>
      </c>
      <c r="Y101" s="63">
        <f>VALUE(點數BO!S13)</f>
        <v>3</v>
      </c>
      <c r="Z101" s="63">
        <f>VALUE(點數BO!T13)</f>
        <v>0</v>
      </c>
      <c r="AA101" s="63">
        <f>VALUE(點數BO!U13)</f>
        <v>9</v>
      </c>
      <c r="AB101" s="63">
        <f>VALUE(點數BO!V13)</f>
        <v>5</v>
      </c>
      <c r="AC101" s="63">
        <f>VALUE(點數BO!W13)</f>
        <v>5</v>
      </c>
      <c r="AD101" s="63">
        <f>VALUE(點數BO!X13)</f>
        <v>3</v>
      </c>
      <c r="AE101" s="63">
        <f>VALUE(點數BO!Y13)</f>
        <v>0</v>
      </c>
      <c r="AF101" s="63">
        <f>VALUE(點數BO!Z13)</f>
        <v>0</v>
      </c>
      <c r="AG101" s="63">
        <f>VALUE(點數BO!AA13)</f>
        <v>0</v>
      </c>
      <c r="AH101" s="63">
        <f>VALUE(點數BO!AB13)</f>
        <v>5</v>
      </c>
      <c r="AI101" s="63">
        <f>VALUE(點數BO!AC13)</f>
        <v>5</v>
      </c>
      <c r="AJ101" s="63">
        <f>VALUE(點數BO!AD13)</f>
        <v>5</v>
      </c>
      <c r="AK101" s="63">
        <f>VALUE(點數BO!AE13)</f>
        <v>0</v>
      </c>
      <c r="AL101" s="63">
        <f>VALUE(點數BO!AF13)</f>
        <v>0</v>
      </c>
      <c r="AM101" s="63">
        <f>VALUE(點數BO!AG13)</f>
        <v>0</v>
      </c>
      <c r="AN101" s="517">
        <f>VALUE(點數BO!AH13)</f>
        <v>68</v>
      </c>
    </row>
    <row r="102" spans="1:41" s="35" customFormat="1" ht="21.95" customHeight="1">
      <c r="A102" s="637" t="s">
        <v>28</v>
      </c>
      <c r="B102" s="638"/>
      <c r="C102" s="639"/>
      <c r="D102" s="315">
        <f>HLOOKUP(MONTH(日期!$C$2),去年月推移!$D$1:$O$200,158,TRUE)</f>
        <v>1</v>
      </c>
      <c r="E102" s="65"/>
      <c r="F102" s="65"/>
      <c r="G102" s="630">
        <f>當年月推移!P160</f>
        <v>1</v>
      </c>
      <c r="H102" s="6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0</v>
      </c>
    </row>
    <row r="103" spans="1:41" s="67" customFormat="1" ht="21.95" customHeight="1" thickBot="1">
      <c r="A103" s="616" t="s">
        <v>50</v>
      </c>
      <c r="B103" s="617"/>
      <c r="C103" s="617"/>
      <c r="D103" s="66">
        <f>HLOOKUP(MONTH(日期!$C$2),去年月推移!$D$1:$O$200,159,TRUE)</f>
        <v>1694</v>
      </c>
      <c r="E103" s="66" t="s">
        <v>45</v>
      </c>
      <c r="F103" s="66" t="s">
        <v>45</v>
      </c>
      <c r="G103" s="659">
        <f>當年月推移!P161</f>
        <v>1218</v>
      </c>
      <c r="H103" s="660"/>
      <c r="I103" s="66">
        <f>SUM(I97:I102)</f>
        <v>0</v>
      </c>
      <c r="J103" s="66">
        <f>SUM(J97:J102)</f>
        <v>21</v>
      </c>
      <c r="K103" s="66">
        <f t="shared" ref="K103:AN103" si="12">SUM(K97:K102)</f>
        <v>23</v>
      </c>
      <c r="L103" s="66">
        <f t="shared" si="12"/>
        <v>0</v>
      </c>
      <c r="M103" s="66">
        <f t="shared" si="12"/>
        <v>21</v>
      </c>
      <c r="N103" s="66">
        <f t="shared" si="12"/>
        <v>68</v>
      </c>
      <c r="O103" s="66">
        <f t="shared" si="12"/>
        <v>0</v>
      </c>
      <c r="P103" s="66">
        <f t="shared" si="12"/>
        <v>36</v>
      </c>
      <c r="Q103" s="66">
        <f t="shared" si="12"/>
        <v>23</v>
      </c>
      <c r="R103" s="66">
        <f t="shared" si="12"/>
        <v>20</v>
      </c>
      <c r="S103" s="66">
        <f t="shared" si="12"/>
        <v>0</v>
      </c>
      <c r="T103" s="66">
        <f t="shared" si="12"/>
        <v>25</v>
      </c>
      <c r="U103" s="66">
        <f t="shared" si="12"/>
        <v>51</v>
      </c>
      <c r="V103" s="66">
        <f t="shared" si="12"/>
        <v>42</v>
      </c>
      <c r="W103" s="66">
        <f t="shared" si="12"/>
        <v>40</v>
      </c>
      <c r="X103" s="66">
        <f t="shared" si="12"/>
        <v>38</v>
      </c>
      <c r="Y103" s="66">
        <f t="shared" si="12"/>
        <v>22</v>
      </c>
      <c r="Z103" s="66">
        <f t="shared" si="12"/>
        <v>0</v>
      </c>
      <c r="AA103" s="66">
        <f t="shared" si="12"/>
        <v>59</v>
      </c>
      <c r="AB103" s="66">
        <f t="shared" si="12"/>
        <v>47</v>
      </c>
      <c r="AC103" s="66">
        <f t="shared" si="12"/>
        <v>40</v>
      </c>
      <c r="AD103" s="66">
        <f t="shared" si="12"/>
        <v>50</v>
      </c>
      <c r="AE103" s="66">
        <f t="shared" si="12"/>
        <v>51</v>
      </c>
      <c r="AF103" s="66">
        <f t="shared" si="12"/>
        <v>16</v>
      </c>
      <c r="AG103" s="66">
        <f t="shared" si="12"/>
        <v>0</v>
      </c>
      <c r="AH103" s="66">
        <f t="shared" si="12"/>
        <v>52</v>
      </c>
      <c r="AI103" s="66">
        <f t="shared" si="12"/>
        <v>50</v>
      </c>
      <c r="AJ103" s="66">
        <f t="shared" si="12"/>
        <v>47</v>
      </c>
      <c r="AK103" s="66">
        <f t="shared" si="12"/>
        <v>42</v>
      </c>
      <c r="AL103" s="66">
        <f t="shared" si="12"/>
        <v>0</v>
      </c>
      <c r="AM103" s="66">
        <f t="shared" si="12"/>
        <v>0</v>
      </c>
      <c r="AN103" s="218">
        <f t="shared" si="12"/>
        <v>918</v>
      </c>
      <c r="AO103" s="16">
        <f>SUM(I103:AM103)</f>
        <v>884</v>
      </c>
    </row>
    <row r="104" spans="1:41" s="67" customFormat="1" ht="21.95" customHeight="1">
      <c r="A104" s="666" t="s">
        <v>31</v>
      </c>
      <c r="B104" s="667"/>
      <c r="C104" s="668"/>
      <c r="D104" s="316">
        <f>HLOOKUP(MONTH(日期!$C$2),去年月推移!$D$1:$O$200,160,TRUE)</f>
        <v>0</v>
      </c>
      <c r="E104" s="273"/>
      <c r="F104" s="273"/>
      <c r="G104" s="648">
        <f>當年月推移!P162</f>
        <v>0</v>
      </c>
      <c r="H104" s="64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669" t="s">
        <v>32</v>
      </c>
      <c r="B105" s="670"/>
      <c r="C105" s="671"/>
      <c r="D105" s="316">
        <f>HLOOKUP(MONTH(日期!$C$2),去年月推移!$D$1:$O$200,161,TRUE)</f>
        <v>0</v>
      </c>
      <c r="E105" s="274"/>
      <c r="F105" s="274"/>
      <c r="G105" s="630">
        <f>當年月推移!P163</f>
        <v>0</v>
      </c>
      <c r="H105" s="6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669" t="s">
        <v>33</v>
      </c>
      <c r="B106" s="670"/>
      <c r="C106" s="671"/>
      <c r="D106" s="316">
        <f>HLOOKUP(MONTH(日期!$C$2),去年月推移!$D$1:$O$200,162,TRUE)</f>
        <v>0</v>
      </c>
      <c r="E106" s="274"/>
      <c r="F106" s="274"/>
      <c r="G106" s="630">
        <f>當年月推移!P164</f>
        <v>0</v>
      </c>
      <c r="H106" s="6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669" t="s">
        <v>34</v>
      </c>
      <c r="B107" s="670"/>
      <c r="C107" s="671"/>
      <c r="D107" s="316">
        <f>HLOOKUP(MONTH(日期!$C$2),去年月推移!$D$1:$O$200,163,TRUE)</f>
        <v>0</v>
      </c>
      <c r="E107" s="274"/>
      <c r="F107" s="274"/>
      <c r="G107" s="630">
        <f>當年月推移!P165</f>
        <v>0</v>
      </c>
      <c r="H107" s="6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669" t="s">
        <v>35</v>
      </c>
      <c r="B108" s="670"/>
      <c r="C108" s="671"/>
      <c r="D108" s="316">
        <f>HLOOKUP(MONTH(日期!$C$2),去年月推移!$D$1:$O$200,164,TRUE)</f>
        <v>0</v>
      </c>
      <c r="E108" s="298"/>
      <c r="F108" s="298"/>
      <c r="G108" s="630">
        <f>當年月推移!P166</f>
        <v>0</v>
      </c>
      <c r="H108" s="6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76" t="s">
        <v>30</v>
      </c>
      <c r="B109" s="577"/>
      <c r="C109" s="578"/>
      <c r="D109" s="66">
        <f>HLOOKUP(MONTH(日期!$C$2),去年月推移!$D$1:$O$200,165,TRUE)</f>
        <v>0</v>
      </c>
      <c r="E109" s="66"/>
      <c r="F109" s="66"/>
      <c r="G109" s="659">
        <f>當年月推移!P167</f>
        <v>0</v>
      </c>
      <c r="H109" s="660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AE6" activePane="bottomRight" state="frozen"/>
      <selection pane="bottomRight" activeCell="AK8" sqref="AK8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2025年5月</v>
      </c>
      <c r="D4" s="545" t="str">
        <f>日期!C2</f>
        <v>2025/05/01</v>
      </c>
      <c r="E4" s="545" t="str">
        <f>日期!D2</f>
        <v>2025/05/02</v>
      </c>
      <c r="F4" s="545" t="str">
        <f>日期!E2</f>
        <v>2025/05/03</v>
      </c>
      <c r="G4" s="545" t="str">
        <f>日期!F2</f>
        <v>2025/05/04</v>
      </c>
      <c r="H4" s="545" t="str">
        <f>日期!G2</f>
        <v>2025/05/05</v>
      </c>
      <c r="I4" s="545" t="str">
        <f>日期!H2</f>
        <v>2025/05/06</v>
      </c>
      <c r="J4" s="545" t="str">
        <f>日期!I2</f>
        <v>2025/05/07</v>
      </c>
      <c r="K4" s="545" t="str">
        <f>日期!J2</f>
        <v>2025/05/08</v>
      </c>
      <c r="L4" s="545" t="str">
        <f>日期!K2</f>
        <v>2025/05/09</v>
      </c>
      <c r="M4" s="545" t="str">
        <f>日期!L2</f>
        <v>2025/05/10</v>
      </c>
      <c r="N4" s="545" t="str">
        <f>日期!M2</f>
        <v>2025/05/11</v>
      </c>
      <c r="O4" s="545" t="str">
        <f>日期!N2</f>
        <v>2025/05/12</v>
      </c>
      <c r="P4" s="545" t="str">
        <f>日期!O2</f>
        <v>2025/05/13</v>
      </c>
      <c r="Q4" s="545" t="str">
        <f>日期!P2</f>
        <v>2025/05/14</v>
      </c>
      <c r="R4" s="545" t="str">
        <f>日期!Q2</f>
        <v>2025/05/15</v>
      </c>
      <c r="S4" s="545" t="str">
        <f>日期!R2</f>
        <v>2025/05/16</v>
      </c>
      <c r="T4" s="545" t="str">
        <f>日期!S2</f>
        <v>2025/05/17</v>
      </c>
      <c r="U4" s="545" t="str">
        <f>日期!T2</f>
        <v>2025/05/18</v>
      </c>
      <c r="V4" s="545" t="str">
        <f>日期!U2</f>
        <v>2025/05/19</v>
      </c>
      <c r="W4" s="545" t="str">
        <f>日期!V2</f>
        <v>2025/05/20</v>
      </c>
      <c r="X4" s="545" t="str">
        <f>日期!W2</f>
        <v>2025/05/21</v>
      </c>
      <c r="Y4" s="545" t="str">
        <f>日期!X2</f>
        <v>2025/05/22</v>
      </c>
      <c r="Z4" s="545" t="str">
        <f>日期!Y2</f>
        <v>2025/05/23</v>
      </c>
      <c r="AA4" s="545" t="str">
        <f>日期!Z2</f>
        <v>2025/05/24</v>
      </c>
      <c r="AB4" s="545" t="str">
        <f>日期!AA2</f>
        <v>2025/05/25</v>
      </c>
      <c r="AC4" s="545" t="str">
        <f>日期!AB2</f>
        <v>2025/05/26</v>
      </c>
      <c r="AD4" s="545" t="str">
        <f>日期!AC2</f>
        <v>2025/05/27</v>
      </c>
      <c r="AE4" s="545" t="str">
        <f>日期!AD2</f>
        <v>2025/05/28</v>
      </c>
      <c r="AF4" s="545" t="str">
        <f>日期!AE2</f>
        <v>2025/05/29</v>
      </c>
      <c r="AG4" s="545" t="str">
        <f>日期!AF2</f>
        <v>2025/05/30</v>
      </c>
      <c r="AH4" s="545" t="str">
        <f>日期!AG2</f>
        <v>2025/05/31</v>
      </c>
      <c r="AI4" s="674" t="s">
        <v>68</v>
      </c>
      <c r="AJ4" s="674" t="s">
        <v>69</v>
      </c>
      <c r="AK4" s="544" t="str">
        <f>YEAR(日期!C2)&amp;"年"&amp;MONTH(日期!C2)+1&amp;"月"</f>
        <v>2025年6月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Thu</v>
      </c>
      <c r="E5" s="547" t="str">
        <f>日期!D3</f>
        <v>Fri</v>
      </c>
      <c r="F5" s="547" t="str">
        <f>日期!E3</f>
        <v>Sat</v>
      </c>
      <c r="G5" s="547" t="str">
        <f>日期!F3</f>
        <v>Sun</v>
      </c>
      <c r="H5" s="547" t="str">
        <f>日期!G3</f>
        <v>Mon</v>
      </c>
      <c r="I5" s="547" t="str">
        <f>日期!H3</f>
        <v>Tue</v>
      </c>
      <c r="J5" s="547" t="str">
        <f>日期!I3</f>
        <v>Wed</v>
      </c>
      <c r="K5" s="547" t="str">
        <f>日期!J3</f>
        <v>Thu</v>
      </c>
      <c r="L5" s="547" t="str">
        <f>日期!K3</f>
        <v>Fri</v>
      </c>
      <c r="M5" s="547" t="str">
        <f>日期!L3</f>
        <v>Sat</v>
      </c>
      <c r="N5" s="547" t="str">
        <f>日期!M3</f>
        <v>Sun</v>
      </c>
      <c r="O5" s="547" t="str">
        <f>日期!N3</f>
        <v>Mon</v>
      </c>
      <c r="P5" s="547" t="str">
        <f>日期!O3</f>
        <v>Tue</v>
      </c>
      <c r="Q5" s="547" t="str">
        <f>日期!P3</f>
        <v>Wed</v>
      </c>
      <c r="R5" s="547" t="str">
        <f>日期!Q3</f>
        <v>Thu</v>
      </c>
      <c r="S5" s="547" t="str">
        <f>日期!R3</f>
        <v>Fri</v>
      </c>
      <c r="T5" s="547" t="str">
        <f>日期!S3</f>
        <v>Sat</v>
      </c>
      <c r="U5" s="547" t="str">
        <f>日期!T3</f>
        <v>Sun</v>
      </c>
      <c r="V5" s="547" t="str">
        <f>日期!U3</f>
        <v>Mon</v>
      </c>
      <c r="W5" s="547" t="str">
        <f>日期!V3</f>
        <v>Tue</v>
      </c>
      <c r="X5" s="547" t="str">
        <f>日期!W3</f>
        <v>Wed</v>
      </c>
      <c r="Y5" s="547" t="str">
        <f>日期!X3</f>
        <v>Thu</v>
      </c>
      <c r="Z5" s="547" t="str">
        <f>日期!Y3</f>
        <v>Fri</v>
      </c>
      <c r="AA5" s="547" t="str">
        <f>日期!Z3</f>
        <v>Sat</v>
      </c>
      <c r="AB5" s="547" t="str">
        <f>日期!AA3</f>
        <v>Sun</v>
      </c>
      <c r="AC5" s="547" t="str">
        <f>日期!AB3</f>
        <v>Mon</v>
      </c>
      <c r="AD5" s="547" t="str">
        <f>日期!AC3</f>
        <v>Tue</v>
      </c>
      <c r="AE5" s="547" t="str">
        <f>日期!AD3</f>
        <v>Wed</v>
      </c>
      <c r="AF5" s="547" t="str">
        <f>日期!AE3</f>
        <v>Thu</v>
      </c>
      <c r="AG5" s="547" t="str">
        <f>日期!AF3</f>
        <v>Fri</v>
      </c>
      <c r="AH5" s="547" t="str">
        <f>日期!AG3</f>
        <v>Sat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142642220.78163132</v>
      </c>
      <c r="D6" s="88">
        <f>VALUE(庫存金額A類!C2)</f>
        <v>139794654</v>
      </c>
      <c r="E6" s="88">
        <f>VALUE(庫存金額A類!D2)</f>
        <v>137959501</v>
      </c>
      <c r="F6" s="88">
        <f>VALUE(庫存金額A類!E2)</f>
        <v>135574128</v>
      </c>
      <c r="G6" s="88">
        <f>VALUE(庫存金額A類!F2)</f>
        <v>135573833</v>
      </c>
      <c r="H6" s="88">
        <f>VALUE(庫存金額A類!G2)</f>
        <v>136404498</v>
      </c>
      <c r="I6" s="88">
        <f>VALUE(庫存金額A類!H2)</f>
        <v>136226803</v>
      </c>
      <c r="J6" s="88">
        <f>VALUE(庫存金額A類!I2)</f>
        <v>136074028</v>
      </c>
      <c r="K6" s="88">
        <f>VALUE(庫存金額A類!J2)</f>
        <v>137485748</v>
      </c>
      <c r="L6" s="88">
        <f>VALUE(庫存金額A類!K2)</f>
        <v>141204218</v>
      </c>
      <c r="M6" s="88">
        <f>VALUE(庫存金額A類!L2)</f>
        <v>139138711</v>
      </c>
      <c r="N6" s="88">
        <f>VALUE(庫存金額A類!M2)</f>
        <v>139132231</v>
      </c>
      <c r="O6" s="88">
        <f>VALUE(庫存金額A類!N2)</f>
        <v>141399429</v>
      </c>
      <c r="P6" s="88">
        <f>VALUE(庫存金額A類!O2)</f>
        <v>142964866</v>
      </c>
      <c r="Q6" s="88">
        <f>VALUE(庫存金額A類!P2)</f>
        <v>143611345</v>
      </c>
      <c r="R6" s="88">
        <f>VALUE(庫存金額A類!Q2)</f>
        <v>143961194</v>
      </c>
      <c r="S6" s="88">
        <f>VALUE(庫存金額A類!R2)</f>
        <v>144828265</v>
      </c>
      <c r="T6" s="88">
        <f>VALUE(庫存金額A類!S2)</f>
        <v>141596584</v>
      </c>
      <c r="U6" s="88">
        <f>VALUE(庫存金額A類!T2)</f>
        <v>141589344</v>
      </c>
      <c r="V6" s="88">
        <f>VALUE(庫存金額A類!U2)</f>
        <v>140647507</v>
      </c>
      <c r="W6" s="88">
        <f>VALUE(庫存金額A類!V2)</f>
        <v>140822388</v>
      </c>
      <c r="X6" s="88">
        <f>VALUE(庫存金額A類!W2)</f>
        <v>141404208</v>
      </c>
      <c r="Y6" s="88">
        <f>VALUE(庫存金額A類!X2)</f>
        <v>139344591</v>
      </c>
      <c r="Z6" s="88">
        <f>VALUE(庫存金額A類!Y2)</f>
        <v>138544899</v>
      </c>
      <c r="AA6" s="88">
        <f>VALUE(庫存金額A類!Z2)</f>
        <v>136247571</v>
      </c>
      <c r="AB6" s="88">
        <f>VALUE(庫存金額A類!AA2)</f>
        <v>136240634</v>
      </c>
      <c r="AC6" s="88">
        <f>VALUE(庫存金額A類!AB2)</f>
        <v>136082859</v>
      </c>
      <c r="AD6" s="88">
        <f>VALUE(庫存金額A類!AC2)</f>
        <v>132681403</v>
      </c>
      <c r="AE6" s="88">
        <f>VALUE(庫存金額A類!AD2)</f>
        <v>127902067</v>
      </c>
      <c r="AF6" s="88">
        <f>VALUE(庫存金額A類!AE2)</f>
        <v>125837986</v>
      </c>
      <c r="AG6" s="88">
        <f>VALUE(庫存金額A類!AF2)</f>
        <v>125768995</v>
      </c>
      <c r="AH6" s="88">
        <f>VALUE(庫存金額A類!AG2)</f>
        <v>125768995</v>
      </c>
      <c r="AI6" s="88">
        <f>VALUE(庫存金額A類!AH2)</f>
        <v>137477854.28999999</v>
      </c>
      <c r="AJ6" s="549">
        <f>AI6/AI9</f>
        <v>0.46100827511076281</v>
      </c>
      <c r="AK6" s="82">
        <f>HLOOKUP(MONTH(日期!$C$2)+1,A類各進口別庫存金額目標!$B$2:$M$7,4,TRUE)</f>
        <v>137127942.76218119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123425621.10899495</v>
      </c>
      <c r="D7" s="88">
        <f>VALUE(庫存金額A類!C3)</f>
        <v>130463017</v>
      </c>
      <c r="E7" s="88">
        <f>VALUE(庫存金額A類!D3)</f>
        <v>129811627</v>
      </c>
      <c r="F7" s="88">
        <f>VALUE(庫存金額A類!E3)</f>
        <v>130330030</v>
      </c>
      <c r="G7" s="88">
        <f>VALUE(庫存金額A類!F3)</f>
        <v>130316779</v>
      </c>
      <c r="H7" s="88">
        <f>VALUE(庫存金額A類!G3)</f>
        <v>132467376</v>
      </c>
      <c r="I7" s="88">
        <f>VALUE(庫存金額A類!H3)</f>
        <v>132435736</v>
      </c>
      <c r="J7" s="88">
        <f>VALUE(庫存金額A類!I3)</f>
        <v>140265325</v>
      </c>
      <c r="K7" s="88">
        <f>VALUE(庫存金額A類!J3)</f>
        <v>139812651</v>
      </c>
      <c r="L7" s="88">
        <f>VALUE(庫存金額A類!K3)</f>
        <v>141933387</v>
      </c>
      <c r="M7" s="88">
        <f>VALUE(庫存金額A類!L3)</f>
        <v>139591064</v>
      </c>
      <c r="N7" s="88">
        <f>VALUE(庫存金額A類!M3)</f>
        <v>139591064</v>
      </c>
      <c r="O7" s="88">
        <f>VALUE(庫存金額A類!N3)</f>
        <v>138107159</v>
      </c>
      <c r="P7" s="88">
        <f>VALUE(庫存金額A類!O3)</f>
        <v>134974302</v>
      </c>
      <c r="Q7" s="88">
        <f>VALUE(庫存金額A類!P3)</f>
        <v>129978644</v>
      </c>
      <c r="R7" s="88">
        <f>VALUE(庫存金額A類!Q3)</f>
        <v>125454401</v>
      </c>
      <c r="S7" s="88">
        <f>VALUE(庫存金額A類!R3)</f>
        <v>120761130</v>
      </c>
      <c r="T7" s="88">
        <f>VALUE(庫存金額A類!S3)</f>
        <v>118219809</v>
      </c>
      <c r="U7" s="88">
        <f>VALUE(庫存金額A類!T3)</f>
        <v>118204084</v>
      </c>
      <c r="V7" s="88">
        <f>VALUE(庫存金額A類!U3)</f>
        <v>117929780</v>
      </c>
      <c r="W7" s="88">
        <f>VALUE(庫存金額A類!V3)</f>
        <v>116625937</v>
      </c>
      <c r="X7" s="88">
        <f>VALUE(庫存金額A類!W3)</f>
        <v>116730102</v>
      </c>
      <c r="Y7" s="88">
        <f>VALUE(庫存金額A類!X3)</f>
        <v>115832952</v>
      </c>
      <c r="Z7" s="88">
        <f>VALUE(庫存金額A類!Y3)</f>
        <v>116565819</v>
      </c>
      <c r="AA7" s="88">
        <f>VALUE(庫存金額A類!Z3)</f>
        <v>114209640</v>
      </c>
      <c r="AB7" s="88">
        <f>VALUE(庫存金額A類!AA3)</f>
        <v>114208364</v>
      </c>
      <c r="AC7" s="88">
        <f>VALUE(庫存金額A類!AB3)</f>
        <v>114512706</v>
      </c>
      <c r="AD7" s="88">
        <f>VALUE(庫存金額A類!AC3)</f>
        <v>115065696</v>
      </c>
      <c r="AE7" s="88">
        <f>VALUE(庫存金額A類!AD3)</f>
        <v>117418276</v>
      </c>
      <c r="AF7" s="88">
        <f>VALUE(庫存金額A類!AE3)</f>
        <v>117948248</v>
      </c>
      <c r="AG7" s="88">
        <f>VALUE(庫存金額A類!AF3)</f>
        <v>117948248</v>
      </c>
      <c r="AH7" s="88">
        <f>VALUE(庫存金額A類!AG3)</f>
        <v>117948248</v>
      </c>
      <c r="AI7" s="88">
        <f>VALUE(庫存金額A類!AH3)</f>
        <v>125343922.61</v>
      </c>
      <c r="AJ7" s="549">
        <f>AI7/AI9</f>
        <v>0.4203192278238535</v>
      </c>
      <c r="AK7" s="82">
        <f>HLOOKUP(MONTH(日期!$C$2)+1,A類各進口別庫存金額目標!$B$2:$M$7,5,TRUE)</f>
        <v>113901200.07571405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33793444.847199053</v>
      </c>
      <c r="D8" s="88">
        <f>VALUE(庫存金額A類!C4)</f>
        <v>41716413</v>
      </c>
      <c r="E8" s="88">
        <f>VALUE(庫存金額A類!D4)</f>
        <v>39568821</v>
      </c>
      <c r="F8" s="88">
        <f>VALUE(庫存金額A類!E4)</f>
        <v>38444914</v>
      </c>
      <c r="G8" s="88">
        <f>VALUE(庫存金額A類!F4)</f>
        <v>38444914</v>
      </c>
      <c r="H8" s="88">
        <f>VALUE(庫存金額A類!G4)</f>
        <v>37077576</v>
      </c>
      <c r="I8" s="88">
        <f>VALUE(庫存金額A類!H4)</f>
        <v>36152455</v>
      </c>
      <c r="J8" s="88">
        <f>VALUE(庫存金額A類!I4)</f>
        <v>36819794</v>
      </c>
      <c r="K8" s="88">
        <f>VALUE(庫存金額A類!J4)</f>
        <v>37965799</v>
      </c>
      <c r="L8" s="88">
        <f>VALUE(庫存金額A類!K4)</f>
        <v>37099447</v>
      </c>
      <c r="M8" s="88">
        <f>VALUE(庫存金額A類!L4)</f>
        <v>36207101</v>
      </c>
      <c r="N8" s="88">
        <f>VALUE(庫存金額A類!M4)</f>
        <v>36206987</v>
      </c>
      <c r="O8" s="88">
        <f>VALUE(庫存金額A類!N4)</f>
        <v>35437606</v>
      </c>
      <c r="P8" s="88">
        <f>VALUE(庫存金額A類!O4)</f>
        <v>35455957</v>
      </c>
      <c r="Q8" s="88">
        <f>VALUE(庫存金額A類!P4)</f>
        <v>37182871</v>
      </c>
      <c r="R8" s="88">
        <f>VALUE(庫存金額A類!Q4)</f>
        <v>38525285</v>
      </c>
      <c r="S8" s="88">
        <f>VALUE(庫存金額A類!R4)</f>
        <v>37091080</v>
      </c>
      <c r="T8" s="88">
        <f>VALUE(庫存金額A類!S4)</f>
        <v>36073780</v>
      </c>
      <c r="U8" s="88">
        <f>VALUE(庫存金額A類!T4)</f>
        <v>36072920</v>
      </c>
      <c r="V8" s="88">
        <f>VALUE(庫存金額A類!U4)</f>
        <v>36323752</v>
      </c>
      <c r="W8" s="88">
        <f>VALUE(庫存金額A類!V4)</f>
        <v>35217541</v>
      </c>
      <c r="X8" s="88">
        <f>VALUE(庫存金額A類!W4)</f>
        <v>34260563</v>
      </c>
      <c r="Y8" s="88">
        <f>VALUE(庫存金額A類!X4)</f>
        <v>32834865</v>
      </c>
      <c r="Z8" s="88">
        <f>VALUE(庫存金額A類!Y4)</f>
        <v>31694330</v>
      </c>
      <c r="AA8" s="88">
        <f>VALUE(庫存金額A類!Z4)</f>
        <v>30805434</v>
      </c>
      <c r="AB8" s="88">
        <f>VALUE(庫存金額A類!AA4)</f>
        <v>30805434</v>
      </c>
      <c r="AC8" s="88">
        <f>VALUE(庫存金額A類!AB4)</f>
        <v>31099177</v>
      </c>
      <c r="AD8" s="88">
        <f>VALUE(庫存金額A類!AC4)</f>
        <v>31601845</v>
      </c>
      <c r="AE8" s="88">
        <f>VALUE(庫存金額A類!AD4)</f>
        <v>32933117</v>
      </c>
      <c r="AF8" s="88">
        <f>VALUE(庫存金額A類!AE4)</f>
        <v>32651303</v>
      </c>
      <c r="AG8" s="88">
        <f>VALUE(庫存金額A類!AF4)</f>
        <v>32651303</v>
      </c>
      <c r="AH8" s="88">
        <f>VALUE(庫存金額A類!AG4)</f>
        <v>32651303</v>
      </c>
      <c r="AI8" s="88">
        <f>VALUE(庫存金額A類!AH4)</f>
        <v>35389473.770000003</v>
      </c>
      <c r="AJ8" s="549">
        <f>AI8/AI9</f>
        <v>0.1186724970653838</v>
      </c>
      <c r="AK8" s="82">
        <f>HLOOKUP(MONTH(日期!$C$2)+1,A類各進口別庫存金額目標!$B$2:$M$7,6,TRUE)</f>
        <v>32470239.336586591</v>
      </c>
    </row>
    <row r="9" spans="1:37" ht="19.5">
      <c r="A9" s="682" t="s">
        <v>73</v>
      </c>
      <c r="B9" s="682"/>
      <c r="C9" s="83">
        <f>SUM(C6:C8)</f>
        <v>299861286.73782527</v>
      </c>
      <c r="D9" s="84">
        <f t="shared" ref="D9:AH9" si="0">SUM(D6:D8)</f>
        <v>311974084</v>
      </c>
      <c r="E9" s="84">
        <f t="shared" si="0"/>
        <v>307339949</v>
      </c>
      <c r="F9" s="84">
        <f t="shared" si="0"/>
        <v>304349072</v>
      </c>
      <c r="G9" s="84">
        <f t="shared" si="0"/>
        <v>304335526</v>
      </c>
      <c r="H9" s="84">
        <f t="shared" si="0"/>
        <v>305949450</v>
      </c>
      <c r="I9" s="84">
        <f t="shared" si="0"/>
        <v>304814994</v>
      </c>
      <c r="J9" s="84">
        <f t="shared" si="0"/>
        <v>313159147</v>
      </c>
      <c r="K9" s="84">
        <f t="shared" si="0"/>
        <v>315264198</v>
      </c>
      <c r="L9" s="84">
        <f t="shared" si="0"/>
        <v>320237052</v>
      </c>
      <c r="M9" s="84">
        <f t="shared" si="0"/>
        <v>314936876</v>
      </c>
      <c r="N9" s="84">
        <f t="shared" si="0"/>
        <v>314930282</v>
      </c>
      <c r="O9" s="84">
        <f t="shared" si="0"/>
        <v>314944194</v>
      </c>
      <c r="P9" s="84">
        <f t="shared" si="0"/>
        <v>313395125</v>
      </c>
      <c r="Q9" s="84">
        <f>SUM(Q6:Q8)</f>
        <v>310772860</v>
      </c>
      <c r="R9" s="84">
        <f t="shared" si="0"/>
        <v>307940880</v>
      </c>
      <c r="S9" s="84">
        <f t="shared" si="0"/>
        <v>302680475</v>
      </c>
      <c r="T9" s="84">
        <f t="shared" si="0"/>
        <v>295890173</v>
      </c>
      <c r="U9" s="84">
        <f t="shared" si="0"/>
        <v>295866348</v>
      </c>
      <c r="V9" s="84">
        <f t="shared" si="0"/>
        <v>294901039</v>
      </c>
      <c r="W9" s="84">
        <f t="shared" si="0"/>
        <v>292665866</v>
      </c>
      <c r="X9" s="84">
        <f t="shared" si="0"/>
        <v>292394873</v>
      </c>
      <c r="Y9" s="84">
        <f t="shared" si="0"/>
        <v>288012408</v>
      </c>
      <c r="Z9" s="84">
        <f t="shared" si="0"/>
        <v>286805048</v>
      </c>
      <c r="AA9" s="84">
        <f t="shared" si="0"/>
        <v>281262645</v>
      </c>
      <c r="AB9" s="84">
        <f>SUM(AB6:AB8)</f>
        <v>281254432</v>
      </c>
      <c r="AC9" s="84">
        <f t="shared" si="0"/>
        <v>281694742</v>
      </c>
      <c r="AD9" s="84">
        <f t="shared" si="0"/>
        <v>279348944</v>
      </c>
      <c r="AE9" s="84">
        <f t="shared" si="0"/>
        <v>278253460</v>
      </c>
      <c r="AF9" s="84">
        <f t="shared" si="0"/>
        <v>276437537</v>
      </c>
      <c r="AG9" s="84">
        <f t="shared" si="0"/>
        <v>276368546</v>
      </c>
      <c r="AH9" s="84">
        <f t="shared" si="0"/>
        <v>276368546</v>
      </c>
      <c r="AI9" s="84">
        <f>SUM(AI6:AI8)</f>
        <v>298211250.66999996</v>
      </c>
      <c r="AJ9" s="550">
        <f>AI9/AI$9</f>
        <v>1</v>
      </c>
      <c r="AK9" s="83">
        <f>SUM(AK6:AK8)</f>
        <v>283499382.17448181</v>
      </c>
    </row>
    <row r="10" spans="1:37">
      <c r="AI10" s="98">
        <f>AI9-C9</f>
        <v>-1650036.0678253174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72" t="s">
        <v>68</v>
      </c>
      <c r="AJ14" s="683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73"/>
      <c r="AJ15" s="684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72" t="s">
        <v>68</v>
      </c>
      <c r="AJ24" s="683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73"/>
      <c r="AJ25" s="684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AB6" activePane="bottomRight" state="frozen"/>
      <selection pane="bottomRight" activeCell="AI7" sqref="AI7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2025/05/01</v>
      </c>
      <c r="D4" s="528" t="str">
        <f>日期!D2</f>
        <v>2025/05/02</v>
      </c>
      <c r="E4" s="528" t="str">
        <f>日期!E2</f>
        <v>2025/05/03</v>
      </c>
      <c r="F4" s="528" t="str">
        <f>日期!F2</f>
        <v>2025/05/04</v>
      </c>
      <c r="G4" s="528" t="str">
        <f>日期!G2</f>
        <v>2025/05/05</v>
      </c>
      <c r="H4" s="528" t="str">
        <f>日期!H2</f>
        <v>2025/05/06</v>
      </c>
      <c r="I4" s="528" t="str">
        <f>日期!I2</f>
        <v>2025/05/07</v>
      </c>
      <c r="J4" s="528" t="str">
        <f>日期!J2</f>
        <v>2025/05/08</v>
      </c>
      <c r="K4" s="528" t="str">
        <f>日期!K2</f>
        <v>2025/05/09</v>
      </c>
      <c r="L4" s="528" t="str">
        <f>日期!L2</f>
        <v>2025/05/10</v>
      </c>
      <c r="M4" s="528" t="str">
        <f>日期!M2</f>
        <v>2025/05/11</v>
      </c>
      <c r="N4" s="528" t="str">
        <f>日期!N2</f>
        <v>2025/05/12</v>
      </c>
      <c r="O4" s="528" t="str">
        <f>日期!O2</f>
        <v>2025/05/13</v>
      </c>
      <c r="P4" s="528" t="str">
        <f>日期!P2</f>
        <v>2025/05/14</v>
      </c>
      <c r="Q4" s="528" t="str">
        <f>日期!Q2</f>
        <v>2025/05/15</v>
      </c>
      <c r="R4" s="528" t="str">
        <f>日期!R2</f>
        <v>2025/05/16</v>
      </c>
      <c r="S4" s="528" t="str">
        <f>日期!S2</f>
        <v>2025/05/17</v>
      </c>
      <c r="T4" s="528" t="str">
        <f>日期!T2</f>
        <v>2025/05/18</v>
      </c>
      <c r="U4" s="528" t="str">
        <f>日期!U2</f>
        <v>2025/05/19</v>
      </c>
      <c r="V4" s="528" t="str">
        <f>日期!V2</f>
        <v>2025/05/20</v>
      </c>
      <c r="W4" s="528" t="str">
        <f>日期!W2</f>
        <v>2025/05/21</v>
      </c>
      <c r="X4" s="528" t="str">
        <f>日期!X2</f>
        <v>2025/05/22</v>
      </c>
      <c r="Y4" s="528" t="str">
        <f>日期!Y2</f>
        <v>2025/05/23</v>
      </c>
      <c r="Z4" s="528" t="str">
        <f>日期!Z2</f>
        <v>2025/05/24</v>
      </c>
      <c r="AA4" s="528" t="str">
        <f>日期!AA2</f>
        <v>2025/05/25</v>
      </c>
      <c r="AB4" s="528" t="str">
        <f>日期!AB2</f>
        <v>2025/05/26</v>
      </c>
      <c r="AC4" s="528" t="str">
        <f>日期!AC2</f>
        <v>2025/05/27</v>
      </c>
      <c r="AD4" s="528" t="str">
        <f>日期!AD2</f>
        <v>2025/05/28</v>
      </c>
      <c r="AE4" s="528" t="str">
        <f>日期!AE2</f>
        <v>2025/05/29</v>
      </c>
      <c r="AF4" s="528" t="str">
        <f>日期!AF2</f>
        <v>2025/05/30</v>
      </c>
      <c r="AG4" s="528" t="str">
        <f>日期!AG2</f>
        <v>2025/05/31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Thu</v>
      </c>
      <c r="D5" s="522" t="str">
        <f>日期!D3</f>
        <v>Fri</v>
      </c>
      <c r="E5" s="522" t="str">
        <f>日期!E3</f>
        <v>Sat</v>
      </c>
      <c r="F5" s="522" t="str">
        <f>日期!F3</f>
        <v>Sun</v>
      </c>
      <c r="G5" s="522" t="str">
        <f>日期!G3</f>
        <v>Mon</v>
      </c>
      <c r="H5" s="522" t="str">
        <f>日期!H3</f>
        <v>Tue</v>
      </c>
      <c r="I5" s="522" t="str">
        <f>日期!I3</f>
        <v>Wed</v>
      </c>
      <c r="J5" s="522" t="str">
        <f>日期!J3</f>
        <v>Thu</v>
      </c>
      <c r="K5" s="522" t="str">
        <f>日期!K3</f>
        <v>Fri</v>
      </c>
      <c r="L5" s="522" t="str">
        <f>日期!L3</f>
        <v>Sat</v>
      </c>
      <c r="M5" s="522" t="str">
        <f>日期!M3</f>
        <v>Sun</v>
      </c>
      <c r="N5" s="522" t="str">
        <f>日期!N3</f>
        <v>Mon</v>
      </c>
      <c r="O5" s="522" t="str">
        <f>日期!O3</f>
        <v>Tue</v>
      </c>
      <c r="P5" s="522" t="str">
        <f>日期!P3</f>
        <v>Wed</v>
      </c>
      <c r="Q5" s="522" t="str">
        <f>日期!Q3</f>
        <v>Thu</v>
      </c>
      <c r="R5" s="522" t="str">
        <f>日期!R3</f>
        <v>Fri</v>
      </c>
      <c r="S5" s="522" t="str">
        <f>日期!S3</f>
        <v>Sat</v>
      </c>
      <c r="T5" s="522" t="str">
        <f>日期!T3</f>
        <v>Sun</v>
      </c>
      <c r="U5" s="522" t="str">
        <f>日期!U3</f>
        <v>Mon</v>
      </c>
      <c r="V5" s="522" t="str">
        <f>日期!V3</f>
        <v>Tue</v>
      </c>
      <c r="W5" s="522" t="str">
        <f>日期!W3</f>
        <v>Wed</v>
      </c>
      <c r="X5" s="522" t="str">
        <f>日期!X3</f>
        <v>Thu</v>
      </c>
      <c r="Y5" s="522" t="str">
        <f>日期!Y3</f>
        <v>Fri</v>
      </c>
      <c r="Z5" s="522" t="str">
        <f>日期!Z3</f>
        <v>Sat</v>
      </c>
      <c r="AA5" s="522" t="str">
        <f>日期!AA3</f>
        <v>Sun</v>
      </c>
      <c r="AB5" s="522" t="str">
        <f>日期!AB3</f>
        <v>Mon</v>
      </c>
      <c r="AC5" s="522" t="str">
        <f>日期!AC3</f>
        <v>Tue</v>
      </c>
      <c r="AD5" s="522" t="str">
        <f>日期!AD3</f>
        <v>Wed</v>
      </c>
      <c r="AE5" s="522" t="str">
        <f>日期!AE3</f>
        <v>Thu</v>
      </c>
      <c r="AF5" s="522" t="str">
        <f>日期!AF3</f>
        <v>Fri</v>
      </c>
      <c r="AG5" s="522" t="str">
        <f>日期!AG3</f>
        <v>Sat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11269974</v>
      </c>
      <c r="D6" s="103">
        <f>VALUE(期貨金額!E2)</f>
        <v>11199118</v>
      </c>
      <c r="E6" s="103">
        <f>VALUE(期貨金額!F2)</f>
        <v>10215716</v>
      </c>
      <c r="F6" s="103">
        <f>VALUE(期貨金額!G2)</f>
        <v>10215716</v>
      </c>
      <c r="G6" s="103">
        <f>VALUE(期貨金額!H2)</f>
        <v>9664888</v>
      </c>
      <c r="H6" s="103">
        <f>VALUE(期貨金額!I2)</f>
        <v>7647046</v>
      </c>
      <c r="I6" s="103">
        <f>VALUE(期貨金額!J2)</f>
        <v>7061967</v>
      </c>
      <c r="J6" s="103">
        <f>VALUE(期貨金額!K2)</f>
        <v>7016879</v>
      </c>
      <c r="K6" s="103">
        <f>VALUE(期貨金額!L2)</f>
        <v>7257779</v>
      </c>
      <c r="L6" s="103">
        <f>VALUE(期貨金額!M2)</f>
        <v>7325248</v>
      </c>
      <c r="M6" s="103">
        <f>VALUE(期貨金額!N2)</f>
        <v>7325248</v>
      </c>
      <c r="N6" s="103">
        <f>VALUE(期貨金額!O2)</f>
        <v>7293924</v>
      </c>
      <c r="O6" s="103">
        <f>VALUE(期貨金額!P2)</f>
        <v>7424014</v>
      </c>
      <c r="P6" s="103">
        <f>VALUE(期貨金額!Q2)</f>
        <v>7511787</v>
      </c>
      <c r="Q6" s="103">
        <f>VALUE(期貨金額!R2)</f>
        <v>7750505</v>
      </c>
      <c r="R6" s="103">
        <f>VALUE(期貨金額!S2)</f>
        <v>7774722</v>
      </c>
      <c r="S6" s="103">
        <f>VALUE(期貨金額!T2)</f>
        <v>7774722</v>
      </c>
      <c r="T6" s="103">
        <f>VALUE(期貨金額!U2)</f>
        <v>7774722</v>
      </c>
      <c r="U6" s="103">
        <f>VALUE(期貨金額!V2)</f>
        <v>7841622</v>
      </c>
      <c r="V6" s="103">
        <f>VALUE(期貨金額!W2)</f>
        <v>7808133</v>
      </c>
      <c r="W6" s="103">
        <f>VALUE(期貨金額!X2)</f>
        <v>7795733</v>
      </c>
      <c r="X6" s="103">
        <f>VALUE(期貨金額!Y2)</f>
        <v>7831328</v>
      </c>
      <c r="Y6" s="103">
        <f>VALUE(期貨金額!Z2)</f>
        <v>7984331</v>
      </c>
      <c r="Z6" s="103">
        <f>VALUE(期貨金額!AA2)</f>
        <v>7978830</v>
      </c>
      <c r="AA6" s="103">
        <f>VALUE(期貨金額!AB2)</f>
        <v>7978830</v>
      </c>
      <c r="AB6" s="103">
        <f>VALUE(期貨金額!AC2)</f>
        <v>8066521</v>
      </c>
      <c r="AC6" s="103">
        <f>VALUE(期貨金額!AD2)</f>
        <v>8000620</v>
      </c>
      <c r="AD6" s="103">
        <f>VALUE(期貨金額!AE2)</f>
        <v>7048446</v>
      </c>
      <c r="AE6" s="103">
        <f>VALUE(期貨金額!AF2)</f>
        <v>5543196</v>
      </c>
      <c r="AF6" s="103">
        <f>VALUE(期貨金額!AG2)</f>
        <v>5543196</v>
      </c>
      <c r="AG6" s="103">
        <f>VALUE(期貨金額!AH2)</f>
        <v>5543196</v>
      </c>
      <c r="AH6" s="103">
        <f>VALUE(期貨金額!AI2)</f>
        <v>7886063.1299999999</v>
      </c>
      <c r="AI6" s="504">
        <f>AH6/$AH$19</f>
        <v>0.47371006816628503</v>
      </c>
    </row>
    <row r="7" spans="1:35" ht="17.45">
      <c r="A7" s="105" t="s">
        <v>72</v>
      </c>
      <c r="B7" s="106" t="s">
        <v>237</v>
      </c>
      <c r="C7" s="103">
        <f>VALUE(期貨金額!D3)</f>
        <v>6346190</v>
      </c>
      <c r="D7" s="103">
        <f>VALUE(期貨金額!E3)</f>
        <v>6359939</v>
      </c>
      <c r="E7" s="103">
        <f>VALUE(期貨金額!F3)</f>
        <v>6381708</v>
      </c>
      <c r="F7" s="103">
        <f>VALUE(期貨金額!G3)</f>
        <v>6381708</v>
      </c>
      <c r="G7" s="103">
        <f>VALUE(期貨金額!H3)</f>
        <v>6696677</v>
      </c>
      <c r="H7" s="103">
        <f>VALUE(期貨金額!I3)</f>
        <v>8008940</v>
      </c>
      <c r="I7" s="103">
        <f>VALUE(期貨金額!J3)</f>
        <v>5417301</v>
      </c>
      <c r="J7" s="103">
        <f>VALUE(期貨金額!K3)</f>
        <v>5363136</v>
      </c>
      <c r="K7" s="103">
        <f>VALUE(期貨金額!L3)</f>
        <v>5243232</v>
      </c>
      <c r="L7" s="103">
        <f>VALUE(期貨金額!M3)</f>
        <v>5249076</v>
      </c>
      <c r="M7" s="103">
        <f>VALUE(期貨金額!N3)</f>
        <v>5249076</v>
      </c>
      <c r="N7" s="103">
        <f>VALUE(期貨金額!O3)</f>
        <v>5257668</v>
      </c>
      <c r="O7" s="103">
        <f>VALUE(期貨金額!P3)</f>
        <v>5864927</v>
      </c>
      <c r="P7" s="103">
        <f>VALUE(期貨金額!Q3)</f>
        <v>5713884</v>
      </c>
      <c r="Q7" s="103">
        <f>VALUE(期貨金額!R3)</f>
        <v>5700124</v>
      </c>
      <c r="R7" s="103">
        <f>VALUE(期貨金額!S3)</f>
        <v>5493048</v>
      </c>
      <c r="S7" s="103">
        <f>VALUE(期貨金額!T3)</f>
        <v>5493048</v>
      </c>
      <c r="T7" s="103">
        <f>VALUE(期貨金額!U3)</f>
        <v>5493048</v>
      </c>
      <c r="U7" s="103">
        <f>VALUE(期貨金額!V3)</f>
        <v>5445753</v>
      </c>
      <c r="V7" s="103">
        <f>VALUE(期貨金額!W3)</f>
        <v>5438368</v>
      </c>
      <c r="W7" s="103">
        <f>VALUE(期貨金額!X3)</f>
        <v>5433008</v>
      </c>
      <c r="X7" s="103">
        <f>VALUE(期貨金額!Y3)</f>
        <v>5383803</v>
      </c>
      <c r="Y7" s="103">
        <f>VALUE(期貨金額!Z3)</f>
        <v>5135085</v>
      </c>
      <c r="Z7" s="103">
        <f>VALUE(期貨金額!AA3)</f>
        <v>5170416</v>
      </c>
      <c r="AA7" s="103">
        <f>VALUE(期貨金額!AB3)</f>
        <v>5170416</v>
      </c>
      <c r="AB7" s="103">
        <f>VALUE(期貨金額!AC3)</f>
        <v>5375722</v>
      </c>
      <c r="AC7" s="103">
        <f>VALUE(期貨金額!AD3)</f>
        <v>5309001</v>
      </c>
      <c r="AD7" s="103">
        <f>VALUE(期貨金額!AE3)</f>
        <v>5301032</v>
      </c>
      <c r="AE7" s="103">
        <f>VALUE(期貨金額!AF3)</f>
        <v>5225078</v>
      </c>
      <c r="AF7" s="103">
        <f>VALUE(期貨金額!AG3)</f>
        <v>5225078</v>
      </c>
      <c r="AG7" s="103">
        <f>VALUE(期貨金額!AH3)</f>
        <v>5225078</v>
      </c>
      <c r="AH7" s="103">
        <f>VALUE(期貨金額!AI3)</f>
        <v>5630663.4800000004</v>
      </c>
      <c r="AI7" s="504">
        <f t="shared" ref="AI7:AI17" si="0">AH7/$AH$19</f>
        <v>0.3382298539793977</v>
      </c>
    </row>
    <row r="8" spans="1:35" ht="17.45">
      <c r="A8" s="105" t="s">
        <v>72</v>
      </c>
      <c r="B8" s="106">
        <v>4</v>
      </c>
      <c r="C8" s="103">
        <f>VALUE(期貨金額!D4)</f>
        <v>3592653</v>
      </c>
      <c r="D8" s="103">
        <f>VALUE(期貨金額!E4)</f>
        <v>3603441</v>
      </c>
      <c r="E8" s="103">
        <f>VALUE(期貨金額!F4)</f>
        <v>3603441</v>
      </c>
      <c r="F8" s="103">
        <f>VALUE(期貨金額!G4)</f>
        <v>3603441</v>
      </c>
      <c r="G8" s="103">
        <f>VALUE(期貨金額!H4)</f>
        <v>3438490</v>
      </c>
      <c r="H8" s="103">
        <f>VALUE(期貨金額!I4)</f>
        <v>3611995</v>
      </c>
      <c r="I8" s="103">
        <f>VALUE(期貨金額!J4)</f>
        <v>3573832</v>
      </c>
      <c r="J8" s="103">
        <f>VALUE(期貨金額!K4)</f>
        <v>3660313</v>
      </c>
      <c r="K8" s="103">
        <f>VALUE(期貨金額!L4)</f>
        <v>3602557</v>
      </c>
      <c r="L8" s="103">
        <f>VALUE(期貨金額!M4)</f>
        <v>3602662</v>
      </c>
      <c r="M8" s="103">
        <f>VALUE(期貨金額!N4)</f>
        <v>3602662</v>
      </c>
      <c r="N8" s="103">
        <f>VALUE(期貨金額!O4)</f>
        <v>3602762</v>
      </c>
      <c r="O8" s="103">
        <f>VALUE(期貨金額!P4)</f>
        <v>3613248</v>
      </c>
      <c r="P8" s="103">
        <f>VALUE(期貨金額!Q4)</f>
        <v>3587858</v>
      </c>
      <c r="Q8" s="103">
        <f>VALUE(期貨金額!R4)</f>
        <v>3468947</v>
      </c>
      <c r="R8" s="103">
        <f>VALUE(期貨金額!S4)</f>
        <v>3469753</v>
      </c>
      <c r="S8" s="103">
        <f>VALUE(期貨金額!T4)</f>
        <v>3469753</v>
      </c>
      <c r="T8" s="103">
        <f>VALUE(期貨金額!U4)</f>
        <v>3469753</v>
      </c>
      <c r="U8" s="103">
        <f>VALUE(期貨金額!V4)</f>
        <v>3469840</v>
      </c>
      <c r="V8" s="103">
        <f>VALUE(期貨金額!W4)</f>
        <v>3462629</v>
      </c>
      <c r="W8" s="103">
        <f>VALUE(期貨金額!X4)</f>
        <v>3384277</v>
      </c>
      <c r="X8" s="103">
        <f>VALUE(期貨金額!Y4)</f>
        <v>3367385</v>
      </c>
      <c r="Y8" s="103">
        <f>VALUE(期貨金額!Z4)</f>
        <v>3297941</v>
      </c>
      <c r="Z8" s="103">
        <f>VALUE(期貨金額!AA4)</f>
        <v>3297941</v>
      </c>
      <c r="AA8" s="103">
        <f>VALUE(期貨金額!AB4)</f>
        <v>3297941</v>
      </c>
      <c r="AB8" s="103">
        <f>VALUE(期貨金額!AC4)</f>
        <v>3089159</v>
      </c>
      <c r="AC8" s="103">
        <f>VALUE(期貨金額!AD4)</f>
        <v>3126783</v>
      </c>
      <c r="AD8" s="103">
        <f>VALUE(期貨金額!AE4)</f>
        <v>1504496</v>
      </c>
      <c r="AE8" s="103">
        <f>VALUE(期貨金額!AF4)</f>
        <v>54178</v>
      </c>
      <c r="AF8" s="103">
        <f>VALUE(期貨金額!AG4)</f>
        <v>54178</v>
      </c>
      <c r="AG8" s="103">
        <f>VALUE(期貨金額!AH4)</f>
        <v>54178</v>
      </c>
      <c r="AH8" s="103">
        <f>VALUE(期貨金額!AI4)</f>
        <v>3085112.48</v>
      </c>
      <c r="AI8" s="504">
        <f t="shared" si="0"/>
        <v>0.1853204595385298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24192</v>
      </c>
      <c r="J14" s="103">
        <f>VALUE(期貨金額!K11)</f>
        <v>24192</v>
      </c>
      <c r="K14" s="103">
        <f>VALUE(期貨金額!L11)</f>
        <v>24192</v>
      </c>
      <c r="L14" s="103">
        <f>VALUE(期貨金額!M11)</f>
        <v>24192</v>
      </c>
      <c r="M14" s="103">
        <f>VALUE(期貨金額!N11)</f>
        <v>24192</v>
      </c>
      <c r="N14" s="103">
        <f>VALUE(期貨金額!O11)</f>
        <v>24192</v>
      </c>
      <c r="O14" s="103">
        <f>VALUE(期貨金額!P11)</f>
        <v>24192</v>
      </c>
      <c r="P14" s="103">
        <f>VALUE(期貨金額!Q11)</f>
        <v>24192</v>
      </c>
      <c r="Q14" s="103">
        <f>VALUE(期貨金額!R11)</f>
        <v>24192</v>
      </c>
      <c r="R14" s="103">
        <f>VALUE(期貨金額!S11)</f>
        <v>24192</v>
      </c>
      <c r="S14" s="103">
        <f>VALUE(期貨金額!T11)</f>
        <v>24192</v>
      </c>
      <c r="T14" s="103">
        <f>VALUE(期貨金額!U11)</f>
        <v>24192</v>
      </c>
      <c r="U14" s="103">
        <f>VALUE(期貨金額!V11)</f>
        <v>24192</v>
      </c>
      <c r="V14" s="103">
        <f>VALUE(期貨金額!W11)</f>
        <v>24192</v>
      </c>
      <c r="W14" s="103">
        <f>VALUE(期貨金額!X11)</f>
        <v>24192</v>
      </c>
      <c r="X14" s="103">
        <f>VALUE(期貨金額!Y11)</f>
        <v>24192</v>
      </c>
      <c r="Y14" s="103">
        <f>VALUE(期貨金額!Z11)</f>
        <v>24192</v>
      </c>
      <c r="Z14" s="103">
        <f>VALUE(期貨金額!AA11)</f>
        <v>24192</v>
      </c>
      <c r="AA14" s="103">
        <f>VALUE(期貨金額!AB11)</f>
        <v>24192</v>
      </c>
      <c r="AB14" s="103">
        <f>VALUE(期貨金額!AC11)</f>
        <v>24192</v>
      </c>
      <c r="AC14" s="103">
        <f>VALUE(期貨金額!AD11)</f>
        <v>24192</v>
      </c>
      <c r="AD14" s="103">
        <f>VALUE(期貨金額!AE11)</f>
        <v>24192</v>
      </c>
      <c r="AE14" s="103">
        <f>VALUE(期貨金額!AF11)</f>
        <v>24192</v>
      </c>
      <c r="AF14" s="103">
        <f>VALUE(期貨金額!AG11)</f>
        <v>24192</v>
      </c>
      <c r="AG14" s="103">
        <f>VALUE(期貨金額!AH11)</f>
        <v>24192</v>
      </c>
      <c r="AH14" s="103">
        <f>VALUE(期貨金額!AI11)</f>
        <v>19509.68</v>
      </c>
      <c r="AI14" s="504">
        <f t="shared" si="0"/>
        <v>1.171932267133957E-3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6350</v>
      </c>
      <c r="D17" s="103">
        <f>VALUE(期貨金額!E15)</f>
        <v>6350</v>
      </c>
      <c r="E17" s="103">
        <f>VALUE(期貨金額!F15)</f>
        <v>6350</v>
      </c>
      <c r="F17" s="103">
        <f>VALUE(期貨金額!G15)</f>
        <v>6350</v>
      </c>
      <c r="G17" s="103">
        <f>VALUE(期貨金額!H15)</f>
        <v>11444</v>
      </c>
      <c r="H17" s="103">
        <f>VALUE(期貨金額!I15)</f>
        <v>47744</v>
      </c>
      <c r="I17" s="103">
        <f>VALUE(期貨金額!J15)</f>
        <v>47744</v>
      </c>
      <c r="J17" s="103">
        <f>VALUE(期貨金額!K15)</f>
        <v>47744</v>
      </c>
      <c r="K17" s="103">
        <f>VALUE(期貨金額!L15)</f>
        <v>47744</v>
      </c>
      <c r="L17" s="103">
        <f>VALUE(期貨金額!M15)</f>
        <v>47744</v>
      </c>
      <c r="M17" s="103">
        <f>VALUE(期貨金額!N15)</f>
        <v>47744</v>
      </c>
      <c r="N17" s="103">
        <f>VALUE(期貨金額!O15)</f>
        <v>55051</v>
      </c>
      <c r="O17" s="103">
        <f>VALUE(期貨金額!P15)</f>
        <v>18751</v>
      </c>
      <c r="P17" s="103">
        <f>VALUE(期貨金額!Q15)</f>
        <v>23349</v>
      </c>
      <c r="Q17" s="103">
        <f>VALUE(期貨金額!R15)</f>
        <v>23349</v>
      </c>
      <c r="R17" s="103">
        <f>VALUE(期貨金額!S15)</f>
        <v>23349</v>
      </c>
      <c r="S17" s="103">
        <f>VALUE(期貨金額!T15)</f>
        <v>23349</v>
      </c>
      <c r="T17" s="103">
        <f>VALUE(期貨金額!U15)</f>
        <v>23349</v>
      </c>
      <c r="U17" s="103">
        <f>VALUE(期貨金額!V15)</f>
        <v>25714</v>
      </c>
      <c r="V17" s="103">
        <f>VALUE(期貨金額!W15)</f>
        <v>25714</v>
      </c>
      <c r="W17" s="103">
        <f>VALUE(期貨金額!X15)</f>
        <v>25714</v>
      </c>
      <c r="X17" s="103">
        <f>VALUE(期貨金額!Y15)</f>
        <v>25714</v>
      </c>
      <c r="Y17" s="103">
        <f>VALUE(期貨金額!Z15)</f>
        <v>25714</v>
      </c>
      <c r="Z17" s="103">
        <f>VALUE(期貨金額!AA15)</f>
        <v>25714</v>
      </c>
      <c r="AA17" s="103">
        <f>VALUE(期貨金額!AB15)</f>
        <v>25714</v>
      </c>
      <c r="AB17" s="103">
        <f>VALUE(期貨金額!AC15)</f>
        <v>25714</v>
      </c>
      <c r="AC17" s="103">
        <f>VALUE(期貨金額!AD15)</f>
        <v>17894</v>
      </c>
      <c r="AD17" s="103">
        <f>VALUE(期貨金額!AE15)</f>
        <v>17894</v>
      </c>
      <c r="AE17" s="103">
        <f>VALUE(期貨金額!AF15)</f>
        <v>17894</v>
      </c>
      <c r="AF17" s="103">
        <f>VALUE(期貨金額!AG15)</f>
        <v>17894</v>
      </c>
      <c r="AG17" s="103">
        <f>VALUE(期貨金額!AH15)</f>
        <v>17894</v>
      </c>
      <c r="AH17" s="103">
        <f>VALUE(期貨金額!AI15)</f>
        <v>26097.97</v>
      </c>
      <c r="AI17" s="504">
        <f t="shared" si="0"/>
        <v>1.5676860486534886E-3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21215167</v>
      </c>
      <c r="D19" s="107">
        <f t="shared" si="1"/>
        <v>21168848</v>
      </c>
      <c r="E19" s="107">
        <f t="shared" si="1"/>
        <v>20207215</v>
      </c>
      <c r="F19" s="107">
        <f t="shared" si="1"/>
        <v>20207215</v>
      </c>
      <c r="G19" s="107">
        <f t="shared" si="1"/>
        <v>19811499</v>
      </c>
      <c r="H19" s="107">
        <f t="shared" si="1"/>
        <v>19315725</v>
      </c>
      <c r="I19" s="107">
        <f t="shared" si="1"/>
        <v>16125036</v>
      </c>
      <c r="J19" s="107">
        <f t="shared" si="1"/>
        <v>16112264</v>
      </c>
      <c r="K19" s="107">
        <f t="shared" si="1"/>
        <v>16175504</v>
      </c>
      <c r="L19" s="107">
        <f t="shared" si="1"/>
        <v>16248922</v>
      </c>
      <c r="M19" s="107">
        <f t="shared" si="1"/>
        <v>16248922</v>
      </c>
      <c r="N19" s="107">
        <f t="shared" si="1"/>
        <v>16233597</v>
      </c>
      <c r="O19" s="107">
        <f t="shared" si="1"/>
        <v>16945132</v>
      </c>
      <c r="P19" s="107">
        <f t="shared" si="1"/>
        <v>16861070</v>
      </c>
      <c r="Q19" s="107">
        <f t="shared" si="1"/>
        <v>16967117</v>
      </c>
      <c r="R19" s="107">
        <f t="shared" si="1"/>
        <v>16785064</v>
      </c>
      <c r="S19" s="107">
        <f t="shared" si="1"/>
        <v>16785064</v>
      </c>
      <c r="T19" s="107">
        <f t="shared" si="1"/>
        <v>16785064</v>
      </c>
      <c r="U19" s="107">
        <f t="shared" si="1"/>
        <v>16807121</v>
      </c>
      <c r="V19" s="107">
        <f t="shared" si="1"/>
        <v>16759036</v>
      </c>
      <c r="W19" s="107">
        <f t="shared" si="1"/>
        <v>16662924</v>
      </c>
      <c r="X19" s="107">
        <f>SUM(X6:X18)</f>
        <v>16632422</v>
      </c>
      <c r="Y19" s="107">
        <f t="shared" si="1"/>
        <v>16467263</v>
      </c>
      <c r="Z19" s="107">
        <f t="shared" si="1"/>
        <v>16497093</v>
      </c>
      <c r="AA19" s="107">
        <f t="shared" si="1"/>
        <v>16497093</v>
      </c>
      <c r="AB19" s="107">
        <f t="shared" si="1"/>
        <v>16581308</v>
      </c>
      <c r="AC19" s="107">
        <f t="shared" si="1"/>
        <v>16478490</v>
      </c>
      <c r="AD19" s="107">
        <f t="shared" si="1"/>
        <v>13896060</v>
      </c>
      <c r="AE19" s="107">
        <f t="shared" si="1"/>
        <v>10864538</v>
      </c>
      <c r="AF19" s="107">
        <f t="shared" si="1"/>
        <v>10864538</v>
      </c>
      <c r="AG19" s="107">
        <f t="shared" si="1"/>
        <v>10864538</v>
      </c>
      <c r="AH19" s="107">
        <f t="shared" si="1"/>
        <v>16647446.74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1815285</v>
      </c>
      <c r="D20" s="103">
        <f>VALUE(期貨金額!E7)</f>
        <v>1834673</v>
      </c>
      <c r="E20" s="103">
        <f>VALUE(期貨金額!F7)</f>
        <v>1792821</v>
      </c>
      <c r="F20" s="103">
        <f>VALUE(期貨金額!G7)</f>
        <v>1792821</v>
      </c>
      <c r="G20" s="103">
        <f>VALUE(期貨金額!H7)</f>
        <v>1933945</v>
      </c>
      <c r="H20" s="103">
        <f>VALUE(期貨金額!I7)</f>
        <v>1938267</v>
      </c>
      <c r="I20" s="103">
        <f>VALUE(期貨金額!J7)</f>
        <v>1754019</v>
      </c>
      <c r="J20" s="103">
        <f>VALUE(期貨金額!K7)</f>
        <v>1743335</v>
      </c>
      <c r="K20" s="103">
        <f>VALUE(期貨金額!L7)</f>
        <v>1750941</v>
      </c>
      <c r="L20" s="103">
        <f>VALUE(期貨金額!M7)</f>
        <v>1744125</v>
      </c>
      <c r="M20" s="103">
        <f>VALUE(期貨金額!N7)</f>
        <v>1744125</v>
      </c>
      <c r="N20" s="103">
        <f>VALUE(期貨金額!O7)</f>
        <v>1743153</v>
      </c>
      <c r="O20" s="103">
        <f>VALUE(期貨金額!P7)</f>
        <v>1755930</v>
      </c>
      <c r="P20" s="103">
        <f>VALUE(期貨金額!Q7)</f>
        <v>2952221</v>
      </c>
      <c r="Q20" s="103">
        <f>VALUE(期貨金額!R7)</f>
        <v>2792471</v>
      </c>
      <c r="R20" s="103">
        <f>VALUE(期貨金額!S7)</f>
        <v>4076022</v>
      </c>
      <c r="S20" s="103">
        <f>VALUE(期貨金額!T7)</f>
        <v>4052412</v>
      </c>
      <c r="T20" s="103">
        <f>VALUE(期貨金額!U7)</f>
        <v>4052412</v>
      </c>
      <c r="U20" s="103">
        <f>VALUE(期貨金額!V7)</f>
        <v>4073631</v>
      </c>
      <c r="V20" s="103">
        <f>VALUE(期貨金額!W7)</f>
        <v>5468026</v>
      </c>
      <c r="W20" s="103">
        <f>VALUE(期貨金額!X7)</f>
        <v>5466760</v>
      </c>
      <c r="X20" s="103">
        <f>VALUE(期貨金額!Y7)</f>
        <v>5482660</v>
      </c>
      <c r="Y20" s="103">
        <f>VALUE(期貨金額!Z7)</f>
        <v>7112763</v>
      </c>
      <c r="Z20" s="103">
        <f>VALUE(期貨金額!AA7)</f>
        <v>7108225</v>
      </c>
      <c r="AA20" s="103">
        <f>VALUE(期貨金額!AB7)</f>
        <v>7108225</v>
      </c>
      <c r="AB20" s="103">
        <f>VALUE(期貨金額!AC7)</f>
        <v>7131861</v>
      </c>
      <c r="AC20" s="103">
        <f>VALUE(期貨金額!AD7)</f>
        <v>7164131</v>
      </c>
      <c r="AD20" s="103">
        <f>VALUE(期貨金額!AE7)</f>
        <v>7073896</v>
      </c>
      <c r="AE20" s="103">
        <f>VALUE(期貨金額!AF7)</f>
        <v>8233891</v>
      </c>
      <c r="AF20" s="103">
        <f>VALUE(期貨金額!AG7)</f>
        <v>8233891</v>
      </c>
      <c r="AG20" s="103">
        <f>VALUE(期貨金額!AH7)</f>
        <v>8233891</v>
      </c>
      <c r="AH20" s="103">
        <f>VALUE(期貨金額!AI7)</f>
        <v>4166478.35</v>
      </c>
      <c r="AI20" s="504">
        <f>AH20/$AH$26</f>
        <v>0.99998476434352757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1968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63.48</v>
      </c>
      <c r="AI22" s="504">
        <f t="shared" si="2"/>
        <v>1.5235656472456438E-5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1817253</v>
      </c>
      <c r="D26" s="107">
        <f>SUM(D20:D25)</f>
        <v>1834673</v>
      </c>
      <c r="E26" s="107">
        <f>SUM(E20:E25)</f>
        <v>1792821</v>
      </c>
      <c r="F26" s="107">
        <f t="shared" ref="F26:AH26" si="3">SUM(F20:F25)</f>
        <v>1792821</v>
      </c>
      <c r="G26" s="107">
        <f t="shared" si="3"/>
        <v>1933945</v>
      </c>
      <c r="H26" s="107">
        <f t="shared" si="3"/>
        <v>1938267</v>
      </c>
      <c r="I26" s="107">
        <f t="shared" si="3"/>
        <v>1754019</v>
      </c>
      <c r="J26" s="107">
        <f t="shared" si="3"/>
        <v>1743335</v>
      </c>
      <c r="K26" s="107">
        <f t="shared" si="3"/>
        <v>1750941</v>
      </c>
      <c r="L26" s="107">
        <f t="shared" si="3"/>
        <v>1744125</v>
      </c>
      <c r="M26" s="107">
        <f t="shared" si="3"/>
        <v>1744125</v>
      </c>
      <c r="N26" s="107">
        <f t="shared" si="3"/>
        <v>1743153</v>
      </c>
      <c r="O26" s="107">
        <f t="shared" si="3"/>
        <v>1755930</v>
      </c>
      <c r="P26" s="107">
        <f t="shared" si="3"/>
        <v>2952221</v>
      </c>
      <c r="Q26" s="107">
        <f t="shared" si="3"/>
        <v>2792471</v>
      </c>
      <c r="R26" s="107">
        <f t="shared" si="3"/>
        <v>4076022</v>
      </c>
      <c r="S26" s="107">
        <f t="shared" si="3"/>
        <v>4052412</v>
      </c>
      <c r="T26" s="107">
        <f t="shared" si="3"/>
        <v>4052412</v>
      </c>
      <c r="U26" s="107">
        <f t="shared" si="3"/>
        <v>4073631</v>
      </c>
      <c r="V26" s="107">
        <f t="shared" si="3"/>
        <v>5468026</v>
      </c>
      <c r="W26" s="107">
        <f t="shared" si="3"/>
        <v>5466760</v>
      </c>
      <c r="X26" s="107">
        <f t="shared" si="3"/>
        <v>5482660</v>
      </c>
      <c r="Y26" s="107">
        <f t="shared" si="3"/>
        <v>7112763</v>
      </c>
      <c r="Z26" s="107">
        <f t="shared" si="3"/>
        <v>7108225</v>
      </c>
      <c r="AA26" s="107">
        <f t="shared" si="3"/>
        <v>7108225</v>
      </c>
      <c r="AB26" s="107">
        <f t="shared" si="3"/>
        <v>7131861</v>
      </c>
      <c r="AC26" s="107">
        <f t="shared" si="3"/>
        <v>7164131</v>
      </c>
      <c r="AD26" s="107">
        <f t="shared" si="3"/>
        <v>7073896</v>
      </c>
      <c r="AE26" s="107">
        <f t="shared" si="3"/>
        <v>8233891</v>
      </c>
      <c r="AF26" s="107">
        <f t="shared" si="3"/>
        <v>8233891</v>
      </c>
      <c r="AG26" s="107">
        <f t="shared" si="3"/>
        <v>8233891</v>
      </c>
      <c r="AH26" s="107">
        <f t="shared" si="3"/>
        <v>4166541.83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55" t="s">
        <v>9</v>
      </c>
      <c r="B3" s="756"/>
      <c r="C3" s="757"/>
      <c r="D3" s="119">
        <f>D4+D11+D16</f>
        <v>569493119.62000012</v>
      </c>
      <c r="E3" s="119">
        <f>E4+E11+E16</f>
        <v>583053038.44999993</v>
      </c>
      <c r="F3" s="119">
        <f>F4+F11+F16</f>
        <v>607796399.83000004</v>
      </c>
      <c r="G3" s="119">
        <f t="shared" ref="G3:P3" si="0">G4+G11+G16</f>
        <v>619189731.31000018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594883076</v>
      </c>
      <c r="Q3" s="529">
        <v>464677576.2836622</v>
      </c>
    </row>
    <row r="4" spans="1:17" ht="13.5">
      <c r="A4" s="123"/>
      <c r="B4" s="758" t="s">
        <v>10</v>
      </c>
      <c r="C4" s="759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348523432.14000005</v>
      </c>
      <c r="G4" s="124">
        <f t="shared" si="1"/>
        <v>348439620.67000008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346020235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303547104.61000001</v>
      </c>
      <c r="G5" s="129">
        <f>VALUE(月庫存金額!F2)</f>
        <v>305015691.73000002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298934055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6022622.2300000004</v>
      </c>
      <c r="G6" s="129">
        <f>VALUE(月庫存金額!F4)</f>
        <v>6246401.6699999999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6609067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7939466.9400000004</v>
      </c>
      <c r="G7" s="129">
        <f>VALUE(月庫存金額!F5)</f>
        <v>7405026.5999999996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9291496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19671570.68</v>
      </c>
      <c r="G8" s="129">
        <f>VALUE(月庫存金額!F6)</f>
        <v>18629028.170000002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19818962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11342667.68</v>
      </c>
      <c r="G10" s="129">
        <f>VALUE(月庫存金額!F8)</f>
        <v>11143472.5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11366655</v>
      </c>
      <c r="Q10" s="531">
        <v>7409428.2792333327</v>
      </c>
    </row>
    <row r="11" spans="1:17" ht="13.5">
      <c r="A11" s="126"/>
      <c r="B11" s="760" t="s">
        <v>17</v>
      </c>
      <c r="C11" s="761"/>
      <c r="D11" s="133">
        <f>SUM(D12:D15)</f>
        <v>1990385.5499999998</v>
      </c>
      <c r="E11" s="133">
        <f>SUM(E12:E15)</f>
        <v>1846899.3900000001</v>
      </c>
      <c r="F11" s="133">
        <f>SUM(F12:F15)</f>
        <v>1660307.04</v>
      </c>
      <c r="G11" s="133">
        <f t="shared" ref="G11:P11" si="2">SUM(G12:G15)</f>
        <v>2449045.6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1986660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1354194.52</v>
      </c>
      <c r="G13" s="129">
        <f>VALUE(月庫存金額!F10)</f>
        <v>2181402.27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1695067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306112.52</v>
      </c>
      <c r="G15" s="129">
        <f>VALUE(月庫存金額!F14)</f>
        <v>267643.33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291593</v>
      </c>
      <c r="Q15" s="531">
        <v>410834.40910555562</v>
      </c>
    </row>
    <row r="16" spans="1:17" ht="14.25" customHeight="1">
      <c r="A16" s="126"/>
      <c r="B16" s="758" t="s">
        <v>22</v>
      </c>
      <c r="C16" s="759"/>
      <c r="D16" s="133">
        <f>SUM(D17:D23)</f>
        <v>225286503.73000002</v>
      </c>
      <c r="E16" s="133">
        <f>SUM(E17:E23)</f>
        <v>236304490.78</v>
      </c>
      <c r="F16" s="133">
        <f>SUM(F17:F23)</f>
        <v>257612660.65000001</v>
      </c>
      <c r="G16" s="133">
        <f t="shared" ref="G16:O16" si="3">SUM(G17:G23)</f>
        <v>268301065.04000002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246876181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230735445.38999999</v>
      </c>
      <c r="G17" s="129">
        <f>VALUE(月庫存金額!F3)</f>
        <v>242111303.37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225770603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1864895.61</v>
      </c>
      <c r="G18" s="129">
        <f>VALUE(月庫存金額!F13)</f>
        <v>1992262.87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2247630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161176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161176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24401515.809999999</v>
      </c>
      <c r="G21" s="129">
        <f>VALUE(月庫存金額!F19)</f>
        <v>23605583.469999999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18267350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97968.03</v>
      </c>
      <c r="G22" s="129">
        <f>VALUE(月庫存金額!F11)</f>
        <v>94797.33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101611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188859.81</v>
      </c>
      <c r="G23" s="129">
        <f>VALUE(月庫存金額!F22)</f>
        <v>173142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165011</v>
      </c>
      <c r="Q23" s="531">
        <v>446571.5</v>
      </c>
    </row>
    <row r="24" spans="1:17" ht="14.25" customHeight="1">
      <c r="A24" s="126"/>
      <c r="B24" s="758" t="s">
        <v>30</v>
      </c>
      <c r="C24" s="759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15310385.539999999</v>
      </c>
      <c r="G24" s="133">
        <f t="shared" si="4"/>
        <v>16115786.370000001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14994309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9381405.6099999994</v>
      </c>
      <c r="G27" s="129">
        <f>VALUE(月庫存金額!F25)</f>
        <v>8789643.9000000004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9192419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5928979.9299999997</v>
      </c>
      <c r="G28" s="129">
        <f>VALUE(月庫存金額!F26)</f>
        <v>7326142.4699999997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5801890</v>
      </c>
      <c r="Q28" s="531"/>
    </row>
    <row r="29" spans="1:17" ht="13.5">
      <c r="A29" s="762" t="s">
        <v>36</v>
      </c>
      <c r="B29" s="763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1608277.81</v>
      </c>
      <c r="G29" s="140">
        <f>VALUE(月庫存金額!F15)</f>
        <v>1614727.63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1616553</v>
      </c>
      <c r="Q29" s="533"/>
    </row>
    <row r="30" spans="1:17" ht="13.5">
      <c r="A30" s="764"/>
      <c r="B30" s="765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764"/>
      <c r="B31" s="765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6569016.8700000001</v>
      </c>
      <c r="G31" s="143">
        <f>VALUE(月庫存金額!F17)</f>
        <v>6269507.0999999996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6048482</v>
      </c>
      <c r="Q31" s="534"/>
    </row>
    <row r="32" spans="1:17" ht="14.1" thickBot="1">
      <c r="A32" s="766"/>
      <c r="B32" s="767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11760706.42</v>
      </c>
      <c r="G32" s="147">
        <f>VALUE(月庫存金額!F18)</f>
        <v>10427096.5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11362159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29" t="s">
        <v>1</v>
      </c>
      <c r="B36" s="730"/>
      <c r="C36" s="730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55" t="s">
        <v>9</v>
      </c>
      <c r="B37" s="756"/>
      <c r="C37" s="757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P37" si="5">G38+G45+G50</f>
        <v>645404569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620352059</v>
      </c>
      <c r="Q37" s="121"/>
    </row>
    <row r="38" spans="1:17" ht="13.5">
      <c r="A38" s="123"/>
      <c r="B38" s="758" t="s">
        <v>10</v>
      </c>
      <c r="C38" s="759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357064395</v>
      </c>
      <c r="G38" s="124">
        <f t="shared" si="6"/>
        <v>369063594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363133490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307804297</v>
      </c>
      <c r="G39" s="130">
        <f>VALUE(月庫存金額!S2)</f>
        <v>311952904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308322760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7953023</v>
      </c>
      <c r="G40" s="130">
        <f>VALUE(月庫存金額!S4)</f>
        <v>6400194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8190649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6604155</v>
      </c>
      <c r="G41" s="130">
        <f>VALUE(月庫存金額!S5)</f>
        <v>6800876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8866156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21071693</v>
      </c>
      <c r="G42" s="130">
        <f>VALUE(月庫存金額!S6)</f>
        <v>21065273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21051552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13631227</v>
      </c>
      <c r="G44" s="130">
        <f>VALUE(月庫存金額!S8)</f>
        <v>22844347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16702373</v>
      </c>
      <c r="Q44" s="121"/>
    </row>
    <row r="45" spans="1:17" ht="13.5">
      <c r="A45" s="126"/>
      <c r="B45" s="760" t="s">
        <v>17</v>
      </c>
      <c r="C45" s="761"/>
      <c r="D45" s="124">
        <f>SUM(D46:D49)</f>
        <v>2040687</v>
      </c>
      <c r="E45" s="124">
        <f>SUM(E46:E49)</f>
        <v>2030574</v>
      </c>
      <c r="F45" s="124">
        <f>SUM(F46:F49)</f>
        <v>1752264</v>
      </c>
      <c r="G45" s="124">
        <f t="shared" ref="G45:P45" si="7">SUM(G46:G49)</f>
        <v>2885530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2177264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1480486</v>
      </c>
      <c r="G47" s="130">
        <f>VALUE(月庫存金額!S10)</f>
        <v>2642042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1886353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271778</v>
      </c>
      <c r="G49" s="130">
        <f>VALUE(月庫存金額!S14)</f>
        <v>243488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290911</v>
      </c>
      <c r="Q49" s="121"/>
    </row>
    <row r="50" spans="1:17" ht="16.5" customHeight="1">
      <c r="A50" s="126"/>
      <c r="B50" s="760" t="s">
        <v>22</v>
      </c>
      <c r="C50" s="761"/>
      <c r="D50" s="124">
        <f>SUM(D51:D57)</f>
        <v>230494127</v>
      </c>
      <c r="E50" s="124">
        <f>SUM(E51:E57)</f>
        <v>253496760</v>
      </c>
      <c r="F50" s="124">
        <f>SUM(F51:F57)</f>
        <v>262718885</v>
      </c>
      <c r="G50" s="124">
        <f t="shared" ref="G50:P50" si="8">SUM(G51:G57)</f>
        <v>273455445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255041305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234536820</v>
      </c>
      <c r="G51" s="130">
        <f>VALUE(月庫存金額!S3)</f>
        <v>249410081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232645519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2572318</v>
      </c>
      <c r="G52" s="130">
        <f>VALUE(月庫存金額!S13)</f>
        <v>1381676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2644689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161176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161176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25013368</v>
      </c>
      <c r="G55" s="130">
        <f>VALUE(月庫存金額!S19)</f>
        <v>22038535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19145149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93089</v>
      </c>
      <c r="G56" s="130">
        <f>VALUE(月庫存金額!S11)</f>
        <v>91839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99652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179314</v>
      </c>
      <c r="G57" s="130">
        <f>VALUE(月庫存金額!S22)</f>
        <v>209338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182320</v>
      </c>
      <c r="Q57" s="121"/>
    </row>
    <row r="58" spans="1:17" ht="14.25" customHeight="1">
      <c r="A58" s="126"/>
      <c r="B58" s="758" t="s">
        <v>30</v>
      </c>
      <c r="C58" s="759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15562525</v>
      </c>
      <c r="G58" s="124">
        <f t="shared" si="9"/>
        <v>18824480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15719248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9016362</v>
      </c>
      <c r="G61" s="130">
        <f>VALUE(月庫存金額!S25)</f>
        <v>11070523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9592211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6546163</v>
      </c>
      <c r="G62" s="130">
        <f>VALUE(月庫存金額!S26)</f>
        <v>7753957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6127037</v>
      </c>
      <c r="Q62" s="121"/>
    </row>
    <row r="63" spans="1:17" ht="13.5">
      <c r="A63" s="762" t="s">
        <v>36</v>
      </c>
      <c r="B63" s="763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1605674</v>
      </c>
      <c r="G63" s="140">
        <f>VALUE(月庫存金額!S15)</f>
        <v>1605674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1606723</v>
      </c>
      <c r="Q63" s="121"/>
    </row>
    <row r="64" spans="1:17" ht="14.25" customHeight="1">
      <c r="A64" s="764"/>
      <c r="B64" s="765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64"/>
      <c r="B65" s="765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8317135</v>
      </c>
      <c r="G65" s="143">
        <f>VALUE(月庫存金額!S17)</f>
        <v>9516089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8136926</v>
      </c>
      <c r="Q65" s="121"/>
    </row>
    <row r="66" spans="1:17" ht="14.1" thickBot="1">
      <c r="A66" s="766"/>
      <c r="B66" s="767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10840157</v>
      </c>
      <c r="G66" s="147">
        <f>VALUE(月庫存金額!S18)</f>
        <v>10247940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11154318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29" t="s">
        <v>1</v>
      </c>
      <c r="B70" s="730"/>
      <c r="C70" s="730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55" t="s">
        <v>9</v>
      </c>
      <c r="B71" s="756"/>
      <c r="C71" s="75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58" t="s">
        <v>10</v>
      </c>
      <c r="C72" s="759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60" t="s">
        <v>17</v>
      </c>
      <c r="C79" s="76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58" t="s">
        <v>22</v>
      </c>
      <c r="C84" s="759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62" t="s">
        <v>36</v>
      </c>
      <c r="B92" s="763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64"/>
      <c r="B93" s="765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64"/>
      <c r="B94" s="765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66"/>
      <c r="B95" s="767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29" t="s">
        <v>1</v>
      </c>
      <c r="B98" s="730"/>
      <c r="C98" s="730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69" t="s">
        <v>11</v>
      </c>
      <c r="B99" s="770"/>
      <c r="C99" s="770"/>
      <c r="D99" s="187" t="str">
        <f>月供應率ALL!C2</f>
        <v>98.2</v>
      </c>
      <c r="E99" s="187" t="str">
        <f>月供應率ALL!D2</f>
        <v>98</v>
      </c>
      <c r="F99" s="187" t="str">
        <f>月供應率ALL!E2</f>
        <v>98.5</v>
      </c>
      <c r="G99" s="187" t="str">
        <f>月供應率ALL!F2</f>
        <v>98.5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98.3</v>
      </c>
      <c r="Q99" s="537">
        <v>97.9</v>
      </c>
      <c r="R99" s="703"/>
      <c r="S99" s="704"/>
    </row>
    <row r="100" spans="1:19" ht="13.5">
      <c r="A100" s="737" t="s">
        <v>12</v>
      </c>
      <c r="B100" s="738"/>
      <c r="C100" s="738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100</v>
      </c>
      <c r="G100" s="187" t="str">
        <f>月供應率ALL!F4</f>
        <v>100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99.7</v>
      </c>
      <c r="Q100" s="537">
        <v>99</v>
      </c>
      <c r="R100" s="703"/>
      <c r="S100" s="704"/>
    </row>
    <row r="101" spans="1:19" ht="13.5">
      <c r="A101" s="737" t="s">
        <v>13</v>
      </c>
      <c r="B101" s="738"/>
      <c r="C101" s="738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97.9</v>
      </c>
      <c r="G101" s="187" t="str">
        <f>月供應率ALL!F5</f>
        <v>93.5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92.4</v>
      </c>
      <c r="Q101" s="537">
        <v>75</v>
      </c>
      <c r="R101" s="703"/>
      <c r="S101" s="704"/>
    </row>
    <row r="102" spans="1:19" ht="13.5">
      <c r="A102" s="737" t="s">
        <v>14</v>
      </c>
      <c r="B102" s="738"/>
      <c r="C102" s="738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99.5</v>
      </c>
      <c r="G102" s="187" t="str">
        <f>月供應率ALL!F6</f>
        <v>99.3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99.4</v>
      </c>
      <c r="Q102" s="537">
        <v>99</v>
      </c>
      <c r="R102" s="703"/>
      <c r="S102" s="704"/>
    </row>
    <row r="103" spans="1:19" ht="13.5">
      <c r="A103" s="737" t="s">
        <v>21</v>
      </c>
      <c r="B103" s="738"/>
      <c r="C103" s="738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94.4</v>
      </c>
      <c r="G103" s="187" t="str">
        <f>月供應率ALL!F23</f>
        <v>95.9</v>
      </c>
      <c r="H103" s="187" t="str">
        <f>月供應率ALL!G23</f>
        <v>0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94.9</v>
      </c>
      <c r="Q103" s="537">
        <v>92</v>
      </c>
      <c r="R103" s="703"/>
      <c r="S103" s="704"/>
    </row>
    <row r="104" spans="1:19" ht="13.5">
      <c r="A104" s="737" t="s">
        <v>16</v>
      </c>
      <c r="B104" s="738"/>
      <c r="C104" s="738"/>
      <c r="D104" s="187" t="str">
        <f>月供應率ALL!C8</f>
        <v>98</v>
      </c>
      <c r="E104" s="187" t="str">
        <f>月供應率ALL!D8</f>
        <v>98.5</v>
      </c>
      <c r="F104" s="187" t="str">
        <f>月供應率ALL!E8</f>
        <v>98.8</v>
      </c>
      <c r="G104" s="187" t="str">
        <f>月供應率ALL!F8</f>
        <v>98.9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98.5</v>
      </c>
      <c r="Q104" s="537">
        <v>95</v>
      </c>
      <c r="R104" s="703"/>
      <c r="S104" s="704"/>
    </row>
    <row r="105" spans="1:19" ht="13.5">
      <c r="A105" s="708" t="s">
        <v>17</v>
      </c>
      <c r="B105" s="709"/>
      <c r="C105" s="709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91.2</v>
      </c>
      <c r="G105" s="187" t="str">
        <f>月供應率ALL!F9</f>
        <v>99.7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</v>
      </c>
      <c r="Q105" s="537">
        <v>95</v>
      </c>
      <c r="R105" s="703"/>
      <c r="S105" s="704"/>
    </row>
    <row r="106" spans="1:19" ht="13.5">
      <c r="A106" s="747" t="s">
        <v>49</v>
      </c>
      <c r="B106" s="748"/>
      <c r="C106" s="749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98.5</v>
      </c>
      <c r="G106" s="256" t="str">
        <f>月供應率ALL!F10</f>
        <v>98.6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98.3</v>
      </c>
      <c r="Q106" s="538">
        <v>97.8</v>
      </c>
      <c r="R106" s="240"/>
      <c r="S106" s="241"/>
    </row>
    <row r="107" spans="1:19" ht="13.5">
      <c r="A107" s="737" t="s">
        <v>276</v>
      </c>
      <c r="B107" s="738"/>
      <c r="C107" s="738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98.4</v>
      </c>
      <c r="G107" s="187" t="str">
        <f>月供應率ALL!F3</f>
        <v>98.6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98.2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100</v>
      </c>
      <c r="G108" s="189" t="str">
        <f>月供應率ALL!F11</f>
        <v>100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98.9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96.5</v>
      </c>
      <c r="G109" s="189" t="str">
        <f>月供應率ALL!F12</f>
        <v>97.7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96.3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95.5</v>
      </c>
      <c r="G110" s="189" t="str">
        <f>月供應率ALL!F13</f>
        <v>96.6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96.1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94.2</v>
      </c>
      <c r="G111" s="189" t="str">
        <f>月供應率ALL!F14</f>
        <v>96.6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90.3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100</v>
      </c>
      <c r="G112" s="189" t="str">
        <f>月供應率ALL!F15</f>
        <v>50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37.5</v>
      </c>
      <c r="Q112" s="539"/>
      <c r="R112" s="240"/>
      <c r="S112" s="241"/>
    </row>
    <row r="113" spans="1:21" ht="14.1" thickBot="1">
      <c r="A113" s="750" t="s">
        <v>50</v>
      </c>
      <c r="B113" s="751"/>
      <c r="C113" s="751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97.7</v>
      </c>
      <c r="G113" s="190" t="str">
        <f>月供應率ALL!F16</f>
        <v>98.2</v>
      </c>
      <c r="H113" s="190" t="str">
        <f>月供應率ALL!G16</f>
        <v>0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97.5</v>
      </c>
      <c r="Q113" s="540"/>
      <c r="R113" s="703"/>
      <c r="S113" s="704"/>
    </row>
    <row r="114" spans="1:21" ht="16.5" customHeight="1">
      <c r="A114" s="752" t="s">
        <v>31</v>
      </c>
      <c r="B114" s="753"/>
      <c r="C114" s="754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44" t="s">
        <v>32</v>
      </c>
      <c r="B115" s="745"/>
      <c r="C115" s="746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44" t="s">
        <v>33</v>
      </c>
      <c r="B116" s="745"/>
      <c r="C116" s="746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44" t="s">
        <v>34</v>
      </c>
      <c r="B117" s="745"/>
      <c r="C117" s="746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9" t="s">
        <v>30</v>
      </c>
      <c r="B119" s="740"/>
      <c r="C119" s="741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90.7</v>
      </c>
      <c r="G119" s="190" t="str">
        <f>月供應率ALL!F21</f>
        <v>100</v>
      </c>
      <c r="H119" s="190" t="str">
        <f>月供應率ALL!G21</f>
        <v>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89.2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29" t="s">
        <v>1</v>
      </c>
      <c r="B123" s="730"/>
      <c r="C123" s="730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03"/>
      <c r="S123" s="704"/>
    </row>
    <row r="124" spans="1:21" s="198" customFormat="1">
      <c r="A124" s="742" t="s">
        <v>52</v>
      </c>
      <c r="B124" s="743"/>
      <c r="C124" s="743"/>
      <c r="D124" s="195" t="str">
        <f>月供應率!D2</f>
        <v>98.1</v>
      </c>
      <c r="E124" s="195" t="str">
        <f>月供應率!E2</f>
        <v>97.8</v>
      </c>
      <c r="F124" s="195" t="str">
        <f>月供應率!F2</f>
        <v>98.6</v>
      </c>
      <c r="G124" s="195" t="str">
        <f>月供應率!G2</f>
        <v>98.7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98.3</v>
      </c>
      <c r="Q124" s="197"/>
      <c r="R124" s="703"/>
      <c r="S124" s="704"/>
      <c r="T124" s="114"/>
      <c r="U124" s="114"/>
    </row>
    <row r="125" spans="1:21" s="198" customFormat="1">
      <c r="A125" s="712" t="s">
        <v>53</v>
      </c>
      <c r="B125" s="713"/>
      <c r="C125" s="713"/>
      <c r="D125" s="195" t="str">
        <f>月供應率!D3</f>
        <v>98.4</v>
      </c>
      <c r="E125" s="195" t="str">
        <f>月供應率!E3</f>
        <v>98.4</v>
      </c>
      <c r="F125" s="195" t="str">
        <f>月供應率!F3</f>
        <v>98.6</v>
      </c>
      <c r="G125" s="195" t="str">
        <f>月供應率!G3</f>
        <v>98.7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98.5</v>
      </c>
      <c r="Q125" s="197"/>
      <c r="R125" s="703"/>
      <c r="S125" s="704"/>
      <c r="T125" s="114"/>
      <c r="U125" s="114"/>
    </row>
    <row r="126" spans="1:21" s="198" customFormat="1">
      <c r="A126" s="712" t="s">
        <v>54</v>
      </c>
      <c r="B126" s="713"/>
      <c r="C126" s="713"/>
      <c r="D126" s="195" t="str">
        <f>月供應率!D4</f>
        <v>99.3</v>
      </c>
      <c r="E126" s="195" t="str">
        <f>月供應率!E4</f>
        <v>99.3</v>
      </c>
      <c r="F126" s="195" t="str">
        <f>月供應率!F4</f>
        <v>99.4</v>
      </c>
      <c r="G126" s="195" t="str">
        <f>月供應率!G4</f>
        <v>99.4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99.3</v>
      </c>
      <c r="Q126" s="197"/>
      <c r="R126" s="703"/>
      <c r="S126" s="704"/>
      <c r="T126" s="114"/>
      <c r="U126" s="114"/>
    </row>
    <row r="127" spans="1:21" s="198" customFormat="1">
      <c r="A127" s="719" t="s">
        <v>55</v>
      </c>
      <c r="B127" s="720"/>
      <c r="C127" s="721"/>
      <c r="D127" s="199" t="str">
        <f>月供應率!D5</f>
        <v>98.3</v>
      </c>
      <c r="E127" s="199" t="str">
        <f>月供應率!E5</f>
        <v>98.2</v>
      </c>
      <c r="F127" s="199" t="str">
        <f>月供應率!F5</f>
        <v>98.7</v>
      </c>
      <c r="G127" s="199" t="str">
        <f>月供應率!G5</f>
        <v>98.7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98.5</v>
      </c>
      <c r="Q127" s="197"/>
      <c r="R127" s="703"/>
      <c r="S127" s="704"/>
      <c r="T127" s="114"/>
      <c r="U127" s="114"/>
    </row>
    <row r="128" spans="1:21" s="198" customFormat="1">
      <c r="A128" s="712" t="s">
        <v>12</v>
      </c>
      <c r="B128" s="713"/>
      <c r="C128" s="713"/>
      <c r="D128" s="195" t="str">
        <f>月供應率!D7</f>
        <v>99.2</v>
      </c>
      <c r="E128" s="195" t="str">
        <f>月供應率!E7</f>
        <v>99.9</v>
      </c>
      <c r="F128" s="195" t="str">
        <f>月供應率!F7</f>
        <v>99.9</v>
      </c>
      <c r="G128" s="195" t="str">
        <f>月供應率!G7</f>
        <v>99.9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99.7</v>
      </c>
      <c r="Q128" s="197"/>
      <c r="R128" s="703"/>
      <c r="S128" s="704"/>
      <c r="T128" s="114"/>
      <c r="U128" s="114"/>
    </row>
    <row r="129" spans="1:21" s="198" customFormat="1">
      <c r="A129" s="712" t="s">
        <v>13</v>
      </c>
      <c r="B129" s="713"/>
      <c r="C129" s="713"/>
      <c r="D129" s="195" t="str">
        <f>月供應率!D8</f>
        <v>84.5</v>
      </c>
      <c r="E129" s="195" t="str">
        <f>月供應率!E8</f>
        <v>93.9</v>
      </c>
      <c r="F129" s="195" t="str">
        <f>月供應率!F8</f>
        <v>92</v>
      </c>
      <c r="G129" s="195" t="str">
        <f>月供應率!G8</f>
        <v>85.9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89.1</v>
      </c>
      <c r="Q129" s="197"/>
      <c r="R129" s="703"/>
      <c r="S129" s="704"/>
      <c r="T129" s="114"/>
      <c r="U129" s="114"/>
    </row>
    <row r="130" spans="1:21" s="198" customFormat="1">
      <c r="A130" s="712" t="s">
        <v>14</v>
      </c>
      <c r="B130" s="713"/>
      <c r="C130" s="713"/>
      <c r="D130" s="195" t="str">
        <f>月供應率!D9</f>
        <v>99.7</v>
      </c>
      <c r="E130" s="195" t="str">
        <f>月供應率!E9</f>
        <v>99.2</v>
      </c>
      <c r="F130" s="195" t="str">
        <f>月供應率!F9</f>
        <v>99.5</v>
      </c>
      <c r="G130" s="195" t="str">
        <f>月供應率!G9</f>
        <v>99.3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99.4</v>
      </c>
      <c r="Q130" s="197"/>
      <c r="R130" s="703"/>
      <c r="S130" s="704"/>
      <c r="T130" s="114"/>
      <c r="U130" s="114"/>
    </row>
    <row r="131" spans="1:21" s="198" customFormat="1">
      <c r="A131" s="712" t="s">
        <v>21</v>
      </c>
      <c r="B131" s="713"/>
      <c r="C131" s="713"/>
      <c r="D131" s="195" t="str">
        <f>月供應率!D22</f>
        <v>96</v>
      </c>
      <c r="E131" s="195" t="str">
        <f>月供應率!E22</f>
        <v>96.2</v>
      </c>
      <c r="F131" s="195" t="str">
        <f>月供應率!F22</f>
        <v>95.8</v>
      </c>
      <c r="G131" s="195" t="str">
        <f>月供應率!G22</f>
        <v>96.9</v>
      </c>
      <c r="H131" s="195" t="str">
        <f>月供應率!H22</f>
        <v>0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96.2</v>
      </c>
      <c r="Q131" s="197"/>
      <c r="R131" s="703"/>
      <c r="S131" s="704"/>
      <c r="T131" s="114"/>
      <c r="U131" s="114"/>
    </row>
    <row r="132" spans="1:21" s="198" customFormat="1" ht="12.95" thickBot="1">
      <c r="A132" s="735" t="s">
        <v>16</v>
      </c>
      <c r="B132" s="736"/>
      <c r="C132" s="736"/>
      <c r="D132" s="201" t="str">
        <f>月供應率!D11</f>
        <v>98</v>
      </c>
      <c r="E132" s="201" t="str">
        <f>月供應率!E11</f>
        <v>98.5</v>
      </c>
      <c r="F132" s="201" t="str">
        <f>月供應率!F11</f>
        <v>98.8</v>
      </c>
      <c r="G132" s="201" t="str">
        <f>月供應率!G11</f>
        <v>98.9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98.6</v>
      </c>
      <c r="Q132" s="197"/>
      <c r="R132" s="240"/>
      <c r="S132" s="241"/>
      <c r="T132" s="114"/>
      <c r="U132" s="114"/>
    </row>
    <row r="133" spans="1:21" s="198" customFormat="1">
      <c r="A133" s="712" t="s">
        <v>23</v>
      </c>
      <c r="B133" s="713"/>
      <c r="C133" s="713"/>
      <c r="D133" s="195" t="str">
        <f>月供應率!D6</f>
        <v>98.2</v>
      </c>
      <c r="E133" s="195" t="str">
        <f>月供應率!E6</f>
        <v>98.7</v>
      </c>
      <c r="F133" s="195" t="str">
        <f>月供應率!F6</f>
        <v>99</v>
      </c>
      <c r="G133" s="195" t="str">
        <f>月供應率!G6</f>
        <v>99.2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98.8</v>
      </c>
      <c r="Q133" s="197"/>
      <c r="R133" s="240"/>
      <c r="S133" s="241"/>
      <c r="T133" s="114"/>
      <c r="U133" s="114"/>
    </row>
    <row r="134" spans="1:21" s="198" customFormat="1">
      <c r="A134" s="700" t="s">
        <v>24</v>
      </c>
      <c r="B134" s="701"/>
      <c r="C134" s="702"/>
      <c r="D134" s="260" t="str">
        <f>月供應率!D12</f>
        <v>95.9</v>
      </c>
      <c r="E134" s="260" t="str">
        <f>月供應率!E12</f>
        <v>99.5</v>
      </c>
      <c r="F134" s="260" t="str">
        <f>月供應率!F12</f>
        <v>100</v>
      </c>
      <c r="G134" s="260" t="str">
        <f>月供應率!G12</f>
        <v>100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98.8</v>
      </c>
      <c r="Q134" s="197"/>
      <c r="R134" s="240"/>
      <c r="S134" s="241"/>
      <c r="T134" s="114"/>
      <c r="U134" s="114"/>
    </row>
    <row r="135" spans="1:21" s="198" customFormat="1">
      <c r="A135" s="700" t="s">
        <v>25</v>
      </c>
      <c r="B135" s="701"/>
      <c r="C135" s="702"/>
      <c r="D135" s="260" t="str">
        <f>月供應率!D13</f>
        <v>95.2</v>
      </c>
      <c r="E135" s="260" t="str">
        <f>月供應率!E13</f>
        <v>92.6</v>
      </c>
      <c r="F135" s="260" t="str">
        <f>月供應率!F13</f>
        <v>97</v>
      </c>
      <c r="G135" s="260" t="str">
        <f>月供應率!G13</f>
        <v>98.9</v>
      </c>
      <c r="H135" s="260" t="str">
        <f>月供應率!H13</f>
        <v>0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95.9</v>
      </c>
      <c r="Q135" s="197"/>
      <c r="R135" s="240"/>
      <c r="S135" s="241"/>
      <c r="T135" s="114"/>
      <c r="U135" s="114"/>
    </row>
    <row r="136" spans="1:21" s="198" customFormat="1">
      <c r="A136" s="700" t="s">
        <v>26</v>
      </c>
      <c r="B136" s="701"/>
      <c r="C136" s="702"/>
      <c r="D136" s="260" t="str">
        <f>月供應率!D14</f>
        <v>97.3</v>
      </c>
      <c r="E136" s="260" t="str">
        <f>月供應率!E14</f>
        <v>95.8</v>
      </c>
      <c r="F136" s="260" t="str">
        <f>月供應率!F14</f>
        <v>95.8</v>
      </c>
      <c r="G136" s="260" t="str">
        <f>月供應率!G14</f>
        <v>97</v>
      </c>
      <c r="H136" s="260" t="str">
        <f>月供應率!H14</f>
        <v>0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96.5</v>
      </c>
      <c r="Q136" s="197"/>
      <c r="R136" s="240"/>
      <c r="S136" s="241"/>
      <c r="T136" s="114"/>
      <c r="U136" s="114"/>
    </row>
    <row r="137" spans="1:21" s="198" customFormat="1">
      <c r="A137" s="700" t="s">
        <v>27</v>
      </c>
      <c r="B137" s="701"/>
      <c r="C137" s="702"/>
      <c r="D137" s="260" t="str">
        <f>月供應率!D15</f>
        <v>82.9</v>
      </c>
      <c r="E137" s="260" t="str">
        <f>月供應率!E15</f>
        <v>88.2</v>
      </c>
      <c r="F137" s="260" t="str">
        <f>月供應率!F15</f>
        <v>94.2</v>
      </c>
      <c r="G137" s="260" t="str">
        <f>月供應率!G15</f>
        <v>96.6</v>
      </c>
      <c r="H137" s="260" t="str">
        <f>月供應率!H15</f>
        <v>0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90.5</v>
      </c>
      <c r="Q137" s="197"/>
      <c r="R137" s="240"/>
      <c r="S137" s="241"/>
      <c r="T137" s="114"/>
      <c r="U137" s="114"/>
    </row>
    <row r="138" spans="1:21" s="198" customFormat="1" ht="12.95" thickBot="1">
      <c r="A138" s="726" t="s">
        <v>28</v>
      </c>
      <c r="B138" s="727"/>
      <c r="C138" s="728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31" t="s">
        <v>31</v>
      </c>
      <c r="B139" s="732"/>
      <c r="C139" s="732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24" t="s">
        <v>32</v>
      </c>
      <c r="B140" s="725"/>
      <c r="C140" s="725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24" t="s">
        <v>33</v>
      </c>
      <c r="B141" s="725"/>
      <c r="C141" s="725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24" t="s">
        <v>34</v>
      </c>
      <c r="B142" s="725"/>
      <c r="C142" s="725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3" t="s">
        <v>35</v>
      </c>
      <c r="B143" s="734"/>
      <c r="C143" s="734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29" t="s">
        <v>1</v>
      </c>
      <c r="B146" s="730"/>
      <c r="C146" s="730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03"/>
      <c r="S146" s="704"/>
    </row>
    <row r="147" spans="1:19">
      <c r="A147" s="722" t="s">
        <v>11</v>
      </c>
      <c r="B147" s="723"/>
      <c r="C147" s="723"/>
      <c r="D147" s="204">
        <f>VALUE(月點數BO!C2)</f>
        <v>4435</v>
      </c>
      <c r="E147" s="204">
        <f>VALUE(月點數BO!D2)</f>
        <v>5186</v>
      </c>
      <c r="F147" s="204">
        <f>VALUE(月點數BO!E2)</f>
        <v>4253</v>
      </c>
      <c r="G147" s="204">
        <f>VALUE(月點數BO!F2)</f>
        <v>3663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4384</v>
      </c>
      <c r="Q147" s="206"/>
      <c r="R147" s="703"/>
      <c r="S147" s="704"/>
    </row>
    <row r="148" spans="1:19">
      <c r="A148" s="710" t="s">
        <v>12</v>
      </c>
      <c r="B148" s="711"/>
      <c r="C148" s="711"/>
      <c r="D148" s="204">
        <f>VALUE(月點數BO!C4)</f>
        <v>101</v>
      </c>
      <c r="E148" s="204">
        <f>VALUE(月點數BO!D4)</f>
        <v>5</v>
      </c>
      <c r="F148" s="204">
        <f>VALUE(月點數BO!E4)</f>
        <v>3</v>
      </c>
      <c r="G148" s="204">
        <f>VALUE(月點數BO!F4)</f>
        <v>5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29</v>
      </c>
      <c r="R148" s="703"/>
      <c r="S148" s="704"/>
    </row>
    <row r="149" spans="1:19">
      <c r="A149" s="710" t="s">
        <v>13</v>
      </c>
      <c r="B149" s="711"/>
      <c r="C149" s="711"/>
      <c r="D149" s="204">
        <f>VALUE(月點數BO!C5)</f>
        <v>44</v>
      </c>
      <c r="E149" s="204">
        <f>VALUE(月點數BO!D5)</f>
        <v>20</v>
      </c>
      <c r="F149" s="204">
        <f>VALUE(月點數BO!E5)</f>
        <v>18</v>
      </c>
      <c r="G149" s="204">
        <f>VALUE(月點數BO!F5)</f>
        <v>37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30</v>
      </c>
      <c r="R149" s="703"/>
      <c r="S149" s="704"/>
    </row>
    <row r="150" spans="1:19">
      <c r="A150" s="710" t="s">
        <v>14</v>
      </c>
      <c r="B150" s="711"/>
      <c r="C150" s="711"/>
      <c r="D150" s="204">
        <f>VALUE(月點數BO!C6)</f>
        <v>143</v>
      </c>
      <c r="E150" s="204">
        <f>VALUE(月點數BO!D6)</f>
        <v>330</v>
      </c>
      <c r="F150" s="204">
        <f>VALUE(月點數BO!E6)</f>
        <v>239</v>
      </c>
      <c r="G150" s="204">
        <f>VALUE(月點數BO!F6)</f>
        <v>315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257</v>
      </c>
      <c r="R150" s="703"/>
      <c r="S150" s="704"/>
    </row>
    <row r="151" spans="1:19">
      <c r="A151" s="710" t="s">
        <v>21</v>
      </c>
      <c r="B151" s="711"/>
      <c r="C151" s="711"/>
      <c r="D151" s="204">
        <f>VALUE(月點數BO!C20)</f>
        <v>570</v>
      </c>
      <c r="E151" s="204">
        <f>VALUE(月點數BO!D20)</f>
        <v>546</v>
      </c>
      <c r="F151" s="204">
        <f>VALUE(月點數BO!E20)</f>
        <v>665</v>
      </c>
      <c r="G151" s="204">
        <f>VALUE(月點數BO!F20)</f>
        <v>434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554</v>
      </c>
      <c r="R151" s="703"/>
      <c r="S151" s="704"/>
    </row>
    <row r="152" spans="1:19">
      <c r="A152" s="717" t="s">
        <v>16</v>
      </c>
      <c r="B152" s="718"/>
      <c r="C152" s="718"/>
      <c r="D152" s="204">
        <f>VALUE(月點數BO!C8)</f>
        <v>239</v>
      </c>
      <c r="E152" s="204">
        <f>VALUE(月點數BO!D8)</f>
        <v>127</v>
      </c>
      <c r="F152" s="204">
        <f>VALUE(月點數BO!E8)</f>
        <v>140</v>
      </c>
      <c r="G152" s="204">
        <f>VALUE(月點數BO!F8)</f>
        <v>101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152</v>
      </c>
      <c r="R152" s="703"/>
      <c r="S152" s="704"/>
    </row>
    <row r="153" spans="1:19" ht="13.5">
      <c r="A153" s="708" t="s">
        <v>17</v>
      </c>
      <c r="B153" s="709"/>
      <c r="C153" s="709"/>
      <c r="D153" s="204">
        <f>VALUE(月點數BO!C9)</f>
        <v>2</v>
      </c>
      <c r="E153" s="204">
        <f>VALUE(月點數BO!D9)</f>
        <v>9</v>
      </c>
      <c r="F153" s="204">
        <f>VALUE(月點數BO!E9)</f>
        <v>26</v>
      </c>
      <c r="G153" s="204">
        <f>VALUE(月點數BO!F9)</f>
        <v>1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10</v>
      </c>
      <c r="R153" s="703"/>
      <c r="S153" s="704"/>
    </row>
    <row r="154" spans="1:19" ht="13.5">
      <c r="A154" s="714" t="s">
        <v>49</v>
      </c>
      <c r="B154" s="715"/>
      <c r="C154" s="716"/>
      <c r="D154" s="261">
        <f>SUM(D147:D153)</f>
        <v>5534</v>
      </c>
      <c r="E154" s="261">
        <f>SUM(E147:E153)</f>
        <v>6223</v>
      </c>
      <c r="F154" s="261">
        <f>SUM(F147:F153)</f>
        <v>5344</v>
      </c>
      <c r="G154" s="261">
        <f t="shared" ref="G154:P154" si="12">SUM(G147:G153)</f>
        <v>4556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5416</v>
      </c>
      <c r="R154" s="240"/>
      <c r="S154" s="241"/>
    </row>
    <row r="155" spans="1:19">
      <c r="A155" s="712" t="s">
        <v>23</v>
      </c>
      <c r="B155" s="713"/>
      <c r="C155" s="713"/>
      <c r="D155" s="204">
        <f>VALUE(月點數BO!C3)</f>
        <v>884</v>
      </c>
      <c r="E155" s="204">
        <f>VALUE(月點數BO!D3)</f>
        <v>782</v>
      </c>
      <c r="F155" s="204">
        <f>VALUE(月點數BO!E3)</f>
        <v>727</v>
      </c>
      <c r="G155" s="204">
        <f>VALUE(月點數BO!F3)</f>
        <v>575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742</v>
      </c>
      <c r="R155" s="240"/>
      <c r="S155" s="241"/>
    </row>
    <row r="156" spans="1:19">
      <c r="A156" s="700" t="s">
        <v>24</v>
      </c>
      <c r="B156" s="701"/>
      <c r="C156" s="702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7</v>
      </c>
      <c r="R156" s="240"/>
      <c r="S156" s="241"/>
    </row>
    <row r="157" spans="1:19">
      <c r="A157" s="700" t="s">
        <v>25</v>
      </c>
      <c r="B157" s="701"/>
      <c r="C157" s="702"/>
      <c r="D157" s="207">
        <f>VALUE(月點數BO!C11)</f>
        <v>21</v>
      </c>
      <c r="E157" s="207">
        <f>VALUE(月點數BO!D11)</f>
        <v>17</v>
      </c>
      <c r="F157" s="207">
        <f>VALUE(月點數BO!E11)</f>
        <v>30</v>
      </c>
      <c r="G157" s="207">
        <f>VALUE(月點數BO!F11)</f>
        <v>27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24</v>
      </c>
      <c r="R157" s="240"/>
      <c r="S157" s="241"/>
    </row>
    <row r="158" spans="1:19">
      <c r="A158" s="700" t="s">
        <v>26</v>
      </c>
      <c r="B158" s="701"/>
      <c r="C158" s="702"/>
      <c r="D158" s="207">
        <f>VALUE(月點數BO!C12)</f>
        <v>260</v>
      </c>
      <c r="E158" s="207">
        <f>VALUE(月點數BO!D12)</f>
        <v>350</v>
      </c>
      <c r="F158" s="207">
        <f>VALUE(月點數BO!E12)</f>
        <v>394</v>
      </c>
      <c r="G158" s="207">
        <f>VALUE(月點數BO!F12)</f>
        <v>246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313</v>
      </c>
      <c r="R158" s="240"/>
      <c r="S158" s="241"/>
    </row>
    <row r="159" spans="1:19">
      <c r="A159" s="700" t="s">
        <v>27</v>
      </c>
      <c r="B159" s="701"/>
      <c r="C159" s="702"/>
      <c r="D159" s="207">
        <f>VALUE(月點數BO!C13)</f>
        <v>230</v>
      </c>
      <c r="E159" s="207">
        <f>VALUE(月點數BO!D13)</f>
        <v>153</v>
      </c>
      <c r="F159" s="207">
        <f>VALUE(月點數BO!E13)</f>
        <v>94</v>
      </c>
      <c r="G159" s="207">
        <f>VALUE(月點數BO!F13)</f>
        <v>47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131</v>
      </c>
      <c r="R159" s="240"/>
      <c r="S159" s="241"/>
    </row>
    <row r="160" spans="1:19">
      <c r="A160" s="700" t="s">
        <v>28</v>
      </c>
      <c r="B160" s="701"/>
      <c r="C160" s="702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1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.1" thickBot="1">
      <c r="A161" s="697" t="s">
        <v>50</v>
      </c>
      <c r="B161" s="698"/>
      <c r="C161" s="699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1245</v>
      </c>
      <c r="G161" s="211">
        <f t="shared" si="13"/>
        <v>896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1218</v>
      </c>
      <c r="R161" s="703"/>
      <c r="S161" s="704"/>
    </row>
    <row r="162" spans="1:19" ht="16.5" customHeight="1" thickBot="1">
      <c r="A162" s="705" t="s">
        <v>31</v>
      </c>
      <c r="B162" s="706"/>
      <c r="C162" s="707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94" t="s">
        <v>32</v>
      </c>
      <c r="B163" s="695"/>
      <c r="C163" s="696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94" t="s">
        <v>33</v>
      </c>
      <c r="B164" s="695"/>
      <c r="C164" s="696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94" t="s">
        <v>34</v>
      </c>
      <c r="B165" s="695"/>
      <c r="C165" s="696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91" t="s">
        <v>30</v>
      </c>
      <c r="B167" s="692"/>
      <c r="C167" s="693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55" t="s">
        <v>9</v>
      </c>
      <c r="B3" s="756"/>
      <c r="C3" s="75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58" t="s">
        <v>10</v>
      </c>
      <c r="C4" s="759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60" t="s">
        <v>17</v>
      </c>
      <c r="C12" s="761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62" t="s">
        <v>36</v>
      </c>
      <c r="B19" s="763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64"/>
      <c r="B20" s="765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66"/>
      <c r="B21" s="767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29" t="s">
        <v>1</v>
      </c>
      <c r="B24" s="730"/>
      <c r="C24" s="730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55" t="s">
        <v>9</v>
      </c>
      <c r="B25" s="756"/>
      <c r="C25" s="75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58" t="s">
        <v>10</v>
      </c>
      <c r="C26" s="759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60" t="s">
        <v>17</v>
      </c>
      <c r="C34" s="761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62" t="s">
        <v>36</v>
      </c>
      <c r="B41" s="763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64"/>
      <c r="B42" s="765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66"/>
      <c r="B43" s="767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29" t="s">
        <v>1</v>
      </c>
      <c r="B46" s="730"/>
      <c r="C46" s="730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55" t="s">
        <v>9</v>
      </c>
      <c r="B47" s="756"/>
      <c r="C47" s="75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58" t="s">
        <v>10</v>
      </c>
      <c r="C48" s="759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4" t="s">
        <v>17</v>
      </c>
      <c r="C56" s="76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62" t="s">
        <v>36</v>
      </c>
      <c r="B63" s="763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64"/>
      <c r="B64" s="765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66"/>
      <c r="B65" s="767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29" t="s">
        <v>1</v>
      </c>
      <c r="B68" s="730"/>
      <c r="C68" s="730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69" t="s">
        <v>11</v>
      </c>
      <c r="B69" s="770"/>
      <c r="C69" s="77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03"/>
      <c r="S69" s="704"/>
    </row>
    <row r="70" spans="1:19" ht="13.5">
      <c r="A70" s="737" t="s">
        <v>276</v>
      </c>
      <c r="B70" s="738"/>
      <c r="C70" s="73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03"/>
      <c r="S70" s="704"/>
    </row>
    <row r="71" spans="1:19" ht="13.5">
      <c r="A71" s="737" t="s">
        <v>12</v>
      </c>
      <c r="B71" s="738"/>
      <c r="C71" s="73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03"/>
      <c r="S71" s="704"/>
    </row>
    <row r="72" spans="1:19" ht="13.5">
      <c r="A72" s="737" t="s">
        <v>13</v>
      </c>
      <c r="B72" s="738"/>
      <c r="C72" s="73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03"/>
      <c r="S72" s="704"/>
    </row>
    <row r="73" spans="1:19" ht="13.5">
      <c r="A73" s="737" t="s">
        <v>14</v>
      </c>
      <c r="B73" s="738"/>
      <c r="C73" s="73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03"/>
      <c r="S73" s="704"/>
    </row>
    <row r="74" spans="1:19" ht="13.5">
      <c r="A74" s="737" t="s">
        <v>15</v>
      </c>
      <c r="B74" s="738"/>
      <c r="C74" s="73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03"/>
      <c r="S74" s="704"/>
    </row>
    <row r="75" spans="1:19" ht="13.5">
      <c r="A75" s="737" t="s">
        <v>16</v>
      </c>
      <c r="B75" s="738"/>
      <c r="C75" s="73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03"/>
      <c r="S75" s="704"/>
    </row>
    <row r="76" spans="1:19" ht="13.5">
      <c r="A76" s="708" t="s">
        <v>17</v>
      </c>
      <c r="B76" s="709"/>
      <c r="C76" s="709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03"/>
      <c r="S76" s="704"/>
    </row>
    <row r="77" spans="1:19" ht="14.1" thickBot="1">
      <c r="A77" s="750" t="s">
        <v>284</v>
      </c>
      <c r="B77" s="751"/>
      <c r="C77" s="751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03"/>
      <c r="S77" s="70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29" t="s">
        <v>1</v>
      </c>
      <c r="B81" s="730"/>
      <c r="C81" s="730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03"/>
      <c r="S81" s="704"/>
    </row>
    <row r="82" spans="1:21" s="198" customFormat="1">
      <c r="A82" s="742" t="s">
        <v>52</v>
      </c>
      <c r="B82" s="743"/>
      <c r="C82" s="743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03"/>
      <c r="S82" s="704"/>
      <c r="T82" s="114"/>
      <c r="U82" s="114"/>
    </row>
    <row r="83" spans="1:21" s="198" customFormat="1">
      <c r="A83" s="712" t="s">
        <v>53</v>
      </c>
      <c r="B83" s="713"/>
      <c r="C83" s="713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03"/>
      <c r="S83" s="704"/>
      <c r="T83" s="114"/>
      <c r="U83" s="114"/>
    </row>
    <row r="84" spans="1:21" s="198" customFormat="1">
      <c r="A84" s="712" t="s">
        <v>54</v>
      </c>
      <c r="B84" s="713"/>
      <c r="C84" s="713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03"/>
      <c r="S84" s="704"/>
      <c r="T84" s="114"/>
      <c r="U84" s="114"/>
    </row>
    <row r="85" spans="1:21" s="198" customFormat="1">
      <c r="A85" s="719" t="s">
        <v>55</v>
      </c>
      <c r="B85" s="720"/>
      <c r="C85" s="72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03"/>
      <c r="S85" s="704"/>
      <c r="T85" s="114"/>
      <c r="U85" s="114"/>
    </row>
    <row r="86" spans="1:21" s="198" customFormat="1">
      <c r="A86" s="712" t="s">
        <v>276</v>
      </c>
      <c r="B86" s="713"/>
      <c r="C86" s="713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03"/>
      <c r="S86" s="704"/>
      <c r="T86" s="114"/>
      <c r="U86" s="114"/>
    </row>
    <row r="87" spans="1:21" s="198" customFormat="1">
      <c r="A87" s="712" t="s">
        <v>12</v>
      </c>
      <c r="B87" s="713"/>
      <c r="C87" s="713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03"/>
      <c r="S87" s="704"/>
      <c r="T87" s="114"/>
      <c r="U87" s="114"/>
    </row>
    <row r="88" spans="1:21" s="198" customFormat="1">
      <c r="A88" s="712" t="s">
        <v>13</v>
      </c>
      <c r="B88" s="713"/>
      <c r="C88" s="713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03"/>
      <c r="S88" s="704"/>
      <c r="T88" s="114"/>
      <c r="U88" s="114"/>
    </row>
    <row r="89" spans="1:21" s="198" customFormat="1">
      <c r="A89" s="712" t="s">
        <v>14</v>
      </c>
      <c r="B89" s="713"/>
      <c r="C89" s="713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03"/>
      <c r="S89" s="704"/>
      <c r="T89" s="114"/>
      <c r="U89" s="114"/>
    </row>
    <row r="90" spans="1:21" s="198" customFormat="1">
      <c r="A90" s="712" t="s">
        <v>15</v>
      </c>
      <c r="B90" s="713"/>
      <c r="C90" s="713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03"/>
      <c r="S90" s="704"/>
      <c r="T90" s="114"/>
      <c r="U90" s="114"/>
    </row>
    <row r="91" spans="1:21" s="197" customFormat="1" ht="12.95" thickBot="1">
      <c r="A91" s="735" t="s">
        <v>16</v>
      </c>
      <c r="B91" s="736"/>
      <c r="C91" s="736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03"/>
      <c r="S91" s="70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29" t="s">
        <v>1</v>
      </c>
      <c r="B94" s="730"/>
      <c r="C94" s="730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03"/>
      <c r="S94" s="704"/>
    </row>
    <row r="95" spans="1:21">
      <c r="A95" s="722" t="s">
        <v>11</v>
      </c>
      <c r="B95" s="723"/>
      <c r="C95" s="723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03"/>
      <c r="S95" s="704"/>
    </row>
    <row r="96" spans="1:21">
      <c r="A96" s="710" t="s">
        <v>276</v>
      </c>
      <c r="B96" s="711"/>
      <c r="C96" s="711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03"/>
      <c r="S96" s="704"/>
    </row>
    <row r="97" spans="1:19">
      <c r="A97" s="710" t="s">
        <v>12</v>
      </c>
      <c r="B97" s="711"/>
      <c r="C97" s="711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03"/>
      <c r="S97" s="704"/>
    </row>
    <row r="98" spans="1:19">
      <c r="A98" s="710" t="s">
        <v>13</v>
      </c>
      <c r="B98" s="711"/>
      <c r="C98" s="711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03"/>
      <c r="S98" s="704"/>
    </row>
    <row r="99" spans="1:19">
      <c r="A99" s="710" t="s">
        <v>14</v>
      </c>
      <c r="B99" s="711"/>
      <c r="C99" s="711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03"/>
      <c r="S99" s="704"/>
    </row>
    <row r="100" spans="1:19">
      <c r="A100" s="710" t="s">
        <v>15</v>
      </c>
      <c r="B100" s="711"/>
      <c r="C100" s="711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03"/>
      <c r="S100" s="704"/>
    </row>
    <row r="101" spans="1:19">
      <c r="A101" s="717" t="s">
        <v>16</v>
      </c>
      <c r="B101" s="718"/>
      <c r="C101" s="71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03"/>
      <c r="S101" s="704"/>
    </row>
    <row r="102" spans="1:19" ht="13.5">
      <c r="A102" s="708" t="s">
        <v>17</v>
      </c>
      <c r="B102" s="709"/>
      <c r="C102" s="709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03"/>
      <c r="S102" s="704"/>
    </row>
    <row r="103" spans="1:19" ht="14.1" thickBot="1">
      <c r="A103" s="771" t="s">
        <v>284</v>
      </c>
      <c r="B103" s="772"/>
      <c r="C103" s="773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03"/>
      <c r="S103" s="704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55" t="s">
        <v>9</v>
      </c>
      <c r="B3" s="756"/>
      <c r="C3" s="75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58" t="s">
        <v>10</v>
      </c>
      <c r="C4" s="759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60" t="s">
        <v>17</v>
      </c>
      <c r="C11" s="761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58" t="s">
        <v>22</v>
      </c>
      <c r="C16" s="759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762" t="s">
        <v>36</v>
      </c>
      <c r="B30" s="763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764"/>
      <c r="B31" s="765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764"/>
      <c r="B32" s="765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766"/>
      <c r="B33" s="767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29" t="s">
        <v>1</v>
      </c>
      <c r="B36" s="730"/>
      <c r="C36" s="730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55" t="s">
        <v>9</v>
      </c>
      <c r="B37" s="756"/>
      <c r="C37" s="75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58" t="s">
        <v>10</v>
      </c>
      <c r="C38" s="759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60" t="s">
        <v>17</v>
      </c>
      <c r="C45" s="761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60" t="s">
        <v>22</v>
      </c>
      <c r="C50" s="761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762" t="s">
        <v>36</v>
      </c>
      <c r="B64" s="763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764"/>
      <c r="B65" s="765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764"/>
      <c r="B66" s="765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766"/>
      <c r="B67" s="767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29" t="s">
        <v>1</v>
      </c>
      <c r="B70" s="730"/>
      <c r="C70" s="730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55" t="s">
        <v>9</v>
      </c>
      <c r="B71" s="756"/>
      <c r="C71" s="75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58" t="s">
        <v>10</v>
      </c>
      <c r="C72" s="759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60" t="s">
        <v>17</v>
      </c>
      <c r="C79" s="768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58" t="s">
        <v>22</v>
      </c>
      <c r="C83" s="759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62" t="s">
        <v>36</v>
      </c>
      <c r="B91" s="763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64"/>
      <c r="B92" s="765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764"/>
      <c r="B93" s="765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766"/>
      <c r="B94" s="767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29" t="s">
        <v>1</v>
      </c>
      <c r="B97" s="730"/>
      <c r="C97" s="730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69" t="s">
        <v>11</v>
      </c>
      <c r="B98" s="770"/>
      <c r="C98" s="770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737" t="s">
        <v>12</v>
      </c>
      <c r="B99" s="738"/>
      <c r="C99" s="738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737" t="s">
        <v>13</v>
      </c>
      <c r="B100" s="738"/>
      <c r="C100" s="738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737" t="s">
        <v>14</v>
      </c>
      <c r="B101" s="738"/>
      <c r="C101" s="738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737" t="s">
        <v>21</v>
      </c>
      <c r="B102" s="738"/>
      <c r="C102" s="738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737" t="s">
        <v>16</v>
      </c>
      <c r="B103" s="738"/>
      <c r="C103" s="738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708" t="s">
        <v>17</v>
      </c>
      <c r="B104" s="709"/>
      <c r="C104" s="709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47" t="s">
        <v>49</v>
      </c>
      <c r="B105" s="748"/>
      <c r="C105" s="749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737" t="s">
        <v>276</v>
      </c>
      <c r="B106" s="738"/>
      <c r="C106" s="738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85" t="s">
        <v>50</v>
      </c>
      <c r="B112" s="786"/>
      <c r="C112" s="78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38" t="s">
        <v>31</v>
      </c>
      <c r="B113" s="738"/>
      <c r="C113" s="738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38" t="s">
        <v>32</v>
      </c>
      <c r="B114" s="738"/>
      <c r="C114" s="738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38" t="s">
        <v>33</v>
      </c>
      <c r="B115" s="738"/>
      <c r="C115" s="738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38" t="s">
        <v>34</v>
      </c>
      <c r="B116" s="738"/>
      <c r="C116" s="738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38" t="s">
        <v>35</v>
      </c>
      <c r="B117" s="738"/>
      <c r="C117" s="738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87" t="s">
        <v>30</v>
      </c>
      <c r="B118" s="787"/>
      <c r="C118" s="78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29" t="s">
        <v>1</v>
      </c>
      <c r="B121" s="730"/>
      <c r="C121" s="730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2" t="s">
        <v>52</v>
      </c>
      <c r="B122" s="713"/>
      <c r="C122" s="713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2" t="s">
        <v>53</v>
      </c>
      <c r="B123" s="713"/>
      <c r="C123" s="713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2" t="s">
        <v>54</v>
      </c>
      <c r="B124" s="713"/>
      <c r="C124" s="713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19" t="s">
        <v>55</v>
      </c>
      <c r="B125" s="720"/>
      <c r="C125" s="721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2" t="s">
        <v>12</v>
      </c>
      <c r="B126" s="713"/>
      <c r="C126" s="713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2" t="s">
        <v>13</v>
      </c>
      <c r="B127" s="713"/>
      <c r="C127" s="713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2" t="s">
        <v>14</v>
      </c>
      <c r="B128" s="713"/>
      <c r="C128" s="713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2" t="s">
        <v>21</v>
      </c>
      <c r="B129" s="713"/>
      <c r="C129" s="713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5" t="s">
        <v>16</v>
      </c>
      <c r="B130" s="736"/>
      <c r="C130" s="736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2" t="s">
        <v>23</v>
      </c>
      <c r="B131" s="713"/>
      <c r="C131" s="713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00" t="s">
        <v>24</v>
      </c>
      <c r="B132" s="701"/>
      <c r="C132" s="702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00" t="s">
        <v>25</v>
      </c>
      <c r="B133" s="701"/>
      <c r="C133" s="702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00" t="s">
        <v>26</v>
      </c>
      <c r="B134" s="701"/>
      <c r="C134" s="702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00" t="s">
        <v>27</v>
      </c>
      <c r="B135" s="701"/>
      <c r="C135" s="702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7" t="s">
        <v>28</v>
      </c>
      <c r="B136" s="778"/>
      <c r="C136" s="779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0" t="s">
        <v>31</v>
      </c>
      <c r="B137" s="781"/>
      <c r="C137" s="782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3" t="s">
        <v>32</v>
      </c>
      <c r="B138" s="701"/>
      <c r="C138" s="702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3" t="s">
        <v>33</v>
      </c>
      <c r="B139" s="701"/>
      <c r="C139" s="702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3" t="s">
        <v>34</v>
      </c>
      <c r="B140" s="701"/>
      <c r="C140" s="702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4" t="s">
        <v>35</v>
      </c>
      <c r="B141" s="778"/>
      <c r="C141" s="779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29" t="s">
        <v>1</v>
      </c>
      <c r="B144" s="730"/>
      <c r="C144" s="730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22" t="s">
        <v>11</v>
      </c>
      <c r="B145" s="723"/>
      <c r="C145" s="723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10" t="s">
        <v>12</v>
      </c>
      <c r="B146" s="711"/>
      <c r="C146" s="711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10" t="s">
        <v>13</v>
      </c>
      <c r="B147" s="711"/>
      <c r="C147" s="711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10" t="s">
        <v>14</v>
      </c>
      <c r="B148" s="711"/>
      <c r="C148" s="711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10" t="s">
        <v>21</v>
      </c>
      <c r="B149" s="711"/>
      <c r="C149" s="711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17" t="s">
        <v>16</v>
      </c>
      <c r="B150" s="718"/>
      <c r="C150" s="718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708" t="s">
        <v>17</v>
      </c>
      <c r="B151" s="709"/>
      <c r="C151" s="709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14" t="s">
        <v>49</v>
      </c>
      <c r="B152" s="715"/>
      <c r="C152" s="716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2" t="s">
        <v>23</v>
      </c>
      <c r="B153" s="713"/>
      <c r="C153" s="713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00" t="s">
        <v>24</v>
      </c>
      <c r="B154" s="701"/>
      <c r="C154" s="702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00" t="s">
        <v>25</v>
      </c>
      <c r="B155" s="701"/>
      <c r="C155" s="702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00" t="s">
        <v>26</v>
      </c>
      <c r="B156" s="701"/>
      <c r="C156" s="702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00" t="s">
        <v>27</v>
      </c>
      <c r="B157" s="701"/>
      <c r="C157" s="702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00" t="s">
        <v>28</v>
      </c>
      <c r="B158" s="701"/>
      <c r="C158" s="702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697" t="s">
        <v>50</v>
      </c>
      <c r="B159" s="698"/>
      <c r="C159" s="699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75" t="s">
        <v>31</v>
      </c>
      <c r="B160" s="776"/>
      <c r="C160" s="776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10" t="s">
        <v>32</v>
      </c>
      <c r="B161" s="711"/>
      <c r="C161" s="711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10" t="s">
        <v>33</v>
      </c>
      <c r="B162" s="711"/>
      <c r="C162" s="711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17" t="s">
        <v>35</v>
      </c>
      <c r="B164" s="718"/>
      <c r="C164" s="718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1" t="s">
        <v>30</v>
      </c>
      <c r="B165" s="772"/>
      <c r="C165" s="773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55" t="s">
        <v>9</v>
      </c>
      <c r="B3" s="756"/>
      <c r="C3" s="75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58" t="s">
        <v>10</v>
      </c>
      <c r="C4" s="759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60" t="s">
        <v>17</v>
      </c>
      <c r="C11" s="761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58" t="s">
        <v>22</v>
      </c>
      <c r="C16" s="759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764"/>
      <c r="B31" s="765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764"/>
      <c r="B32" s="765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766"/>
      <c r="B33" s="767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 t="s">
        <v>359</v>
      </c>
      <c r="AH2" s="502">
        <v>45628.229173113403</v>
      </c>
    </row>
    <row r="3" spans="1:34">
      <c r="A3" s="503" t="s">
        <v>328</v>
      </c>
      <c r="B3" s="503" t="s">
        <v>360</v>
      </c>
      <c r="C3" s="503" t="s">
        <v>110</v>
      </c>
      <c r="D3" s="503" t="s">
        <v>111</v>
      </c>
      <c r="E3" s="503" t="s">
        <v>112</v>
      </c>
      <c r="F3" s="503" t="s">
        <v>106</v>
      </c>
      <c r="G3" s="503" t="s">
        <v>107</v>
      </c>
      <c r="H3" s="503" t="s">
        <v>108</v>
      </c>
      <c r="I3" s="503" t="s">
        <v>109</v>
      </c>
      <c r="J3" s="503" t="s">
        <v>110</v>
      </c>
      <c r="K3" s="503" t="s">
        <v>111</v>
      </c>
      <c r="L3" s="503" t="s">
        <v>112</v>
      </c>
      <c r="M3" s="503" t="s">
        <v>106</v>
      </c>
      <c r="N3" s="503" t="s">
        <v>107</v>
      </c>
      <c r="O3" s="503" t="s">
        <v>108</v>
      </c>
      <c r="P3" s="503" t="s">
        <v>109</v>
      </c>
      <c r="Q3" s="503" t="s">
        <v>110</v>
      </c>
      <c r="R3" s="503" t="s">
        <v>111</v>
      </c>
      <c r="S3" s="503" t="s">
        <v>112</v>
      </c>
      <c r="T3" s="503" t="s">
        <v>106</v>
      </c>
      <c r="U3" s="503" t="s">
        <v>107</v>
      </c>
      <c r="V3" s="503" t="s">
        <v>108</v>
      </c>
      <c r="W3" s="503" t="s">
        <v>109</v>
      </c>
      <c r="X3" s="503" t="s">
        <v>110</v>
      </c>
      <c r="Y3" s="503" t="s">
        <v>111</v>
      </c>
      <c r="Z3" s="503" t="s">
        <v>112</v>
      </c>
      <c r="AA3" s="503" t="s">
        <v>106</v>
      </c>
      <c r="AB3" s="503" t="s">
        <v>107</v>
      </c>
      <c r="AC3" s="503" t="s">
        <v>108</v>
      </c>
      <c r="AD3" s="503" t="s">
        <v>109</v>
      </c>
      <c r="AE3" s="503" t="s">
        <v>110</v>
      </c>
      <c r="AF3" s="503" t="s">
        <v>111</v>
      </c>
      <c r="AG3" s="503" t="s">
        <v>112</v>
      </c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  <c r="AI1" s="1" t="s">
        <v>363</v>
      </c>
    </row>
    <row r="2" spans="1:37">
      <c r="A2" s="1" t="s">
        <v>328</v>
      </c>
      <c r="B2" s="1" t="s">
        <v>364</v>
      </c>
      <c r="C2" s="1" t="s">
        <v>365</v>
      </c>
      <c r="D2" s="1" t="s">
        <v>366</v>
      </c>
      <c r="E2" s="1" t="s">
        <v>367</v>
      </c>
      <c r="F2" s="1" t="s">
        <v>368</v>
      </c>
      <c r="G2" s="1" t="s">
        <v>369</v>
      </c>
      <c r="H2" s="1" t="s">
        <v>370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383</v>
      </c>
      <c r="V2" s="1" t="s">
        <v>384</v>
      </c>
      <c r="W2" s="1" t="s">
        <v>385</v>
      </c>
      <c r="X2" s="1" t="s">
        <v>386</v>
      </c>
      <c r="Y2" s="1" t="s">
        <v>387</v>
      </c>
      <c r="Z2" s="1" t="s">
        <v>388</v>
      </c>
      <c r="AA2" s="306" t="s">
        <v>389</v>
      </c>
      <c r="AB2" s="1" t="s">
        <v>390</v>
      </c>
      <c r="AC2" s="1" t="s">
        <v>391</v>
      </c>
      <c r="AD2" s="1" t="s">
        <v>392</v>
      </c>
      <c r="AE2" s="1" t="s">
        <v>393</v>
      </c>
      <c r="AF2" s="1" t="s">
        <v>394</v>
      </c>
      <c r="AG2" s="1" t="s">
        <v>394</v>
      </c>
      <c r="AH2" s="1" t="s">
        <v>395</v>
      </c>
      <c r="AI2" s="1" t="s">
        <v>396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397</v>
      </c>
      <c r="C3" s="1" t="s">
        <v>398</v>
      </c>
      <c r="D3" s="1" t="s">
        <v>399</v>
      </c>
      <c r="E3" s="1" t="s">
        <v>400</v>
      </c>
      <c r="F3" s="1" t="s">
        <v>400</v>
      </c>
      <c r="G3" s="1" t="s">
        <v>401</v>
      </c>
      <c r="H3" s="1" t="s">
        <v>402</v>
      </c>
      <c r="I3" s="1" t="s">
        <v>403</v>
      </c>
      <c r="J3" s="1" t="s">
        <v>404</v>
      </c>
      <c r="K3" s="1" t="s">
        <v>405</v>
      </c>
      <c r="L3" s="1" t="s">
        <v>406</v>
      </c>
      <c r="M3" s="1" t="s">
        <v>407</v>
      </c>
      <c r="N3" s="1" t="s">
        <v>408</v>
      </c>
      <c r="O3" s="1" t="s">
        <v>409</v>
      </c>
      <c r="P3" s="1" t="s">
        <v>410</v>
      </c>
      <c r="Q3" s="1" t="s">
        <v>411</v>
      </c>
      <c r="R3" s="1" t="s">
        <v>412</v>
      </c>
      <c r="S3" s="1" t="s">
        <v>413</v>
      </c>
      <c r="T3" s="1" t="s">
        <v>413</v>
      </c>
      <c r="U3" s="1" t="s">
        <v>414</v>
      </c>
      <c r="V3" s="1" t="s">
        <v>415</v>
      </c>
      <c r="W3" s="1" t="s">
        <v>416</v>
      </c>
      <c r="X3" s="1" t="s">
        <v>417</v>
      </c>
      <c r="Y3" s="1" t="s">
        <v>418</v>
      </c>
      <c r="Z3" s="1" t="s">
        <v>419</v>
      </c>
      <c r="AA3" s="1" t="s">
        <v>419</v>
      </c>
      <c r="AB3" s="1" t="s">
        <v>420</v>
      </c>
      <c r="AC3" s="1" t="s">
        <v>421</v>
      </c>
      <c r="AD3" s="1" t="s">
        <v>422</v>
      </c>
      <c r="AE3" s="1" t="s">
        <v>423</v>
      </c>
      <c r="AF3" s="1" t="s">
        <v>423</v>
      </c>
      <c r="AG3" s="1" t="s">
        <v>424</v>
      </c>
      <c r="AH3" s="1" t="s">
        <v>425</v>
      </c>
      <c r="AI3" s="1" t="s">
        <v>426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427</v>
      </c>
      <c r="C4" s="1" t="s">
        <v>428</v>
      </c>
      <c r="D4" s="1" t="s">
        <v>429</v>
      </c>
      <c r="E4" s="1" t="s">
        <v>430</v>
      </c>
      <c r="F4" s="1" t="s">
        <v>430</v>
      </c>
      <c r="G4" s="1" t="s">
        <v>431</v>
      </c>
      <c r="H4" s="1" t="s">
        <v>432</v>
      </c>
      <c r="I4" s="1" t="s">
        <v>433</v>
      </c>
      <c r="J4" s="1" t="s">
        <v>434</v>
      </c>
      <c r="K4" s="1" t="s">
        <v>435</v>
      </c>
      <c r="L4" s="1" t="s">
        <v>436</v>
      </c>
      <c r="M4" s="1" t="s">
        <v>436</v>
      </c>
      <c r="N4" s="1" t="s">
        <v>437</v>
      </c>
      <c r="O4" s="1" t="s">
        <v>438</v>
      </c>
      <c r="P4" s="1" t="s">
        <v>439</v>
      </c>
      <c r="Q4" s="1" t="s">
        <v>440</v>
      </c>
      <c r="R4" s="1" t="s">
        <v>441</v>
      </c>
      <c r="S4" s="1" t="s">
        <v>442</v>
      </c>
      <c r="T4" s="1" t="s">
        <v>442</v>
      </c>
      <c r="U4" s="1" t="s">
        <v>443</v>
      </c>
      <c r="V4" s="1" t="s">
        <v>444</v>
      </c>
      <c r="W4" s="1" t="s">
        <v>445</v>
      </c>
      <c r="X4" s="1" t="s">
        <v>446</v>
      </c>
      <c r="Y4" s="1" t="s">
        <v>447</v>
      </c>
      <c r="Z4" s="1" t="s">
        <v>448</v>
      </c>
      <c r="AA4" s="1" t="s">
        <v>448</v>
      </c>
      <c r="AB4" s="1" t="s">
        <v>449</v>
      </c>
      <c r="AC4" s="1" t="s">
        <v>450</v>
      </c>
      <c r="AD4" s="1" t="s">
        <v>451</v>
      </c>
      <c r="AE4" s="1" t="s">
        <v>452</v>
      </c>
      <c r="AF4" s="1" t="s">
        <v>452</v>
      </c>
      <c r="AG4" s="1" t="s">
        <v>452</v>
      </c>
      <c r="AH4" s="1" t="s">
        <v>395</v>
      </c>
      <c r="AI4" s="1" t="s">
        <v>453</v>
      </c>
      <c r="AJ4">
        <v>7407477</v>
      </c>
      <c r="AK4" s="502">
        <v>43056.229202361101</v>
      </c>
    </row>
    <row r="5" spans="1:37">
      <c r="A5" s="1" t="s">
        <v>328</v>
      </c>
      <c r="B5" s="1" t="s">
        <v>454</v>
      </c>
      <c r="C5" s="1" t="s">
        <v>455</v>
      </c>
      <c r="D5" s="1" t="s">
        <v>456</v>
      </c>
      <c r="E5" s="1" t="s">
        <v>457</v>
      </c>
      <c r="F5" s="1" t="s">
        <v>457</v>
      </c>
      <c r="G5" s="1" t="s">
        <v>458</v>
      </c>
      <c r="H5" s="1" t="s">
        <v>459</v>
      </c>
      <c r="I5" s="1" t="s">
        <v>460</v>
      </c>
      <c r="J5" s="1" t="s">
        <v>461</v>
      </c>
      <c r="K5" s="1" t="s">
        <v>462</v>
      </c>
      <c r="L5" s="1" t="s">
        <v>463</v>
      </c>
      <c r="M5" s="1" t="s">
        <v>463</v>
      </c>
      <c r="N5" s="1" t="s">
        <v>464</v>
      </c>
      <c r="O5" s="1" t="s">
        <v>465</v>
      </c>
      <c r="P5" s="1" t="s">
        <v>466</v>
      </c>
      <c r="Q5" s="1" t="s">
        <v>467</v>
      </c>
      <c r="R5" s="1" t="s">
        <v>468</v>
      </c>
      <c r="S5" s="1" t="s">
        <v>469</v>
      </c>
      <c r="T5" s="1" t="s">
        <v>469</v>
      </c>
      <c r="U5" s="1" t="s">
        <v>470</v>
      </c>
      <c r="V5" s="1" t="s">
        <v>471</v>
      </c>
      <c r="W5" s="1" t="s">
        <v>472</v>
      </c>
      <c r="X5" s="1" t="s">
        <v>473</v>
      </c>
      <c r="Y5" s="1" t="s">
        <v>474</v>
      </c>
      <c r="Z5" s="1" t="s">
        <v>475</v>
      </c>
      <c r="AA5" s="1" t="s">
        <v>475</v>
      </c>
      <c r="AB5" s="1" t="s">
        <v>476</v>
      </c>
      <c r="AC5" s="1" t="s">
        <v>477</v>
      </c>
      <c r="AD5" s="1" t="s">
        <v>478</v>
      </c>
      <c r="AE5" s="1" t="s">
        <v>479</v>
      </c>
      <c r="AF5" s="1" t="s">
        <v>479</v>
      </c>
      <c r="AG5" s="1" t="s">
        <v>479</v>
      </c>
      <c r="AH5" s="1" t="s">
        <v>395</v>
      </c>
      <c r="AI5" s="1" t="s">
        <v>480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481</v>
      </c>
      <c r="C6" s="1" t="s">
        <v>482</v>
      </c>
      <c r="D6" s="1" t="s">
        <v>483</v>
      </c>
      <c r="E6" s="1" t="s">
        <v>484</v>
      </c>
      <c r="F6" s="1" t="s">
        <v>485</v>
      </c>
      <c r="G6" s="1" t="s">
        <v>486</v>
      </c>
      <c r="H6" s="1" t="s">
        <v>487</v>
      </c>
      <c r="I6" s="1" t="s">
        <v>488</v>
      </c>
      <c r="J6" s="1" t="s">
        <v>489</v>
      </c>
      <c r="K6" s="1" t="s">
        <v>490</v>
      </c>
      <c r="L6" s="1" t="s">
        <v>491</v>
      </c>
      <c r="M6" s="1" t="s">
        <v>491</v>
      </c>
      <c r="N6" s="1" t="s">
        <v>492</v>
      </c>
      <c r="O6" s="1" t="s">
        <v>493</v>
      </c>
      <c r="P6" s="1" t="s">
        <v>494</v>
      </c>
      <c r="Q6" s="1" t="s">
        <v>495</v>
      </c>
      <c r="R6" s="1" t="s">
        <v>496</v>
      </c>
      <c r="S6" s="1" t="s">
        <v>497</v>
      </c>
      <c r="T6" s="1" t="s">
        <v>497</v>
      </c>
      <c r="U6" s="1" t="s">
        <v>498</v>
      </c>
      <c r="V6" s="1" t="s">
        <v>499</v>
      </c>
      <c r="W6" s="1" t="s">
        <v>500</v>
      </c>
      <c r="X6" s="1" t="s">
        <v>501</v>
      </c>
      <c r="Y6" s="1" t="s">
        <v>502</v>
      </c>
      <c r="Z6" s="1" t="s">
        <v>503</v>
      </c>
      <c r="AA6" s="1" t="s">
        <v>504</v>
      </c>
      <c r="AB6" s="1" t="s">
        <v>505</v>
      </c>
      <c r="AC6" s="1" t="s">
        <v>506</v>
      </c>
      <c r="AD6" s="1" t="s">
        <v>507</v>
      </c>
      <c r="AE6" s="1" t="s">
        <v>508</v>
      </c>
      <c r="AF6" s="1" t="s">
        <v>508</v>
      </c>
      <c r="AG6" s="1" t="s">
        <v>508</v>
      </c>
      <c r="AH6" s="1" t="s">
        <v>395</v>
      </c>
      <c r="AI6" s="1" t="s">
        <v>509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510</v>
      </c>
      <c r="C7" s="1" t="s">
        <v>395</v>
      </c>
      <c r="D7" s="1" t="s">
        <v>395</v>
      </c>
      <c r="E7" s="1" t="s">
        <v>395</v>
      </c>
      <c r="F7" s="1" t="s">
        <v>395</v>
      </c>
      <c r="G7" s="1" t="s">
        <v>395</v>
      </c>
      <c r="H7" s="1" t="s">
        <v>395</v>
      </c>
      <c r="I7" s="1" t="s">
        <v>395</v>
      </c>
      <c r="J7" s="1" t="s">
        <v>395</v>
      </c>
      <c r="K7" s="1" t="s">
        <v>395</v>
      </c>
      <c r="L7" s="1" t="s">
        <v>395</v>
      </c>
      <c r="M7" s="1" t="s">
        <v>395</v>
      </c>
      <c r="N7" s="1" t="s">
        <v>395</v>
      </c>
      <c r="O7" s="1" t="s">
        <v>395</v>
      </c>
      <c r="P7" s="1" t="s">
        <v>395</v>
      </c>
      <c r="Q7" s="1" t="s">
        <v>395</v>
      </c>
      <c r="R7" s="1" t="s">
        <v>395</v>
      </c>
      <c r="S7" s="1" t="s">
        <v>395</v>
      </c>
      <c r="T7" s="1" t="s">
        <v>395</v>
      </c>
      <c r="U7" s="1" t="s">
        <v>395</v>
      </c>
      <c r="V7" s="1" t="s">
        <v>395</v>
      </c>
      <c r="W7" s="1" t="s">
        <v>395</v>
      </c>
      <c r="X7" s="1" t="s">
        <v>395</v>
      </c>
      <c r="Y7" s="1" t="s">
        <v>395</v>
      </c>
      <c r="Z7" s="1" t="s">
        <v>395</v>
      </c>
      <c r="AA7" s="1" t="s">
        <v>395</v>
      </c>
      <c r="AB7" s="1" t="s">
        <v>395</v>
      </c>
      <c r="AC7" s="1" t="s">
        <v>395</v>
      </c>
      <c r="AD7" s="1" t="s">
        <v>395</v>
      </c>
      <c r="AE7" s="1" t="s">
        <v>395</v>
      </c>
      <c r="AF7" s="1" t="s">
        <v>395</v>
      </c>
      <c r="AG7" s="1" t="s">
        <v>395</v>
      </c>
      <c r="AH7" s="1" t="s">
        <v>395</v>
      </c>
      <c r="AI7" s="1" t="s">
        <v>395</v>
      </c>
      <c r="AJ7">
        <v>0</v>
      </c>
      <c r="AK7" s="502">
        <v>43056.229202361101</v>
      </c>
    </row>
    <row r="8" spans="1:37">
      <c r="A8" s="1" t="s">
        <v>328</v>
      </c>
      <c r="B8" s="1" t="s">
        <v>511</v>
      </c>
      <c r="C8" s="1" t="s">
        <v>512</v>
      </c>
      <c r="D8" s="1" t="s">
        <v>513</v>
      </c>
      <c r="E8" s="1" t="s">
        <v>514</v>
      </c>
      <c r="F8" s="1" t="s">
        <v>514</v>
      </c>
      <c r="G8" s="1" t="s">
        <v>515</v>
      </c>
      <c r="H8" s="1" t="s">
        <v>516</v>
      </c>
      <c r="I8" s="1" t="s">
        <v>517</v>
      </c>
      <c r="J8" s="1" t="s">
        <v>518</v>
      </c>
      <c r="K8" s="1" t="s">
        <v>519</v>
      </c>
      <c r="L8" s="1" t="s">
        <v>520</v>
      </c>
      <c r="M8" s="1" t="s">
        <v>520</v>
      </c>
      <c r="N8" s="1" t="s">
        <v>521</v>
      </c>
      <c r="O8" s="1" t="s">
        <v>522</v>
      </c>
      <c r="P8" s="1" t="s">
        <v>523</v>
      </c>
      <c r="Q8" s="1" t="s">
        <v>524</v>
      </c>
      <c r="R8" s="1" t="s">
        <v>525</v>
      </c>
      <c r="S8" s="1" t="s">
        <v>526</v>
      </c>
      <c r="T8" s="1" t="s">
        <v>526</v>
      </c>
      <c r="U8" s="1" t="s">
        <v>527</v>
      </c>
      <c r="V8" s="1" t="s">
        <v>528</v>
      </c>
      <c r="W8" s="1" t="s">
        <v>529</v>
      </c>
      <c r="X8" s="1" t="s">
        <v>530</v>
      </c>
      <c r="Y8" s="1" t="s">
        <v>531</v>
      </c>
      <c r="Z8" s="1" t="s">
        <v>532</v>
      </c>
      <c r="AA8" s="1" t="s">
        <v>532</v>
      </c>
      <c r="AB8" s="1" t="s">
        <v>533</v>
      </c>
      <c r="AC8" s="1" t="s">
        <v>534</v>
      </c>
      <c r="AD8" s="1" t="s">
        <v>535</v>
      </c>
      <c r="AE8" s="1" t="s">
        <v>536</v>
      </c>
      <c r="AF8" s="1" t="s">
        <v>537</v>
      </c>
      <c r="AG8" s="1" t="s">
        <v>538</v>
      </c>
      <c r="AH8" s="1" t="s">
        <v>539</v>
      </c>
      <c r="AI8" s="1" t="s">
        <v>540</v>
      </c>
      <c r="AJ8">
        <v>7768697</v>
      </c>
      <c r="AK8" s="502">
        <v>43056.229202361101</v>
      </c>
    </row>
    <row r="9" spans="1:37">
      <c r="A9" s="1" t="s">
        <v>328</v>
      </c>
      <c r="B9" s="1" t="s">
        <v>541</v>
      </c>
      <c r="C9" s="1" t="s">
        <v>395</v>
      </c>
      <c r="D9" s="1" t="s">
        <v>395</v>
      </c>
      <c r="E9" s="1" t="s">
        <v>395</v>
      </c>
      <c r="F9" s="1" t="s">
        <v>395</v>
      </c>
      <c r="G9" s="1" t="s">
        <v>395</v>
      </c>
      <c r="H9" s="1" t="s">
        <v>395</v>
      </c>
      <c r="I9" s="1" t="s">
        <v>395</v>
      </c>
      <c r="J9" s="1" t="s">
        <v>395</v>
      </c>
      <c r="K9" s="1" t="s">
        <v>395</v>
      </c>
      <c r="L9" s="1" t="s">
        <v>395</v>
      </c>
      <c r="M9" s="1" t="s">
        <v>395</v>
      </c>
      <c r="N9" s="1" t="s">
        <v>395</v>
      </c>
      <c r="O9" s="1" t="s">
        <v>395</v>
      </c>
      <c r="P9" s="1" t="s">
        <v>395</v>
      </c>
      <c r="Q9" s="1" t="s">
        <v>395</v>
      </c>
      <c r="R9" s="1" t="s">
        <v>395</v>
      </c>
      <c r="S9" s="1" t="s">
        <v>395</v>
      </c>
      <c r="T9" s="1" t="s">
        <v>395</v>
      </c>
      <c r="U9" s="1" t="s">
        <v>395</v>
      </c>
      <c r="V9" s="1" t="s">
        <v>395</v>
      </c>
      <c r="W9" s="1" t="s">
        <v>395</v>
      </c>
      <c r="X9" s="1" t="s">
        <v>395</v>
      </c>
      <c r="Y9" s="1" t="s">
        <v>395</v>
      </c>
      <c r="Z9" s="1" t="s">
        <v>395</v>
      </c>
      <c r="AA9" s="1" t="s">
        <v>395</v>
      </c>
      <c r="AB9" s="1" t="s">
        <v>395</v>
      </c>
      <c r="AC9" s="1" t="s">
        <v>395</v>
      </c>
      <c r="AD9" s="1" t="s">
        <v>395</v>
      </c>
      <c r="AE9" s="1" t="s">
        <v>395</v>
      </c>
      <c r="AF9" s="1" t="s">
        <v>395</v>
      </c>
      <c r="AG9" s="1" t="s">
        <v>395</v>
      </c>
      <c r="AH9" s="1" t="s">
        <v>395</v>
      </c>
      <c r="AI9" s="1" t="s">
        <v>395</v>
      </c>
      <c r="AJ9">
        <v>0</v>
      </c>
      <c r="AK9" s="502">
        <v>43056.229202361101</v>
      </c>
    </row>
    <row r="10" spans="1:37">
      <c r="A10" s="1" t="s">
        <v>328</v>
      </c>
      <c r="B10" s="1" t="s">
        <v>542</v>
      </c>
      <c r="C10" s="1" t="s">
        <v>543</v>
      </c>
      <c r="D10" s="1" t="s">
        <v>544</v>
      </c>
      <c r="E10" s="1" t="s">
        <v>545</v>
      </c>
      <c r="F10" s="1" t="s">
        <v>545</v>
      </c>
      <c r="G10" s="1" t="s">
        <v>546</v>
      </c>
      <c r="H10" s="1" t="s">
        <v>547</v>
      </c>
      <c r="I10" s="1" t="s">
        <v>548</v>
      </c>
      <c r="J10" s="1" t="s">
        <v>549</v>
      </c>
      <c r="K10" s="1" t="s">
        <v>550</v>
      </c>
      <c r="L10" s="1" t="s">
        <v>551</v>
      </c>
      <c r="M10" s="1" t="s">
        <v>551</v>
      </c>
      <c r="N10" s="1" t="s">
        <v>552</v>
      </c>
      <c r="O10" s="1" t="s">
        <v>553</v>
      </c>
      <c r="P10" s="1" t="s">
        <v>554</v>
      </c>
      <c r="Q10" s="1" t="s">
        <v>555</v>
      </c>
      <c r="R10" s="1" t="s">
        <v>556</v>
      </c>
      <c r="S10" s="1" t="s">
        <v>557</v>
      </c>
      <c r="T10" s="1" t="s">
        <v>557</v>
      </c>
      <c r="U10" s="1" t="s">
        <v>558</v>
      </c>
      <c r="V10" s="1" t="s">
        <v>559</v>
      </c>
      <c r="W10" s="1" t="s">
        <v>560</v>
      </c>
      <c r="X10" s="1" t="s">
        <v>561</v>
      </c>
      <c r="Y10" s="1" t="s">
        <v>562</v>
      </c>
      <c r="Z10" s="1" t="s">
        <v>563</v>
      </c>
      <c r="AA10" s="1" t="s">
        <v>563</v>
      </c>
      <c r="AB10" s="1" t="s">
        <v>564</v>
      </c>
      <c r="AC10" s="1" t="s">
        <v>565</v>
      </c>
      <c r="AD10" s="1" t="s">
        <v>566</v>
      </c>
      <c r="AE10" s="1" t="s">
        <v>567</v>
      </c>
      <c r="AF10" s="1" t="s">
        <v>567</v>
      </c>
      <c r="AG10" s="1" t="s">
        <v>567</v>
      </c>
      <c r="AH10" s="1" t="s">
        <v>395</v>
      </c>
      <c r="AI10" s="1" t="s">
        <v>568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569</v>
      </c>
      <c r="C11" s="1" t="s">
        <v>570</v>
      </c>
      <c r="D11" s="1" t="s">
        <v>570</v>
      </c>
      <c r="E11" s="1" t="s">
        <v>570</v>
      </c>
      <c r="F11" s="1" t="s">
        <v>570</v>
      </c>
      <c r="G11" s="1" t="s">
        <v>570</v>
      </c>
      <c r="H11" s="1" t="s">
        <v>570</v>
      </c>
      <c r="I11" s="1" t="s">
        <v>570</v>
      </c>
      <c r="J11" s="1" t="s">
        <v>570</v>
      </c>
      <c r="K11" s="1" t="s">
        <v>570</v>
      </c>
      <c r="L11" s="1" t="s">
        <v>570</v>
      </c>
      <c r="M11" s="1" t="s">
        <v>570</v>
      </c>
      <c r="N11" s="1" t="s">
        <v>570</v>
      </c>
      <c r="O11" s="1" t="s">
        <v>570</v>
      </c>
      <c r="P11" s="1" t="s">
        <v>570</v>
      </c>
      <c r="Q11" s="1" t="s">
        <v>570</v>
      </c>
      <c r="R11" s="1" t="s">
        <v>570</v>
      </c>
      <c r="S11" s="1" t="s">
        <v>570</v>
      </c>
      <c r="T11" s="1" t="s">
        <v>570</v>
      </c>
      <c r="U11" s="1" t="s">
        <v>570</v>
      </c>
      <c r="V11" s="1" t="s">
        <v>570</v>
      </c>
      <c r="W11" s="1" t="s">
        <v>570</v>
      </c>
      <c r="X11" s="1" t="s">
        <v>570</v>
      </c>
      <c r="Y11" s="1" t="s">
        <v>570</v>
      </c>
      <c r="Z11" s="1" t="s">
        <v>570</v>
      </c>
      <c r="AA11" s="1" t="s">
        <v>570</v>
      </c>
      <c r="AB11" s="1" t="s">
        <v>570</v>
      </c>
      <c r="AC11" s="1" t="s">
        <v>570</v>
      </c>
      <c r="AD11" s="1" t="s">
        <v>570</v>
      </c>
      <c r="AE11" s="1" t="s">
        <v>570</v>
      </c>
      <c r="AF11" s="1" t="s">
        <v>570</v>
      </c>
      <c r="AG11" s="1" t="s">
        <v>570</v>
      </c>
      <c r="AH11" s="1" t="s">
        <v>395</v>
      </c>
      <c r="AI11" s="1" t="s">
        <v>570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571</v>
      </c>
      <c r="C12" s="1" t="s">
        <v>395</v>
      </c>
      <c r="D12" s="1" t="s">
        <v>395</v>
      </c>
      <c r="E12" s="1" t="s">
        <v>395</v>
      </c>
      <c r="F12" s="1" t="s">
        <v>395</v>
      </c>
      <c r="G12" s="1" t="s">
        <v>395</v>
      </c>
      <c r="H12" s="1" t="s">
        <v>395</v>
      </c>
      <c r="I12" s="1" t="s">
        <v>395</v>
      </c>
      <c r="J12" s="1" t="s">
        <v>395</v>
      </c>
      <c r="K12" s="1" t="s">
        <v>395</v>
      </c>
      <c r="L12" s="1" t="s">
        <v>395</v>
      </c>
      <c r="M12" s="1" t="s">
        <v>395</v>
      </c>
      <c r="N12" s="1" t="s">
        <v>395</v>
      </c>
      <c r="O12" s="1" t="s">
        <v>395</v>
      </c>
      <c r="P12" s="1" t="s">
        <v>395</v>
      </c>
      <c r="Q12" s="1" t="s">
        <v>395</v>
      </c>
      <c r="R12" s="1" t="s">
        <v>395</v>
      </c>
      <c r="S12" s="1" t="s">
        <v>395</v>
      </c>
      <c r="T12" s="1" t="s">
        <v>395</v>
      </c>
      <c r="U12" s="1" t="s">
        <v>395</v>
      </c>
      <c r="V12" s="1" t="s">
        <v>395</v>
      </c>
      <c r="W12" s="1" t="s">
        <v>395</v>
      </c>
      <c r="X12" s="1" t="s">
        <v>395</v>
      </c>
      <c r="Y12" s="1" t="s">
        <v>395</v>
      </c>
      <c r="Z12" s="1" t="s">
        <v>395</v>
      </c>
      <c r="AA12" s="1" t="s">
        <v>395</v>
      </c>
      <c r="AB12" s="1" t="s">
        <v>395</v>
      </c>
      <c r="AC12" s="1" t="s">
        <v>395</v>
      </c>
      <c r="AD12" s="1" t="s">
        <v>395</v>
      </c>
      <c r="AE12" s="1" t="s">
        <v>395</v>
      </c>
      <c r="AF12" s="1" t="s">
        <v>395</v>
      </c>
      <c r="AG12" s="1" t="s">
        <v>395</v>
      </c>
      <c r="AH12" s="1" t="s">
        <v>395</v>
      </c>
      <c r="AI12" s="1" t="s">
        <v>395</v>
      </c>
      <c r="AJ12">
        <v>0</v>
      </c>
      <c r="AK12" s="502">
        <v>43056.229202361101</v>
      </c>
    </row>
    <row r="13" spans="1:37">
      <c r="A13" s="1" t="s">
        <v>328</v>
      </c>
      <c r="B13" s="1" t="s">
        <v>572</v>
      </c>
      <c r="C13" s="1" t="s">
        <v>573</v>
      </c>
      <c r="D13" s="1" t="s">
        <v>574</v>
      </c>
      <c r="E13" s="1" t="s">
        <v>575</v>
      </c>
      <c r="F13" s="1" t="s">
        <v>575</v>
      </c>
      <c r="G13" s="1" t="s">
        <v>576</v>
      </c>
      <c r="H13" s="1" t="s">
        <v>577</v>
      </c>
      <c r="I13" s="1" t="s">
        <v>578</v>
      </c>
      <c r="J13" s="1" t="s">
        <v>579</v>
      </c>
      <c r="K13" s="1" t="s">
        <v>580</v>
      </c>
      <c r="L13" s="1" t="s">
        <v>581</v>
      </c>
      <c r="M13" s="1" t="s">
        <v>581</v>
      </c>
      <c r="N13" s="1" t="s">
        <v>582</v>
      </c>
      <c r="O13" s="1" t="s">
        <v>583</v>
      </c>
      <c r="P13" s="1" t="s">
        <v>584</v>
      </c>
      <c r="Q13" s="1" t="s">
        <v>585</v>
      </c>
      <c r="R13" s="1" t="s">
        <v>586</v>
      </c>
      <c r="S13" s="1" t="s">
        <v>587</v>
      </c>
      <c r="T13" s="1" t="s">
        <v>587</v>
      </c>
      <c r="U13" s="1" t="s">
        <v>588</v>
      </c>
      <c r="V13" s="1" t="s">
        <v>589</v>
      </c>
      <c r="W13" s="1" t="s">
        <v>590</v>
      </c>
      <c r="X13" s="1" t="s">
        <v>591</v>
      </c>
      <c r="Y13" s="1" t="s">
        <v>592</v>
      </c>
      <c r="Z13" s="1" t="s">
        <v>593</v>
      </c>
      <c r="AA13" s="1" t="s">
        <v>593</v>
      </c>
      <c r="AB13" s="1" t="s">
        <v>594</v>
      </c>
      <c r="AC13" s="1" t="s">
        <v>595</v>
      </c>
      <c r="AD13" s="1" t="s">
        <v>596</v>
      </c>
      <c r="AE13" s="1" t="s">
        <v>597</v>
      </c>
      <c r="AF13" s="1" t="s">
        <v>597</v>
      </c>
      <c r="AG13" s="1" t="s">
        <v>597</v>
      </c>
      <c r="AH13" s="1" t="s">
        <v>395</v>
      </c>
      <c r="AI13" s="1" t="s">
        <v>598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599</v>
      </c>
      <c r="C14" s="1" t="s">
        <v>600</v>
      </c>
      <c r="D14" s="1" t="s">
        <v>601</v>
      </c>
      <c r="E14" s="1" t="s">
        <v>602</v>
      </c>
      <c r="F14" s="1" t="s">
        <v>602</v>
      </c>
      <c r="G14" s="1" t="s">
        <v>603</v>
      </c>
      <c r="H14" s="1" t="s">
        <v>604</v>
      </c>
      <c r="I14" s="1" t="s">
        <v>605</v>
      </c>
      <c r="J14" s="1" t="s">
        <v>606</v>
      </c>
      <c r="K14" s="1" t="s">
        <v>607</v>
      </c>
      <c r="L14" s="1" t="s">
        <v>608</v>
      </c>
      <c r="M14" s="1" t="s">
        <v>608</v>
      </c>
      <c r="N14" s="1" t="s">
        <v>609</v>
      </c>
      <c r="O14" s="1" t="s">
        <v>610</v>
      </c>
      <c r="P14" s="1" t="s">
        <v>611</v>
      </c>
      <c r="Q14" s="1" t="s">
        <v>612</v>
      </c>
      <c r="R14" s="1" t="s">
        <v>613</v>
      </c>
      <c r="S14" s="1" t="s">
        <v>614</v>
      </c>
      <c r="T14" s="1" t="s">
        <v>614</v>
      </c>
      <c r="U14" s="1" t="s">
        <v>615</v>
      </c>
      <c r="V14" s="1" t="s">
        <v>616</v>
      </c>
      <c r="W14" s="1" t="s">
        <v>617</v>
      </c>
      <c r="X14" s="1" t="s">
        <v>618</v>
      </c>
      <c r="Y14" s="1" t="s">
        <v>619</v>
      </c>
      <c r="Z14" s="1" t="s">
        <v>620</v>
      </c>
      <c r="AA14" s="1" t="s">
        <v>620</v>
      </c>
      <c r="AB14" s="1" t="s">
        <v>621</v>
      </c>
      <c r="AC14" s="1" t="s">
        <v>622</v>
      </c>
      <c r="AD14" s="1" t="s">
        <v>623</v>
      </c>
      <c r="AE14" s="1" t="s">
        <v>624</v>
      </c>
      <c r="AF14" s="1" t="s">
        <v>624</v>
      </c>
      <c r="AG14" s="1" t="s">
        <v>624</v>
      </c>
      <c r="AH14" s="1" t="s">
        <v>395</v>
      </c>
      <c r="AI14" s="1" t="s">
        <v>625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626</v>
      </c>
      <c r="C15" s="1" t="s">
        <v>627</v>
      </c>
      <c r="D15" s="1" t="s">
        <v>627</v>
      </c>
      <c r="E15" s="1" t="s">
        <v>627</v>
      </c>
      <c r="F15" s="1" t="s">
        <v>627</v>
      </c>
      <c r="G15" s="1" t="s">
        <v>627</v>
      </c>
      <c r="H15" s="1" t="s">
        <v>628</v>
      </c>
      <c r="I15" s="1" t="s">
        <v>627</v>
      </c>
      <c r="J15" s="1" t="s">
        <v>627</v>
      </c>
      <c r="K15" s="1" t="s">
        <v>627</v>
      </c>
      <c r="L15" s="1" t="s">
        <v>627</v>
      </c>
      <c r="M15" s="1" t="s">
        <v>627</v>
      </c>
      <c r="N15" s="1" t="s">
        <v>627</v>
      </c>
      <c r="O15" s="1" t="s">
        <v>627</v>
      </c>
      <c r="P15" s="1" t="s">
        <v>627</v>
      </c>
      <c r="Q15" s="1" t="s">
        <v>627</v>
      </c>
      <c r="R15" s="1" t="s">
        <v>627</v>
      </c>
      <c r="S15" s="1" t="s">
        <v>627</v>
      </c>
      <c r="T15" s="1" t="s">
        <v>627</v>
      </c>
      <c r="U15" s="1" t="s">
        <v>627</v>
      </c>
      <c r="V15" s="1" t="s">
        <v>627</v>
      </c>
      <c r="W15" s="1" t="s">
        <v>627</v>
      </c>
      <c r="X15" s="1" t="s">
        <v>629</v>
      </c>
      <c r="Y15" s="1" t="s">
        <v>629</v>
      </c>
      <c r="Z15" s="1" t="s">
        <v>629</v>
      </c>
      <c r="AA15" s="1" t="s">
        <v>629</v>
      </c>
      <c r="AB15" s="1" t="s">
        <v>630</v>
      </c>
      <c r="AC15" s="1" t="s">
        <v>631</v>
      </c>
      <c r="AD15" s="1" t="s">
        <v>632</v>
      </c>
      <c r="AE15" s="1" t="s">
        <v>632</v>
      </c>
      <c r="AF15" s="1" t="s">
        <v>632</v>
      </c>
      <c r="AG15" s="1" t="s">
        <v>632</v>
      </c>
      <c r="AH15" s="1" t="s">
        <v>395</v>
      </c>
      <c r="AI15" s="1" t="s">
        <v>633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634</v>
      </c>
      <c r="C16" s="1" t="s">
        <v>635</v>
      </c>
      <c r="D16" s="1" t="s">
        <v>636</v>
      </c>
      <c r="E16" s="1" t="s">
        <v>637</v>
      </c>
      <c r="F16" s="1" t="s">
        <v>637</v>
      </c>
      <c r="G16" s="1" t="s">
        <v>638</v>
      </c>
      <c r="H16" s="1" t="s">
        <v>639</v>
      </c>
      <c r="I16" s="1" t="s">
        <v>640</v>
      </c>
      <c r="J16" s="1" t="s">
        <v>641</v>
      </c>
      <c r="K16" s="1" t="s">
        <v>642</v>
      </c>
      <c r="L16" s="1" t="s">
        <v>643</v>
      </c>
      <c r="M16" s="1" t="s">
        <v>643</v>
      </c>
      <c r="N16" s="1" t="s">
        <v>644</v>
      </c>
      <c r="O16" s="1" t="s">
        <v>645</v>
      </c>
      <c r="P16" s="1" t="s">
        <v>646</v>
      </c>
      <c r="Q16" s="1" t="s">
        <v>647</v>
      </c>
      <c r="R16" s="1" t="s">
        <v>648</v>
      </c>
      <c r="S16" s="1" t="s">
        <v>649</v>
      </c>
      <c r="T16" s="1" t="s">
        <v>649</v>
      </c>
      <c r="U16" s="1" t="s">
        <v>650</v>
      </c>
      <c r="V16" s="1" t="s">
        <v>651</v>
      </c>
      <c r="W16" s="1" t="s">
        <v>652</v>
      </c>
      <c r="X16" s="1" t="s">
        <v>653</v>
      </c>
      <c r="Y16" s="1" t="s">
        <v>654</v>
      </c>
      <c r="Z16" s="1" t="s">
        <v>655</v>
      </c>
      <c r="AA16" s="1" t="s">
        <v>655</v>
      </c>
      <c r="AB16" s="1" t="s">
        <v>656</v>
      </c>
      <c r="AC16" s="1" t="s">
        <v>657</v>
      </c>
      <c r="AD16" s="1" t="s">
        <v>658</v>
      </c>
      <c r="AE16" s="1" t="s">
        <v>659</v>
      </c>
      <c r="AF16" s="1" t="s">
        <v>660</v>
      </c>
      <c r="AG16" s="1" t="s">
        <v>660</v>
      </c>
      <c r="AH16" s="1" t="s">
        <v>395</v>
      </c>
      <c r="AI16" s="1" t="s">
        <v>661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662</v>
      </c>
      <c r="C17" s="1" t="s">
        <v>663</v>
      </c>
      <c r="D17" s="1" t="s">
        <v>664</v>
      </c>
      <c r="E17" s="1" t="s">
        <v>665</v>
      </c>
      <c r="F17" s="1" t="s">
        <v>665</v>
      </c>
      <c r="G17" s="1" t="s">
        <v>666</v>
      </c>
      <c r="H17" s="1" t="s">
        <v>667</v>
      </c>
      <c r="I17" s="1" t="s">
        <v>668</v>
      </c>
      <c r="J17" s="1" t="s">
        <v>669</v>
      </c>
      <c r="K17" s="1" t="s">
        <v>670</v>
      </c>
      <c r="L17" s="1" t="s">
        <v>671</v>
      </c>
      <c r="M17" s="1" t="s">
        <v>671</v>
      </c>
      <c r="N17" s="1" t="s">
        <v>672</v>
      </c>
      <c r="O17" s="1" t="s">
        <v>673</v>
      </c>
      <c r="P17" s="1" t="s">
        <v>674</v>
      </c>
      <c r="Q17" s="1" t="s">
        <v>675</v>
      </c>
      <c r="R17" s="1" t="s">
        <v>676</v>
      </c>
      <c r="S17" s="1" t="s">
        <v>677</v>
      </c>
      <c r="T17" s="1" t="s">
        <v>677</v>
      </c>
      <c r="U17" s="1" t="s">
        <v>678</v>
      </c>
      <c r="V17" s="1" t="s">
        <v>679</v>
      </c>
      <c r="W17" s="1" t="s">
        <v>680</v>
      </c>
      <c r="X17" s="1" t="s">
        <v>681</v>
      </c>
      <c r="Y17" s="1" t="s">
        <v>682</v>
      </c>
      <c r="Z17" s="1" t="s">
        <v>683</v>
      </c>
      <c r="AA17" s="1" t="s">
        <v>683</v>
      </c>
      <c r="AB17" s="1" t="s">
        <v>684</v>
      </c>
      <c r="AC17" s="1" t="s">
        <v>685</v>
      </c>
      <c r="AD17" s="1" t="s">
        <v>686</v>
      </c>
      <c r="AE17" s="1" t="s">
        <v>687</v>
      </c>
      <c r="AF17" s="1" t="s">
        <v>687</v>
      </c>
      <c r="AG17" s="1" t="s">
        <v>687</v>
      </c>
      <c r="AH17" s="1" t="s">
        <v>395</v>
      </c>
      <c r="AI17" s="1" t="s">
        <v>688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689</v>
      </c>
      <c r="C18" s="1" t="s">
        <v>690</v>
      </c>
      <c r="D18" s="1" t="s">
        <v>691</v>
      </c>
      <c r="E18" s="1" t="s">
        <v>692</v>
      </c>
      <c r="F18" s="1" t="s">
        <v>692</v>
      </c>
      <c r="G18" s="1" t="s">
        <v>693</v>
      </c>
      <c r="H18" s="1" t="s">
        <v>694</v>
      </c>
      <c r="I18" s="1" t="s">
        <v>695</v>
      </c>
      <c r="J18" s="1" t="s">
        <v>696</v>
      </c>
      <c r="K18" s="1" t="s">
        <v>697</v>
      </c>
      <c r="L18" s="1" t="s">
        <v>698</v>
      </c>
      <c r="M18" s="1" t="s">
        <v>698</v>
      </c>
      <c r="N18" s="1" t="s">
        <v>699</v>
      </c>
      <c r="O18" s="1" t="s">
        <v>700</v>
      </c>
      <c r="P18" s="1" t="s">
        <v>701</v>
      </c>
      <c r="Q18" s="1" t="s">
        <v>702</v>
      </c>
      <c r="R18" s="1" t="s">
        <v>703</v>
      </c>
      <c r="S18" s="1" t="s">
        <v>704</v>
      </c>
      <c r="T18" s="1" t="s">
        <v>704</v>
      </c>
      <c r="U18" s="1" t="s">
        <v>705</v>
      </c>
      <c r="V18" s="1" t="s">
        <v>706</v>
      </c>
      <c r="W18" s="1" t="s">
        <v>707</v>
      </c>
      <c r="X18" s="1" t="s">
        <v>708</v>
      </c>
      <c r="Y18" s="1" t="s">
        <v>709</v>
      </c>
      <c r="Z18" s="1" t="s">
        <v>710</v>
      </c>
      <c r="AA18" s="1" t="s">
        <v>710</v>
      </c>
      <c r="AB18" s="1" t="s">
        <v>711</v>
      </c>
      <c r="AC18" s="1" t="s">
        <v>712</v>
      </c>
      <c r="AD18" s="1" t="s">
        <v>713</v>
      </c>
      <c r="AE18" s="1" t="s">
        <v>714</v>
      </c>
      <c r="AF18" s="1" t="s">
        <v>714</v>
      </c>
      <c r="AG18" s="1" t="s">
        <v>714</v>
      </c>
      <c r="AH18" s="1" t="s">
        <v>395</v>
      </c>
      <c r="AI18" s="1" t="s">
        <v>715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716</v>
      </c>
      <c r="C19" s="1" t="s">
        <v>717</v>
      </c>
      <c r="D19" s="1" t="s">
        <v>717</v>
      </c>
      <c r="E19" s="1" t="s">
        <v>717</v>
      </c>
      <c r="F19" s="1" t="s">
        <v>717</v>
      </c>
      <c r="G19" s="1" t="s">
        <v>717</v>
      </c>
      <c r="H19" s="1" t="s">
        <v>717</v>
      </c>
      <c r="I19" s="1" t="s">
        <v>717</v>
      </c>
      <c r="J19" s="1" t="s">
        <v>717</v>
      </c>
      <c r="K19" s="1" t="s">
        <v>717</v>
      </c>
      <c r="L19" s="1" t="s">
        <v>717</v>
      </c>
      <c r="M19" s="1" t="s">
        <v>717</v>
      </c>
      <c r="N19" s="1" t="s">
        <v>717</v>
      </c>
      <c r="O19" s="1" t="s">
        <v>717</v>
      </c>
      <c r="P19" s="1" t="s">
        <v>717</v>
      </c>
      <c r="Q19" s="1" t="s">
        <v>717</v>
      </c>
      <c r="R19" s="1" t="s">
        <v>717</v>
      </c>
      <c r="S19" s="1" t="s">
        <v>717</v>
      </c>
      <c r="T19" s="1" t="s">
        <v>717</v>
      </c>
      <c r="U19" s="1" t="s">
        <v>717</v>
      </c>
      <c r="V19" s="1" t="s">
        <v>717</v>
      </c>
      <c r="W19" s="1" t="s">
        <v>717</v>
      </c>
      <c r="X19" s="1" t="s">
        <v>717</v>
      </c>
      <c r="Y19" s="1" t="s">
        <v>717</v>
      </c>
      <c r="Z19" s="1" t="s">
        <v>717</v>
      </c>
      <c r="AA19" s="1" t="s">
        <v>717</v>
      </c>
      <c r="AB19" s="1" t="s">
        <v>717</v>
      </c>
      <c r="AC19" s="1" t="s">
        <v>717</v>
      </c>
      <c r="AD19" s="1" t="s">
        <v>717</v>
      </c>
      <c r="AE19" s="1" t="s">
        <v>717</v>
      </c>
      <c r="AF19" s="1" t="s">
        <v>717</v>
      </c>
      <c r="AG19" s="1" t="s">
        <v>717</v>
      </c>
      <c r="AH19" s="1" t="s">
        <v>395</v>
      </c>
      <c r="AI19" s="1" t="s">
        <v>717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718</v>
      </c>
      <c r="C20" s="1" t="s">
        <v>719</v>
      </c>
      <c r="D20" s="1" t="s">
        <v>719</v>
      </c>
      <c r="E20" s="1" t="s">
        <v>719</v>
      </c>
      <c r="F20" s="1" t="s">
        <v>719</v>
      </c>
      <c r="G20" s="1" t="s">
        <v>719</v>
      </c>
      <c r="H20" s="1" t="s">
        <v>719</v>
      </c>
      <c r="I20" s="1" t="s">
        <v>719</v>
      </c>
      <c r="J20" s="1" t="s">
        <v>719</v>
      </c>
      <c r="K20" s="1" t="s">
        <v>719</v>
      </c>
      <c r="L20" s="1" t="s">
        <v>719</v>
      </c>
      <c r="M20" s="1" t="s">
        <v>719</v>
      </c>
      <c r="N20" s="1" t="s">
        <v>719</v>
      </c>
      <c r="O20" s="1" t="s">
        <v>719</v>
      </c>
      <c r="P20" s="1" t="s">
        <v>719</v>
      </c>
      <c r="Q20" s="1" t="s">
        <v>719</v>
      </c>
      <c r="R20" s="1" t="s">
        <v>719</v>
      </c>
      <c r="S20" s="1" t="s">
        <v>719</v>
      </c>
      <c r="T20" s="1" t="s">
        <v>719</v>
      </c>
      <c r="U20" s="1" t="s">
        <v>719</v>
      </c>
      <c r="V20" s="1" t="s">
        <v>719</v>
      </c>
      <c r="W20" s="1" t="s">
        <v>719</v>
      </c>
      <c r="X20" s="1" t="s">
        <v>719</v>
      </c>
      <c r="Y20" s="1" t="s">
        <v>719</v>
      </c>
      <c r="Z20" s="1" t="s">
        <v>719</v>
      </c>
      <c r="AA20" s="1" t="s">
        <v>719</v>
      </c>
      <c r="AB20" s="1" t="s">
        <v>719</v>
      </c>
      <c r="AC20" s="1" t="s">
        <v>719</v>
      </c>
      <c r="AD20" s="1" t="s">
        <v>719</v>
      </c>
      <c r="AE20" s="1" t="s">
        <v>719</v>
      </c>
      <c r="AF20" s="1" t="s">
        <v>719</v>
      </c>
      <c r="AG20" s="1" t="s">
        <v>719</v>
      </c>
      <c r="AH20" s="1" t="s">
        <v>395</v>
      </c>
      <c r="AI20" s="1" t="s">
        <v>719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720</v>
      </c>
      <c r="C21" s="1" t="s">
        <v>721</v>
      </c>
      <c r="D21" s="1" t="s">
        <v>721</v>
      </c>
      <c r="E21" s="1" t="s">
        <v>721</v>
      </c>
      <c r="F21" s="1" t="s">
        <v>721</v>
      </c>
      <c r="G21" s="1" t="s">
        <v>721</v>
      </c>
      <c r="H21" s="1" t="s">
        <v>721</v>
      </c>
      <c r="I21" s="1" t="s">
        <v>722</v>
      </c>
      <c r="J21" s="1" t="s">
        <v>723</v>
      </c>
      <c r="K21" s="1" t="s">
        <v>723</v>
      </c>
      <c r="L21" s="1" t="s">
        <v>723</v>
      </c>
      <c r="M21" s="1" t="s">
        <v>723</v>
      </c>
      <c r="N21" s="1" t="s">
        <v>723</v>
      </c>
      <c r="O21" s="1" t="s">
        <v>722</v>
      </c>
      <c r="P21" s="1" t="s">
        <v>722</v>
      </c>
      <c r="Q21" s="1" t="s">
        <v>722</v>
      </c>
      <c r="R21" s="1" t="s">
        <v>722</v>
      </c>
      <c r="S21" s="1" t="s">
        <v>722</v>
      </c>
      <c r="T21" s="1" t="s">
        <v>722</v>
      </c>
      <c r="U21" s="1" t="s">
        <v>722</v>
      </c>
      <c r="V21" s="1" t="s">
        <v>722</v>
      </c>
      <c r="W21" s="1" t="s">
        <v>722</v>
      </c>
      <c r="X21" s="1" t="s">
        <v>722</v>
      </c>
      <c r="Y21" s="1" t="s">
        <v>722</v>
      </c>
      <c r="Z21" s="1" t="s">
        <v>722</v>
      </c>
      <c r="AA21" s="1" t="s">
        <v>722</v>
      </c>
      <c r="AB21" s="1" t="s">
        <v>722</v>
      </c>
      <c r="AC21" s="1" t="s">
        <v>722</v>
      </c>
      <c r="AD21" s="1" t="s">
        <v>722</v>
      </c>
      <c r="AE21" s="1" t="s">
        <v>722</v>
      </c>
      <c r="AF21" s="1" t="s">
        <v>722</v>
      </c>
      <c r="AG21" s="1" t="s">
        <v>722</v>
      </c>
      <c r="AH21" s="1" t="s">
        <v>395</v>
      </c>
      <c r="AI21" s="1" t="s">
        <v>724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725</v>
      </c>
      <c r="C22" s="1" t="s">
        <v>395</v>
      </c>
      <c r="D22" s="1" t="s">
        <v>395</v>
      </c>
      <c r="E22" s="1" t="s">
        <v>395</v>
      </c>
      <c r="F22" s="1" t="s">
        <v>395</v>
      </c>
      <c r="G22" s="1" t="s">
        <v>395</v>
      </c>
      <c r="H22" s="1" t="s">
        <v>395</v>
      </c>
      <c r="I22" s="1" t="s">
        <v>395</v>
      </c>
      <c r="J22" s="1" t="s">
        <v>395</v>
      </c>
      <c r="K22" s="1" t="s">
        <v>395</v>
      </c>
      <c r="L22" s="1" t="s">
        <v>395</v>
      </c>
      <c r="M22" s="1" t="s">
        <v>395</v>
      </c>
      <c r="N22" s="1" t="s">
        <v>395</v>
      </c>
      <c r="O22" s="1" t="s">
        <v>395</v>
      </c>
      <c r="P22" s="1" t="s">
        <v>395</v>
      </c>
      <c r="Q22" s="1" t="s">
        <v>395</v>
      </c>
      <c r="R22" s="1" t="s">
        <v>395</v>
      </c>
      <c r="S22" s="1" t="s">
        <v>395</v>
      </c>
      <c r="T22" s="1" t="s">
        <v>395</v>
      </c>
      <c r="U22" s="1" t="s">
        <v>395</v>
      </c>
      <c r="V22" s="1" t="s">
        <v>395</v>
      </c>
      <c r="W22" s="1" t="s">
        <v>395</v>
      </c>
      <c r="X22" s="1" t="s">
        <v>395</v>
      </c>
      <c r="Y22" s="1" t="s">
        <v>395</v>
      </c>
      <c r="Z22" s="1" t="s">
        <v>395</v>
      </c>
      <c r="AA22" s="1" t="s">
        <v>395</v>
      </c>
      <c r="AB22" s="1" t="s">
        <v>395</v>
      </c>
      <c r="AC22" s="1" t="s">
        <v>395</v>
      </c>
      <c r="AD22" s="1" t="s">
        <v>395</v>
      </c>
      <c r="AE22" s="1" t="s">
        <v>395</v>
      </c>
      <c r="AF22" s="1" t="s">
        <v>395</v>
      </c>
      <c r="AG22" s="1" t="s">
        <v>395</v>
      </c>
      <c r="AH22" s="1" t="s">
        <v>395</v>
      </c>
      <c r="AI22" s="1" t="s">
        <v>395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726</v>
      </c>
      <c r="C23" s="1" t="s">
        <v>395</v>
      </c>
      <c r="D23" s="1" t="s">
        <v>395</v>
      </c>
      <c r="E23" s="1" t="s">
        <v>395</v>
      </c>
      <c r="F23" s="1" t="s">
        <v>395</v>
      </c>
      <c r="G23" s="1" t="s">
        <v>395</v>
      </c>
      <c r="H23" s="1" t="s">
        <v>395</v>
      </c>
      <c r="I23" s="1" t="s">
        <v>395</v>
      </c>
      <c r="J23" s="1" t="s">
        <v>395</v>
      </c>
      <c r="K23" s="1" t="s">
        <v>395</v>
      </c>
      <c r="L23" s="1" t="s">
        <v>395</v>
      </c>
      <c r="M23" s="1" t="s">
        <v>395</v>
      </c>
      <c r="N23" s="1" t="s">
        <v>395</v>
      </c>
      <c r="O23" s="1" t="s">
        <v>395</v>
      </c>
      <c r="P23" s="1" t="s">
        <v>395</v>
      </c>
      <c r="Q23" s="1" t="s">
        <v>395</v>
      </c>
      <c r="R23" s="1" t="s">
        <v>395</v>
      </c>
      <c r="S23" s="1" t="s">
        <v>395</v>
      </c>
      <c r="T23" s="1" t="s">
        <v>395</v>
      </c>
      <c r="U23" s="1" t="s">
        <v>395</v>
      </c>
      <c r="V23" s="1" t="s">
        <v>395</v>
      </c>
      <c r="W23" s="1" t="s">
        <v>395</v>
      </c>
      <c r="X23" s="1" t="s">
        <v>395</v>
      </c>
      <c r="Y23" s="1" t="s">
        <v>395</v>
      </c>
      <c r="Z23" s="1" t="s">
        <v>395</v>
      </c>
      <c r="AA23" s="1" t="s">
        <v>395</v>
      </c>
      <c r="AB23" s="1" t="s">
        <v>395</v>
      </c>
      <c r="AC23" s="1" t="s">
        <v>395</v>
      </c>
      <c r="AD23" s="1" t="s">
        <v>395</v>
      </c>
      <c r="AE23" s="1" t="s">
        <v>395</v>
      </c>
      <c r="AF23" s="1" t="s">
        <v>395</v>
      </c>
      <c r="AG23" s="1" t="s">
        <v>395</v>
      </c>
      <c r="AH23" s="1" t="s">
        <v>395</v>
      </c>
      <c r="AI23" s="1" t="s">
        <v>395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727</v>
      </c>
      <c r="C24" s="1" t="s">
        <v>728</v>
      </c>
      <c r="D24" s="1" t="s">
        <v>729</v>
      </c>
      <c r="E24" s="1" t="s">
        <v>730</v>
      </c>
      <c r="F24" s="1" t="s">
        <v>730</v>
      </c>
      <c r="G24" s="1" t="s">
        <v>731</v>
      </c>
      <c r="H24" s="1" t="s">
        <v>732</v>
      </c>
      <c r="I24" s="1" t="s">
        <v>733</v>
      </c>
      <c r="J24" s="1" t="s">
        <v>734</v>
      </c>
      <c r="K24" s="1" t="s">
        <v>735</v>
      </c>
      <c r="L24" s="1" t="s">
        <v>736</v>
      </c>
      <c r="M24" s="1" t="s">
        <v>736</v>
      </c>
      <c r="N24" s="1" t="s">
        <v>737</v>
      </c>
      <c r="O24" s="1" t="s">
        <v>738</v>
      </c>
      <c r="P24" s="1" t="s">
        <v>739</v>
      </c>
      <c r="Q24" s="1" t="s">
        <v>740</v>
      </c>
      <c r="R24" s="1" t="s">
        <v>741</v>
      </c>
      <c r="S24" s="1" t="s">
        <v>742</v>
      </c>
      <c r="T24" s="1" t="s">
        <v>742</v>
      </c>
      <c r="U24" s="1" t="s">
        <v>743</v>
      </c>
      <c r="V24" s="1" t="s">
        <v>744</v>
      </c>
      <c r="W24" s="1" t="s">
        <v>745</v>
      </c>
      <c r="X24" s="1" t="s">
        <v>746</v>
      </c>
      <c r="Y24" s="1" t="s">
        <v>747</v>
      </c>
      <c r="Z24" s="1" t="s">
        <v>748</v>
      </c>
      <c r="AA24" s="1" t="s">
        <v>748</v>
      </c>
      <c r="AB24" s="1" t="s">
        <v>749</v>
      </c>
      <c r="AC24" s="1" t="s">
        <v>750</v>
      </c>
      <c r="AD24" s="1" t="s">
        <v>751</v>
      </c>
      <c r="AE24" s="1" t="s">
        <v>752</v>
      </c>
      <c r="AF24" s="1" t="s">
        <v>752</v>
      </c>
      <c r="AG24" s="1" t="s">
        <v>752</v>
      </c>
      <c r="AH24" s="1" t="s">
        <v>395</v>
      </c>
      <c r="AI24" s="1" t="s">
        <v>753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754</v>
      </c>
      <c r="C25" s="1" t="s">
        <v>755</v>
      </c>
      <c r="D25" s="1" t="s">
        <v>756</v>
      </c>
      <c r="E25" s="1" t="s">
        <v>757</v>
      </c>
      <c r="F25" s="1" t="s">
        <v>757</v>
      </c>
      <c r="G25" s="1" t="s">
        <v>758</v>
      </c>
      <c r="H25" s="1" t="s">
        <v>759</v>
      </c>
      <c r="I25" s="1" t="s">
        <v>760</v>
      </c>
      <c r="J25" s="1" t="s">
        <v>761</v>
      </c>
      <c r="K25" s="1" t="s">
        <v>762</v>
      </c>
      <c r="L25" s="1" t="s">
        <v>763</v>
      </c>
      <c r="M25" s="1" t="s">
        <v>763</v>
      </c>
      <c r="N25" s="1" t="s">
        <v>764</v>
      </c>
      <c r="O25" s="1" t="s">
        <v>765</v>
      </c>
      <c r="P25" s="1" t="s">
        <v>766</v>
      </c>
      <c r="Q25" s="1" t="s">
        <v>767</v>
      </c>
      <c r="R25" s="1" t="s">
        <v>768</v>
      </c>
      <c r="S25" s="1" t="s">
        <v>769</v>
      </c>
      <c r="T25" s="1" t="s">
        <v>769</v>
      </c>
      <c r="U25" s="1" t="s">
        <v>770</v>
      </c>
      <c r="V25" s="1" t="s">
        <v>771</v>
      </c>
      <c r="W25" s="1" t="s">
        <v>772</v>
      </c>
      <c r="X25" s="1" t="s">
        <v>773</v>
      </c>
      <c r="Y25" s="1" t="s">
        <v>774</v>
      </c>
      <c r="Z25" s="1" t="s">
        <v>775</v>
      </c>
      <c r="AA25" s="1" t="s">
        <v>775</v>
      </c>
      <c r="AB25" s="1" t="s">
        <v>776</v>
      </c>
      <c r="AC25" s="1" t="s">
        <v>777</v>
      </c>
      <c r="AD25" s="1" t="s">
        <v>778</v>
      </c>
      <c r="AE25" s="1" t="s">
        <v>779</v>
      </c>
      <c r="AF25" s="1" t="s">
        <v>779</v>
      </c>
      <c r="AG25" s="1" t="s">
        <v>779</v>
      </c>
      <c r="AH25" s="1" t="s">
        <v>395</v>
      </c>
      <c r="AI25" s="1" t="s">
        <v>780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781</v>
      </c>
    </row>
    <row r="2" spans="1:35">
      <c r="A2" s="1" t="s">
        <v>328</v>
      </c>
      <c r="B2" s="285" t="s">
        <v>364</v>
      </c>
      <c r="C2" s="1" t="s">
        <v>782</v>
      </c>
      <c r="D2" s="1" t="s">
        <v>783</v>
      </c>
      <c r="E2" s="1" t="s">
        <v>784</v>
      </c>
      <c r="F2" s="1" t="s">
        <v>782</v>
      </c>
      <c r="G2" s="1" t="s">
        <v>784</v>
      </c>
      <c r="H2" s="1" t="s">
        <v>785</v>
      </c>
      <c r="I2" s="1" t="s">
        <v>785</v>
      </c>
      <c r="J2" s="1" t="s">
        <v>785</v>
      </c>
      <c r="K2" s="1" t="s">
        <v>783</v>
      </c>
      <c r="L2" s="1" t="s">
        <v>784</v>
      </c>
      <c r="M2" s="1" t="s">
        <v>782</v>
      </c>
      <c r="N2" s="1" t="s">
        <v>786</v>
      </c>
      <c r="O2" s="1" t="s">
        <v>787</v>
      </c>
      <c r="P2" s="1" t="s">
        <v>788</v>
      </c>
      <c r="Q2" s="1" t="s">
        <v>789</v>
      </c>
      <c r="R2" s="1" t="s">
        <v>787</v>
      </c>
      <c r="S2" s="1" t="s">
        <v>785</v>
      </c>
      <c r="T2" s="1" t="s">
        <v>782</v>
      </c>
      <c r="U2" s="1" t="s">
        <v>783</v>
      </c>
      <c r="V2" s="1" t="s">
        <v>786</v>
      </c>
      <c r="W2" s="1" t="s">
        <v>790</v>
      </c>
      <c r="X2" s="1" t="s">
        <v>791</v>
      </c>
      <c r="Y2" s="1" t="s">
        <v>792</v>
      </c>
      <c r="Z2" s="1" t="s">
        <v>793</v>
      </c>
      <c r="AA2" s="1" t="s">
        <v>782</v>
      </c>
      <c r="AB2" s="1" t="s">
        <v>791</v>
      </c>
      <c r="AC2" s="1" t="s">
        <v>793</v>
      </c>
      <c r="AD2" s="1" t="s">
        <v>793</v>
      </c>
      <c r="AE2" s="1" t="s">
        <v>792</v>
      </c>
      <c r="AF2" s="1" t="s">
        <v>782</v>
      </c>
      <c r="AG2" s="1" t="s">
        <v>782</v>
      </c>
      <c r="AH2" s="1" t="s">
        <v>786</v>
      </c>
      <c r="AI2" s="502">
        <v>44412.229194178202</v>
      </c>
    </row>
    <row r="3" spans="1:35">
      <c r="A3" s="1" t="s">
        <v>328</v>
      </c>
      <c r="B3" s="285" t="s">
        <v>397</v>
      </c>
      <c r="C3" s="1" t="s">
        <v>782</v>
      </c>
      <c r="D3" s="1" t="s">
        <v>794</v>
      </c>
      <c r="E3" s="1" t="s">
        <v>795</v>
      </c>
      <c r="F3" s="1" t="s">
        <v>782</v>
      </c>
      <c r="G3" s="1" t="s">
        <v>796</v>
      </c>
      <c r="H3" s="1" t="s">
        <v>787</v>
      </c>
      <c r="I3" s="1" t="s">
        <v>794</v>
      </c>
      <c r="J3" s="1" t="s">
        <v>784</v>
      </c>
      <c r="K3" s="1" t="s">
        <v>797</v>
      </c>
      <c r="L3" s="1" t="s">
        <v>798</v>
      </c>
      <c r="M3" s="1" t="s">
        <v>782</v>
      </c>
      <c r="N3" s="1" t="s">
        <v>798</v>
      </c>
      <c r="O3" s="1" t="s">
        <v>786</v>
      </c>
      <c r="P3" s="1" t="s">
        <v>793</v>
      </c>
      <c r="Q3" s="1" t="s">
        <v>785</v>
      </c>
      <c r="R3" s="1" t="s">
        <v>792</v>
      </c>
      <c r="S3" s="1" t="s">
        <v>794</v>
      </c>
      <c r="T3" s="1" t="s">
        <v>782</v>
      </c>
      <c r="U3" s="1" t="s">
        <v>790</v>
      </c>
      <c r="V3" s="1" t="s">
        <v>789</v>
      </c>
      <c r="W3" s="1" t="s">
        <v>789</v>
      </c>
      <c r="X3" s="1" t="s">
        <v>785</v>
      </c>
      <c r="Y3" s="1" t="s">
        <v>790</v>
      </c>
      <c r="Z3" s="1" t="s">
        <v>796</v>
      </c>
      <c r="AA3" s="1" t="s">
        <v>782</v>
      </c>
      <c r="AB3" s="1" t="s">
        <v>786</v>
      </c>
      <c r="AC3" s="1" t="s">
        <v>789</v>
      </c>
      <c r="AD3" s="1" t="s">
        <v>792</v>
      </c>
      <c r="AE3" s="1" t="s">
        <v>791</v>
      </c>
      <c r="AF3" s="1" t="s">
        <v>782</v>
      </c>
      <c r="AG3" s="1" t="s">
        <v>782</v>
      </c>
      <c r="AH3" s="1" t="s">
        <v>787</v>
      </c>
      <c r="AI3" s="502">
        <v>44412.229194178202</v>
      </c>
    </row>
    <row r="4" spans="1:35">
      <c r="A4" s="1" t="s">
        <v>328</v>
      </c>
      <c r="B4" s="285" t="s">
        <v>427</v>
      </c>
      <c r="C4" s="1" t="s">
        <v>782</v>
      </c>
      <c r="D4" s="1" t="s">
        <v>799</v>
      </c>
      <c r="E4" s="1" t="s">
        <v>799</v>
      </c>
      <c r="F4" s="1" t="s">
        <v>782</v>
      </c>
      <c r="G4" s="1" t="s">
        <v>799</v>
      </c>
      <c r="H4" s="1" t="s">
        <v>799</v>
      </c>
      <c r="I4" s="1" t="s">
        <v>799</v>
      </c>
      <c r="J4" s="1" t="s">
        <v>799</v>
      </c>
      <c r="K4" s="1" t="s">
        <v>799</v>
      </c>
      <c r="L4" s="1" t="s">
        <v>799</v>
      </c>
      <c r="M4" s="1" t="s">
        <v>782</v>
      </c>
      <c r="N4" s="1" t="s">
        <v>799</v>
      </c>
      <c r="O4" s="1" t="s">
        <v>799</v>
      </c>
      <c r="P4" s="1" t="s">
        <v>799</v>
      </c>
      <c r="Q4" s="1" t="s">
        <v>799</v>
      </c>
      <c r="R4" s="1" t="s">
        <v>799</v>
      </c>
      <c r="S4" s="1" t="s">
        <v>799</v>
      </c>
      <c r="T4" s="1" t="s">
        <v>782</v>
      </c>
      <c r="U4" s="1" t="s">
        <v>799</v>
      </c>
      <c r="V4" s="1" t="s">
        <v>800</v>
      </c>
      <c r="W4" s="1" t="s">
        <v>799</v>
      </c>
      <c r="X4" s="1" t="s">
        <v>799</v>
      </c>
      <c r="Y4" s="1" t="s">
        <v>799</v>
      </c>
      <c r="Z4" s="1" t="s">
        <v>799</v>
      </c>
      <c r="AA4" s="1" t="s">
        <v>782</v>
      </c>
      <c r="AB4" s="1" t="s">
        <v>799</v>
      </c>
      <c r="AC4" s="1" t="s">
        <v>799</v>
      </c>
      <c r="AD4" s="1" t="s">
        <v>799</v>
      </c>
      <c r="AE4" s="1" t="s">
        <v>799</v>
      </c>
      <c r="AF4" s="1" t="s">
        <v>782</v>
      </c>
      <c r="AG4" s="1" t="s">
        <v>782</v>
      </c>
      <c r="AH4" s="1" t="s">
        <v>799</v>
      </c>
      <c r="AI4" s="502">
        <v>44412.229194178202</v>
      </c>
    </row>
    <row r="5" spans="1:35">
      <c r="A5" s="1" t="s">
        <v>328</v>
      </c>
      <c r="B5" s="285" t="s">
        <v>454</v>
      </c>
      <c r="C5" s="1" t="s">
        <v>782</v>
      </c>
      <c r="D5" s="1" t="s">
        <v>799</v>
      </c>
      <c r="E5" s="1" t="s">
        <v>799</v>
      </c>
      <c r="F5" s="1" t="s">
        <v>782</v>
      </c>
      <c r="G5" s="1" t="s">
        <v>801</v>
      </c>
      <c r="H5" s="1" t="s">
        <v>802</v>
      </c>
      <c r="I5" s="1" t="s">
        <v>803</v>
      </c>
      <c r="J5" s="1" t="s">
        <v>804</v>
      </c>
      <c r="K5" s="1" t="s">
        <v>805</v>
      </c>
      <c r="L5" s="1" t="s">
        <v>806</v>
      </c>
      <c r="M5" s="1" t="s">
        <v>782</v>
      </c>
      <c r="N5" s="1" t="s">
        <v>807</v>
      </c>
      <c r="O5" s="1" t="s">
        <v>808</v>
      </c>
      <c r="P5" s="1" t="s">
        <v>809</v>
      </c>
      <c r="Q5" s="1" t="s">
        <v>808</v>
      </c>
      <c r="R5" s="1" t="s">
        <v>810</v>
      </c>
      <c r="S5" s="1" t="s">
        <v>811</v>
      </c>
      <c r="T5" s="1" t="s">
        <v>782</v>
      </c>
      <c r="U5" s="1" t="s">
        <v>812</v>
      </c>
      <c r="V5" s="1" t="s">
        <v>813</v>
      </c>
      <c r="W5" s="1" t="s">
        <v>814</v>
      </c>
      <c r="X5" s="1" t="s">
        <v>803</v>
      </c>
      <c r="Y5" s="1" t="s">
        <v>815</v>
      </c>
      <c r="Z5" s="1" t="s">
        <v>816</v>
      </c>
      <c r="AA5" s="1" t="s">
        <v>782</v>
      </c>
      <c r="AB5" s="1" t="s">
        <v>817</v>
      </c>
      <c r="AC5" s="1" t="s">
        <v>818</v>
      </c>
      <c r="AD5" s="1" t="s">
        <v>819</v>
      </c>
      <c r="AE5" s="1" t="s">
        <v>816</v>
      </c>
      <c r="AF5" s="1" t="s">
        <v>782</v>
      </c>
      <c r="AG5" s="1" t="s">
        <v>782</v>
      </c>
      <c r="AH5" s="1" t="s">
        <v>820</v>
      </c>
      <c r="AI5" s="502">
        <v>44412.229194178202</v>
      </c>
    </row>
    <row r="6" spans="1:35">
      <c r="A6" s="1" t="s">
        <v>328</v>
      </c>
      <c r="B6" s="285" t="s">
        <v>481</v>
      </c>
      <c r="C6" s="1" t="s">
        <v>782</v>
      </c>
      <c r="D6" s="1" t="s">
        <v>821</v>
      </c>
      <c r="E6" s="1" t="s">
        <v>821</v>
      </c>
      <c r="F6" s="1" t="s">
        <v>782</v>
      </c>
      <c r="G6" s="1" t="s">
        <v>792</v>
      </c>
      <c r="H6" s="1" t="s">
        <v>784</v>
      </c>
      <c r="I6" s="1" t="s">
        <v>822</v>
      </c>
      <c r="J6" s="1" t="s">
        <v>823</v>
      </c>
      <c r="K6" s="1" t="s">
        <v>800</v>
      </c>
      <c r="L6" s="1" t="s">
        <v>824</v>
      </c>
      <c r="M6" s="1" t="s">
        <v>782</v>
      </c>
      <c r="N6" s="1" t="s">
        <v>824</v>
      </c>
      <c r="O6" s="1" t="s">
        <v>824</v>
      </c>
      <c r="P6" s="1" t="s">
        <v>800</v>
      </c>
      <c r="Q6" s="1" t="s">
        <v>796</v>
      </c>
      <c r="R6" s="1" t="s">
        <v>800</v>
      </c>
      <c r="S6" s="1" t="s">
        <v>824</v>
      </c>
      <c r="T6" s="1" t="s">
        <v>782</v>
      </c>
      <c r="U6" s="1" t="s">
        <v>800</v>
      </c>
      <c r="V6" s="1" t="s">
        <v>799</v>
      </c>
      <c r="W6" s="1" t="s">
        <v>800</v>
      </c>
      <c r="X6" s="1" t="s">
        <v>800</v>
      </c>
      <c r="Y6" s="1" t="s">
        <v>800</v>
      </c>
      <c r="Z6" s="1" t="s">
        <v>823</v>
      </c>
      <c r="AA6" s="1" t="s">
        <v>782</v>
      </c>
      <c r="AB6" s="1" t="s">
        <v>825</v>
      </c>
      <c r="AC6" s="1" t="s">
        <v>800</v>
      </c>
      <c r="AD6" s="1" t="s">
        <v>824</v>
      </c>
      <c r="AE6" s="1" t="s">
        <v>824</v>
      </c>
      <c r="AF6" s="1" t="s">
        <v>782</v>
      </c>
      <c r="AG6" s="1" t="s">
        <v>782</v>
      </c>
      <c r="AH6" s="1" t="s">
        <v>823</v>
      </c>
      <c r="AI6" s="502">
        <v>44412.229194178202</v>
      </c>
    </row>
    <row r="7" spans="1:35">
      <c r="A7" s="1" t="s">
        <v>328</v>
      </c>
      <c r="B7" s="285" t="s">
        <v>510</v>
      </c>
      <c r="C7" s="1" t="s">
        <v>782</v>
      </c>
      <c r="D7" s="1" t="s">
        <v>782</v>
      </c>
      <c r="E7" s="1" t="s">
        <v>782</v>
      </c>
      <c r="F7" s="1" t="s">
        <v>782</v>
      </c>
      <c r="G7" s="1" t="s">
        <v>782</v>
      </c>
      <c r="H7" s="1" t="s">
        <v>782</v>
      </c>
      <c r="I7" s="1" t="s">
        <v>782</v>
      </c>
      <c r="J7" s="1" t="s">
        <v>782</v>
      </c>
      <c r="K7" s="1" t="s">
        <v>782</v>
      </c>
      <c r="L7" s="1" t="s">
        <v>782</v>
      </c>
      <c r="M7" s="1" t="s">
        <v>782</v>
      </c>
      <c r="N7" s="1" t="s">
        <v>782</v>
      </c>
      <c r="O7" s="1" t="s">
        <v>782</v>
      </c>
      <c r="P7" s="1" t="s">
        <v>782</v>
      </c>
      <c r="Q7" s="1" t="s">
        <v>782</v>
      </c>
      <c r="R7" s="1" t="s">
        <v>782</v>
      </c>
      <c r="S7" s="1" t="s">
        <v>782</v>
      </c>
      <c r="T7" s="1" t="s">
        <v>782</v>
      </c>
      <c r="U7" s="1" t="s">
        <v>782</v>
      </c>
      <c r="V7" s="1" t="s">
        <v>782</v>
      </c>
      <c r="W7" s="1" t="s">
        <v>782</v>
      </c>
      <c r="X7" s="1" t="s">
        <v>782</v>
      </c>
      <c r="Y7" s="1" t="s">
        <v>782</v>
      </c>
      <c r="Z7" s="1" t="s">
        <v>782</v>
      </c>
      <c r="AA7" s="1" t="s">
        <v>782</v>
      </c>
      <c r="AB7" s="1" t="s">
        <v>782</v>
      </c>
      <c r="AC7" s="1" t="s">
        <v>782</v>
      </c>
      <c r="AD7" s="1" t="s">
        <v>782</v>
      </c>
      <c r="AE7" s="1" t="s">
        <v>782</v>
      </c>
      <c r="AF7" s="1" t="s">
        <v>782</v>
      </c>
      <c r="AG7" s="1" t="s">
        <v>782</v>
      </c>
      <c r="AH7" s="1" t="s">
        <v>782</v>
      </c>
      <c r="AI7" s="502">
        <v>44412.229194178202</v>
      </c>
    </row>
    <row r="8" spans="1:35">
      <c r="A8" s="1" t="s">
        <v>328</v>
      </c>
      <c r="B8" s="285" t="s">
        <v>511</v>
      </c>
      <c r="C8" s="1" t="s">
        <v>782</v>
      </c>
      <c r="D8" s="1" t="s">
        <v>795</v>
      </c>
      <c r="E8" s="1" t="s">
        <v>786</v>
      </c>
      <c r="F8" s="1" t="s">
        <v>782</v>
      </c>
      <c r="G8" s="1" t="s">
        <v>826</v>
      </c>
      <c r="H8" s="1" t="s">
        <v>827</v>
      </c>
      <c r="I8" s="1" t="s">
        <v>791</v>
      </c>
      <c r="J8" s="1" t="s">
        <v>823</v>
      </c>
      <c r="K8" s="1" t="s">
        <v>799</v>
      </c>
      <c r="L8" s="1" t="s">
        <v>799</v>
      </c>
      <c r="M8" s="1" t="s">
        <v>782</v>
      </c>
      <c r="N8" s="1" t="s">
        <v>790</v>
      </c>
      <c r="O8" s="1" t="s">
        <v>828</v>
      </c>
      <c r="P8" s="1" t="s">
        <v>788</v>
      </c>
      <c r="Q8" s="1" t="s">
        <v>797</v>
      </c>
      <c r="R8" s="1" t="s">
        <v>829</v>
      </c>
      <c r="S8" s="1" t="s">
        <v>830</v>
      </c>
      <c r="T8" s="1" t="s">
        <v>782</v>
      </c>
      <c r="U8" s="1" t="s">
        <v>831</v>
      </c>
      <c r="V8" s="1" t="s">
        <v>832</v>
      </c>
      <c r="W8" s="1" t="s">
        <v>799</v>
      </c>
      <c r="X8" s="1" t="s">
        <v>833</v>
      </c>
      <c r="Y8" s="1" t="s">
        <v>829</v>
      </c>
      <c r="Z8" s="1" t="s">
        <v>797</v>
      </c>
      <c r="AA8" s="1" t="s">
        <v>782</v>
      </c>
      <c r="AB8" s="1" t="s">
        <v>834</v>
      </c>
      <c r="AC8" s="1" t="s">
        <v>796</v>
      </c>
      <c r="AD8" s="1" t="s">
        <v>829</v>
      </c>
      <c r="AE8" s="1" t="s">
        <v>821</v>
      </c>
      <c r="AF8" s="1" t="s">
        <v>782</v>
      </c>
      <c r="AG8" s="1" t="s">
        <v>782</v>
      </c>
      <c r="AH8" s="1" t="s">
        <v>835</v>
      </c>
      <c r="AI8" s="502">
        <v>44412.229194178202</v>
      </c>
    </row>
    <row r="9" spans="1:35">
      <c r="A9" s="1" t="s">
        <v>328</v>
      </c>
      <c r="B9" s="285" t="s">
        <v>836</v>
      </c>
      <c r="C9" s="1" t="s">
        <v>782</v>
      </c>
      <c r="D9" s="1" t="s">
        <v>799</v>
      </c>
      <c r="E9" s="1" t="s">
        <v>799</v>
      </c>
      <c r="F9" s="1" t="s">
        <v>782</v>
      </c>
      <c r="G9" s="1" t="s">
        <v>799</v>
      </c>
      <c r="H9" s="1" t="s">
        <v>799</v>
      </c>
      <c r="I9" s="1" t="s">
        <v>837</v>
      </c>
      <c r="J9" s="1" t="s">
        <v>799</v>
      </c>
      <c r="K9" s="1" t="s">
        <v>799</v>
      </c>
      <c r="L9" s="1" t="s">
        <v>799</v>
      </c>
      <c r="M9" s="1" t="s">
        <v>782</v>
      </c>
      <c r="N9" s="1" t="s">
        <v>799</v>
      </c>
      <c r="O9" s="1" t="s">
        <v>799</v>
      </c>
      <c r="P9" s="1" t="s">
        <v>799</v>
      </c>
      <c r="Q9" s="1" t="s">
        <v>838</v>
      </c>
      <c r="R9" s="1" t="s">
        <v>819</v>
      </c>
      <c r="S9" s="1" t="s">
        <v>839</v>
      </c>
      <c r="T9" s="1" t="s">
        <v>782</v>
      </c>
      <c r="U9" s="1" t="s">
        <v>799</v>
      </c>
      <c r="V9" s="1" t="s">
        <v>840</v>
      </c>
      <c r="W9" s="1" t="s">
        <v>841</v>
      </c>
      <c r="X9" s="1" t="s">
        <v>799</v>
      </c>
      <c r="Y9" s="1" t="s">
        <v>799</v>
      </c>
      <c r="Z9" s="1" t="s">
        <v>842</v>
      </c>
      <c r="AA9" s="1" t="s">
        <v>782</v>
      </c>
      <c r="AB9" s="1" t="s">
        <v>843</v>
      </c>
      <c r="AC9" s="1" t="s">
        <v>799</v>
      </c>
      <c r="AD9" s="1" t="s">
        <v>799</v>
      </c>
      <c r="AE9" s="1" t="s">
        <v>799</v>
      </c>
      <c r="AF9" s="1" t="s">
        <v>782</v>
      </c>
      <c r="AG9" s="1" t="s">
        <v>782</v>
      </c>
      <c r="AH9" s="1" t="s">
        <v>814</v>
      </c>
      <c r="AI9" s="502">
        <v>44412.229194178202</v>
      </c>
    </row>
    <row r="10" spans="1:35">
      <c r="A10" s="1" t="s">
        <v>328</v>
      </c>
      <c r="B10" s="285" t="s">
        <v>844</v>
      </c>
      <c r="C10" s="1" t="s">
        <v>782</v>
      </c>
      <c r="D10" s="1" t="s">
        <v>789</v>
      </c>
      <c r="E10" s="1" t="s">
        <v>795</v>
      </c>
      <c r="F10" s="1" t="s">
        <v>782</v>
      </c>
      <c r="G10" s="1" t="s">
        <v>785</v>
      </c>
      <c r="H10" s="1" t="s">
        <v>789</v>
      </c>
      <c r="I10" s="1" t="s">
        <v>785</v>
      </c>
      <c r="J10" s="1" t="s">
        <v>784</v>
      </c>
      <c r="K10" s="1" t="s">
        <v>786</v>
      </c>
      <c r="L10" s="1" t="s">
        <v>788</v>
      </c>
      <c r="M10" s="1" t="s">
        <v>782</v>
      </c>
      <c r="N10" s="1" t="s">
        <v>785</v>
      </c>
      <c r="O10" s="1" t="s">
        <v>787</v>
      </c>
      <c r="P10" s="1" t="s">
        <v>788</v>
      </c>
      <c r="Q10" s="1" t="s">
        <v>785</v>
      </c>
      <c r="R10" s="1" t="s">
        <v>784</v>
      </c>
      <c r="S10" s="1" t="s">
        <v>785</v>
      </c>
      <c r="T10" s="1" t="s">
        <v>782</v>
      </c>
      <c r="U10" s="1" t="s">
        <v>783</v>
      </c>
      <c r="V10" s="1" t="s">
        <v>786</v>
      </c>
      <c r="W10" s="1" t="s">
        <v>792</v>
      </c>
      <c r="X10" s="1" t="s">
        <v>792</v>
      </c>
      <c r="Y10" s="1" t="s">
        <v>793</v>
      </c>
      <c r="Z10" s="1" t="s">
        <v>793</v>
      </c>
      <c r="AA10" s="1" t="s">
        <v>782</v>
      </c>
      <c r="AB10" s="1" t="s">
        <v>791</v>
      </c>
      <c r="AC10" s="1" t="s">
        <v>783</v>
      </c>
      <c r="AD10" s="1" t="s">
        <v>783</v>
      </c>
      <c r="AE10" s="1" t="s">
        <v>786</v>
      </c>
      <c r="AF10" s="1" t="s">
        <v>782</v>
      </c>
      <c r="AG10" s="1" t="s">
        <v>782</v>
      </c>
      <c r="AH10" s="1" t="s">
        <v>789</v>
      </c>
      <c r="AI10" s="502">
        <v>44412.229194178202</v>
      </c>
    </row>
    <row r="11" spans="1:35">
      <c r="A11" s="1" t="s">
        <v>328</v>
      </c>
      <c r="B11" s="285" t="s">
        <v>845</v>
      </c>
      <c r="C11" s="1" t="s">
        <v>782</v>
      </c>
      <c r="D11" s="1" t="s">
        <v>799</v>
      </c>
      <c r="E11" s="1" t="s">
        <v>799</v>
      </c>
      <c r="F11" s="1" t="s">
        <v>782</v>
      </c>
      <c r="G11" s="1" t="s">
        <v>799</v>
      </c>
      <c r="H11" s="1" t="s">
        <v>799</v>
      </c>
      <c r="I11" s="1" t="s">
        <v>846</v>
      </c>
      <c r="J11" s="1" t="s">
        <v>799</v>
      </c>
      <c r="K11" s="1" t="s">
        <v>799</v>
      </c>
      <c r="L11" s="1" t="s">
        <v>799</v>
      </c>
      <c r="M11" s="1" t="s">
        <v>782</v>
      </c>
      <c r="N11" s="1" t="s">
        <v>799</v>
      </c>
      <c r="O11" s="1" t="s">
        <v>799</v>
      </c>
      <c r="P11" s="1" t="s">
        <v>799</v>
      </c>
      <c r="Q11" s="1" t="s">
        <v>799</v>
      </c>
      <c r="R11" s="1" t="s">
        <v>799</v>
      </c>
      <c r="S11" s="1" t="s">
        <v>799</v>
      </c>
      <c r="T11" s="1" t="s">
        <v>782</v>
      </c>
      <c r="U11" s="1" t="s">
        <v>799</v>
      </c>
      <c r="V11" s="1" t="s">
        <v>799</v>
      </c>
      <c r="W11" s="1" t="s">
        <v>799</v>
      </c>
      <c r="X11" s="1" t="s">
        <v>799</v>
      </c>
      <c r="Y11" s="1" t="s">
        <v>799</v>
      </c>
      <c r="Z11" s="1" t="s">
        <v>799</v>
      </c>
      <c r="AA11" s="1" t="s">
        <v>782</v>
      </c>
      <c r="AB11" s="1" t="s">
        <v>799</v>
      </c>
      <c r="AC11" s="1" t="s">
        <v>799</v>
      </c>
      <c r="AD11" s="1" t="s">
        <v>799</v>
      </c>
      <c r="AE11" s="1" t="s">
        <v>799</v>
      </c>
      <c r="AF11" s="1" t="s">
        <v>782</v>
      </c>
      <c r="AG11" s="1" t="s">
        <v>782</v>
      </c>
      <c r="AH11" s="1" t="s">
        <v>825</v>
      </c>
      <c r="AI11" s="502">
        <v>44412.229194178202</v>
      </c>
    </row>
    <row r="12" spans="1:35">
      <c r="A12" s="1" t="s">
        <v>328</v>
      </c>
      <c r="B12" s="285" t="s">
        <v>847</v>
      </c>
      <c r="C12" s="1" t="s">
        <v>782</v>
      </c>
      <c r="D12" s="1" t="s">
        <v>783</v>
      </c>
      <c r="E12" s="1" t="s">
        <v>848</v>
      </c>
      <c r="F12" s="1" t="s">
        <v>782</v>
      </c>
      <c r="G12" s="1" t="s">
        <v>849</v>
      </c>
      <c r="H12" s="1" t="s">
        <v>841</v>
      </c>
      <c r="I12" s="1" t="s">
        <v>810</v>
      </c>
      <c r="J12" s="1" t="s">
        <v>816</v>
      </c>
      <c r="K12" s="1" t="s">
        <v>799</v>
      </c>
      <c r="L12" s="1" t="s">
        <v>799</v>
      </c>
      <c r="M12" s="1" t="s">
        <v>782</v>
      </c>
      <c r="N12" s="1" t="s">
        <v>808</v>
      </c>
      <c r="O12" s="1" t="s">
        <v>850</v>
      </c>
      <c r="P12" s="1" t="s">
        <v>799</v>
      </c>
      <c r="Q12" s="1" t="s">
        <v>851</v>
      </c>
      <c r="R12" s="1" t="s">
        <v>835</v>
      </c>
      <c r="S12" s="1" t="s">
        <v>799</v>
      </c>
      <c r="T12" s="1" t="s">
        <v>782</v>
      </c>
      <c r="U12" s="1" t="s">
        <v>799</v>
      </c>
      <c r="V12" s="1" t="s">
        <v>835</v>
      </c>
      <c r="W12" s="1" t="s">
        <v>852</v>
      </c>
      <c r="X12" s="1" t="s">
        <v>783</v>
      </c>
      <c r="Y12" s="1" t="s">
        <v>799</v>
      </c>
      <c r="Z12" s="1" t="s">
        <v>799</v>
      </c>
      <c r="AA12" s="1" t="s">
        <v>782</v>
      </c>
      <c r="AB12" s="1" t="s">
        <v>799</v>
      </c>
      <c r="AC12" s="1" t="s">
        <v>785</v>
      </c>
      <c r="AD12" s="1" t="s">
        <v>799</v>
      </c>
      <c r="AE12" s="1" t="s">
        <v>792</v>
      </c>
      <c r="AF12" s="1" t="s">
        <v>782</v>
      </c>
      <c r="AG12" s="1" t="s">
        <v>782</v>
      </c>
      <c r="AH12" s="1" t="s">
        <v>826</v>
      </c>
      <c r="AI12" s="502">
        <v>44412.229194178202</v>
      </c>
    </row>
    <row r="13" spans="1:35">
      <c r="A13" s="1" t="s">
        <v>328</v>
      </c>
      <c r="B13" s="285" t="s">
        <v>853</v>
      </c>
      <c r="C13" s="1" t="s">
        <v>782</v>
      </c>
      <c r="D13" s="1" t="s">
        <v>796</v>
      </c>
      <c r="E13" s="1" t="s">
        <v>829</v>
      </c>
      <c r="F13" s="1" t="s">
        <v>782</v>
      </c>
      <c r="G13" s="1" t="s">
        <v>796</v>
      </c>
      <c r="H13" s="1" t="s">
        <v>854</v>
      </c>
      <c r="I13" s="1" t="s">
        <v>792</v>
      </c>
      <c r="J13" s="1" t="s">
        <v>855</v>
      </c>
      <c r="K13" s="1" t="s">
        <v>830</v>
      </c>
      <c r="L13" s="1" t="s">
        <v>856</v>
      </c>
      <c r="M13" s="1" t="s">
        <v>782</v>
      </c>
      <c r="N13" s="1" t="s">
        <v>857</v>
      </c>
      <c r="O13" s="1" t="s">
        <v>849</v>
      </c>
      <c r="P13" s="1" t="s">
        <v>796</v>
      </c>
      <c r="Q13" s="1" t="s">
        <v>790</v>
      </c>
      <c r="R13" s="1" t="s">
        <v>787</v>
      </c>
      <c r="S13" s="1" t="s">
        <v>833</v>
      </c>
      <c r="T13" s="1" t="s">
        <v>782</v>
      </c>
      <c r="U13" s="1" t="s">
        <v>856</v>
      </c>
      <c r="V13" s="1" t="s">
        <v>785</v>
      </c>
      <c r="W13" s="1" t="s">
        <v>784</v>
      </c>
      <c r="X13" s="1" t="s">
        <v>850</v>
      </c>
      <c r="Y13" s="1" t="s">
        <v>851</v>
      </c>
      <c r="Z13" s="1" t="s">
        <v>793</v>
      </c>
      <c r="AA13" s="1" t="s">
        <v>782</v>
      </c>
      <c r="AB13" s="1" t="s">
        <v>839</v>
      </c>
      <c r="AC13" s="1" t="s">
        <v>792</v>
      </c>
      <c r="AD13" s="1" t="s">
        <v>835</v>
      </c>
      <c r="AE13" s="1" t="s">
        <v>835</v>
      </c>
      <c r="AF13" s="1" t="s">
        <v>782</v>
      </c>
      <c r="AG13" s="1" t="s">
        <v>782</v>
      </c>
      <c r="AH13" s="1" t="s">
        <v>858</v>
      </c>
      <c r="AI13" s="502">
        <v>44412.229194178202</v>
      </c>
    </row>
    <row r="14" spans="1:35">
      <c r="A14" s="1" t="s">
        <v>328</v>
      </c>
      <c r="B14" s="285" t="s">
        <v>859</v>
      </c>
      <c r="C14" s="1" t="s">
        <v>782</v>
      </c>
      <c r="D14" s="1" t="s">
        <v>848</v>
      </c>
      <c r="E14" s="1" t="s">
        <v>860</v>
      </c>
      <c r="F14" s="1" t="s">
        <v>782</v>
      </c>
      <c r="G14" s="1" t="s">
        <v>856</v>
      </c>
      <c r="H14" s="1" t="s">
        <v>843</v>
      </c>
      <c r="I14" s="1" t="s">
        <v>799</v>
      </c>
      <c r="J14" s="1" t="s">
        <v>861</v>
      </c>
      <c r="K14" s="1" t="s">
        <v>785</v>
      </c>
      <c r="L14" s="1" t="s">
        <v>786</v>
      </c>
      <c r="M14" s="1" t="s">
        <v>782</v>
      </c>
      <c r="N14" s="1" t="s">
        <v>786</v>
      </c>
      <c r="O14" s="1" t="s">
        <v>862</v>
      </c>
      <c r="P14" s="1" t="s">
        <v>785</v>
      </c>
      <c r="Q14" s="1" t="s">
        <v>808</v>
      </c>
      <c r="R14" s="1" t="s">
        <v>783</v>
      </c>
      <c r="S14" s="1" t="s">
        <v>863</v>
      </c>
      <c r="T14" s="1" t="s">
        <v>782</v>
      </c>
      <c r="U14" s="1" t="s">
        <v>864</v>
      </c>
      <c r="V14" s="1" t="s">
        <v>865</v>
      </c>
      <c r="W14" s="1" t="s">
        <v>866</v>
      </c>
      <c r="X14" s="1" t="s">
        <v>863</v>
      </c>
      <c r="Y14" s="1" t="s">
        <v>799</v>
      </c>
      <c r="Z14" s="1" t="s">
        <v>799</v>
      </c>
      <c r="AA14" s="1" t="s">
        <v>782</v>
      </c>
      <c r="AB14" s="1" t="s">
        <v>867</v>
      </c>
      <c r="AC14" s="1" t="s">
        <v>832</v>
      </c>
      <c r="AD14" s="1" t="s">
        <v>838</v>
      </c>
      <c r="AE14" s="1" t="s">
        <v>799</v>
      </c>
      <c r="AF14" s="1" t="s">
        <v>782</v>
      </c>
      <c r="AG14" s="1" t="s">
        <v>782</v>
      </c>
      <c r="AH14" s="1" t="s">
        <v>801</v>
      </c>
      <c r="AI14" s="502">
        <v>44412.229194178202</v>
      </c>
    </row>
    <row r="15" spans="1:35">
      <c r="A15" s="1" t="s">
        <v>328</v>
      </c>
      <c r="B15" s="285" t="s">
        <v>868</v>
      </c>
      <c r="C15" s="1" t="s">
        <v>782</v>
      </c>
      <c r="D15" s="1" t="s">
        <v>782</v>
      </c>
      <c r="E15" s="1" t="s">
        <v>782</v>
      </c>
      <c r="F15" s="1" t="s">
        <v>782</v>
      </c>
      <c r="G15" s="1" t="s">
        <v>782</v>
      </c>
      <c r="H15" s="1" t="s">
        <v>782</v>
      </c>
      <c r="I15" s="1" t="s">
        <v>782</v>
      </c>
      <c r="J15" s="1" t="s">
        <v>782</v>
      </c>
      <c r="K15" s="1" t="s">
        <v>782</v>
      </c>
      <c r="L15" s="1" t="s">
        <v>782</v>
      </c>
      <c r="M15" s="1" t="s">
        <v>782</v>
      </c>
      <c r="N15" s="1" t="s">
        <v>782</v>
      </c>
      <c r="O15" s="1" t="s">
        <v>782</v>
      </c>
      <c r="P15" s="1" t="s">
        <v>782</v>
      </c>
      <c r="Q15" s="1" t="s">
        <v>782</v>
      </c>
      <c r="R15" s="1" t="s">
        <v>782</v>
      </c>
      <c r="S15" s="1" t="s">
        <v>782</v>
      </c>
      <c r="T15" s="1" t="s">
        <v>782</v>
      </c>
      <c r="U15" s="1" t="s">
        <v>782</v>
      </c>
      <c r="V15" s="1" t="s">
        <v>782</v>
      </c>
      <c r="W15" s="1" t="s">
        <v>782</v>
      </c>
      <c r="X15" s="1" t="s">
        <v>782</v>
      </c>
      <c r="Y15" s="1" t="s">
        <v>782</v>
      </c>
      <c r="Z15" s="1" t="s">
        <v>782</v>
      </c>
      <c r="AA15" s="1" t="s">
        <v>782</v>
      </c>
      <c r="AB15" s="1" t="s">
        <v>782</v>
      </c>
      <c r="AC15" s="1" t="s">
        <v>782</v>
      </c>
      <c r="AD15" s="1" t="s">
        <v>782</v>
      </c>
      <c r="AE15" s="1" t="s">
        <v>782</v>
      </c>
      <c r="AF15" s="1" t="s">
        <v>782</v>
      </c>
      <c r="AG15" s="1" t="s">
        <v>782</v>
      </c>
      <c r="AH15" s="1" t="s">
        <v>782</v>
      </c>
      <c r="AI15" s="502">
        <v>44412.229194178202</v>
      </c>
    </row>
    <row r="16" spans="1:35">
      <c r="A16" s="1" t="s">
        <v>328</v>
      </c>
      <c r="B16" s="285" t="s">
        <v>869</v>
      </c>
      <c r="C16" s="1" t="s">
        <v>782</v>
      </c>
      <c r="D16" s="1" t="s">
        <v>794</v>
      </c>
      <c r="E16" s="1" t="s">
        <v>787</v>
      </c>
      <c r="F16" s="1" t="s">
        <v>782</v>
      </c>
      <c r="G16" s="1" t="s">
        <v>794</v>
      </c>
      <c r="H16" s="1" t="s">
        <v>858</v>
      </c>
      <c r="I16" s="1" t="s">
        <v>787</v>
      </c>
      <c r="J16" s="1" t="s">
        <v>789</v>
      </c>
      <c r="K16" s="1" t="s">
        <v>829</v>
      </c>
      <c r="L16" s="1" t="s">
        <v>795</v>
      </c>
      <c r="M16" s="1" t="s">
        <v>782</v>
      </c>
      <c r="N16" s="1" t="s">
        <v>788</v>
      </c>
      <c r="O16" s="1" t="s">
        <v>792</v>
      </c>
      <c r="P16" s="1" t="s">
        <v>835</v>
      </c>
      <c r="Q16" s="1" t="s">
        <v>786</v>
      </c>
      <c r="R16" s="1" t="s">
        <v>783</v>
      </c>
      <c r="S16" s="1" t="s">
        <v>787</v>
      </c>
      <c r="T16" s="1" t="s">
        <v>782</v>
      </c>
      <c r="U16" s="1" t="s">
        <v>833</v>
      </c>
      <c r="V16" s="1" t="s">
        <v>786</v>
      </c>
      <c r="W16" s="1" t="s">
        <v>783</v>
      </c>
      <c r="X16" s="1" t="s">
        <v>791</v>
      </c>
      <c r="Y16" s="1" t="s">
        <v>870</v>
      </c>
      <c r="Z16" s="1" t="s">
        <v>829</v>
      </c>
      <c r="AA16" s="1" t="s">
        <v>782</v>
      </c>
      <c r="AB16" s="1" t="s">
        <v>790</v>
      </c>
      <c r="AC16" s="1" t="s">
        <v>786</v>
      </c>
      <c r="AD16" s="1" t="s">
        <v>792</v>
      </c>
      <c r="AE16" s="1" t="s">
        <v>835</v>
      </c>
      <c r="AF16" s="1" t="s">
        <v>782</v>
      </c>
      <c r="AG16" s="1" t="s">
        <v>782</v>
      </c>
      <c r="AH16" s="1" t="s">
        <v>786</v>
      </c>
      <c r="AI16" s="502">
        <v>44412.229194178202</v>
      </c>
    </row>
    <row r="17" spans="1:35">
      <c r="A17" s="1" t="s">
        <v>328</v>
      </c>
      <c r="B17" s="275" t="s">
        <v>871</v>
      </c>
      <c r="C17" s="1" t="s">
        <v>782</v>
      </c>
      <c r="D17" s="1" t="s">
        <v>782</v>
      </c>
      <c r="E17" s="1" t="s">
        <v>782</v>
      </c>
      <c r="F17" s="1" t="s">
        <v>782</v>
      </c>
      <c r="G17" s="1" t="s">
        <v>782</v>
      </c>
      <c r="H17" s="1" t="s">
        <v>782</v>
      </c>
      <c r="I17" s="1" t="s">
        <v>782</v>
      </c>
      <c r="J17" s="1" t="s">
        <v>782</v>
      </c>
      <c r="K17" s="1" t="s">
        <v>782</v>
      </c>
      <c r="L17" s="1" t="s">
        <v>782</v>
      </c>
      <c r="M17" s="1" t="s">
        <v>782</v>
      </c>
      <c r="N17" s="1" t="s">
        <v>782</v>
      </c>
      <c r="O17" s="1" t="s">
        <v>782</v>
      </c>
      <c r="P17" s="1" t="s">
        <v>782</v>
      </c>
      <c r="Q17" s="1" t="s">
        <v>782</v>
      </c>
      <c r="R17" s="1" t="s">
        <v>782</v>
      </c>
      <c r="S17" s="1" t="s">
        <v>782</v>
      </c>
      <c r="T17" s="1" t="s">
        <v>782</v>
      </c>
      <c r="U17" s="1" t="s">
        <v>782</v>
      </c>
      <c r="V17" s="1" t="s">
        <v>782</v>
      </c>
      <c r="W17" s="1" t="s">
        <v>782</v>
      </c>
      <c r="X17" s="1" t="s">
        <v>782</v>
      </c>
      <c r="Y17" s="1" t="s">
        <v>782</v>
      </c>
      <c r="Z17" s="1" t="s">
        <v>782</v>
      </c>
      <c r="AA17" s="1" t="s">
        <v>782</v>
      </c>
      <c r="AB17" s="1" t="s">
        <v>782</v>
      </c>
      <c r="AC17" s="1" t="s">
        <v>782</v>
      </c>
      <c r="AD17" s="1" t="s">
        <v>782</v>
      </c>
      <c r="AE17" s="1" t="s">
        <v>782</v>
      </c>
      <c r="AF17" s="1" t="s">
        <v>782</v>
      </c>
      <c r="AG17" s="1" t="s">
        <v>782</v>
      </c>
      <c r="AH17" s="1" t="s">
        <v>782</v>
      </c>
      <c r="AI17" s="502">
        <v>44412.229194178202</v>
      </c>
    </row>
    <row r="18" spans="1:35">
      <c r="A18" s="1" t="s">
        <v>328</v>
      </c>
      <c r="B18" s="275" t="s">
        <v>872</v>
      </c>
      <c r="C18" s="1" t="s">
        <v>782</v>
      </c>
      <c r="D18" s="1" t="s">
        <v>782</v>
      </c>
      <c r="E18" s="1" t="s">
        <v>782</v>
      </c>
      <c r="F18" s="1" t="s">
        <v>782</v>
      </c>
      <c r="G18" s="1" t="s">
        <v>782</v>
      </c>
      <c r="H18" s="1" t="s">
        <v>782</v>
      </c>
      <c r="I18" s="1" t="s">
        <v>782</v>
      </c>
      <c r="J18" s="1" t="s">
        <v>782</v>
      </c>
      <c r="K18" s="1" t="s">
        <v>782</v>
      </c>
      <c r="L18" s="1" t="s">
        <v>782</v>
      </c>
      <c r="M18" s="1" t="s">
        <v>782</v>
      </c>
      <c r="N18" s="1" t="s">
        <v>782</v>
      </c>
      <c r="O18" s="1" t="s">
        <v>782</v>
      </c>
      <c r="P18" s="1" t="s">
        <v>782</v>
      </c>
      <c r="Q18" s="1" t="s">
        <v>782</v>
      </c>
      <c r="R18" s="1" t="s">
        <v>782</v>
      </c>
      <c r="S18" s="1" t="s">
        <v>782</v>
      </c>
      <c r="T18" s="1" t="s">
        <v>782</v>
      </c>
      <c r="U18" s="1" t="s">
        <v>782</v>
      </c>
      <c r="V18" s="1" t="s">
        <v>782</v>
      </c>
      <c r="W18" s="1" t="s">
        <v>782</v>
      </c>
      <c r="X18" s="1" t="s">
        <v>782</v>
      </c>
      <c r="Y18" s="1" t="s">
        <v>782</v>
      </c>
      <c r="Z18" s="1" t="s">
        <v>782</v>
      </c>
      <c r="AA18" s="1" t="s">
        <v>782</v>
      </c>
      <c r="AB18" s="1" t="s">
        <v>782</v>
      </c>
      <c r="AC18" s="1" t="s">
        <v>782</v>
      </c>
      <c r="AD18" s="1" t="s">
        <v>782</v>
      </c>
      <c r="AE18" s="1" t="s">
        <v>782</v>
      </c>
      <c r="AF18" s="1" t="s">
        <v>782</v>
      </c>
      <c r="AG18" s="1" t="s">
        <v>782</v>
      </c>
      <c r="AH18" s="1" t="s">
        <v>782</v>
      </c>
      <c r="AI18" s="502">
        <v>44412.229194178202</v>
      </c>
    </row>
    <row r="19" spans="1:35">
      <c r="A19" s="1" t="s">
        <v>328</v>
      </c>
      <c r="B19" s="275" t="s">
        <v>873</v>
      </c>
      <c r="C19" s="1" t="s">
        <v>782</v>
      </c>
      <c r="D19" s="1" t="s">
        <v>782</v>
      </c>
      <c r="E19" s="1" t="s">
        <v>782</v>
      </c>
      <c r="F19" s="1" t="s">
        <v>782</v>
      </c>
      <c r="G19" s="1" t="s">
        <v>782</v>
      </c>
      <c r="H19" s="1" t="s">
        <v>782</v>
      </c>
      <c r="I19" s="1" t="s">
        <v>782</v>
      </c>
      <c r="J19" s="1" t="s">
        <v>782</v>
      </c>
      <c r="K19" s="1" t="s">
        <v>782</v>
      </c>
      <c r="L19" s="1" t="s">
        <v>782</v>
      </c>
      <c r="M19" s="1" t="s">
        <v>782</v>
      </c>
      <c r="N19" s="1" t="s">
        <v>782</v>
      </c>
      <c r="O19" s="1" t="s">
        <v>782</v>
      </c>
      <c r="P19" s="1" t="s">
        <v>782</v>
      </c>
      <c r="Q19" s="1" t="s">
        <v>782</v>
      </c>
      <c r="R19" s="1" t="s">
        <v>782</v>
      </c>
      <c r="S19" s="1" t="s">
        <v>782</v>
      </c>
      <c r="T19" s="1" t="s">
        <v>782</v>
      </c>
      <c r="U19" s="1" t="s">
        <v>782</v>
      </c>
      <c r="V19" s="1" t="s">
        <v>782</v>
      </c>
      <c r="W19" s="1" t="s">
        <v>782</v>
      </c>
      <c r="X19" s="1" t="s">
        <v>782</v>
      </c>
      <c r="Y19" s="1" t="s">
        <v>782</v>
      </c>
      <c r="Z19" s="1" t="s">
        <v>782</v>
      </c>
      <c r="AA19" s="1" t="s">
        <v>782</v>
      </c>
      <c r="AB19" s="1" t="s">
        <v>782</v>
      </c>
      <c r="AC19" s="1" t="s">
        <v>782</v>
      </c>
      <c r="AD19" s="1" t="s">
        <v>782</v>
      </c>
      <c r="AE19" s="1" t="s">
        <v>782</v>
      </c>
      <c r="AF19" s="1" t="s">
        <v>782</v>
      </c>
      <c r="AG19" s="1" t="s">
        <v>782</v>
      </c>
      <c r="AH19" s="1" t="s">
        <v>782</v>
      </c>
      <c r="AI19" s="502">
        <v>44412.229194178202</v>
      </c>
    </row>
    <row r="20" spans="1:35">
      <c r="A20" s="1" t="s">
        <v>328</v>
      </c>
      <c r="B20" s="275" t="s">
        <v>874</v>
      </c>
      <c r="C20" s="1" t="s">
        <v>782</v>
      </c>
      <c r="D20" s="1" t="s">
        <v>782</v>
      </c>
      <c r="E20" s="1" t="s">
        <v>782</v>
      </c>
      <c r="F20" s="1" t="s">
        <v>782</v>
      </c>
      <c r="G20" s="1" t="s">
        <v>782</v>
      </c>
      <c r="H20" s="1" t="s">
        <v>782</v>
      </c>
      <c r="I20" s="1" t="s">
        <v>782</v>
      </c>
      <c r="J20" s="1" t="s">
        <v>782</v>
      </c>
      <c r="K20" s="1" t="s">
        <v>782</v>
      </c>
      <c r="L20" s="1" t="s">
        <v>782</v>
      </c>
      <c r="M20" s="1" t="s">
        <v>782</v>
      </c>
      <c r="N20" s="1" t="s">
        <v>782</v>
      </c>
      <c r="O20" s="1" t="s">
        <v>782</v>
      </c>
      <c r="P20" s="1" t="s">
        <v>782</v>
      </c>
      <c r="Q20" s="1" t="s">
        <v>782</v>
      </c>
      <c r="R20" s="1" t="s">
        <v>782</v>
      </c>
      <c r="S20" s="1" t="s">
        <v>782</v>
      </c>
      <c r="T20" s="1" t="s">
        <v>782</v>
      </c>
      <c r="U20" s="1" t="s">
        <v>782</v>
      </c>
      <c r="V20" s="1" t="s">
        <v>782</v>
      </c>
      <c r="W20" s="1" t="s">
        <v>782</v>
      </c>
      <c r="X20" s="1" t="s">
        <v>782</v>
      </c>
      <c r="Y20" s="1" t="s">
        <v>782</v>
      </c>
      <c r="Z20" s="1" t="s">
        <v>782</v>
      </c>
      <c r="AA20" s="1" t="s">
        <v>782</v>
      </c>
      <c r="AB20" s="1" t="s">
        <v>782</v>
      </c>
      <c r="AC20" s="1" t="s">
        <v>782</v>
      </c>
      <c r="AD20" s="1" t="s">
        <v>782</v>
      </c>
      <c r="AE20" s="1" t="s">
        <v>782</v>
      </c>
      <c r="AF20" s="1" t="s">
        <v>782</v>
      </c>
      <c r="AG20" s="1" t="s">
        <v>782</v>
      </c>
      <c r="AH20" s="1" t="s">
        <v>782</v>
      </c>
      <c r="AI20" s="502">
        <v>44412.229194178202</v>
      </c>
    </row>
    <row r="21" spans="1:35">
      <c r="A21" s="1" t="s">
        <v>328</v>
      </c>
      <c r="B21" s="275" t="s">
        <v>875</v>
      </c>
      <c r="C21" s="1" t="s">
        <v>782</v>
      </c>
      <c r="D21" s="1" t="s">
        <v>799</v>
      </c>
      <c r="E21" s="1" t="s">
        <v>799</v>
      </c>
      <c r="F21" s="1" t="s">
        <v>782</v>
      </c>
      <c r="G21" s="1" t="s">
        <v>799</v>
      </c>
      <c r="H21" s="1" t="s">
        <v>799</v>
      </c>
      <c r="I21" s="1" t="s">
        <v>799</v>
      </c>
      <c r="J21" s="1" t="s">
        <v>799</v>
      </c>
      <c r="K21" s="1" t="s">
        <v>799</v>
      </c>
      <c r="L21" s="1" t="s">
        <v>799</v>
      </c>
      <c r="M21" s="1" t="s">
        <v>782</v>
      </c>
      <c r="N21" s="1" t="s">
        <v>799</v>
      </c>
      <c r="O21" s="1" t="s">
        <v>799</v>
      </c>
      <c r="P21" s="1" t="s">
        <v>799</v>
      </c>
      <c r="Q21" s="1" t="s">
        <v>799</v>
      </c>
      <c r="R21" s="1" t="s">
        <v>799</v>
      </c>
      <c r="S21" s="1" t="s">
        <v>799</v>
      </c>
      <c r="T21" s="1" t="s">
        <v>782</v>
      </c>
      <c r="U21" s="1" t="s">
        <v>799</v>
      </c>
      <c r="V21" s="1" t="s">
        <v>799</v>
      </c>
      <c r="W21" s="1" t="s">
        <v>799</v>
      </c>
      <c r="X21" s="1" t="s">
        <v>799</v>
      </c>
      <c r="Y21" s="1" t="s">
        <v>799</v>
      </c>
      <c r="Z21" s="1" t="s">
        <v>799</v>
      </c>
      <c r="AA21" s="1" t="s">
        <v>782</v>
      </c>
      <c r="AB21" s="1" t="s">
        <v>799</v>
      </c>
      <c r="AC21" s="1" t="s">
        <v>799</v>
      </c>
      <c r="AD21" s="1" t="s">
        <v>799</v>
      </c>
      <c r="AE21" s="1" t="s">
        <v>799</v>
      </c>
      <c r="AF21" s="1" t="s">
        <v>782</v>
      </c>
      <c r="AG21" s="1" t="s">
        <v>782</v>
      </c>
      <c r="AH21" s="1" t="s">
        <v>799</v>
      </c>
      <c r="AI21" s="502">
        <v>44412.229194178202</v>
      </c>
    </row>
    <row r="22" spans="1:35">
      <c r="A22" s="1" t="s">
        <v>328</v>
      </c>
      <c r="B22" s="275" t="s">
        <v>876</v>
      </c>
      <c r="C22" s="1" t="s">
        <v>782</v>
      </c>
      <c r="D22" s="1" t="s">
        <v>782</v>
      </c>
      <c r="E22" s="1" t="s">
        <v>782</v>
      </c>
      <c r="F22" s="1" t="s">
        <v>782</v>
      </c>
      <c r="G22" s="1" t="s">
        <v>782</v>
      </c>
      <c r="H22" s="1" t="s">
        <v>782</v>
      </c>
      <c r="I22" s="1" t="s">
        <v>782</v>
      </c>
      <c r="J22" s="1" t="s">
        <v>782</v>
      </c>
      <c r="K22" s="1" t="s">
        <v>782</v>
      </c>
      <c r="L22" s="1" t="s">
        <v>782</v>
      </c>
      <c r="M22" s="1" t="s">
        <v>782</v>
      </c>
      <c r="N22" s="1" t="s">
        <v>782</v>
      </c>
      <c r="O22" s="1" t="s">
        <v>782</v>
      </c>
      <c r="P22" s="1" t="s">
        <v>782</v>
      </c>
      <c r="Q22" s="1" t="s">
        <v>782</v>
      </c>
      <c r="R22" s="1" t="s">
        <v>782</v>
      </c>
      <c r="S22" s="1" t="s">
        <v>782</v>
      </c>
      <c r="T22" s="1" t="s">
        <v>782</v>
      </c>
      <c r="U22" s="1" t="s">
        <v>782</v>
      </c>
      <c r="V22" s="1" t="s">
        <v>782</v>
      </c>
      <c r="W22" s="1" t="s">
        <v>782</v>
      </c>
      <c r="X22" s="1" t="s">
        <v>782</v>
      </c>
      <c r="Y22" s="1" t="s">
        <v>782</v>
      </c>
      <c r="Z22" s="1" t="s">
        <v>782</v>
      </c>
      <c r="AA22" s="1" t="s">
        <v>782</v>
      </c>
      <c r="AB22" s="1" t="s">
        <v>782</v>
      </c>
      <c r="AC22" s="1" t="s">
        <v>782</v>
      </c>
      <c r="AD22" s="1" t="s">
        <v>782</v>
      </c>
      <c r="AE22" s="1" t="s">
        <v>782</v>
      </c>
      <c r="AF22" s="1" t="s">
        <v>782</v>
      </c>
      <c r="AG22" s="1" t="s">
        <v>782</v>
      </c>
      <c r="AH22" s="1" t="s">
        <v>782</v>
      </c>
      <c r="AI22" s="502">
        <v>44412.229194178202</v>
      </c>
    </row>
    <row r="23" spans="1:35">
      <c r="A23" s="503" t="s">
        <v>328</v>
      </c>
      <c r="B23" s="275" t="s">
        <v>877</v>
      </c>
      <c r="C23" s="503" t="s">
        <v>782</v>
      </c>
      <c r="D23" s="503" t="s">
        <v>863</v>
      </c>
      <c r="E23" s="503" t="s">
        <v>854</v>
      </c>
      <c r="F23" s="503" t="s">
        <v>782</v>
      </c>
      <c r="G23" s="503" t="s">
        <v>857</v>
      </c>
      <c r="H23" s="503" t="s">
        <v>878</v>
      </c>
      <c r="I23" s="503" t="s">
        <v>843</v>
      </c>
      <c r="J23" s="503" t="s">
        <v>833</v>
      </c>
      <c r="K23" s="503" t="s">
        <v>860</v>
      </c>
      <c r="L23" s="503" t="s">
        <v>849</v>
      </c>
      <c r="M23" s="503" t="s">
        <v>782</v>
      </c>
      <c r="N23" s="503" t="s">
        <v>814</v>
      </c>
      <c r="O23" s="503" t="s">
        <v>879</v>
      </c>
      <c r="P23" s="503" t="s">
        <v>880</v>
      </c>
      <c r="Q23" s="503" t="s">
        <v>850</v>
      </c>
      <c r="R23" s="503" t="s">
        <v>881</v>
      </c>
      <c r="S23" s="503" t="s">
        <v>878</v>
      </c>
      <c r="T23" s="503" t="s">
        <v>782</v>
      </c>
      <c r="U23" s="503" t="s">
        <v>882</v>
      </c>
      <c r="V23" s="503" t="s">
        <v>827</v>
      </c>
      <c r="W23" s="503" t="s">
        <v>839</v>
      </c>
      <c r="X23" s="503" t="s">
        <v>808</v>
      </c>
      <c r="Y23" s="503" t="s">
        <v>883</v>
      </c>
      <c r="Z23" s="503" t="s">
        <v>884</v>
      </c>
      <c r="AA23" s="503" t="s">
        <v>782</v>
      </c>
      <c r="AB23" s="503" t="s">
        <v>885</v>
      </c>
      <c r="AC23" s="503" t="s">
        <v>852</v>
      </c>
      <c r="AD23" s="503" t="s">
        <v>851</v>
      </c>
      <c r="AE23" s="503" t="s">
        <v>850</v>
      </c>
      <c r="AF23" s="503" t="s">
        <v>782</v>
      </c>
      <c r="AG23" s="503" t="s">
        <v>782</v>
      </c>
      <c r="AH23" s="503" t="s">
        <v>839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886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781</v>
      </c>
    </row>
    <row r="2" spans="1:36">
      <c r="A2" s="1" t="s">
        <v>328</v>
      </c>
      <c r="B2" s="275" t="s">
        <v>364</v>
      </c>
      <c r="C2" s="1" t="s">
        <v>236</v>
      </c>
      <c r="D2" s="1" t="s">
        <v>782</v>
      </c>
      <c r="E2" s="1" t="s">
        <v>784</v>
      </c>
      <c r="F2" s="1" t="s">
        <v>795</v>
      </c>
      <c r="G2" s="1" t="s">
        <v>782</v>
      </c>
      <c r="H2" s="1" t="s">
        <v>795</v>
      </c>
      <c r="I2" s="1" t="s">
        <v>783</v>
      </c>
      <c r="J2" s="1" t="s">
        <v>786</v>
      </c>
      <c r="K2" s="1" t="s">
        <v>785</v>
      </c>
      <c r="L2" s="1" t="s">
        <v>783</v>
      </c>
      <c r="M2" s="1" t="s">
        <v>787</v>
      </c>
      <c r="N2" s="1" t="s">
        <v>782</v>
      </c>
      <c r="O2" s="1" t="s">
        <v>789</v>
      </c>
      <c r="P2" s="1" t="s">
        <v>789</v>
      </c>
      <c r="Q2" s="1" t="s">
        <v>788</v>
      </c>
      <c r="R2" s="1" t="s">
        <v>787</v>
      </c>
      <c r="S2" s="1" t="s">
        <v>784</v>
      </c>
      <c r="T2" s="1" t="s">
        <v>788</v>
      </c>
      <c r="U2" s="1" t="s">
        <v>782</v>
      </c>
      <c r="V2" s="1" t="s">
        <v>795</v>
      </c>
      <c r="W2" s="1" t="s">
        <v>789</v>
      </c>
      <c r="X2" s="1" t="s">
        <v>785</v>
      </c>
      <c r="Y2" s="1" t="s">
        <v>784</v>
      </c>
      <c r="Z2" s="1" t="s">
        <v>784</v>
      </c>
      <c r="AA2" s="1" t="s">
        <v>788</v>
      </c>
      <c r="AB2" s="1" t="s">
        <v>782</v>
      </c>
      <c r="AC2" s="1" t="s">
        <v>784</v>
      </c>
      <c r="AD2" s="1" t="s">
        <v>795</v>
      </c>
      <c r="AE2" s="1" t="s">
        <v>783</v>
      </c>
      <c r="AF2" s="1" t="s">
        <v>787</v>
      </c>
      <c r="AG2" s="1" t="s">
        <v>782</v>
      </c>
      <c r="AH2" s="1" t="s">
        <v>782</v>
      </c>
      <c r="AI2" s="1" t="s">
        <v>787</v>
      </c>
      <c r="AJ2" s="502">
        <v>43056.229596249999</v>
      </c>
    </row>
    <row r="3" spans="1:36">
      <c r="A3" s="1" t="s">
        <v>328</v>
      </c>
      <c r="B3" s="275" t="s">
        <v>364</v>
      </c>
      <c r="C3" s="1" t="s">
        <v>237</v>
      </c>
      <c r="D3" s="1" t="s">
        <v>782</v>
      </c>
      <c r="E3" s="1" t="s">
        <v>783</v>
      </c>
      <c r="F3" s="1" t="s">
        <v>784</v>
      </c>
      <c r="G3" s="1" t="s">
        <v>782</v>
      </c>
      <c r="H3" s="1" t="s">
        <v>788</v>
      </c>
      <c r="I3" s="1" t="s">
        <v>794</v>
      </c>
      <c r="J3" s="1" t="s">
        <v>795</v>
      </c>
      <c r="K3" s="1" t="s">
        <v>829</v>
      </c>
      <c r="L3" s="1" t="s">
        <v>785</v>
      </c>
      <c r="M3" s="1" t="s">
        <v>795</v>
      </c>
      <c r="N3" s="1" t="s">
        <v>782</v>
      </c>
      <c r="O3" s="1" t="s">
        <v>794</v>
      </c>
      <c r="P3" s="1" t="s">
        <v>829</v>
      </c>
      <c r="Q3" s="1" t="s">
        <v>796</v>
      </c>
      <c r="R3" s="1" t="s">
        <v>788</v>
      </c>
      <c r="S3" s="1" t="s">
        <v>784</v>
      </c>
      <c r="T3" s="1" t="s">
        <v>789</v>
      </c>
      <c r="U3" s="1" t="s">
        <v>782</v>
      </c>
      <c r="V3" s="1" t="s">
        <v>791</v>
      </c>
      <c r="W3" s="1" t="s">
        <v>789</v>
      </c>
      <c r="X3" s="1" t="s">
        <v>870</v>
      </c>
      <c r="Y3" s="1" t="s">
        <v>849</v>
      </c>
      <c r="Z3" s="1" t="s">
        <v>858</v>
      </c>
      <c r="AA3" s="1" t="s">
        <v>830</v>
      </c>
      <c r="AB3" s="1" t="s">
        <v>782</v>
      </c>
      <c r="AC3" s="1" t="s">
        <v>855</v>
      </c>
      <c r="AD3" s="1" t="s">
        <v>858</v>
      </c>
      <c r="AE3" s="1" t="s">
        <v>790</v>
      </c>
      <c r="AF3" s="1" t="s">
        <v>790</v>
      </c>
      <c r="AG3" s="1" t="s">
        <v>782</v>
      </c>
      <c r="AH3" s="1" t="s">
        <v>782</v>
      </c>
      <c r="AI3" s="1" t="s">
        <v>786</v>
      </c>
      <c r="AJ3" s="502">
        <v>43056.229596249999</v>
      </c>
    </row>
    <row r="4" spans="1:36">
      <c r="A4" s="1" t="s">
        <v>328</v>
      </c>
      <c r="B4" s="275" t="s">
        <v>364</v>
      </c>
      <c r="C4" s="1" t="s">
        <v>887</v>
      </c>
      <c r="D4" s="1" t="s">
        <v>782</v>
      </c>
      <c r="E4" s="1" t="s">
        <v>797</v>
      </c>
      <c r="F4" s="1" t="s">
        <v>829</v>
      </c>
      <c r="G4" s="1" t="s">
        <v>782</v>
      </c>
      <c r="H4" s="1" t="s">
        <v>797</v>
      </c>
      <c r="I4" s="1" t="s">
        <v>795</v>
      </c>
      <c r="J4" s="1" t="s">
        <v>788</v>
      </c>
      <c r="K4" s="1" t="s">
        <v>829</v>
      </c>
      <c r="L4" s="1" t="s">
        <v>825</v>
      </c>
      <c r="M4" s="1" t="s">
        <v>823</v>
      </c>
      <c r="N4" s="1" t="s">
        <v>782</v>
      </c>
      <c r="O4" s="1" t="s">
        <v>797</v>
      </c>
      <c r="P4" s="1" t="s">
        <v>798</v>
      </c>
      <c r="Q4" s="1" t="s">
        <v>825</v>
      </c>
      <c r="R4" s="1" t="s">
        <v>821</v>
      </c>
      <c r="S4" s="1" t="s">
        <v>799</v>
      </c>
      <c r="T4" s="1" t="s">
        <v>788</v>
      </c>
      <c r="U4" s="1" t="s">
        <v>782</v>
      </c>
      <c r="V4" s="1" t="s">
        <v>797</v>
      </c>
      <c r="W4" s="1" t="s">
        <v>796</v>
      </c>
      <c r="X4" s="1" t="s">
        <v>794</v>
      </c>
      <c r="Y4" s="1" t="s">
        <v>788</v>
      </c>
      <c r="Z4" s="1" t="s">
        <v>829</v>
      </c>
      <c r="AA4" s="1" t="s">
        <v>798</v>
      </c>
      <c r="AB4" s="1" t="s">
        <v>782</v>
      </c>
      <c r="AC4" s="1" t="s">
        <v>797</v>
      </c>
      <c r="AD4" s="1" t="s">
        <v>829</v>
      </c>
      <c r="AE4" s="1" t="s">
        <v>798</v>
      </c>
      <c r="AF4" s="1" t="s">
        <v>796</v>
      </c>
      <c r="AG4" s="1" t="s">
        <v>782</v>
      </c>
      <c r="AH4" s="1" t="s">
        <v>782</v>
      </c>
      <c r="AI4" s="1" t="s">
        <v>797</v>
      </c>
      <c r="AJ4" s="502">
        <v>43056.229596249999</v>
      </c>
    </row>
    <row r="5" spans="1:36">
      <c r="A5" s="1" t="s">
        <v>328</v>
      </c>
      <c r="B5" s="275" t="s">
        <v>364</v>
      </c>
      <c r="C5" s="1" t="s">
        <v>888</v>
      </c>
      <c r="D5" s="1" t="s">
        <v>782</v>
      </c>
      <c r="E5" s="1" t="s">
        <v>787</v>
      </c>
      <c r="F5" s="1" t="s">
        <v>795</v>
      </c>
      <c r="G5" s="1" t="s">
        <v>782</v>
      </c>
      <c r="H5" s="1" t="s">
        <v>788</v>
      </c>
      <c r="I5" s="1" t="s">
        <v>784</v>
      </c>
      <c r="J5" s="1" t="s">
        <v>787</v>
      </c>
      <c r="K5" s="1" t="s">
        <v>795</v>
      </c>
      <c r="L5" s="1" t="s">
        <v>787</v>
      </c>
      <c r="M5" s="1" t="s">
        <v>795</v>
      </c>
      <c r="N5" s="1" t="s">
        <v>782</v>
      </c>
      <c r="O5" s="1" t="s">
        <v>795</v>
      </c>
      <c r="P5" s="1" t="s">
        <v>795</v>
      </c>
      <c r="Q5" s="1" t="s">
        <v>794</v>
      </c>
      <c r="R5" s="1" t="s">
        <v>795</v>
      </c>
      <c r="S5" s="1" t="s">
        <v>788</v>
      </c>
      <c r="T5" s="1" t="s">
        <v>784</v>
      </c>
      <c r="U5" s="1" t="s">
        <v>782</v>
      </c>
      <c r="V5" s="1" t="s">
        <v>789</v>
      </c>
      <c r="W5" s="1" t="s">
        <v>785</v>
      </c>
      <c r="X5" s="1" t="s">
        <v>835</v>
      </c>
      <c r="Y5" s="1" t="s">
        <v>835</v>
      </c>
      <c r="Z5" s="1" t="s">
        <v>783</v>
      </c>
      <c r="AA5" s="1" t="s">
        <v>783</v>
      </c>
      <c r="AB5" s="1" t="s">
        <v>782</v>
      </c>
      <c r="AC5" s="1" t="s">
        <v>783</v>
      </c>
      <c r="AD5" s="1" t="s">
        <v>783</v>
      </c>
      <c r="AE5" s="1" t="s">
        <v>783</v>
      </c>
      <c r="AF5" s="1" t="s">
        <v>786</v>
      </c>
      <c r="AG5" s="1" t="s">
        <v>782</v>
      </c>
      <c r="AH5" s="1" t="s">
        <v>782</v>
      </c>
      <c r="AI5" s="1" t="s">
        <v>787</v>
      </c>
      <c r="AJ5" s="502">
        <v>43056.229596249999</v>
      </c>
    </row>
    <row r="6" spans="1:36">
      <c r="A6" s="1" t="s">
        <v>328</v>
      </c>
      <c r="B6" s="275" t="s">
        <v>397</v>
      </c>
      <c r="C6" s="1" t="s">
        <v>888</v>
      </c>
      <c r="D6" s="1" t="s">
        <v>782</v>
      </c>
      <c r="E6" s="1" t="s">
        <v>821</v>
      </c>
      <c r="F6" s="1" t="s">
        <v>798</v>
      </c>
      <c r="G6" s="1" t="s">
        <v>782</v>
      </c>
      <c r="H6" s="1" t="s">
        <v>821</v>
      </c>
      <c r="I6" s="1" t="s">
        <v>794</v>
      </c>
      <c r="J6" s="1" t="s">
        <v>797</v>
      </c>
      <c r="K6" s="1" t="s">
        <v>798</v>
      </c>
      <c r="L6" s="1" t="s">
        <v>821</v>
      </c>
      <c r="M6" s="1" t="s">
        <v>825</v>
      </c>
      <c r="N6" s="1" t="s">
        <v>782</v>
      </c>
      <c r="O6" s="1" t="s">
        <v>823</v>
      </c>
      <c r="P6" s="1" t="s">
        <v>796</v>
      </c>
      <c r="Q6" s="1" t="s">
        <v>796</v>
      </c>
      <c r="R6" s="1" t="s">
        <v>829</v>
      </c>
      <c r="S6" s="1" t="s">
        <v>797</v>
      </c>
      <c r="T6" s="1" t="s">
        <v>825</v>
      </c>
      <c r="U6" s="1" t="s">
        <v>782</v>
      </c>
      <c r="V6" s="1" t="s">
        <v>788</v>
      </c>
      <c r="W6" s="1" t="s">
        <v>829</v>
      </c>
      <c r="X6" s="1" t="s">
        <v>829</v>
      </c>
      <c r="Y6" s="1" t="s">
        <v>829</v>
      </c>
      <c r="Z6" s="1" t="s">
        <v>785</v>
      </c>
      <c r="AA6" s="1" t="s">
        <v>822</v>
      </c>
      <c r="AB6" s="1" t="s">
        <v>782</v>
      </c>
      <c r="AC6" s="1" t="s">
        <v>784</v>
      </c>
      <c r="AD6" s="1" t="s">
        <v>829</v>
      </c>
      <c r="AE6" s="1" t="s">
        <v>794</v>
      </c>
      <c r="AF6" s="1" t="s">
        <v>789</v>
      </c>
      <c r="AG6" s="1" t="s">
        <v>782</v>
      </c>
      <c r="AH6" s="1" t="s">
        <v>782</v>
      </c>
      <c r="AI6" s="1" t="s">
        <v>796</v>
      </c>
      <c r="AJ6" s="502">
        <v>43056.229596249999</v>
      </c>
    </row>
    <row r="7" spans="1:36">
      <c r="A7" s="1" t="s">
        <v>328</v>
      </c>
      <c r="B7" s="275" t="s">
        <v>427</v>
      </c>
      <c r="C7" s="1" t="s">
        <v>888</v>
      </c>
      <c r="D7" s="1" t="s">
        <v>782</v>
      </c>
      <c r="E7" s="1" t="s">
        <v>799</v>
      </c>
      <c r="F7" s="1" t="s">
        <v>799</v>
      </c>
      <c r="G7" s="1" t="s">
        <v>782</v>
      </c>
      <c r="H7" s="1" t="s">
        <v>799</v>
      </c>
      <c r="I7" s="1" t="s">
        <v>799</v>
      </c>
      <c r="J7" s="1" t="s">
        <v>799</v>
      </c>
      <c r="K7" s="1" t="s">
        <v>799</v>
      </c>
      <c r="L7" s="1" t="s">
        <v>799</v>
      </c>
      <c r="M7" s="1" t="s">
        <v>799</v>
      </c>
      <c r="N7" s="1" t="s">
        <v>782</v>
      </c>
      <c r="O7" s="1" t="s">
        <v>799</v>
      </c>
      <c r="P7" s="1" t="s">
        <v>799</v>
      </c>
      <c r="Q7" s="1" t="s">
        <v>799</v>
      </c>
      <c r="R7" s="1" t="s">
        <v>799</v>
      </c>
      <c r="S7" s="1" t="s">
        <v>799</v>
      </c>
      <c r="T7" s="1" t="s">
        <v>799</v>
      </c>
      <c r="U7" s="1" t="s">
        <v>782</v>
      </c>
      <c r="V7" s="1" t="s">
        <v>799</v>
      </c>
      <c r="W7" s="1" t="s">
        <v>800</v>
      </c>
      <c r="X7" s="1" t="s">
        <v>799</v>
      </c>
      <c r="Y7" s="1" t="s">
        <v>799</v>
      </c>
      <c r="Z7" s="1" t="s">
        <v>799</v>
      </c>
      <c r="AA7" s="1" t="s">
        <v>799</v>
      </c>
      <c r="AB7" s="1" t="s">
        <v>782</v>
      </c>
      <c r="AC7" s="1" t="s">
        <v>799</v>
      </c>
      <c r="AD7" s="1" t="s">
        <v>799</v>
      </c>
      <c r="AE7" s="1" t="s">
        <v>799</v>
      </c>
      <c r="AF7" s="1" t="s">
        <v>799</v>
      </c>
      <c r="AG7" s="1" t="s">
        <v>782</v>
      </c>
      <c r="AH7" s="1" t="s">
        <v>782</v>
      </c>
      <c r="AI7" s="1" t="s">
        <v>824</v>
      </c>
      <c r="AJ7" s="502">
        <v>43056.229596249999</v>
      </c>
    </row>
    <row r="8" spans="1:36">
      <c r="A8" s="1" t="s">
        <v>328</v>
      </c>
      <c r="B8" s="275" t="s">
        <v>454</v>
      </c>
      <c r="C8" s="1" t="s">
        <v>888</v>
      </c>
      <c r="D8" s="1" t="s">
        <v>782</v>
      </c>
      <c r="E8" s="1" t="s">
        <v>799</v>
      </c>
      <c r="F8" s="1" t="s">
        <v>799</v>
      </c>
      <c r="G8" s="1" t="s">
        <v>782</v>
      </c>
      <c r="H8" s="1" t="s">
        <v>837</v>
      </c>
      <c r="I8" s="1" t="s">
        <v>808</v>
      </c>
      <c r="J8" s="1" t="s">
        <v>858</v>
      </c>
      <c r="K8" s="1" t="s">
        <v>799</v>
      </c>
      <c r="L8" s="1" t="s">
        <v>799</v>
      </c>
      <c r="M8" s="1" t="s">
        <v>799</v>
      </c>
      <c r="N8" s="1" t="s">
        <v>782</v>
      </c>
      <c r="O8" s="1" t="s">
        <v>807</v>
      </c>
      <c r="P8" s="1" t="s">
        <v>808</v>
      </c>
      <c r="Q8" s="1" t="s">
        <v>889</v>
      </c>
      <c r="R8" s="1" t="s">
        <v>808</v>
      </c>
      <c r="S8" s="1" t="s">
        <v>840</v>
      </c>
      <c r="T8" s="1" t="s">
        <v>811</v>
      </c>
      <c r="U8" s="1" t="s">
        <v>782</v>
      </c>
      <c r="V8" s="1" t="s">
        <v>812</v>
      </c>
      <c r="W8" s="1" t="s">
        <v>813</v>
      </c>
      <c r="X8" s="1" t="s">
        <v>814</v>
      </c>
      <c r="Y8" s="1" t="s">
        <v>890</v>
      </c>
      <c r="Z8" s="1" t="s">
        <v>815</v>
      </c>
      <c r="AA8" s="1" t="s">
        <v>827</v>
      </c>
      <c r="AB8" s="1" t="s">
        <v>782</v>
      </c>
      <c r="AC8" s="1" t="s">
        <v>817</v>
      </c>
      <c r="AD8" s="1" t="s">
        <v>818</v>
      </c>
      <c r="AE8" s="1" t="s">
        <v>819</v>
      </c>
      <c r="AF8" s="1" t="s">
        <v>814</v>
      </c>
      <c r="AG8" s="1" t="s">
        <v>782</v>
      </c>
      <c r="AH8" s="1" t="s">
        <v>782</v>
      </c>
      <c r="AI8" s="1" t="s">
        <v>891</v>
      </c>
      <c r="AJ8" s="502">
        <v>43056.229596249999</v>
      </c>
    </row>
    <row r="9" spans="1:36">
      <c r="A9" s="1" t="s">
        <v>328</v>
      </c>
      <c r="B9" s="275" t="s">
        <v>481</v>
      </c>
      <c r="C9" s="1" t="s">
        <v>888</v>
      </c>
      <c r="D9" s="1" t="s">
        <v>782</v>
      </c>
      <c r="E9" s="1" t="s">
        <v>821</v>
      </c>
      <c r="F9" s="1" t="s">
        <v>822</v>
      </c>
      <c r="G9" s="1" t="s">
        <v>782</v>
      </c>
      <c r="H9" s="1" t="s">
        <v>835</v>
      </c>
      <c r="I9" s="1" t="s">
        <v>784</v>
      </c>
      <c r="J9" s="1" t="s">
        <v>822</v>
      </c>
      <c r="K9" s="1" t="s">
        <v>823</v>
      </c>
      <c r="L9" s="1" t="s">
        <v>800</v>
      </c>
      <c r="M9" s="1" t="s">
        <v>799</v>
      </c>
      <c r="N9" s="1" t="s">
        <v>782</v>
      </c>
      <c r="O9" s="1" t="s">
        <v>824</v>
      </c>
      <c r="P9" s="1" t="s">
        <v>824</v>
      </c>
      <c r="Q9" s="1" t="s">
        <v>824</v>
      </c>
      <c r="R9" s="1" t="s">
        <v>796</v>
      </c>
      <c r="S9" s="1" t="s">
        <v>800</v>
      </c>
      <c r="T9" s="1" t="s">
        <v>824</v>
      </c>
      <c r="U9" s="1" t="s">
        <v>782</v>
      </c>
      <c r="V9" s="1" t="s">
        <v>800</v>
      </c>
      <c r="W9" s="1" t="s">
        <v>799</v>
      </c>
      <c r="X9" s="1" t="s">
        <v>800</v>
      </c>
      <c r="Y9" s="1" t="s">
        <v>800</v>
      </c>
      <c r="Z9" s="1" t="s">
        <v>800</v>
      </c>
      <c r="AA9" s="1" t="s">
        <v>823</v>
      </c>
      <c r="AB9" s="1" t="s">
        <v>782</v>
      </c>
      <c r="AC9" s="1" t="s">
        <v>823</v>
      </c>
      <c r="AD9" s="1" t="s">
        <v>824</v>
      </c>
      <c r="AE9" s="1" t="s">
        <v>824</v>
      </c>
      <c r="AF9" s="1" t="s">
        <v>824</v>
      </c>
      <c r="AG9" s="1" t="s">
        <v>782</v>
      </c>
      <c r="AH9" s="1" t="s">
        <v>782</v>
      </c>
      <c r="AI9" s="1" t="s">
        <v>825</v>
      </c>
      <c r="AJ9" s="502">
        <v>43056.229596249999</v>
      </c>
    </row>
    <row r="10" spans="1:36">
      <c r="A10" s="1" t="s">
        <v>328</v>
      </c>
      <c r="B10" s="275" t="s">
        <v>510</v>
      </c>
      <c r="C10" s="1" t="s">
        <v>888</v>
      </c>
      <c r="D10" s="1" t="s">
        <v>782</v>
      </c>
      <c r="E10" s="1" t="s">
        <v>782</v>
      </c>
      <c r="F10" s="1" t="s">
        <v>782</v>
      </c>
      <c r="G10" s="1" t="s">
        <v>782</v>
      </c>
      <c r="H10" s="1" t="s">
        <v>782</v>
      </c>
      <c r="I10" s="1" t="s">
        <v>782</v>
      </c>
      <c r="J10" s="1" t="s">
        <v>782</v>
      </c>
      <c r="K10" s="1" t="s">
        <v>782</v>
      </c>
      <c r="L10" s="1" t="s">
        <v>782</v>
      </c>
      <c r="M10" s="1" t="s">
        <v>782</v>
      </c>
      <c r="N10" s="1" t="s">
        <v>782</v>
      </c>
      <c r="O10" s="1" t="s">
        <v>782</v>
      </c>
      <c r="P10" s="1" t="s">
        <v>782</v>
      </c>
      <c r="Q10" s="1" t="s">
        <v>782</v>
      </c>
      <c r="R10" s="1" t="s">
        <v>782</v>
      </c>
      <c r="S10" s="1" t="s">
        <v>782</v>
      </c>
      <c r="T10" s="1" t="s">
        <v>782</v>
      </c>
      <c r="U10" s="1" t="s">
        <v>782</v>
      </c>
      <c r="V10" s="1" t="s">
        <v>782</v>
      </c>
      <c r="W10" s="1" t="s">
        <v>782</v>
      </c>
      <c r="X10" s="1" t="s">
        <v>782</v>
      </c>
      <c r="Y10" s="1" t="s">
        <v>782</v>
      </c>
      <c r="Z10" s="1" t="s">
        <v>782</v>
      </c>
      <c r="AA10" s="1" t="s">
        <v>782</v>
      </c>
      <c r="AB10" s="1" t="s">
        <v>782</v>
      </c>
      <c r="AC10" s="1" t="s">
        <v>782</v>
      </c>
      <c r="AD10" s="1" t="s">
        <v>782</v>
      </c>
      <c r="AE10" s="1" t="s">
        <v>782</v>
      </c>
      <c r="AF10" s="1" t="s">
        <v>782</v>
      </c>
      <c r="AG10" s="1" t="s">
        <v>782</v>
      </c>
      <c r="AH10" s="1" t="s">
        <v>782</v>
      </c>
      <c r="AI10" s="1" t="s">
        <v>782</v>
      </c>
      <c r="AJ10" s="502">
        <v>43056.229596249999</v>
      </c>
    </row>
    <row r="11" spans="1:36">
      <c r="A11" s="1" t="s">
        <v>328</v>
      </c>
      <c r="B11" s="275" t="s">
        <v>511</v>
      </c>
      <c r="C11" s="1" t="s">
        <v>888</v>
      </c>
      <c r="D11" s="1" t="s">
        <v>782</v>
      </c>
      <c r="E11" s="1" t="s">
        <v>795</v>
      </c>
      <c r="F11" s="1" t="s">
        <v>786</v>
      </c>
      <c r="G11" s="1" t="s">
        <v>782</v>
      </c>
      <c r="H11" s="1" t="s">
        <v>826</v>
      </c>
      <c r="I11" s="1" t="s">
        <v>827</v>
      </c>
      <c r="J11" s="1" t="s">
        <v>791</v>
      </c>
      <c r="K11" s="1" t="s">
        <v>823</v>
      </c>
      <c r="L11" s="1" t="s">
        <v>799</v>
      </c>
      <c r="M11" s="1" t="s">
        <v>799</v>
      </c>
      <c r="N11" s="1" t="s">
        <v>782</v>
      </c>
      <c r="O11" s="1" t="s">
        <v>870</v>
      </c>
      <c r="P11" s="1" t="s">
        <v>881</v>
      </c>
      <c r="Q11" s="1" t="s">
        <v>795</v>
      </c>
      <c r="R11" s="1" t="s">
        <v>823</v>
      </c>
      <c r="S11" s="1" t="s">
        <v>821</v>
      </c>
      <c r="T11" s="1" t="s">
        <v>795</v>
      </c>
      <c r="U11" s="1" t="s">
        <v>782</v>
      </c>
      <c r="V11" s="1" t="s">
        <v>892</v>
      </c>
      <c r="W11" s="1" t="s">
        <v>832</v>
      </c>
      <c r="X11" s="1" t="s">
        <v>799</v>
      </c>
      <c r="Y11" s="1" t="s">
        <v>833</v>
      </c>
      <c r="Z11" s="1" t="s">
        <v>829</v>
      </c>
      <c r="AA11" s="1" t="s">
        <v>797</v>
      </c>
      <c r="AB11" s="1" t="s">
        <v>782</v>
      </c>
      <c r="AC11" s="1" t="s">
        <v>834</v>
      </c>
      <c r="AD11" s="1" t="s">
        <v>797</v>
      </c>
      <c r="AE11" s="1" t="s">
        <v>829</v>
      </c>
      <c r="AF11" s="1" t="s">
        <v>821</v>
      </c>
      <c r="AG11" s="1" t="s">
        <v>782</v>
      </c>
      <c r="AH11" s="1" t="s">
        <v>782</v>
      </c>
      <c r="AI11" s="1" t="s">
        <v>835</v>
      </c>
      <c r="AJ11" s="502">
        <v>43056.229596249999</v>
      </c>
    </row>
    <row r="12" spans="1:36">
      <c r="A12" s="1" t="s">
        <v>328</v>
      </c>
      <c r="B12" s="275" t="s">
        <v>845</v>
      </c>
      <c r="C12" s="1" t="s">
        <v>888</v>
      </c>
      <c r="D12" s="1" t="s">
        <v>782</v>
      </c>
      <c r="E12" s="1" t="s">
        <v>799</v>
      </c>
      <c r="F12" s="1" t="s">
        <v>799</v>
      </c>
      <c r="G12" s="1" t="s">
        <v>782</v>
      </c>
      <c r="H12" s="1" t="s">
        <v>799</v>
      </c>
      <c r="I12" s="1" t="s">
        <v>799</v>
      </c>
      <c r="J12" s="1" t="s">
        <v>846</v>
      </c>
      <c r="K12" s="1" t="s">
        <v>799</v>
      </c>
      <c r="L12" s="1" t="s">
        <v>799</v>
      </c>
      <c r="M12" s="1" t="s">
        <v>799</v>
      </c>
      <c r="N12" s="1" t="s">
        <v>782</v>
      </c>
      <c r="O12" s="1" t="s">
        <v>799</v>
      </c>
      <c r="P12" s="1" t="s">
        <v>799</v>
      </c>
      <c r="Q12" s="1" t="s">
        <v>799</v>
      </c>
      <c r="R12" s="1" t="s">
        <v>799</v>
      </c>
      <c r="S12" s="1" t="s">
        <v>799</v>
      </c>
      <c r="T12" s="1" t="s">
        <v>799</v>
      </c>
      <c r="U12" s="1" t="s">
        <v>782</v>
      </c>
      <c r="V12" s="1" t="s">
        <v>799</v>
      </c>
      <c r="W12" s="1" t="s">
        <v>799</v>
      </c>
      <c r="X12" s="1" t="s">
        <v>799</v>
      </c>
      <c r="Y12" s="1" t="s">
        <v>799</v>
      </c>
      <c r="Z12" s="1" t="s">
        <v>799</v>
      </c>
      <c r="AA12" s="1" t="s">
        <v>799</v>
      </c>
      <c r="AB12" s="1" t="s">
        <v>782</v>
      </c>
      <c r="AC12" s="1" t="s">
        <v>799</v>
      </c>
      <c r="AD12" s="1" t="s">
        <v>799</v>
      </c>
      <c r="AE12" s="1" t="s">
        <v>799</v>
      </c>
      <c r="AF12" s="1" t="s">
        <v>799</v>
      </c>
      <c r="AG12" s="1" t="s">
        <v>782</v>
      </c>
      <c r="AH12" s="1" t="s">
        <v>782</v>
      </c>
      <c r="AI12" s="1" t="s">
        <v>825</v>
      </c>
      <c r="AJ12" s="502">
        <v>43056.229596249999</v>
      </c>
    </row>
    <row r="13" spans="1:36">
      <c r="A13" s="1" t="s">
        <v>328</v>
      </c>
      <c r="B13" s="275" t="s">
        <v>847</v>
      </c>
      <c r="C13" s="1" t="s">
        <v>888</v>
      </c>
      <c r="D13" s="1" t="s">
        <v>782</v>
      </c>
      <c r="E13" s="1" t="s">
        <v>799</v>
      </c>
      <c r="F13" s="1" t="s">
        <v>848</v>
      </c>
      <c r="G13" s="1" t="s">
        <v>782</v>
      </c>
      <c r="H13" s="1" t="s">
        <v>849</v>
      </c>
      <c r="I13" s="1" t="s">
        <v>848</v>
      </c>
      <c r="J13" s="1" t="s">
        <v>799</v>
      </c>
      <c r="K13" s="1" t="s">
        <v>816</v>
      </c>
      <c r="L13" s="1" t="s">
        <v>799</v>
      </c>
      <c r="M13" s="1" t="s">
        <v>799</v>
      </c>
      <c r="N13" s="1" t="s">
        <v>782</v>
      </c>
      <c r="O13" s="1" t="s">
        <v>808</v>
      </c>
      <c r="P13" s="1" t="s">
        <v>850</v>
      </c>
      <c r="Q13" s="1" t="s">
        <v>799</v>
      </c>
      <c r="R13" s="1" t="s">
        <v>799</v>
      </c>
      <c r="S13" s="1" t="s">
        <v>835</v>
      </c>
      <c r="T13" s="1" t="s">
        <v>799</v>
      </c>
      <c r="U13" s="1" t="s">
        <v>782</v>
      </c>
      <c r="V13" s="1" t="s">
        <v>799</v>
      </c>
      <c r="W13" s="1" t="s">
        <v>792</v>
      </c>
      <c r="X13" s="1" t="s">
        <v>835</v>
      </c>
      <c r="Y13" s="1" t="s">
        <v>799</v>
      </c>
      <c r="Z13" s="1" t="s">
        <v>799</v>
      </c>
      <c r="AA13" s="1" t="s">
        <v>799</v>
      </c>
      <c r="AB13" s="1" t="s">
        <v>782</v>
      </c>
      <c r="AC13" s="1" t="s">
        <v>799</v>
      </c>
      <c r="AD13" s="1" t="s">
        <v>785</v>
      </c>
      <c r="AE13" s="1" t="s">
        <v>799</v>
      </c>
      <c r="AF13" s="1" t="s">
        <v>792</v>
      </c>
      <c r="AG13" s="1" t="s">
        <v>782</v>
      </c>
      <c r="AH13" s="1" t="s">
        <v>782</v>
      </c>
      <c r="AI13" s="1" t="s">
        <v>787</v>
      </c>
      <c r="AJ13" s="502">
        <v>43056.229596249999</v>
      </c>
    </row>
    <row r="14" spans="1:36">
      <c r="A14" s="1" t="s">
        <v>328</v>
      </c>
      <c r="B14" s="275" t="s">
        <v>853</v>
      </c>
      <c r="C14" s="1" t="s">
        <v>888</v>
      </c>
      <c r="D14" s="1" t="s">
        <v>782</v>
      </c>
      <c r="E14" s="1" t="s">
        <v>796</v>
      </c>
      <c r="F14" s="1" t="s">
        <v>798</v>
      </c>
      <c r="G14" s="1" t="s">
        <v>782</v>
      </c>
      <c r="H14" s="1" t="s">
        <v>823</v>
      </c>
      <c r="I14" s="1" t="s">
        <v>893</v>
      </c>
      <c r="J14" s="1" t="s">
        <v>784</v>
      </c>
      <c r="K14" s="1" t="s">
        <v>790</v>
      </c>
      <c r="L14" s="1" t="s">
        <v>790</v>
      </c>
      <c r="M14" s="1" t="s">
        <v>881</v>
      </c>
      <c r="N14" s="1" t="s">
        <v>782</v>
      </c>
      <c r="O14" s="1" t="s">
        <v>833</v>
      </c>
      <c r="P14" s="1" t="s">
        <v>783</v>
      </c>
      <c r="Q14" s="1" t="s">
        <v>794</v>
      </c>
      <c r="R14" s="1" t="s">
        <v>792</v>
      </c>
      <c r="S14" s="1" t="s">
        <v>788</v>
      </c>
      <c r="T14" s="1" t="s">
        <v>858</v>
      </c>
      <c r="U14" s="1" t="s">
        <v>782</v>
      </c>
      <c r="V14" s="1" t="s">
        <v>828</v>
      </c>
      <c r="W14" s="1" t="s">
        <v>785</v>
      </c>
      <c r="X14" s="1" t="s">
        <v>798</v>
      </c>
      <c r="Y14" s="1" t="s">
        <v>837</v>
      </c>
      <c r="Z14" s="1" t="s">
        <v>858</v>
      </c>
      <c r="AA14" s="1" t="s">
        <v>790</v>
      </c>
      <c r="AB14" s="1" t="s">
        <v>782</v>
      </c>
      <c r="AC14" s="1" t="s">
        <v>843</v>
      </c>
      <c r="AD14" s="1" t="s">
        <v>783</v>
      </c>
      <c r="AE14" s="1" t="s">
        <v>784</v>
      </c>
      <c r="AF14" s="1" t="s">
        <v>787</v>
      </c>
      <c r="AG14" s="1" t="s">
        <v>782</v>
      </c>
      <c r="AH14" s="1" t="s">
        <v>782</v>
      </c>
      <c r="AI14" s="1" t="s">
        <v>791</v>
      </c>
      <c r="AJ14" s="502">
        <v>43056.229596249999</v>
      </c>
    </row>
    <row r="15" spans="1:36">
      <c r="A15" s="1" t="s">
        <v>328</v>
      </c>
      <c r="B15" s="275" t="s">
        <v>859</v>
      </c>
      <c r="C15" s="1" t="s">
        <v>888</v>
      </c>
      <c r="D15" s="1" t="s">
        <v>782</v>
      </c>
      <c r="E15" s="1" t="s">
        <v>848</v>
      </c>
      <c r="F15" s="1" t="s">
        <v>860</v>
      </c>
      <c r="G15" s="1" t="s">
        <v>782</v>
      </c>
      <c r="H15" s="1" t="s">
        <v>856</v>
      </c>
      <c r="I15" s="1" t="s">
        <v>894</v>
      </c>
      <c r="J15" s="1" t="s">
        <v>799</v>
      </c>
      <c r="K15" s="1" t="s">
        <v>861</v>
      </c>
      <c r="L15" s="1" t="s">
        <v>785</v>
      </c>
      <c r="M15" s="1" t="s">
        <v>786</v>
      </c>
      <c r="N15" s="1" t="s">
        <v>782</v>
      </c>
      <c r="O15" s="1" t="s">
        <v>786</v>
      </c>
      <c r="P15" s="1" t="s">
        <v>830</v>
      </c>
      <c r="Q15" s="1" t="s">
        <v>789</v>
      </c>
      <c r="R15" s="1" t="s">
        <v>831</v>
      </c>
      <c r="S15" s="1" t="s">
        <v>835</v>
      </c>
      <c r="T15" s="1" t="s">
        <v>894</v>
      </c>
      <c r="U15" s="1" t="s">
        <v>782</v>
      </c>
      <c r="V15" s="1" t="s">
        <v>820</v>
      </c>
      <c r="W15" s="1" t="s">
        <v>865</v>
      </c>
      <c r="X15" s="1" t="s">
        <v>866</v>
      </c>
      <c r="Y15" s="1" t="s">
        <v>863</v>
      </c>
      <c r="Z15" s="1" t="s">
        <v>799</v>
      </c>
      <c r="AA15" s="1" t="s">
        <v>799</v>
      </c>
      <c r="AB15" s="1" t="s">
        <v>782</v>
      </c>
      <c r="AC15" s="1" t="s">
        <v>867</v>
      </c>
      <c r="AD15" s="1" t="s">
        <v>832</v>
      </c>
      <c r="AE15" s="1" t="s">
        <v>895</v>
      </c>
      <c r="AF15" s="1" t="s">
        <v>799</v>
      </c>
      <c r="AG15" s="1" t="s">
        <v>782</v>
      </c>
      <c r="AH15" s="1" t="s">
        <v>782</v>
      </c>
      <c r="AI15" s="1" t="s">
        <v>856</v>
      </c>
      <c r="AJ15" s="502">
        <v>43056.229596249999</v>
      </c>
    </row>
    <row r="16" spans="1:36">
      <c r="A16" s="1" t="s">
        <v>328</v>
      </c>
      <c r="B16" s="275" t="s">
        <v>868</v>
      </c>
      <c r="C16" s="1" t="s">
        <v>888</v>
      </c>
      <c r="D16" s="1" t="s">
        <v>782</v>
      </c>
      <c r="E16" s="1" t="s">
        <v>782</v>
      </c>
      <c r="F16" s="1" t="s">
        <v>782</v>
      </c>
      <c r="G16" s="1" t="s">
        <v>782</v>
      </c>
      <c r="H16" s="1" t="s">
        <v>782</v>
      </c>
      <c r="I16" s="1" t="s">
        <v>782</v>
      </c>
      <c r="J16" s="1" t="s">
        <v>782</v>
      </c>
      <c r="K16" s="1" t="s">
        <v>782</v>
      </c>
      <c r="L16" s="1" t="s">
        <v>782</v>
      </c>
      <c r="M16" s="1" t="s">
        <v>782</v>
      </c>
      <c r="N16" s="1" t="s">
        <v>782</v>
      </c>
      <c r="O16" s="1" t="s">
        <v>782</v>
      </c>
      <c r="P16" s="1" t="s">
        <v>782</v>
      </c>
      <c r="Q16" s="1" t="s">
        <v>782</v>
      </c>
      <c r="R16" s="1" t="s">
        <v>782</v>
      </c>
      <c r="S16" s="1" t="s">
        <v>782</v>
      </c>
      <c r="T16" s="1" t="s">
        <v>782</v>
      </c>
      <c r="U16" s="1" t="s">
        <v>782</v>
      </c>
      <c r="V16" s="1" t="s">
        <v>782</v>
      </c>
      <c r="W16" s="1" t="s">
        <v>782</v>
      </c>
      <c r="X16" s="1" t="s">
        <v>782</v>
      </c>
      <c r="Y16" s="1" t="s">
        <v>782</v>
      </c>
      <c r="Z16" s="1" t="s">
        <v>782</v>
      </c>
      <c r="AA16" s="1" t="s">
        <v>782</v>
      </c>
      <c r="AB16" s="1" t="s">
        <v>782</v>
      </c>
      <c r="AC16" s="1" t="s">
        <v>782</v>
      </c>
      <c r="AD16" s="1" t="s">
        <v>782</v>
      </c>
      <c r="AE16" s="1" t="s">
        <v>782</v>
      </c>
      <c r="AF16" s="1" t="s">
        <v>782</v>
      </c>
      <c r="AG16" s="1" t="s">
        <v>782</v>
      </c>
      <c r="AH16" s="1" t="s">
        <v>782</v>
      </c>
      <c r="AI16" s="1" t="s">
        <v>782</v>
      </c>
      <c r="AJ16" s="502">
        <v>43056.229596249999</v>
      </c>
    </row>
    <row r="17" spans="1:36">
      <c r="A17" s="1" t="s">
        <v>328</v>
      </c>
      <c r="B17" s="275" t="s">
        <v>896</v>
      </c>
      <c r="C17" s="1" t="s">
        <v>888</v>
      </c>
      <c r="D17" s="1" t="s">
        <v>782</v>
      </c>
      <c r="E17" s="1" t="s">
        <v>782</v>
      </c>
      <c r="F17" s="1" t="s">
        <v>782</v>
      </c>
      <c r="G17" s="1" t="s">
        <v>782</v>
      </c>
      <c r="H17" s="1" t="s">
        <v>782</v>
      </c>
      <c r="I17" s="1" t="s">
        <v>782</v>
      </c>
      <c r="J17" s="1" t="s">
        <v>782</v>
      </c>
      <c r="K17" s="1" t="s">
        <v>782</v>
      </c>
      <c r="L17" s="1" t="s">
        <v>782</v>
      </c>
      <c r="M17" s="1" t="s">
        <v>782</v>
      </c>
      <c r="N17" s="1" t="s">
        <v>782</v>
      </c>
      <c r="O17" s="1" t="s">
        <v>782</v>
      </c>
      <c r="P17" s="1" t="s">
        <v>782</v>
      </c>
      <c r="Q17" s="1" t="s">
        <v>782</v>
      </c>
      <c r="R17" s="1" t="s">
        <v>782</v>
      </c>
      <c r="S17" s="1" t="s">
        <v>782</v>
      </c>
      <c r="T17" s="1" t="s">
        <v>782</v>
      </c>
      <c r="U17" s="1" t="s">
        <v>782</v>
      </c>
      <c r="V17" s="1" t="s">
        <v>782</v>
      </c>
      <c r="W17" s="1" t="s">
        <v>782</v>
      </c>
      <c r="X17" s="1" t="s">
        <v>782</v>
      </c>
      <c r="Y17" s="1" t="s">
        <v>782</v>
      </c>
      <c r="Z17" s="1" t="s">
        <v>782</v>
      </c>
      <c r="AA17" s="1" t="s">
        <v>782</v>
      </c>
      <c r="AB17" s="1" t="s">
        <v>782</v>
      </c>
      <c r="AC17" s="1" t="s">
        <v>782</v>
      </c>
      <c r="AD17" s="1" t="s">
        <v>782</v>
      </c>
      <c r="AE17" s="1" t="s">
        <v>782</v>
      </c>
      <c r="AF17" s="1" t="s">
        <v>782</v>
      </c>
      <c r="AG17" s="1" t="s">
        <v>782</v>
      </c>
      <c r="AH17" s="1" t="s">
        <v>782</v>
      </c>
      <c r="AI17" s="1" t="s">
        <v>782</v>
      </c>
      <c r="AJ17" s="502">
        <v>43056.229596249999</v>
      </c>
    </row>
    <row r="18" spans="1:36">
      <c r="A18" s="1" t="s">
        <v>328</v>
      </c>
      <c r="B18" s="275" t="s">
        <v>897</v>
      </c>
      <c r="C18" s="1" t="s">
        <v>888</v>
      </c>
      <c r="D18" s="1" t="s">
        <v>782</v>
      </c>
      <c r="E18" s="1" t="s">
        <v>782</v>
      </c>
      <c r="F18" s="1" t="s">
        <v>782</v>
      </c>
      <c r="G18" s="1" t="s">
        <v>782</v>
      </c>
      <c r="H18" s="1" t="s">
        <v>782</v>
      </c>
      <c r="I18" s="1" t="s">
        <v>782</v>
      </c>
      <c r="J18" s="1" t="s">
        <v>782</v>
      </c>
      <c r="K18" s="1" t="s">
        <v>782</v>
      </c>
      <c r="L18" s="1" t="s">
        <v>782</v>
      </c>
      <c r="M18" s="1" t="s">
        <v>782</v>
      </c>
      <c r="N18" s="1" t="s">
        <v>782</v>
      </c>
      <c r="O18" s="1" t="s">
        <v>782</v>
      </c>
      <c r="P18" s="1" t="s">
        <v>782</v>
      </c>
      <c r="Q18" s="1" t="s">
        <v>782</v>
      </c>
      <c r="R18" s="1" t="s">
        <v>782</v>
      </c>
      <c r="S18" s="1" t="s">
        <v>782</v>
      </c>
      <c r="T18" s="1" t="s">
        <v>782</v>
      </c>
      <c r="U18" s="1" t="s">
        <v>782</v>
      </c>
      <c r="V18" s="1" t="s">
        <v>782</v>
      </c>
      <c r="W18" s="1" t="s">
        <v>782</v>
      </c>
      <c r="X18" s="1" t="s">
        <v>782</v>
      </c>
      <c r="Y18" s="1" t="s">
        <v>782</v>
      </c>
      <c r="Z18" s="1" t="s">
        <v>782</v>
      </c>
      <c r="AA18" s="1" t="s">
        <v>782</v>
      </c>
      <c r="AB18" s="1" t="s">
        <v>782</v>
      </c>
      <c r="AC18" s="1" t="s">
        <v>782</v>
      </c>
      <c r="AD18" s="1" t="s">
        <v>782</v>
      </c>
      <c r="AE18" s="1" t="s">
        <v>782</v>
      </c>
      <c r="AF18" s="1" t="s">
        <v>782</v>
      </c>
      <c r="AG18" s="1" t="s">
        <v>782</v>
      </c>
      <c r="AH18" s="1" t="s">
        <v>782</v>
      </c>
      <c r="AI18" s="1" t="s">
        <v>782</v>
      </c>
      <c r="AJ18" s="502">
        <v>43056.229596249999</v>
      </c>
    </row>
    <row r="19" spans="1:36">
      <c r="A19" s="1" t="s">
        <v>328</v>
      </c>
      <c r="B19" s="275" t="s">
        <v>898</v>
      </c>
      <c r="C19" s="1" t="s">
        <v>888</v>
      </c>
      <c r="D19" s="1" t="s">
        <v>782</v>
      </c>
      <c r="E19" s="1" t="s">
        <v>782</v>
      </c>
      <c r="F19" s="1" t="s">
        <v>782</v>
      </c>
      <c r="G19" s="1" t="s">
        <v>782</v>
      </c>
      <c r="H19" s="1" t="s">
        <v>782</v>
      </c>
      <c r="I19" s="1" t="s">
        <v>782</v>
      </c>
      <c r="J19" s="1" t="s">
        <v>782</v>
      </c>
      <c r="K19" s="1" t="s">
        <v>782</v>
      </c>
      <c r="L19" s="1" t="s">
        <v>782</v>
      </c>
      <c r="M19" s="1" t="s">
        <v>782</v>
      </c>
      <c r="N19" s="1" t="s">
        <v>782</v>
      </c>
      <c r="O19" s="1" t="s">
        <v>782</v>
      </c>
      <c r="P19" s="1" t="s">
        <v>782</v>
      </c>
      <c r="Q19" s="1" t="s">
        <v>782</v>
      </c>
      <c r="R19" s="1" t="s">
        <v>782</v>
      </c>
      <c r="S19" s="1" t="s">
        <v>782</v>
      </c>
      <c r="T19" s="1" t="s">
        <v>782</v>
      </c>
      <c r="U19" s="1" t="s">
        <v>782</v>
      </c>
      <c r="V19" s="1" t="s">
        <v>782</v>
      </c>
      <c r="W19" s="1" t="s">
        <v>782</v>
      </c>
      <c r="X19" s="1" t="s">
        <v>782</v>
      </c>
      <c r="Y19" s="1" t="s">
        <v>782</v>
      </c>
      <c r="Z19" s="1" t="s">
        <v>782</v>
      </c>
      <c r="AA19" s="1" t="s">
        <v>782</v>
      </c>
      <c r="AB19" s="1" t="s">
        <v>782</v>
      </c>
      <c r="AC19" s="1" t="s">
        <v>782</v>
      </c>
      <c r="AD19" s="1" t="s">
        <v>782</v>
      </c>
      <c r="AE19" s="1" t="s">
        <v>782</v>
      </c>
      <c r="AF19" s="1" t="s">
        <v>782</v>
      </c>
      <c r="AG19" s="1" t="s">
        <v>782</v>
      </c>
      <c r="AH19" s="1" t="s">
        <v>782</v>
      </c>
      <c r="AI19" s="1" t="s">
        <v>782</v>
      </c>
      <c r="AJ19" s="502">
        <v>43056.229596249999</v>
      </c>
    </row>
    <row r="20" spans="1:36">
      <c r="A20" s="1" t="s">
        <v>328</v>
      </c>
      <c r="B20" s="275" t="s">
        <v>899</v>
      </c>
      <c r="C20" s="1" t="s">
        <v>888</v>
      </c>
      <c r="D20" s="1" t="s">
        <v>782</v>
      </c>
      <c r="E20" s="1" t="s">
        <v>782</v>
      </c>
      <c r="F20" s="1" t="s">
        <v>782</v>
      </c>
      <c r="G20" s="1" t="s">
        <v>782</v>
      </c>
      <c r="H20" s="1" t="s">
        <v>782</v>
      </c>
      <c r="I20" s="1" t="s">
        <v>782</v>
      </c>
      <c r="J20" s="1" t="s">
        <v>782</v>
      </c>
      <c r="K20" s="1" t="s">
        <v>782</v>
      </c>
      <c r="L20" s="1" t="s">
        <v>782</v>
      </c>
      <c r="M20" s="1" t="s">
        <v>782</v>
      </c>
      <c r="N20" s="1" t="s">
        <v>782</v>
      </c>
      <c r="O20" s="1" t="s">
        <v>782</v>
      </c>
      <c r="P20" s="1" t="s">
        <v>782</v>
      </c>
      <c r="Q20" s="1" t="s">
        <v>782</v>
      </c>
      <c r="R20" s="1" t="s">
        <v>782</v>
      </c>
      <c r="S20" s="1" t="s">
        <v>782</v>
      </c>
      <c r="T20" s="1" t="s">
        <v>782</v>
      </c>
      <c r="U20" s="1" t="s">
        <v>782</v>
      </c>
      <c r="V20" s="1" t="s">
        <v>782</v>
      </c>
      <c r="W20" s="1" t="s">
        <v>782</v>
      </c>
      <c r="X20" s="1" t="s">
        <v>782</v>
      </c>
      <c r="Y20" s="1" t="s">
        <v>782</v>
      </c>
      <c r="Z20" s="1" t="s">
        <v>782</v>
      </c>
      <c r="AA20" s="1" t="s">
        <v>782</v>
      </c>
      <c r="AB20" s="1" t="s">
        <v>782</v>
      </c>
      <c r="AC20" s="1" t="s">
        <v>782</v>
      </c>
      <c r="AD20" s="1" t="s">
        <v>782</v>
      </c>
      <c r="AE20" s="1" t="s">
        <v>782</v>
      </c>
      <c r="AF20" s="1" t="s">
        <v>782</v>
      </c>
      <c r="AG20" s="1" t="s">
        <v>782</v>
      </c>
      <c r="AH20" s="1" t="s">
        <v>782</v>
      </c>
      <c r="AI20" s="1" t="s">
        <v>782</v>
      </c>
      <c r="AJ20" s="502">
        <v>43056.229596249999</v>
      </c>
    </row>
    <row r="21" spans="1:36">
      <c r="A21" s="1" t="s">
        <v>328</v>
      </c>
      <c r="B21" s="275" t="s">
        <v>900</v>
      </c>
      <c r="C21" s="1" t="s">
        <v>888</v>
      </c>
      <c r="D21" s="1" t="s">
        <v>782</v>
      </c>
      <c r="E21" s="1" t="s">
        <v>782</v>
      </c>
      <c r="F21" s="1" t="s">
        <v>782</v>
      </c>
      <c r="G21" s="1" t="s">
        <v>782</v>
      </c>
      <c r="H21" s="1" t="s">
        <v>782</v>
      </c>
      <c r="I21" s="1" t="s">
        <v>782</v>
      </c>
      <c r="J21" s="1" t="s">
        <v>782</v>
      </c>
      <c r="K21" s="1" t="s">
        <v>782</v>
      </c>
      <c r="L21" s="1" t="s">
        <v>782</v>
      </c>
      <c r="M21" s="1" t="s">
        <v>782</v>
      </c>
      <c r="N21" s="1" t="s">
        <v>782</v>
      </c>
      <c r="O21" s="1" t="s">
        <v>782</v>
      </c>
      <c r="P21" s="1" t="s">
        <v>782</v>
      </c>
      <c r="Q21" s="1" t="s">
        <v>782</v>
      </c>
      <c r="R21" s="1" t="s">
        <v>782</v>
      </c>
      <c r="S21" s="1" t="s">
        <v>782</v>
      </c>
      <c r="T21" s="1" t="s">
        <v>782</v>
      </c>
      <c r="U21" s="1" t="s">
        <v>782</v>
      </c>
      <c r="V21" s="1" t="s">
        <v>782</v>
      </c>
      <c r="W21" s="1" t="s">
        <v>782</v>
      </c>
      <c r="X21" s="1" t="s">
        <v>782</v>
      </c>
      <c r="Y21" s="1" t="s">
        <v>782</v>
      </c>
      <c r="Z21" s="1" t="s">
        <v>782</v>
      </c>
      <c r="AA21" s="1" t="s">
        <v>782</v>
      </c>
      <c r="AB21" s="1" t="s">
        <v>782</v>
      </c>
      <c r="AC21" s="1" t="s">
        <v>782</v>
      </c>
      <c r="AD21" s="1" t="s">
        <v>782</v>
      </c>
      <c r="AE21" s="1" t="s">
        <v>782</v>
      </c>
      <c r="AF21" s="1" t="s">
        <v>782</v>
      </c>
      <c r="AG21" s="1" t="s">
        <v>782</v>
      </c>
      <c r="AH21" s="1" t="s">
        <v>782</v>
      </c>
      <c r="AI21" s="1" t="s">
        <v>782</v>
      </c>
      <c r="AJ21" s="502">
        <v>43056.229596249999</v>
      </c>
    </row>
    <row r="22" spans="1:36">
      <c r="A22" s="503" t="s">
        <v>328</v>
      </c>
      <c r="B22" s="503" t="s">
        <v>901</v>
      </c>
      <c r="C22" s="503" t="s">
        <v>888</v>
      </c>
      <c r="D22" s="503" t="s">
        <v>782</v>
      </c>
      <c r="E22" s="503" t="s">
        <v>857</v>
      </c>
      <c r="F22" s="503" t="s">
        <v>835</v>
      </c>
      <c r="G22" s="503" t="s">
        <v>782</v>
      </c>
      <c r="H22" s="503" t="s">
        <v>855</v>
      </c>
      <c r="I22" s="503" t="s">
        <v>830</v>
      </c>
      <c r="J22" s="503" t="s">
        <v>783</v>
      </c>
      <c r="K22" s="503" t="s">
        <v>829</v>
      </c>
      <c r="L22" s="503" t="s">
        <v>879</v>
      </c>
      <c r="M22" s="503" t="s">
        <v>783</v>
      </c>
      <c r="N22" s="503" t="s">
        <v>782</v>
      </c>
      <c r="O22" s="503" t="s">
        <v>858</v>
      </c>
      <c r="P22" s="503" t="s">
        <v>892</v>
      </c>
      <c r="Q22" s="503" t="s">
        <v>826</v>
      </c>
      <c r="R22" s="503" t="s">
        <v>854</v>
      </c>
      <c r="S22" s="503" t="s">
        <v>783</v>
      </c>
      <c r="T22" s="503" t="s">
        <v>893</v>
      </c>
      <c r="U22" s="503" t="s">
        <v>782</v>
      </c>
      <c r="V22" s="503" t="s">
        <v>893</v>
      </c>
      <c r="W22" s="503" t="s">
        <v>861</v>
      </c>
      <c r="X22" s="503" t="s">
        <v>826</v>
      </c>
      <c r="Y22" s="503" t="s">
        <v>852</v>
      </c>
      <c r="Z22" s="503" t="s">
        <v>810</v>
      </c>
      <c r="AA22" s="503" t="s">
        <v>818</v>
      </c>
      <c r="AB22" s="503" t="s">
        <v>782</v>
      </c>
      <c r="AC22" s="503" t="s">
        <v>850</v>
      </c>
      <c r="AD22" s="503" t="s">
        <v>849</v>
      </c>
      <c r="AE22" s="503" t="s">
        <v>793</v>
      </c>
      <c r="AF22" s="503" t="s">
        <v>849</v>
      </c>
      <c r="AG22" s="503" t="s">
        <v>782</v>
      </c>
      <c r="AH22" s="503" t="s">
        <v>782</v>
      </c>
      <c r="AI22" s="503" t="s">
        <v>826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902</v>
      </c>
    </row>
    <row r="2" spans="1:35">
      <c r="A2" s="1" t="s">
        <v>328</v>
      </c>
      <c r="B2" s="275" t="s">
        <v>364</v>
      </c>
      <c r="C2" s="1" t="s">
        <v>395</v>
      </c>
      <c r="D2" s="1" t="s">
        <v>903</v>
      </c>
      <c r="E2" s="1" t="s">
        <v>904</v>
      </c>
      <c r="F2" s="1" t="s">
        <v>395</v>
      </c>
      <c r="G2" s="1" t="s">
        <v>905</v>
      </c>
      <c r="H2" s="1" t="s">
        <v>906</v>
      </c>
      <c r="I2" s="1"/>
      <c r="J2" s="1" t="s">
        <v>907</v>
      </c>
      <c r="K2" s="1" t="s">
        <v>908</v>
      </c>
      <c r="L2" s="1" t="s">
        <v>909</v>
      </c>
      <c r="M2" s="1" t="s">
        <v>395</v>
      </c>
      <c r="N2" s="1" t="s">
        <v>910</v>
      </c>
      <c r="O2" s="1" t="s">
        <v>911</v>
      </c>
      <c r="P2" s="1" t="s">
        <v>912</v>
      </c>
      <c r="Q2" s="1" t="s">
        <v>913</v>
      </c>
      <c r="R2" s="1" t="s">
        <v>914</v>
      </c>
      <c r="S2" s="1" t="s">
        <v>915</v>
      </c>
      <c r="T2" s="1" t="s">
        <v>395</v>
      </c>
      <c r="U2" s="1" t="s">
        <v>916</v>
      </c>
      <c r="V2" s="1" t="s">
        <v>917</v>
      </c>
      <c r="W2" s="1" t="s">
        <v>918</v>
      </c>
      <c r="X2" s="1" t="s">
        <v>919</v>
      </c>
      <c r="Y2" s="1" t="s">
        <v>917</v>
      </c>
      <c r="Z2" s="1" t="s">
        <v>920</v>
      </c>
      <c r="AA2" s="1" t="s">
        <v>395</v>
      </c>
      <c r="AB2" s="1" t="s">
        <v>921</v>
      </c>
      <c r="AC2" s="1" t="s">
        <v>922</v>
      </c>
      <c r="AD2" s="1" t="s">
        <v>923</v>
      </c>
      <c r="AE2" s="1" t="s">
        <v>924</v>
      </c>
      <c r="AF2" s="1" t="s">
        <v>395</v>
      </c>
      <c r="AG2" s="1" t="s">
        <v>395</v>
      </c>
      <c r="AH2" s="1" t="s">
        <v>925</v>
      </c>
      <c r="AI2" s="502">
        <v>43056.2297915741</v>
      </c>
    </row>
    <row r="3" spans="1:35">
      <c r="A3" s="1" t="s">
        <v>328</v>
      </c>
      <c r="B3" s="275" t="s">
        <v>397</v>
      </c>
      <c r="C3" s="1" t="s">
        <v>395</v>
      </c>
      <c r="D3" s="1" t="s">
        <v>926</v>
      </c>
      <c r="E3" s="1" t="s">
        <v>927</v>
      </c>
      <c r="F3" s="1" t="s">
        <v>395</v>
      </c>
      <c r="G3" s="1" t="s">
        <v>927</v>
      </c>
      <c r="H3" s="1" t="s">
        <v>928</v>
      </c>
      <c r="I3" s="1"/>
      <c r="J3" s="1" t="s">
        <v>929</v>
      </c>
      <c r="K3" s="1" t="s">
        <v>930</v>
      </c>
      <c r="L3" s="1" t="s">
        <v>931</v>
      </c>
      <c r="M3" s="1" t="s">
        <v>395</v>
      </c>
      <c r="N3" s="1" t="s">
        <v>425</v>
      </c>
      <c r="O3" s="1" t="s">
        <v>932</v>
      </c>
      <c r="P3" s="1" t="s">
        <v>933</v>
      </c>
      <c r="Q3" s="1" t="s">
        <v>934</v>
      </c>
      <c r="R3" s="1" t="s">
        <v>928</v>
      </c>
      <c r="S3" s="1" t="s">
        <v>935</v>
      </c>
      <c r="T3" s="1" t="s">
        <v>395</v>
      </c>
      <c r="U3" s="1" t="s">
        <v>936</v>
      </c>
      <c r="V3" s="1" t="s">
        <v>932</v>
      </c>
      <c r="W3" s="1" t="s">
        <v>937</v>
      </c>
      <c r="X3" s="1" t="s">
        <v>938</v>
      </c>
      <c r="Y3" s="1" t="s">
        <v>933</v>
      </c>
      <c r="Z3" s="1" t="s">
        <v>939</v>
      </c>
      <c r="AA3" s="1" t="s">
        <v>395</v>
      </c>
      <c r="AB3" s="1" t="s">
        <v>938</v>
      </c>
      <c r="AC3" s="1" t="s">
        <v>932</v>
      </c>
      <c r="AD3" s="1" t="s">
        <v>940</v>
      </c>
      <c r="AE3" s="1" t="s">
        <v>941</v>
      </c>
      <c r="AF3" s="1" t="s">
        <v>395</v>
      </c>
      <c r="AG3" s="1" t="s">
        <v>395</v>
      </c>
      <c r="AH3" s="1" t="s">
        <v>942</v>
      </c>
      <c r="AI3" s="502">
        <v>43056.2297915741</v>
      </c>
    </row>
    <row r="4" spans="1:35">
      <c r="A4" s="1" t="s">
        <v>328</v>
      </c>
      <c r="B4" s="275" t="s">
        <v>427</v>
      </c>
      <c r="C4" s="1" t="s">
        <v>395</v>
      </c>
      <c r="D4" s="1" t="s">
        <v>395</v>
      </c>
      <c r="E4" s="1" t="s">
        <v>395</v>
      </c>
      <c r="F4" s="1" t="s">
        <v>395</v>
      </c>
      <c r="G4" s="1" t="s">
        <v>395</v>
      </c>
      <c r="H4" s="1" t="s">
        <v>395</v>
      </c>
      <c r="I4" s="1"/>
      <c r="J4" s="1" t="s">
        <v>395</v>
      </c>
      <c r="K4" s="1" t="s">
        <v>395</v>
      </c>
      <c r="L4" s="1" t="s">
        <v>395</v>
      </c>
      <c r="M4" s="1" t="s">
        <v>395</v>
      </c>
      <c r="N4" s="1" t="s">
        <v>395</v>
      </c>
      <c r="O4" s="1" t="s">
        <v>395</v>
      </c>
      <c r="P4" s="1" t="s">
        <v>395</v>
      </c>
      <c r="Q4" s="1" t="s">
        <v>395</v>
      </c>
      <c r="R4" s="1" t="s">
        <v>395</v>
      </c>
      <c r="S4" s="1" t="s">
        <v>395</v>
      </c>
      <c r="T4" s="1" t="s">
        <v>395</v>
      </c>
      <c r="U4" s="1" t="s">
        <v>395</v>
      </c>
      <c r="V4" s="1" t="s">
        <v>943</v>
      </c>
      <c r="W4" s="1" t="s">
        <v>395</v>
      </c>
      <c r="X4" s="1" t="s">
        <v>395</v>
      </c>
      <c r="Y4" s="1" t="s">
        <v>395</v>
      </c>
      <c r="Z4" s="1" t="s">
        <v>395</v>
      </c>
      <c r="AA4" s="1" t="s">
        <v>395</v>
      </c>
      <c r="AB4" s="1" t="s">
        <v>395</v>
      </c>
      <c r="AC4" s="1" t="s">
        <v>395</v>
      </c>
      <c r="AD4" s="1" t="s">
        <v>395</v>
      </c>
      <c r="AE4" s="1" t="s">
        <v>395</v>
      </c>
      <c r="AF4" s="1" t="s">
        <v>395</v>
      </c>
      <c r="AG4" s="1" t="s">
        <v>395</v>
      </c>
      <c r="AH4" s="1" t="s">
        <v>236</v>
      </c>
      <c r="AI4" s="502">
        <v>43056.2297915741</v>
      </c>
    </row>
    <row r="5" spans="1:35">
      <c r="A5" s="1" t="s">
        <v>328</v>
      </c>
      <c r="B5" s="275" t="s">
        <v>454</v>
      </c>
      <c r="C5" s="1" t="s">
        <v>395</v>
      </c>
      <c r="D5" s="1" t="s">
        <v>395</v>
      </c>
      <c r="E5" s="1" t="s">
        <v>395</v>
      </c>
      <c r="F5" s="1" t="s">
        <v>395</v>
      </c>
      <c r="G5" s="1" t="s">
        <v>943</v>
      </c>
      <c r="H5" s="1" t="s">
        <v>944</v>
      </c>
      <c r="I5" s="1"/>
      <c r="J5" s="1" t="s">
        <v>945</v>
      </c>
      <c r="K5" s="1" t="s">
        <v>931</v>
      </c>
      <c r="L5" s="1" t="s">
        <v>945</v>
      </c>
      <c r="M5" s="1" t="s">
        <v>395</v>
      </c>
      <c r="N5" s="1" t="s">
        <v>944</v>
      </c>
      <c r="O5" s="1" t="s">
        <v>946</v>
      </c>
      <c r="P5" s="1" t="s">
        <v>931</v>
      </c>
      <c r="Q5" s="1" t="s">
        <v>947</v>
      </c>
      <c r="R5" s="1" t="s">
        <v>945</v>
      </c>
      <c r="S5" s="1" t="s">
        <v>947</v>
      </c>
      <c r="T5" s="1" t="s">
        <v>395</v>
      </c>
      <c r="U5" s="1" t="s">
        <v>948</v>
      </c>
      <c r="V5" s="1" t="s">
        <v>944</v>
      </c>
      <c r="W5" s="1" t="s">
        <v>946</v>
      </c>
      <c r="X5" s="1" t="s">
        <v>939</v>
      </c>
      <c r="Y5" s="1" t="s">
        <v>931</v>
      </c>
      <c r="Z5" s="1" t="s">
        <v>947</v>
      </c>
      <c r="AA5" s="1" t="s">
        <v>395</v>
      </c>
      <c r="AB5" s="1" t="s">
        <v>931</v>
      </c>
      <c r="AC5" s="1" t="s">
        <v>948</v>
      </c>
      <c r="AD5" s="1" t="s">
        <v>943</v>
      </c>
      <c r="AE5" s="1" t="s">
        <v>946</v>
      </c>
      <c r="AF5" s="1" t="s">
        <v>395</v>
      </c>
      <c r="AG5" s="1" t="s">
        <v>395</v>
      </c>
      <c r="AH5" s="1" t="s">
        <v>949</v>
      </c>
      <c r="AI5" s="502">
        <v>43056.2297915741</v>
      </c>
    </row>
    <row r="6" spans="1:35">
      <c r="A6" s="1" t="s">
        <v>328</v>
      </c>
      <c r="B6" s="275" t="s">
        <v>481</v>
      </c>
      <c r="C6" s="1" t="s">
        <v>395</v>
      </c>
      <c r="D6" s="1" t="s">
        <v>930</v>
      </c>
      <c r="E6" s="1" t="s">
        <v>939</v>
      </c>
      <c r="F6" s="1" t="s">
        <v>395</v>
      </c>
      <c r="G6" s="1" t="s">
        <v>950</v>
      </c>
      <c r="H6" s="1" t="s">
        <v>951</v>
      </c>
      <c r="I6" s="1"/>
      <c r="J6" s="1" t="s">
        <v>944</v>
      </c>
      <c r="K6" s="1" t="s">
        <v>947</v>
      </c>
      <c r="L6" s="1" t="s">
        <v>943</v>
      </c>
      <c r="M6" s="1" t="s">
        <v>395</v>
      </c>
      <c r="N6" s="1" t="s">
        <v>946</v>
      </c>
      <c r="O6" s="1" t="s">
        <v>946</v>
      </c>
      <c r="P6" s="1" t="s">
        <v>946</v>
      </c>
      <c r="Q6" s="1" t="s">
        <v>927</v>
      </c>
      <c r="R6" s="1" t="s">
        <v>947</v>
      </c>
      <c r="S6" s="1" t="s">
        <v>943</v>
      </c>
      <c r="T6" s="1" t="s">
        <v>395</v>
      </c>
      <c r="U6" s="1" t="s">
        <v>948</v>
      </c>
      <c r="V6" s="1" t="s">
        <v>395</v>
      </c>
      <c r="W6" s="1" t="s">
        <v>946</v>
      </c>
      <c r="X6" s="1" t="s">
        <v>947</v>
      </c>
      <c r="Y6" s="1" t="s">
        <v>946</v>
      </c>
      <c r="Z6" s="1" t="s">
        <v>948</v>
      </c>
      <c r="AA6" s="1" t="s">
        <v>395</v>
      </c>
      <c r="AB6" s="1" t="s">
        <v>931</v>
      </c>
      <c r="AC6" s="1" t="s">
        <v>947</v>
      </c>
      <c r="AD6" s="1" t="s">
        <v>946</v>
      </c>
      <c r="AE6" s="1" t="s">
        <v>946</v>
      </c>
      <c r="AF6" s="1" t="s">
        <v>395</v>
      </c>
      <c r="AG6" s="1" t="s">
        <v>395</v>
      </c>
      <c r="AH6" s="1" t="s">
        <v>952</v>
      </c>
      <c r="AI6" s="502">
        <v>43056.2297915741</v>
      </c>
    </row>
    <row r="7" spans="1:35">
      <c r="A7" s="1" t="s">
        <v>328</v>
      </c>
      <c r="B7" s="275" t="s">
        <v>510</v>
      </c>
      <c r="C7" s="1" t="s">
        <v>395</v>
      </c>
      <c r="D7" s="1" t="s">
        <v>395</v>
      </c>
      <c r="E7" s="1" t="s">
        <v>395</v>
      </c>
      <c r="F7" s="1" t="s">
        <v>395</v>
      </c>
      <c r="G7" s="1" t="s">
        <v>395</v>
      </c>
      <c r="H7" s="1" t="s">
        <v>395</v>
      </c>
      <c r="I7" s="1"/>
      <c r="J7" s="1" t="s">
        <v>395</v>
      </c>
      <c r="K7" s="1" t="s">
        <v>395</v>
      </c>
      <c r="L7" s="1" t="s">
        <v>395</v>
      </c>
      <c r="M7" s="1" t="s">
        <v>395</v>
      </c>
      <c r="N7" s="1" t="s">
        <v>395</v>
      </c>
      <c r="O7" s="1" t="s">
        <v>395</v>
      </c>
      <c r="P7" s="1" t="s">
        <v>395</v>
      </c>
      <c r="Q7" s="1" t="s">
        <v>395</v>
      </c>
      <c r="R7" s="1" t="s">
        <v>395</v>
      </c>
      <c r="S7" s="1" t="s">
        <v>395</v>
      </c>
      <c r="T7" s="1" t="s">
        <v>395</v>
      </c>
      <c r="U7" s="1" t="s">
        <v>395</v>
      </c>
      <c r="V7" s="1" t="s">
        <v>395</v>
      </c>
      <c r="W7" s="1" t="s">
        <v>395</v>
      </c>
      <c r="X7" s="1" t="s">
        <v>395</v>
      </c>
      <c r="Y7" s="1" t="s">
        <v>395</v>
      </c>
      <c r="Z7" s="1" t="s">
        <v>395</v>
      </c>
      <c r="AA7" s="1" t="s">
        <v>395</v>
      </c>
      <c r="AB7" s="1" t="s">
        <v>395</v>
      </c>
      <c r="AC7" s="1" t="s">
        <v>395</v>
      </c>
      <c r="AD7" s="1" t="s">
        <v>395</v>
      </c>
      <c r="AE7" s="1" t="s">
        <v>395</v>
      </c>
      <c r="AF7" s="1" t="s">
        <v>395</v>
      </c>
      <c r="AG7" s="1" t="s">
        <v>395</v>
      </c>
      <c r="AH7" s="1" t="s">
        <v>782</v>
      </c>
      <c r="AI7" s="502">
        <v>43056.2297915741</v>
      </c>
    </row>
    <row r="8" spans="1:35">
      <c r="A8" s="1" t="s">
        <v>328</v>
      </c>
      <c r="B8" s="275" t="s">
        <v>511</v>
      </c>
      <c r="C8" s="1" t="s">
        <v>395</v>
      </c>
      <c r="D8" s="1" t="s">
        <v>945</v>
      </c>
      <c r="E8" s="1" t="s">
        <v>931</v>
      </c>
      <c r="F8" s="1" t="s">
        <v>395</v>
      </c>
      <c r="G8" s="1" t="s">
        <v>953</v>
      </c>
      <c r="H8" s="1" t="s">
        <v>954</v>
      </c>
      <c r="I8" s="1"/>
      <c r="J8" s="1" t="s">
        <v>943</v>
      </c>
      <c r="K8" s="1" t="s">
        <v>395</v>
      </c>
      <c r="L8" s="1" t="s">
        <v>395</v>
      </c>
      <c r="M8" s="1" t="s">
        <v>395</v>
      </c>
      <c r="N8" s="1" t="s">
        <v>935</v>
      </c>
      <c r="O8" s="1" t="s">
        <v>930</v>
      </c>
      <c r="P8" s="1" t="s">
        <v>944</v>
      </c>
      <c r="Q8" s="1" t="s">
        <v>947</v>
      </c>
      <c r="R8" s="1" t="s">
        <v>948</v>
      </c>
      <c r="S8" s="1" t="s">
        <v>926</v>
      </c>
      <c r="T8" s="1" t="s">
        <v>395</v>
      </c>
      <c r="U8" s="1" t="s">
        <v>938</v>
      </c>
      <c r="V8" s="1" t="s">
        <v>955</v>
      </c>
      <c r="W8" s="1" t="s">
        <v>395</v>
      </c>
      <c r="X8" s="1" t="s">
        <v>935</v>
      </c>
      <c r="Y8" s="1" t="s">
        <v>948</v>
      </c>
      <c r="Z8" s="1" t="s">
        <v>947</v>
      </c>
      <c r="AA8" s="1" t="s">
        <v>395</v>
      </c>
      <c r="AB8" s="1" t="s">
        <v>937</v>
      </c>
      <c r="AC8" s="1" t="s">
        <v>945</v>
      </c>
      <c r="AD8" s="1" t="s">
        <v>931</v>
      </c>
      <c r="AE8" s="1" t="s">
        <v>948</v>
      </c>
      <c r="AF8" s="1" t="s">
        <v>395</v>
      </c>
      <c r="AG8" s="1" t="s">
        <v>395</v>
      </c>
      <c r="AH8" s="1" t="s">
        <v>956</v>
      </c>
      <c r="AI8" s="502">
        <v>43056.2297915741</v>
      </c>
    </row>
    <row r="9" spans="1:35">
      <c r="A9" s="1" t="s">
        <v>328</v>
      </c>
      <c r="B9" s="275" t="s">
        <v>836</v>
      </c>
      <c r="C9" s="1" t="s">
        <v>395</v>
      </c>
      <c r="D9" s="1" t="s">
        <v>395</v>
      </c>
      <c r="E9" s="1" t="s">
        <v>395</v>
      </c>
      <c r="F9" s="1" t="s">
        <v>395</v>
      </c>
      <c r="G9" s="1" t="s">
        <v>395</v>
      </c>
      <c r="H9" s="1" t="s">
        <v>395</v>
      </c>
      <c r="I9" s="1"/>
      <c r="J9" s="1" t="s">
        <v>395</v>
      </c>
      <c r="K9" s="1" t="s">
        <v>395</v>
      </c>
      <c r="L9" s="1" t="s">
        <v>395</v>
      </c>
      <c r="M9" s="1" t="s">
        <v>395</v>
      </c>
      <c r="N9" s="1" t="s">
        <v>395</v>
      </c>
      <c r="O9" s="1" t="s">
        <v>395</v>
      </c>
      <c r="P9" s="1" t="s">
        <v>395</v>
      </c>
      <c r="Q9" s="1" t="s">
        <v>946</v>
      </c>
      <c r="R9" s="1" t="s">
        <v>943</v>
      </c>
      <c r="S9" s="1" t="s">
        <v>943</v>
      </c>
      <c r="T9" s="1" t="s">
        <v>395</v>
      </c>
      <c r="U9" s="1" t="s">
        <v>395</v>
      </c>
      <c r="V9" s="1" t="s">
        <v>948</v>
      </c>
      <c r="W9" s="1" t="s">
        <v>948</v>
      </c>
      <c r="X9" s="1" t="s">
        <v>395</v>
      </c>
      <c r="Y9" s="1" t="s">
        <v>395</v>
      </c>
      <c r="Z9" s="1" t="s">
        <v>948</v>
      </c>
      <c r="AA9" s="1" t="s">
        <v>395</v>
      </c>
      <c r="AB9" s="1" t="s">
        <v>943</v>
      </c>
      <c r="AC9" s="1" t="s">
        <v>395</v>
      </c>
      <c r="AD9" s="1" t="s">
        <v>395</v>
      </c>
      <c r="AE9" s="1" t="s">
        <v>395</v>
      </c>
      <c r="AF9" s="1" t="s">
        <v>395</v>
      </c>
      <c r="AG9" s="1" t="s">
        <v>395</v>
      </c>
      <c r="AH9" s="1" t="s">
        <v>957</v>
      </c>
      <c r="AI9" s="502">
        <v>43056.2297915741</v>
      </c>
    </row>
    <row r="10" spans="1:35">
      <c r="A10" s="1" t="s">
        <v>328</v>
      </c>
      <c r="B10" s="275" t="s">
        <v>845</v>
      </c>
      <c r="C10" s="1" t="s">
        <v>395</v>
      </c>
      <c r="D10" s="1" t="s">
        <v>395</v>
      </c>
      <c r="E10" s="1" t="s">
        <v>395</v>
      </c>
      <c r="F10" s="1" t="s">
        <v>395</v>
      </c>
      <c r="G10" s="1" t="s">
        <v>395</v>
      </c>
      <c r="H10" s="1" t="s">
        <v>395</v>
      </c>
      <c r="I10" s="1"/>
      <c r="J10" s="1" t="s">
        <v>395</v>
      </c>
      <c r="K10" s="1" t="s">
        <v>395</v>
      </c>
      <c r="L10" s="1" t="s">
        <v>395</v>
      </c>
      <c r="M10" s="1" t="s">
        <v>395</v>
      </c>
      <c r="N10" s="1" t="s">
        <v>395</v>
      </c>
      <c r="O10" s="1" t="s">
        <v>395</v>
      </c>
      <c r="P10" s="1" t="s">
        <v>395</v>
      </c>
      <c r="Q10" s="1" t="s">
        <v>395</v>
      </c>
      <c r="R10" s="1" t="s">
        <v>395</v>
      </c>
      <c r="S10" s="1" t="s">
        <v>395</v>
      </c>
      <c r="T10" s="1" t="s">
        <v>395</v>
      </c>
      <c r="U10" s="1" t="s">
        <v>395</v>
      </c>
      <c r="V10" s="1" t="s">
        <v>395</v>
      </c>
      <c r="W10" s="1" t="s">
        <v>395</v>
      </c>
      <c r="X10" s="1" t="s">
        <v>395</v>
      </c>
      <c r="Y10" s="1" t="s">
        <v>395</v>
      </c>
      <c r="Z10" s="1" t="s">
        <v>395</v>
      </c>
      <c r="AA10" s="1" t="s">
        <v>395</v>
      </c>
      <c r="AB10" s="1" t="s">
        <v>395</v>
      </c>
      <c r="AC10" s="1" t="s">
        <v>395</v>
      </c>
      <c r="AD10" s="1" t="s">
        <v>395</v>
      </c>
      <c r="AE10" s="1" t="s">
        <v>395</v>
      </c>
      <c r="AF10" s="1" t="s">
        <v>395</v>
      </c>
      <c r="AG10" s="1" t="s">
        <v>395</v>
      </c>
      <c r="AH10" s="1" t="s">
        <v>360</v>
      </c>
      <c r="AI10" s="502">
        <v>43056.2297915741</v>
      </c>
    </row>
    <row r="11" spans="1:35">
      <c r="A11" s="1" t="s">
        <v>328</v>
      </c>
      <c r="B11" s="275" t="s">
        <v>847</v>
      </c>
      <c r="C11" s="1" t="s">
        <v>395</v>
      </c>
      <c r="D11" s="1" t="s">
        <v>943</v>
      </c>
      <c r="E11" s="1" t="s">
        <v>943</v>
      </c>
      <c r="F11" s="1" t="s">
        <v>395</v>
      </c>
      <c r="G11" s="1" t="s">
        <v>943</v>
      </c>
      <c r="H11" s="1" t="s">
        <v>929</v>
      </c>
      <c r="I11" s="1"/>
      <c r="J11" s="1" t="s">
        <v>948</v>
      </c>
      <c r="K11" s="1" t="s">
        <v>395</v>
      </c>
      <c r="L11" s="1" t="s">
        <v>395</v>
      </c>
      <c r="M11" s="1" t="s">
        <v>395</v>
      </c>
      <c r="N11" s="1" t="s">
        <v>946</v>
      </c>
      <c r="O11" s="1" t="s">
        <v>946</v>
      </c>
      <c r="P11" s="1" t="s">
        <v>395</v>
      </c>
      <c r="Q11" s="1" t="s">
        <v>946</v>
      </c>
      <c r="R11" s="1" t="s">
        <v>943</v>
      </c>
      <c r="S11" s="1" t="s">
        <v>395</v>
      </c>
      <c r="T11" s="1" t="s">
        <v>395</v>
      </c>
      <c r="U11" s="1" t="s">
        <v>395</v>
      </c>
      <c r="V11" s="1" t="s">
        <v>943</v>
      </c>
      <c r="W11" s="1" t="s">
        <v>946</v>
      </c>
      <c r="X11" s="1" t="s">
        <v>943</v>
      </c>
      <c r="Y11" s="1" t="s">
        <v>395</v>
      </c>
      <c r="Z11" s="1" t="s">
        <v>395</v>
      </c>
      <c r="AA11" s="1" t="s">
        <v>395</v>
      </c>
      <c r="AB11" s="1" t="s">
        <v>395</v>
      </c>
      <c r="AC11" s="1" t="s">
        <v>943</v>
      </c>
      <c r="AD11" s="1" t="s">
        <v>395</v>
      </c>
      <c r="AE11" s="1" t="s">
        <v>943</v>
      </c>
      <c r="AF11" s="1" t="s">
        <v>395</v>
      </c>
      <c r="AG11" s="1" t="s">
        <v>395</v>
      </c>
      <c r="AH11" s="1" t="s">
        <v>958</v>
      </c>
      <c r="AI11" s="502">
        <v>43056.2297915741</v>
      </c>
    </row>
    <row r="12" spans="1:35">
      <c r="A12" s="1" t="s">
        <v>328</v>
      </c>
      <c r="B12" s="275" t="s">
        <v>853</v>
      </c>
      <c r="C12" s="1" t="s">
        <v>395</v>
      </c>
      <c r="D12" s="1" t="s">
        <v>947</v>
      </c>
      <c r="E12" s="1" t="s">
        <v>947</v>
      </c>
      <c r="F12" s="1" t="s">
        <v>395</v>
      </c>
      <c r="G12" s="1" t="s">
        <v>947</v>
      </c>
      <c r="H12" s="1" t="s">
        <v>930</v>
      </c>
      <c r="I12" s="1"/>
      <c r="J12" s="1" t="s">
        <v>959</v>
      </c>
      <c r="K12" s="1" t="s">
        <v>935</v>
      </c>
      <c r="L12" s="1" t="s">
        <v>930</v>
      </c>
      <c r="M12" s="1" t="s">
        <v>395</v>
      </c>
      <c r="N12" s="1" t="s">
        <v>425</v>
      </c>
      <c r="O12" s="1" t="s">
        <v>939</v>
      </c>
      <c r="P12" s="1" t="s">
        <v>947</v>
      </c>
      <c r="Q12" s="1" t="s">
        <v>959</v>
      </c>
      <c r="R12" s="1" t="s">
        <v>944</v>
      </c>
      <c r="S12" s="1" t="s">
        <v>939</v>
      </c>
      <c r="T12" s="1" t="s">
        <v>395</v>
      </c>
      <c r="U12" s="1" t="s">
        <v>960</v>
      </c>
      <c r="V12" s="1" t="s">
        <v>944</v>
      </c>
      <c r="W12" s="1" t="s">
        <v>948</v>
      </c>
      <c r="X12" s="1" t="s">
        <v>961</v>
      </c>
      <c r="Y12" s="1" t="s">
        <v>960</v>
      </c>
      <c r="Z12" s="1" t="s">
        <v>931</v>
      </c>
      <c r="AA12" s="1" t="s">
        <v>395</v>
      </c>
      <c r="AB12" s="1" t="s">
        <v>953</v>
      </c>
      <c r="AC12" s="1" t="s">
        <v>959</v>
      </c>
      <c r="AD12" s="1" t="s">
        <v>931</v>
      </c>
      <c r="AE12" s="1" t="s">
        <v>931</v>
      </c>
      <c r="AF12" s="1" t="s">
        <v>395</v>
      </c>
      <c r="AG12" s="1" t="s">
        <v>395</v>
      </c>
      <c r="AH12" s="1" t="s">
        <v>962</v>
      </c>
      <c r="AI12" s="502">
        <v>43056.2297915741</v>
      </c>
    </row>
    <row r="13" spans="1:35">
      <c r="A13" s="1" t="s">
        <v>328</v>
      </c>
      <c r="B13" s="275" t="s">
        <v>859</v>
      </c>
      <c r="C13" s="1" t="s">
        <v>395</v>
      </c>
      <c r="D13" s="1" t="s">
        <v>946</v>
      </c>
      <c r="E13" s="1" t="s">
        <v>944</v>
      </c>
      <c r="F13" s="1" t="s">
        <v>395</v>
      </c>
      <c r="G13" s="1" t="s">
        <v>947</v>
      </c>
      <c r="H13" s="1" t="s">
        <v>947</v>
      </c>
      <c r="I13" s="1"/>
      <c r="J13" s="1" t="s">
        <v>946</v>
      </c>
      <c r="K13" s="1" t="s">
        <v>943</v>
      </c>
      <c r="L13" s="1" t="s">
        <v>943</v>
      </c>
      <c r="M13" s="1" t="s">
        <v>395</v>
      </c>
      <c r="N13" s="1" t="s">
        <v>943</v>
      </c>
      <c r="O13" s="1" t="s">
        <v>948</v>
      </c>
      <c r="P13" s="1" t="s">
        <v>943</v>
      </c>
      <c r="Q13" s="1" t="s">
        <v>948</v>
      </c>
      <c r="R13" s="1" t="s">
        <v>943</v>
      </c>
      <c r="S13" s="1" t="s">
        <v>947</v>
      </c>
      <c r="T13" s="1" t="s">
        <v>395</v>
      </c>
      <c r="U13" s="1" t="s">
        <v>939</v>
      </c>
      <c r="V13" s="1" t="s">
        <v>944</v>
      </c>
      <c r="W13" s="1" t="s">
        <v>944</v>
      </c>
      <c r="X13" s="1" t="s">
        <v>947</v>
      </c>
      <c r="Y13" s="1" t="s">
        <v>395</v>
      </c>
      <c r="Z13" s="1" t="s">
        <v>395</v>
      </c>
      <c r="AA13" s="1" t="s">
        <v>395</v>
      </c>
      <c r="AB13" s="1" t="s">
        <v>944</v>
      </c>
      <c r="AC13" s="1" t="s">
        <v>944</v>
      </c>
      <c r="AD13" s="1" t="s">
        <v>944</v>
      </c>
      <c r="AE13" s="1" t="s">
        <v>395</v>
      </c>
      <c r="AF13" s="1" t="s">
        <v>395</v>
      </c>
      <c r="AG13" s="1" t="s">
        <v>395</v>
      </c>
      <c r="AH13" s="1" t="s">
        <v>963</v>
      </c>
      <c r="AI13" s="502">
        <v>43056.2297915741</v>
      </c>
    </row>
    <row r="14" spans="1:35">
      <c r="A14" s="1" t="s">
        <v>328</v>
      </c>
      <c r="B14" s="275" t="s">
        <v>868</v>
      </c>
      <c r="C14" s="1" t="s">
        <v>395</v>
      </c>
      <c r="D14" s="1" t="s">
        <v>395</v>
      </c>
      <c r="E14" s="1" t="s">
        <v>395</v>
      </c>
      <c r="F14" s="1" t="s">
        <v>395</v>
      </c>
      <c r="G14" s="1" t="s">
        <v>395</v>
      </c>
      <c r="H14" s="1" t="s">
        <v>395</v>
      </c>
      <c r="I14" s="1"/>
      <c r="J14" s="1" t="s">
        <v>395</v>
      </c>
      <c r="K14" s="1" t="s">
        <v>395</v>
      </c>
      <c r="L14" s="1" t="s">
        <v>395</v>
      </c>
      <c r="M14" s="1" t="s">
        <v>395</v>
      </c>
      <c r="N14" s="1" t="s">
        <v>395</v>
      </c>
      <c r="O14" s="1" t="s">
        <v>395</v>
      </c>
      <c r="P14" s="1" t="s">
        <v>395</v>
      </c>
      <c r="Q14" s="1" t="s">
        <v>395</v>
      </c>
      <c r="R14" s="1" t="s">
        <v>395</v>
      </c>
      <c r="S14" s="1" t="s">
        <v>395</v>
      </c>
      <c r="T14" s="1" t="s">
        <v>395</v>
      </c>
      <c r="U14" s="1" t="s">
        <v>395</v>
      </c>
      <c r="V14" s="1" t="s">
        <v>395</v>
      </c>
      <c r="W14" s="1" t="s">
        <v>395</v>
      </c>
      <c r="X14" s="1" t="s">
        <v>395</v>
      </c>
      <c r="Y14" s="1" t="s">
        <v>395</v>
      </c>
      <c r="Z14" s="1" t="s">
        <v>395</v>
      </c>
      <c r="AA14" s="1" t="s">
        <v>395</v>
      </c>
      <c r="AB14" s="1" t="s">
        <v>395</v>
      </c>
      <c r="AC14" s="1" t="s">
        <v>395</v>
      </c>
      <c r="AD14" s="1" t="s">
        <v>395</v>
      </c>
      <c r="AE14" s="1" t="s">
        <v>395</v>
      </c>
      <c r="AF14" s="1" t="s">
        <v>395</v>
      </c>
      <c r="AG14" s="1" t="s">
        <v>395</v>
      </c>
      <c r="AH14" s="1" t="s">
        <v>782</v>
      </c>
      <c r="AI14" s="502">
        <v>43056.2297915741</v>
      </c>
    </row>
    <row r="15" spans="1:35">
      <c r="A15" s="1" t="s">
        <v>328</v>
      </c>
      <c r="B15" s="275" t="s">
        <v>896</v>
      </c>
      <c r="C15" s="1" t="s">
        <v>395</v>
      </c>
      <c r="D15" s="1" t="s">
        <v>395</v>
      </c>
      <c r="E15" s="1" t="s">
        <v>395</v>
      </c>
      <c r="F15" s="1" t="s">
        <v>395</v>
      </c>
      <c r="G15" s="1" t="s">
        <v>395</v>
      </c>
      <c r="H15" s="1" t="s">
        <v>395</v>
      </c>
      <c r="I15" s="1"/>
      <c r="J15" s="1" t="s">
        <v>395</v>
      </c>
      <c r="K15" s="1" t="s">
        <v>395</v>
      </c>
      <c r="L15" s="1" t="s">
        <v>395</v>
      </c>
      <c r="M15" s="1" t="s">
        <v>395</v>
      </c>
      <c r="N15" s="1" t="s">
        <v>395</v>
      </c>
      <c r="O15" s="1" t="s">
        <v>395</v>
      </c>
      <c r="P15" s="1" t="s">
        <v>395</v>
      </c>
      <c r="Q15" s="1" t="s">
        <v>395</v>
      </c>
      <c r="R15" s="1" t="s">
        <v>395</v>
      </c>
      <c r="S15" s="1" t="s">
        <v>395</v>
      </c>
      <c r="T15" s="1" t="s">
        <v>395</v>
      </c>
      <c r="U15" s="1" t="s">
        <v>395</v>
      </c>
      <c r="V15" s="1" t="s">
        <v>395</v>
      </c>
      <c r="W15" s="1" t="s">
        <v>395</v>
      </c>
      <c r="X15" s="1" t="s">
        <v>395</v>
      </c>
      <c r="Y15" s="1" t="s">
        <v>395</v>
      </c>
      <c r="Z15" s="1" t="s">
        <v>395</v>
      </c>
      <c r="AA15" s="1" t="s">
        <v>395</v>
      </c>
      <c r="AB15" s="1" t="s">
        <v>395</v>
      </c>
      <c r="AC15" s="1" t="s">
        <v>395</v>
      </c>
      <c r="AD15" s="1" t="s">
        <v>395</v>
      </c>
      <c r="AE15" s="1" t="s">
        <v>395</v>
      </c>
      <c r="AF15" s="1" t="s">
        <v>395</v>
      </c>
      <c r="AG15" s="1" t="s">
        <v>395</v>
      </c>
      <c r="AH15" s="1" t="s">
        <v>782</v>
      </c>
      <c r="AI15" s="502">
        <v>43056.2297915741</v>
      </c>
    </row>
    <row r="16" spans="1:35">
      <c r="A16" s="1" t="s">
        <v>328</v>
      </c>
      <c r="B16" s="275" t="s">
        <v>897</v>
      </c>
      <c r="C16" s="1" t="s">
        <v>395</v>
      </c>
      <c r="D16" s="1" t="s">
        <v>395</v>
      </c>
      <c r="E16" s="1" t="s">
        <v>395</v>
      </c>
      <c r="F16" s="1" t="s">
        <v>395</v>
      </c>
      <c r="G16" s="1" t="s">
        <v>395</v>
      </c>
      <c r="H16" s="1" t="s">
        <v>395</v>
      </c>
      <c r="I16" s="1"/>
      <c r="J16" s="1" t="s">
        <v>395</v>
      </c>
      <c r="K16" s="1" t="s">
        <v>395</v>
      </c>
      <c r="L16" s="1" t="s">
        <v>395</v>
      </c>
      <c r="M16" s="1" t="s">
        <v>395</v>
      </c>
      <c r="N16" s="1" t="s">
        <v>395</v>
      </c>
      <c r="O16" s="1" t="s">
        <v>395</v>
      </c>
      <c r="P16" s="1" t="s">
        <v>395</v>
      </c>
      <c r="Q16" s="1" t="s">
        <v>395</v>
      </c>
      <c r="R16" s="1" t="s">
        <v>395</v>
      </c>
      <c r="S16" s="1" t="s">
        <v>395</v>
      </c>
      <c r="T16" s="1" t="s">
        <v>395</v>
      </c>
      <c r="U16" s="1" t="s">
        <v>395</v>
      </c>
      <c r="V16" s="1" t="s">
        <v>395</v>
      </c>
      <c r="W16" s="1" t="s">
        <v>395</v>
      </c>
      <c r="X16" s="1" t="s">
        <v>395</v>
      </c>
      <c r="Y16" s="1" t="s">
        <v>395</v>
      </c>
      <c r="Z16" s="1" t="s">
        <v>395</v>
      </c>
      <c r="AA16" s="1" t="s">
        <v>395</v>
      </c>
      <c r="AB16" s="1" t="s">
        <v>395</v>
      </c>
      <c r="AC16" s="1" t="s">
        <v>395</v>
      </c>
      <c r="AD16" s="1" t="s">
        <v>395</v>
      </c>
      <c r="AE16" s="1" t="s">
        <v>395</v>
      </c>
      <c r="AF16" s="1" t="s">
        <v>395</v>
      </c>
      <c r="AG16" s="1" t="s">
        <v>395</v>
      </c>
      <c r="AH16" s="1" t="s">
        <v>782</v>
      </c>
      <c r="AI16" s="502">
        <v>43056.2297915741</v>
      </c>
    </row>
    <row r="17" spans="1:35">
      <c r="A17" s="1" t="s">
        <v>328</v>
      </c>
      <c r="B17" s="275" t="s">
        <v>898</v>
      </c>
      <c r="C17" s="1" t="s">
        <v>395</v>
      </c>
      <c r="D17" s="1" t="s">
        <v>395</v>
      </c>
      <c r="E17" s="1" t="s">
        <v>395</v>
      </c>
      <c r="F17" s="1" t="s">
        <v>395</v>
      </c>
      <c r="G17" s="1" t="s">
        <v>395</v>
      </c>
      <c r="H17" s="1" t="s">
        <v>395</v>
      </c>
      <c r="I17" s="1"/>
      <c r="J17" s="1" t="s">
        <v>395</v>
      </c>
      <c r="K17" s="1" t="s">
        <v>395</v>
      </c>
      <c r="L17" s="1" t="s">
        <v>395</v>
      </c>
      <c r="M17" s="1" t="s">
        <v>395</v>
      </c>
      <c r="N17" s="1" t="s">
        <v>395</v>
      </c>
      <c r="O17" s="1" t="s">
        <v>395</v>
      </c>
      <c r="P17" s="1" t="s">
        <v>395</v>
      </c>
      <c r="Q17" s="1" t="s">
        <v>395</v>
      </c>
      <c r="R17" s="1" t="s">
        <v>395</v>
      </c>
      <c r="S17" s="1" t="s">
        <v>395</v>
      </c>
      <c r="T17" s="1" t="s">
        <v>395</v>
      </c>
      <c r="U17" s="1" t="s">
        <v>395</v>
      </c>
      <c r="V17" s="1" t="s">
        <v>395</v>
      </c>
      <c r="W17" s="1" t="s">
        <v>395</v>
      </c>
      <c r="X17" s="1" t="s">
        <v>395</v>
      </c>
      <c r="Y17" s="1" t="s">
        <v>395</v>
      </c>
      <c r="Z17" s="1" t="s">
        <v>395</v>
      </c>
      <c r="AA17" s="1" t="s">
        <v>395</v>
      </c>
      <c r="AB17" s="1" t="s">
        <v>395</v>
      </c>
      <c r="AC17" s="1" t="s">
        <v>395</v>
      </c>
      <c r="AD17" s="1" t="s">
        <v>395</v>
      </c>
      <c r="AE17" s="1" t="s">
        <v>395</v>
      </c>
      <c r="AF17" s="1" t="s">
        <v>395</v>
      </c>
      <c r="AG17" s="1" t="s">
        <v>395</v>
      </c>
      <c r="AH17" s="1" t="s">
        <v>782</v>
      </c>
      <c r="AI17" s="502">
        <v>43056.2297915741</v>
      </c>
    </row>
    <row r="18" spans="1:35">
      <c r="A18" s="1" t="s">
        <v>328</v>
      </c>
      <c r="B18" s="275" t="s">
        <v>899</v>
      </c>
      <c r="C18" s="1" t="s">
        <v>395</v>
      </c>
      <c r="D18" s="1" t="s">
        <v>395</v>
      </c>
      <c r="E18" s="1" t="s">
        <v>395</v>
      </c>
      <c r="F18" s="1" t="s">
        <v>395</v>
      </c>
      <c r="G18" s="1" t="s">
        <v>395</v>
      </c>
      <c r="H18" s="1" t="s">
        <v>395</v>
      </c>
      <c r="I18" s="1"/>
      <c r="J18" s="1" t="s">
        <v>395</v>
      </c>
      <c r="K18" s="1" t="s">
        <v>395</v>
      </c>
      <c r="L18" s="1" t="s">
        <v>395</v>
      </c>
      <c r="M18" s="1" t="s">
        <v>395</v>
      </c>
      <c r="N18" s="1" t="s">
        <v>395</v>
      </c>
      <c r="O18" s="1" t="s">
        <v>395</v>
      </c>
      <c r="P18" s="1" t="s">
        <v>395</v>
      </c>
      <c r="Q18" s="1" t="s">
        <v>395</v>
      </c>
      <c r="R18" s="1" t="s">
        <v>395</v>
      </c>
      <c r="S18" s="1" t="s">
        <v>395</v>
      </c>
      <c r="T18" s="1" t="s">
        <v>395</v>
      </c>
      <c r="U18" s="1" t="s">
        <v>395</v>
      </c>
      <c r="V18" s="1" t="s">
        <v>395</v>
      </c>
      <c r="W18" s="1" t="s">
        <v>395</v>
      </c>
      <c r="X18" s="1" t="s">
        <v>395</v>
      </c>
      <c r="Y18" s="1" t="s">
        <v>395</v>
      </c>
      <c r="Z18" s="1" t="s">
        <v>395</v>
      </c>
      <c r="AA18" s="1" t="s">
        <v>395</v>
      </c>
      <c r="AB18" s="1" t="s">
        <v>395</v>
      </c>
      <c r="AC18" s="1" t="s">
        <v>395</v>
      </c>
      <c r="AD18" s="1" t="s">
        <v>395</v>
      </c>
      <c r="AE18" s="1" t="s">
        <v>395</v>
      </c>
      <c r="AF18" s="1" t="s">
        <v>395</v>
      </c>
      <c r="AG18" s="1" t="s">
        <v>395</v>
      </c>
      <c r="AH18" s="1" t="s">
        <v>782</v>
      </c>
      <c r="AI18" s="502">
        <v>43056.2297915741</v>
      </c>
    </row>
    <row r="19" spans="1:35">
      <c r="A19" s="1" t="s">
        <v>328</v>
      </c>
      <c r="B19" s="275" t="s">
        <v>900</v>
      </c>
      <c r="C19" s="1" t="s">
        <v>395</v>
      </c>
      <c r="D19" s="1" t="s">
        <v>395</v>
      </c>
      <c r="E19" s="1" t="s">
        <v>395</v>
      </c>
      <c r="F19" s="1" t="s">
        <v>395</v>
      </c>
      <c r="G19" s="1" t="s">
        <v>395</v>
      </c>
      <c r="H19" s="1" t="s">
        <v>395</v>
      </c>
      <c r="I19" s="1"/>
      <c r="J19" s="1" t="s">
        <v>395</v>
      </c>
      <c r="K19" s="1" t="s">
        <v>395</v>
      </c>
      <c r="L19" s="1" t="s">
        <v>395</v>
      </c>
      <c r="M19" s="1" t="s">
        <v>395</v>
      </c>
      <c r="N19" s="1" t="s">
        <v>395</v>
      </c>
      <c r="O19" s="1" t="s">
        <v>395</v>
      </c>
      <c r="P19" s="1" t="s">
        <v>395</v>
      </c>
      <c r="Q19" s="1" t="s">
        <v>395</v>
      </c>
      <c r="R19" s="1" t="s">
        <v>395</v>
      </c>
      <c r="S19" s="1" t="s">
        <v>395</v>
      </c>
      <c r="T19" s="1" t="s">
        <v>395</v>
      </c>
      <c r="U19" s="1" t="s">
        <v>395</v>
      </c>
      <c r="V19" s="1" t="s">
        <v>395</v>
      </c>
      <c r="W19" s="1" t="s">
        <v>395</v>
      </c>
      <c r="X19" s="1" t="s">
        <v>395</v>
      </c>
      <c r="Y19" s="1" t="s">
        <v>395</v>
      </c>
      <c r="Z19" s="1" t="s">
        <v>395</v>
      </c>
      <c r="AA19" s="1" t="s">
        <v>395</v>
      </c>
      <c r="AB19" s="1" t="s">
        <v>395</v>
      </c>
      <c r="AC19" s="1" t="s">
        <v>395</v>
      </c>
      <c r="AD19" s="1" t="s">
        <v>395</v>
      </c>
      <c r="AE19" s="1" t="s">
        <v>395</v>
      </c>
      <c r="AF19" s="1" t="s">
        <v>395</v>
      </c>
      <c r="AG19" s="1" t="s">
        <v>395</v>
      </c>
      <c r="AH19" s="1" t="s">
        <v>782</v>
      </c>
      <c r="AI19" s="502">
        <v>43056.2297915741</v>
      </c>
    </row>
    <row r="20" spans="1:35">
      <c r="A20" s="503" t="s">
        <v>328</v>
      </c>
      <c r="B20" s="275" t="s">
        <v>901</v>
      </c>
      <c r="C20" s="503" t="s">
        <v>395</v>
      </c>
      <c r="D20" s="503" t="s">
        <v>934</v>
      </c>
      <c r="E20" s="503" t="s">
        <v>927</v>
      </c>
      <c r="F20" s="503" t="s">
        <v>395</v>
      </c>
      <c r="G20" s="503" t="s">
        <v>954</v>
      </c>
      <c r="H20" s="503" t="s">
        <v>955</v>
      </c>
      <c r="I20" s="503"/>
      <c r="J20" s="503" t="s">
        <v>425</v>
      </c>
      <c r="K20" s="503" t="s">
        <v>964</v>
      </c>
      <c r="L20" s="503" t="s">
        <v>927</v>
      </c>
      <c r="M20" s="503" t="s">
        <v>395</v>
      </c>
      <c r="N20" s="503" t="s">
        <v>961</v>
      </c>
      <c r="O20" s="503" t="s">
        <v>928</v>
      </c>
      <c r="P20" s="503" t="s">
        <v>965</v>
      </c>
      <c r="Q20" s="503" t="s">
        <v>929</v>
      </c>
      <c r="R20" s="503" t="s">
        <v>961</v>
      </c>
      <c r="S20" s="503" t="s">
        <v>934</v>
      </c>
      <c r="T20" s="503" t="s">
        <v>395</v>
      </c>
      <c r="U20" s="503" t="s">
        <v>966</v>
      </c>
      <c r="V20" s="503" t="s">
        <v>955</v>
      </c>
      <c r="W20" s="503" t="s">
        <v>966</v>
      </c>
      <c r="X20" s="503" t="s">
        <v>934</v>
      </c>
      <c r="Y20" s="503" t="s">
        <v>967</v>
      </c>
      <c r="Z20" s="503" t="s">
        <v>968</v>
      </c>
      <c r="AA20" s="503" t="s">
        <v>395</v>
      </c>
      <c r="AB20" s="503" t="s">
        <v>936</v>
      </c>
      <c r="AC20" s="503" t="s">
        <v>969</v>
      </c>
      <c r="AD20" s="503" t="s">
        <v>953</v>
      </c>
      <c r="AE20" s="503" t="s">
        <v>938</v>
      </c>
      <c r="AF20" s="503" t="s">
        <v>395</v>
      </c>
      <c r="AG20" s="503" t="s">
        <v>395</v>
      </c>
      <c r="AH20" s="503" t="s">
        <v>970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886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363</v>
      </c>
    </row>
    <row r="2" spans="1:35">
      <c r="A2" s="1" t="s">
        <v>328</v>
      </c>
      <c r="B2" s="1" t="s">
        <v>236</v>
      </c>
      <c r="C2" s="1" t="s">
        <v>971</v>
      </c>
      <c r="D2" s="1" t="s">
        <v>972</v>
      </c>
      <c r="E2" s="1" t="s">
        <v>973</v>
      </c>
      <c r="F2" s="1" t="s">
        <v>974</v>
      </c>
      <c r="G2" s="1" t="s">
        <v>975</v>
      </c>
      <c r="H2" s="1" t="s">
        <v>976</v>
      </c>
      <c r="I2" s="1" t="s">
        <v>977</v>
      </c>
      <c r="J2" s="1" t="s">
        <v>978</v>
      </c>
      <c r="K2" s="1" t="s">
        <v>979</v>
      </c>
      <c r="L2" s="1" t="s">
        <v>980</v>
      </c>
      <c r="M2" s="1" t="s">
        <v>981</v>
      </c>
      <c r="N2" s="1" t="s">
        <v>982</v>
      </c>
      <c r="O2" s="1" t="s">
        <v>983</v>
      </c>
      <c r="P2" s="1" t="s">
        <v>984</v>
      </c>
      <c r="Q2" s="1" t="s">
        <v>985</v>
      </c>
      <c r="R2" s="1" t="s">
        <v>986</v>
      </c>
      <c r="S2" s="1" t="s">
        <v>987</v>
      </c>
      <c r="T2" s="1" t="s">
        <v>988</v>
      </c>
      <c r="U2" s="1" t="s">
        <v>989</v>
      </c>
      <c r="V2" s="1" t="s">
        <v>990</v>
      </c>
      <c r="W2" s="1" t="s">
        <v>991</v>
      </c>
      <c r="X2" s="1" t="s">
        <v>992</v>
      </c>
      <c r="Y2" s="1" t="s">
        <v>993</v>
      </c>
      <c r="Z2" s="1" t="s">
        <v>994</v>
      </c>
      <c r="AA2" s="1" t="s">
        <v>995</v>
      </c>
      <c r="AB2" s="1" t="s">
        <v>996</v>
      </c>
      <c r="AC2" s="1" t="s">
        <v>997</v>
      </c>
      <c r="AD2" s="1" t="s">
        <v>998</v>
      </c>
      <c r="AE2" s="1" t="s">
        <v>999</v>
      </c>
      <c r="AF2" s="1" t="s">
        <v>1000</v>
      </c>
      <c r="AG2" s="1" t="s">
        <v>1000</v>
      </c>
      <c r="AH2" s="1" t="s">
        <v>1001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1002</v>
      </c>
      <c r="D3" s="1" t="s">
        <v>1003</v>
      </c>
      <c r="E3" s="1" t="s">
        <v>1004</v>
      </c>
      <c r="F3" s="1" t="s">
        <v>1005</v>
      </c>
      <c r="G3" s="1" t="s">
        <v>1006</v>
      </c>
      <c r="H3" s="1" t="s">
        <v>1007</v>
      </c>
      <c r="I3" s="1" t="s">
        <v>1008</v>
      </c>
      <c r="J3" s="1" t="s">
        <v>1009</v>
      </c>
      <c r="K3" s="1" t="s">
        <v>1010</v>
      </c>
      <c r="L3" s="1" t="s">
        <v>1011</v>
      </c>
      <c r="M3" s="1" t="s">
        <v>1011</v>
      </c>
      <c r="N3" s="1" t="s">
        <v>1012</v>
      </c>
      <c r="O3" s="1" t="s">
        <v>1013</v>
      </c>
      <c r="P3" s="1" t="s">
        <v>1014</v>
      </c>
      <c r="Q3" s="1" t="s">
        <v>1015</v>
      </c>
      <c r="R3" s="1" t="s">
        <v>1016</v>
      </c>
      <c r="S3" s="1" t="s">
        <v>1017</v>
      </c>
      <c r="T3" s="1" t="s">
        <v>1018</v>
      </c>
      <c r="U3" s="1" t="s">
        <v>1019</v>
      </c>
      <c r="V3" s="1" t="s">
        <v>1020</v>
      </c>
      <c r="W3" s="1" t="s">
        <v>1021</v>
      </c>
      <c r="X3" s="1" t="s">
        <v>1022</v>
      </c>
      <c r="Y3" s="1" t="s">
        <v>1023</v>
      </c>
      <c r="Z3" s="1" t="s">
        <v>1024</v>
      </c>
      <c r="AA3" s="1" t="s">
        <v>1025</v>
      </c>
      <c r="AB3" s="1" t="s">
        <v>1026</v>
      </c>
      <c r="AC3" s="1" t="s">
        <v>1027</v>
      </c>
      <c r="AD3" s="1" t="s">
        <v>1028</v>
      </c>
      <c r="AE3" s="1" t="s">
        <v>1029</v>
      </c>
      <c r="AF3" s="1" t="s">
        <v>1029</v>
      </c>
      <c r="AG3" s="1" t="s">
        <v>1029</v>
      </c>
      <c r="AH3" s="1" t="s">
        <v>1030</v>
      </c>
      <c r="AI3" s="502">
        <v>43056.229888680602</v>
      </c>
    </row>
    <row r="4" spans="1:35">
      <c r="A4" s="1" t="s">
        <v>328</v>
      </c>
      <c r="B4" s="1" t="s">
        <v>887</v>
      </c>
      <c r="C4" s="1" t="s">
        <v>1031</v>
      </c>
      <c r="D4" s="1" t="s">
        <v>1032</v>
      </c>
      <c r="E4" s="1" t="s">
        <v>1033</v>
      </c>
      <c r="F4" s="1" t="s">
        <v>1033</v>
      </c>
      <c r="G4" s="1" t="s">
        <v>1034</v>
      </c>
      <c r="H4" s="1" t="s">
        <v>1035</v>
      </c>
      <c r="I4" s="1" t="s">
        <v>1036</v>
      </c>
      <c r="J4" s="1" t="s">
        <v>1037</v>
      </c>
      <c r="K4" s="1" t="s">
        <v>1038</v>
      </c>
      <c r="L4" s="1" t="s">
        <v>1039</v>
      </c>
      <c r="M4" s="1" t="s">
        <v>1040</v>
      </c>
      <c r="N4" s="1" t="s">
        <v>1041</v>
      </c>
      <c r="O4" s="1" t="s">
        <v>1042</v>
      </c>
      <c r="P4" s="1" t="s">
        <v>1043</v>
      </c>
      <c r="Q4" s="1" t="s">
        <v>1044</v>
      </c>
      <c r="R4" s="1" t="s">
        <v>1045</v>
      </c>
      <c r="S4" s="1" t="s">
        <v>1046</v>
      </c>
      <c r="T4" s="1" t="s">
        <v>1047</v>
      </c>
      <c r="U4" s="1" t="s">
        <v>1048</v>
      </c>
      <c r="V4" s="1" t="s">
        <v>1049</v>
      </c>
      <c r="W4" s="1" t="s">
        <v>1050</v>
      </c>
      <c r="X4" s="1" t="s">
        <v>1051</v>
      </c>
      <c r="Y4" s="1" t="s">
        <v>1052</v>
      </c>
      <c r="Z4" s="1" t="s">
        <v>1053</v>
      </c>
      <c r="AA4" s="306" t="s">
        <v>1053</v>
      </c>
      <c r="AB4" s="1" t="s">
        <v>1054</v>
      </c>
      <c r="AC4" s="1" t="s">
        <v>1055</v>
      </c>
      <c r="AD4" s="1" t="s">
        <v>1056</v>
      </c>
      <c r="AE4" s="1" t="s">
        <v>1057</v>
      </c>
      <c r="AF4" s="1" t="s">
        <v>1057</v>
      </c>
      <c r="AG4" s="1" t="s">
        <v>1057</v>
      </c>
      <c r="AH4" s="1" t="s">
        <v>1058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886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363</v>
      </c>
    </row>
    <row r="2" spans="1:36">
      <c r="A2" s="1" t="s">
        <v>328</v>
      </c>
      <c r="B2" s="1" t="s">
        <v>72</v>
      </c>
      <c r="C2" s="1" t="s">
        <v>236</v>
      </c>
      <c r="D2" s="1" t="s">
        <v>1059</v>
      </c>
      <c r="E2" s="1" t="s">
        <v>1060</v>
      </c>
      <c r="F2" s="1" t="s">
        <v>1061</v>
      </c>
      <c r="G2" s="1" t="s">
        <v>1061</v>
      </c>
      <c r="H2" s="1" t="s">
        <v>1062</v>
      </c>
      <c r="I2" s="1" t="s">
        <v>1063</v>
      </c>
      <c r="J2" s="1" t="s">
        <v>1064</v>
      </c>
      <c r="K2" s="1" t="s">
        <v>1065</v>
      </c>
      <c r="L2" s="1" t="s">
        <v>1066</v>
      </c>
      <c r="M2" s="1" t="s">
        <v>1067</v>
      </c>
      <c r="N2" s="1" t="s">
        <v>1067</v>
      </c>
      <c r="O2" s="1" t="s">
        <v>1068</v>
      </c>
      <c r="P2" s="1" t="s">
        <v>1069</v>
      </c>
      <c r="Q2" s="1" t="s">
        <v>1070</v>
      </c>
      <c r="R2" s="1" t="s">
        <v>1071</v>
      </c>
      <c r="S2" s="1" t="s">
        <v>1072</v>
      </c>
      <c r="T2" s="1" t="s">
        <v>1072</v>
      </c>
      <c r="U2" s="1" t="s">
        <v>1072</v>
      </c>
      <c r="V2" s="1" t="s">
        <v>1073</v>
      </c>
      <c r="W2" s="1" t="s">
        <v>1074</v>
      </c>
      <c r="X2" s="1" t="s">
        <v>1075</v>
      </c>
      <c r="Y2" s="1" t="s">
        <v>1076</v>
      </c>
      <c r="Z2" s="1" t="s">
        <v>1077</v>
      </c>
      <c r="AA2" s="1" t="s">
        <v>1078</v>
      </c>
      <c r="AB2" s="1" t="s">
        <v>1078</v>
      </c>
      <c r="AC2" s="1" t="s">
        <v>1079</v>
      </c>
      <c r="AD2" s="1" t="s">
        <v>1080</v>
      </c>
      <c r="AE2" s="1" t="s">
        <v>1081</v>
      </c>
      <c r="AF2" s="1" t="s">
        <v>1082</v>
      </c>
      <c r="AG2" s="1" t="s">
        <v>1082</v>
      </c>
      <c r="AH2" s="1" t="s">
        <v>1082</v>
      </c>
      <c r="AI2" s="1" t="s">
        <v>1083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1084</v>
      </c>
      <c r="E3" s="1" t="s">
        <v>1085</v>
      </c>
      <c r="F3" s="1" t="s">
        <v>1086</v>
      </c>
      <c r="G3" s="1" t="s">
        <v>1086</v>
      </c>
      <c r="H3" s="1" t="s">
        <v>1087</v>
      </c>
      <c r="I3" s="1" t="s">
        <v>1088</v>
      </c>
      <c r="J3" s="1" t="s">
        <v>1089</v>
      </c>
      <c r="K3" s="1" t="s">
        <v>1090</v>
      </c>
      <c r="L3" s="1" t="s">
        <v>1091</v>
      </c>
      <c r="M3" s="1" t="s">
        <v>1092</v>
      </c>
      <c r="N3" s="1" t="s">
        <v>1092</v>
      </c>
      <c r="O3" s="1" t="s">
        <v>1093</v>
      </c>
      <c r="P3" s="1" t="s">
        <v>1094</v>
      </c>
      <c r="Q3" s="1" t="s">
        <v>1095</v>
      </c>
      <c r="R3" s="1" t="s">
        <v>1096</v>
      </c>
      <c r="S3" s="1" t="s">
        <v>1097</v>
      </c>
      <c r="T3" s="1" t="s">
        <v>1097</v>
      </c>
      <c r="U3" s="1" t="s">
        <v>1097</v>
      </c>
      <c r="V3" s="1" t="s">
        <v>1098</v>
      </c>
      <c r="W3" s="1" t="s">
        <v>1099</v>
      </c>
      <c r="X3" s="1" t="s">
        <v>1100</v>
      </c>
      <c r="Y3" s="1" t="s">
        <v>1101</v>
      </c>
      <c r="Z3" s="1" t="s">
        <v>1102</v>
      </c>
      <c r="AA3" s="1" t="s">
        <v>1103</v>
      </c>
      <c r="AB3" s="1" t="s">
        <v>1103</v>
      </c>
      <c r="AC3" s="1" t="s">
        <v>1104</v>
      </c>
      <c r="AD3" s="1" t="s">
        <v>1105</v>
      </c>
      <c r="AE3" s="1" t="s">
        <v>1106</v>
      </c>
      <c r="AF3" s="1" t="s">
        <v>1107</v>
      </c>
      <c r="AG3" s="1" t="s">
        <v>1107</v>
      </c>
      <c r="AH3" s="1" t="s">
        <v>1107</v>
      </c>
      <c r="AI3" s="1" t="s">
        <v>1108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887</v>
      </c>
      <c r="D4" s="1" t="s">
        <v>1109</v>
      </c>
      <c r="E4" s="1" t="s">
        <v>1110</v>
      </c>
      <c r="F4" s="1" t="s">
        <v>1110</v>
      </c>
      <c r="G4" s="1" t="s">
        <v>1110</v>
      </c>
      <c r="H4" s="1" t="s">
        <v>1111</v>
      </c>
      <c r="I4" s="1" t="s">
        <v>1112</v>
      </c>
      <c r="J4" s="1" t="s">
        <v>1113</v>
      </c>
      <c r="K4" s="1" t="s">
        <v>1114</v>
      </c>
      <c r="L4" s="1" t="s">
        <v>1115</v>
      </c>
      <c r="M4" s="1" t="s">
        <v>1116</v>
      </c>
      <c r="N4" s="1" t="s">
        <v>1116</v>
      </c>
      <c r="O4" s="1" t="s">
        <v>1117</v>
      </c>
      <c r="P4" s="1" t="s">
        <v>1118</v>
      </c>
      <c r="Q4" s="1" t="s">
        <v>1119</v>
      </c>
      <c r="R4" s="1" t="s">
        <v>1120</v>
      </c>
      <c r="S4" s="1" t="s">
        <v>1121</v>
      </c>
      <c r="T4" s="1" t="s">
        <v>1121</v>
      </c>
      <c r="U4" s="1" t="s">
        <v>1121</v>
      </c>
      <c r="V4" s="1" t="s">
        <v>1122</v>
      </c>
      <c r="W4" s="1" t="s">
        <v>1123</v>
      </c>
      <c r="X4" s="1" t="s">
        <v>1124</v>
      </c>
      <c r="Y4" s="1" t="s">
        <v>1125</v>
      </c>
      <c r="Z4" s="1" t="s">
        <v>1126</v>
      </c>
      <c r="AA4" s="1" t="s">
        <v>1126</v>
      </c>
      <c r="AB4" s="1" t="s">
        <v>1126</v>
      </c>
      <c r="AC4" s="1" t="s">
        <v>1127</v>
      </c>
      <c r="AD4" s="1" t="s">
        <v>1128</v>
      </c>
      <c r="AE4" s="1" t="s">
        <v>1129</v>
      </c>
      <c r="AF4" s="1" t="s">
        <v>1130</v>
      </c>
      <c r="AG4" s="1" t="s">
        <v>1130</v>
      </c>
      <c r="AH4" s="1" t="s">
        <v>1130</v>
      </c>
      <c r="AI4" s="1" t="s">
        <v>1131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395</v>
      </c>
      <c r="E5" s="1" t="s">
        <v>395</v>
      </c>
      <c r="F5" s="1" t="s">
        <v>395</v>
      </c>
      <c r="G5" s="1" t="s">
        <v>395</v>
      </c>
      <c r="H5" s="1" t="s">
        <v>395</v>
      </c>
      <c r="I5" s="1" t="s">
        <v>395</v>
      </c>
      <c r="J5" s="1" t="s">
        <v>395</v>
      </c>
      <c r="K5" s="1" t="s">
        <v>395</v>
      </c>
      <c r="L5" s="1" t="s">
        <v>395</v>
      </c>
      <c r="M5" s="1" t="s">
        <v>395</v>
      </c>
      <c r="N5" s="1" t="s">
        <v>395</v>
      </c>
      <c r="O5" s="1" t="s">
        <v>395</v>
      </c>
      <c r="P5" s="1" t="s">
        <v>395</v>
      </c>
      <c r="Q5" s="1" t="s">
        <v>395</v>
      </c>
      <c r="R5" s="1" t="s">
        <v>395</v>
      </c>
      <c r="S5" s="1" t="s">
        <v>395</v>
      </c>
      <c r="T5" s="1" t="s">
        <v>395</v>
      </c>
      <c r="U5" s="1" t="s">
        <v>395</v>
      </c>
      <c r="V5" s="1" t="s">
        <v>395</v>
      </c>
      <c r="W5" s="1" t="s">
        <v>395</v>
      </c>
      <c r="X5" s="1" t="s">
        <v>395</v>
      </c>
      <c r="Y5" s="1" t="s">
        <v>395</v>
      </c>
      <c r="Z5" s="1" t="s">
        <v>395</v>
      </c>
      <c r="AA5" s="1" t="s">
        <v>395</v>
      </c>
      <c r="AB5" s="1" t="s">
        <v>395</v>
      </c>
      <c r="AC5" s="1" t="s">
        <v>395</v>
      </c>
      <c r="AD5" s="1" t="s">
        <v>395</v>
      </c>
      <c r="AE5" s="1" t="s">
        <v>395</v>
      </c>
      <c r="AF5" s="1" t="s">
        <v>395</v>
      </c>
      <c r="AG5" s="1" t="s">
        <v>395</v>
      </c>
      <c r="AH5" s="1" t="s">
        <v>395</v>
      </c>
      <c r="AI5" s="1" t="s">
        <v>395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395</v>
      </c>
      <c r="E6" s="1" t="s">
        <v>395</v>
      </c>
      <c r="F6" s="1" t="s">
        <v>395</v>
      </c>
      <c r="G6" s="1" t="s">
        <v>395</v>
      </c>
      <c r="H6" s="1" t="s">
        <v>395</v>
      </c>
      <c r="I6" s="1" t="s">
        <v>395</v>
      </c>
      <c r="J6" s="1" t="s">
        <v>395</v>
      </c>
      <c r="K6" s="1" t="s">
        <v>395</v>
      </c>
      <c r="L6" s="1" t="s">
        <v>395</v>
      </c>
      <c r="M6" s="1" t="s">
        <v>395</v>
      </c>
      <c r="N6" s="1" t="s">
        <v>395</v>
      </c>
      <c r="O6" s="1" t="s">
        <v>395</v>
      </c>
      <c r="P6" s="1" t="s">
        <v>395</v>
      </c>
      <c r="Q6" s="1" t="s">
        <v>395</v>
      </c>
      <c r="R6" s="1" t="s">
        <v>395</v>
      </c>
      <c r="S6" s="1" t="s">
        <v>395</v>
      </c>
      <c r="T6" s="1" t="s">
        <v>395</v>
      </c>
      <c r="U6" s="1" t="s">
        <v>395</v>
      </c>
      <c r="V6" s="1" t="s">
        <v>395</v>
      </c>
      <c r="W6" s="1" t="s">
        <v>395</v>
      </c>
      <c r="X6" s="1" t="s">
        <v>395</v>
      </c>
      <c r="Y6" s="1" t="s">
        <v>395</v>
      </c>
      <c r="Z6" s="1" t="s">
        <v>395</v>
      </c>
      <c r="AA6" s="1" t="s">
        <v>395</v>
      </c>
      <c r="AB6" s="1" t="s">
        <v>395</v>
      </c>
      <c r="AC6" s="1" t="s">
        <v>395</v>
      </c>
      <c r="AD6" s="1" t="s">
        <v>395</v>
      </c>
      <c r="AE6" s="1" t="s">
        <v>395</v>
      </c>
      <c r="AF6" s="1" t="s">
        <v>395</v>
      </c>
      <c r="AG6" s="1" t="s">
        <v>395</v>
      </c>
      <c r="AH6" s="1" t="s">
        <v>395</v>
      </c>
      <c r="AI6" s="1" t="s">
        <v>395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1132</v>
      </c>
      <c r="E7" s="1" t="s">
        <v>1133</v>
      </c>
      <c r="F7" s="1" t="s">
        <v>1134</v>
      </c>
      <c r="G7" s="1" t="s">
        <v>1134</v>
      </c>
      <c r="H7" s="1" t="s">
        <v>1135</v>
      </c>
      <c r="I7" s="1" t="s">
        <v>1136</v>
      </c>
      <c r="J7" s="1" t="s">
        <v>1137</v>
      </c>
      <c r="K7" s="1" t="s">
        <v>1138</v>
      </c>
      <c r="L7" s="1" t="s">
        <v>1139</v>
      </c>
      <c r="M7" s="1" t="s">
        <v>1140</v>
      </c>
      <c r="N7" s="1" t="s">
        <v>1140</v>
      </c>
      <c r="O7" s="1" t="s">
        <v>1141</v>
      </c>
      <c r="P7" s="1" t="s">
        <v>1142</v>
      </c>
      <c r="Q7" s="1" t="s">
        <v>1143</v>
      </c>
      <c r="R7" s="1" t="s">
        <v>1144</v>
      </c>
      <c r="S7" s="1" t="s">
        <v>1145</v>
      </c>
      <c r="T7" s="1" t="s">
        <v>1146</v>
      </c>
      <c r="U7" s="1" t="s">
        <v>1146</v>
      </c>
      <c r="V7" s="1" t="s">
        <v>1147</v>
      </c>
      <c r="W7" s="1" t="s">
        <v>1148</v>
      </c>
      <c r="X7" s="1" t="s">
        <v>1149</v>
      </c>
      <c r="Y7" s="1" t="s">
        <v>1150</v>
      </c>
      <c r="Z7" s="1" t="s">
        <v>1151</v>
      </c>
      <c r="AA7" s="1" t="s">
        <v>1152</v>
      </c>
      <c r="AB7" s="1" t="s">
        <v>1152</v>
      </c>
      <c r="AC7" s="1" t="s">
        <v>1153</v>
      </c>
      <c r="AD7" s="1" t="s">
        <v>1154</v>
      </c>
      <c r="AE7" s="1" t="s">
        <v>1155</v>
      </c>
      <c r="AF7" s="1" t="s">
        <v>1156</v>
      </c>
      <c r="AG7" s="1" t="s">
        <v>1156</v>
      </c>
      <c r="AH7" s="1" t="s">
        <v>1156</v>
      </c>
      <c r="AI7" s="1" t="s">
        <v>1157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395</v>
      </c>
      <c r="E8" s="1" t="s">
        <v>395</v>
      </c>
      <c r="F8" s="1" t="s">
        <v>395</v>
      </c>
      <c r="G8" s="1" t="s">
        <v>395</v>
      </c>
      <c r="H8" s="1" t="s">
        <v>395</v>
      </c>
      <c r="I8" s="1" t="s">
        <v>395</v>
      </c>
      <c r="J8" s="1" t="s">
        <v>395</v>
      </c>
      <c r="K8" s="1" t="s">
        <v>395</v>
      </c>
      <c r="L8" s="1" t="s">
        <v>395</v>
      </c>
      <c r="M8" s="1" t="s">
        <v>395</v>
      </c>
      <c r="N8" s="1" t="s">
        <v>395</v>
      </c>
      <c r="O8" s="1" t="s">
        <v>395</v>
      </c>
      <c r="P8" s="1" t="s">
        <v>395</v>
      </c>
      <c r="Q8" s="1" t="s">
        <v>395</v>
      </c>
      <c r="R8" s="1" t="s">
        <v>395</v>
      </c>
      <c r="S8" s="1" t="s">
        <v>395</v>
      </c>
      <c r="T8" s="1" t="s">
        <v>395</v>
      </c>
      <c r="U8" s="1" t="s">
        <v>395</v>
      </c>
      <c r="V8" s="1" t="s">
        <v>395</v>
      </c>
      <c r="W8" s="1" t="s">
        <v>395</v>
      </c>
      <c r="X8" s="1" t="s">
        <v>395</v>
      </c>
      <c r="Y8" s="1" t="s">
        <v>395</v>
      </c>
      <c r="Z8" s="1" t="s">
        <v>395</v>
      </c>
      <c r="AA8" s="1" t="s">
        <v>395</v>
      </c>
      <c r="AB8" s="1" t="s">
        <v>395</v>
      </c>
      <c r="AC8" s="1" t="s">
        <v>395</v>
      </c>
      <c r="AD8" s="1" t="s">
        <v>395</v>
      </c>
      <c r="AE8" s="1" t="s">
        <v>395</v>
      </c>
      <c r="AF8" s="1" t="s">
        <v>395</v>
      </c>
      <c r="AG8" s="1" t="s">
        <v>395</v>
      </c>
      <c r="AH8" s="1" t="s">
        <v>395</v>
      </c>
      <c r="AI8" s="1" t="s">
        <v>395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395</v>
      </c>
      <c r="E9" s="1" t="s">
        <v>395</v>
      </c>
      <c r="F9" s="1" t="s">
        <v>395</v>
      </c>
      <c r="G9" s="1" t="s">
        <v>395</v>
      </c>
      <c r="H9" s="1" t="s">
        <v>395</v>
      </c>
      <c r="I9" s="1" t="s">
        <v>395</v>
      </c>
      <c r="J9" s="1" t="s">
        <v>395</v>
      </c>
      <c r="K9" s="1" t="s">
        <v>395</v>
      </c>
      <c r="L9" s="1" t="s">
        <v>395</v>
      </c>
      <c r="M9" s="1" t="s">
        <v>395</v>
      </c>
      <c r="N9" s="1" t="s">
        <v>395</v>
      </c>
      <c r="O9" s="1" t="s">
        <v>395</v>
      </c>
      <c r="P9" s="1" t="s">
        <v>395</v>
      </c>
      <c r="Q9" s="1" t="s">
        <v>395</v>
      </c>
      <c r="R9" s="1" t="s">
        <v>395</v>
      </c>
      <c r="S9" s="1" t="s">
        <v>395</v>
      </c>
      <c r="T9" s="1" t="s">
        <v>395</v>
      </c>
      <c r="U9" s="1" t="s">
        <v>395</v>
      </c>
      <c r="V9" s="1" t="s">
        <v>395</v>
      </c>
      <c r="W9" s="1" t="s">
        <v>395</v>
      </c>
      <c r="X9" s="1" t="s">
        <v>395</v>
      </c>
      <c r="Y9" s="1" t="s">
        <v>395</v>
      </c>
      <c r="Z9" s="1" t="s">
        <v>395</v>
      </c>
      <c r="AA9" s="1" t="s">
        <v>395</v>
      </c>
      <c r="AB9" s="1" t="s">
        <v>395</v>
      </c>
      <c r="AC9" s="1" t="s">
        <v>395</v>
      </c>
      <c r="AD9" s="1" t="s">
        <v>395</v>
      </c>
      <c r="AE9" s="1" t="s">
        <v>395</v>
      </c>
      <c r="AF9" s="1" t="s">
        <v>395</v>
      </c>
      <c r="AG9" s="1" t="s">
        <v>395</v>
      </c>
      <c r="AH9" s="1" t="s">
        <v>395</v>
      </c>
      <c r="AI9" s="1" t="s">
        <v>395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395</v>
      </c>
      <c r="E10" s="1" t="s">
        <v>395</v>
      </c>
      <c r="F10" s="1" t="s">
        <v>395</v>
      </c>
      <c r="G10" s="1" t="s">
        <v>395</v>
      </c>
      <c r="H10" s="1" t="s">
        <v>395</v>
      </c>
      <c r="I10" s="1" t="s">
        <v>395</v>
      </c>
      <c r="J10" s="1" t="s">
        <v>395</v>
      </c>
      <c r="K10" s="1" t="s">
        <v>395</v>
      </c>
      <c r="L10" s="1" t="s">
        <v>395</v>
      </c>
      <c r="M10" s="1" t="s">
        <v>395</v>
      </c>
      <c r="N10" s="1" t="s">
        <v>395</v>
      </c>
      <c r="O10" s="1" t="s">
        <v>395</v>
      </c>
      <c r="P10" s="1" t="s">
        <v>395</v>
      </c>
      <c r="Q10" s="1" t="s">
        <v>395</v>
      </c>
      <c r="R10" s="1" t="s">
        <v>395</v>
      </c>
      <c r="S10" s="1" t="s">
        <v>395</v>
      </c>
      <c r="T10" s="1" t="s">
        <v>395</v>
      </c>
      <c r="U10" s="1" t="s">
        <v>395</v>
      </c>
      <c r="V10" s="1" t="s">
        <v>395</v>
      </c>
      <c r="W10" s="1" t="s">
        <v>395</v>
      </c>
      <c r="X10" s="1" t="s">
        <v>395</v>
      </c>
      <c r="Y10" s="1" t="s">
        <v>395</v>
      </c>
      <c r="Z10" s="1" t="s">
        <v>395</v>
      </c>
      <c r="AA10" s="1" t="s">
        <v>395</v>
      </c>
      <c r="AB10" s="1" t="s">
        <v>395</v>
      </c>
      <c r="AC10" s="1" t="s">
        <v>395</v>
      </c>
      <c r="AD10" s="1" t="s">
        <v>395</v>
      </c>
      <c r="AE10" s="1" t="s">
        <v>395</v>
      </c>
      <c r="AF10" s="1" t="s">
        <v>395</v>
      </c>
      <c r="AG10" s="1" t="s">
        <v>395</v>
      </c>
      <c r="AH10" s="1" t="s">
        <v>395</v>
      </c>
      <c r="AI10" s="1" t="s">
        <v>395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395</v>
      </c>
      <c r="E11" s="1" t="s">
        <v>395</v>
      </c>
      <c r="F11" s="1" t="s">
        <v>395</v>
      </c>
      <c r="G11" s="1" t="s">
        <v>395</v>
      </c>
      <c r="H11" s="1" t="s">
        <v>395</v>
      </c>
      <c r="I11" s="1" t="s">
        <v>395</v>
      </c>
      <c r="J11" s="1" t="s">
        <v>1158</v>
      </c>
      <c r="K11" s="1" t="s">
        <v>1158</v>
      </c>
      <c r="L11" s="1" t="s">
        <v>1158</v>
      </c>
      <c r="M11" s="1" t="s">
        <v>1158</v>
      </c>
      <c r="N11" s="1" t="s">
        <v>1158</v>
      </c>
      <c r="O11" s="1" t="s">
        <v>1158</v>
      </c>
      <c r="P11" s="1" t="s">
        <v>1158</v>
      </c>
      <c r="Q11" s="1" t="s">
        <v>1158</v>
      </c>
      <c r="R11" s="1" t="s">
        <v>1158</v>
      </c>
      <c r="S11" s="1" t="s">
        <v>1158</v>
      </c>
      <c r="T11" s="1" t="s">
        <v>1158</v>
      </c>
      <c r="U11" s="1" t="s">
        <v>1158</v>
      </c>
      <c r="V11" s="1" t="s">
        <v>1158</v>
      </c>
      <c r="W11" s="1" t="s">
        <v>1158</v>
      </c>
      <c r="X11" s="1" t="s">
        <v>1158</v>
      </c>
      <c r="Y11" s="1" t="s">
        <v>1158</v>
      </c>
      <c r="Z11" s="1" t="s">
        <v>1158</v>
      </c>
      <c r="AA11" s="1" t="s">
        <v>1158</v>
      </c>
      <c r="AB11" s="1" t="s">
        <v>1158</v>
      </c>
      <c r="AC11" s="1" t="s">
        <v>1158</v>
      </c>
      <c r="AD11" s="1" t="s">
        <v>1158</v>
      </c>
      <c r="AE11" s="1" t="s">
        <v>1158</v>
      </c>
      <c r="AF11" s="1" t="s">
        <v>1158</v>
      </c>
      <c r="AG11" s="1" t="s">
        <v>1158</v>
      </c>
      <c r="AH11" s="1" t="s">
        <v>1158</v>
      </c>
      <c r="AI11" s="1" t="s">
        <v>1159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395</v>
      </c>
      <c r="E12" s="1" t="s">
        <v>395</v>
      </c>
      <c r="F12" s="1" t="s">
        <v>395</v>
      </c>
      <c r="G12" s="1" t="s">
        <v>395</v>
      </c>
      <c r="H12" s="1" t="s">
        <v>395</v>
      </c>
      <c r="I12" s="1" t="s">
        <v>395</v>
      </c>
      <c r="J12" s="1" t="s">
        <v>395</v>
      </c>
      <c r="K12" s="1" t="s">
        <v>395</v>
      </c>
      <c r="L12" s="1" t="s">
        <v>395</v>
      </c>
      <c r="M12" s="1" t="s">
        <v>395</v>
      </c>
      <c r="N12" s="1" t="s">
        <v>395</v>
      </c>
      <c r="O12" s="1" t="s">
        <v>395</v>
      </c>
      <c r="P12" s="1" t="s">
        <v>395</v>
      </c>
      <c r="Q12" s="1" t="s">
        <v>395</v>
      </c>
      <c r="R12" s="1" t="s">
        <v>395</v>
      </c>
      <c r="S12" s="1" t="s">
        <v>395</v>
      </c>
      <c r="T12" s="1" t="s">
        <v>395</v>
      </c>
      <c r="U12" s="1" t="s">
        <v>395</v>
      </c>
      <c r="V12" s="1" t="s">
        <v>395</v>
      </c>
      <c r="W12" s="1" t="s">
        <v>395</v>
      </c>
      <c r="X12" s="1" t="s">
        <v>395</v>
      </c>
      <c r="Y12" s="1" t="s">
        <v>395</v>
      </c>
      <c r="Z12" s="1" t="s">
        <v>395</v>
      </c>
      <c r="AA12" s="1" t="s">
        <v>395</v>
      </c>
      <c r="AB12" s="1" t="s">
        <v>395</v>
      </c>
      <c r="AC12" s="1" t="s">
        <v>395</v>
      </c>
      <c r="AD12" s="1" t="s">
        <v>395</v>
      </c>
      <c r="AE12" s="1" t="s">
        <v>395</v>
      </c>
      <c r="AF12" s="1" t="s">
        <v>395</v>
      </c>
      <c r="AG12" s="1" t="s">
        <v>395</v>
      </c>
      <c r="AH12" s="1" t="s">
        <v>395</v>
      </c>
      <c r="AI12" s="1" t="s">
        <v>395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395</v>
      </c>
      <c r="E13" s="1" t="s">
        <v>395</v>
      </c>
      <c r="F13" s="1" t="s">
        <v>395</v>
      </c>
      <c r="G13" s="1" t="s">
        <v>395</v>
      </c>
      <c r="H13" s="1" t="s">
        <v>395</v>
      </c>
      <c r="I13" s="1" t="s">
        <v>395</v>
      </c>
      <c r="J13" s="1" t="s">
        <v>395</v>
      </c>
      <c r="K13" s="1" t="s">
        <v>395</v>
      </c>
      <c r="L13" s="1" t="s">
        <v>395</v>
      </c>
      <c r="M13" s="1" t="s">
        <v>395</v>
      </c>
      <c r="N13" s="1" t="s">
        <v>395</v>
      </c>
      <c r="O13" s="1" t="s">
        <v>395</v>
      </c>
      <c r="P13" s="1" t="s">
        <v>395</v>
      </c>
      <c r="Q13" s="1" t="s">
        <v>395</v>
      </c>
      <c r="R13" s="1" t="s">
        <v>395</v>
      </c>
      <c r="S13" s="1" t="s">
        <v>395</v>
      </c>
      <c r="T13" s="1" t="s">
        <v>395</v>
      </c>
      <c r="U13" s="1" t="s">
        <v>395</v>
      </c>
      <c r="V13" s="1" t="s">
        <v>395</v>
      </c>
      <c r="W13" s="1" t="s">
        <v>395</v>
      </c>
      <c r="X13" s="1" t="s">
        <v>395</v>
      </c>
      <c r="Y13" s="1" t="s">
        <v>395</v>
      </c>
      <c r="Z13" s="1" t="s">
        <v>395</v>
      </c>
      <c r="AA13" s="1" t="s">
        <v>395</v>
      </c>
      <c r="AB13" s="1" t="s">
        <v>395</v>
      </c>
      <c r="AC13" s="1" t="s">
        <v>395</v>
      </c>
      <c r="AD13" s="1" t="s">
        <v>395</v>
      </c>
      <c r="AE13" s="1" t="s">
        <v>395</v>
      </c>
      <c r="AF13" s="1" t="s">
        <v>395</v>
      </c>
      <c r="AG13" s="1" t="s">
        <v>395</v>
      </c>
      <c r="AH13" s="1" t="s">
        <v>395</v>
      </c>
      <c r="AI13" s="1" t="s">
        <v>395</v>
      </c>
      <c r="AJ13" s="502">
        <v>43056.229889050897</v>
      </c>
    </row>
    <row r="14" spans="1:36">
      <c r="A14" s="1" t="s">
        <v>328</v>
      </c>
      <c r="B14" s="1" t="s">
        <v>1160</v>
      </c>
      <c r="C14" s="1" t="s">
        <v>237</v>
      </c>
      <c r="D14" s="1" t="s">
        <v>395</v>
      </c>
      <c r="E14" s="1" t="s">
        <v>395</v>
      </c>
      <c r="F14" s="1" t="s">
        <v>395</v>
      </c>
      <c r="G14" s="1" t="s">
        <v>395</v>
      </c>
      <c r="H14" s="1" t="s">
        <v>395</v>
      </c>
      <c r="I14" s="1" t="s">
        <v>395</v>
      </c>
      <c r="J14" s="1" t="s">
        <v>395</v>
      </c>
      <c r="K14" s="1" t="s">
        <v>395</v>
      </c>
      <c r="L14" s="1" t="s">
        <v>395</v>
      </c>
      <c r="M14" s="1" t="s">
        <v>395</v>
      </c>
      <c r="N14" s="1" t="s">
        <v>395</v>
      </c>
      <c r="O14" s="1" t="s">
        <v>395</v>
      </c>
      <c r="P14" s="1" t="s">
        <v>395</v>
      </c>
      <c r="Q14" s="1" t="s">
        <v>395</v>
      </c>
      <c r="R14" s="1" t="s">
        <v>395</v>
      </c>
      <c r="S14" s="1" t="s">
        <v>395</v>
      </c>
      <c r="T14" s="1" t="s">
        <v>395</v>
      </c>
      <c r="U14" s="1" t="s">
        <v>395</v>
      </c>
      <c r="V14" s="1" t="s">
        <v>395</v>
      </c>
      <c r="W14" s="1" t="s">
        <v>395</v>
      </c>
      <c r="X14" s="1" t="s">
        <v>395</v>
      </c>
      <c r="Y14" s="1" t="s">
        <v>395</v>
      </c>
      <c r="Z14" s="1" t="s">
        <v>395</v>
      </c>
      <c r="AA14" s="1" t="s">
        <v>395</v>
      </c>
      <c r="AB14" s="1" t="s">
        <v>395</v>
      </c>
      <c r="AC14" s="1" t="s">
        <v>395</v>
      </c>
      <c r="AD14" s="1" t="s">
        <v>395</v>
      </c>
      <c r="AE14" s="1" t="s">
        <v>395</v>
      </c>
      <c r="AF14" s="1" t="s">
        <v>395</v>
      </c>
      <c r="AG14" s="1" t="s">
        <v>395</v>
      </c>
      <c r="AH14" s="1" t="s">
        <v>395</v>
      </c>
      <c r="AI14" s="1" t="s">
        <v>395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1161</v>
      </c>
      <c r="E15" s="1" t="s">
        <v>1161</v>
      </c>
      <c r="F15" s="1" t="s">
        <v>1161</v>
      </c>
      <c r="G15" s="1" t="s">
        <v>1161</v>
      </c>
      <c r="H15" s="1" t="s">
        <v>1162</v>
      </c>
      <c r="I15" s="1" t="s">
        <v>1163</v>
      </c>
      <c r="J15" s="1" t="s">
        <v>1163</v>
      </c>
      <c r="K15" s="1" t="s">
        <v>1163</v>
      </c>
      <c r="L15" s="1" t="s">
        <v>1163</v>
      </c>
      <c r="M15" s="1" t="s">
        <v>1163</v>
      </c>
      <c r="N15" s="1" t="s">
        <v>1163</v>
      </c>
      <c r="O15" s="1" t="s">
        <v>1164</v>
      </c>
      <c r="P15" s="1" t="s">
        <v>1165</v>
      </c>
      <c r="Q15" s="1" t="s">
        <v>1166</v>
      </c>
      <c r="R15" s="1" t="s">
        <v>1166</v>
      </c>
      <c r="S15" s="1" t="s">
        <v>1166</v>
      </c>
      <c r="T15" s="1" t="s">
        <v>1166</v>
      </c>
      <c r="U15" s="1" t="s">
        <v>1166</v>
      </c>
      <c r="V15" s="1" t="s">
        <v>1167</v>
      </c>
      <c r="W15" s="1" t="s">
        <v>1167</v>
      </c>
      <c r="X15" s="1" t="s">
        <v>1167</v>
      </c>
      <c r="Y15" s="1" t="s">
        <v>1167</v>
      </c>
      <c r="Z15" s="1" t="s">
        <v>1167</v>
      </c>
      <c r="AA15" s="1" t="s">
        <v>1167</v>
      </c>
      <c r="AB15" s="1" t="s">
        <v>1167</v>
      </c>
      <c r="AC15" s="1" t="s">
        <v>1167</v>
      </c>
      <c r="AD15" s="1" t="s">
        <v>1168</v>
      </c>
      <c r="AE15" s="1" t="s">
        <v>1168</v>
      </c>
      <c r="AF15" s="1" t="s">
        <v>1168</v>
      </c>
      <c r="AG15" s="1" t="s">
        <v>1168</v>
      </c>
      <c r="AH15" s="1" t="s">
        <v>1168</v>
      </c>
      <c r="AI15" s="1" t="s">
        <v>1169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395</v>
      </c>
      <c r="E16" s="1" t="s">
        <v>395</v>
      </c>
      <c r="F16" s="1" t="s">
        <v>395</v>
      </c>
      <c r="G16" s="1" t="s">
        <v>395</v>
      </c>
      <c r="H16" s="1" t="s">
        <v>395</v>
      </c>
      <c r="I16" s="1" t="s">
        <v>395</v>
      </c>
      <c r="J16" s="1" t="s">
        <v>395</v>
      </c>
      <c r="K16" s="1" t="s">
        <v>395</v>
      </c>
      <c r="L16" s="1" t="s">
        <v>395</v>
      </c>
      <c r="M16" s="1" t="s">
        <v>395</v>
      </c>
      <c r="N16" s="1" t="s">
        <v>395</v>
      </c>
      <c r="O16" s="1" t="s">
        <v>395</v>
      </c>
      <c r="P16" s="1" t="s">
        <v>395</v>
      </c>
      <c r="Q16" s="1" t="s">
        <v>395</v>
      </c>
      <c r="R16" s="1" t="s">
        <v>395</v>
      </c>
      <c r="S16" s="1" t="s">
        <v>395</v>
      </c>
      <c r="T16" s="1" t="s">
        <v>395</v>
      </c>
      <c r="U16" s="1" t="s">
        <v>395</v>
      </c>
      <c r="V16" s="1" t="s">
        <v>395</v>
      </c>
      <c r="W16" s="1" t="s">
        <v>395</v>
      </c>
      <c r="X16" s="1" t="s">
        <v>395</v>
      </c>
      <c r="Y16" s="1" t="s">
        <v>395</v>
      </c>
      <c r="Z16" s="1" t="s">
        <v>395</v>
      </c>
      <c r="AA16" s="1" t="s">
        <v>395</v>
      </c>
      <c r="AB16" s="1" t="s">
        <v>395</v>
      </c>
      <c r="AC16" s="1" t="s">
        <v>395</v>
      </c>
      <c r="AD16" s="1" t="s">
        <v>395</v>
      </c>
      <c r="AE16" s="1" t="s">
        <v>395</v>
      </c>
      <c r="AF16" s="1" t="s">
        <v>395</v>
      </c>
      <c r="AG16" s="1" t="s">
        <v>395</v>
      </c>
      <c r="AH16" s="1" t="s">
        <v>395</v>
      </c>
      <c r="AI16" s="1" t="s">
        <v>395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395</v>
      </c>
      <c r="E17" s="1" t="s">
        <v>395</v>
      </c>
      <c r="F17" s="1" t="s">
        <v>395</v>
      </c>
      <c r="G17" s="1" t="s">
        <v>395</v>
      </c>
      <c r="H17" s="1" t="s">
        <v>395</v>
      </c>
      <c r="I17" s="1" t="s">
        <v>395</v>
      </c>
      <c r="J17" s="1" t="s">
        <v>395</v>
      </c>
      <c r="K17" s="1" t="s">
        <v>395</v>
      </c>
      <c r="L17" s="1" t="s">
        <v>395</v>
      </c>
      <c r="M17" s="1" t="s">
        <v>395</v>
      </c>
      <c r="N17" s="1" t="s">
        <v>395</v>
      </c>
      <c r="O17" s="1" t="s">
        <v>395</v>
      </c>
      <c r="P17" s="1" t="s">
        <v>395</v>
      </c>
      <c r="Q17" s="1" t="s">
        <v>395</v>
      </c>
      <c r="R17" s="1" t="s">
        <v>395</v>
      </c>
      <c r="S17" s="1" t="s">
        <v>395</v>
      </c>
      <c r="T17" s="1" t="s">
        <v>395</v>
      </c>
      <c r="U17" s="1" t="s">
        <v>395</v>
      </c>
      <c r="V17" s="1" t="s">
        <v>395</v>
      </c>
      <c r="W17" s="1" t="s">
        <v>395</v>
      </c>
      <c r="X17" s="1" t="s">
        <v>395</v>
      </c>
      <c r="Y17" s="1" t="s">
        <v>395</v>
      </c>
      <c r="Z17" s="1" t="s">
        <v>395</v>
      </c>
      <c r="AA17" s="1" t="s">
        <v>395</v>
      </c>
      <c r="AB17" s="1" t="s">
        <v>395</v>
      </c>
      <c r="AC17" s="1" t="s">
        <v>395</v>
      </c>
      <c r="AD17" s="1" t="s">
        <v>395</v>
      </c>
      <c r="AE17" s="1" t="s">
        <v>395</v>
      </c>
      <c r="AF17" s="1" t="s">
        <v>395</v>
      </c>
      <c r="AG17" s="1" t="s">
        <v>395</v>
      </c>
      <c r="AH17" s="1" t="s">
        <v>395</v>
      </c>
      <c r="AI17" s="1" t="s">
        <v>395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395</v>
      </c>
      <c r="E18" s="1" t="s">
        <v>395</v>
      </c>
      <c r="F18" s="1" t="s">
        <v>395</v>
      </c>
      <c r="G18" s="1" t="s">
        <v>395</v>
      </c>
      <c r="H18" s="1" t="s">
        <v>395</v>
      </c>
      <c r="I18" s="1" t="s">
        <v>395</v>
      </c>
      <c r="J18" s="1" t="s">
        <v>395</v>
      </c>
      <c r="K18" s="1" t="s">
        <v>395</v>
      </c>
      <c r="L18" s="1" t="s">
        <v>395</v>
      </c>
      <c r="M18" s="1" t="s">
        <v>395</v>
      </c>
      <c r="N18" s="1" t="s">
        <v>395</v>
      </c>
      <c r="O18" s="1" t="s">
        <v>395</v>
      </c>
      <c r="P18" s="1" t="s">
        <v>395</v>
      </c>
      <c r="Q18" s="1" t="s">
        <v>395</v>
      </c>
      <c r="R18" s="1" t="s">
        <v>395</v>
      </c>
      <c r="S18" s="1" t="s">
        <v>395</v>
      </c>
      <c r="T18" s="1" t="s">
        <v>395</v>
      </c>
      <c r="U18" s="1" t="s">
        <v>395</v>
      </c>
      <c r="V18" s="1" t="s">
        <v>395</v>
      </c>
      <c r="W18" s="1" t="s">
        <v>395</v>
      </c>
      <c r="X18" s="1" t="s">
        <v>395</v>
      </c>
      <c r="Y18" s="1" t="s">
        <v>395</v>
      </c>
      <c r="Z18" s="1" t="s">
        <v>395</v>
      </c>
      <c r="AA18" s="1" t="s">
        <v>395</v>
      </c>
      <c r="AB18" s="1" t="s">
        <v>395</v>
      </c>
      <c r="AC18" s="1" t="s">
        <v>395</v>
      </c>
      <c r="AD18" s="1" t="s">
        <v>395</v>
      </c>
      <c r="AE18" s="1" t="s">
        <v>395</v>
      </c>
      <c r="AF18" s="1" t="s">
        <v>395</v>
      </c>
      <c r="AG18" s="1" t="s">
        <v>395</v>
      </c>
      <c r="AH18" s="1" t="s">
        <v>395</v>
      </c>
      <c r="AI18" s="1" t="s">
        <v>395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395</v>
      </c>
      <c r="E19" s="1" t="s">
        <v>395</v>
      </c>
      <c r="F19" s="1" t="s">
        <v>395</v>
      </c>
      <c r="G19" s="1" t="s">
        <v>395</v>
      </c>
      <c r="H19" s="1" t="s">
        <v>395</v>
      </c>
      <c r="I19" s="1" t="s">
        <v>395</v>
      </c>
      <c r="J19" s="1" t="s">
        <v>395</v>
      </c>
      <c r="K19" s="1" t="s">
        <v>395</v>
      </c>
      <c r="L19" s="1" t="s">
        <v>395</v>
      </c>
      <c r="M19" s="1" t="s">
        <v>395</v>
      </c>
      <c r="N19" s="1" t="s">
        <v>395</v>
      </c>
      <c r="O19" s="1" t="s">
        <v>395</v>
      </c>
      <c r="P19" s="1" t="s">
        <v>395</v>
      </c>
      <c r="Q19" s="1" t="s">
        <v>395</v>
      </c>
      <c r="R19" s="1" t="s">
        <v>395</v>
      </c>
      <c r="S19" s="1" t="s">
        <v>395</v>
      </c>
      <c r="T19" s="1" t="s">
        <v>395</v>
      </c>
      <c r="U19" s="1" t="s">
        <v>395</v>
      </c>
      <c r="V19" s="1" t="s">
        <v>395</v>
      </c>
      <c r="W19" s="1" t="s">
        <v>395</v>
      </c>
      <c r="X19" s="1" t="s">
        <v>395</v>
      </c>
      <c r="Y19" s="1" t="s">
        <v>395</v>
      </c>
      <c r="Z19" s="1" t="s">
        <v>395</v>
      </c>
      <c r="AA19" s="1" t="s">
        <v>395</v>
      </c>
      <c r="AB19" s="1" t="s">
        <v>395</v>
      </c>
      <c r="AC19" s="1" t="s">
        <v>395</v>
      </c>
      <c r="AD19" s="1" t="s">
        <v>395</v>
      </c>
      <c r="AE19" s="1" t="s">
        <v>395</v>
      </c>
      <c r="AF19" s="1" t="s">
        <v>395</v>
      </c>
      <c r="AG19" s="1" t="s">
        <v>395</v>
      </c>
      <c r="AH19" s="1" t="s">
        <v>395</v>
      </c>
      <c r="AI19" s="1" t="s">
        <v>395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395</v>
      </c>
      <c r="E20" s="1" t="s">
        <v>395</v>
      </c>
      <c r="F20" s="1" t="s">
        <v>395</v>
      </c>
      <c r="G20" s="1" t="s">
        <v>395</v>
      </c>
      <c r="H20" s="1" t="s">
        <v>395</v>
      </c>
      <c r="I20" s="1" t="s">
        <v>395</v>
      </c>
      <c r="J20" s="1" t="s">
        <v>395</v>
      </c>
      <c r="K20" s="1" t="s">
        <v>395</v>
      </c>
      <c r="L20" s="1" t="s">
        <v>395</v>
      </c>
      <c r="M20" s="1" t="s">
        <v>395</v>
      </c>
      <c r="N20" s="1" t="s">
        <v>395</v>
      </c>
      <c r="O20" s="1" t="s">
        <v>395</v>
      </c>
      <c r="P20" s="1" t="s">
        <v>395</v>
      </c>
      <c r="Q20" s="1" t="s">
        <v>395</v>
      </c>
      <c r="R20" s="1" t="s">
        <v>395</v>
      </c>
      <c r="S20" s="1" t="s">
        <v>395</v>
      </c>
      <c r="T20" s="1" t="s">
        <v>395</v>
      </c>
      <c r="U20" s="1" t="s">
        <v>395</v>
      </c>
      <c r="V20" s="1" t="s">
        <v>395</v>
      </c>
      <c r="W20" s="1" t="s">
        <v>395</v>
      </c>
      <c r="X20" s="1" t="s">
        <v>395</v>
      </c>
      <c r="Y20" s="1" t="s">
        <v>395</v>
      </c>
      <c r="Z20" s="1" t="s">
        <v>395</v>
      </c>
      <c r="AA20" s="1" t="s">
        <v>395</v>
      </c>
      <c r="AB20" s="1" t="s">
        <v>395</v>
      </c>
      <c r="AC20" s="1" t="s">
        <v>395</v>
      </c>
      <c r="AD20" s="1" t="s">
        <v>395</v>
      </c>
      <c r="AE20" s="1" t="s">
        <v>395</v>
      </c>
      <c r="AF20" s="1" t="s">
        <v>395</v>
      </c>
      <c r="AG20" s="1" t="s">
        <v>395</v>
      </c>
      <c r="AH20" s="1" t="s">
        <v>395</v>
      </c>
      <c r="AI20" s="1" t="s">
        <v>395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1170</v>
      </c>
      <c r="E21" s="1" t="s">
        <v>395</v>
      </c>
      <c r="F21" s="1" t="s">
        <v>395</v>
      </c>
      <c r="G21" s="1" t="s">
        <v>395</v>
      </c>
      <c r="H21" s="1" t="s">
        <v>395</v>
      </c>
      <c r="I21" s="1" t="s">
        <v>395</v>
      </c>
      <c r="J21" s="1" t="s">
        <v>395</v>
      </c>
      <c r="K21" s="1" t="s">
        <v>395</v>
      </c>
      <c r="L21" s="1" t="s">
        <v>395</v>
      </c>
      <c r="M21" s="1" t="s">
        <v>395</v>
      </c>
      <c r="N21" s="1" t="s">
        <v>395</v>
      </c>
      <c r="O21" s="1" t="s">
        <v>395</v>
      </c>
      <c r="P21" s="1" t="s">
        <v>395</v>
      </c>
      <c r="Q21" s="1" t="s">
        <v>395</v>
      </c>
      <c r="R21" s="1" t="s">
        <v>395</v>
      </c>
      <c r="S21" s="1" t="s">
        <v>395</v>
      </c>
      <c r="T21" s="1" t="s">
        <v>395</v>
      </c>
      <c r="U21" s="1" t="s">
        <v>395</v>
      </c>
      <c r="V21" s="1" t="s">
        <v>395</v>
      </c>
      <c r="W21" s="1" t="s">
        <v>395</v>
      </c>
      <c r="X21" s="1" t="s">
        <v>395</v>
      </c>
      <c r="Y21" s="1" t="s">
        <v>395</v>
      </c>
      <c r="Z21" s="1" t="s">
        <v>395</v>
      </c>
      <c r="AA21" s="1" t="s">
        <v>395</v>
      </c>
      <c r="AB21" s="1" t="s">
        <v>395</v>
      </c>
      <c r="AC21" s="1" t="s">
        <v>395</v>
      </c>
      <c r="AD21" s="1" t="s">
        <v>395</v>
      </c>
      <c r="AE21" s="1" t="s">
        <v>395</v>
      </c>
      <c r="AF21" s="1" t="s">
        <v>395</v>
      </c>
      <c r="AG21" s="1" t="s">
        <v>395</v>
      </c>
      <c r="AH21" s="1" t="s">
        <v>395</v>
      </c>
      <c r="AI21" s="1" t="s">
        <v>1171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6" max="16" width="10.75" customWidth="1"/>
    <col min="17" max="17" width="11.75" customWidth="1"/>
    <col min="21" max="21" width="16.125" customWidth="1"/>
  </cols>
  <sheetData>
    <row r="1" spans="1:29">
      <c r="A1" s="1" t="s">
        <v>1172</v>
      </c>
      <c r="B1" s="1" t="s">
        <v>361</v>
      </c>
      <c r="C1" s="1" t="s">
        <v>1173</v>
      </c>
      <c r="D1" s="1" t="s">
        <v>1174</v>
      </c>
      <c r="E1" s="1" t="s">
        <v>1175</v>
      </c>
      <c r="F1" s="1" t="s">
        <v>1176</v>
      </c>
      <c r="G1" s="1" t="s">
        <v>1177</v>
      </c>
      <c r="H1" s="1" t="s">
        <v>1178</v>
      </c>
      <c r="I1" s="1" t="s">
        <v>1179</v>
      </c>
      <c r="J1" s="1" t="s">
        <v>1180</v>
      </c>
      <c r="K1" s="1" t="s">
        <v>1181</v>
      </c>
      <c r="L1" s="1" t="s">
        <v>1182</v>
      </c>
      <c r="M1" s="1" t="s">
        <v>1183</v>
      </c>
      <c r="N1" s="1" t="s">
        <v>1184</v>
      </c>
      <c r="O1" s="1" t="s">
        <v>363</v>
      </c>
      <c r="P1" s="1" t="s">
        <v>1185</v>
      </c>
      <c r="Q1" s="1" t="s">
        <v>1186</v>
      </c>
      <c r="R1" s="1" t="s">
        <v>1187</v>
      </c>
      <c r="S1" s="1" t="s">
        <v>1188</v>
      </c>
      <c r="T1" s="1" t="s">
        <v>1189</v>
      </c>
      <c r="U1" s="1" t="s">
        <v>1190</v>
      </c>
      <c r="V1" s="1" t="s">
        <v>1191</v>
      </c>
      <c r="W1" s="1" t="s">
        <v>1192</v>
      </c>
      <c r="X1" s="1" t="s">
        <v>1193</v>
      </c>
      <c r="Y1" s="1" t="s">
        <v>1194</v>
      </c>
      <c r="Z1" s="1" t="s">
        <v>1195</v>
      </c>
      <c r="AA1" s="1" t="s">
        <v>1196</v>
      </c>
      <c r="AB1" s="1" t="s">
        <v>1197</v>
      </c>
    </row>
    <row r="2" spans="1:29">
      <c r="A2" s="1" t="s">
        <v>1198</v>
      </c>
      <c r="B2" s="1" t="s">
        <v>364</v>
      </c>
      <c r="C2" s="1" t="s">
        <v>1199</v>
      </c>
      <c r="D2" s="1" t="s">
        <v>1200</v>
      </c>
      <c r="E2" s="1" t="s">
        <v>1201</v>
      </c>
      <c r="F2" s="1" t="s">
        <v>1202</v>
      </c>
      <c r="G2" s="1" t="s">
        <v>395</v>
      </c>
      <c r="H2" s="1" t="s">
        <v>395</v>
      </c>
      <c r="I2" s="1" t="s">
        <v>395</v>
      </c>
      <c r="J2" s="1" t="s">
        <v>395</v>
      </c>
      <c r="K2" s="1" t="s">
        <v>395</v>
      </c>
      <c r="L2" s="1" t="s">
        <v>395</v>
      </c>
      <c r="M2" s="1" t="s">
        <v>395</v>
      </c>
      <c r="N2" s="1" t="s">
        <v>395</v>
      </c>
      <c r="O2" s="1" t="s">
        <v>1203</v>
      </c>
      <c r="P2" s="1" t="s">
        <v>1204</v>
      </c>
      <c r="Q2" s="1" t="s">
        <v>1205</v>
      </c>
      <c r="R2" s="1" t="s">
        <v>1206</v>
      </c>
      <c r="S2" s="1" t="s">
        <v>1207</v>
      </c>
      <c r="T2" s="1" t="s">
        <v>395</v>
      </c>
      <c r="U2" s="1" t="s">
        <v>395</v>
      </c>
      <c r="V2" s="1" t="s">
        <v>395</v>
      </c>
      <c r="W2" s="1" t="s">
        <v>395</v>
      </c>
      <c r="X2" s="1" t="s">
        <v>395</v>
      </c>
      <c r="Y2" s="1" t="s">
        <v>395</v>
      </c>
      <c r="Z2" s="1" t="s">
        <v>395</v>
      </c>
      <c r="AA2" s="1" t="s">
        <v>395</v>
      </c>
      <c r="AB2" s="1" t="s">
        <v>1208</v>
      </c>
      <c r="AC2" s="502">
        <v>43045.229882731503</v>
      </c>
    </row>
    <row r="3" spans="1:29">
      <c r="A3" s="1" t="s">
        <v>1198</v>
      </c>
      <c r="B3" s="1" t="s">
        <v>397</v>
      </c>
      <c r="C3" s="1" t="s">
        <v>1209</v>
      </c>
      <c r="D3" s="1" t="s">
        <v>1210</v>
      </c>
      <c r="E3" s="1" t="s">
        <v>1211</v>
      </c>
      <c r="F3" s="1" t="s">
        <v>1212</v>
      </c>
      <c r="G3" s="1" t="s">
        <v>395</v>
      </c>
      <c r="H3" s="1" t="s">
        <v>395</v>
      </c>
      <c r="I3" s="1" t="s">
        <v>395</v>
      </c>
      <c r="J3" s="1" t="s">
        <v>395</v>
      </c>
      <c r="K3" s="1" t="s">
        <v>395</v>
      </c>
      <c r="L3" s="1" t="s">
        <v>395</v>
      </c>
      <c r="M3" s="1" t="s">
        <v>395</v>
      </c>
      <c r="N3" s="1" t="s">
        <v>395</v>
      </c>
      <c r="O3" s="1" t="s">
        <v>1213</v>
      </c>
      <c r="P3" s="1" t="s">
        <v>1214</v>
      </c>
      <c r="Q3" s="1" t="s">
        <v>1215</v>
      </c>
      <c r="R3" s="1" t="s">
        <v>1216</v>
      </c>
      <c r="S3" s="1" t="s">
        <v>398</v>
      </c>
      <c r="T3" s="1" t="s">
        <v>395</v>
      </c>
      <c r="U3" s="1" t="s">
        <v>395</v>
      </c>
      <c r="V3" s="1" t="s">
        <v>395</v>
      </c>
      <c r="W3" s="1" t="s">
        <v>395</v>
      </c>
      <c r="X3" s="1" t="s">
        <v>395</v>
      </c>
      <c r="Y3" s="1" t="s">
        <v>395</v>
      </c>
      <c r="Z3" s="1" t="s">
        <v>395</v>
      </c>
      <c r="AA3" s="1" t="s">
        <v>395</v>
      </c>
      <c r="AB3" s="1" t="s">
        <v>1217</v>
      </c>
      <c r="AC3" s="502">
        <v>43045.229882731503</v>
      </c>
    </row>
    <row r="4" spans="1:29">
      <c r="A4" s="1" t="s">
        <v>1198</v>
      </c>
      <c r="B4" s="1" t="s">
        <v>427</v>
      </c>
      <c r="C4" s="1" t="s">
        <v>1218</v>
      </c>
      <c r="D4" s="1" t="s">
        <v>1219</v>
      </c>
      <c r="E4" s="1" t="s">
        <v>1220</v>
      </c>
      <c r="F4" s="1" t="s">
        <v>1221</v>
      </c>
      <c r="G4" s="1" t="s">
        <v>395</v>
      </c>
      <c r="H4" s="1" t="s">
        <v>395</v>
      </c>
      <c r="I4" s="1" t="s">
        <v>395</v>
      </c>
      <c r="J4" s="1" t="s">
        <v>395</v>
      </c>
      <c r="K4" s="1" t="s">
        <v>395</v>
      </c>
      <c r="L4" s="1" t="s">
        <v>395</v>
      </c>
      <c r="M4" s="1" t="s">
        <v>395</v>
      </c>
      <c r="N4" s="1" t="s">
        <v>395</v>
      </c>
      <c r="O4" s="1" t="s">
        <v>1222</v>
      </c>
      <c r="P4" s="1" t="s">
        <v>1223</v>
      </c>
      <c r="Q4" s="1" t="s">
        <v>1224</v>
      </c>
      <c r="R4" s="1" t="s">
        <v>1225</v>
      </c>
      <c r="S4" s="1" t="s">
        <v>428</v>
      </c>
      <c r="T4" s="1" t="s">
        <v>395</v>
      </c>
      <c r="U4" s="1" t="s">
        <v>395</v>
      </c>
      <c r="V4" s="1" t="s">
        <v>395</v>
      </c>
      <c r="W4" s="1" t="s">
        <v>395</v>
      </c>
      <c r="X4" s="1" t="s">
        <v>395</v>
      </c>
      <c r="Y4" s="1" t="s">
        <v>395</v>
      </c>
      <c r="Z4" s="1" t="s">
        <v>395</v>
      </c>
      <c r="AA4" s="1" t="s">
        <v>395</v>
      </c>
      <c r="AB4" s="1" t="s">
        <v>1226</v>
      </c>
      <c r="AC4" s="502">
        <v>43045.229882731503</v>
      </c>
    </row>
    <row r="5" spans="1:29">
      <c r="A5" s="1" t="s">
        <v>1198</v>
      </c>
      <c r="B5" s="1" t="s">
        <v>454</v>
      </c>
      <c r="C5" s="1" t="s">
        <v>1227</v>
      </c>
      <c r="D5" s="1" t="s">
        <v>1228</v>
      </c>
      <c r="E5" s="1" t="s">
        <v>1229</v>
      </c>
      <c r="F5" s="1" t="s">
        <v>1230</v>
      </c>
      <c r="G5" s="1" t="s">
        <v>395</v>
      </c>
      <c r="H5" s="1" t="s">
        <v>395</v>
      </c>
      <c r="I5" s="1" t="s">
        <v>395</v>
      </c>
      <c r="J5" s="1" t="s">
        <v>395</v>
      </c>
      <c r="K5" s="1" t="s">
        <v>395</v>
      </c>
      <c r="L5" s="1" t="s">
        <v>395</v>
      </c>
      <c r="M5" s="1" t="s">
        <v>395</v>
      </c>
      <c r="N5" s="1" t="s">
        <v>395</v>
      </c>
      <c r="O5" s="1" t="s">
        <v>1231</v>
      </c>
      <c r="P5" s="1" t="s">
        <v>1232</v>
      </c>
      <c r="Q5" s="1" t="s">
        <v>1233</v>
      </c>
      <c r="R5" s="1" t="s">
        <v>1234</v>
      </c>
      <c r="S5" s="1" t="s">
        <v>455</v>
      </c>
      <c r="T5" s="1" t="s">
        <v>395</v>
      </c>
      <c r="U5" s="1" t="s">
        <v>395</v>
      </c>
      <c r="V5" s="1" t="s">
        <v>395</v>
      </c>
      <c r="W5" s="1" t="s">
        <v>395</v>
      </c>
      <c r="X5" s="1" t="s">
        <v>395</v>
      </c>
      <c r="Y5" s="1" t="s">
        <v>395</v>
      </c>
      <c r="Z5" s="1" t="s">
        <v>395</v>
      </c>
      <c r="AA5" s="1" t="s">
        <v>395</v>
      </c>
      <c r="AB5" s="1" t="s">
        <v>1235</v>
      </c>
      <c r="AC5" s="502">
        <v>43045.229882731503</v>
      </c>
    </row>
    <row r="6" spans="1:29">
      <c r="A6" s="1" t="s">
        <v>1198</v>
      </c>
      <c r="B6" s="1" t="s">
        <v>481</v>
      </c>
      <c r="C6" s="1" t="s">
        <v>1236</v>
      </c>
      <c r="D6" s="1" t="s">
        <v>1237</v>
      </c>
      <c r="E6" s="1" t="s">
        <v>1238</v>
      </c>
      <c r="F6" s="1" t="s">
        <v>1239</v>
      </c>
      <c r="G6" s="1" t="s">
        <v>395</v>
      </c>
      <c r="H6" s="1" t="s">
        <v>395</v>
      </c>
      <c r="I6" s="1" t="s">
        <v>395</v>
      </c>
      <c r="J6" s="1" t="s">
        <v>395</v>
      </c>
      <c r="K6" s="1" t="s">
        <v>395</v>
      </c>
      <c r="L6" s="1" t="s">
        <v>395</v>
      </c>
      <c r="M6" s="1" t="s">
        <v>395</v>
      </c>
      <c r="N6" s="1" t="s">
        <v>395</v>
      </c>
      <c r="O6" s="1" t="s">
        <v>1240</v>
      </c>
      <c r="P6" s="1" t="s">
        <v>1241</v>
      </c>
      <c r="Q6" s="1" t="s">
        <v>1242</v>
      </c>
      <c r="R6" s="1" t="s">
        <v>1243</v>
      </c>
      <c r="S6" s="1" t="s">
        <v>482</v>
      </c>
      <c r="T6" s="1" t="s">
        <v>395</v>
      </c>
      <c r="U6" s="1" t="s">
        <v>395</v>
      </c>
      <c r="V6" s="1" t="s">
        <v>395</v>
      </c>
      <c r="W6" s="1" t="s">
        <v>395</v>
      </c>
      <c r="X6" s="1" t="s">
        <v>395</v>
      </c>
      <c r="Y6" s="1" t="s">
        <v>395</v>
      </c>
      <c r="Z6" s="1" t="s">
        <v>395</v>
      </c>
      <c r="AA6" s="1" t="s">
        <v>395</v>
      </c>
      <c r="AB6" s="1" t="s">
        <v>1244</v>
      </c>
      <c r="AC6" s="502">
        <v>43045.229882731503</v>
      </c>
    </row>
    <row r="7" spans="1:29">
      <c r="A7" s="1" t="s">
        <v>1198</v>
      </c>
      <c r="B7" s="1" t="s">
        <v>510</v>
      </c>
      <c r="C7" s="1" t="s">
        <v>395</v>
      </c>
      <c r="D7" s="1" t="s">
        <v>395</v>
      </c>
      <c r="E7" s="1" t="s">
        <v>395</v>
      </c>
      <c r="F7" s="1" t="s">
        <v>395</v>
      </c>
      <c r="G7" s="1" t="s">
        <v>395</v>
      </c>
      <c r="H7" s="1" t="s">
        <v>395</v>
      </c>
      <c r="I7" s="1" t="s">
        <v>395</v>
      </c>
      <c r="J7" s="1" t="s">
        <v>395</v>
      </c>
      <c r="K7" s="1" t="s">
        <v>395</v>
      </c>
      <c r="L7" s="1" t="s">
        <v>395</v>
      </c>
      <c r="M7" s="1" t="s">
        <v>395</v>
      </c>
      <c r="N7" s="1" t="s">
        <v>395</v>
      </c>
      <c r="O7" s="1" t="s">
        <v>395</v>
      </c>
      <c r="P7" s="1" t="s">
        <v>395</v>
      </c>
      <c r="Q7" s="1" t="s">
        <v>395</v>
      </c>
      <c r="R7" s="1" t="s">
        <v>395</v>
      </c>
      <c r="S7" s="1" t="s">
        <v>395</v>
      </c>
      <c r="T7" s="1" t="s">
        <v>395</v>
      </c>
      <c r="U7" s="1" t="s">
        <v>395</v>
      </c>
      <c r="V7" s="1" t="s">
        <v>395</v>
      </c>
      <c r="W7" s="1" t="s">
        <v>395</v>
      </c>
      <c r="X7" s="1" t="s">
        <v>395</v>
      </c>
      <c r="Y7" s="1" t="s">
        <v>395</v>
      </c>
      <c r="Z7" s="1" t="s">
        <v>395</v>
      </c>
      <c r="AA7" s="1" t="s">
        <v>395</v>
      </c>
      <c r="AB7" s="1" t="s">
        <v>395</v>
      </c>
      <c r="AC7" s="502">
        <v>43045.229882731503</v>
      </c>
    </row>
    <row r="8" spans="1:29">
      <c r="A8" s="1" t="s">
        <v>1198</v>
      </c>
      <c r="B8" s="1" t="s">
        <v>511</v>
      </c>
      <c r="C8" s="1" t="s">
        <v>1245</v>
      </c>
      <c r="D8" s="1" t="s">
        <v>1246</v>
      </c>
      <c r="E8" s="1" t="s">
        <v>1247</v>
      </c>
      <c r="F8" s="1" t="s">
        <v>1248</v>
      </c>
      <c r="G8" s="1" t="s">
        <v>395</v>
      </c>
      <c r="H8" s="1" t="s">
        <v>395</v>
      </c>
      <c r="I8" s="1" t="s">
        <v>395</v>
      </c>
      <c r="J8" s="1" t="s">
        <v>395</v>
      </c>
      <c r="K8" s="1" t="s">
        <v>395</v>
      </c>
      <c r="L8" s="1" t="s">
        <v>395</v>
      </c>
      <c r="M8" s="1" t="s">
        <v>395</v>
      </c>
      <c r="N8" s="1" t="s">
        <v>395</v>
      </c>
      <c r="O8" s="1" t="s">
        <v>1249</v>
      </c>
      <c r="P8" s="1" t="s">
        <v>1250</v>
      </c>
      <c r="Q8" s="1" t="s">
        <v>1251</v>
      </c>
      <c r="R8" s="1" t="s">
        <v>1252</v>
      </c>
      <c r="S8" s="1" t="s">
        <v>512</v>
      </c>
      <c r="T8" s="1" t="s">
        <v>395</v>
      </c>
      <c r="U8" s="1" t="s">
        <v>395</v>
      </c>
      <c r="V8" s="1" t="s">
        <v>395</v>
      </c>
      <c r="W8" s="1" t="s">
        <v>395</v>
      </c>
      <c r="X8" s="1" t="s">
        <v>395</v>
      </c>
      <c r="Y8" s="1" t="s">
        <v>395</v>
      </c>
      <c r="Z8" s="1" t="s">
        <v>395</v>
      </c>
      <c r="AA8" s="1" t="s">
        <v>395</v>
      </c>
      <c r="AB8" s="1" t="s">
        <v>1253</v>
      </c>
      <c r="AC8" s="502">
        <v>43045.229882731503</v>
      </c>
    </row>
    <row r="9" spans="1:29">
      <c r="A9" s="1" t="s">
        <v>1198</v>
      </c>
      <c r="B9" s="1" t="s">
        <v>541</v>
      </c>
      <c r="C9" s="1" t="s">
        <v>395</v>
      </c>
      <c r="D9" s="1" t="s">
        <v>395</v>
      </c>
      <c r="E9" s="1" t="s">
        <v>395</v>
      </c>
      <c r="F9" s="1" t="s">
        <v>395</v>
      </c>
      <c r="G9" s="1" t="s">
        <v>395</v>
      </c>
      <c r="H9" s="1" t="s">
        <v>395</v>
      </c>
      <c r="I9" s="1" t="s">
        <v>395</v>
      </c>
      <c r="J9" s="1" t="s">
        <v>395</v>
      </c>
      <c r="K9" s="1" t="s">
        <v>395</v>
      </c>
      <c r="L9" s="1" t="s">
        <v>395</v>
      </c>
      <c r="M9" s="1" t="s">
        <v>395</v>
      </c>
      <c r="N9" s="1" t="s">
        <v>395</v>
      </c>
      <c r="O9" s="1" t="s">
        <v>395</v>
      </c>
      <c r="P9" s="1" t="s">
        <v>395</v>
      </c>
      <c r="Q9" s="1" t="s">
        <v>395</v>
      </c>
      <c r="R9" s="1" t="s">
        <v>395</v>
      </c>
      <c r="S9" s="1" t="s">
        <v>395</v>
      </c>
      <c r="T9" s="1" t="s">
        <v>395</v>
      </c>
      <c r="U9" s="1" t="s">
        <v>395</v>
      </c>
      <c r="V9" s="1" t="s">
        <v>395</v>
      </c>
      <c r="W9" s="1" t="s">
        <v>395</v>
      </c>
      <c r="X9" s="1" t="s">
        <v>395</v>
      </c>
      <c r="Y9" s="1" t="s">
        <v>395</v>
      </c>
      <c r="Z9" s="1" t="s">
        <v>395</v>
      </c>
      <c r="AA9" s="1" t="s">
        <v>395</v>
      </c>
      <c r="AB9" s="1" t="s">
        <v>395</v>
      </c>
      <c r="AC9" s="502">
        <v>43045.229882731503</v>
      </c>
    </row>
    <row r="10" spans="1:29">
      <c r="A10" s="1" t="s">
        <v>1198</v>
      </c>
      <c r="B10" s="1" t="s">
        <v>542</v>
      </c>
      <c r="C10" s="1" t="s">
        <v>1254</v>
      </c>
      <c r="D10" s="1" t="s">
        <v>1255</v>
      </c>
      <c r="E10" s="1" t="s">
        <v>1256</v>
      </c>
      <c r="F10" s="1" t="s">
        <v>1257</v>
      </c>
      <c r="G10" s="1" t="s">
        <v>395</v>
      </c>
      <c r="H10" s="1" t="s">
        <v>395</v>
      </c>
      <c r="I10" s="1" t="s">
        <v>395</v>
      </c>
      <c r="J10" s="1" t="s">
        <v>395</v>
      </c>
      <c r="K10" s="1" t="s">
        <v>395</v>
      </c>
      <c r="L10" s="1" t="s">
        <v>395</v>
      </c>
      <c r="M10" s="1" t="s">
        <v>395</v>
      </c>
      <c r="N10" s="1" t="s">
        <v>395</v>
      </c>
      <c r="O10" s="1" t="s">
        <v>1258</v>
      </c>
      <c r="P10" s="1" t="s">
        <v>1259</v>
      </c>
      <c r="Q10" s="1" t="s">
        <v>1260</v>
      </c>
      <c r="R10" s="1" t="s">
        <v>1261</v>
      </c>
      <c r="S10" s="1" t="s">
        <v>543</v>
      </c>
      <c r="T10" s="1" t="s">
        <v>395</v>
      </c>
      <c r="U10" s="1" t="s">
        <v>395</v>
      </c>
      <c r="V10" s="1" t="s">
        <v>395</v>
      </c>
      <c r="W10" s="1" t="s">
        <v>395</v>
      </c>
      <c r="X10" s="1" t="s">
        <v>395</v>
      </c>
      <c r="Y10" s="1" t="s">
        <v>395</v>
      </c>
      <c r="Z10" s="1" t="s">
        <v>395</v>
      </c>
      <c r="AA10" s="1" t="s">
        <v>395</v>
      </c>
      <c r="AB10" s="1" t="s">
        <v>1262</v>
      </c>
      <c r="AC10" s="502">
        <v>43045.229882731503</v>
      </c>
    </row>
    <row r="11" spans="1:29">
      <c r="A11" s="1" t="s">
        <v>1198</v>
      </c>
      <c r="B11" s="1" t="s">
        <v>569</v>
      </c>
      <c r="C11" s="1" t="s">
        <v>1263</v>
      </c>
      <c r="D11" s="1" t="s">
        <v>1263</v>
      </c>
      <c r="E11" s="1" t="s">
        <v>1264</v>
      </c>
      <c r="F11" s="1" t="s">
        <v>1265</v>
      </c>
      <c r="G11" s="1" t="s">
        <v>395</v>
      </c>
      <c r="H11" s="1" t="s">
        <v>395</v>
      </c>
      <c r="I11" s="1" t="s">
        <v>395</v>
      </c>
      <c r="J11" s="1" t="s">
        <v>395</v>
      </c>
      <c r="K11" s="1" t="s">
        <v>395</v>
      </c>
      <c r="L11" s="1" t="s">
        <v>395</v>
      </c>
      <c r="M11" s="1" t="s">
        <v>395</v>
      </c>
      <c r="N11" s="1" t="s">
        <v>395</v>
      </c>
      <c r="O11" s="1" t="s">
        <v>1266</v>
      </c>
      <c r="P11" s="1" t="s">
        <v>1263</v>
      </c>
      <c r="Q11" s="1" t="s">
        <v>1263</v>
      </c>
      <c r="R11" s="1" t="s">
        <v>1267</v>
      </c>
      <c r="S11" s="1" t="s">
        <v>570</v>
      </c>
      <c r="T11" s="1" t="s">
        <v>395</v>
      </c>
      <c r="U11" s="1" t="s">
        <v>395</v>
      </c>
      <c r="V11" s="1" t="s">
        <v>395</v>
      </c>
      <c r="W11" s="1" t="s">
        <v>395</v>
      </c>
      <c r="X11" s="1" t="s">
        <v>395</v>
      </c>
      <c r="Y11" s="1" t="s">
        <v>395</v>
      </c>
      <c r="Z11" s="1" t="s">
        <v>395</v>
      </c>
      <c r="AA11" s="1" t="s">
        <v>395</v>
      </c>
      <c r="AB11" s="1" t="s">
        <v>1268</v>
      </c>
      <c r="AC11" s="502">
        <v>43045.229882731503</v>
      </c>
    </row>
    <row r="12" spans="1:29">
      <c r="A12" s="1" t="s">
        <v>1198</v>
      </c>
      <c r="B12" s="1" t="s">
        <v>571</v>
      </c>
      <c r="C12" s="1" t="s">
        <v>395</v>
      </c>
      <c r="D12" s="1" t="s">
        <v>395</v>
      </c>
      <c r="E12" s="1" t="s">
        <v>395</v>
      </c>
      <c r="F12" s="1" t="s">
        <v>395</v>
      </c>
      <c r="G12" s="1" t="s">
        <v>395</v>
      </c>
      <c r="H12" s="1" t="s">
        <v>395</v>
      </c>
      <c r="I12" s="1" t="s">
        <v>395</v>
      </c>
      <c r="J12" s="1" t="s">
        <v>395</v>
      </c>
      <c r="K12" s="1" t="s">
        <v>395</v>
      </c>
      <c r="L12" s="1" t="s">
        <v>395</v>
      </c>
      <c r="M12" s="1" t="s">
        <v>395</v>
      </c>
      <c r="N12" s="1" t="s">
        <v>395</v>
      </c>
      <c r="O12" s="1" t="s">
        <v>395</v>
      </c>
      <c r="P12" s="1" t="s">
        <v>395</v>
      </c>
      <c r="Q12" s="1" t="s">
        <v>395</v>
      </c>
      <c r="R12" s="1" t="s">
        <v>395</v>
      </c>
      <c r="S12" s="1" t="s">
        <v>395</v>
      </c>
      <c r="T12" s="1" t="s">
        <v>395</v>
      </c>
      <c r="U12" s="1" t="s">
        <v>395</v>
      </c>
      <c r="V12" s="1" t="s">
        <v>395</v>
      </c>
      <c r="W12" s="1" t="s">
        <v>395</v>
      </c>
      <c r="X12" s="1" t="s">
        <v>395</v>
      </c>
      <c r="Y12" s="1" t="s">
        <v>395</v>
      </c>
      <c r="Z12" s="1" t="s">
        <v>395</v>
      </c>
      <c r="AA12" s="1" t="s">
        <v>395</v>
      </c>
      <c r="AB12" s="1" t="s">
        <v>395</v>
      </c>
      <c r="AC12" s="502">
        <v>43045.229882731503</v>
      </c>
    </row>
    <row r="13" spans="1:29">
      <c r="A13" s="1" t="s">
        <v>1198</v>
      </c>
      <c r="B13" s="1" t="s">
        <v>572</v>
      </c>
      <c r="C13" s="1" t="s">
        <v>1269</v>
      </c>
      <c r="D13" s="1" t="s">
        <v>1270</v>
      </c>
      <c r="E13" s="1" t="s">
        <v>1271</v>
      </c>
      <c r="F13" s="1" t="s">
        <v>1272</v>
      </c>
      <c r="G13" s="1" t="s">
        <v>395</v>
      </c>
      <c r="H13" s="1" t="s">
        <v>395</v>
      </c>
      <c r="I13" s="1" t="s">
        <v>395</v>
      </c>
      <c r="J13" s="1" t="s">
        <v>395</v>
      </c>
      <c r="K13" s="1" t="s">
        <v>395</v>
      </c>
      <c r="L13" s="1" t="s">
        <v>395</v>
      </c>
      <c r="M13" s="1" t="s">
        <v>395</v>
      </c>
      <c r="N13" s="1" t="s">
        <v>395</v>
      </c>
      <c r="O13" s="1" t="s">
        <v>1273</v>
      </c>
      <c r="P13" s="1" t="s">
        <v>1274</v>
      </c>
      <c r="Q13" s="1" t="s">
        <v>1275</v>
      </c>
      <c r="R13" s="1" t="s">
        <v>1276</v>
      </c>
      <c r="S13" s="1" t="s">
        <v>573</v>
      </c>
      <c r="T13" s="1" t="s">
        <v>395</v>
      </c>
      <c r="U13" s="1" t="s">
        <v>395</v>
      </c>
      <c r="V13" s="1" t="s">
        <v>395</v>
      </c>
      <c r="W13" s="1" t="s">
        <v>395</v>
      </c>
      <c r="X13" s="1" t="s">
        <v>395</v>
      </c>
      <c r="Y13" s="1" t="s">
        <v>395</v>
      </c>
      <c r="Z13" s="1" t="s">
        <v>395</v>
      </c>
      <c r="AA13" s="1" t="s">
        <v>395</v>
      </c>
      <c r="AB13" s="1" t="s">
        <v>1277</v>
      </c>
      <c r="AC13" s="502">
        <v>43045.229882731503</v>
      </c>
    </row>
    <row r="14" spans="1:29">
      <c r="A14" s="1" t="s">
        <v>1198</v>
      </c>
      <c r="B14" s="1" t="s">
        <v>599</v>
      </c>
      <c r="C14" s="1" t="s">
        <v>1278</v>
      </c>
      <c r="D14" s="1" t="s">
        <v>1279</v>
      </c>
      <c r="E14" s="1" t="s">
        <v>1280</v>
      </c>
      <c r="F14" s="1" t="s">
        <v>1281</v>
      </c>
      <c r="G14" s="1" t="s">
        <v>395</v>
      </c>
      <c r="H14" s="1" t="s">
        <v>395</v>
      </c>
      <c r="I14" s="1" t="s">
        <v>395</v>
      </c>
      <c r="J14" s="1" t="s">
        <v>395</v>
      </c>
      <c r="K14" s="1" t="s">
        <v>395</v>
      </c>
      <c r="L14" s="1" t="s">
        <v>395</v>
      </c>
      <c r="M14" s="1" t="s">
        <v>395</v>
      </c>
      <c r="N14" s="1" t="s">
        <v>395</v>
      </c>
      <c r="O14" s="1" t="s">
        <v>1282</v>
      </c>
      <c r="P14" s="1" t="s">
        <v>1283</v>
      </c>
      <c r="Q14" s="1" t="s">
        <v>1284</v>
      </c>
      <c r="R14" s="1" t="s">
        <v>1285</v>
      </c>
      <c r="S14" s="1" t="s">
        <v>600</v>
      </c>
      <c r="T14" s="1" t="s">
        <v>395</v>
      </c>
      <c r="U14" s="1" t="s">
        <v>395</v>
      </c>
      <c r="V14" s="1" t="s">
        <v>395</v>
      </c>
      <c r="W14" s="1" t="s">
        <v>395</v>
      </c>
      <c r="X14" s="1" t="s">
        <v>395</v>
      </c>
      <c r="Y14" s="1" t="s">
        <v>395</v>
      </c>
      <c r="Z14" s="1" t="s">
        <v>395</v>
      </c>
      <c r="AA14" s="1" t="s">
        <v>395</v>
      </c>
      <c r="AB14" s="1" t="s">
        <v>1286</v>
      </c>
      <c r="AC14" s="502">
        <v>43045.229882731503</v>
      </c>
    </row>
    <row r="15" spans="1:29">
      <c r="A15" s="1" t="s">
        <v>1198</v>
      </c>
      <c r="B15" s="1" t="s">
        <v>626</v>
      </c>
      <c r="C15" s="1" t="s">
        <v>1287</v>
      </c>
      <c r="D15" s="1" t="s">
        <v>1288</v>
      </c>
      <c r="E15" s="1" t="s">
        <v>1289</v>
      </c>
      <c r="F15" s="1" t="s">
        <v>1290</v>
      </c>
      <c r="G15" s="1" t="s">
        <v>395</v>
      </c>
      <c r="H15" s="1" t="s">
        <v>395</v>
      </c>
      <c r="I15" s="1" t="s">
        <v>395</v>
      </c>
      <c r="J15" s="1" t="s">
        <v>395</v>
      </c>
      <c r="K15" s="1" t="s">
        <v>395</v>
      </c>
      <c r="L15" s="1" t="s">
        <v>395</v>
      </c>
      <c r="M15" s="1" t="s">
        <v>395</v>
      </c>
      <c r="N15" s="1" t="s">
        <v>395</v>
      </c>
      <c r="O15" s="1" t="s">
        <v>1291</v>
      </c>
      <c r="P15" s="1" t="s">
        <v>627</v>
      </c>
      <c r="Q15" s="1" t="s">
        <v>1292</v>
      </c>
      <c r="R15" s="1" t="s">
        <v>627</v>
      </c>
      <c r="S15" s="1" t="s">
        <v>627</v>
      </c>
      <c r="T15" s="1" t="s">
        <v>395</v>
      </c>
      <c r="U15" s="1" t="s">
        <v>395</v>
      </c>
      <c r="V15" s="1" t="s">
        <v>395</v>
      </c>
      <c r="W15" s="1" t="s">
        <v>395</v>
      </c>
      <c r="X15" s="1" t="s">
        <v>395</v>
      </c>
      <c r="Y15" s="1" t="s">
        <v>395</v>
      </c>
      <c r="Z15" s="1" t="s">
        <v>395</v>
      </c>
      <c r="AA15" s="1" t="s">
        <v>395</v>
      </c>
      <c r="AB15" s="1" t="s">
        <v>1293</v>
      </c>
      <c r="AC15" s="502">
        <v>43045.229882731503</v>
      </c>
    </row>
    <row r="16" spans="1:29">
      <c r="A16" s="1" t="s">
        <v>1198</v>
      </c>
      <c r="B16" s="1" t="s">
        <v>1294</v>
      </c>
      <c r="C16" s="1" t="s">
        <v>395</v>
      </c>
      <c r="D16" s="1" t="s">
        <v>395</v>
      </c>
      <c r="E16" s="1" t="s">
        <v>395</v>
      </c>
      <c r="F16" s="1" t="s">
        <v>395</v>
      </c>
      <c r="G16" s="1" t="s">
        <v>395</v>
      </c>
      <c r="H16" s="1" t="s">
        <v>395</v>
      </c>
      <c r="I16" s="1" t="s">
        <v>395</v>
      </c>
      <c r="J16" s="1" t="s">
        <v>395</v>
      </c>
      <c r="K16" s="1" t="s">
        <v>395</v>
      </c>
      <c r="L16" s="1" t="s">
        <v>395</v>
      </c>
      <c r="M16" s="1" t="s">
        <v>395</v>
      </c>
      <c r="N16" s="1" t="s">
        <v>395</v>
      </c>
      <c r="O16" s="1" t="s">
        <v>395</v>
      </c>
      <c r="P16" s="1" t="s">
        <v>395</v>
      </c>
      <c r="Q16" s="1" t="s">
        <v>395</v>
      </c>
      <c r="R16" s="1" t="s">
        <v>395</v>
      </c>
      <c r="S16" s="1" t="s">
        <v>395</v>
      </c>
      <c r="T16" s="1" t="s">
        <v>395</v>
      </c>
      <c r="U16" s="1" t="s">
        <v>395</v>
      </c>
      <c r="V16" s="1" t="s">
        <v>395</v>
      </c>
      <c r="W16" s="1" t="s">
        <v>395</v>
      </c>
      <c r="X16" s="1" t="s">
        <v>395</v>
      </c>
      <c r="Y16" s="1" t="s">
        <v>395</v>
      </c>
      <c r="Z16" s="1" t="s">
        <v>395</v>
      </c>
      <c r="AA16" s="1" t="s">
        <v>395</v>
      </c>
      <c r="AB16" s="1" t="s">
        <v>395</v>
      </c>
      <c r="AC16" s="502">
        <v>43045.229882731503</v>
      </c>
    </row>
    <row r="17" spans="1:29">
      <c r="A17" s="1" t="s">
        <v>1198</v>
      </c>
      <c r="B17" s="1" t="s">
        <v>634</v>
      </c>
      <c r="C17" s="1" t="s">
        <v>1295</v>
      </c>
      <c r="D17" s="1" t="s">
        <v>1296</v>
      </c>
      <c r="E17" s="1" t="s">
        <v>1297</v>
      </c>
      <c r="F17" s="1" t="s">
        <v>1298</v>
      </c>
      <c r="G17" s="1" t="s">
        <v>395</v>
      </c>
      <c r="H17" s="1" t="s">
        <v>395</v>
      </c>
      <c r="I17" s="1" t="s">
        <v>395</v>
      </c>
      <c r="J17" s="1" t="s">
        <v>395</v>
      </c>
      <c r="K17" s="1" t="s">
        <v>395</v>
      </c>
      <c r="L17" s="1" t="s">
        <v>395</v>
      </c>
      <c r="M17" s="1" t="s">
        <v>395</v>
      </c>
      <c r="N17" s="1" t="s">
        <v>395</v>
      </c>
      <c r="O17" s="1" t="s">
        <v>1299</v>
      </c>
      <c r="P17" s="1" t="s">
        <v>1300</v>
      </c>
      <c r="Q17" s="1" t="s">
        <v>1301</v>
      </c>
      <c r="R17" s="1" t="s">
        <v>1302</v>
      </c>
      <c r="S17" s="1" t="s">
        <v>635</v>
      </c>
      <c r="T17" s="1" t="s">
        <v>395</v>
      </c>
      <c r="U17" s="1" t="s">
        <v>395</v>
      </c>
      <c r="V17" s="1" t="s">
        <v>395</v>
      </c>
      <c r="W17" s="1" t="s">
        <v>395</v>
      </c>
      <c r="X17" s="1" t="s">
        <v>395</v>
      </c>
      <c r="Y17" s="1" t="s">
        <v>395</v>
      </c>
      <c r="Z17" s="1" t="s">
        <v>395</v>
      </c>
      <c r="AA17" s="1" t="s">
        <v>395</v>
      </c>
      <c r="AB17" s="1" t="s">
        <v>1303</v>
      </c>
      <c r="AC17" s="502">
        <v>43045.229882731503</v>
      </c>
    </row>
    <row r="18" spans="1:29">
      <c r="A18" s="1" t="s">
        <v>1198</v>
      </c>
      <c r="B18" s="501" t="s">
        <v>662</v>
      </c>
      <c r="C18" s="1" t="s">
        <v>1304</v>
      </c>
      <c r="D18" s="1" t="s">
        <v>1305</v>
      </c>
      <c r="E18" s="1" t="s">
        <v>1306</v>
      </c>
      <c r="F18" s="1" t="s">
        <v>1307</v>
      </c>
      <c r="G18" s="1" t="s">
        <v>395</v>
      </c>
      <c r="H18" s="1" t="s">
        <v>395</v>
      </c>
      <c r="I18" s="1" t="s">
        <v>395</v>
      </c>
      <c r="J18" s="1" t="s">
        <v>395</v>
      </c>
      <c r="K18" s="1" t="s">
        <v>395</v>
      </c>
      <c r="L18" s="1" t="s">
        <v>395</v>
      </c>
      <c r="M18" s="1" t="s">
        <v>395</v>
      </c>
      <c r="N18" s="1" t="s">
        <v>395</v>
      </c>
      <c r="O18" s="1" t="s">
        <v>1308</v>
      </c>
      <c r="P18" s="1" t="s">
        <v>1309</v>
      </c>
      <c r="Q18" s="1" t="s">
        <v>1310</v>
      </c>
      <c r="R18" s="1" t="s">
        <v>1311</v>
      </c>
      <c r="S18" s="1" t="s">
        <v>663</v>
      </c>
      <c r="T18" s="1" t="s">
        <v>395</v>
      </c>
      <c r="U18" s="1" t="s">
        <v>395</v>
      </c>
      <c r="V18" s="1" t="s">
        <v>395</v>
      </c>
      <c r="W18" s="1" t="s">
        <v>395</v>
      </c>
      <c r="X18" s="1" t="s">
        <v>395</v>
      </c>
      <c r="Y18" s="1" t="s">
        <v>395</v>
      </c>
      <c r="Z18" s="1" t="s">
        <v>395</v>
      </c>
      <c r="AA18" s="1" t="s">
        <v>395</v>
      </c>
      <c r="AB18" s="1" t="s">
        <v>1312</v>
      </c>
      <c r="AC18" s="502">
        <v>43045.229882731503</v>
      </c>
    </row>
    <row r="19" spans="1:29">
      <c r="A19" s="1" t="s">
        <v>1198</v>
      </c>
      <c r="B19" s="1" t="s">
        <v>689</v>
      </c>
      <c r="C19" s="1" t="s">
        <v>1313</v>
      </c>
      <c r="D19" s="1" t="s">
        <v>1314</v>
      </c>
      <c r="E19" s="1" t="s">
        <v>1315</v>
      </c>
      <c r="F19" s="1" t="s">
        <v>1316</v>
      </c>
      <c r="G19" s="1" t="s">
        <v>395</v>
      </c>
      <c r="H19" s="1" t="s">
        <v>395</v>
      </c>
      <c r="I19" s="1" t="s">
        <v>395</v>
      </c>
      <c r="J19" s="1" t="s">
        <v>395</v>
      </c>
      <c r="K19" s="1" t="s">
        <v>395</v>
      </c>
      <c r="L19" s="1" t="s">
        <v>395</v>
      </c>
      <c r="M19" s="1" t="s">
        <v>395</v>
      </c>
      <c r="N19" s="1" t="s">
        <v>395</v>
      </c>
      <c r="O19" s="1" t="s">
        <v>1317</v>
      </c>
      <c r="P19" s="1" t="s">
        <v>1318</v>
      </c>
      <c r="Q19" s="1" t="s">
        <v>1319</v>
      </c>
      <c r="R19" s="1" t="s">
        <v>1320</v>
      </c>
      <c r="S19" s="1" t="s">
        <v>690</v>
      </c>
      <c r="T19" s="1" t="s">
        <v>395</v>
      </c>
      <c r="U19" s="1" t="s">
        <v>395</v>
      </c>
      <c r="V19" s="1" t="s">
        <v>395</v>
      </c>
      <c r="W19" s="1" t="s">
        <v>395</v>
      </c>
      <c r="X19" s="1" t="s">
        <v>395</v>
      </c>
      <c r="Y19" s="1" t="s">
        <v>395</v>
      </c>
      <c r="Z19" s="1" t="s">
        <v>395</v>
      </c>
      <c r="AA19" s="1" t="s">
        <v>395</v>
      </c>
      <c r="AB19" s="1" t="s">
        <v>1321</v>
      </c>
      <c r="AC19" s="502">
        <v>43045.229882731503</v>
      </c>
    </row>
    <row r="20" spans="1:29">
      <c r="A20" s="1" t="s">
        <v>1198</v>
      </c>
      <c r="B20" s="1" t="s">
        <v>716</v>
      </c>
      <c r="C20" s="1" t="s">
        <v>717</v>
      </c>
      <c r="D20" s="1" t="s">
        <v>717</v>
      </c>
      <c r="E20" s="1" t="s">
        <v>717</v>
      </c>
      <c r="F20" s="1" t="s">
        <v>717</v>
      </c>
      <c r="G20" s="1" t="s">
        <v>395</v>
      </c>
      <c r="H20" s="1" t="s">
        <v>395</v>
      </c>
      <c r="I20" s="1" t="s">
        <v>395</v>
      </c>
      <c r="J20" s="1" t="s">
        <v>395</v>
      </c>
      <c r="K20" s="1" t="s">
        <v>395</v>
      </c>
      <c r="L20" s="1" t="s">
        <v>395</v>
      </c>
      <c r="M20" s="1" t="s">
        <v>395</v>
      </c>
      <c r="N20" s="1" t="s">
        <v>395</v>
      </c>
      <c r="O20" s="1" t="s">
        <v>717</v>
      </c>
      <c r="P20" s="1" t="s">
        <v>717</v>
      </c>
      <c r="Q20" s="1" t="s">
        <v>717</v>
      </c>
      <c r="R20" s="1" t="s">
        <v>717</v>
      </c>
      <c r="S20" s="1" t="s">
        <v>717</v>
      </c>
      <c r="T20" s="1" t="s">
        <v>395</v>
      </c>
      <c r="U20" s="1" t="s">
        <v>395</v>
      </c>
      <c r="V20" s="1" t="s">
        <v>395</v>
      </c>
      <c r="W20" s="1" t="s">
        <v>395</v>
      </c>
      <c r="X20" s="1" t="s">
        <v>395</v>
      </c>
      <c r="Y20" s="1" t="s">
        <v>395</v>
      </c>
      <c r="Z20" s="1" t="s">
        <v>395</v>
      </c>
      <c r="AA20" s="1" t="s">
        <v>395</v>
      </c>
      <c r="AB20" s="1" t="s">
        <v>717</v>
      </c>
      <c r="AC20" s="502">
        <v>43045.229882731503</v>
      </c>
    </row>
    <row r="21" spans="1:29">
      <c r="A21" s="1" t="s">
        <v>1198</v>
      </c>
      <c r="B21" s="1" t="s">
        <v>718</v>
      </c>
      <c r="C21" s="1" t="s">
        <v>719</v>
      </c>
      <c r="D21" s="1" t="s">
        <v>719</v>
      </c>
      <c r="E21" s="1" t="s">
        <v>719</v>
      </c>
      <c r="F21" s="1" t="s">
        <v>719</v>
      </c>
      <c r="G21" s="1" t="s">
        <v>395</v>
      </c>
      <c r="H21" s="1" t="s">
        <v>395</v>
      </c>
      <c r="I21" s="1" t="s">
        <v>395</v>
      </c>
      <c r="J21" s="1" t="s">
        <v>395</v>
      </c>
      <c r="K21" s="1" t="s">
        <v>395</v>
      </c>
      <c r="L21" s="1" t="s">
        <v>395</v>
      </c>
      <c r="M21" s="1" t="s">
        <v>395</v>
      </c>
      <c r="N21" s="1" t="s">
        <v>395</v>
      </c>
      <c r="O21" s="1" t="s">
        <v>719</v>
      </c>
      <c r="P21" s="1" t="s">
        <v>719</v>
      </c>
      <c r="Q21" s="1" t="s">
        <v>719</v>
      </c>
      <c r="R21" s="1" t="s">
        <v>719</v>
      </c>
      <c r="S21" s="1" t="s">
        <v>719</v>
      </c>
      <c r="T21" s="1" t="s">
        <v>395</v>
      </c>
      <c r="U21" s="1" t="s">
        <v>395</v>
      </c>
      <c r="V21" s="1" t="s">
        <v>395</v>
      </c>
      <c r="W21" s="1" t="s">
        <v>395</v>
      </c>
      <c r="X21" s="1" t="s">
        <v>395</v>
      </c>
      <c r="Y21" s="1" t="s">
        <v>395</v>
      </c>
      <c r="Z21" s="1" t="s">
        <v>395</v>
      </c>
      <c r="AA21" s="1" t="s">
        <v>395</v>
      </c>
      <c r="AB21" s="1" t="s">
        <v>719</v>
      </c>
      <c r="AC21" s="502">
        <v>43045.229882731503</v>
      </c>
    </row>
    <row r="22" spans="1:29">
      <c r="A22" s="1" t="s">
        <v>1198</v>
      </c>
      <c r="B22" s="1" t="s">
        <v>720</v>
      </c>
      <c r="C22" s="1" t="s">
        <v>1322</v>
      </c>
      <c r="D22" s="1" t="s">
        <v>1323</v>
      </c>
      <c r="E22" s="1" t="s">
        <v>1324</v>
      </c>
      <c r="F22" s="1" t="s">
        <v>1325</v>
      </c>
      <c r="G22" s="1" t="s">
        <v>395</v>
      </c>
      <c r="H22" s="1" t="s">
        <v>395</v>
      </c>
      <c r="I22" s="1" t="s">
        <v>395</v>
      </c>
      <c r="J22" s="1" t="s">
        <v>395</v>
      </c>
      <c r="K22" s="1" t="s">
        <v>395</v>
      </c>
      <c r="L22" s="1" t="s">
        <v>395</v>
      </c>
      <c r="M22" s="1" t="s">
        <v>395</v>
      </c>
      <c r="N22" s="1" t="s">
        <v>395</v>
      </c>
      <c r="O22" s="1" t="s">
        <v>1326</v>
      </c>
      <c r="P22" s="1" t="s">
        <v>1322</v>
      </c>
      <c r="Q22" s="1" t="s">
        <v>1327</v>
      </c>
      <c r="R22" s="1" t="s">
        <v>1328</v>
      </c>
      <c r="S22" s="1" t="s">
        <v>721</v>
      </c>
      <c r="T22" s="1" t="s">
        <v>395</v>
      </c>
      <c r="U22" s="1" t="s">
        <v>395</v>
      </c>
      <c r="V22" s="1" t="s">
        <v>395</v>
      </c>
      <c r="W22" s="1" t="s">
        <v>395</v>
      </c>
      <c r="X22" s="1" t="s">
        <v>395</v>
      </c>
      <c r="Y22" s="1" t="s">
        <v>395</v>
      </c>
      <c r="Z22" s="1" t="s">
        <v>395</v>
      </c>
      <c r="AA22" s="1" t="s">
        <v>395</v>
      </c>
      <c r="AB22" s="1" t="s">
        <v>1329</v>
      </c>
      <c r="AC22" s="502">
        <v>43045.229882731503</v>
      </c>
    </row>
    <row r="23" spans="1:29">
      <c r="A23" s="1" t="s">
        <v>1198</v>
      </c>
      <c r="B23" s="501" t="s">
        <v>725</v>
      </c>
      <c r="C23" s="1" t="s">
        <v>395</v>
      </c>
      <c r="D23" s="1" t="s">
        <v>395</v>
      </c>
      <c r="E23" s="1" t="s">
        <v>395</v>
      </c>
      <c r="F23" s="1" t="s">
        <v>395</v>
      </c>
      <c r="G23" s="1" t="s">
        <v>395</v>
      </c>
      <c r="H23" s="1" t="s">
        <v>395</v>
      </c>
      <c r="I23" s="1" t="s">
        <v>395</v>
      </c>
      <c r="J23" s="1" t="s">
        <v>395</v>
      </c>
      <c r="K23" s="1" t="s">
        <v>395</v>
      </c>
      <c r="L23" s="1" t="s">
        <v>395</v>
      </c>
      <c r="M23" s="1" t="s">
        <v>395</v>
      </c>
      <c r="N23" s="1" t="s">
        <v>395</v>
      </c>
      <c r="O23" s="1" t="s">
        <v>395</v>
      </c>
      <c r="P23" s="1" t="s">
        <v>395</v>
      </c>
      <c r="Q23" s="1" t="s">
        <v>395</v>
      </c>
      <c r="R23" s="1" t="s">
        <v>395</v>
      </c>
      <c r="S23" s="1" t="s">
        <v>395</v>
      </c>
      <c r="T23" s="1" t="s">
        <v>395</v>
      </c>
      <c r="U23" s="1" t="s">
        <v>395</v>
      </c>
      <c r="V23" s="1" t="s">
        <v>395</v>
      </c>
      <c r="W23" s="1" t="s">
        <v>395</v>
      </c>
      <c r="X23" s="1" t="s">
        <v>395</v>
      </c>
      <c r="Y23" s="1" t="s">
        <v>395</v>
      </c>
      <c r="Z23" s="1" t="s">
        <v>395</v>
      </c>
      <c r="AA23" s="1" t="s">
        <v>395</v>
      </c>
      <c r="AB23" s="1" t="s">
        <v>395</v>
      </c>
      <c r="AC23" s="502">
        <v>43045.229882731503</v>
      </c>
    </row>
    <row r="24" spans="1:29">
      <c r="A24" s="1" t="s">
        <v>1198</v>
      </c>
      <c r="B24" s="501" t="s">
        <v>726</v>
      </c>
      <c r="C24" s="1" t="s">
        <v>395</v>
      </c>
      <c r="D24" s="1" t="s">
        <v>395</v>
      </c>
      <c r="E24" s="1" t="s">
        <v>395</v>
      </c>
      <c r="F24" s="1" t="s">
        <v>395</v>
      </c>
      <c r="G24" s="1" t="s">
        <v>395</v>
      </c>
      <c r="H24" s="1" t="s">
        <v>395</v>
      </c>
      <c r="I24" s="1" t="s">
        <v>395</v>
      </c>
      <c r="J24" s="1" t="s">
        <v>395</v>
      </c>
      <c r="K24" s="1" t="s">
        <v>395</v>
      </c>
      <c r="L24" s="1" t="s">
        <v>395</v>
      </c>
      <c r="M24" s="1" t="s">
        <v>395</v>
      </c>
      <c r="N24" s="1" t="s">
        <v>395</v>
      </c>
      <c r="O24" s="1" t="s">
        <v>395</v>
      </c>
      <c r="P24" s="1" t="s">
        <v>395</v>
      </c>
      <c r="Q24" s="1" t="s">
        <v>395</v>
      </c>
      <c r="R24" s="1" t="s">
        <v>395</v>
      </c>
      <c r="S24" s="1" t="s">
        <v>395</v>
      </c>
      <c r="T24" s="1" t="s">
        <v>395</v>
      </c>
      <c r="U24" s="1" t="s">
        <v>395</v>
      </c>
      <c r="V24" s="1" t="s">
        <v>395</v>
      </c>
      <c r="W24" s="1" t="s">
        <v>395</v>
      </c>
      <c r="X24" s="1" t="s">
        <v>395</v>
      </c>
      <c r="Y24" s="1" t="s">
        <v>395</v>
      </c>
      <c r="Z24" s="1" t="s">
        <v>395</v>
      </c>
      <c r="AA24" s="1" t="s">
        <v>395</v>
      </c>
      <c r="AB24" s="1" t="s">
        <v>395</v>
      </c>
      <c r="AC24" s="502">
        <v>43045.229882731503</v>
      </c>
    </row>
    <row r="25" spans="1:29">
      <c r="A25" s="1" t="s">
        <v>1198</v>
      </c>
      <c r="B25" s="501" t="s">
        <v>727</v>
      </c>
      <c r="C25" s="1" t="s">
        <v>1330</v>
      </c>
      <c r="D25" s="1" t="s">
        <v>1331</v>
      </c>
      <c r="E25" s="1" t="s">
        <v>1332</v>
      </c>
      <c r="F25" s="1" t="s">
        <v>1333</v>
      </c>
      <c r="G25" s="1" t="s">
        <v>395</v>
      </c>
      <c r="H25" s="1" t="s">
        <v>395</v>
      </c>
      <c r="I25" s="1" t="s">
        <v>395</v>
      </c>
      <c r="J25" s="1" t="s">
        <v>395</v>
      </c>
      <c r="K25" s="1" t="s">
        <v>395</v>
      </c>
      <c r="L25" s="1" t="s">
        <v>395</v>
      </c>
      <c r="M25" s="1" t="s">
        <v>395</v>
      </c>
      <c r="N25" s="1" t="s">
        <v>395</v>
      </c>
      <c r="O25" s="1" t="s">
        <v>1334</v>
      </c>
      <c r="P25" s="1" t="s">
        <v>1335</v>
      </c>
      <c r="Q25" s="1" t="s">
        <v>1336</v>
      </c>
      <c r="R25" s="1" t="s">
        <v>1337</v>
      </c>
      <c r="S25" s="1" t="s">
        <v>728</v>
      </c>
      <c r="T25" s="1" t="s">
        <v>395</v>
      </c>
      <c r="U25" s="1" t="s">
        <v>395</v>
      </c>
      <c r="V25" s="1" t="s">
        <v>395</v>
      </c>
      <c r="W25" s="1" t="s">
        <v>395</v>
      </c>
      <c r="X25" s="1" t="s">
        <v>395</v>
      </c>
      <c r="Y25" s="1" t="s">
        <v>395</v>
      </c>
      <c r="Z25" s="1" t="s">
        <v>395</v>
      </c>
      <c r="AA25" s="1" t="s">
        <v>395</v>
      </c>
      <c r="AB25" s="1" t="s">
        <v>1338</v>
      </c>
      <c r="AC25" s="502">
        <v>43045.229882731503</v>
      </c>
    </row>
    <row r="26" spans="1:29">
      <c r="A26" s="1" t="s">
        <v>1198</v>
      </c>
      <c r="B26" s="501" t="s">
        <v>754</v>
      </c>
      <c r="C26" s="1" t="s">
        <v>1339</v>
      </c>
      <c r="D26" s="1" t="s">
        <v>1340</v>
      </c>
      <c r="E26" s="1" t="s">
        <v>1341</v>
      </c>
      <c r="F26" s="1" t="s">
        <v>1342</v>
      </c>
      <c r="G26" s="1" t="s">
        <v>395</v>
      </c>
      <c r="H26" s="1" t="s">
        <v>395</v>
      </c>
      <c r="I26" s="1" t="s">
        <v>395</v>
      </c>
      <c r="J26" s="1" t="s">
        <v>395</v>
      </c>
      <c r="K26" s="1" t="s">
        <v>395</v>
      </c>
      <c r="L26" s="1" t="s">
        <v>395</v>
      </c>
      <c r="M26" s="1" t="s">
        <v>395</v>
      </c>
      <c r="N26" s="1" t="s">
        <v>395</v>
      </c>
      <c r="O26" s="1" t="s">
        <v>1343</v>
      </c>
      <c r="P26" s="1" t="s">
        <v>1344</v>
      </c>
      <c r="Q26" s="1" t="s">
        <v>1345</v>
      </c>
      <c r="R26" s="1" t="s">
        <v>1346</v>
      </c>
      <c r="S26" s="1" t="s">
        <v>755</v>
      </c>
      <c r="T26" s="1" t="s">
        <v>395</v>
      </c>
      <c r="U26" s="1" t="s">
        <v>395</v>
      </c>
      <c r="V26" s="1" t="s">
        <v>395</v>
      </c>
      <c r="W26" s="1" t="s">
        <v>395</v>
      </c>
      <c r="X26" s="1" t="s">
        <v>395</v>
      </c>
      <c r="Y26" s="1" t="s">
        <v>395</v>
      </c>
      <c r="Z26" s="1" t="s">
        <v>395</v>
      </c>
      <c r="AA26" s="1" t="s">
        <v>395</v>
      </c>
      <c r="AB26" s="1" t="s">
        <v>1347</v>
      </c>
      <c r="AC26" s="502">
        <v>43045.229882731503</v>
      </c>
    </row>
    <row r="27" spans="1:29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502">
        <v>43045.229882731503</v>
      </c>
    </row>
    <row r="28" spans="1:29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502">
        <v>43045.229882731503</v>
      </c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051"/>
  <sheetViews>
    <sheetView workbookViewId="0">
      <selection activeCell="J14" sqref="J14"/>
    </sheetView>
  </sheetViews>
  <sheetFormatPr defaultRowHeight="17.100000000000001"/>
  <cols>
    <col min="3" max="3" width="11.875" customWidth="1"/>
    <col min="10" max="10" width="11.25" customWidth="1"/>
  </cols>
  <sheetData>
    <row r="1" spans="1:17">
      <c r="A1" s="1" t="s">
        <v>1172</v>
      </c>
      <c r="B1" s="1" t="s">
        <v>361</v>
      </c>
      <c r="C1" s="1" t="s">
        <v>1173</v>
      </c>
      <c r="D1" s="1" t="s">
        <v>1174</v>
      </c>
      <c r="E1" s="1" t="s">
        <v>1175</v>
      </c>
      <c r="F1" s="1" t="s">
        <v>1176</v>
      </c>
      <c r="G1" s="1" t="s">
        <v>1177</v>
      </c>
      <c r="H1" s="1" t="s">
        <v>1178</v>
      </c>
      <c r="I1" s="1" t="s">
        <v>1179</v>
      </c>
      <c r="J1" s="1" t="s">
        <v>1180</v>
      </c>
      <c r="K1" s="1" t="s">
        <v>1181</v>
      </c>
      <c r="L1" s="1" t="s">
        <v>1182</v>
      </c>
      <c r="M1" s="1" t="s">
        <v>1183</v>
      </c>
      <c r="N1" s="1" t="s">
        <v>1184</v>
      </c>
      <c r="O1" s="1" t="s">
        <v>781</v>
      </c>
    </row>
    <row r="2" spans="1:17">
      <c r="A2" s="1" t="s">
        <v>1198</v>
      </c>
      <c r="B2" s="275" t="s">
        <v>364</v>
      </c>
      <c r="C2" s="1" t="s">
        <v>786</v>
      </c>
      <c r="D2" s="1" t="s">
        <v>835</v>
      </c>
      <c r="E2" s="1" t="s">
        <v>787</v>
      </c>
      <c r="F2" s="1" t="s">
        <v>787</v>
      </c>
      <c r="G2" s="1" t="s">
        <v>782</v>
      </c>
      <c r="H2" s="1" t="s">
        <v>782</v>
      </c>
      <c r="I2" s="1" t="s">
        <v>782</v>
      </c>
      <c r="J2" s="1" t="s">
        <v>782</v>
      </c>
      <c r="K2" s="1" t="s">
        <v>782</v>
      </c>
      <c r="L2" s="1" t="s">
        <v>782</v>
      </c>
      <c r="M2" s="1" t="s">
        <v>782</v>
      </c>
      <c r="N2" s="1" t="s">
        <v>782</v>
      </c>
      <c r="O2" s="1" t="s">
        <v>789</v>
      </c>
      <c r="P2" s="502"/>
      <c r="Q2" s="502"/>
    </row>
    <row r="3" spans="1:17">
      <c r="A3" s="1" t="s">
        <v>1198</v>
      </c>
      <c r="B3" s="275" t="s">
        <v>397</v>
      </c>
      <c r="C3" s="1" t="s">
        <v>793</v>
      </c>
      <c r="D3" s="1" t="s">
        <v>783</v>
      </c>
      <c r="E3" s="1" t="s">
        <v>785</v>
      </c>
      <c r="F3" s="1" t="s">
        <v>784</v>
      </c>
      <c r="G3" s="1" t="s">
        <v>782</v>
      </c>
      <c r="H3" s="1" t="s">
        <v>782</v>
      </c>
      <c r="I3" s="1" t="s">
        <v>782</v>
      </c>
      <c r="J3" s="1" t="s">
        <v>782</v>
      </c>
      <c r="K3" s="1" t="s">
        <v>782</v>
      </c>
      <c r="L3" s="1" t="s">
        <v>782</v>
      </c>
      <c r="M3" s="1" t="s">
        <v>782</v>
      </c>
      <c r="N3" s="1" t="s">
        <v>782</v>
      </c>
      <c r="O3" s="1" t="s">
        <v>786</v>
      </c>
      <c r="P3" s="502"/>
      <c r="Q3" s="502"/>
    </row>
    <row r="4" spans="1:17">
      <c r="A4" s="1" t="s">
        <v>1198</v>
      </c>
      <c r="B4" s="275" t="s">
        <v>427</v>
      </c>
      <c r="C4" s="1" t="s">
        <v>796</v>
      </c>
      <c r="D4" s="1" t="s">
        <v>824</v>
      </c>
      <c r="E4" s="1" t="s">
        <v>799</v>
      </c>
      <c r="F4" s="1" t="s">
        <v>799</v>
      </c>
      <c r="G4" s="1" t="s">
        <v>782</v>
      </c>
      <c r="H4" s="1" t="s">
        <v>782</v>
      </c>
      <c r="I4" s="1" t="s">
        <v>782</v>
      </c>
      <c r="J4" s="1" t="s">
        <v>782</v>
      </c>
      <c r="K4" s="1" t="s">
        <v>782</v>
      </c>
      <c r="L4" s="1" t="s">
        <v>782</v>
      </c>
      <c r="M4" s="1" t="s">
        <v>782</v>
      </c>
      <c r="N4" s="1" t="s">
        <v>782</v>
      </c>
      <c r="O4" s="1" t="s">
        <v>823</v>
      </c>
      <c r="P4" s="502"/>
      <c r="Q4" s="502"/>
    </row>
    <row r="5" spans="1:17">
      <c r="A5" s="1" t="s">
        <v>1198</v>
      </c>
      <c r="B5" s="275" t="s">
        <v>454</v>
      </c>
      <c r="C5" s="1" t="s">
        <v>802</v>
      </c>
      <c r="D5" s="1" t="s">
        <v>1348</v>
      </c>
      <c r="E5" s="1" t="s">
        <v>792</v>
      </c>
      <c r="F5" s="1" t="s">
        <v>895</v>
      </c>
      <c r="G5" s="1" t="s">
        <v>782</v>
      </c>
      <c r="H5" s="1" t="s">
        <v>782</v>
      </c>
      <c r="I5" s="1" t="s">
        <v>782</v>
      </c>
      <c r="J5" s="1" t="s">
        <v>782</v>
      </c>
      <c r="K5" s="1" t="s">
        <v>782</v>
      </c>
      <c r="L5" s="1" t="s">
        <v>782</v>
      </c>
      <c r="M5" s="1" t="s">
        <v>782</v>
      </c>
      <c r="N5" s="1" t="s">
        <v>782</v>
      </c>
      <c r="O5" s="1" t="s">
        <v>812</v>
      </c>
      <c r="P5" s="502"/>
      <c r="Q5" s="502"/>
    </row>
    <row r="6" spans="1:17">
      <c r="A6" s="1" t="s">
        <v>1198</v>
      </c>
      <c r="B6" s="275" t="s">
        <v>481</v>
      </c>
      <c r="C6" s="1" t="s">
        <v>823</v>
      </c>
      <c r="D6" s="1" t="s">
        <v>797</v>
      </c>
      <c r="E6" s="1" t="s">
        <v>822</v>
      </c>
      <c r="F6" s="1" t="s">
        <v>798</v>
      </c>
      <c r="G6" s="1" t="s">
        <v>782</v>
      </c>
      <c r="H6" s="1" t="s">
        <v>782</v>
      </c>
      <c r="I6" s="1" t="s">
        <v>782</v>
      </c>
      <c r="J6" s="1" t="s">
        <v>782</v>
      </c>
      <c r="K6" s="1" t="s">
        <v>782</v>
      </c>
      <c r="L6" s="1" t="s">
        <v>782</v>
      </c>
      <c r="M6" s="1" t="s">
        <v>782</v>
      </c>
      <c r="N6" s="1" t="s">
        <v>782</v>
      </c>
      <c r="O6" s="1" t="s">
        <v>821</v>
      </c>
      <c r="P6" s="502"/>
      <c r="Q6" s="502"/>
    </row>
    <row r="7" spans="1:17">
      <c r="A7" s="1" t="s">
        <v>1198</v>
      </c>
      <c r="B7" s="275" t="s">
        <v>510</v>
      </c>
      <c r="C7" s="1" t="s">
        <v>782</v>
      </c>
      <c r="D7" s="1" t="s">
        <v>782</v>
      </c>
      <c r="E7" s="1" t="s">
        <v>782</v>
      </c>
      <c r="F7" s="1" t="s">
        <v>782</v>
      </c>
      <c r="G7" s="1" t="s">
        <v>782</v>
      </c>
      <c r="H7" s="1" t="s">
        <v>782</v>
      </c>
      <c r="I7" s="1" t="s">
        <v>782</v>
      </c>
      <c r="J7" s="1" t="s">
        <v>782</v>
      </c>
      <c r="K7" s="1" t="s">
        <v>782</v>
      </c>
      <c r="L7" s="1" t="s">
        <v>782</v>
      </c>
      <c r="M7" s="1" t="s">
        <v>782</v>
      </c>
      <c r="N7" s="1" t="s">
        <v>782</v>
      </c>
      <c r="O7" s="1" t="s">
        <v>782</v>
      </c>
      <c r="P7" s="502"/>
      <c r="Q7" s="502"/>
    </row>
    <row r="8" spans="1:17">
      <c r="A8" s="1" t="s">
        <v>1198</v>
      </c>
      <c r="B8" s="275" t="s">
        <v>511</v>
      </c>
      <c r="C8" s="1" t="s">
        <v>835</v>
      </c>
      <c r="D8" s="1" t="s">
        <v>787</v>
      </c>
      <c r="E8" s="1" t="s">
        <v>788</v>
      </c>
      <c r="F8" s="1" t="s">
        <v>829</v>
      </c>
      <c r="G8" s="1" t="s">
        <v>782</v>
      </c>
      <c r="H8" s="1" t="s">
        <v>782</v>
      </c>
      <c r="I8" s="1" t="s">
        <v>782</v>
      </c>
      <c r="J8" s="1" t="s">
        <v>782</v>
      </c>
      <c r="K8" s="1" t="s">
        <v>782</v>
      </c>
      <c r="L8" s="1" t="s">
        <v>782</v>
      </c>
      <c r="M8" s="1" t="s">
        <v>782</v>
      </c>
      <c r="N8" s="1" t="s">
        <v>782</v>
      </c>
      <c r="O8" s="1" t="s">
        <v>787</v>
      </c>
      <c r="P8" s="502"/>
      <c r="Q8" s="502"/>
    </row>
    <row r="9" spans="1:17">
      <c r="A9" s="1" t="s">
        <v>1198</v>
      </c>
      <c r="B9" s="275" t="s">
        <v>836</v>
      </c>
      <c r="C9" s="1" t="s">
        <v>784</v>
      </c>
      <c r="D9" s="1" t="s">
        <v>834</v>
      </c>
      <c r="E9" s="1" t="s">
        <v>1349</v>
      </c>
      <c r="F9" s="1" t="s">
        <v>823</v>
      </c>
      <c r="G9" s="1" t="s">
        <v>782</v>
      </c>
      <c r="H9" s="1" t="s">
        <v>782</v>
      </c>
      <c r="I9" s="1" t="s">
        <v>782</v>
      </c>
      <c r="J9" s="1" t="s">
        <v>782</v>
      </c>
      <c r="K9" s="1" t="s">
        <v>782</v>
      </c>
      <c r="L9" s="1" t="s">
        <v>782</v>
      </c>
      <c r="M9" s="1" t="s">
        <v>782</v>
      </c>
      <c r="N9" s="1" t="s">
        <v>782</v>
      </c>
      <c r="O9" s="1" t="s">
        <v>819</v>
      </c>
      <c r="P9" s="502"/>
      <c r="Q9" s="502"/>
    </row>
    <row r="10" spans="1:17">
      <c r="A10" s="1" t="s">
        <v>1198</v>
      </c>
      <c r="B10" s="275" t="s">
        <v>844</v>
      </c>
      <c r="C10" s="1" t="s">
        <v>789</v>
      </c>
      <c r="D10" s="1" t="s">
        <v>783</v>
      </c>
      <c r="E10" s="1" t="s">
        <v>787</v>
      </c>
      <c r="F10" s="1" t="s">
        <v>784</v>
      </c>
      <c r="G10" s="1" t="s">
        <v>782</v>
      </c>
      <c r="H10" s="1" t="s">
        <v>782</v>
      </c>
      <c r="I10" s="1" t="s">
        <v>782</v>
      </c>
      <c r="J10" s="1" t="s">
        <v>782</v>
      </c>
      <c r="K10" s="1" t="s">
        <v>782</v>
      </c>
      <c r="L10" s="1" t="s">
        <v>782</v>
      </c>
      <c r="M10" s="1" t="s">
        <v>782</v>
      </c>
      <c r="N10" s="1" t="s">
        <v>782</v>
      </c>
      <c r="O10" s="1" t="s">
        <v>789</v>
      </c>
      <c r="P10" s="502"/>
      <c r="Q10" s="502"/>
    </row>
    <row r="11" spans="1:17">
      <c r="A11" s="1" t="s">
        <v>1198</v>
      </c>
      <c r="B11" s="275" t="s">
        <v>845</v>
      </c>
      <c r="C11" s="1" t="s">
        <v>819</v>
      </c>
      <c r="D11" s="1" t="s">
        <v>825</v>
      </c>
      <c r="E11" s="1" t="s">
        <v>799</v>
      </c>
      <c r="F11" s="1" t="s">
        <v>799</v>
      </c>
      <c r="G11" s="1" t="s">
        <v>782</v>
      </c>
      <c r="H11" s="1" t="s">
        <v>782</v>
      </c>
      <c r="I11" s="1" t="s">
        <v>782</v>
      </c>
      <c r="J11" s="1" t="s">
        <v>782</v>
      </c>
      <c r="K11" s="1" t="s">
        <v>782</v>
      </c>
      <c r="L11" s="1" t="s">
        <v>782</v>
      </c>
      <c r="M11" s="1" t="s">
        <v>782</v>
      </c>
      <c r="N11" s="1" t="s">
        <v>782</v>
      </c>
      <c r="O11" s="1" t="s">
        <v>829</v>
      </c>
      <c r="P11" s="502"/>
      <c r="Q11" s="502"/>
    </row>
    <row r="12" spans="1:17">
      <c r="A12" s="1" t="s">
        <v>1198</v>
      </c>
      <c r="B12" s="275" t="s">
        <v>847</v>
      </c>
      <c r="C12" s="1" t="s">
        <v>843</v>
      </c>
      <c r="D12" s="1" t="s">
        <v>819</v>
      </c>
      <c r="E12" s="1" t="s">
        <v>857</v>
      </c>
      <c r="F12" s="1" t="s">
        <v>793</v>
      </c>
      <c r="G12" s="1" t="s">
        <v>782</v>
      </c>
      <c r="H12" s="1" t="s">
        <v>782</v>
      </c>
      <c r="I12" s="1" t="s">
        <v>782</v>
      </c>
      <c r="J12" s="1" t="s">
        <v>782</v>
      </c>
      <c r="K12" s="1" t="s">
        <v>782</v>
      </c>
      <c r="L12" s="1" t="s">
        <v>782</v>
      </c>
      <c r="M12" s="1" t="s">
        <v>782</v>
      </c>
      <c r="N12" s="1" t="s">
        <v>782</v>
      </c>
      <c r="O12" s="1" t="s">
        <v>828</v>
      </c>
      <c r="P12" s="502"/>
      <c r="Q12" s="502"/>
    </row>
    <row r="13" spans="1:17">
      <c r="A13" s="1" t="s">
        <v>1198</v>
      </c>
      <c r="B13" s="275" t="s">
        <v>853</v>
      </c>
      <c r="C13" s="1" t="s">
        <v>861</v>
      </c>
      <c r="D13" s="1" t="s">
        <v>837</v>
      </c>
      <c r="E13" s="1" t="s">
        <v>882</v>
      </c>
      <c r="F13" s="1" t="s">
        <v>854</v>
      </c>
      <c r="G13" s="1" t="s">
        <v>782</v>
      </c>
      <c r="H13" s="1" t="s">
        <v>782</v>
      </c>
      <c r="I13" s="1" t="s">
        <v>782</v>
      </c>
      <c r="J13" s="1" t="s">
        <v>782</v>
      </c>
      <c r="K13" s="1" t="s">
        <v>782</v>
      </c>
      <c r="L13" s="1" t="s">
        <v>782</v>
      </c>
      <c r="M13" s="1" t="s">
        <v>782</v>
      </c>
      <c r="N13" s="1" t="s">
        <v>782</v>
      </c>
      <c r="O13" s="1" t="s">
        <v>852</v>
      </c>
      <c r="P13" s="502"/>
      <c r="Q13" s="502"/>
    </row>
    <row r="14" spans="1:17">
      <c r="A14" s="1" t="s">
        <v>1198</v>
      </c>
      <c r="B14" s="275" t="s">
        <v>859</v>
      </c>
      <c r="C14" s="1" t="s">
        <v>1350</v>
      </c>
      <c r="D14" s="1" t="s">
        <v>1351</v>
      </c>
      <c r="E14" s="1" t="s">
        <v>808</v>
      </c>
      <c r="F14" s="1" t="s">
        <v>854</v>
      </c>
      <c r="G14" s="1" t="s">
        <v>782</v>
      </c>
      <c r="H14" s="1" t="s">
        <v>782</v>
      </c>
      <c r="I14" s="1" t="s">
        <v>782</v>
      </c>
      <c r="J14" s="1" t="s">
        <v>782</v>
      </c>
      <c r="K14" s="1" t="s">
        <v>782</v>
      </c>
      <c r="L14" s="1" t="s">
        <v>782</v>
      </c>
      <c r="M14" s="1" t="s">
        <v>782</v>
      </c>
      <c r="N14" s="1" t="s">
        <v>782</v>
      </c>
      <c r="O14" s="1" t="s">
        <v>1352</v>
      </c>
      <c r="P14" s="502"/>
      <c r="Q14" s="502"/>
    </row>
    <row r="15" spans="1:17">
      <c r="A15" s="1" t="s">
        <v>1198</v>
      </c>
      <c r="B15" s="275" t="s">
        <v>868</v>
      </c>
      <c r="C15" s="1" t="s">
        <v>782</v>
      </c>
      <c r="D15" s="1" t="s">
        <v>782</v>
      </c>
      <c r="E15" s="1" t="s">
        <v>799</v>
      </c>
      <c r="F15" s="1" t="s">
        <v>1353</v>
      </c>
      <c r="G15" s="1" t="s">
        <v>782</v>
      </c>
      <c r="H15" s="1" t="s">
        <v>782</v>
      </c>
      <c r="I15" s="1" t="s">
        <v>782</v>
      </c>
      <c r="J15" s="1" t="s">
        <v>782</v>
      </c>
      <c r="K15" s="1" t="s">
        <v>782</v>
      </c>
      <c r="L15" s="1" t="s">
        <v>782</v>
      </c>
      <c r="M15" s="1" t="s">
        <v>782</v>
      </c>
      <c r="N15" s="1" t="s">
        <v>782</v>
      </c>
      <c r="O15" s="1" t="s">
        <v>1354</v>
      </c>
      <c r="P15" s="502"/>
      <c r="Q15" s="502"/>
    </row>
    <row r="16" spans="1:17">
      <c r="A16" s="1" t="s">
        <v>1198</v>
      </c>
      <c r="B16" s="275" t="s">
        <v>869</v>
      </c>
      <c r="C16" s="1" t="s">
        <v>861</v>
      </c>
      <c r="D16" s="1" t="s">
        <v>849</v>
      </c>
      <c r="E16" s="1" t="s">
        <v>793</v>
      </c>
      <c r="F16" s="1" t="s">
        <v>786</v>
      </c>
      <c r="G16" s="1" t="s">
        <v>782</v>
      </c>
      <c r="H16" s="1" t="s">
        <v>782</v>
      </c>
      <c r="I16" s="1" t="s">
        <v>782</v>
      </c>
      <c r="J16" s="1" t="s">
        <v>782</v>
      </c>
      <c r="K16" s="1" t="s">
        <v>782</v>
      </c>
      <c r="L16" s="1" t="s">
        <v>782</v>
      </c>
      <c r="M16" s="1" t="s">
        <v>782</v>
      </c>
      <c r="N16" s="1" t="s">
        <v>782</v>
      </c>
      <c r="O16" s="1" t="s">
        <v>870</v>
      </c>
      <c r="P16" s="502"/>
      <c r="Q16" s="502"/>
    </row>
    <row r="17" spans="1:17">
      <c r="A17" s="1" t="s">
        <v>1198</v>
      </c>
      <c r="B17" s="275" t="s">
        <v>871</v>
      </c>
      <c r="C17" s="1" t="s">
        <v>782</v>
      </c>
      <c r="D17" s="1" t="s">
        <v>782</v>
      </c>
      <c r="E17" s="1" t="s">
        <v>782</v>
      </c>
      <c r="F17" s="1" t="s">
        <v>782</v>
      </c>
      <c r="G17" s="1" t="s">
        <v>782</v>
      </c>
      <c r="H17" s="1" t="s">
        <v>782</v>
      </c>
      <c r="I17" s="1" t="s">
        <v>782</v>
      </c>
      <c r="J17" s="1" t="s">
        <v>782</v>
      </c>
      <c r="K17" s="1" t="s">
        <v>782</v>
      </c>
      <c r="L17" s="1" t="s">
        <v>782</v>
      </c>
      <c r="M17" s="1" t="s">
        <v>782</v>
      </c>
      <c r="N17" s="1" t="s">
        <v>782</v>
      </c>
      <c r="O17" s="1" t="s">
        <v>782</v>
      </c>
      <c r="P17" s="502"/>
      <c r="Q17" s="502"/>
    </row>
    <row r="18" spans="1:17">
      <c r="A18" s="1" t="s">
        <v>1198</v>
      </c>
      <c r="B18" s="275" t="s">
        <v>872</v>
      </c>
      <c r="C18" s="1" t="s">
        <v>782</v>
      </c>
      <c r="D18" s="1" t="s">
        <v>782</v>
      </c>
      <c r="E18" s="1" t="s">
        <v>782</v>
      </c>
      <c r="F18" s="1" t="s">
        <v>782</v>
      </c>
      <c r="G18" s="1" t="s">
        <v>782</v>
      </c>
      <c r="H18" s="1" t="s">
        <v>782</v>
      </c>
      <c r="I18" s="1" t="s">
        <v>782</v>
      </c>
      <c r="J18" s="1" t="s">
        <v>782</v>
      </c>
      <c r="K18" s="1" t="s">
        <v>782</v>
      </c>
      <c r="L18" s="1" t="s">
        <v>782</v>
      </c>
      <c r="M18" s="1" t="s">
        <v>782</v>
      </c>
      <c r="N18" s="1" t="s">
        <v>782</v>
      </c>
      <c r="O18" s="1" t="s">
        <v>782</v>
      </c>
      <c r="P18" s="502"/>
      <c r="Q18" s="502"/>
    </row>
    <row r="19" spans="1:17">
      <c r="A19" s="1" t="s">
        <v>1198</v>
      </c>
      <c r="B19" s="275" t="s">
        <v>873</v>
      </c>
      <c r="C19" s="1" t="s">
        <v>782</v>
      </c>
      <c r="D19" s="1" t="s">
        <v>782</v>
      </c>
      <c r="E19" s="1" t="s">
        <v>782</v>
      </c>
      <c r="F19" s="1" t="s">
        <v>782</v>
      </c>
      <c r="G19" s="1" t="s">
        <v>782</v>
      </c>
      <c r="H19" s="1" t="s">
        <v>782</v>
      </c>
      <c r="I19" s="1" t="s">
        <v>782</v>
      </c>
      <c r="J19" s="1" t="s">
        <v>782</v>
      </c>
      <c r="K19" s="1" t="s">
        <v>782</v>
      </c>
      <c r="L19" s="1" t="s">
        <v>782</v>
      </c>
      <c r="M19" s="1" t="s">
        <v>782</v>
      </c>
      <c r="N19" s="1" t="s">
        <v>782</v>
      </c>
      <c r="O19" s="1" t="s">
        <v>782</v>
      </c>
      <c r="P19" s="502"/>
      <c r="Q19" s="502"/>
    </row>
    <row r="20" spans="1:17">
      <c r="A20" s="1" t="s">
        <v>1198</v>
      </c>
      <c r="B20" s="275" t="s">
        <v>874</v>
      </c>
      <c r="C20" s="1" t="s">
        <v>782</v>
      </c>
      <c r="D20" s="1" t="s">
        <v>782</v>
      </c>
      <c r="E20" s="1" t="s">
        <v>782</v>
      </c>
      <c r="F20" s="1" t="s">
        <v>782</v>
      </c>
      <c r="G20" s="1" t="s">
        <v>782</v>
      </c>
      <c r="H20" s="1" t="s">
        <v>782</v>
      </c>
      <c r="I20" s="1" t="s">
        <v>782</v>
      </c>
      <c r="J20" s="1" t="s">
        <v>782</v>
      </c>
      <c r="K20" s="1" t="s">
        <v>782</v>
      </c>
      <c r="L20" s="1" t="s">
        <v>782</v>
      </c>
      <c r="M20" s="1" t="s">
        <v>782</v>
      </c>
      <c r="N20" s="1" t="s">
        <v>782</v>
      </c>
      <c r="O20" s="1" t="s">
        <v>782</v>
      </c>
      <c r="P20" s="502"/>
      <c r="Q20" s="502"/>
    </row>
    <row r="21" spans="1:17">
      <c r="A21" s="1" t="s">
        <v>1198</v>
      </c>
      <c r="B21" s="275" t="s">
        <v>875</v>
      </c>
      <c r="C21" s="1" t="s">
        <v>1355</v>
      </c>
      <c r="D21" s="1" t="s">
        <v>1356</v>
      </c>
      <c r="E21" s="1" t="s">
        <v>1357</v>
      </c>
      <c r="F21" s="1" t="s">
        <v>799</v>
      </c>
      <c r="G21" s="1" t="s">
        <v>782</v>
      </c>
      <c r="H21" s="1" t="s">
        <v>782</v>
      </c>
      <c r="I21" s="1" t="s">
        <v>782</v>
      </c>
      <c r="J21" s="1" t="s">
        <v>782</v>
      </c>
      <c r="K21" s="1" t="s">
        <v>782</v>
      </c>
      <c r="L21" s="1" t="s">
        <v>782</v>
      </c>
      <c r="M21" s="1" t="s">
        <v>782</v>
      </c>
      <c r="N21" s="1" t="s">
        <v>782</v>
      </c>
      <c r="O21" s="1" t="s">
        <v>1358</v>
      </c>
      <c r="P21" s="502"/>
      <c r="Q21" s="502"/>
    </row>
    <row r="22" spans="1:17">
      <c r="A22" s="1" t="s">
        <v>1198</v>
      </c>
      <c r="B22" s="275" t="s">
        <v>876</v>
      </c>
      <c r="C22" s="1" t="s">
        <v>782</v>
      </c>
      <c r="D22" s="1" t="s">
        <v>782</v>
      </c>
      <c r="E22" s="1" t="s">
        <v>782</v>
      </c>
      <c r="F22" s="1" t="s">
        <v>782</v>
      </c>
      <c r="G22" s="1" t="s">
        <v>782</v>
      </c>
      <c r="H22" s="1" t="s">
        <v>782</v>
      </c>
      <c r="I22" s="1" t="s">
        <v>782</v>
      </c>
      <c r="J22" s="1" t="s">
        <v>782</v>
      </c>
      <c r="K22" s="1" t="s">
        <v>782</v>
      </c>
      <c r="L22" s="1" t="s">
        <v>782</v>
      </c>
      <c r="M22" s="1" t="s">
        <v>782</v>
      </c>
      <c r="N22" s="1" t="s">
        <v>782</v>
      </c>
      <c r="O22" s="1" t="s">
        <v>782</v>
      </c>
      <c r="P22" s="502"/>
    </row>
    <row r="23" spans="1:17">
      <c r="A23" s="1" t="s">
        <v>1198</v>
      </c>
      <c r="B23" s="275" t="s">
        <v>877</v>
      </c>
      <c r="C23" s="1" t="s">
        <v>834</v>
      </c>
      <c r="D23" s="1" t="s">
        <v>834</v>
      </c>
      <c r="E23" s="1" t="s">
        <v>839</v>
      </c>
      <c r="F23" s="1" t="s">
        <v>851</v>
      </c>
      <c r="G23" s="1" t="s">
        <v>782</v>
      </c>
      <c r="H23" s="1" t="s">
        <v>782</v>
      </c>
      <c r="I23" s="1" t="s">
        <v>782</v>
      </c>
      <c r="J23" s="1" t="s">
        <v>782</v>
      </c>
      <c r="K23" s="1" t="s">
        <v>782</v>
      </c>
      <c r="L23" s="1" t="s">
        <v>782</v>
      </c>
      <c r="M23" s="1" t="s">
        <v>782</v>
      </c>
      <c r="N23" s="1" t="s">
        <v>782</v>
      </c>
      <c r="O23" s="1" t="s">
        <v>894</v>
      </c>
    </row>
    <row r="24" spans="1:17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7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7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7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7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>
      <c r="A1002" s="1"/>
      <c r="B1002" s="27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>
      <c r="A1003" s="1"/>
      <c r="B1003" s="27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>
      <c r="A1004" s="1"/>
      <c r="B1004" s="27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>
      <c r="A1005" s="1"/>
      <c r="B1005" s="27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>
      <c r="A1006" s="1"/>
      <c r="B1006" s="27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>
      <c r="A1007" s="1"/>
      <c r="B1007" s="27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>
      <c r="A1008" s="1"/>
      <c r="B1008" s="27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>
      <c r="A1009" s="1"/>
      <c r="B1009" s="27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>
      <c r="A1010" s="1"/>
      <c r="B1010" s="27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>
      <c r="A1011" s="1"/>
      <c r="B1011" s="27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>
      <c r="A1012" s="1"/>
      <c r="B1012" s="27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>
      <c r="A1013" s="1"/>
      <c r="B1013" s="27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>
      <c r="A1014" s="1"/>
      <c r="B1014" s="27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>
      <c r="A1015" s="1"/>
      <c r="B1015" s="27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>
      <c r="A1016" s="1"/>
      <c r="B1016" s="27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>
      <c r="A1017" s="1"/>
      <c r="B1017" s="27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>
      <c r="A1018" s="1"/>
      <c r="B1018" s="27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>
      <c r="A1019" s="1"/>
      <c r="B1019" s="27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>
      <c r="A1020" s="1"/>
      <c r="B1020" s="27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>
      <c r="A1021" s="1"/>
      <c r="B1021" s="27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>
      <c r="A1022" s="1"/>
      <c r="B1022" s="27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>
      <c r="A1023" s="1"/>
      <c r="B1023" s="27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>
      <c r="A1024" s="1"/>
      <c r="B1024" s="27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>
      <c r="A1025" s="1"/>
      <c r="B1025" s="27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>
      <c r="A1026" s="1"/>
      <c r="B1026" s="27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>
      <c r="A1027" s="1"/>
      <c r="B1027" s="27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>
      <c r="A1028" s="1"/>
      <c r="B1028" s="27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>
      <c r="A1029" s="1"/>
      <c r="B1029" s="27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>
      <c r="A1030" s="1"/>
      <c r="B1030" s="27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>
      <c r="A1031" s="1"/>
      <c r="B1031" s="27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>
      <c r="A1032" s="1"/>
      <c r="B1032" s="27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>
      <c r="A1033" s="1"/>
      <c r="B1033" s="27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>
      <c r="A1034" s="1"/>
      <c r="B1034" s="27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>
      <c r="A1035" s="1"/>
      <c r="B1035" s="27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>
      <c r="A1036" s="1"/>
      <c r="B1036" s="27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>
      <c r="A1037" s="1"/>
      <c r="B1037" s="27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>
      <c r="A1038" s="1"/>
      <c r="B1038" s="27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>
      <c r="A1039" s="1"/>
      <c r="B1039" s="27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>
      <c r="A1040" s="1"/>
      <c r="B1040" s="27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>
      <c r="A1041" s="1"/>
      <c r="B1041" s="27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>
      <c r="A1042" s="1"/>
      <c r="B1042" s="27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>
      <c r="A1043" s="1"/>
      <c r="B1043" s="27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>
      <c r="A1044" s="1"/>
      <c r="B1044" s="27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>
      <c r="A1045" s="1"/>
      <c r="B1045" s="27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>
      <c r="A1046" s="1"/>
      <c r="B1046" s="27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>
      <c r="A1047" s="1"/>
      <c r="B1047" s="27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>
      <c r="A1048" s="1"/>
      <c r="B1048" s="27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>
      <c r="A1049" s="1"/>
      <c r="B1049" s="27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>
      <c r="A1050" s="1"/>
      <c r="B1050" s="27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>
      <c r="A1051" s="1"/>
      <c r="B1051" s="27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001"/>
  <sheetViews>
    <sheetView workbookViewId="0">
      <selection activeCell="D6" sqref="D6"/>
    </sheetView>
  </sheetViews>
  <sheetFormatPr defaultRowHeight="17.100000000000001"/>
  <sheetData>
    <row r="1" spans="1:17">
      <c r="A1" s="1" t="s">
        <v>1172</v>
      </c>
      <c r="B1" s="1" t="s">
        <v>361</v>
      </c>
      <c r="C1" s="1" t="s">
        <v>886</v>
      </c>
      <c r="D1" s="1" t="s">
        <v>1173</v>
      </c>
      <c r="E1" s="1" t="s">
        <v>1174</v>
      </c>
      <c r="F1" s="1" t="s">
        <v>1175</v>
      </c>
      <c r="G1" s="1" t="s">
        <v>1176</v>
      </c>
      <c r="H1" s="1" t="s">
        <v>1177</v>
      </c>
      <c r="I1" s="1" t="s">
        <v>1178</v>
      </c>
      <c r="J1" s="1" t="s">
        <v>1179</v>
      </c>
      <c r="K1" s="1" t="s">
        <v>1180</v>
      </c>
      <c r="L1" s="1" t="s">
        <v>1181</v>
      </c>
      <c r="M1" s="1" t="s">
        <v>1182</v>
      </c>
      <c r="N1" s="1" t="s">
        <v>1183</v>
      </c>
      <c r="O1" s="1" t="s">
        <v>1184</v>
      </c>
      <c r="P1" s="1" t="s">
        <v>781</v>
      </c>
    </row>
    <row r="2" spans="1:17">
      <c r="A2" s="1" t="s">
        <v>1198</v>
      </c>
      <c r="B2" s="275" t="s">
        <v>364</v>
      </c>
      <c r="C2" s="1" t="s">
        <v>236</v>
      </c>
      <c r="D2" s="1" t="s">
        <v>783</v>
      </c>
      <c r="E2" s="1" t="s">
        <v>791</v>
      </c>
      <c r="F2" s="1" t="s">
        <v>784</v>
      </c>
      <c r="G2" s="1" t="s">
        <v>795</v>
      </c>
      <c r="H2" s="1" t="s">
        <v>782</v>
      </c>
      <c r="I2" s="1" t="s">
        <v>782</v>
      </c>
      <c r="J2" s="1" t="s">
        <v>782</v>
      </c>
      <c r="K2" s="1" t="s">
        <v>782</v>
      </c>
      <c r="L2" s="1" t="s">
        <v>782</v>
      </c>
      <c r="M2" s="1" t="s">
        <v>782</v>
      </c>
      <c r="N2" s="1" t="s">
        <v>782</v>
      </c>
      <c r="O2" s="1" t="s">
        <v>782</v>
      </c>
      <c r="P2" s="1" t="s">
        <v>789</v>
      </c>
      <c r="Q2" s="502">
        <v>43045.229883090302</v>
      </c>
    </row>
    <row r="3" spans="1:17">
      <c r="A3" s="1" t="s">
        <v>1198</v>
      </c>
      <c r="B3" s="275" t="s">
        <v>364</v>
      </c>
      <c r="C3" s="1" t="s">
        <v>237</v>
      </c>
      <c r="D3" s="1" t="s">
        <v>785</v>
      </c>
      <c r="E3" s="1" t="s">
        <v>785</v>
      </c>
      <c r="F3" s="1" t="s">
        <v>784</v>
      </c>
      <c r="G3" s="1" t="s">
        <v>795</v>
      </c>
      <c r="H3" s="1" t="s">
        <v>782</v>
      </c>
      <c r="I3" s="1" t="s">
        <v>782</v>
      </c>
      <c r="J3" s="1" t="s">
        <v>782</v>
      </c>
      <c r="K3" s="1" t="s">
        <v>782</v>
      </c>
      <c r="L3" s="1" t="s">
        <v>782</v>
      </c>
      <c r="M3" s="1" t="s">
        <v>782</v>
      </c>
      <c r="N3" s="1" t="s">
        <v>782</v>
      </c>
      <c r="O3" s="1" t="s">
        <v>782</v>
      </c>
      <c r="P3" s="1" t="s">
        <v>787</v>
      </c>
      <c r="Q3" s="502">
        <v>43045.229883090302</v>
      </c>
    </row>
    <row r="4" spans="1:17">
      <c r="A4" s="1" t="s">
        <v>1198</v>
      </c>
      <c r="B4" s="275" t="s">
        <v>364</v>
      </c>
      <c r="C4" s="1" t="s">
        <v>887</v>
      </c>
      <c r="D4" s="1" t="s">
        <v>798</v>
      </c>
      <c r="E4" s="1" t="s">
        <v>798</v>
      </c>
      <c r="F4" s="1" t="s">
        <v>821</v>
      </c>
      <c r="G4" s="1" t="s">
        <v>821</v>
      </c>
      <c r="H4" s="1" t="s">
        <v>782</v>
      </c>
      <c r="I4" s="1" t="s">
        <v>782</v>
      </c>
      <c r="J4" s="1" t="s">
        <v>782</v>
      </c>
      <c r="K4" s="1" t="s">
        <v>782</v>
      </c>
      <c r="L4" s="1" t="s">
        <v>782</v>
      </c>
      <c r="M4" s="1" t="s">
        <v>782</v>
      </c>
      <c r="N4" s="1" t="s">
        <v>782</v>
      </c>
      <c r="O4" s="1" t="s">
        <v>782</v>
      </c>
      <c r="P4" s="1" t="s">
        <v>798</v>
      </c>
      <c r="Q4" s="502">
        <v>43045.229883090302</v>
      </c>
    </row>
    <row r="5" spans="1:17">
      <c r="A5" s="1" t="s">
        <v>1198</v>
      </c>
      <c r="B5" s="275" t="s">
        <v>364</v>
      </c>
      <c r="C5" s="1" t="s">
        <v>888</v>
      </c>
      <c r="D5" s="1" t="s">
        <v>789</v>
      </c>
      <c r="E5" s="1" t="s">
        <v>786</v>
      </c>
      <c r="F5" s="1" t="s">
        <v>795</v>
      </c>
      <c r="G5" s="1" t="s">
        <v>795</v>
      </c>
      <c r="H5" s="1" t="s">
        <v>782</v>
      </c>
      <c r="I5" s="1" t="s">
        <v>782</v>
      </c>
      <c r="J5" s="1" t="s">
        <v>782</v>
      </c>
      <c r="K5" s="1" t="s">
        <v>782</v>
      </c>
      <c r="L5" s="1" t="s">
        <v>782</v>
      </c>
      <c r="M5" s="1" t="s">
        <v>782</v>
      </c>
      <c r="N5" s="1" t="s">
        <v>782</v>
      </c>
      <c r="O5" s="1" t="s">
        <v>782</v>
      </c>
      <c r="P5" s="1" t="s">
        <v>787</v>
      </c>
      <c r="Q5" s="502">
        <v>43045.229883090302</v>
      </c>
    </row>
    <row r="6" spans="1:17">
      <c r="A6" s="1" t="s">
        <v>1198</v>
      </c>
      <c r="B6" s="275" t="s">
        <v>397</v>
      </c>
      <c r="C6" s="1" t="s">
        <v>888</v>
      </c>
      <c r="D6" s="1" t="s">
        <v>786</v>
      </c>
      <c r="E6" s="1" t="s">
        <v>795</v>
      </c>
      <c r="F6" s="1" t="s">
        <v>794</v>
      </c>
      <c r="G6" s="1" t="s">
        <v>797</v>
      </c>
      <c r="H6" s="1" t="s">
        <v>782</v>
      </c>
      <c r="I6" s="1" t="s">
        <v>782</v>
      </c>
      <c r="J6" s="1" t="s">
        <v>782</v>
      </c>
      <c r="K6" s="1" t="s">
        <v>782</v>
      </c>
      <c r="L6" s="1" t="s">
        <v>782</v>
      </c>
      <c r="M6" s="1" t="s">
        <v>782</v>
      </c>
      <c r="N6" s="1" t="s">
        <v>782</v>
      </c>
      <c r="O6" s="1" t="s">
        <v>782</v>
      </c>
      <c r="P6" s="1" t="s">
        <v>788</v>
      </c>
      <c r="Q6" s="502">
        <v>43045.229883090302</v>
      </c>
    </row>
    <row r="7" spans="1:17">
      <c r="A7" s="1" t="s">
        <v>1198</v>
      </c>
      <c r="B7" s="275" t="s">
        <v>427</v>
      </c>
      <c r="C7" s="1" t="s">
        <v>888</v>
      </c>
      <c r="D7" s="1" t="s">
        <v>797</v>
      </c>
      <c r="E7" s="1" t="s">
        <v>824</v>
      </c>
      <c r="F7" s="1" t="s">
        <v>824</v>
      </c>
      <c r="G7" s="1" t="s">
        <v>824</v>
      </c>
      <c r="H7" s="1" t="s">
        <v>782</v>
      </c>
      <c r="I7" s="1" t="s">
        <v>782</v>
      </c>
      <c r="J7" s="1" t="s">
        <v>782</v>
      </c>
      <c r="K7" s="1" t="s">
        <v>782</v>
      </c>
      <c r="L7" s="1" t="s">
        <v>782</v>
      </c>
      <c r="M7" s="1" t="s">
        <v>782</v>
      </c>
      <c r="N7" s="1" t="s">
        <v>782</v>
      </c>
      <c r="O7" s="1" t="s">
        <v>782</v>
      </c>
      <c r="P7" s="1" t="s">
        <v>823</v>
      </c>
      <c r="Q7" s="502">
        <v>43045.229883090302</v>
      </c>
    </row>
    <row r="8" spans="1:17">
      <c r="A8" s="1" t="s">
        <v>1198</v>
      </c>
      <c r="B8" s="275" t="s">
        <v>454</v>
      </c>
      <c r="C8" s="1" t="s">
        <v>888</v>
      </c>
      <c r="D8" s="1" t="s">
        <v>1359</v>
      </c>
      <c r="E8" s="1" t="s">
        <v>832</v>
      </c>
      <c r="F8" s="1" t="s">
        <v>838</v>
      </c>
      <c r="G8" s="1" t="s">
        <v>890</v>
      </c>
      <c r="H8" s="1" t="s">
        <v>782</v>
      </c>
      <c r="I8" s="1" t="s">
        <v>782</v>
      </c>
      <c r="J8" s="1" t="s">
        <v>782</v>
      </c>
      <c r="K8" s="1" t="s">
        <v>782</v>
      </c>
      <c r="L8" s="1" t="s">
        <v>782</v>
      </c>
      <c r="M8" s="1" t="s">
        <v>782</v>
      </c>
      <c r="N8" s="1" t="s">
        <v>782</v>
      </c>
      <c r="O8" s="1" t="s">
        <v>782</v>
      </c>
      <c r="P8" s="1" t="s">
        <v>1360</v>
      </c>
      <c r="Q8" s="502">
        <v>43045.229883090302</v>
      </c>
    </row>
    <row r="9" spans="1:17">
      <c r="A9" s="1" t="s">
        <v>1198</v>
      </c>
      <c r="B9" s="275" t="s">
        <v>481</v>
      </c>
      <c r="C9" s="1" t="s">
        <v>888</v>
      </c>
      <c r="D9" s="1" t="s">
        <v>823</v>
      </c>
      <c r="E9" s="1" t="s">
        <v>797</v>
      </c>
      <c r="F9" s="1" t="s">
        <v>822</v>
      </c>
      <c r="G9" s="1" t="s">
        <v>798</v>
      </c>
      <c r="H9" s="1" t="s">
        <v>782</v>
      </c>
      <c r="I9" s="1" t="s">
        <v>782</v>
      </c>
      <c r="J9" s="1" t="s">
        <v>782</v>
      </c>
      <c r="K9" s="1" t="s">
        <v>782</v>
      </c>
      <c r="L9" s="1" t="s">
        <v>782</v>
      </c>
      <c r="M9" s="1" t="s">
        <v>782</v>
      </c>
      <c r="N9" s="1" t="s">
        <v>782</v>
      </c>
      <c r="O9" s="1" t="s">
        <v>782</v>
      </c>
      <c r="P9" s="1" t="s">
        <v>821</v>
      </c>
      <c r="Q9" s="502">
        <v>43045.229883090302</v>
      </c>
    </row>
    <row r="10" spans="1:17">
      <c r="A10" s="1" t="s">
        <v>1198</v>
      </c>
      <c r="B10" s="275" t="s">
        <v>510</v>
      </c>
      <c r="C10" s="1" t="s">
        <v>888</v>
      </c>
      <c r="D10" s="1" t="s">
        <v>782</v>
      </c>
      <c r="E10" s="1" t="s">
        <v>782</v>
      </c>
      <c r="F10" s="1" t="s">
        <v>782</v>
      </c>
      <c r="G10" s="1" t="s">
        <v>782</v>
      </c>
      <c r="H10" s="1" t="s">
        <v>782</v>
      </c>
      <c r="I10" s="1" t="s">
        <v>782</v>
      </c>
      <c r="J10" s="1" t="s">
        <v>782</v>
      </c>
      <c r="K10" s="1" t="s">
        <v>782</v>
      </c>
      <c r="L10" s="1" t="s">
        <v>782</v>
      </c>
      <c r="M10" s="1" t="s">
        <v>782</v>
      </c>
      <c r="N10" s="1" t="s">
        <v>782</v>
      </c>
      <c r="O10" s="1" t="s">
        <v>782</v>
      </c>
      <c r="P10" s="1" t="s">
        <v>782</v>
      </c>
      <c r="Q10" s="502">
        <v>43045.229883090302</v>
      </c>
    </row>
    <row r="11" spans="1:17">
      <c r="A11" s="1" t="s">
        <v>1198</v>
      </c>
      <c r="B11" s="275" t="s">
        <v>511</v>
      </c>
      <c r="C11" s="1" t="s">
        <v>888</v>
      </c>
      <c r="D11" s="1" t="s">
        <v>835</v>
      </c>
      <c r="E11" s="1" t="s">
        <v>787</v>
      </c>
      <c r="F11" s="1" t="s">
        <v>788</v>
      </c>
      <c r="G11" s="1" t="s">
        <v>829</v>
      </c>
      <c r="H11" s="1" t="s">
        <v>782</v>
      </c>
      <c r="I11" s="1" t="s">
        <v>782</v>
      </c>
      <c r="J11" s="1" t="s">
        <v>782</v>
      </c>
      <c r="K11" s="1" t="s">
        <v>782</v>
      </c>
      <c r="L11" s="1" t="s">
        <v>782</v>
      </c>
      <c r="M11" s="1" t="s">
        <v>782</v>
      </c>
      <c r="N11" s="1" t="s">
        <v>782</v>
      </c>
      <c r="O11" s="1" t="s">
        <v>782</v>
      </c>
      <c r="P11" s="1" t="s">
        <v>784</v>
      </c>
      <c r="Q11" s="502">
        <v>43045.229883090302</v>
      </c>
    </row>
    <row r="12" spans="1:17">
      <c r="A12" s="1" t="s">
        <v>1198</v>
      </c>
      <c r="B12" s="275" t="s">
        <v>845</v>
      </c>
      <c r="C12" s="1" t="s">
        <v>888</v>
      </c>
      <c r="D12" s="1" t="s">
        <v>851</v>
      </c>
      <c r="E12" s="1" t="s">
        <v>822</v>
      </c>
      <c r="F12" s="1" t="s">
        <v>799</v>
      </c>
      <c r="G12" s="1" t="s">
        <v>799</v>
      </c>
      <c r="H12" s="1" t="s">
        <v>782</v>
      </c>
      <c r="I12" s="1" t="s">
        <v>782</v>
      </c>
      <c r="J12" s="1" t="s">
        <v>782</v>
      </c>
      <c r="K12" s="1" t="s">
        <v>782</v>
      </c>
      <c r="L12" s="1" t="s">
        <v>782</v>
      </c>
      <c r="M12" s="1" t="s">
        <v>782</v>
      </c>
      <c r="N12" s="1" t="s">
        <v>782</v>
      </c>
      <c r="O12" s="1" t="s">
        <v>782</v>
      </c>
      <c r="P12" s="1" t="s">
        <v>788</v>
      </c>
      <c r="Q12" s="502">
        <v>43045.229883090302</v>
      </c>
    </row>
    <row r="13" spans="1:17">
      <c r="A13" s="1" t="s">
        <v>1198</v>
      </c>
      <c r="B13" s="275" t="s">
        <v>847</v>
      </c>
      <c r="C13" s="1" t="s">
        <v>888</v>
      </c>
      <c r="D13" s="1" t="s">
        <v>878</v>
      </c>
      <c r="E13" s="1" t="s">
        <v>1361</v>
      </c>
      <c r="F13" s="1" t="s">
        <v>848</v>
      </c>
      <c r="G13" s="1" t="s">
        <v>829</v>
      </c>
      <c r="H13" s="1" t="s">
        <v>782</v>
      </c>
      <c r="I13" s="1" t="s">
        <v>782</v>
      </c>
      <c r="J13" s="1" t="s">
        <v>782</v>
      </c>
      <c r="K13" s="1" t="s">
        <v>782</v>
      </c>
      <c r="L13" s="1" t="s">
        <v>782</v>
      </c>
      <c r="M13" s="1" t="s">
        <v>782</v>
      </c>
      <c r="N13" s="1" t="s">
        <v>782</v>
      </c>
      <c r="O13" s="1" t="s">
        <v>782</v>
      </c>
      <c r="P13" s="1" t="s">
        <v>851</v>
      </c>
      <c r="Q13" s="502">
        <v>43045.229883090302</v>
      </c>
    </row>
    <row r="14" spans="1:17">
      <c r="A14" s="1" t="s">
        <v>1198</v>
      </c>
      <c r="B14" s="275" t="s">
        <v>853</v>
      </c>
      <c r="C14" s="1" t="s">
        <v>888</v>
      </c>
      <c r="D14" s="1" t="s">
        <v>855</v>
      </c>
      <c r="E14" s="1" t="s">
        <v>826</v>
      </c>
      <c r="F14" s="1" t="s">
        <v>826</v>
      </c>
      <c r="G14" s="1" t="s">
        <v>848</v>
      </c>
      <c r="H14" s="1" t="s">
        <v>782</v>
      </c>
      <c r="I14" s="1" t="s">
        <v>782</v>
      </c>
      <c r="J14" s="1" t="s">
        <v>782</v>
      </c>
      <c r="K14" s="1" t="s">
        <v>782</v>
      </c>
      <c r="L14" s="1" t="s">
        <v>782</v>
      </c>
      <c r="M14" s="1" t="s">
        <v>782</v>
      </c>
      <c r="N14" s="1" t="s">
        <v>782</v>
      </c>
      <c r="O14" s="1" t="s">
        <v>782</v>
      </c>
      <c r="P14" s="1" t="s">
        <v>857</v>
      </c>
      <c r="Q14" s="502">
        <v>43045.229883090302</v>
      </c>
    </row>
    <row r="15" spans="1:17">
      <c r="A15" s="1" t="s">
        <v>1198</v>
      </c>
      <c r="B15" s="275" t="s">
        <v>859</v>
      </c>
      <c r="C15" s="1" t="s">
        <v>888</v>
      </c>
      <c r="D15" s="1" t="s">
        <v>1362</v>
      </c>
      <c r="E15" s="1" t="s">
        <v>1363</v>
      </c>
      <c r="F15" s="1" t="s">
        <v>808</v>
      </c>
      <c r="G15" s="1" t="s">
        <v>854</v>
      </c>
      <c r="H15" s="1" t="s">
        <v>782</v>
      </c>
      <c r="I15" s="1" t="s">
        <v>782</v>
      </c>
      <c r="J15" s="1" t="s">
        <v>782</v>
      </c>
      <c r="K15" s="1" t="s">
        <v>782</v>
      </c>
      <c r="L15" s="1" t="s">
        <v>782</v>
      </c>
      <c r="M15" s="1" t="s">
        <v>782</v>
      </c>
      <c r="N15" s="1" t="s">
        <v>782</v>
      </c>
      <c r="O15" s="1" t="s">
        <v>782</v>
      </c>
      <c r="P15" s="1" t="s">
        <v>866</v>
      </c>
      <c r="Q15" s="502">
        <v>43045.229883090302</v>
      </c>
    </row>
    <row r="16" spans="1:17">
      <c r="A16" s="1" t="s">
        <v>1198</v>
      </c>
      <c r="B16" s="275" t="s">
        <v>868</v>
      </c>
      <c r="C16" s="1" t="s">
        <v>888</v>
      </c>
      <c r="D16" s="1" t="s">
        <v>782</v>
      </c>
      <c r="E16" s="1" t="s">
        <v>782</v>
      </c>
      <c r="F16" s="1" t="s">
        <v>782</v>
      </c>
      <c r="G16" s="1" t="s">
        <v>782</v>
      </c>
      <c r="H16" s="1" t="s">
        <v>782</v>
      </c>
      <c r="I16" s="1" t="s">
        <v>782</v>
      </c>
      <c r="J16" s="1" t="s">
        <v>782</v>
      </c>
      <c r="K16" s="1" t="s">
        <v>782</v>
      </c>
      <c r="L16" s="1" t="s">
        <v>782</v>
      </c>
      <c r="M16" s="1" t="s">
        <v>782</v>
      </c>
      <c r="N16" s="1" t="s">
        <v>782</v>
      </c>
      <c r="O16" s="1" t="s">
        <v>782</v>
      </c>
      <c r="P16" s="1" t="s">
        <v>782</v>
      </c>
      <c r="Q16" s="502">
        <v>43045.229883090302</v>
      </c>
    </row>
    <row r="17" spans="1:17">
      <c r="A17" s="1" t="s">
        <v>1198</v>
      </c>
      <c r="B17" s="275" t="s">
        <v>896</v>
      </c>
      <c r="C17" s="1" t="s">
        <v>888</v>
      </c>
      <c r="D17" s="1" t="s">
        <v>782</v>
      </c>
      <c r="E17" s="1" t="s">
        <v>782</v>
      </c>
      <c r="F17" s="1" t="s">
        <v>782</v>
      </c>
      <c r="G17" s="1" t="s">
        <v>782</v>
      </c>
      <c r="H17" s="1" t="s">
        <v>782</v>
      </c>
      <c r="I17" s="1" t="s">
        <v>782</v>
      </c>
      <c r="J17" s="1" t="s">
        <v>782</v>
      </c>
      <c r="K17" s="1" t="s">
        <v>782</v>
      </c>
      <c r="L17" s="1" t="s">
        <v>782</v>
      </c>
      <c r="M17" s="1" t="s">
        <v>782</v>
      </c>
      <c r="N17" s="1" t="s">
        <v>782</v>
      </c>
      <c r="O17" s="1" t="s">
        <v>782</v>
      </c>
      <c r="P17" s="1" t="s">
        <v>782</v>
      </c>
      <c r="Q17" s="502">
        <v>43045.229883090302</v>
      </c>
    </row>
    <row r="18" spans="1:17">
      <c r="A18" s="1" t="s">
        <v>1198</v>
      </c>
      <c r="B18" s="275" t="s">
        <v>897</v>
      </c>
      <c r="C18" s="1" t="s">
        <v>888</v>
      </c>
      <c r="D18" s="1" t="s">
        <v>782</v>
      </c>
      <c r="E18" s="1" t="s">
        <v>782</v>
      </c>
      <c r="F18" s="1" t="s">
        <v>782</v>
      </c>
      <c r="G18" s="1" t="s">
        <v>782</v>
      </c>
      <c r="H18" s="1" t="s">
        <v>782</v>
      </c>
      <c r="I18" s="1" t="s">
        <v>782</v>
      </c>
      <c r="J18" s="1" t="s">
        <v>782</v>
      </c>
      <c r="K18" s="1" t="s">
        <v>782</v>
      </c>
      <c r="L18" s="1" t="s">
        <v>782</v>
      </c>
      <c r="M18" s="1" t="s">
        <v>782</v>
      </c>
      <c r="N18" s="1" t="s">
        <v>782</v>
      </c>
      <c r="O18" s="1" t="s">
        <v>782</v>
      </c>
      <c r="P18" s="1" t="s">
        <v>782</v>
      </c>
      <c r="Q18" s="502">
        <v>43045.229883090302</v>
      </c>
    </row>
    <row r="19" spans="1:17">
      <c r="A19" s="1" t="s">
        <v>1198</v>
      </c>
      <c r="B19" s="275" t="s">
        <v>898</v>
      </c>
      <c r="C19" s="1" t="s">
        <v>888</v>
      </c>
      <c r="D19" s="1" t="s">
        <v>782</v>
      </c>
      <c r="E19" s="1" t="s">
        <v>782</v>
      </c>
      <c r="F19" s="1" t="s">
        <v>782</v>
      </c>
      <c r="G19" s="1" t="s">
        <v>782</v>
      </c>
      <c r="H19" s="1" t="s">
        <v>782</v>
      </c>
      <c r="I19" s="1" t="s">
        <v>782</v>
      </c>
      <c r="J19" s="1" t="s">
        <v>782</v>
      </c>
      <c r="K19" s="1" t="s">
        <v>782</v>
      </c>
      <c r="L19" s="1" t="s">
        <v>782</v>
      </c>
      <c r="M19" s="1" t="s">
        <v>782</v>
      </c>
      <c r="N19" s="1" t="s">
        <v>782</v>
      </c>
      <c r="O19" s="1" t="s">
        <v>782</v>
      </c>
      <c r="P19" s="1" t="s">
        <v>782</v>
      </c>
      <c r="Q19" s="502">
        <v>43045.229883090302</v>
      </c>
    </row>
    <row r="20" spans="1:17">
      <c r="A20" s="1" t="s">
        <v>1198</v>
      </c>
      <c r="B20" s="275" t="s">
        <v>899</v>
      </c>
      <c r="C20" s="1" t="s">
        <v>888</v>
      </c>
      <c r="D20" s="1" t="s">
        <v>782</v>
      </c>
      <c r="E20" s="1" t="s">
        <v>782</v>
      </c>
      <c r="F20" s="1" t="s">
        <v>782</v>
      </c>
      <c r="G20" s="1" t="s">
        <v>782</v>
      </c>
      <c r="H20" s="1" t="s">
        <v>782</v>
      </c>
      <c r="I20" s="1" t="s">
        <v>782</v>
      </c>
      <c r="J20" s="1" t="s">
        <v>782</v>
      </c>
      <c r="K20" s="1" t="s">
        <v>782</v>
      </c>
      <c r="L20" s="1" t="s">
        <v>782</v>
      </c>
      <c r="M20" s="1" t="s">
        <v>782</v>
      </c>
      <c r="N20" s="1" t="s">
        <v>782</v>
      </c>
      <c r="O20" s="1" t="s">
        <v>782</v>
      </c>
      <c r="P20" s="1" t="s">
        <v>782</v>
      </c>
      <c r="Q20" s="502">
        <v>43045.229883090302</v>
      </c>
    </row>
    <row r="21" spans="1:17">
      <c r="A21" s="1" t="s">
        <v>1198</v>
      </c>
      <c r="B21" s="275" t="s">
        <v>900</v>
      </c>
      <c r="C21" s="1" t="s">
        <v>888</v>
      </c>
      <c r="D21" s="1" t="s">
        <v>782</v>
      </c>
      <c r="E21" s="1" t="s">
        <v>782</v>
      </c>
      <c r="F21" s="1" t="s">
        <v>782</v>
      </c>
      <c r="G21" s="1" t="s">
        <v>782</v>
      </c>
      <c r="H21" s="1" t="s">
        <v>782</v>
      </c>
      <c r="I21" s="1" t="s">
        <v>782</v>
      </c>
      <c r="J21" s="1" t="s">
        <v>782</v>
      </c>
      <c r="K21" s="1" t="s">
        <v>782</v>
      </c>
      <c r="L21" s="1" t="s">
        <v>782</v>
      </c>
      <c r="M21" s="1" t="s">
        <v>782</v>
      </c>
      <c r="N21" s="1" t="s">
        <v>782</v>
      </c>
      <c r="O21" s="1" t="s">
        <v>782</v>
      </c>
      <c r="P21" s="1" t="s">
        <v>782</v>
      </c>
      <c r="Q21" s="502">
        <v>43045.229883090302</v>
      </c>
    </row>
    <row r="22" spans="1:17">
      <c r="A22" s="1" t="s">
        <v>1198</v>
      </c>
      <c r="B22" s="275" t="s">
        <v>901</v>
      </c>
      <c r="C22" s="1" t="s">
        <v>888</v>
      </c>
      <c r="D22" s="1" t="s">
        <v>819</v>
      </c>
      <c r="E22" s="1" t="s">
        <v>814</v>
      </c>
      <c r="F22" s="1" t="s">
        <v>826</v>
      </c>
      <c r="G22" s="1" t="s">
        <v>861</v>
      </c>
      <c r="H22" s="1" t="s">
        <v>782</v>
      </c>
      <c r="I22" s="1" t="s">
        <v>782</v>
      </c>
      <c r="J22" s="1" t="s">
        <v>782</v>
      </c>
      <c r="K22" s="1" t="s">
        <v>782</v>
      </c>
      <c r="L22" s="1" t="s">
        <v>782</v>
      </c>
      <c r="M22" s="1" t="s">
        <v>782</v>
      </c>
      <c r="N22" s="1" t="s">
        <v>782</v>
      </c>
      <c r="O22" s="1" t="s">
        <v>782</v>
      </c>
      <c r="P22" s="1" t="s">
        <v>814</v>
      </c>
    </row>
    <row r="23" spans="1:17">
      <c r="A23" s="1"/>
      <c r="B23" s="27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>
      <c r="A24" s="1"/>
      <c r="B24" s="27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>
      <c r="A25" s="1"/>
      <c r="B25" s="27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>
      <c r="A26" s="1"/>
      <c r="B26" s="27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>
      <c r="A27" s="1"/>
      <c r="B27" s="27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>
      <c r="A28" s="1"/>
      <c r="B28" s="27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>
      <c r="A29" s="1"/>
      <c r="B29" s="27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>
      <c r="A30" s="1"/>
      <c r="B30" s="27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>
      <c r="A31" s="1"/>
      <c r="B31" s="27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>
      <c r="A32" s="1"/>
      <c r="B32" s="27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27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27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27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27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27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27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27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27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27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27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27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27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27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27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27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27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27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27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27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27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27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27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27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27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27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27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27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27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27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27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27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27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27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27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27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27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27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27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27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27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27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27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27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27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27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27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27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27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27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27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27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27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27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27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27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27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27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27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27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27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27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27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27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27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27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27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27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2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27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27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27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27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27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27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27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27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27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27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27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27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27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27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27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27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27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27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27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27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27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27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27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27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27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27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27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27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27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27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27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27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27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27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27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27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27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27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27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27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27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27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27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27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27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27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27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27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27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27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27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27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27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27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27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27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27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27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27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27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27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27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27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27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27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27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27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27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27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27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27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27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27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27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27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27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27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27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27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27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27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27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27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27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27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27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27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27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27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27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27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27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27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27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27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27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27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27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27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27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27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27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27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27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27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27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27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27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27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27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27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27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27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27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27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27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27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27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27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27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27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27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27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27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27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27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27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27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27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27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27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27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27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27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27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27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27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27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27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27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27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27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27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27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27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27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27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27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27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27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27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27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27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27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27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27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27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27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27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27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27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27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27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27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27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27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27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27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27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27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27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27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27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27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27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27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27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27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27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27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27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27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27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27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27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27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27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27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27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27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27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27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27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27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27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27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27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27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27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27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27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27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27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27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27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27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27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27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27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27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27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27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27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27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27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27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27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27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27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27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27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27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27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27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27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27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27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27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27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27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27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27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27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27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27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27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27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27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27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27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27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27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27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27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27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27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27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27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27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27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27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27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27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27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27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27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27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27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27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27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27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27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27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27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27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27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27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27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27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27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27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27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27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27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27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27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27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27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27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27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27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27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27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27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27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27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27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27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27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27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27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27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27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27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27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27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27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27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27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27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27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27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27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27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27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27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27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27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27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27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27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27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27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27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27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27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27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27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27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27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27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27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27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27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27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27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27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27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27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27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27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27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27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27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27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27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27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27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27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27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27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27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27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27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27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27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27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27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27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27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27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27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27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27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27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27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27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27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27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27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27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27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27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27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27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27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27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27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27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27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27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27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27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27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27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27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27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27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27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27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27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27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27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27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27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27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27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27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27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27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27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27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27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27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27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27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27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27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27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27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27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27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27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27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27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27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27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27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27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27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27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27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27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27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27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27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27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27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2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2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2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27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27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27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27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27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27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27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27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27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27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27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27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27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27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27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27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27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27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27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27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27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27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27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27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27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27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27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27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27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27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27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27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27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27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27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27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27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27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27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27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27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27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27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27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27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27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27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27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27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27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27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27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27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27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27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27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27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27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27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27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27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27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27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27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27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27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27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27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27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27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27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27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27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27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27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27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27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27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27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27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27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27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27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27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27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27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27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27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27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27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27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27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27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27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27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27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27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27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27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27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27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27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27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27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27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27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27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27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27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27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27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27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27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27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27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27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27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27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27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27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27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27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27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27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27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27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27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27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27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27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27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27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27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27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27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27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27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27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27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27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27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27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27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27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27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27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27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27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27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27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27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27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27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27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27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27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27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27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27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27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27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27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27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27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27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27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27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27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27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27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27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27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27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27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27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27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27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27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27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27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27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27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27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27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27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27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27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27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27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27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27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27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27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27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27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27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27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27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27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27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27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27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27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27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27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27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27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27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27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27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27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27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27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27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27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27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27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27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27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27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27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27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27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27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27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27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27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27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27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27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27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27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27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27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27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27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27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27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27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27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27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27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27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27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27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27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27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27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27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27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27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27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27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27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27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27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27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27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27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27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27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27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27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27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27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27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27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27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27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27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27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27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27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27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27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27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27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27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27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27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27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27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27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27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27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27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27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27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27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27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27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27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27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27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27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27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27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27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27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27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27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27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27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27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27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27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27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27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27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27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27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27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27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27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27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27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27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27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27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27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27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27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27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27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27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27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27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27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27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27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27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27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27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27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27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27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27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27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27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27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27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27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27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27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27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27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27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27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27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27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27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27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27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27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27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27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27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27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27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27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27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27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27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27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27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27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27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27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27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27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27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27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27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27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27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27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27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27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27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27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27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27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27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27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27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27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27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27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27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27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27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27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27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27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27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27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27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27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27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27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27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27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27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27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27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27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27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27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27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27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27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27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27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27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27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27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27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27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27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27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27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27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27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27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27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27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27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27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27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27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27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27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27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27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27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27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27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27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27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27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27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27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27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27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27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27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27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27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27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27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27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27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27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27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27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27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27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27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27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27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27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27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27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27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27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27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27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27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27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27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27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27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27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27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27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27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27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27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27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27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1172</v>
      </c>
      <c r="B1" s="503" t="s">
        <v>361</v>
      </c>
      <c r="C1" s="503" t="s">
        <v>1173</v>
      </c>
      <c r="D1" s="503" t="s">
        <v>1174</v>
      </c>
      <c r="E1" s="503" t="s">
        <v>1175</v>
      </c>
      <c r="F1" s="503" t="s">
        <v>1176</v>
      </c>
      <c r="G1" s="503" t="s">
        <v>1177</v>
      </c>
      <c r="H1" s="503" t="s">
        <v>1178</v>
      </c>
      <c r="I1" s="503" t="s">
        <v>1179</v>
      </c>
      <c r="J1" s="503" t="s">
        <v>1180</v>
      </c>
      <c r="K1" s="503" t="s">
        <v>1181</v>
      </c>
      <c r="L1" s="503" t="s">
        <v>1182</v>
      </c>
      <c r="M1" s="503" t="s">
        <v>1183</v>
      </c>
      <c r="N1" s="503" t="s">
        <v>1184</v>
      </c>
      <c r="O1" s="503" t="s">
        <v>1364</v>
      </c>
    </row>
    <row r="2" spans="1:15">
      <c r="A2" s="503" t="s">
        <v>1198</v>
      </c>
      <c r="B2" s="503" t="s">
        <v>364</v>
      </c>
      <c r="C2" s="503" t="s">
        <v>1365</v>
      </c>
      <c r="D2" s="503" t="s">
        <v>1366</v>
      </c>
      <c r="E2" s="503" t="s">
        <v>1367</v>
      </c>
      <c r="F2" s="503" t="s">
        <v>1368</v>
      </c>
      <c r="G2" s="503" t="s">
        <v>782</v>
      </c>
      <c r="H2" s="503" t="s">
        <v>782</v>
      </c>
      <c r="I2" s="503" t="s">
        <v>782</v>
      </c>
      <c r="J2" s="503" t="s">
        <v>782</v>
      </c>
      <c r="K2" s="503" t="s">
        <v>782</v>
      </c>
      <c r="L2" s="503" t="s">
        <v>782</v>
      </c>
      <c r="M2" s="503" t="s">
        <v>782</v>
      </c>
      <c r="N2" s="503" t="s">
        <v>782</v>
      </c>
      <c r="O2" s="503" t="s">
        <v>1369</v>
      </c>
    </row>
    <row r="3" spans="1:15">
      <c r="A3" s="503" t="s">
        <v>1198</v>
      </c>
      <c r="B3" s="503" t="s">
        <v>397</v>
      </c>
      <c r="C3" s="503" t="s">
        <v>1370</v>
      </c>
      <c r="D3" s="503" t="s">
        <v>1371</v>
      </c>
      <c r="E3" s="503" t="s">
        <v>1372</v>
      </c>
      <c r="F3" s="503" t="s">
        <v>1373</v>
      </c>
      <c r="G3" s="503" t="s">
        <v>782</v>
      </c>
      <c r="H3" s="503" t="s">
        <v>782</v>
      </c>
      <c r="I3" s="503" t="s">
        <v>782</v>
      </c>
      <c r="J3" s="503" t="s">
        <v>782</v>
      </c>
      <c r="K3" s="503" t="s">
        <v>782</v>
      </c>
      <c r="L3" s="503" t="s">
        <v>782</v>
      </c>
      <c r="M3" s="503" t="s">
        <v>782</v>
      </c>
      <c r="N3" s="503" t="s">
        <v>782</v>
      </c>
      <c r="O3" s="503" t="s">
        <v>1374</v>
      </c>
    </row>
    <row r="4" spans="1:15">
      <c r="A4" s="503" t="s">
        <v>1198</v>
      </c>
      <c r="B4" s="503" t="s">
        <v>427</v>
      </c>
      <c r="C4" s="503" t="s">
        <v>1375</v>
      </c>
      <c r="D4" s="503" t="s">
        <v>1376</v>
      </c>
      <c r="E4" s="503" t="s">
        <v>237</v>
      </c>
      <c r="F4" s="503" t="s">
        <v>1376</v>
      </c>
      <c r="G4" s="503" t="s">
        <v>782</v>
      </c>
      <c r="H4" s="503" t="s">
        <v>782</v>
      </c>
      <c r="I4" s="503" t="s">
        <v>782</v>
      </c>
      <c r="J4" s="503" t="s">
        <v>782</v>
      </c>
      <c r="K4" s="503" t="s">
        <v>782</v>
      </c>
      <c r="L4" s="503" t="s">
        <v>782</v>
      </c>
      <c r="M4" s="503" t="s">
        <v>782</v>
      </c>
      <c r="N4" s="503" t="s">
        <v>782</v>
      </c>
      <c r="O4" s="503" t="s">
        <v>1377</v>
      </c>
    </row>
    <row r="5" spans="1:15">
      <c r="A5" s="503" t="s">
        <v>1198</v>
      </c>
      <c r="B5" s="503" t="s">
        <v>454</v>
      </c>
      <c r="C5" s="503" t="s">
        <v>1378</v>
      </c>
      <c r="D5" s="503" t="s">
        <v>1379</v>
      </c>
      <c r="E5" s="503" t="s">
        <v>957</v>
      </c>
      <c r="F5" s="503" t="s">
        <v>1380</v>
      </c>
      <c r="G5" s="503" t="s">
        <v>782</v>
      </c>
      <c r="H5" s="503" t="s">
        <v>782</v>
      </c>
      <c r="I5" s="503" t="s">
        <v>782</v>
      </c>
      <c r="J5" s="503" t="s">
        <v>782</v>
      </c>
      <c r="K5" s="503" t="s">
        <v>782</v>
      </c>
      <c r="L5" s="503" t="s">
        <v>782</v>
      </c>
      <c r="M5" s="503" t="s">
        <v>782</v>
      </c>
      <c r="N5" s="503" t="s">
        <v>782</v>
      </c>
      <c r="O5" s="503" t="s">
        <v>1381</v>
      </c>
    </row>
    <row r="6" spans="1:15">
      <c r="A6" s="503" t="s">
        <v>1198</v>
      </c>
      <c r="B6" s="503" t="s">
        <v>481</v>
      </c>
      <c r="C6" s="503" t="s">
        <v>1382</v>
      </c>
      <c r="D6" s="503" t="s">
        <v>1383</v>
      </c>
      <c r="E6" s="503" t="s">
        <v>1384</v>
      </c>
      <c r="F6" s="503" t="s">
        <v>1385</v>
      </c>
      <c r="G6" s="503" t="s">
        <v>782</v>
      </c>
      <c r="H6" s="503" t="s">
        <v>782</v>
      </c>
      <c r="I6" s="503" t="s">
        <v>782</v>
      </c>
      <c r="J6" s="503" t="s">
        <v>782</v>
      </c>
      <c r="K6" s="503" t="s">
        <v>782</v>
      </c>
      <c r="L6" s="503" t="s">
        <v>782</v>
      </c>
      <c r="M6" s="503" t="s">
        <v>782</v>
      </c>
      <c r="N6" s="503" t="s">
        <v>782</v>
      </c>
      <c r="O6" s="503" t="s">
        <v>1386</v>
      </c>
    </row>
    <row r="7" spans="1:15">
      <c r="A7" s="503" t="s">
        <v>1198</v>
      </c>
      <c r="B7" s="503" t="s">
        <v>510</v>
      </c>
      <c r="C7" s="503" t="s">
        <v>782</v>
      </c>
      <c r="D7" s="503" t="s">
        <v>782</v>
      </c>
      <c r="E7" s="503" t="s">
        <v>782</v>
      </c>
      <c r="F7" s="503" t="s">
        <v>782</v>
      </c>
      <c r="G7" s="503" t="s">
        <v>782</v>
      </c>
      <c r="H7" s="503" t="s">
        <v>782</v>
      </c>
      <c r="I7" s="503" t="s">
        <v>782</v>
      </c>
      <c r="J7" s="503" t="s">
        <v>782</v>
      </c>
      <c r="K7" s="503" t="s">
        <v>782</v>
      </c>
      <c r="L7" s="503" t="s">
        <v>782</v>
      </c>
      <c r="M7" s="503" t="s">
        <v>782</v>
      </c>
      <c r="N7" s="503" t="s">
        <v>782</v>
      </c>
      <c r="O7" s="503" t="s">
        <v>782</v>
      </c>
    </row>
    <row r="8" spans="1:15">
      <c r="A8" s="503" t="s">
        <v>1198</v>
      </c>
      <c r="B8" s="503" t="s">
        <v>511</v>
      </c>
      <c r="C8" s="503" t="s">
        <v>1384</v>
      </c>
      <c r="D8" s="503" t="s">
        <v>1387</v>
      </c>
      <c r="E8" s="503" t="s">
        <v>1388</v>
      </c>
      <c r="F8" s="503" t="s">
        <v>1375</v>
      </c>
      <c r="G8" s="503" t="s">
        <v>782</v>
      </c>
      <c r="H8" s="503" t="s">
        <v>782</v>
      </c>
      <c r="I8" s="503" t="s">
        <v>782</v>
      </c>
      <c r="J8" s="503" t="s">
        <v>782</v>
      </c>
      <c r="K8" s="503" t="s">
        <v>782</v>
      </c>
      <c r="L8" s="503" t="s">
        <v>782</v>
      </c>
      <c r="M8" s="503" t="s">
        <v>782</v>
      </c>
      <c r="N8" s="503" t="s">
        <v>782</v>
      </c>
      <c r="O8" s="503" t="s">
        <v>1389</v>
      </c>
    </row>
    <row r="9" spans="1:15">
      <c r="A9" s="503" t="s">
        <v>1198</v>
      </c>
      <c r="B9" s="503" t="s">
        <v>836</v>
      </c>
      <c r="C9" s="503" t="s">
        <v>360</v>
      </c>
      <c r="D9" s="503" t="s">
        <v>1390</v>
      </c>
      <c r="E9" s="503" t="s">
        <v>1391</v>
      </c>
      <c r="F9" s="503" t="s">
        <v>236</v>
      </c>
      <c r="G9" s="503" t="s">
        <v>782</v>
      </c>
      <c r="H9" s="503" t="s">
        <v>782</v>
      </c>
      <c r="I9" s="503" t="s">
        <v>782</v>
      </c>
      <c r="J9" s="503" t="s">
        <v>782</v>
      </c>
      <c r="K9" s="503" t="s">
        <v>782</v>
      </c>
      <c r="L9" s="503" t="s">
        <v>782</v>
      </c>
      <c r="M9" s="503" t="s">
        <v>782</v>
      </c>
      <c r="N9" s="503" t="s">
        <v>782</v>
      </c>
      <c r="O9" s="503" t="s">
        <v>1392</v>
      </c>
    </row>
    <row r="10" spans="1:15">
      <c r="A10" s="503" t="s">
        <v>1198</v>
      </c>
      <c r="B10" s="503" t="s">
        <v>845</v>
      </c>
      <c r="C10" s="503" t="s">
        <v>1391</v>
      </c>
      <c r="D10" s="503" t="s">
        <v>360</v>
      </c>
      <c r="E10" s="503" t="s">
        <v>782</v>
      </c>
      <c r="F10" s="503" t="s">
        <v>782</v>
      </c>
      <c r="G10" s="503" t="s">
        <v>782</v>
      </c>
      <c r="H10" s="503" t="s">
        <v>782</v>
      </c>
      <c r="I10" s="503" t="s">
        <v>782</v>
      </c>
      <c r="J10" s="503" t="s">
        <v>782</v>
      </c>
      <c r="K10" s="503" t="s">
        <v>782</v>
      </c>
      <c r="L10" s="503" t="s">
        <v>782</v>
      </c>
      <c r="M10" s="503" t="s">
        <v>782</v>
      </c>
      <c r="N10" s="503" t="s">
        <v>782</v>
      </c>
      <c r="O10" s="503" t="s">
        <v>1393</v>
      </c>
    </row>
    <row r="11" spans="1:15">
      <c r="A11" s="503" t="s">
        <v>1198</v>
      </c>
      <c r="B11" s="503" t="s">
        <v>847</v>
      </c>
      <c r="C11" s="503" t="s">
        <v>1394</v>
      </c>
      <c r="D11" s="503" t="s">
        <v>1395</v>
      </c>
      <c r="E11" s="503" t="s">
        <v>1381</v>
      </c>
      <c r="F11" s="503" t="s">
        <v>1396</v>
      </c>
      <c r="G11" s="503" t="s">
        <v>782</v>
      </c>
      <c r="H11" s="503" t="s">
        <v>782</v>
      </c>
      <c r="I11" s="503" t="s">
        <v>782</v>
      </c>
      <c r="J11" s="503" t="s">
        <v>782</v>
      </c>
      <c r="K11" s="503" t="s">
        <v>782</v>
      </c>
      <c r="L11" s="503" t="s">
        <v>782</v>
      </c>
      <c r="M11" s="503" t="s">
        <v>782</v>
      </c>
      <c r="N11" s="503" t="s">
        <v>782</v>
      </c>
      <c r="O11" s="503" t="s">
        <v>1397</v>
      </c>
    </row>
    <row r="12" spans="1:15">
      <c r="A12" s="503" t="s">
        <v>1198</v>
      </c>
      <c r="B12" s="503" t="s">
        <v>853</v>
      </c>
      <c r="C12" s="503" t="s">
        <v>1398</v>
      </c>
      <c r="D12" s="503" t="s">
        <v>1399</v>
      </c>
      <c r="E12" s="503" t="s">
        <v>1400</v>
      </c>
      <c r="F12" s="503" t="s">
        <v>1401</v>
      </c>
      <c r="G12" s="503" t="s">
        <v>782</v>
      </c>
      <c r="H12" s="503" t="s">
        <v>782</v>
      </c>
      <c r="I12" s="503" t="s">
        <v>782</v>
      </c>
      <c r="J12" s="503" t="s">
        <v>782</v>
      </c>
      <c r="K12" s="503" t="s">
        <v>782</v>
      </c>
      <c r="L12" s="503" t="s">
        <v>782</v>
      </c>
      <c r="M12" s="503" t="s">
        <v>782</v>
      </c>
      <c r="N12" s="503" t="s">
        <v>782</v>
      </c>
      <c r="O12" s="503" t="s">
        <v>1402</v>
      </c>
    </row>
    <row r="13" spans="1:15">
      <c r="A13" s="503" t="s">
        <v>1198</v>
      </c>
      <c r="B13" s="503" t="s">
        <v>859</v>
      </c>
      <c r="C13" s="503" t="s">
        <v>1403</v>
      </c>
      <c r="D13" s="503" t="s">
        <v>1404</v>
      </c>
      <c r="E13" s="503" t="s">
        <v>1405</v>
      </c>
      <c r="F13" s="503" t="s">
        <v>1406</v>
      </c>
      <c r="G13" s="503" t="s">
        <v>782</v>
      </c>
      <c r="H13" s="503" t="s">
        <v>782</v>
      </c>
      <c r="I13" s="503" t="s">
        <v>782</v>
      </c>
      <c r="J13" s="503" t="s">
        <v>782</v>
      </c>
      <c r="K13" s="503" t="s">
        <v>782</v>
      </c>
      <c r="L13" s="503" t="s">
        <v>782</v>
      </c>
      <c r="M13" s="503" t="s">
        <v>782</v>
      </c>
      <c r="N13" s="503" t="s">
        <v>782</v>
      </c>
      <c r="O13" s="503" t="s">
        <v>1407</v>
      </c>
    </row>
    <row r="14" spans="1:15">
      <c r="A14" s="503" t="s">
        <v>1198</v>
      </c>
      <c r="B14" s="503" t="s">
        <v>868</v>
      </c>
      <c r="C14" s="503" t="s">
        <v>782</v>
      </c>
      <c r="D14" s="503" t="s">
        <v>237</v>
      </c>
      <c r="E14" s="503" t="s">
        <v>782</v>
      </c>
      <c r="F14" s="503" t="s">
        <v>236</v>
      </c>
      <c r="G14" s="503" t="s">
        <v>782</v>
      </c>
      <c r="H14" s="503" t="s">
        <v>782</v>
      </c>
      <c r="I14" s="503" t="s">
        <v>782</v>
      </c>
      <c r="J14" s="503" t="s">
        <v>782</v>
      </c>
      <c r="K14" s="503" t="s">
        <v>782</v>
      </c>
      <c r="L14" s="503" t="s">
        <v>782</v>
      </c>
      <c r="M14" s="503" t="s">
        <v>782</v>
      </c>
      <c r="N14" s="503" t="s">
        <v>782</v>
      </c>
      <c r="O14" s="503" t="s">
        <v>236</v>
      </c>
    </row>
    <row r="15" spans="1:15">
      <c r="A15" s="503" t="s">
        <v>1198</v>
      </c>
      <c r="B15" s="503" t="s">
        <v>896</v>
      </c>
      <c r="C15" s="503" t="s">
        <v>782</v>
      </c>
      <c r="D15" s="503" t="s">
        <v>782</v>
      </c>
      <c r="E15" s="503" t="s">
        <v>782</v>
      </c>
      <c r="F15" s="503" t="s">
        <v>782</v>
      </c>
      <c r="G15" s="503" t="s">
        <v>782</v>
      </c>
      <c r="H15" s="503" t="s">
        <v>782</v>
      </c>
      <c r="I15" s="503" t="s">
        <v>782</v>
      </c>
      <c r="J15" s="503" t="s">
        <v>782</v>
      </c>
      <c r="K15" s="503" t="s">
        <v>782</v>
      </c>
      <c r="L15" s="503" t="s">
        <v>782</v>
      </c>
      <c r="M15" s="503" t="s">
        <v>782</v>
      </c>
      <c r="N15" s="503" t="s">
        <v>782</v>
      </c>
      <c r="O15" s="503" t="s">
        <v>782</v>
      </c>
    </row>
    <row r="16" spans="1:15">
      <c r="A16" s="503" t="s">
        <v>1198</v>
      </c>
      <c r="B16" s="503" t="s">
        <v>897</v>
      </c>
      <c r="C16" s="503" t="s">
        <v>782</v>
      </c>
      <c r="D16" s="503" t="s">
        <v>782</v>
      </c>
      <c r="E16" s="503" t="s">
        <v>782</v>
      </c>
      <c r="F16" s="503" t="s">
        <v>782</v>
      </c>
      <c r="G16" s="503" t="s">
        <v>782</v>
      </c>
      <c r="H16" s="503" t="s">
        <v>782</v>
      </c>
      <c r="I16" s="503" t="s">
        <v>782</v>
      </c>
      <c r="J16" s="503" t="s">
        <v>782</v>
      </c>
      <c r="K16" s="503" t="s">
        <v>782</v>
      </c>
      <c r="L16" s="503" t="s">
        <v>782</v>
      </c>
      <c r="M16" s="503" t="s">
        <v>782</v>
      </c>
      <c r="N16" s="503" t="s">
        <v>782</v>
      </c>
      <c r="O16" s="503" t="s">
        <v>782</v>
      </c>
    </row>
    <row r="17" spans="1:15">
      <c r="A17" s="503" t="s">
        <v>1198</v>
      </c>
      <c r="B17" s="503" t="s">
        <v>898</v>
      </c>
      <c r="C17" s="503" t="s">
        <v>782</v>
      </c>
      <c r="D17" s="503" t="s">
        <v>782</v>
      </c>
      <c r="E17" s="503" t="s">
        <v>782</v>
      </c>
      <c r="F17" s="503" t="s">
        <v>782</v>
      </c>
      <c r="G17" s="503" t="s">
        <v>782</v>
      </c>
      <c r="H17" s="503" t="s">
        <v>782</v>
      </c>
      <c r="I17" s="503" t="s">
        <v>782</v>
      </c>
      <c r="J17" s="503" t="s">
        <v>782</v>
      </c>
      <c r="K17" s="503" t="s">
        <v>782</v>
      </c>
      <c r="L17" s="503" t="s">
        <v>782</v>
      </c>
      <c r="M17" s="503" t="s">
        <v>782</v>
      </c>
      <c r="N17" s="503" t="s">
        <v>782</v>
      </c>
      <c r="O17" s="503" t="s">
        <v>782</v>
      </c>
    </row>
    <row r="18" spans="1:15">
      <c r="A18" s="503" t="s">
        <v>1198</v>
      </c>
      <c r="B18" s="503" t="s">
        <v>899</v>
      </c>
      <c r="C18" s="503" t="s">
        <v>782</v>
      </c>
      <c r="D18" s="503" t="s">
        <v>782</v>
      </c>
      <c r="E18" s="503" t="s">
        <v>782</v>
      </c>
      <c r="F18" s="503" t="s">
        <v>782</v>
      </c>
      <c r="G18" s="503" t="s">
        <v>782</v>
      </c>
      <c r="H18" s="503" t="s">
        <v>782</v>
      </c>
      <c r="I18" s="503" t="s">
        <v>782</v>
      </c>
      <c r="J18" s="503" t="s">
        <v>782</v>
      </c>
      <c r="K18" s="503" t="s">
        <v>782</v>
      </c>
      <c r="L18" s="503" t="s">
        <v>782</v>
      </c>
      <c r="M18" s="503" t="s">
        <v>782</v>
      </c>
      <c r="N18" s="503" t="s">
        <v>782</v>
      </c>
      <c r="O18" s="503" t="s">
        <v>782</v>
      </c>
    </row>
    <row r="19" spans="1:15">
      <c r="A19" s="503" t="s">
        <v>1198</v>
      </c>
      <c r="B19" s="503" t="s">
        <v>900</v>
      </c>
      <c r="C19" s="503" t="s">
        <v>782</v>
      </c>
      <c r="D19" s="503" t="s">
        <v>782</v>
      </c>
      <c r="E19" s="503" t="s">
        <v>782</v>
      </c>
      <c r="F19" s="503" t="s">
        <v>782</v>
      </c>
      <c r="G19" s="503" t="s">
        <v>782</v>
      </c>
      <c r="H19" s="503" t="s">
        <v>782</v>
      </c>
      <c r="I19" s="503" t="s">
        <v>782</v>
      </c>
      <c r="J19" s="503" t="s">
        <v>782</v>
      </c>
      <c r="K19" s="503" t="s">
        <v>782</v>
      </c>
      <c r="L19" s="503" t="s">
        <v>782</v>
      </c>
      <c r="M19" s="503" t="s">
        <v>782</v>
      </c>
      <c r="N19" s="503" t="s">
        <v>782</v>
      </c>
      <c r="O19" s="503" t="s">
        <v>782</v>
      </c>
    </row>
    <row r="20" spans="1:15">
      <c r="A20" s="503" t="s">
        <v>1198</v>
      </c>
      <c r="B20" s="503" t="s">
        <v>901</v>
      </c>
      <c r="C20" s="503" t="s">
        <v>1408</v>
      </c>
      <c r="D20" s="503" t="s">
        <v>1409</v>
      </c>
      <c r="E20" s="503" t="s">
        <v>1410</v>
      </c>
      <c r="F20" s="503" t="s">
        <v>1411</v>
      </c>
      <c r="G20" s="503" t="s">
        <v>782</v>
      </c>
      <c r="H20" s="503" t="s">
        <v>782</v>
      </c>
      <c r="I20" s="503" t="s">
        <v>782</v>
      </c>
      <c r="J20" s="503" t="s">
        <v>782</v>
      </c>
      <c r="K20" s="503" t="s">
        <v>782</v>
      </c>
      <c r="L20" s="503" t="s">
        <v>782</v>
      </c>
      <c r="M20" s="503" t="s">
        <v>782</v>
      </c>
      <c r="N20" s="503" t="s">
        <v>782</v>
      </c>
      <c r="O20" s="503" t="s">
        <v>1412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B31E9E0-AF40-4585-88C5-D8684A38D044}"/>
</file>

<file path=customXml/itemProps3.xml><?xml version="1.0" encoding="utf-8"?>
<ds:datastoreItem xmlns:ds="http://schemas.openxmlformats.org/officeDocument/2006/customXml" ds:itemID="{EC39957D-8F25-4C5A-A3A8-28652AEF8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徐得凱</cp:lastModifiedBy>
  <cp:revision/>
  <dcterms:created xsi:type="dcterms:W3CDTF">2010-08-05T03:30:00Z</dcterms:created>
  <dcterms:modified xsi:type="dcterms:W3CDTF">2025-06-10T08:44:12Z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2025-06-02T00:06:24Z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db3e98ee-fc79-4c14-ad5c-7c19516db4a1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