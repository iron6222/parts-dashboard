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CF4CC6C9-2208-41C4-8205-4955A2AD3085}"/>
  <bookViews>
    <workbookView xWindow="2868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<sst xmlns="http://schemas.openxmlformats.org/spreadsheetml/2006/main" count="7069" uniqueCount="1352">
  <si>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</si>
  <si>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</si>
  <si>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</si>
  <si>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</si>
  <si>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</si>
  <si>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</si>
  <si>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</si>
  <si>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</si>
  <si>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</si>
  <si>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</si>
  <si>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</si>
  <si>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</si>
  <si>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</si>
  <si>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</si>
  <si>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</si>
  <si>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</si>
  <si>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</si>
  <si>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</si>
  <si>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</si>
  <si>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</si>
  <si>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</si>
  <si>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</si>
  <si>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</si>
  <si>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</si>
  <si>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</si>
  <si>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</si>
  <si>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</si>
  <si>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</si>
  <si>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</si>
  <si>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</si>
  <si>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</si>
  <si>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</si>
  <si>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</si>
  <si>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</si>
  <si>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</si>
  <si>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</si>
  <si>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</si>
  <si>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</si>
  <si>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</si>
  <si>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</si>
  <si>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</si>
  <si>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</si>
  <si>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</si>
  <si>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</si>
  <si>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</si>
  <si>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</si>
  <si>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</si>
  <si>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</si>
  <si>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</si>
  <si>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</si>
  <si>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</si>
  <si>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</si>
  <si>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</si>
  <si>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</si>
  <si>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</si>
  <si>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</si>
  <si>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</si>
  <si>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</si>
  <si>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</si>
  <si>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</si>
  <si>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</si>
  <si>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</si>
  <si>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</si>
  <si>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</si>
  <si>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</si>
  <si>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</si>
  <si>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</si>
  <si>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</si>
  <si>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</si>
  <si>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</si>
  <si>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</si>
  <si>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</si>
  <si>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</si>
  <si>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</si>
  <si>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</si>
  <si>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</si>
  <si>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</si>
  <si>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</si>
  <si>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</si>
  <si>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</si>
  <si>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</si>
  <si>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</si>
  <si>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</si>
  <si>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</si>
  <si>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</si>
  <si>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</si>
  <si>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</si>
  <si>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</si>
  <si>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</si>
  <si>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</si>
  <si>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</si>
  <si>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</si>
  <si>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</si>
  <si>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</si>
  <si>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</si>
  <si>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</si>
  <si>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</si>
  <si>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</si>
  <si>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</si>
  <si>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</si>
  <si>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</si>
  <si>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</si>
  <si>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</si>
  <si>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</si>
  <si>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</si>
  <si>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</si>
  <si>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</si>
  <si>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</si>
  <si>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</si>
  <si>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</si>
  <si>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</si>
  <si>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</si>
  <si>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</si>
  <si>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</si>
  <si>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</si>
  <si>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</si>
  <si>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</si>
  <si>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</si>
  <si>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</si>
  <si>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</si>
  <si>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</si>
  <si>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</si>
  <si>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</si>
  <si>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</si>
  <si>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</si>
  <si>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</si>
  <si>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</si>
  <si>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</si>
  <si>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</si>
  <si>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</si>
  <si>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</si>
  <si>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</si>
  <si>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</si>
  <si>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</si>
  <si>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</si>
  <si>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</si>
  <si>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</si>
  <si>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</si>
  <si>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</si>
  <si>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</si>
  <si>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</si>
  <si>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</si>
  <si>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</si>
  <si>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</si>
  <si>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</si>
  <si>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</si>
  <si>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</si>
  <si>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</si>
  <si>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</si>
  <si>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</si>
  <si>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</si>
  <si>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</si>
  <si>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</si>
  <si>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</si>
  <si>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</si>
  <si>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</si>
  <si>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</si>
  <si>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</si>
  <si>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</si>
  <si>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</si>
  <si>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</si>
  <si>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</si>
  <si>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</si>
  <si>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</si>
  <si>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</si>
  <si>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</si>
  <si>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</si>
  <si>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</si>
  <si>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</si>
  <si>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</si>
  <si>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</si>
  <si>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</si>
  <si>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</si>
  <si>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</si>
  <si>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</si>
  <si>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</si>
  <si>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</si>
  <si>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</si>
  <si>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</si>
  <si>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</si>
  <si>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</si>
  <si>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</si>
  <si>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</si>
  <si>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</si>
  <si>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</si>
  <si>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</si>
  <si>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</si>
  <si>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</si>
  <si>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</si>
  <si>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</si>
  <si>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</si>
  <si>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</si>
  <si>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</si>
  <si>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</si>
  <si>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</si>
  <si>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</si>
  <si>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</si>
  <si>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</si>
  <si>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</si>
  <si>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</si>
  <si>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</si>
  <si>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</si>
  <si>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</si>
  <si>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</si>
  <si>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</si>
  <si>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</si>
  <si>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</si>
  <si>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</si>
  <si>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</si>
  <si>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</si>
  <si>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</si>
  <si>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</si>
  <si>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</si>
  <si>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</si>
  <si>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</si>
  <si>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</si>
  <si>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</si>
  <si>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</si>
  <si>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</si>
  <si>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</si>
  <si>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</si>
  <si>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</si>
  <si>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</si>
  <si>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</si>
  <si>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</si>
  <si>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</si>
  <si>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</si>
  <si>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</si>
  <si>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</si>
  <si>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</si>
  <si>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</si>
  <si>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</si>
  <si>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</si>
  <si>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</si>
  <si>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</si>
  <si>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</si>
  <si>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</si>
  <si>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</si>
  <si>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</si>
  <si>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</si>
  <si>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</si>
  <si>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</si>
  <si>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</si>
  <si>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</si>
  <si>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</si>
  <si>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</si>
  <si>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</si>
  <si>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</si>
  <si>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</si>
  <si>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</si>
  <si>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</si>
  <si>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</si>
  <si>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</si>
  <si>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</si>
  <si>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</si>
  <si>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</si>
  <si>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</si>
  <si>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</si>
  <si>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</si>
  <si>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</si>
  <si>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</si>
  <si>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</si>
  <si>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</si>
  <si>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</si>
  <si>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</si>
  <si>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</si>
  <si>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</si>
  <si>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</si>
  <si>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</si>
  <si>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</si>
  <si>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</si>
  <si>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</si>
  <si>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</si>
  <si>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</si>
  <si>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</si>
  <si>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</si>
  <si>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</si>
  <si>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</si>
  <si>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</si>
  <si>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</si>
  <si>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</si>
  <si>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</si>
  <si>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</si>
  <si>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</si>
  <si>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</si>
  <si>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</si>
  <si>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</si>
  <si>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</si>
  <si>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</si>
  <si>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</si>
  <si>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</si>
  <si>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</si>
  <si>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</si>
  <si>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</si>
  <si>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</si>
  <si>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</si>
  <si>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</si>
  <si>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</si>
  <si>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</si>
  <si>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</si>
  <si>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</si>
  <si>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</si>
  <si>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</si>
  <si>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</si>
  <si>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</si>
  <si>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</si>
  <si>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</si>
  <si>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</si>
  <si>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</si>
  <si>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</si>
  <si>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</si>
  <si>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</si>
  <si>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</si>
  <si>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</si>
  <si>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</si>
  <si>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</si>
  <si>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</si>
  <si>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</si>
  <si>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</si>
  <si>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</si>
  <si>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</si>
  <si>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</si>
  <si>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</si>
  <si>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</si>
  <si>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</si>
  <si>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</si>
  <si>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</si>
  <si>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</si>
  <si>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202504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</si>
  <si>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</si>
  <si>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</si>
  <si>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</si>
  <si>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</si>
  <si>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</si>
  <si>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</si>
  <si>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</si>
  <si>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</si>
  <si>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</si>
  <si>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</si>
  <si>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</si>
  <si>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</si>
  <si>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</si>
  <si>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</si>
  <si>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</si>
  <si>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</si>
  <si>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</si>
  <si>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</si>
  <si>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</si>
  <si>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</si>
  <si>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</si>
  <si>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</si>
  <si>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</si>
  <si>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</si>
  <si>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</si>
  <si>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</si>
  <si>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</si>
  <si>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</si>
  <si>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</si>
  <si>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</si>
  <si>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</t>
  </si>
  <si>
    <t>FRCD</t>
  </si>
  <si>
    <t>DIFFAMT</t>
  </si>
  <si>
    <t>AVGAMT</t>
  </si>
  <si>
    <t>01-A</t>
  </si>
  <si>
    <t>306632022.00</t>
  </si>
  <si>
    <t>308856429.00</t>
  </si>
  <si>
    <t>308863560.00</t>
  </si>
  <si>
    <t>301057324.00</t>
  </si>
  <si>
    <t>301501607.00</t>
  </si>
  <si>
    <t>309930425.00</t>
  </si>
  <si>
    <t>305978853.00</t>
  </si>
  <si>
    <t>303058573.00</t>
  </si>
  <si>
    <t>305381472.00</t>
  </si>
  <si>
    <t>306986017.00</t>
  </si>
  <si>
    <t>300066320.00</t>
  </si>
  <si>
    <t>300040308.00</t>
  </si>
  <si>
    <t>302087992.00</t>
  </si>
  <si>
    <t>302358267.00</t>
  </si>
  <si>
    <t>302329246.00</t>
  </si>
  <si>
    <t>302552951.00</t>
  </si>
  <si>
    <t>305633792.00</t>
  </si>
  <si>
    <t>303481685.00</t>
  </si>
  <si>
    <t>303470917.00</t>
  </si>
  <si>
    <t>301128724.00</t>
  </si>
  <si>
    <t>303095676.00</t>
  </si>
  <si>
    <t>302782023.00</t>
  </si>
  <si>
    <t>307506855.00</t>
  </si>
  <si>
    <t>307831306.00</t>
  </si>
  <si>
    <t>305924672.00</t>
  </si>
  <si>
    <t>305922122.00</t>
  </si>
  <si>
    <t>307048831.00</t>
  </si>
  <si>
    <t>308146319.00</t>
  </si>
  <si>
    <t>311952904.00</t>
  </si>
  <si>
    <t>.00</t>
  </si>
  <si>
    <t>3806585.00</t>
  </si>
  <si>
    <t>305015691.73</t>
  </si>
  <si>
    <t>02-D</t>
  </si>
  <si>
    <t>235504356.00</t>
  </si>
  <si>
    <t>239116943.00</t>
  </si>
  <si>
    <t>239117178.00</t>
  </si>
  <si>
    <t>237364680.00</t>
  </si>
  <si>
    <t>237800738.00</t>
  </si>
  <si>
    <t>236708682.00</t>
  </si>
  <si>
    <t>237617951.00</t>
  </si>
  <si>
    <t>238257588.00</t>
  </si>
  <si>
    <t>239452844.00</t>
  </si>
  <si>
    <t>238047784.00</t>
  </si>
  <si>
    <t>238043634.00</t>
  </si>
  <si>
    <t>239528255.00</t>
  </si>
  <si>
    <t>241193810.00</t>
  </si>
  <si>
    <t>243431528.00</t>
  </si>
  <si>
    <t>243332207.00</t>
  </si>
  <si>
    <t>246364402.00</t>
  </si>
  <si>
    <t>244610841.00</t>
  </si>
  <si>
    <t>244084575.00</t>
  </si>
  <si>
    <t>245601735.00</t>
  </si>
  <si>
    <t>246719588.00</t>
  </si>
  <si>
    <t>246365544.00</t>
  </si>
  <si>
    <t>247300939.00</t>
  </si>
  <si>
    <t>246008962.00</t>
  </si>
  <si>
    <t>247498325.00</t>
  </si>
  <si>
    <t>247754270.00</t>
  </si>
  <si>
    <t>249410081.00</t>
  </si>
  <si>
    <t>1655811.00</t>
  </si>
  <si>
    <t>242111303.37</t>
  </si>
  <si>
    <t>03-J</t>
  </si>
  <si>
    <t>7392890.00</t>
  </si>
  <si>
    <t>8002345.00</t>
  </si>
  <si>
    <t>6105690.00</t>
  </si>
  <si>
    <t>7127652.00</t>
  </si>
  <si>
    <t>7745950.00</t>
  </si>
  <si>
    <t>7281971.00</t>
  </si>
  <si>
    <t>7419784.00</t>
  </si>
  <si>
    <t>7452886.00</t>
  </si>
  <si>
    <t>5564734.00</t>
  </si>
  <si>
    <t>6074483.00</t>
  </si>
  <si>
    <t>6270371.00</t>
  </si>
  <si>
    <t>5849340.00</t>
  </si>
  <si>
    <t>5370805.00</t>
  </si>
  <si>
    <t>7431905.00</t>
  </si>
  <si>
    <t>5872544.00</t>
  </si>
  <si>
    <t>3833887.00</t>
  </si>
  <si>
    <t>4810687.00</t>
  </si>
  <si>
    <t>4715095.00</t>
  </si>
  <si>
    <t>7835954.00</t>
  </si>
  <si>
    <t>6547145.00</t>
  </si>
  <si>
    <t>4823369.00</t>
  </si>
  <si>
    <t>4163707.00</t>
  </si>
  <si>
    <t>4927635.00</t>
  </si>
  <si>
    <t>6400194.00</t>
  </si>
  <si>
    <t>1472559.00</t>
  </si>
  <si>
    <t>6246401.67</t>
  </si>
  <si>
    <t>04-O</t>
  </si>
  <si>
    <t>7139258.00</t>
  </si>
  <si>
    <t>7006814.00</t>
  </si>
  <si>
    <t>6995577.00</t>
  </si>
  <si>
    <t>7426972.00</t>
  </si>
  <si>
    <t>7701634.00</t>
  </si>
  <si>
    <t>7691164.00</t>
  </si>
  <si>
    <t>7657698.00</t>
  </si>
  <si>
    <t>7660588.00</t>
  </si>
  <si>
    <t>7635005.00</t>
  </si>
  <si>
    <t>7718207.00</t>
  </si>
  <si>
    <t>7694971.00</t>
  </si>
  <si>
    <t>7731065.00</t>
  </si>
  <si>
    <t>7683550.00</t>
  </si>
  <si>
    <t>7695264.00</t>
  </si>
  <si>
    <t>7682024.00</t>
  </si>
  <si>
    <t>7654649.00</t>
  </si>
  <si>
    <t>7362610.00</t>
  </si>
  <si>
    <t>7538542.00</t>
  </si>
  <si>
    <t>7468803.00</t>
  </si>
  <si>
    <t>7412024.00</t>
  </si>
  <si>
    <t>7368732.00</t>
  </si>
  <si>
    <t>7018825.00</t>
  </si>
  <si>
    <t>6710980.00</t>
  </si>
  <si>
    <t>6800876.00</t>
  </si>
  <si>
    <t>89896.00</t>
  </si>
  <si>
    <t>7405026.60</t>
  </si>
  <si>
    <t>05-N</t>
  </si>
  <si>
    <t>18043773.00</t>
  </si>
  <si>
    <t>19718600.00</t>
  </si>
  <si>
    <t>17775274.00</t>
  </si>
  <si>
    <t>18283650.00</t>
  </si>
  <si>
    <t>18574407.00</t>
  </si>
  <si>
    <t>17974668.00</t>
  </si>
  <si>
    <t>19592425.00</t>
  </si>
  <si>
    <t>19138020.00</t>
  </si>
  <si>
    <t>17131423.00</t>
  </si>
  <si>
    <t>17131118.00</t>
  </si>
  <si>
    <t>18206420.00</t>
  </si>
  <si>
    <t>16886074.00</t>
  </si>
  <si>
    <t>17333303.00</t>
  </si>
  <si>
    <t>17847145.00</t>
  </si>
  <si>
    <t>19449886.00</t>
  </si>
  <si>
    <t>17443466.00</t>
  </si>
  <si>
    <t>17442842.00</t>
  </si>
  <si>
    <t>19338957.00</t>
  </si>
  <si>
    <t>18504967.00</t>
  </si>
  <si>
    <t>18701652.00</t>
  </si>
  <si>
    <t>18863305.00</t>
  </si>
  <si>
    <t>20598134.00</t>
  </si>
  <si>
    <t>18676435.00</t>
  </si>
  <si>
    <t>19134790.00</t>
  </si>
  <si>
    <t>20125929.00</t>
  </si>
  <si>
    <t>21065273.00</t>
  </si>
  <si>
    <t>939344.00</t>
  </si>
  <si>
    <t>18629028.17</t>
  </si>
  <si>
    <t>06-C</t>
  </si>
  <si>
    <t>07-H</t>
  </si>
  <si>
    <t>12123075.00</t>
  </si>
  <si>
    <t>12742023.00</t>
  </si>
  <si>
    <t>9680038.00</t>
  </si>
  <si>
    <t>10697394.00</t>
  </si>
  <si>
    <t>12095189.00</t>
  </si>
  <si>
    <t>12600560.00</t>
  </si>
  <si>
    <t>11876423.00</t>
  </si>
  <si>
    <t>12964009.00</t>
  </si>
  <si>
    <t>9852920.00</t>
  </si>
  <si>
    <t>9309793.00</t>
  </si>
  <si>
    <t>10754417.00</t>
  </si>
  <si>
    <t>11567214.00</t>
  </si>
  <si>
    <t>11890785.00</t>
  </si>
  <si>
    <t>11802798.00</t>
  </si>
  <si>
    <t>8698520.00</t>
  </si>
  <si>
    <t>7854673.00</t>
  </si>
  <si>
    <t>9546774.00</t>
  </si>
  <si>
    <t>10428739.00</t>
  </si>
  <si>
    <t>11173696.00</t>
  </si>
  <si>
    <t>12124186.00</t>
  </si>
  <si>
    <t>8565227.00</t>
  </si>
  <si>
    <t>9266269.00</t>
  </si>
  <si>
    <t>11564355.00</t>
  </si>
  <si>
    <t>22844347.00</t>
  </si>
  <si>
    <t>11279992.00</t>
  </si>
  <si>
    <t>11143472.50</t>
  </si>
  <si>
    <t>08-E</t>
  </si>
  <si>
    <t>09-F</t>
  </si>
  <si>
    <t>1383226.00</t>
  </si>
  <si>
    <t>1660536.00</t>
  </si>
  <si>
    <t>1576851.00</t>
  </si>
  <si>
    <t>1875906.00</t>
  </si>
  <si>
    <t>1747056.00</t>
  </si>
  <si>
    <t>1705031.00</t>
  </si>
  <si>
    <t>2389786.00</t>
  </si>
  <si>
    <t>2342576.00</t>
  </si>
  <si>
    <t>2249611.00</t>
  </si>
  <si>
    <t>2175916.00</t>
  </si>
  <si>
    <t>2111781.00</t>
  </si>
  <si>
    <t>2021371.00</t>
  </si>
  <si>
    <t>2645591.00</t>
  </si>
  <si>
    <t>2576281.00</t>
  </si>
  <si>
    <t>2519726.00</t>
  </si>
  <si>
    <t>2373491.00</t>
  </si>
  <si>
    <t>2222941.00</t>
  </si>
  <si>
    <t>2108776.00</t>
  </si>
  <si>
    <t>2602106.00</t>
  </si>
  <si>
    <t>2494236.00</t>
  </si>
  <si>
    <t>2410976.00</t>
  </si>
  <si>
    <t>2785207.00</t>
  </si>
  <si>
    <t>2742812.00</t>
  </si>
  <si>
    <t>2642042.00</t>
  </si>
  <si>
    <t>-100770.00</t>
  </si>
  <si>
    <t>2181402.27</t>
  </si>
  <si>
    <t>10-P</t>
  </si>
  <si>
    <t>93089.00</t>
  </si>
  <si>
    <t>106839.00</t>
  </si>
  <si>
    <t>91839.00</t>
  </si>
  <si>
    <t>94797.33</t>
  </si>
  <si>
    <t>11-G</t>
  </si>
  <si>
    <t>12-M</t>
  </si>
  <si>
    <t>2523207.00</t>
  </si>
  <si>
    <t>2632565.00</t>
  </si>
  <si>
    <t>2462758.00</t>
  </si>
  <si>
    <t>2404043.00</t>
  </si>
  <si>
    <t>2392285.00</t>
  </si>
  <si>
    <t>2407985.00</t>
  </si>
  <si>
    <t>2480181.00</t>
  </si>
  <si>
    <t>2696634.00</t>
  </si>
  <si>
    <t>2154193.00</t>
  </si>
  <si>
    <t>2113452.00</t>
  </si>
  <si>
    <t>1966761.00</t>
  </si>
  <si>
    <t>1881579.00</t>
  </si>
  <si>
    <t>1923935.00</t>
  </si>
  <si>
    <t>2238012.00</t>
  </si>
  <si>
    <t>1898915.00</t>
  </si>
  <si>
    <t>1580228.00</t>
  </si>
  <si>
    <t>1532829.00</t>
  </si>
  <si>
    <t>1498789.00</t>
  </si>
  <si>
    <t>1821558.00</t>
  </si>
  <si>
    <t>1447026.00</t>
  </si>
  <si>
    <t>1286242.00</t>
  </si>
  <si>
    <t>832391.00</t>
  </si>
  <si>
    <t>1143404.00</t>
  </si>
  <si>
    <t>1381676.00</t>
  </si>
  <si>
    <t>238272.00</t>
  </si>
  <si>
    <t>1992262.87</t>
  </si>
  <si>
    <t>13-U</t>
  </si>
  <si>
    <t>258148.00</t>
  </si>
  <si>
    <t>253748.00</t>
  </si>
  <si>
    <t>307748.00</t>
  </si>
  <si>
    <t>305048.00</t>
  </si>
  <si>
    <t>302808.00</t>
  </si>
  <si>
    <t>300028.00</t>
  </si>
  <si>
    <t>292688.00</t>
  </si>
  <si>
    <t>289988.00</t>
  </si>
  <si>
    <t>275848.00</t>
  </si>
  <si>
    <t>274768.00</t>
  </si>
  <si>
    <t>272608.00</t>
  </si>
  <si>
    <t>270368.00</t>
  </si>
  <si>
    <t>268748.00</t>
  </si>
  <si>
    <t>264808.00</t>
  </si>
  <si>
    <t>257778.00</t>
  </si>
  <si>
    <t>254998.00</t>
  </si>
  <si>
    <t>245648.00</t>
  </si>
  <si>
    <t>245108.00</t>
  </si>
  <si>
    <t>244568.00</t>
  </si>
  <si>
    <t>244028.00</t>
  </si>
  <si>
    <t>243488.00</t>
  </si>
  <si>
    <t>-540.00</t>
  </si>
  <si>
    <t>267643.33</t>
  </si>
  <si>
    <t>14-L</t>
  </si>
  <si>
    <t>1605674.00</t>
  </si>
  <si>
    <t>1655445.00</t>
  </si>
  <si>
    <t>1609489.00</t>
  </si>
  <si>
    <t>1614502.00</t>
  </si>
  <si>
    <t>1614424.00</t>
  </si>
  <si>
    <t>1632528.00</t>
  </si>
  <si>
    <t>1614727.63</t>
  </si>
  <si>
    <t>18-T</t>
  </si>
  <si>
    <t>7692161.00</t>
  </si>
  <si>
    <t>7146664.00</t>
  </si>
  <si>
    <t>6589868.00</t>
  </si>
  <si>
    <t>6511780.00</t>
  </si>
  <si>
    <t>6512523.00</t>
  </si>
  <si>
    <t>6274029.00</t>
  </si>
  <si>
    <t>6115375.00</t>
  </si>
  <si>
    <t>6318662.00</t>
  </si>
  <si>
    <t>5797737.00</t>
  </si>
  <si>
    <t>6617850.00</t>
  </si>
  <si>
    <t>6408083.00</t>
  </si>
  <si>
    <t>6531874.00</t>
  </si>
  <si>
    <t>6381180.00</t>
  </si>
  <si>
    <t>6307361.00</t>
  </si>
  <si>
    <t>5823134.00</t>
  </si>
  <si>
    <t>5416069.00</t>
  </si>
  <si>
    <t>5764956.00</t>
  </si>
  <si>
    <t>5768483.00</t>
  </si>
  <si>
    <t>5562958.00</t>
  </si>
  <si>
    <t>5319801.00</t>
  </si>
  <si>
    <t>4742597.00</t>
  </si>
  <si>
    <t>5690087.00</t>
  </si>
  <si>
    <t>6029228.00</t>
  </si>
  <si>
    <t>9516089.00</t>
  </si>
  <si>
    <t>3486861.00</t>
  </si>
  <si>
    <t>6269507.10</t>
  </si>
  <si>
    <t>19-V</t>
  </si>
  <si>
    <t>10498399.00</t>
  </si>
  <si>
    <t>10687763.00</t>
  </si>
  <si>
    <t>10000514.00</t>
  </si>
  <si>
    <t>10413845.00</t>
  </si>
  <si>
    <t>10661952.00</t>
  </si>
  <si>
    <t>10805167.00</t>
  </si>
  <si>
    <t>11244988.00</t>
  </si>
  <si>
    <t>11110657.00</t>
  </si>
  <si>
    <t>10400682.00</t>
  </si>
  <si>
    <t>10485250.00</t>
  </si>
  <si>
    <t>10574269.00</t>
  </si>
  <si>
    <t>9868951.00</t>
  </si>
  <si>
    <t>10751455.00</t>
  </si>
  <si>
    <t>10863590.00</t>
  </si>
  <si>
    <t>10120604.00</t>
  </si>
  <si>
    <t>10668202.00</t>
  </si>
  <si>
    <t>10396849.00</t>
  </si>
  <si>
    <t>10162795.00</t>
  </si>
  <si>
    <t>9969817.00</t>
  </si>
  <si>
    <t>10663630.00</t>
  </si>
  <si>
    <t>9933326.00</t>
  </si>
  <si>
    <t>10339576.00</t>
  </si>
  <si>
    <t>10112022.00</t>
  </si>
  <si>
    <t>10247940.00</t>
  </si>
  <si>
    <t>135918.00</t>
  </si>
  <si>
    <t>10427096.50</t>
  </si>
  <si>
    <t>20-S</t>
  </si>
  <si>
    <t>24969531.00</t>
  </si>
  <si>
    <t>24859653.00</t>
  </si>
  <si>
    <t>24795714.00</t>
  </si>
  <si>
    <t>24722115.00</t>
  </si>
  <si>
    <t>24553033.00</t>
  </si>
  <si>
    <t>24402054.00</t>
  </si>
  <si>
    <t>24236484.00</t>
  </si>
  <si>
    <t>23996829.00</t>
  </si>
  <si>
    <t>23930419.00</t>
  </si>
  <si>
    <t>23846832.00</t>
  </si>
  <si>
    <t>23600533.00</t>
  </si>
  <si>
    <t>23480659.00</t>
  </si>
  <si>
    <t>23331248.00</t>
  </si>
  <si>
    <t>23173899.00</t>
  </si>
  <si>
    <t>23121085.00</t>
  </si>
  <si>
    <t>23068828.00</t>
  </si>
  <si>
    <t>22945790.00</t>
  </si>
  <si>
    <t>22799292.00</t>
  </si>
  <si>
    <t>22689930.00</t>
  </si>
  <si>
    <t>22536629.00</t>
  </si>
  <si>
    <t>22491436.00</t>
  </si>
  <si>
    <t>22338177.00</t>
  </si>
  <si>
    <t>22180839.00</t>
  </si>
  <si>
    <t>22038535.00</t>
  </si>
  <si>
    <t>-142304.00</t>
  </si>
  <si>
    <t>23605583.47</t>
  </si>
  <si>
    <t>21-Q</t>
  </si>
  <si>
    <t>162800.00</t>
  </si>
  <si>
    <t>22-2</t>
  </si>
  <si>
    <t>161176.00</t>
  </si>
  <si>
    <t>23-3</t>
  </si>
  <si>
    <t>179314.00</t>
  </si>
  <si>
    <t>119098.00</t>
  </si>
  <si>
    <t>122698.00</t>
  </si>
  <si>
    <t>221962.00</t>
  </si>
  <si>
    <t>209338.00</t>
  </si>
  <si>
    <t>173142.00</t>
  </si>
  <si>
    <t>24-4</t>
  </si>
  <si>
    <t>25-5</t>
  </si>
  <si>
    <t>26-6</t>
  </si>
  <si>
    <t>10231904.00</t>
  </si>
  <si>
    <t>8202758.00</t>
  </si>
  <si>
    <t>7047776.00</t>
  </si>
  <si>
    <t>7405467.00</t>
  </si>
  <si>
    <t>6804366.00</t>
  </si>
  <si>
    <t>9686546.00</t>
  </si>
  <si>
    <t>8459923.00</t>
  </si>
  <si>
    <t>9831767.00</t>
  </si>
  <si>
    <t>8159538.00</t>
  </si>
  <si>
    <t>7160981.00</t>
  </si>
  <si>
    <t>9085240.00</t>
  </si>
  <si>
    <t>8823679.00</t>
  </si>
  <si>
    <t>7685035.00</t>
  </si>
  <si>
    <t>9922713.00</t>
  </si>
  <si>
    <t>8404502.00</t>
  </si>
  <si>
    <t>7546347.00</t>
  </si>
  <si>
    <t>9950840.00</t>
  </si>
  <si>
    <t>9609840.00</t>
  </si>
  <si>
    <t>8495761.00</t>
  </si>
  <si>
    <t>10410622.00</t>
  </si>
  <si>
    <t>9036011.00</t>
  </si>
  <si>
    <t>11123528.00</t>
  </si>
  <si>
    <t>10480307.00</t>
  </si>
  <si>
    <t>11070523.00</t>
  </si>
  <si>
    <t>590216.00</t>
  </si>
  <si>
    <t>8789643.90</t>
  </si>
  <si>
    <t>27-7</t>
  </si>
  <si>
    <t>5686133.00</t>
  </si>
  <si>
    <t>6696444.00</t>
  </si>
  <si>
    <t>6579244.00</t>
  </si>
  <si>
    <t>6496444.00</t>
  </si>
  <si>
    <t>6204164.00</t>
  </si>
  <si>
    <t>7470164.00</t>
  </si>
  <si>
    <t>7476914.00</t>
  </si>
  <si>
    <t>7384114.00</t>
  </si>
  <si>
    <t>7286514.00</t>
  </si>
  <si>
    <t>7151714.00</t>
  </si>
  <si>
    <t>7122904.00</t>
  </si>
  <si>
    <t>7138044.00</t>
  </si>
  <si>
    <t>7043244.00</t>
  </si>
  <si>
    <t>7996630.00</t>
  </si>
  <si>
    <t>7929830.00</t>
  </si>
  <si>
    <t>7812478.00</t>
  </si>
  <si>
    <t>7368869.00</t>
  </si>
  <si>
    <t>7593386.00</t>
  </si>
  <si>
    <t>7498986.00</t>
  </si>
  <si>
    <t>8270986.00</t>
  </si>
  <si>
    <t>8159386.00</t>
  </si>
  <si>
    <t>8479106.00</t>
  </si>
  <si>
    <t>7836757.00</t>
  </si>
  <si>
    <t>7753957.00</t>
  </si>
  <si>
    <t>-82800.00</t>
  </si>
  <si>
    <t>7326142.47</t>
  </si>
  <si>
    <t>AVGSR</t>
  </si>
  <si>
    <t>98.7</t>
  </si>
  <si>
    <t>98.8</t>
  </si>
  <si>
    <t>0</t>
  </si>
  <si>
    <t>98.5</t>
  </si>
  <si>
    <t>98.4</t>
  </si>
  <si>
    <t>98.1</t>
  </si>
  <si>
    <t>98.3</t>
  </si>
  <si>
    <t>98.6</t>
  </si>
  <si>
    <t>97.7</t>
  </si>
  <si>
    <t>98</t>
  </si>
  <si>
    <t>98.2</t>
  </si>
  <si>
    <t>98.9</t>
  </si>
  <si>
    <t>99</t>
  </si>
  <si>
    <t>99.1</t>
  </si>
  <si>
    <t>97.8</t>
  </si>
  <si>
    <t>100</t>
  </si>
  <si>
    <t>99.5</t>
  </si>
  <si>
    <t>99.7</t>
  </si>
  <si>
    <t>41.6</t>
  </si>
  <si>
    <t>70</t>
  </si>
  <si>
    <t>66.6</t>
  </si>
  <si>
    <t>68.7</t>
  </si>
  <si>
    <t>75</t>
  </si>
  <si>
    <t>86.6</t>
  </si>
  <si>
    <t>99.2</t>
  </si>
  <si>
    <t>71.4</t>
  </si>
  <si>
    <t>90.9</t>
  </si>
  <si>
    <t>73.3</t>
  </si>
  <si>
    <t>85.7</t>
  </si>
  <si>
    <t>87.5</t>
  </si>
  <si>
    <t>94.4</t>
  </si>
  <si>
    <t>93.5</t>
  </si>
  <si>
    <t>99.4</t>
  </si>
  <si>
    <t>97.6</t>
  </si>
  <si>
    <t>99.6</t>
  </si>
  <si>
    <t>99.9</t>
  </si>
  <si>
    <t>99.3</t>
  </si>
  <si>
    <t>99.8</t>
  </si>
  <si>
    <t>97.4</t>
  </si>
  <si>
    <t>97.9</t>
  </si>
  <si>
    <t>96.5</t>
  </si>
  <si>
    <t>96.1</t>
  </si>
  <si>
    <t>96.3</t>
  </si>
  <si>
    <t>08-Z</t>
  </si>
  <si>
    <t>93.3</t>
  </si>
  <si>
    <t>09-@</t>
  </si>
  <si>
    <t>10-M</t>
  </si>
  <si>
    <t>11-S</t>
  </si>
  <si>
    <t>97.3</t>
  </si>
  <si>
    <t>93.4</t>
  </si>
  <si>
    <t>95.7</t>
  </si>
  <si>
    <t>96</t>
  </si>
  <si>
    <t>96.2</t>
  </si>
  <si>
    <t>88.7</t>
  </si>
  <si>
    <t>94.9</t>
  </si>
  <si>
    <t>12-V</t>
  </si>
  <si>
    <t>97.2</t>
  </si>
  <si>
    <t>96.4</t>
  </si>
  <si>
    <t>95.4</t>
  </si>
  <si>
    <t>96.7</t>
  </si>
  <si>
    <t>93.1</t>
  </si>
  <si>
    <t>94.2</t>
  </si>
  <si>
    <t>97.5</t>
  </si>
  <si>
    <t>94.7</t>
  </si>
  <si>
    <t>97</t>
  </si>
  <si>
    <t>97.1</t>
  </si>
  <si>
    <t>95.9</t>
  </si>
  <si>
    <t>93.7</t>
  </si>
  <si>
    <t>96.6</t>
  </si>
  <si>
    <t>13-T</t>
  </si>
  <si>
    <t>91.2</t>
  </si>
  <si>
    <t>85.1</t>
  </si>
  <si>
    <t>94.8</t>
  </si>
  <si>
    <t>94.3</t>
  </si>
  <si>
    <t>95.2</t>
  </si>
  <si>
    <t>14-P</t>
  </si>
  <si>
    <t>50</t>
  </si>
  <si>
    <t>16-#</t>
  </si>
  <si>
    <t>17-2</t>
  </si>
  <si>
    <t>18-3</t>
  </si>
  <si>
    <t>19-4</t>
  </si>
  <si>
    <t>20-5</t>
  </si>
  <si>
    <t>21-$</t>
  </si>
  <si>
    <t>22-7</t>
  </si>
  <si>
    <t>23-6</t>
  </si>
  <si>
    <t>95</t>
  </si>
  <si>
    <t>95.6</t>
  </si>
  <si>
    <t>95.3</t>
  </si>
  <si>
    <t>95.5</t>
  </si>
  <si>
    <t>95.8</t>
  </si>
  <si>
    <t>96.9</t>
  </si>
  <si>
    <t>IMPCD</t>
  </si>
  <si>
    <t>4</t>
  </si>
  <si>
    <t>ALL</t>
  </si>
  <si>
    <t>55.5</t>
  </si>
  <si>
    <t>60</t>
  </si>
  <si>
    <t>85.9</t>
  </si>
  <si>
    <t>93.9</t>
  </si>
  <si>
    <t>94.1</t>
  </si>
  <si>
    <t>16-2</t>
  </si>
  <si>
    <t>17-3</t>
  </si>
  <si>
    <t>18-4</t>
  </si>
  <si>
    <t>19-5</t>
  </si>
  <si>
    <t>20-7</t>
  </si>
  <si>
    <t>21-6</t>
  </si>
  <si>
    <t>96.8</t>
  </si>
  <si>
    <t>SUMITEMS</t>
  </si>
  <si>
    <t>158.00</t>
  </si>
  <si>
    <t>139.00</t>
  </si>
  <si>
    <t>127.00</t>
  </si>
  <si>
    <t>193.00</t>
  </si>
  <si>
    <t>194.00</t>
  </si>
  <si>
    <t>163.00</t>
  </si>
  <si>
    <t>140.00</t>
  </si>
  <si>
    <t>98.00</t>
  </si>
  <si>
    <t>168.00</t>
  </si>
  <si>
    <t>222.00</t>
  </si>
  <si>
    <t>177.00</t>
  </si>
  <si>
    <t>195.00</t>
  </si>
  <si>
    <t>151.00</t>
  </si>
  <si>
    <t>100.00</t>
  </si>
  <si>
    <t>144.00</t>
  </si>
  <si>
    <t>145.00</t>
  </si>
  <si>
    <t>166.00</t>
  </si>
  <si>
    <t>157.00</t>
  </si>
  <si>
    <t>84.00</t>
  </si>
  <si>
    <t>124.00</t>
  </si>
  <si>
    <t>3663</t>
  </si>
  <si>
    <t>23.00</t>
  </si>
  <si>
    <t>26.00</t>
  </si>
  <si>
    <t>16.00</t>
  </si>
  <si>
    <t>43.00</t>
  </si>
  <si>
    <t>27.00</t>
  </si>
  <si>
    <t>20.00</t>
  </si>
  <si>
    <t>18.00</t>
  </si>
  <si>
    <t>19.00</t>
  </si>
  <si>
    <t>29.00</t>
  </si>
  <si>
    <t>25.00</t>
  </si>
  <si>
    <t>12.00</t>
  </si>
  <si>
    <t>11.00</t>
  </si>
  <si>
    <t>30.00</t>
  </si>
  <si>
    <t>10.00</t>
  </si>
  <si>
    <t>17.00</t>
  </si>
  <si>
    <t>40.00</t>
  </si>
  <si>
    <t>575</t>
  </si>
  <si>
    <t>2.00</t>
  </si>
  <si>
    <t>1.00</t>
  </si>
  <si>
    <t>5</t>
  </si>
  <si>
    <t>7.00</t>
  </si>
  <si>
    <t>3.00</t>
  </si>
  <si>
    <t>5.00</t>
  </si>
  <si>
    <t>4.00</t>
  </si>
  <si>
    <t>37</t>
  </si>
  <si>
    <t>14.00</t>
  </si>
  <si>
    <t>34.00</t>
  </si>
  <si>
    <t>21.00</t>
  </si>
  <si>
    <t>9.00</t>
  </si>
  <si>
    <t>35.00</t>
  </si>
  <si>
    <t>8.00</t>
  </si>
  <si>
    <t>315</t>
  </si>
  <si>
    <t>6.00</t>
  </si>
  <si>
    <t>15.00</t>
  </si>
  <si>
    <t>101</t>
  </si>
  <si>
    <t>27</t>
  </si>
  <si>
    <t>13.00</t>
  </si>
  <si>
    <t>246</t>
  </si>
  <si>
    <t>47</t>
  </si>
  <si>
    <t>22.00</t>
  </si>
  <si>
    <t>434</t>
  </si>
  <si>
    <t>143223856.00</t>
  </si>
  <si>
    <t>144874372.00</t>
  </si>
  <si>
    <t>144879397.00</t>
  </si>
  <si>
    <t>140893322.00</t>
  </si>
  <si>
    <t>141336086.00</t>
  </si>
  <si>
    <t>144109865.00</t>
  </si>
  <si>
    <t>142311161.00</t>
  </si>
  <si>
    <t>142989184.00</t>
  </si>
  <si>
    <t>144816364.00</t>
  </si>
  <si>
    <t>144678527.00</t>
  </si>
  <si>
    <t>141896458.00</t>
  </si>
  <si>
    <t>141872638.00</t>
  </si>
  <si>
    <t>142387389.00</t>
  </si>
  <si>
    <t>142515081.00</t>
  </si>
  <si>
    <t>142633920.00</t>
  </si>
  <si>
    <t>140935545.00</t>
  </si>
  <si>
    <t>141973954.00</t>
  </si>
  <si>
    <t>138920138.00</t>
  </si>
  <si>
    <t>138915671.00</t>
  </si>
  <si>
    <t>136804480.00</t>
  </si>
  <si>
    <t>137819833.00</t>
  </si>
  <si>
    <t>136844056.00</t>
  </si>
  <si>
    <t>137144842.00</t>
  </si>
  <si>
    <t>137739333.00</t>
  </si>
  <si>
    <t>135753369.00</t>
  </si>
  <si>
    <t>136107522.00</t>
  </si>
  <si>
    <t>138903111.00</t>
  </si>
  <si>
    <t>139785478.00</t>
  </si>
  <si>
    <t>140789923.93</t>
  </si>
  <si>
    <t>115050070.00</t>
  </si>
  <si>
    <t>117184400.00</t>
  </si>
  <si>
    <t>117186506.00</t>
  </si>
  <si>
    <t>114189027.00</t>
  </si>
  <si>
    <t>114190546.00</t>
  </si>
  <si>
    <t>116163504.00</t>
  </si>
  <si>
    <t>114982009.00</t>
  </si>
  <si>
    <t>112638843.00</t>
  </si>
  <si>
    <t>114494827.00</t>
  </si>
  <si>
    <t>115558763.00</t>
  </si>
  <si>
    <t>112677692.00</t>
  </si>
  <si>
    <t>112675500.00</t>
  </si>
  <si>
    <t>113849082.00</t>
  </si>
  <si>
    <t>114688474.00</t>
  </si>
  <si>
    <t>114210122.00</t>
  </si>
  <si>
    <t>115699244.00</t>
  </si>
  <si>
    <t>116191187.00</t>
  </si>
  <si>
    <t>118138692.00</t>
  </si>
  <si>
    <t>118132391.00</t>
  </si>
  <si>
    <t>119295785.00</t>
  </si>
  <si>
    <t>120939663.00</t>
  </si>
  <si>
    <t>121958545.00</t>
  </si>
  <si>
    <t>124013024.00</t>
  </si>
  <si>
    <t>124772943.00</t>
  </si>
  <si>
    <t>125754236.00</t>
  </si>
  <si>
    <t>125751686.00</t>
  </si>
  <si>
    <t>127715098.00</t>
  </si>
  <si>
    <t>127059772.00</t>
  </si>
  <si>
    <t>130451547.00</t>
  </si>
  <si>
    <t>118426656.13</t>
  </si>
  <si>
    <t>48358096.00</t>
  </si>
  <si>
    <t>46797657.00</t>
  </si>
  <si>
    <t>45974975.00</t>
  </si>
  <si>
    <t>49657056.00</t>
  </si>
  <si>
    <t>48685683.00</t>
  </si>
  <si>
    <t>47430546.00</t>
  </si>
  <si>
    <t>46070281.00</t>
  </si>
  <si>
    <t>46748727.00</t>
  </si>
  <si>
    <t>45492170.00</t>
  </si>
  <si>
    <t>45851521.00</t>
  </si>
  <si>
    <t>45154712.00</t>
  </si>
  <si>
    <t>45485204.00</t>
  </si>
  <si>
    <t>45918162.00</t>
  </si>
  <si>
    <t>47468651.00</t>
  </si>
  <si>
    <t>46422855.00</t>
  </si>
  <si>
    <t>45028459.00</t>
  </si>
  <si>
    <t>44336180.00</t>
  </si>
  <si>
    <t>43979422.00</t>
  </si>
  <si>
    <t>46348989.00</t>
  </si>
  <si>
    <t>45319030.00</t>
  </si>
  <si>
    <t>44417067.00</t>
  </si>
  <si>
    <t>43226211.00</t>
  </si>
  <si>
    <t>42183436.00</t>
  </si>
  <si>
    <t>41715879.00</t>
  </si>
  <si>
    <t>45799111.67</t>
  </si>
  <si>
    <t>12871867.00</t>
  </si>
  <si>
    <t>15027003.00</t>
  </si>
  <si>
    <t>15024136.00</t>
  </si>
  <si>
    <t>14579139.00</t>
  </si>
  <si>
    <t>12741603.00</t>
  </si>
  <si>
    <t>14890212.00</t>
  </si>
  <si>
    <t>14526975.00</t>
  </si>
  <si>
    <t>14193691.00</t>
  </si>
  <si>
    <t>14554219.00</t>
  </si>
  <si>
    <t>15037297.00</t>
  </si>
  <si>
    <t>14383470.00</t>
  </si>
  <si>
    <t>15320619.00</t>
  </si>
  <si>
    <t>16171417.00</t>
  </si>
  <si>
    <t>15958766.00</t>
  </si>
  <si>
    <t>15011393.00</t>
  </si>
  <si>
    <t>15007459.00</t>
  </si>
  <si>
    <t>15377646.00</t>
  </si>
  <si>
    <t>14255346.00</t>
  </si>
  <si>
    <t>16275573.00</t>
  </si>
  <si>
    <t>15588859.00</t>
  </si>
  <si>
    <t>15189140.00</t>
  </si>
  <si>
    <t>14709919.00</t>
  </si>
  <si>
    <t>14362082.00</t>
  </si>
  <si>
    <t>12743012.00</t>
  </si>
  <si>
    <t>11269974.00</t>
  </si>
  <si>
    <t>14662649.93</t>
  </si>
  <si>
    <t>7753666.00</t>
  </si>
  <si>
    <t>7628363.00</t>
  </si>
  <si>
    <t>7980206.00</t>
  </si>
  <si>
    <t>7530884.00</t>
  </si>
  <si>
    <t>7473415.00</t>
  </si>
  <si>
    <t>7472408.00</t>
  </si>
  <si>
    <t>7420568.00</t>
  </si>
  <si>
    <t>7420276.00</t>
  </si>
  <si>
    <t>7014017.00</t>
  </si>
  <si>
    <t>6988802.00</t>
  </si>
  <si>
    <t>6986034.00</t>
  </si>
  <si>
    <t>6991933.00</t>
  </si>
  <si>
    <t>6967502.00</t>
  </si>
  <si>
    <t>7050791.00</t>
  </si>
  <si>
    <t>7595211.00</t>
  </si>
  <si>
    <t>8368625.00</t>
  </si>
  <si>
    <t>8198298.00</t>
  </si>
  <si>
    <t>8211154.00</t>
  </si>
  <si>
    <t>8247830.00</t>
  </si>
  <si>
    <t>8250355.00</t>
  </si>
  <si>
    <t>8391594.00</t>
  </si>
  <si>
    <t>7618689.00</t>
  </si>
  <si>
    <t>6346190.00</t>
  </si>
  <si>
    <t>7571389.50</t>
  </si>
  <si>
    <t>4510339.00</t>
  </si>
  <si>
    <t>4515309.00</t>
  </si>
  <si>
    <t>4515271.00</t>
  </si>
  <si>
    <t>4561570.00</t>
  </si>
  <si>
    <t>4659056.00</t>
  </si>
  <si>
    <t>4786309.00</t>
  </si>
  <si>
    <t>4762379.00</t>
  </si>
  <si>
    <t>4763408.00</t>
  </si>
  <si>
    <t>4670115.00</t>
  </si>
  <si>
    <t>4583971.00</t>
  </si>
  <si>
    <t>4580286.00</t>
  </si>
  <si>
    <t>4459997.00</t>
  </si>
  <si>
    <t>4369544.00</t>
  </si>
  <si>
    <t>4368751.00</t>
  </si>
  <si>
    <t>4390903.00</t>
  </si>
  <si>
    <t>4390632.00</t>
  </si>
  <si>
    <t>4762693.00</t>
  </si>
  <si>
    <t>4480599.00</t>
  </si>
  <si>
    <t>4480609.00</t>
  </si>
  <si>
    <t>4416628.00</t>
  </si>
  <si>
    <t>4004859.00</t>
  </si>
  <si>
    <t>3592653.00</t>
  </si>
  <si>
    <t>4489007.40</t>
  </si>
  <si>
    <t>1477217.00</t>
  </si>
  <si>
    <t>1479940.00</t>
  </si>
  <si>
    <t>1482797.00</t>
  </si>
  <si>
    <t>1463990.00</t>
  </si>
  <si>
    <t>1466387.00</t>
  </si>
  <si>
    <t>1469374.00</t>
  </si>
  <si>
    <t>1469483.00</t>
  </si>
  <si>
    <t>1469899.00</t>
  </si>
  <si>
    <t>1471106.00</t>
  </si>
  <si>
    <t>1472524.00</t>
  </si>
  <si>
    <t>1474020.00</t>
  </si>
  <si>
    <t>1515296.00</t>
  </si>
  <si>
    <t>1549652.00</t>
  </si>
  <si>
    <t>1549654.00</t>
  </si>
  <si>
    <t>1545577.00</t>
  </si>
  <si>
    <t>1551392.00</t>
  </si>
  <si>
    <t>1582540.00</t>
  </si>
  <si>
    <t>1670692.00</t>
  </si>
  <si>
    <t>1733704.00</t>
  </si>
  <si>
    <t>1732393.00</t>
  </si>
  <si>
    <t>1692719.00</t>
  </si>
  <si>
    <t>1762247.00</t>
  </si>
  <si>
    <t>1815285.00</t>
  </si>
  <si>
    <t>1552319.80</t>
  </si>
  <si>
    <t>M</t>
  </si>
  <si>
    <t>17231.00</t>
  </si>
  <si>
    <t>11931.00</t>
  </si>
  <si>
    <t>13105.00</t>
  </si>
  <si>
    <t>13106.00</t>
  </si>
  <si>
    <t>10666.00</t>
  </si>
  <si>
    <t>13266.00</t>
  </si>
  <si>
    <t>13265.00</t>
  </si>
  <si>
    <t>9399.00</t>
  </si>
  <si>
    <t>6350.00</t>
  </si>
  <si>
    <t>11623.50</t>
  </si>
  <si>
    <t>1968.00</t>
  </si>
  <si>
    <t>131.20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</si>
  <si>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</si>
  <si>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</si>
  <si>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</si>
  <si>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</si>
  <si>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</si>
  <si>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</si>
  <si>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</si>
  <si>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</si>
  <si>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</si>
  <si>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</si>
  <si>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</si>
  <si>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</si>
  <si>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</si>
  <si>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</si>
  <si>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</si>
  <si>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</si>
  <si>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</si>
  <si>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</si>
  <si>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</si>
  <si>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</si>
  <si>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</si>
  <si>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</si>
  <si>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</si>
  <si>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</si>
  <si>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</si>
  <si>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</si>
  <si>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</si>
  <si>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</si>
  <si>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</si>
  <si>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</si>
  <si>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296906842.00</t>
  </si>
  <si>
    <t>301522048.00</t>
  </si>
  <si>
    <t>312011790.00</t>
  </si>
  <si>
    <t>307804297.00</t>
  </si>
  <si>
    <t>307112712.00</t>
  </si>
  <si>
    <t>213813987.06</t>
  </si>
  <si>
    <t>216421676.39</t>
  </si>
  <si>
    <t>230735445.39</t>
  </si>
  <si>
    <t>220323703.00</t>
  </si>
  <si>
    <t>217348722.00</t>
  </si>
  <si>
    <t>229286452.00</t>
  </si>
  <si>
    <t>234536820.00</t>
  </si>
  <si>
    <t>227057331.00</t>
  </si>
  <si>
    <t>6894022.48</t>
  </si>
  <si>
    <t>7273219.50</t>
  </si>
  <si>
    <t>6022622.23</t>
  </si>
  <si>
    <t>6729955.00</t>
  </si>
  <si>
    <t>11731801.00</t>
  </si>
  <si>
    <t>6677578.00</t>
  </si>
  <si>
    <t>7953023.00</t>
  </si>
  <si>
    <t>8787467.00</t>
  </si>
  <si>
    <t>11103888.48</t>
  </si>
  <si>
    <t>10717600.11</t>
  </si>
  <si>
    <t>7939466.94</t>
  </si>
  <si>
    <t>9920318.00</t>
  </si>
  <si>
    <t>11043043.00</t>
  </si>
  <si>
    <t>11016551.00</t>
  </si>
  <si>
    <t>6604155.00</t>
  </si>
  <si>
    <t>9554583.00</t>
  </si>
  <si>
    <t>21593172.87</t>
  </si>
  <si>
    <t>19382073.82</t>
  </si>
  <si>
    <t>19671570.68</t>
  </si>
  <si>
    <t>20215606.00</t>
  </si>
  <si>
    <t>18962815.00</t>
  </si>
  <si>
    <t>23106428.00</t>
  </si>
  <si>
    <t>21071693.00</t>
  </si>
  <si>
    <t>21046979.00</t>
  </si>
  <si>
    <t>9729574.06</t>
  </si>
  <si>
    <t>13250904.71</t>
  </si>
  <si>
    <t>11342667.68</t>
  </si>
  <si>
    <t>11441049.00</t>
  </si>
  <si>
    <t>11220240.00</t>
  </si>
  <si>
    <t>19113676.00</t>
  </si>
  <si>
    <t>13631227.00</t>
  </si>
  <si>
    <t>14655048.00</t>
  </si>
  <si>
    <t>1710555.94</t>
  </si>
  <si>
    <t>1534112.82</t>
  </si>
  <si>
    <t>1354194.52</t>
  </si>
  <si>
    <t>1532955.00</t>
  </si>
  <si>
    <t>1745249.00</t>
  </si>
  <si>
    <t>1677636.00</t>
  </si>
  <si>
    <t>1480486.00</t>
  </si>
  <si>
    <t>1634457.00</t>
  </si>
  <si>
    <t>97968.03</t>
  </si>
  <si>
    <t>103882.00</t>
  </si>
  <si>
    <t>102256.00</t>
  </si>
  <si>
    <t>2731882.90</t>
  </si>
  <si>
    <t>2401477.71</t>
  </si>
  <si>
    <t>1864895.61</t>
  </si>
  <si>
    <t>2332752.00</t>
  </si>
  <si>
    <t>4434328.00</t>
  </si>
  <si>
    <t>2190434.00</t>
  </si>
  <si>
    <t>2572318.00</t>
  </si>
  <si>
    <t>3065693.00</t>
  </si>
  <si>
    <t>279829.61</t>
  </si>
  <si>
    <t>312786.57</t>
  </si>
  <si>
    <t>306112.52</t>
  </si>
  <si>
    <t>299577.00</t>
  </si>
  <si>
    <t>295438.00</t>
  </si>
  <si>
    <t>352938.00</t>
  </si>
  <si>
    <t>271778.00</t>
  </si>
  <si>
    <t>306718.00</t>
  </si>
  <si>
    <t>1636322.68</t>
  </si>
  <si>
    <t>1606880.50</t>
  </si>
  <si>
    <t>1608277.81</t>
  </si>
  <si>
    <t>1617161.00</t>
  </si>
  <si>
    <t>1609870.00</t>
  </si>
  <si>
    <t>1607073.00</t>
  </si>
  <si>
    <t>17-8</t>
  </si>
  <si>
    <t>4738534.16</t>
  </si>
  <si>
    <t>6616871.43</t>
  </si>
  <si>
    <t>6569016.87</t>
  </si>
  <si>
    <t>5974807.00</t>
  </si>
  <si>
    <t>5742313.00</t>
  </si>
  <si>
    <t>8972166.00</t>
  </si>
  <si>
    <t>8317135.00</t>
  </si>
  <si>
    <t>7677205.00</t>
  </si>
  <si>
    <t>12592603.32</t>
  </si>
  <si>
    <t>10668231.32</t>
  </si>
  <si>
    <t>11760706.42</t>
  </si>
  <si>
    <t>11673847.00</t>
  </si>
  <si>
    <t>11062673.00</t>
  </si>
  <si>
    <t>12466503.00</t>
  </si>
  <si>
    <t>10840157.00</t>
  </si>
  <si>
    <t>11456444.00</t>
  </si>
  <si>
    <t>8170824.77</t>
  </si>
  <si>
    <t>16891475.68</t>
  </si>
  <si>
    <t>24401515.81</t>
  </si>
  <si>
    <t>16487939.00</t>
  </si>
  <si>
    <t>8141268.00</t>
  </si>
  <si>
    <t>21387425.00</t>
  </si>
  <si>
    <t>25013368.00</t>
  </si>
  <si>
    <t>18180687.00</t>
  </si>
  <si>
    <t>138994.00</t>
  </si>
  <si>
    <t>159046.00</t>
  </si>
  <si>
    <t>188859.81</t>
  </si>
  <si>
    <t>162300.00</t>
  </si>
  <si>
    <t>201634.00</t>
  </si>
  <si>
    <t>173314.00</t>
  </si>
  <si>
    <t>9106516.68</t>
  </si>
  <si>
    <t>9492109.11</t>
  </si>
  <si>
    <t>9381405.61</t>
  </si>
  <si>
    <t>9326677.00</t>
  </si>
  <si>
    <t>7670141.00</t>
  </si>
  <si>
    <t>10611816.00</t>
  </si>
  <si>
    <t>9016362.00</t>
  </si>
  <si>
    <t>9099440.00</t>
  </si>
  <si>
    <t>4444644.09</t>
  </si>
  <si>
    <t>5507793.46</t>
  </si>
  <si>
    <t>5928979.93</t>
  </si>
  <si>
    <t>5293806.00</t>
  </si>
  <si>
    <t>4802566.00</t>
  </si>
  <si>
    <t>5405462.00</t>
  </si>
  <si>
    <t>6546163.00</t>
  </si>
  <si>
    <t>5584730.00</t>
  </si>
  <si>
    <t>87.1</t>
  </si>
  <si>
    <t>91.1</t>
  </si>
  <si>
    <t>92</t>
  </si>
  <si>
    <t>83</t>
  </si>
  <si>
    <t>87.4</t>
  </si>
  <si>
    <t>88.2</t>
  </si>
  <si>
    <t>33.3</t>
  </si>
  <si>
    <t>85.5</t>
  </si>
  <si>
    <t>80.7</t>
  </si>
  <si>
    <t>90.7</t>
  </si>
  <si>
    <t>85.6</t>
  </si>
  <si>
    <t>94.6</t>
  </si>
  <si>
    <t>84.5</t>
  </si>
  <si>
    <t>90.2</t>
  </si>
  <si>
    <t>92.6</t>
  </si>
  <si>
    <t>82.9</t>
  </si>
  <si>
    <t>88.4</t>
  </si>
  <si>
    <t>AVGITEMS</t>
  </si>
  <si>
    <t>4435</t>
  </si>
  <si>
    <t>5186</t>
  </si>
  <si>
    <t>4253</t>
  </si>
  <si>
    <t>4625</t>
  </si>
  <si>
    <t>884</t>
  </si>
  <si>
    <t>782</t>
  </si>
  <si>
    <t>727</t>
  </si>
  <si>
    <t>798</t>
  </si>
  <si>
    <t>36</t>
  </si>
  <si>
    <t>44</t>
  </si>
  <si>
    <t>20</t>
  </si>
  <si>
    <t>18</t>
  </si>
  <si>
    <t>143</t>
  </si>
  <si>
    <t>330</t>
  </si>
  <si>
    <t>239</t>
  </si>
  <si>
    <t>237</t>
  </si>
  <si>
    <t>127</t>
  </si>
  <si>
    <t>140</t>
  </si>
  <si>
    <t>169</t>
  </si>
  <si>
    <t>9</t>
  </si>
  <si>
    <t>26</t>
  </si>
  <si>
    <t>12</t>
  </si>
  <si>
    <t>21</t>
  </si>
  <si>
    <t>17</t>
  </si>
  <si>
    <t>30</t>
  </si>
  <si>
    <t>23</t>
  </si>
  <si>
    <t>260</t>
  </si>
  <si>
    <t>350</t>
  </si>
  <si>
    <t>394</t>
  </si>
  <si>
    <t>335</t>
  </si>
  <si>
    <t>230</t>
  </si>
  <si>
    <t>153</t>
  </si>
  <si>
    <t>94</t>
  </si>
  <si>
    <t>159</t>
  </si>
  <si>
    <t>570</t>
  </si>
  <si>
    <t>546</t>
  </si>
  <si>
    <t>665</t>
  </si>
  <si>
    <t>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</si>
</sst>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F43" activePane="bottomRight" state="frozen"/>
      <selection pane="bottomRight" activeCell="E43" sqref="E43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2024/4</v>
      </c>
      <c r="E3" s="509" t="str">
        <f>YEAR(日期!C2)&amp;"/"&amp;MONTH(日期!C2)</f>
        <v>2025/4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2025/04/01</v>
      </c>
      <c r="J3" s="527" t="str">
        <f>日期!D2</f>
        <v>2025/04/02</v>
      </c>
      <c r="K3" s="527" t="str">
        <f>日期!E2</f>
        <v>2025/04/03</v>
      </c>
      <c r="L3" s="527" t="str">
        <f>日期!F2</f>
        <v>2025/04/04</v>
      </c>
      <c r="M3" s="527" t="str">
        <f>日期!G2</f>
        <v>2025/04/05</v>
      </c>
      <c r="N3" s="527" t="str">
        <f>日期!H2</f>
        <v>2025/04/06</v>
      </c>
      <c r="O3" s="527" t="str">
        <f>日期!I2</f>
        <v>2025/04/07</v>
      </c>
      <c r="P3" s="527" t="str">
        <f>日期!J2</f>
        <v>2025/04/08</v>
      </c>
      <c r="Q3" s="527" t="str">
        <f>日期!K2</f>
        <v>2025/04/09</v>
      </c>
      <c r="R3" s="527" t="str">
        <f>日期!L2</f>
        <v>2025/04/10</v>
      </c>
      <c r="S3" s="527" t="str">
        <f>日期!M2</f>
        <v>2025/04/11</v>
      </c>
      <c r="T3" s="527" t="str">
        <f>日期!N2</f>
        <v>2025/04/12</v>
      </c>
      <c r="U3" s="527" t="str">
        <f>日期!O2</f>
        <v>2025/04/13</v>
      </c>
      <c r="V3" s="527" t="str">
        <f>日期!P2</f>
        <v>2025/04/14</v>
      </c>
      <c r="W3" s="527" t="str">
        <f>日期!Q2</f>
        <v>2025/04/15</v>
      </c>
      <c r="X3" s="527" t="str">
        <f>日期!R2</f>
        <v>2025/04/16</v>
      </c>
      <c r="Y3" s="527" t="str">
        <f>日期!S2</f>
        <v>2025/04/17</v>
      </c>
      <c r="Z3" s="527" t="str">
        <f>日期!T2</f>
        <v>2025/04/18</v>
      </c>
      <c r="AA3" s="527" t="str">
        <f>日期!U2</f>
        <v>2025/04/19</v>
      </c>
      <c r="AB3" s="527" t="str">
        <f>日期!V2</f>
        <v>2025/04/20</v>
      </c>
      <c r="AC3" s="527" t="str">
        <f>日期!W2</f>
        <v>2025/04/21</v>
      </c>
      <c r="AD3" s="527" t="str">
        <f>日期!X2</f>
        <v>2025/04/22</v>
      </c>
      <c r="AE3" s="527" t="str">
        <f>日期!Y2</f>
        <v>2025/04/23</v>
      </c>
      <c r="AF3" s="527" t="str">
        <f>日期!Z2</f>
        <v>2025/04/24</v>
      </c>
      <c r="AG3" s="527" t="str">
        <f>日期!AA2</f>
        <v>2025/04/25</v>
      </c>
      <c r="AH3" s="527" t="str">
        <f>日期!AB2</f>
        <v>2025/04/26</v>
      </c>
      <c r="AI3" s="527" t="str">
        <f>日期!AC2</f>
        <v>2025/04/27</v>
      </c>
      <c r="AJ3" s="527" t="str">
        <f>日期!AD2</f>
        <v>2025/04/28</v>
      </c>
      <c r="AK3" s="527" t="str">
        <f>日期!AE2</f>
        <v>2025/04/29</v>
      </c>
      <c r="AL3" s="527" t="str">
        <f>日期!AF2</f>
        <v>2025/04/30</v>
      </c>
      <c r="AM3" s="527">
        <f>日期!AG2</f>
        <v>0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Tue</v>
      </c>
      <c r="J4" s="12" t="str">
        <f>日期!D3</f>
        <v>Wed</v>
      </c>
      <c r="K4" s="12" t="str">
        <f>日期!E3</f>
        <v>Thu</v>
      </c>
      <c r="L4" s="12" t="str">
        <f>日期!F3</f>
        <v>Fri</v>
      </c>
      <c r="M4" s="12" t="str">
        <f>日期!G3</f>
        <v>Sat</v>
      </c>
      <c r="N4" s="12" t="str">
        <f>日期!H3</f>
        <v>Sun</v>
      </c>
      <c r="O4" s="12" t="str">
        <f>日期!I3</f>
        <v>Mon</v>
      </c>
      <c r="P4" s="12" t="str">
        <f>日期!J3</f>
        <v>Tue</v>
      </c>
      <c r="Q4" s="12" t="str">
        <f>日期!K3</f>
        <v>Wed</v>
      </c>
      <c r="R4" s="12" t="str">
        <f>日期!L3</f>
        <v>Thu</v>
      </c>
      <c r="S4" s="12" t="str">
        <f>日期!M3</f>
        <v>Fri</v>
      </c>
      <c r="T4" s="12" t="str">
        <f>日期!N3</f>
        <v>Sat</v>
      </c>
      <c r="U4" s="12" t="str">
        <f>日期!O3</f>
        <v>Sun</v>
      </c>
      <c r="V4" s="12" t="str">
        <f>日期!P3</f>
        <v>Mon</v>
      </c>
      <c r="W4" s="12" t="str">
        <f>日期!Q3</f>
        <v>Tue</v>
      </c>
      <c r="X4" s="12" t="str">
        <f>日期!R3</f>
        <v>Wed</v>
      </c>
      <c r="Y4" s="12" t="str">
        <f>日期!S3</f>
        <v>Thu</v>
      </c>
      <c r="Z4" s="12" t="str">
        <f>日期!T3</f>
        <v>Fri</v>
      </c>
      <c r="AA4" s="12" t="str">
        <f>日期!U3</f>
        <v>Sat</v>
      </c>
      <c r="AB4" s="12" t="str">
        <f>日期!V3</f>
        <v>Sun</v>
      </c>
      <c r="AC4" s="12" t="str">
        <f>日期!W3</f>
        <v>Mon</v>
      </c>
      <c r="AD4" s="12" t="str">
        <f>日期!X3</f>
        <v>Tue</v>
      </c>
      <c r="AE4" s="12" t="str">
        <f>日期!Y3</f>
        <v>Wed</v>
      </c>
      <c r="AF4" s="12" t="str">
        <f>日期!Z3</f>
        <v>Thu</v>
      </c>
      <c r="AG4" s="12" t="str">
        <f>日期!AA3</f>
        <v>Fri</v>
      </c>
      <c r="AH4" s="12" t="str">
        <f>日期!AB3</f>
        <v>Sat</v>
      </c>
      <c r="AI4" s="12" t="str">
        <f>日期!AC3</f>
        <v>Sun</v>
      </c>
      <c r="AJ4" s="12" t="str">
        <f>日期!AD3</f>
        <v>Mon</v>
      </c>
      <c r="AK4" s="12" t="str">
        <f>日期!AE3</f>
        <v>Tue</v>
      </c>
      <c r="AL4" s="12" t="str">
        <f>日期!AF3</f>
        <v>Wed</v>
      </c>
      <c r="AM4" s="12">
        <f>日期!AG3</f>
        <v>0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563047700.11666501</v>
      </c>
      <c r="E5" s="301">
        <f>E6+E13+E18+E26</f>
        <v>635489581.68599892</v>
      </c>
      <c r="F5" s="301">
        <f>F6+F13+F18+F26</f>
        <v>644121471.4799298</v>
      </c>
      <c r="G5" s="15">
        <f>G6+G13+G18+G26</f>
        <v>601401337</v>
      </c>
      <c r="H5" s="15">
        <f>H6+H13+H18+H26</f>
        <v>626685391</v>
      </c>
      <c r="I5" s="15">
        <f t="shared" ref="I5:AM5" si="0">I6+I13+I18+I26</f>
        <v>650674462</v>
      </c>
      <c r="J5" s="15">
        <f t="shared" si="0"/>
        <v>658119448</v>
      </c>
      <c r="K5" s="15">
        <f t="shared" si="0"/>
        <v>658126814</v>
      </c>
      <c r="L5" s="15">
        <f t="shared" si="0"/>
        <v>658126814</v>
      </c>
      <c r="M5" s="15">
        <f t="shared" si="0"/>
        <v>638821219</v>
      </c>
      <c r="N5" s="15">
        <f t="shared" si="0"/>
        <v>639265502</v>
      </c>
      <c r="O5" s="15">
        <f t="shared" si="0"/>
        <v>651940342</v>
      </c>
      <c r="P5" s="15">
        <f t="shared" si="0"/>
        <v>648521305</v>
      </c>
      <c r="Q5" s="15">
        <f t="shared" si="0"/>
        <v>649814834</v>
      </c>
      <c r="R5" s="15">
        <f t="shared" si="0"/>
        <v>653428832</v>
      </c>
      <c r="S5" s="15">
        <f t="shared" si="0"/>
        <v>658168054</v>
      </c>
      <c r="T5" s="15">
        <f t="shared" si="0"/>
        <v>639106631</v>
      </c>
      <c r="U5" s="15">
        <f t="shared" si="0"/>
        <v>639076164</v>
      </c>
      <c r="V5" s="15">
        <f t="shared" si="0"/>
        <v>643392020</v>
      </c>
      <c r="W5" s="15">
        <f t="shared" si="0"/>
        <v>646928652</v>
      </c>
      <c r="X5" s="15">
        <f t="shared" si="0"/>
        <v>648886864</v>
      </c>
      <c r="Y5" s="15">
        <f t="shared" si="0"/>
        <v>649335902</v>
      </c>
      <c r="Z5" s="15">
        <f t="shared" si="0"/>
        <v>662351684</v>
      </c>
      <c r="AA5" s="15">
        <f t="shared" si="0"/>
        <v>648502027</v>
      </c>
      <c r="AB5" s="15">
        <f t="shared" si="0"/>
        <v>648490635</v>
      </c>
      <c r="AC5" s="15">
        <f t="shared" si="0"/>
        <v>643256259</v>
      </c>
      <c r="AD5" s="15">
        <f t="shared" si="0"/>
        <v>649996734</v>
      </c>
      <c r="AE5" s="15">
        <f t="shared" si="0"/>
        <v>651311181</v>
      </c>
      <c r="AF5" s="15">
        <f t="shared" si="0"/>
        <v>658750424</v>
      </c>
      <c r="AG5" s="15">
        <f t="shared" si="0"/>
        <v>663842465</v>
      </c>
      <c r="AH5" s="15">
        <f t="shared" si="0"/>
        <v>650312632</v>
      </c>
      <c r="AI5" s="15">
        <f t="shared" si="0"/>
        <v>650310082</v>
      </c>
      <c r="AJ5" s="15">
        <f t="shared" si="0"/>
        <v>656588540</v>
      </c>
      <c r="AK5" s="15">
        <f t="shared" si="0"/>
        <v>660624038</v>
      </c>
      <c r="AL5" s="15">
        <f t="shared" si="0"/>
        <v>683993078</v>
      </c>
      <c r="AM5" s="15">
        <f t="shared" si="0"/>
        <v>0</v>
      </c>
      <c r="AN5" s="524">
        <f>AN6+AN13+AN18+AN26</f>
        <v>23369040</v>
      </c>
      <c r="AO5" s="238">
        <f>AO6+AO13+AO18+AO26</f>
        <v>652002121.28000021</v>
      </c>
      <c r="AP5" s="16">
        <f t="shared" ref="AP5:AP13" si="1">AJ5/10000</f>
        <v>65658.854000000007</v>
      </c>
      <c r="AQ5" s="17">
        <f t="shared" ref="AQ5:AQ13" si="2">AO5/10000</f>
        <v>65200.212128000021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336078315.54000002</v>
      </c>
      <c r="E6" s="287">
        <f t="shared" si="3"/>
        <v>345621549.37545872</v>
      </c>
      <c r="F6" s="287">
        <f t="shared" si="3"/>
        <v>348700352.01338035</v>
      </c>
      <c r="G6" s="20">
        <f>SUM(G7:G12)</f>
        <v>345213770</v>
      </c>
      <c r="H6" s="20">
        <f t="shared" si="3"/>
        <v>361156789</v>
      </c>
      <c r="I6" s="20">
        <f t="shared" si="3"/>
        <v>351331018</v>
      </c>
      <c r="J6" s="20">
        <f>SUM(J7:J12)</f>
        <v>356326211</v>
      </c>
      <c r="K6" s="20">
        <f>SUM(K7:K12)</f>
        <v>356333342</v>
      </c>
      <c r="L6" s="20">
        <f t="shared" ref="L6:AO6" si="4">SUM(L7:L12)</f>
        <v>356333342</v>
      </c>
      <c r="M6" s="20">
        <f t="shared" si="4"/>
        <v>341613903</v>
      </c>
      <c r="N6" s="20">
        <f t="shared" si="4"/>
        <v>342058186</v>
      </c>
      <c r="O6" s="20">
        <f t="shared" si="4"/>
        <v>353466093</v>
      </c>
      <c r="P6" s="20">
        <f t="shared" si="4"/>
        <v>352096033</v>
      </c>
      <c r="Q6" s="20">
        <f t="shared" si="4"/>
        <v>348606936</v>
      </c>
      <c r="R6" s="20">
        <f t="shared" si="4"/>
        <v>351927802</v>
      </c>
      <c r="S6" s="20">
        <f t="shared" si="4"/>
        <v>354201520</v>
      </c>
      <c r="T6" s="20">
        <f t="shared" si="4"/>
        <v>340250402</v>
      </c>
      <c r="U6" s="20">
        <f t="shared" si="4"/>
        <v>340224085</v>
      </c>
      <c r="V6" s="20">
        <f t="shared" si="4"/>
        <v>343396895</v>
      </c>
      <c r="W6" s="20">
        <f t="shared" si="4"/>
        <v>343964100</v>
      </c>
      <c r="X6" s="20">
        <f t="shared" si="4"/>
        <v>344810168</v>
      </c>
      <c r="Y6" s="20">
        <f t="shared" si="4"/>
        <v>345345236</v>
      </c>
      <c r="Z6" s="20">
        <f t="shared" si="4"/>
        <v>352013645</v>
      </c>
      <c r="AA6" s="20">
        <f t="shared" si="4"/>
        <v>343178239</v>
      </c>
      <c r="AB6" s="20">
        <f t="shared" si="4"/>
        <v>343166847</v>
      </c>
      <c r="AC6" s="20">
        <f t="shared" si="4"/>
        <v>339810890</v>
      </c>
      <c r="AD6" s="20">
        <f t="shared" si="4"/>
        <v>343320714</v>
      </c>
      <c r="AE6" s="20">
        <f t="shared" si="4"/>
        <v>344166051</v>
      </c>
      <c r="AF6" s="20">
        <f t="shared" si="4"/>
        <v>352848613</v>
      </c>
      <c r="AG6" s="20">
        <f t="shared" si="4"/>
        <v>354512795</v>
      </c>
      <c r="AH6" s="20">
        <f t="shared" si="4"/>
        <v>345358435</v>
      </c>
      <c r="AI6" s="20">
        <f t="shared" si="4"/>
        <v>345355885</v>
      </c>
      <c r="AJ6" s="20">
        <f t="shared" si="4"/>
        <v>346632422</v>
      </c>
      <c r="AK6" s="20">
        <f t="shared" si="4"/>
        <v>351475218</v>
      </c>
      <c r="AL6" s="20">
        <f t="shared" si="4"/>
        <v>369063594</v>
      </c>
      <c r="AM6" s="20">
        <f t="shared" si="4"/>
        <v>0</v>
      </c>
      <c r="AN6" s="525">
        <f t="shared" si="4"/>
        <v>17588376</v>
      </c>
      <c r="AO6" s="21">
        <f t="shared" si="4"/>
        <v>348439620.67000008</v>
      </c>
      <c r="AP6" s="16">
        <f t="shared" si="1"/>
        <v>34663.242200000001</v>
      </c>
      <c r="AQ6" s="17">
        <f t="shared" si="2"/>
        <v>34843.962067000008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296979593.43000001</v>
      </c>
      <c r="E7" s="309">
        <f>HLOOKUP(MONTH(日期!$C$2),當年目標設定!$D$1:$O$33,5,TRUE)</f>
        <v>300722632.26954645</v>
      </c>
      <c r="F7" s="308">
        <f>HLOOKUP(MONTH(日期!$C$2),當年目標設定!$R$1:$AC$33,5,TRUE)</f>
        <v>301350388.98356754</v>
      </c>
      <c r="G7" s="308">
        <f>當年月推移!P5</f>
        <v>296906842</v>
      </c>
      <c r="H7" s="308">
        <f>當年月推移!P39</f>
        <v>307112712</v>
      </c>
      <c r="I7" s="27">
        <f>VALUE(庫存金額!C2)</f>
        <v>306632022</v>
      </c>
      <c r="J7" s="27">
        <f>VALUE(庫存金額!D2)</f>
        <v>308856429</v>
      </c>
      <c r="K7" s="27">
        <f>VALUE(庫存金額!E2)</f>
        <v>308863560</v>
      </c>
      <c r="L7" s="27">
        <f>VALUE(庫存金額!F2)</f>
        <v>308863560</v>
      </c>
      <c r="M7" s="27">
        <f>VALUE(庫存金額!G2)</f>
        <v>301057324</v>
      </c>
      <c r="N7" s="27">
        <f>VALUE(庫存金額!H2)</f>
        <v>301501607</v>
      </c>
      <c r="O7" s="27">
        <f>VALUE(庫存金額!I2)</f>
        <v>309930425</v>
      </c>
      <c r="P7" s="27">
        <f>VALUE(庫存金額!J2)</f>
        <v>305978853</v>
      </c>
      <c r="Q7" s="27">
        <f>VALUE(庫存金額!K2)</f>
        <v>303058573</v>
      </c>
      <c r="R7" s="27">
        <f>VALUE(庫存金額!L2)</f>
        <v>305381472</v>
      </c>
      <c r="S7" s="27">
        <f>VALUE(庫存金額!M2)</f>
        <v>306986017</v>
      </c>
      <c r="T7" s="27">
        <f>VALUE(庫存金額!N2)</f>
        <v>300066320</v>
      </c>
      <c r="U7" s="27">
        <f>VALUE(庫存金額!O2)</f>
        <v>300040308</v>
      </c>
      <c r="V7" s="27">
        <f>VALUE(庫存金額!P2)</f>
        <v>302087992</v>
      </c>
      <c r="W7" s="27">
        <f>VALUE(庫存金額!Q2)</f>
        <v>302358267</v>
      </c>
      <c r="X7" s="27">
        <f>VALUE(庫存金額!R2)</f>
        <v>302329246</v>
      </c>
      <c r="Y7" s="27">
        <f>VALUE(庫存金額!S2)</f>
        <v>302552951</v>
      </c>
      <c r="Z7" s="27">
        <f>VALUE(庫存金額!T2)</f>
        <v>305633792</v>
      </c>
      <c r="AA7" s="27">
        <f>VALUE(庫存金額!U2)</f>
        <v>303481685</v>
      </c>
      <c r="AB7" s="27">
        <f>VALUE(庫存金額!V2)</f>
        <v>303470917</v>
      </c>
      <c r="AC7" s="27">
        <f>VALUE(庫存金額!W2)</f>
        <v>301128724</v>
      </c>
      <c r="AD7" s="27">
        <f>VALUE(庫存金額!X2)</f>
        <v>303095676</v>
      </c>
      <c r="AE7" s="27">
        <f>VALUE(庫存金額!Y2)</f>
        <v>302782023</v>
      </c>
      <c r="AF7" s="27">
        <f>VALUE(庫存金額!Z2)</f>
        <v>307506855</v>
      </c>
      <c r="AG7" s="27">
        <f>VALUE(庫存金額!AA2)</f>
        <v>307831306</v>
      </c>
      <c r="AH7" s="27">
        <f>VALUE(庫存金額!AB2)</f>
        <v>305924672</v>
      </c>
      <c r="AI7" s="27">
        <f>VALUE(庫存金額!AC2)</f>
        <v>305922122</v>
      </c>
      <c r="AJ7" s="27">
        <f>VALUE(庫存金額!AD2)</f>
        <v>307048831</v>
      </c>
      <c r="AK7" s="27">
        <f>VALUE(庫存金額!AE2)</f>
        <v>308146319</v>
      </c>
      <c r="AL7" s="27">
        <f>VALUE(庫存金額!AF2)</f>
        <v>311952904</v>
      </c>
      <c r="AM7" s="27">
        <f>VALUE(庫存金額!AG2)</f>
        <v>0</v>
      </c>
      <c r="AN7" s="27">
        <f>VALUE(庫存金額!AH2)</f>
        <v>3806585</v>
      </c>
      <c r="AO7" s="27">
        <f>VALUE(庫存金額!AI2)</f>
        <v>305015691.73000002</v>
      </c>
      <c r="AP7" s="16">
        <f t="shared" si="1"/>
        <v>30704.883099999999</v>
      </c>
      <c r="AQ7" s="17">
        <f t="shared" si="2"/>
        <v>30501.569173000004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6379189.9699999997</v>
      </c>
      <c r="E8" s="309">
        <f>HLOOKUP(MONTH(日期!$C$2),當年目標設定!$D$1:$O$33,6,TRUE)</f>
        <v>6143515.4134405004</v>
      </c>
      <c r="F8" s="308">
        <f>HLOOKUP(MONTH(日期!$C$2),當年目標設定!$R$1:$AC$33,6,TRUE)</f>
        <v>6885359.8240765007</v>
      </c>
      <c r="G8" s="308">
        <f>當年月推移!$P6</f>
        <v>6729955</v>
      </c>
      <c r="H8" s="308">
        <f>當年月推移!P40</f>
        <v>8787467</v>
      </c>
      <c r="I8" s="27">
        <f>VALUE(庫存金額!C4)</f>
        <v>7392890</v>
      </c>
      <c r="J8" s="27">
        <f>VALUE(庫存金額!D4)</f>
        <v>8002345</v>
      </c>
      <c r="K8" s="27">
        <f>VALUE(庫存金額!E4)</f>
        <v>8002345</v>
      </c>
      <c r="L8" s="27">
        <f>VALUE(庫存金額!F4)</f>
        <v>8002345</v>
      </c>
      <c r="M8" s="27">
        <f>VALUE(庫存金額!G4)</f>
        <v>6105690</v>
      </c>
      <c r="N8" s="27">
        <f>VALUE(庫存金額!H4)</f>
        <v>6105690</v>
      </c>
      <c r="O8" s="27">
        <f>VALUE(庫存金額!I4)</f>
        <v>7127652</v>
      </c>
      <c r="P8" s="27">
        <f>VALUE(庫存金額!J4)</f>
        <v>7745950</v>
      </c>
      <c r="Q8" s="27">
        <f>VALUE(庫存金額!K4)</f>
        <v>7281971</v>
      </c>
      <c r="R8" s="27">
        <f>VALUE(庫存金額!L4)</f>
        <v>7419784</v>
      </c>
      <c r="S8" s="27">
        <f>VALUE(庫存金額!M4)</f>
        <v>7452886</v>
      </c>
      <c r="T8" s="27">
        <f>VALUE(庫存金額!N4)</f>
        <v>5564734</v>
      </c>
      <c r="U8" s="27">
        <f>VALUE(庫存金額!O4)</f>
        <v>5564734</v>
      </c>
      <c r="V8" s="27">
        <f>VALUE(庫存金額!P4)</f>
        <v>6074483</v>
      </c>
      <c r="W8" s="27">
        <f>VALUE(庫存金額!Q4)</f>
        <v>6270371</v>
      </c>
      <c r="X8" s="27">
        <f>VALUE(庫存金額!R4)</f>
        <v>5849340</v>
      </c>
      <c r="Y8" s="27">
        <f>VALUE(庫存金額!S4)</f>
        <v>5370805</v>
      </c>
      <c r="Z8" s="27">
        <f>VALUE(庫存金額!T4)</f>
        <v>7431905</v>
      </c>
      <c r="AA8" s="27">
        <f>VALUE(庫存金額!U4)</f>
        <v>5872544</v>
      </c>
      <c r="AB8" s="27">
        <f>VALUE(庫存金額!V4)</f>
        <v>5872544</v>
      </c>
      <c r="AC8" s="27">
        <f>VALUE(庫存金額!W4)</f>
        <v>3833887</v>
      </c>
      <c r="AD8" s="27">
        <f>VALUE(庫存金額!X4)</f>
        <v>4810687</v>
      </c>
      <c r="AE8" s="27">
        <f>VALUE(庫存金額!Y4)</f>
        <v>4715095</v>
      </c>
      <c r="AF8" s="27">
        <f>VALUE(庫存金額!Z4)</f>
        <v>7835954</v>
      </c>
      <c r="AG8" s="27">
        <f>VALUE(庫存金額!AA4)</f>
        <v>6547145</v>
      </c>
      <c r="AH8" s="27">
        <f>VALUE(庫存金額!AB4)</f>
        <v>4823369</v>
      </c>
      <c r="AI8" s="27">
        <f>VALUE(庫存金額!AC4)</f>
        <v>4823369</v>
      </c>
      <c r="AJ8" s="27">
        <f>VALUE(庫存金額!AD4)</f>
        <v>4163707</v>
      </c>
      <c r="AK8" s="27">
        <f>VALUE(庫存金額!AE4)</f>
        <v>4927635</v>
      </c>
      <c r="AL8" s="27">
        <f>VALUE(庫存金額!AF4)</f>
        <v>6400194</v>
      </c>
      <c r="AM8" s="27">
        <f>VALUE(庫存金額!AG4)</f>
        <v>0</v>
      </c>
      <c r="AN8" s="27">
        <f>VALUE(庫存金額!AH4)</f>
        <v>1472559</v>
      </c>
      <c r="AO8" s="27">
        <f>VALUE(庫存金額!AI4)</f>
        <v>6246401.6699999999</v>
      </c>
      <c r="AP8" s="16">
        <f t="shared" si="1"/>
        <v>416.3707</v>
      </c>
      <c r="AQ8" s="17">
        <f t="shared" si="2"/>
        <v>624.64016700000002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1569699.9699999988</v>
      </c>
      <c r="E9" s="309">
        <f>HLOOKUP(MONTH(日期!$C$2),當年目標設定!$D$1:$O$33,7,TRUE)</f>
        <v>8298315.2758062501</v>
      </c>
      <c r="F9" s="308">
        <f>HLOOKUP(MONTH(日期!$C$2),當年目標設定!$R$1:$AC$33,7,TRUE)</f>
        <v>9650213.3045263346</v>
      </c>
      <c r="G9" s="308">
        <f>當年月推移!$P7</f>
        <v>9920318</v>
      </c>
      <c r="H9" s="308">
        <f>當年月推移!P41</f>
        <v>9554583</v>
      </c>
      <c r="I9" s="27">
        <f>VALUE(庫存金額!C5)</f>
        <v>7139258</v>
      </c>
      <c r="J9" s="27">
        <f>VALUE(庫存金額!D5)</f>
        <v>7006814</v>
      </c>
      <c r="K9" s="27">
        <f>VALUE(庫存金額!E5)</f>
        <v>7006814</v>
      </c>
      <c r="L9" s="27">
        <f>VALUE(庫存金額!F5)</f>
        <v>7006814</v>
      </c>
      <c r="M9" s="27">
        <f>VALUE(庫存金額!G5)</f>
        <v>6995577</v>
      </c>
      <c r="N9" s="27">
        <f>VALUE(庫存金額!H5)</f>
        <v>6995577</v>
      </c>
      <c r="O9" s="27">
        <f>VALUE(庫存金額!I5)</f>
        <v>7426972</v>
      </c>
      <c r="P9" s="27">
        <f>VALUE(庫存金額!J5)</f>
        <v>7701634</v>
      </c>
      <c r="Q9" s="27">
        <f>VALUE(庫存金額!K5)</f>
        <v>7691164</v>
      </c>
      <c r="R9" s="27">
        <f>VALUE(庫存金額!L5)</f>
        <v>7657698</v>
      </c>
      <c r="S9" s="27">
        <f>VALUE(庫存金額!M5)</f>
        <v>7660588</v>
      </c>
      <c r="T9" s="27">
        <f>VALUE(庫存金額!N5)</f>
        <v>7635005</v>
      </c>
      <c r="U9" s="27">
        <f>VALUE(庫存金額!O5)</f>
        <v>7635005</v>
      </c>
      <c r="V9" s="27">
        <f>VALUE(庫存金額!P5)</f>
        <v>7718207</v>
      </c>
      <c r="W9" s="27">
        <f>VALUE(庫存金額!Q5)</f>
        <v>7694971</v>
      </c>
      <c r="X9" s="27">
        <f>VALUE(庫存金額!R5)</f>
        <v>7731065</v>
      </c>
      <c r="Y9" s="27">
        <f>VALUE(庫存金額!S5)</f>
        <v>7683550</v>
      </c>
      <c r="Z9" s="27">
        <f>VALUE(庫存金額!T5)</f>
        <v>7695264</v>
      </c>
      <c r="AA9" s="27">
        <f>VALUE(庫存金額!U5)</f>
        <v>7682024</v>
      </c>
      <c r="AB9" s="27">
        <f>VALUE(庫存金額!V5)</f>
        <v>7682024</v>
      </c>
      <c r="AC9" s="27">
        <f>VALUE(庫存金額!W5)</f>
        <v>7654649</v>
      </c>
      <c r="AD9" s="27">
        <f>VALUE(庫存金額!X5)</f>
        <v>7362610</v>
      </c>
      <c r="AE9" s="27">
        <f>VALUE(庫存金額!Y5)</f>
        <v>7538542</v>
      </c>
      <c r="AF9" s="27">
        <f>VALUE(庫存金額!Z5)</f>
        <v>7468803</v>
      </c>
      <c r="AG9" s="27">
        <f>VALUE(庫存金額!AA5)</f>
        <v>7412024</v>
      </c>
      <c r="AH9" s="27">
        <f>VALUE(庫存金額!AB5)</f>
        <v>7368732</v>
      </c>
      <c r="AI9" s="27">
        <f>VALUE(庫存金額!AC5)</f>
        <v>7368732</v>
      </c>
      <c r="AJ9" s="27">
        <f>VALUE(庫存金額!AD5)</f>
        <v>7018825</v>
      </c>
      <c r="AK9" s="27">
        <f>VALUE(庫存金額!AE5)</f>
        <v>6710980</v>
      </c>
      <c r="AL9" s="27">
        <f>VALUE(庫存金額!AF5)</f>
        <v>6800876</v>
      </c>
      <c r="AM9" s="27">
        <f>VALUE(庫存金額!AG5)</f>
        <v>0</v>
      </c>
      <c r="AN9" s="27">
        <f>VALUE(庫存金額!AH5)</f>
        <v>89896</v>
      </c>
      <c r="AO9" s="27">
        <f>VALUE(庫存金額!AI5)</f>
        <v>7405026.5999999996</v>
      </c>
      <c r="AP9" s="16">
        <f t="shared" si="1"/>
        <v>701.88250000000005</v>
      </c>
      <c r="AQ9" s="17">
        <f t="shared" si="2"/>
        <v>740.50265999999999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20372883.300000001</v>
      </c>
      <c r="E10" s="309">
        <f>HLOOKUP(MONTH(日期!$C$2),當年目標設定!$D$1:$O$33,8,TRUE)</f>
        <v>18698223.354300503</v>
      </c>
      <c r="F10" s="308">
        <f>HLOOKUP(MONTH(日期!$C$2),當年目標設定!$R$1:$AC$33,8,TRUE)</f>
        <v>18790727.578079917</v>
      </c>
      <c r="G10" s="308">
        <f>當年月推移!$P8</f>
        <v>20215606</v>
      </c>
      <c r="H10" s="308">
        <f>當年月推移!P42</f>
        <v>21046979</v>
      </c>
      <c r="I10" s="27">
        <f>VALUE(庫存金額!C6)</f>
        <v>18043773</v>
      </c>
      <c r="J10" s="27">
        <f>VALUE(庫存金額!D6)</f>
        <v>19718600</v>
      </c>
      <c r="K10" s="27">
        <f>VALUE(庫存金額!E6)</f>
        <v>19718600</v>
      </c>
      <c r="L10" s="27">
        <f>VALUE(庫存金額!F6)</f>
        <v>19718600</v>
      </c>
      <c r="M10" s="27">
        <f>VALUE(庫存金額!G6)</f>
        <v>17775274</v>
      </c>
      <c r="N10" s="27">
        <f>VALUE(庫存金額!H6)</f>
        <v>17775274</v>
      </c>
      <c r="O10" s="27">
        <f>VALUE(庫存金額!I6)</f>
        <v>18283650</v>
      </c>
      <c r="P10" s="27">
        <f>VALUE(庫存金額!J6)</f>
        <v>18574407</v>
      </c>
      <c r="Q10" s="27">
        <f>VALUE(庫存金額!K6)</f>
        <v>17974668</v>
      </c>
      <c r="R10" s="27">
        <f>VALUE(庫存金額!L6)</f>
        <v>19592425</v>
      </c>
      <c r="S10" s="27">
        <f>VALUE(庫存金額!M6)</f>
        <v>19138020</v>
      </c>
      <c r="T10" s="27">
        <f>VALUE(庫存金額!N6)</f>
        <v>17131423</v>
      </c>
      <c r="U10" s="27">
        <f>VALUE(庫存金額!O6)</f>
        <v>17131118</v>
      </c>
      <c r="V10" s="27">
        <f>VALUE(庫存金額!P6)</f>
        <v>18206420</v>
      </c>
      <c r="W10" s="27">
        <f>VALUE(庫存金額!Q6)</f>
        <v>16886074</v>
      </c>
      <c r="X10" s="27">
        <f>VALUE(庫存金額!R6)</f>
        <v>17333303</v>
      </c>
      <c r="Y10" s="27">
        <f>VALUE(庫存金額!S6)</f>
        <v>17847145</v>
      </c>
      <c r="Z10" s="27">
        <f>VALUE(庫存金額!T6)</f>
        <v>19449886</v>
      </c>
      <c r="AA10" s="27">
        <f>VALUE(庫存金額!U6)</f>
        <v>17443466</v>
      </c>
      <c r="AB10" s="27">
        <f>VALUE(庫存金額!V6)</f>
        <v>17442842</v>
      </c>
      <c r="AC10" s="27">
        <f>VALUE(庫存金額!W6)</f>
        <v>19338957</v>
      </c>
      <c r="AD10" s="27">
        <f>VALUE(庫存金額!X6)</f>
        <v>18504967</v>
      </c>
      <c r="AE10" s="27">
        <f>VALUE(庫存金額!Y6)</f>
        <v>18701652</v>
      </c>
      <c r="AF10" s="27">
        <f>VALUE(庫存金額!Z6)</f>
        <v>18863305</v>
      </c>
      <c r="AG10" s="27">
        <f>VALUE(庫存金額!AA6)</f>
        <v>20598134</v>
      </c>
      <c r="AH10" s="27">
        <f>VALUE(庫存金額!AB6)</f>
        <v>18676435</v>
      </c>
      <c r="AI10" s="27">
        <f>VALUE(庫存金額!AC6)</f>
        <v>18676435</v>
      </c>
      <c r="AJ10" s="27">
        <f>VALUE(庫存金額!AD6)</f>
        <v>19134790</v>
      </c>
      <c r="AK10" s="27">
        <f>VALUE(庫存金額!AE6)</f>
        <v>20125929</v>
      </c>
      <c r="AL10" s="27">
        <f>VALUE(庫存金額!AF6)</f>
        <v>21065273</v>
      </c>
      <c r="AM10" s="27">
        <f>VALUE(庫存金額!AG6)</f>
        <v>0</v>
      </c>
      <c r="AN10" s="27">
        <f>VALUE(庫存金額!AH6)</f>
        <v>939344</v>
      </c>
      <c r="AO10" s="27">
        <f>VALUE(庫存金額!AI6)</f>
        <v>18629028.170000002</v>
      </c>
      <c r="AP10" s="16">
        <f t="shared" si="1"/>
        <v>1913.479</v>
      </c>
      <c r="AQ10" s="17">
        <f t="shared" si="2"/>
        <v>1862.9028170000001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10776948.869999999</v>
      </c>
      <c r="E12" s="309">
        <f>HLOOKUP(MONTH(日期!$C$2),當年目標設定!$D$1:$O$33,10,TRUE)</f>
        <v>11758863.062364999</v>
      </c>
      <c r="F12" s="308">
        <f>HLOOKUP(MONTH(日期!$C$2),當年目標設定!$R$1:$AC$33,10,TRUE)</f>
        <v>12023662.32313008</v>
      </c>
      <c r="G12" s="308">
        <f>當年月推移!$P10</f>
        <v>11441049</v>
      </c>
      <c r="H12" s="308">
        <f>當年月推移!P44</f>
        <v>14655048</v>
      </c>
      <c r="I12" s="27">
        <f>VALUE(庫存金額!C8)</f>
        <v>12123075</v>
      </c>
      <c r="J12" s="27">
        <f>VALUE(庫存金額!D8)</f>
        <v>12742023</v>
      </c>
      <c r="K12" s="27">
        <f>VALUE(庫存金額!E8)</f>
        <v>12742023</v>
      </c>
      <c r="L12" s="27">
        <f>VALUE(庫存金額!F8)</f>
        <v>12742023</v>
      </c>
      <c r="M12" s="27">
        <f>VALUE(庫存金額!G8)</f>
        <v>9680038</v>
      </c>
      <c r="N12" s="27">
        <f>VALUE(庫存金額!H8)</f>
        <v>9680038</v>
      </c>
      <c r="O12" s="27">
        <f>VALUE(庫存金額!I8)</f>
        <v>10697394</v>
      </c>
      <c r="P12" s="27">
        <f>VALUE(庫存金額!J8)</f>
        <v>12095189</v>
      </c>
      <c r="Q12" s="27">
        <f>VALUE(庫存金額!K8)</f>
        <v>12600560</v>
      </c>
      <c r="R12" s="27">
        <f>VALUE(庫存金額!L8)</f>
        <v>11876423</v>
      </c>
      <c r="S12" s="27">
        <f>VALUE(庫存金額!M8)</f>
        <v>12964009</v>
      </c>
      <c r="T12" s="27">
        <f>VALUE(庫存金額!N8)</f>
        <v>9852920</v>
      </c>
      <c r="U12" s="27">
        <f>VALUE(庫存金額!O8)</f>
        <v>9852920</v>
      </c>
      <c r="V12" s="27">
        <f>VALUE(庫存金額!P8)</f>
        <v>9309793</v>
      </c>
      <c r="W12" s="27">
        <f>VALUE(庫存金額!Q8)</f>
        <v>10754417</v>
      </c>
      <c r="X12" s="27">
        <f>VALUE(庫存金額!R8)</f>
        <v>11567214</v>
      </c>
      <c r="Y12" s="27">
        <f>VALUE(庫存金額!S8)</f>
        <v>11890785</v>
      </c>
      <c r="Z12" s="27">
        <f>VALUE(庫存金額!T8)</f>
        <v>11802798</v>
      </c>
      <c r="AA12" s="27">
        <f>VALUE(庫存金額!U8)</f>
        <v>8698520</v>
      </c>
      <c r="AB12" s="27">
        <f>VALUE(庫存金額!V8)</f>
        <v>8698520</v>
      </c>
      <c r="AC12" s="27">
        <f>VALUE(庫存金額!W8)</f>
        <v>7854673</v>
      </c>
      <c r="AD12" s="27">
        <f>VALUE(庫存金額!X8)</f>
        <v>9546774</v>
      </c>
      <c r="AE12" s="27">
        <f>VALUE(庫存金額!Y8)</f>
        <v>10428739</v>
      </c>
      <c r="AF12" s="27">
        <f>VALUE(庫存金額!Z8)</f>
        <v>11173696</v>
      </c>
      <c r="AG12" s="27">
        <f>VALUE(庫存金額!AA8)</f>
        <v>12124186</v>
      </c>
      <c r="AH12" s="27">
        <f>VALUE(庫存金額!AB8)</f>
        <v>8565227</v>
      </c>
      <c r="AI12" s="27">
        <f>VALUE(庫存金額!AC8)</f>
        <v>8565227</v>
      </c>
      <c r="AJ12" s="27">
        <f>VALUE(庫存金額!AD8)</f>
        <v>9266269</v>
      </c>
      <c r="AK12" s="27">
        <f>VALUE(庫存金額!AE8)</f>
        <v>11564355</v>
      </c>
      <c r="AL12" s="27">
        <f>VALUE(庫存金額!AF8)</f>
        <v>22844347</v>
      </c>
      <c r="AM12" s="27">
        <f>VALUE(庫存金額!AG8)</f>
        <v>0</v>
      </c>
      <c r="AN12" s="27">
        <f>VALUE(庫存金額!AH8)</f>
        <v>11279992</v>
      </c>
      <c r="AO12" s="27">
        <f>VALUE(庫存金額!AI8)</f>
        <v>11143472.5</v>
      </c>
      <c r="AP12" s="16">
        <f t="shared" si="1"/>
        <v>926.62689999999998</v>
      </c>
      <c r="AQ12" s="17">
        <f t="shared" si="2"/>
        <v>1114.34725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13416446.01</v>
      </c>
      <c r="E13" s="323">
        <f t="shared" si="5"/>
        <v>11235864.85967675</v>
      </c>
      <c r="F13" s="323">
        <f t="shared" si="5"/>
        <v>10954371.461301167</v>
      </c>
      <c r="G13" s="323">
        <f t="shared" si="5"/>
        <v>1832532</v>
      </c>
      <c r="H13" s="323">
        <f t="shared" si="5"/>
        <v>1941175</v>
      </c>
      <c r="I13" s="20">
        <f t="shared" si="5"/>
        <v>11873278</v>
      </c>
      <c r="J13" s="20">
        <f t="shared" ref="J13:AO13" si="6">SUM(J14:J17)</f>
        <v>10117042</v>
      </c>
      <c r="K13" s="20">
        <f t="shared" si="6"/>
        <v>10117042</v>
      </c>
      <c r="L13" s="20">
        <f t="shared" si="6"/>
        <v>10117042</v>
      </c>
      <c r="M13" s="20">
        <f t="shared" si="6"/>
        <v>8878375</v>
      </c>
      <c r="N13" s="20">
        <f t="shared" si="6"/>
        <v>8878375</v>
      </c>
      <c r="O13" s="20">
        <f t="shared" si="6"/>
        <v>9589121</v>
      </c>
      <c r="P13" s="20">
        <f t="shared" si="6"/>
        <v>8856470</v>
      </c>
      <c r="Q13" s="20">
        <f t="shared" si="6"/>
        <v>11694385</v>
      </c>
      <c r="R13" s="20">
        <f t="shared" si="6"/>
        <v>11149737</v>
      </c>
      <c r="S13" s="20">
        <f t="shared" si="6"/>
        <v>12467031</v>
      </c>
      <c r="T13" s="20">
        <f t="shared" si="6"/>
        <v>10699137</v>
      </c>
      <c r="U13" s="20">
        <f t="shared" si="6"/>
        <v>10699137</v>
      </c>
      <c r="V13" s="20">
        <f t="shared" si="6"/>
        <v>9612745</v>
      </c>
      <c r="W13" s="20">
        <f t="shared" si="6"/>
        <v>11471789</v>
      </c>
      <c r="X13" s="20">
        <f t="shared" si="6"/>
        <v>11117658</v>
      </c>
      <c r="Y13" s="20">
        <f t="shared" si="6"/>
        <v>10600994</v>
      </c>
      <c r="Z13" s="20">
        <f t="shared" si="6"/>
        <v>12767742</v>
      </c>
      <c r="AA13" s="20">
        <f t="shared" si="6"/>
        <v>11192976</v>
      </c>
      <c r="AB13" s="20">
        <f t="shared" si="6"/>
        <v>11192976</v>
      </c>
      <c r="AC13" s="20">
        <f t="shared" si="6"/>
        <v>10188586</v>
      </c>
      <c r="AD13" s="20">
        <f t="shared" si="6"/>
        <v>12438589</v>
      </c>
      <c r="AE13" s="20">
        <f t="shared" si="6"/>
        <v>11976394</v>
      </c>
      <c r="AF13" s="20">
        <f t="shared" si="6"/>
        <v>11352865</v>
      </c>
      <c r="AG13" s="20">
        <f t="shared" si="6"/>
        <v>13150506</v>
      </c>
      <c r="AH13" s="20">
        <f t="shared" si="6"/>
        <v>11692095</v>
      </c>
      <c r="AI13" s="20">
        <f t="shared" si="6"/>
        <v>11692095</v>
      </c>
      <c r="AJ13" s="20">
        <f t="shared" si="6"/>
        <v>14153303</v>
      </c>
      <c r="AK13" s="20">
        <f t="shared" si="6"/>
        <v>13467147</v>
      </c>
      <c r="AL13" s="20">
        <f t="shared" si="6"/>
        <v>13956053</v>
      </c>
      <c r="AM13" s="20">
        <f t="shared" si="6"/>
        <v>0</v>
      </c>
      <c r="AN13" s="20">
        <f t="shared" si="6"/>
        <v>488906</v>
      </c>
      <c r="AO13" s="20">
        <f t="shared" si="6"/>
        <v>11238689.5</v>
      </c>
      <c r="AP13" s="16">
        <f t="shared" si="1"/>
        <v>1415.3303000000001</v>
      </c>
      <c r="AQ13" s="17">
        <f t="shared" si="2"/>
        <v>1123.86895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2755574.17</v>
      </c>
      <c r="E15" s="309">
        <f>HLOOKUP(MONTH(日期!$C$2),當年目標設定!$D$1:$O$33,13,TRUE)</f>
        <v>2162896.3709674999</v>
      </c>
      <c r="F15" s="308">
        <f>HLOOKUP(MONTH(日期!$C$2),當年目標設定!$R$1:$AC$33,13,TRUE)</f>
        <v>1477521.3156718332</v>
      </c>
      <c r="G15" s="308">
        <f>當年月推移!P13</f>
        <v>1532955</v>
      </c>
      <c r="H15" s="308">
        <f>當年月推移!P47</f>
        <v>1634457</v>
      </c>
      <c r="I15" s="27">
        <f>VALUE(庫存金額!C10)</f>
        <v>1383226</v>
      </c>
      <c r="J15" s="27">
        <f>VALUE(庫存金額!D10)</f>
        <v>1660536</v>
      </c>
      <c r="K15" s="27">
        <f>VALUE(庫存金額!E10)</f>
        <v>1660536</v>
      </c>
      <c r="L15" s="27">
        <f>VALUE(庫存金額!F10)</f>
        <v>1660536</v>
      </c>
      <c r="M15" s="27">
        <f>VALUE(庫存金額!G10)</f>
        <v>1576851</v>
      </c>
      <c r="N15" s="27">
        <f>VALUE(庫存金額!H10)</f>
        <v>1576851</v>
      </c>
      <c r="O15" s="27">
        <f>VALUE(庫存金額!I10)</f>
        <v>1875906</v>
      </c>
      <c r="P15" s="27">
        <f>VALUE(庫存金額!J10)</f>
        <v>1747056</v>
      </c>
      <c r="Q15" s="27">
        <f>VALUE(庫存金額!K10)</f>
        <v>1705031</v>
      </c>
      <c r="R15" s="27">
        <f>VALUE(庫存金額!L10)</f>
        <v>2389786</v>
      </c>
      <c r="S15" s="27">
        <f>VALUE(庫存金額!M10)</f>
        <v>2342576</v>
      </c>
      <c r="T15" s="27">
        <f>VALUE(庫存金額!N10)</f>
        <v>2249611</v>
      </c>
      <c r="U15" s="27">
        <f>VALUE(庫存金額!O10)</f>
        <v>2249611</v>
      </c>
      <c r="V15" s="27">
        <f>VALUE(庫存金額!P10)</f>
        <v>2175916</v>
      </c>
      <c r="W15" s="27">
        <f>VALUE(庫存金額!Q10)</f>
        <v>2111781</v>
      </c>
      <c r="X15" s="27">
        <f>VALUE(庫存金額!R10)</f>
        <v>2021371</v>
      </c>
      <c r="Y15" s="27">
        <f>VALUE(庫存金額!S10)</f>
        <v>2645591</v>
      </c>
      <c r="Z15" s="27">
        <f>VALUE(庫存金額!T10)</f>
        <v>2576281</v>
      </c>
      <c r="AA15" s="27">
        <f>VALUE(庫存金額!U10)</f>
        <v>2519726</v>
      </c>
      <c r="AB15" s="27">
        <f>VALUE(庫存金額!V10)</f>
        <v>2519726</v>
      </c>
      <c r="AC15" s="27">
        <f>VALUE(庫存金額!W10)</f>
        <v>2373491</v>
      </c>
      <c r="AD15" s="27">
        <f>VALUE(庫存金額!X10)</f>
        <v>2222941</v>
      </c>
      <c r="AE15" s="27">
        <f>VALUE(庫存金額!Y10)</f>
        <v>2108776</v>
      </c>
      <c r="AF15" s="27">
        <f>VALUE(庫存金額!Z10)</f>
        <v>2602106</v>
      </c>
      <c r="AG15" s="27">
        <f>VALUE(庫存金額!AA10)</f>
        <v>2494236</v>
      </c>
      <c r="AH15" s="27">
        <f>VALUE(庫存金額!AB10)</f>
        <v>2410976</v>
      </c>
      <c r="AI15" s="27">
        <f>VALUE(庫存金額!AC10)</f>
        <v>2410976</v>
      </c>
      <c r="AJ15" s="27">
        <f>VALUE(庫存金額!AD10)</f>
        <v>2785207</v>
      </c>
      <c r="AK15" s="27">
        <f>VALUE(庫存金額!AE10)</f>
        <v>2742812</v>
      </c>
      <c r="AL15" s="27">
        <f>VALUE(庫存金額!AF10)</f>
        <v>2642042</v>
      </c>
      <c r="AM15" s="27">
        <f>VALUE(庫存金額!AG10)</f>
        <v>0</v>
      </c>
      <c r="AN15" s="27">
        <f>VALUE(庫存金額!AH10)</f>
        <v>-100770</v>
      </c>
      <c r="AO15" s="27">
        <f>VALUE(庫存金額!AI10)</f>
        <v>2181402.27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202614.67</v>
      </c>
      <c r="E16" s="309">
        <f>HLOOKUP(MONTH(日期!$C$2),當年目標設定!$D$1:$O$33,14,TRUE)</f>
        <v>338987.35483850003</v>
      </c>
      <c r="F16" s="308">
        <f>HLOOKUP(MONTH(日期!$C$2),當年目標設定!$R$1:$AC$33,14,TRUE)</f>
        <v>346963.51795708336</v>
      </c>
      <c r="G16" s="308">
        <f>當年月推移!P15</f>
        <v>299577</v>
      </c>
      <c r="H16" s="308">
        <f>當年月推移!P49</f>
        <v>306718</v>
      </c>
      <c r="I16" s="232">
        <f>VALUE(庫存金額!C14)</f>
        <v>258148</v>
      </c>
      <c r="J16" s="232">
        <f>VALUE(庫存金額!D14)</f>
        <v>253748</v>
      </c>
      <c r="K16" s="232">
        <f>VALUE(庫存金額!E14)</f>
        <v>253748</v>
      </c>
      <c r="L16" s="232">
        <f>VALUE(庫存金額!F14)</f>
        <v>253748</v>
      </c>
      <c r="M16" s="232">
        <f>VALUE(庫存金額!G14)</f>
        <v>253748</v>
      </c>
      <c r="N16" s="232">
        <f>VALUE(庫存金額!H14)</f>
        <v>253748</v>
      </c>
      <c r="O16" s="232">
        <f>VALUE(庫存金額!I14)</f>
        <v>307748</v>
      </c>
      <c r="P16" s="232">
        <f>VALUE(庫存金額!J14)</f>
        <v>305048</v>
      </c>
      <c r="Q16" s="232">
        <f>VALUE(庫存金額!K14)</f>
        <v>302808</v>
      </c>
      <c r="R16" s="232">
        <f>VALUE(庫存金額!L14)</f>
        <v>300028</v>
      </c>
      <c r="S16" s="232">
        <f>VALUE(庫存金額!M14)</f>
        <v>292688</v>
      </c>
      <c r="T16" s="232">
        <f>VALUE(庫存金額!N14)</f>
        <v>289988</v>
      </c>
      <c r="U16" s="232">
        <f>VALUE(庫存金額!O14)</f>
        <v>289988</v>
      </c>
      <c r="V16" s="232">
        <f>VALUE(庫存金額!P14)</f>
        <v>275848</v>
      </c>
      <c r="W16" s="232">
        <f>VALUE(庫存金額!Q14)</f>
        <v>274768</v>
      </c>
      <c r="X16" s="232">
        <f>VALUE(庫存金額!R14)</f>
        <v>272608</v>
      </c>
      <c r="Y16" s="232">
        <f>VALUE(庫存金額!S14)</f>
        <v>270368</v>
      </c>
      <c r="Z16" s="232">
        <f>VALUE(庫存金額!T14)</f>
        <v>268748</v>
      </c>
      <c r="AA16" s="232">
        <f>VALUE(庫存金額!U14)</f>
        <v>268748</v>
      </c>
      <c r="AB16" s="232">
        <f>VALUE(庫存金額!V14)</f>
        <v>268748</v>
      </c>
      <c r="AC16" s="232">
        <f>VALUE(庫存金額!W14)</f>
        <v>268748</v>
      </c>
      <c r="AD16" s="232">
        <f>VALUE(庫存金額!X14)</f>
        <v>264808</v>
      </c>
      <c r="AE16" s="232">
        <f>VALUE(庫存金額!Y14)</f>
        <v>257778</v>
      </c>
      <c r="AF16" s="232">
        <f>VALUE(庫存金額!Z14)</f>
        <v>254998</v>
      </c>
      <c r="AG16" s="232">
        <f>VALUE(庫存金額!AA14)</f>
        <v>245648</v>
      </c>
      <c r="AH16" s="232">
        <f>VALUE(庫存金額!AB14)</f>
        <v>245108</v>
      </c>
      <c r="AI16" s="232">
        <f>VALUE(庫存金額!AC14)</f>
        <v>245108</v>
      </c>
      <c r="AJ16" s="232">
        <f>VALUE(庫存金額!AD14)</f>
        <v>244568</v>
      </c>
      <c r="AK16" s="232">
        <f>VALUE(庫存金額!AE14)</f>
        <v>244028</v>
      </c>
      <c r="AL16" s="232">
        <f>VALUE(庫存金額!AF14)</f>
        <v>243488</v>
      </c>
      <c r="AM16" s="232">
        <f>VALUE(庫存金額!AG14)</f>
        <v>0</v>
      </c>
      <c r="AN16" s="232">
        <f>VALUE(庫存金額!AH14)</f>
        <v>-540</v>
      </c>
      <c r="AO16" s="232">
        <f>VALUE(庫存金額!AI14)</f>
        <v>267643.33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10458257.17</v>
      </c>
      <c r="E17" s="309">
        <f>HLOOKUP(MONTH(日期!$C$2),當年目標設定!$D$1:$O$33,15,TRUE)</f>
        <v>8733981.1338707507</v>
      </c>
      <c r="F17" s="308">
        <f>HLOOKUP(MONTH(日期!$C$2),當年目標設定!$R$1:$AC$33,15,TRUE)</f>
        <v>9129886.6276722495</v>
      </c>
      <c r="G17" s="308">
        <f>當年月推移!P33</f>
        <v>0</v>
      </c>
      <c r="H17" s="308">
        <f>當年月推移!P67</f>
        <v>0</v>
      </c>
      <c r="I17" s="232">
        <f>VALUE(庫存金額!C24)</f>
        <v>10231904</v>
      </c>
      <c r="J17" s="232">
        <f>VALUE(庫存金額!D24)</f>
        <v>8202758</v>
      </c>
      <c r="K17" s="232">
        <f>VALUE(庫存金額!E24)</f>
        <v>8202758</v>
      </c>
      <c r="L17" s="232">
        <f>VALUE(庫存金額!F24)</f>
        <v>8202758</v>
      </c>
      <c r="M17" s="232">
        <f>VALUE(庫存金額!G24)</f>
        <v>7047776</v>
      </c>
      <c r="N17" s="232">
        <f>VALUE(庫存金額!H24)</f>
        <v>7047776</v>
      </c>
      <c r="O17" s="232">
        <f>VALUE(庫存金額!I24)</f>
        <v>7405467</v>
      </c>
      <c r="P17" s="232">
        <f>VALUE(庫存金額!J24)</f>
        <v>6804366</v>
      </c>
      <c r="Q17" s="232">
        <f>VALUE(庫存金額!K24)</f>
        <v>9686546</v>
      </c>
      <c r="R17" s="232">
        <f>VALUE(庫存金額!L24)</f>
        <v>8459923</v>
      </c>
      <c r="S17" s="232">
        <f>VALUE(庫存金額!M24)</f>
        <v>9831767</v>
      </c>
      <c r="T17" s="232">
        <f>VALUE(庫存金額!N24)</f>
        <v>8159538</v>
      </c>
      <c r="U17" s="232">
        <f>VALUE(庫存金額!O24)</f>
        <v>8159538</v>
      </c>
      <c r="V17" s="232">
        <f>VALUE(庫存金額!P24)</f>
        <v>7160981</v>
      </c>
      <c r="W17" s="232">
        <f>VALUE(庫存金額!Q24)</f>
        <v>9085240</v>
      </c>
      <c r="X17" s="232">
        <f>VALUE(庫存金額!R24)</f>
        <v>8823679</v>
      </c>
      <c r="Y17" s="232">
        <f>VALUE(庫存金額!S24)</f>
        <v>7685035</v>
      </c>
      <c r="Z17" s="232">
        <f>VALUE(庫存金額!T24)</f>
        <v>9922713</v>
      </c>
      <c r="AA17" s="232">
        <f>VALUE(庫存金額!U24)</f>
        <v>8404502</v>
      </c>
      <c r="AB17" s="232">
        <f>VALUE(庫存金額!V24)</f>
        <v>8404502</v>
      </c>
      <c r="AC17" s="232">
        <f>VALUE(庫存金額!W24)</f>
        <v>7546347</v>
      </c>
      <c r="AD17" s="232">
        <f>VALUE(庫存金額!X24)</f>
        <v>9950840</v>
      </c>
      <c r="AE17" s="232">
        <f>VALUE(庫存金額!Y24)</f>
        <v>9609840</v>
      </c>
      <c r="AF17" s="232">
        <f>VALUE(庫存金額!Z24)</f>
        <v>8495761</v>
      </c>
      <c r="AG17" s="232">
        <f>VALUE(庫存金額!AA24)</f>
        <v>10410622</v>
      </c>
      <c r="AH17" s="232">
        <f>VALUE(庫存金額!AB24)</f>
        <v>9036011</v>
      </c>
      <c r="AI17" s="232">
        <f>VALUE(庫存金額!AC24)</f>
        <v>9036011</v>
      </c>
      <c r="AJ17" s="232">
        <f>VALUE(庫存金額!AD24)</f>
        <v>11123528</v>
      </c>
      <c r="AK17" s="232">
        <f>VALUE(庫存金額!AE24)</f>
        <v>10480307</v>
      </c>
      <c r="AL17" s="232">
        <f>VALUE(庫存金額!AF24)</f>
        <v>11070523</v>
      </c>
      <c r="AM17" s="232">
        <f>VALUE(庫存金額!AG24)</f>
        <v>0</v>
      </c>
      <c r="AN17" s="232">
        <f>VALUE(庫存金額!AH24)</f>
        <v>590216</v>
      </c>
      <c r="AO17" s="232">
        <f>VALUE(庫存金額!AI24)</f>
        <v>8789643.9000000004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211745281.66666502</v>
      </c>
      <c r="E18" s="554">
        <f t="shared" si="7"/>
        <v>278632167.45086348</v>
      </c>
      <c r="F18" s="324">
        <f t="shared" si="7"/>
        <v>284466748.00524831</v>
      </c>
      <c r="G18" s="317">
        <f t="shared" si="7"/>
        <v>239734552</v>
      </c>
      <c r="H18" s="317">
        <f t="shared" si="7"/>
        <v>248903257</v>
      </c>
      <c r="I18" s="237">
        <f t="shared" si="7"/>
        <v>281443543</v>
      </c>
      <c r="J18" s="237">
        <f t="shared" ref="J18:AO18" si="8">SUM(J19:J25)</f>
        <v>284699477</v>
      </c>
      <c r="K18" s="237">
        <f t="shared" si="8"/>
        <v>284699712</v>
      </c>
      <c r="L18" s="237">
        <f t="shared" si="8"/>
        <v>284699712</v>
      </c>
      <c r="M18" s="237">
        <f t="shared" si="8"/>
        <v>281469423</v>
      </c>
      <c r="N18" s="237">
        <f t="shared" si="8"/>
        <v>281469423</v>
      </c>
      <c r="O18" s="237">
        <f t="shared" si="8"/>
        <v>282108410</v>
      </c>
      <c r="P18" s="237">
        <f t="shared" si="8"/>
        <v>281084364</v>
      </c>
      <c r="Q18" s="237">
        <f t="shared" si="8"/>
        <v>281763075</v>
      </c>
      <c r="R18" s="237">
        <f t="shared" si="8"/>
        <v>282590505</v>
      </c>
      <c r="S18" s="237">
        <f t="shared" si="8"/>
        <v>283831515</v>
      </c>
      <c r="T18" s="237">
        <f t="shared" si="8"/>
        <v>280586704</v>
      </c>
      <c r="U18" s="237">
        <f t="shared" si="8"/>
        <v>280582554</v>
      </c>
      <c r="V18" s="237">
        <f t="shared" si="8"/>
        <v>282847528</v>
      </c>
      <c r="W18" s="237">
        <f t="shared" si="8"/>
        <v>283999345</v>
      </c>
      <c r="X18" s="237">
        <f t="shared" si="8"/>
        <v>285450480</v>
      </c>
      <c r="Y18" s="237">
        <f t="shared" si="8"/>
        <v>285975914</v>
      </c>
      <c r="Z18" s="237">
        <f t="shared" si="8"/>
        <v>289203153</v>
      </c>
      <c r="AA18" s="237">
        <f t="shared" si="8"/>
        <v>285830468</v>
      </c>
      <c r="AB18" s="237">
        <f t="shared" si="8"/>
        <v>285830468</v>
      </c>
      <c r="AC18" s="237">
        <f t="shared" si="8"/>
        <v>285073791</v>
      </c>
      <c r="AD18" s="237">
        <f t="shared" si="8"/>
        <v>286498048</v>
      </c>
      <c r="AE18" s="237">
        <f t="shared" si="8"/>
        <v>287204836</v>
      </c>
      <c r="AF18" s="237">
        <f t="shared" si="8"/>
        <v>286679446</v>
      </c>
      <c r="AG18" s="237">
        <f t="shared" si="8"/>
        <v>287537664</v>
      </c>
      <c r="AH18" s="237">
        <f t="shared" si="8"/>
        <v>284732202</v>
      </c>
      <c r="AI18" s="237">
        <f t="shared" si="8"/>
        <v>284732202</v>
      </c>
      <c r="AJ18" s="237">
        <f t="shared" si="8"/>
        <v>286953195</v>
      </c>
      <c r="AK18" s="237">
        <f t="shared" si="8"/>
        <v>287474402</v>
      </c>
      <c r="AL18" s="237">
        <f t="shared" si="8"/>
        <v>292848960</v>
      </c>
      <c r="AM18" s="237">
        <f t="shared" si="8"/>
        <v>0</v>
      </c>
      <c r="AN18" s="237">
        <f t="shared" si="8"/>
        <v>5374558</v>
      </c>
      <c r="AO18" s="237">
        <f t="shared" si="8"/>
        <v>284663350.64000005</v>
      </c>
      <c r="AP18" s="16">
        <f>AJ18/10000</f>
        <v>28695.319500000001</v>
      </c>
      <c r="AQ18" s="17">
        <f>AO18/10000</f>
        <v>28466.335064000006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184701881.73333299</v>
      </c>
      <c r="E19" s="555">
        <f>HLOOKUP(MONTH(日期!$C$2),當年目標設定!$D$1:$O$33,17,TRUE)</f>
        <v>253928974.49526501</v>
      </c>
      <c r="F19" s="309">
        <f>HLOOKUP(MONTH(日期!$C$2),當年目標設定!$R$1:$AC$33,17,TRUE)</f>
        <v>258689553.98162007</v>
      </c>
      <c r="G19" s="308">
        <f>當年月推移!P17</f>
        <v>220323703</v>
      </c>
      <c r="H19" s="308">
        <f>當年月推移!P51</f>
        <v>227057331</v>
      </c>
      <c r="I19" s="27">
        <f>VALUE(庫存金額!C3)</f>
        <v>235504356</v>
      </c>
      <c r="J19" s="27">
        <f>VALUE(庫存金額!D3)</f>
        <v>239116943</v>
      </c>
      <c r="K19" s="27">
        <f>VALUE(庫存金額!E3)</f>
        <v>239117178</v>
      </c>
      <c r="L19" s="27">
        <f>VALUE(庫存金額!F3)</f>
        <v>239117178</v>
      </c>
      <c r="M19" s="27">
        <f>VALUE(庫存金額!G3)</f>
        <v>237364680</v>
      </c>
      <c r="N19" s="27">
        <f>VALUE(庫存金額!H3)</f>
        <v>237364680</v>
      </c>
      <c r="O19" s="27">
        <f>VALUE(庫存金額!I3)</f>
        <v>237800738</v>
      </c>
      <c r="P19" s="27">
        <f>VALUE(庫存金額!J3)</f>
        <v>236708682</v>
      </c>
      <c r="Q19" s="27">
        <f>VALUE(庫存金額!K3)</f>
        <v>237617951</v>
      </c>
      <c r="R19" s="27">
        <f>VALUE(庫存金額!L3)</f>
        <v>238257588</v>
      </c>
      <c r="S19" s="27">
        <f>VALUE(庫存金額!M3)</f>
        <v>239452844</v>
      </c>
      <c r="T19" s="27">
        <f>VALUE(庫存金額!N3)</f>
        <v>238047784</v>
      </c>
      <c r="U19" s="27">
        <f>VALUE(庫存金額!O3)</f>
        <v>238043634</v>
      </c>
      <c r="V19" s="27">
        <f>VALUE(庫存金額!P3)</f>
        <v>239528255</v>
      </c>
      <c r="W19" s="27">
        <f>VALUE(庫存金額!Q3)</f>
        <v>241193810</v>
      </c>
      <c r="X19" s="27">
        <f>VALUE(庫存金額!R3)</f>
        <v>243431528</v>
      </c>
      <c r="Y19" s="27">
        <f>VALUE(庫存金額!S3)</f>
        <v>243332207</v>
      </c>
      <c r="Z19" s="27">
        <f>VALUE(庫存金額!T3)</f>
        <v>246364402</v>
      </c>
      <c r="AA19" s="27">
        <f>VALUE(庫存金額!U3)</f>
        <v>244610841</v>
      </c>
      <c r="AB19" s="27">
        <f>VALUE(庫存金額!V3)</f>
        <v>244610841</v>
      </c>
      <c r="AC19" s="27">
        <f>VALUE(庫存金額!W3)</f>
        <v>244084575</v>
      </c>
      <c r="AD19" s="27">
        <f>VALUE(庫存金額!X3)</f>
        <v>245601735</v>
      </c>
      <c r="AE19" s="27">
        <f>VALUE(庫存金額!Y3)</f>
        <v>246719588</v>
      </c>
      <c r="AF19" s="27">
        <f>VALUE(庫存金額!Z3)</f>
        <v>246365544</v>
      </c>
      <c r="AG19" s="27">
        <f>VALUE(庫存金額!AA3)</f>
        <v>247300939</v>
      </c>
      <c r="AH19" s="27">
        <f>VALUE(庫存金額!AB3)</f>
        <v>246008962</v>
      </c>
      <c r="AI19" s="27">
        <f>VALUE(庫存金額!AC3)</f>
        <v>246008962</v>
      </c>
      <c r="AJ19" s="27">
        <f>VALUE(庫存金額!AD3)</f>
        <v>247498325</v>
      </c>
      <c r="AK19" s="27">
        <f>VALUE(庫存金額!AE3)</f>
        <v>247754270</v>
      </c>
      <c r="AL19" s="27">
        <f>VALUE(庫存金額!AF3)</f>
        <v>249410081</v>
      </c>
      <c r="AM19" s="27">
        <f>VALUE(庫存金額!AG3)</f>
        <v>0</v>
      </c>
      <c r="AN19" s="27">
        <f>VALUE(庫存金額!AH3)</f>
        <v>1655811</v>
      </c>
      <c r="AO19" s="27">
        <f>VALUE(庫存金額!AI3)</f>
        <v>242111303.37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2642764.5666660001</v>
      </c>
      <c r="E20" s="555">
        <f>HLOOKUP(MONTH(日期!$C$2),當年目標設定!$D$1:$O$33,18,TRUE)</f>
        <v>2079170.2166695765</v>
      </c>
      <c r="F20" s="309">
        <f>HLOOKUP(MONTH(日期!$C$2),當年目標設定!$R$1:$AC$33,18,TRUE)</f>
        <v>2015639.4263995243</v>
      </c>
      <c r="G20" s="308">
        <f>當年月推移!P18</f>
        <v>2332752</v>
      </c>
      <c r="H20" s="308">
        <f>當年月推移!P52</f>
        <v>3065693</v>
      </c>
      <c r="I20" s="232">
        <f>VALUE(庫存金額!C13)</f>
        <v>2523207</v>
      </c>
      <c r="J20" s="232">
        <f>VALUE(庫存金額!D13)</f>
        <v>2632565</v>
      </c>
      <c r="K20" s="232">
        <f>VALUE(庫存金額!E13)</f>
        <v>2632565</v>
      </c>
      <c r="L20" s="232">
        <f>VALUE(庫存金額!F13)</f>
        <v>2632565</v>
      </c>
      <c r="M20" s="232">
        <f>VALUE(庫存金額!G13)</f>
        <v>2462758</v>
      </c>
      <c r="N20" s="232">
        <f>VALUE(庫存金額!H13)</f>
        <v>2462758</v>
      </c>
      <c r="O20" s="232">
        <f>VALUE(庫存金額!I13)</f>
        <v>2404043</v>
      </c>
      <c r="P20" s="232">
        <f>VALUE(庫存金額!J13)</f>
        <v>2392285</v>
      </c>
      <c r="Q20" s="232">
        <f>VALUE(庫存金額!K13)</f>
        <v>2407985</v>
      </c>
      <c r="R20" s="232">
        <f>VALUE(庫存金額!L13)</f>
        <v>2480181</v>
      </c>
      <c r="S20" s="232">
        <f>VALUE(庫存金額!M13)</f>
        <v>2696634</v>
      </c>
      <c r="T20" s="232">
        <f>VALUE(庫存金額!N13)</f>
        <v>2154193</v>
      </c>
      <c r="U20" s="232">
        <f>VALUE(庫存金額!O13)</f>
        <v>2154193</v>
      </c>
      <c r="V20" s="232">
        <f>VALUE(庫存金額!P13)</f>
        <v>2113452</v>
      </c>
      <c r="W20" s="232">
        <f>VALUE(庫存金額!Q13)</f>
        <v>1966761</v>
      </c>
      <c r="X20" s="232">
        <f>VALUE(庫存金額!R13)</f>
        <v>1881579</v>
      </c>
      <c r="Y20" s="232">
        <f>VALUE(庫存金額!S13)</f>
        <v>1923935</v>
      </c>
      <c r="Z20" s="232">
        <f>VALUE(庫存金額!T13)</f>
        <v>2238012</v>
      </c>
      <c r="AA20" s="232">
        <f>VALUE(庫存金額!U13)</f>
        <v>1898915</v>
      </c>
      <c r="AB20" s="232">
        <f>VALUE(庫存金額!V13)</f>
        <v>1898915</v>
      </c>
      <c r="AC20" s="232">
        <f>VALUE(庫存金額!W13)</f>
        <v>1580228</v>
      </c>
      <c r="AD20" s="232">
        <f>VALUE(庫存金額!X13)</f>
        <v>1532829</v>
      </c>
      <c r="AE20" s="232">
        <f>VALUE(庫存金額!Y13)</f>
        <v>1498789</v>
      </c>
      <c r="AF20" s="232">
        <f>VALUE(庫存金額!Z13)</f>
        <v>1821558</v>
      </c>
      <c r="AG20" s="232">
        <f>VALUE(庫存金額!AA13)</f>
        <v>1447026</v>
      </c>
      <c r="AH20" s="232">
        <f>VALUE(庫存金額!AB13)</f>
        <v>1286242</v>
      </c>
      <c r="AI20" s="232">
        <f>VALUE(庫存金額!AC13)</f>
        <v>1286242</v>
      </c>
      <c r="AJ20" s="232">
        <f>VALUE(庫存金額!AD13)</f>
        <v>832391</v>
      </c>
      <c r="AK20" s="232">
        <f>VALUE(庫存金額!AE13)</f>
        <v>1143404</v>
      </c>
      <c r="AL20" s="232">
        <f>VALUE(庫存金額!AF13)</f>
        <v>1381676</v>
      </c>
      <c r="AM20" s="232">
        <f>VALUE(庫存金額!AG13)</f>
        <v>0</v>
      </c>
      <c r="AN20" s="232">
        <f>VALUE(庫存金額!AH13)</f>
        <v>238272</v>
      </c>
      <c r="AO20" s="232">
        <f>VALUE(庫存金額!AI13)</f>
        <v>1992262.87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6695718.7999999998</v>
      </c>
      <c r="E21" s="555">
        <f>HLOOKUP(MONTH(日期!$C$2),當年目標設定!$D$1:$O$33,19,TRUE)</f>
        <v>5917104.4063725118</v>
      </c>
      <c r="F21" s="309">
        <f>HLOOKUP(MONTH(日期!$C$2),當年目標設定!$R$1:$AC$33,19,TRUE)</f>
        <v>6990841.9348519361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24969531</v>
      </c>
      <c r="J21" s="232">
        <f>VALUE(庫存金額!D18)</f>
        <v>24859653</v>
      </c>
      <c r="K21" s="232">
        <f>VALUE(庫存金額!E18)</f>
        <v>24859653</v>
      </c>
      <c r="L21" s="232">
        <f>VALUE(庫存金額!F18)</f>
        <v>24859653</v>
      </c>
      <c r="M21" s="232">
        <f>VALUE(庫存金額!G18)</f>
        <v>24795714</v>
      </c>
      <c r="N21" s="232">
        <f>VALUE(庫存金額!H18)</f>
        <v>24795714</v>
      </c>
      <c r="O21" s="232">
        <f>VALUE(庫存金額!I18)</f>
        <v>24722115</v>
      </c>
      <c r="P21" s="232">
        <f>VALUE(庫存金額!J18)</f>
        <v>24553033</v>
      </c>
      <c r="Q21" s="232">
        <f>VALUE(庫存金額!K18)</f>
        <v>24402054</v>
      </c>
      <c r="R21" s="232">
        <f>VALUE(庫存金額!L18)</f>
        <v>24236484</v>
      </c>
      <c r="S21" s="232">
        <f>VALUE(庫存金額!M18)</f>
        <v>23996829</v>
      </c>
      <c r="T21" s="232">
        <f>VALUE(庫存金額!N18)</f>
        <v>23930419</v>
      </c>
      <c r="U21" s="232">
        <f>VALUE(庫存金額!O18)</f>
        <v>23930419</v>
      </c>
      <c r="V21" s="232">
        <f>VALUE(庫存金額!P18)</f>
        <v>23846832</v>
      </c>
      <c r="W21" s="232">
        <f>VALUE(庫存金額!Q18)</f>
        <v>23600533</v>
      </c>
      <c r="X21" s="232">
        <f>VALUE(庫存金額!R18)</f>
        <v>23480659</v>
      </c>
      <c r="Y21" s="232">
        <f>VALUE(庫存金額!S18)</f>
        <v>23331248</v>
      </c>
      <c r="Z21" s="232">
        <f>VALUE(庫存金額!T18)</f>
        <v>23173899</v>
      </c>
      <c r="AA21" s="232">
        <f>VALUE(庫存金額!U18)</f>
        <v>23121085</v>
      </c>
      <c r="AB21" s="232">
        <f>VALUE(庫存金額!V18)</f>
        <v>23121085</v>
      </c>
      <c r="AC21" s="232">
        <f>VALUE(庫存金額!W18)</f>
        <v>23068828</v>
      </c>
      <c r="AD21" s="232">
        <f>VALUE(庫存金額!X18)</f>
        <v>22945790</v>
      </c>
      <c r="AE21" s="232">
        <f>VALUE(庫存金額!Y18)</f>
        <v>22799292</v>
      </c>
      <c r="AF21" s="232">
        <f>VALUE(庫存金額!Z18)</f>
        <v>22689930</v>
      </c>
      <c r="AG21" s="232">
        <f>VALUE(庫存金額!AA18)</f>
        <v>22536629</v>
      </c>
      <c r="AH21" s="232">
        <f>VALUE(庫存金額!AB18)</f>
        <v>22491436</v>
      </c>
      <c r="AI21" s="232">
        <f>VALUE(庫存金額!AC18)</f>
        <v>22491436</v>
      </c>
      <c r="AJ21" s="232">
        <f>VALUE(庫存金額!AD18)</f>
        <v>22338177</v>
      </c>
      <c r="AK21" s="232">
        <f>VALUE(庫存金額!AE18)</f>
        <v>22180839</v>
      </c>
      <c r="AL21" s="232">
        <f>VALUE(庫存金額!AF18)</f>
        <v>22038535</v>
      </c>
      <c r="AM21" s="232">
        <f>VALUE(庫存金額!AG18)</f>
        <v>0</v>
      </c>
      <c r="AN21" s="232">
        <f>VALUE(庫存金額!AH18)</f>
        <v>-142304</v>
      </c>
      <c r="AO21" s="232">
        <f>VALUE(庫存金額!AI18)</f>
        <v>23605583.469999999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13020017.166665999</v>
      </c>
      <c r="E22" s="555">
        <f>HLOOKUP(MONTH(日期!$C$2),當年目標設定!$D$1:$O$33,20,TRUE)</f>
        <v>10360255.687040582</v>
      </c>
      <c r="F22" s="309">
        <f>HLOOKUP(MONTH(日期!$C$2),當年目標設定!$R$1:$AC$33,20,TRUE)</f>
        <v>10405651.189698469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10498399</v>
      </c>
      <c r="J22" s="232">
        <f>VALUE(庫存金額!D17)</f>
        <v>10687763</v>
      </c>
      <c r="K22" s="232">
        <f>VALUE(庫存金額!E17)</f>
        <v>10687763</v>
      </c>
      <c r="L22" s="232">
        <f>VALUE(庫存金額!F17)</f>
        <v>10687763</v>
      </c>
      <c r="M22" s="232">
        <f>VALUE(庫存金額!G17)</f>
        <v>10000514</v>
      </c>
      <c r="N22" s="232">
        <f>VALUE(庫存金額!H17)</f>
        <v>10000514</v>
      </c>
      <c r="O22" s="232">
        <f>VALUE(庫存金額!I17)</f>
        <v>10413845</v>
      </c>
      <c r="P22" s="232">
        <f>VALUE(庫存金額!J17)</f>
        <v>10661952</v>
      </c>
      <c r="Q22" s="232">
        <f>VALUE(庫存金額!K17)</f>
        <v>10805167</v>
      </c>
      <c r="R22" s="232">
        <f>VALUE(庫存金額!L17)</f>
        <v>11244988</v>
      </c>
      <c r="S22" s="232">
        <f>VALUE(庫存金額!M17)</f>
        <v>11110657</v>
      </c>
      <c r="T22" s="232">
        <f>VALUE(庫存金額!N17)</f>
        <v>10400682</v>
      </c>
      <c r="U22" s="232">
        <f>VALUE(庫存金額!O17)</f>
        <v>10400682</v>
      </c>
      <c r="V22" s="232">
        <f>VALUE(庫存金額!P17)</f>
        <v>10485250</v>
      </c>
      <c r="W22" s="232">
        <f>VALUE(庫存金額!Q17)</f>
        <v>10574269</v>
      </c>
      <c r="X22" s="232">
        <f>VALUE(庫存金額!R17)</f>
        <v>9868951</v>
      </c>
      <c r="Y22" s="232">
        <f>VALUE(庫存金額!S17)</f>
        <v>10751455</v>
      </c>
      <c r="Z22" s="232">
        <f>VALUE(庫存金額!T17)</f>
        <v>10863590</v>
      </c>
      <c r="AA22" s="232">
        <f>VALUE(庫存金額!U17)</f>
        <v>10120604</v>
      </c>
      <c r="AB22" s="232">
        <f>VALUE(庫存金額!V17)</f>
        <v>10120604</v>
      </c>
      <c r="AC22" s="232">
        <f>VALUE(庫存金額!W17)</f>
        <v>10668202</v>
      </c>
      <c r="AD22" s="232">
        <f>VALUE(庫存金額!X17)</f>
        <v>10396849</v>
      </c>
      <c r="AE22" s="232">
        <f>VALUE(庫存金額!Y17)</f>
        <v>10162795</v>
      </c>
      <c r="AF22" s="232">
        <f>VALUE(庫存金額!Z17)</f>
        <v>9969817</v>
      </c>
      <c r="AG22" s="232">
        <f>VALUE(庫存金額!AA17)</f>
        <v>10663630</v>
      </c>
      <c r="AH22" s="232">
        <f>VALUE(庫存金額!AB17)</f>
        <v>9933326</v>
      </c>
      <c r="AI22" s="232">
        <f>VALUE(庫存金額!AC17)</f>
        <v>9933326</v>
      </c>
      <c r="AJ22" s="232">
        <f>VALUE(庫存金額!AD17)</f>
        <v>10339576</v>
      </c>
      <c r="AK22" s="232">
        <f>VALUE(庫存金額!AE17)</f>
        <v>10112022</v>
      </c>
      <c r="AL22" s="232">
        <f>VALUE(庫存金額!AF17)</f>
        <v>10247940</v>
      </c>
      <c r="AM22" s="232">
        <f>VALUE(庫存金額!AG17)</f>
        <v>0</v>
      </c>
      <c r="AN22" s="232">
        <f>VALUE(庫存金額!AH17)</f>
        <v>135918</v>
      </c>
      <c r="AO22" s="232">
        <f>VALUE(庫存金額!AI17)</f>
        <v>10427096.5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4388760.4000000004</v>
      </c>
      <c r="E23" s="555">
        <f>HLOOKUP(MONTH(日期!$C$2),當年目標設定!$D$1:$O$33,21,TRUE)</f>
        <v>6161777.0563623831</v>
      </c>
      <c r="F23" s="309">
        <f>HLOOKUP(MONTH(日期!$C$2),當年目標設定!$R$1:$AC$33,21,TRUE)</f>
        <v>6185156.3133457676</v>
      </c>
      <c r="G23" s="308">
        <f>當年月推移!P21</f>
        <v>16487939</v>
      </c>
      <c r="H23" s="308">
        <f>當年月推移!P55</f>
        <v>18180687</v>
      </c>
      <c r="I23" s="232">
        <f>VALUE(庫存金額!C16)</f>
        <v>7692161</v>
      </c>
      <c r="J23" s="232">
        <f>VALUE(庫存金額!D16)</f>
        <v>7146664</v>
      </c>
      <c r="K23" s="232">
        <f>VALUE(庫存金額!E16)</f>
        <v>7146664</v>
      </c>
      <c r="L23" s="232">
        <f>VALUE(庫存金額!F16)</f>
        <v>7146664</v>
      </c>
      <c r="M23" s="232">
        <f>VALUE(庫存金額!G16)</f>
        <v>6589868</v>
      </c>
      <c r="N23" s="232">
        <f>VALUE(庫存金額!H16)</f>
        <v>6589868</v>
      </c>
      <c r="O23" s="232">
        <f>VALUE(庫存金額!I16)</f>
        <v>6511780</v>
      </c>
      <c r="P23" s="232">
        <f>VALUE(庫存金額!J16)</f>
        <v>6512523</v>
      </c>
      <c r="Q23" s="232">
        <f>VALUE(庫存金額!K16)</f>
        <v>6274029</v>
      </c>
      <c r="R23" s="232">
        <f>VALUE(庫存金額!L16)</f>
        <v>6115375</v>
      </c>
      <c r="S23" s="232">
        <f>VALUE(庫存金額!M16)</f>
        <v>6318662</v>
      </c>
      <c r="T23" s="232">
        <f>VALUE(庫存金額!N16)</f>
        <v>5797737</v>
      </c>
      <c r="U23" s="232">
        <f>VALUE(庫存金額!O16)</f>
        <v>5797737</v>
      </c>
      <c r="V23" s="232">
        <f>VALUE(庫存金額!P16)</f>
        <v>6617850</v>
      </c>
      <c r="W23" s="232">
        <f>VALUE(庫存金額!Q16)</f>
        <v>6408083</v>
      </c>
      <c r="X23" s="232">
        <f>VALUE(庫存金額!R16)</f>
        <v>6531874</v>
      </c>
      <c r="Y23" s="232">
        <f>VALUE(庫存金額!S16)</f>
        <v>6381180</v>
      </c>
      <c r="Z23" s="232">
        <f>VALUE(庫存金額!T16)</f>
        <v>6307361</v>
      </c>
      <c r="AA23" s="232">
        <f>VALUE(庫存金額!U16)</f>
        <v>5823134</v>
      </c>
      <c r="AB23" s="232">
        <f>VALUE(庫存金額!V16)</f>
        <v>5823134</v>
      </c>
      <c r="AC23" s="232">
        <f>VALUE(庫存金額!W16)</f>
        <v>5416069</v>
      </c>
      <c r="AD23" s="232">
        <f>VALUE(庫存金額!X16)</f>
        <v>5764956</v>
      </c>
      <c r="AE23" s="232">
        <f>VALUE(庫存金額!Y16)</f>
        <v>5768483</v>
      </c>
      <c r="AF23" s="232">
        <f>VALUE(庫存金額!Z16)</f>
        <v>5562958</v>
      </c>
      <c r="AG23" s="232">
        <f>VALUE(庫存金額!AA16)</f>
        <v>5319801</v>
      </c>
      <c r="AH23" s="232">
        <f>VALUE(庫存金額!AB16)</f>
        <v>4742597</v>
      </c>
      <c r="AI23" s="232">
        <f>VALUE(庫存金額!AC16)</f>
        <v>4742597</v>
      </c>
      <c r="AJ23" s="232">
        <f>VALUE(庫存金額!AD16)</f>
        <v>5690087</v>
      </c>
      <c r="AK23" s="232">
        <f>VALUE(庫存金額!AE16)</f>
        <v>6029228</v>
      </c>
      <c r="AL23" s="232">
        <f>VALUE(庫存金額!AF16)</f>
        <v>9516089</v>
      </c>
      <c r="AM23" s="232">
        <f>VALUE(庫存金額!AG16)</f>
        <v>0</v>
      </c>
      <c r="AN23" s="232">
        <f>VALUE(庫存金額!AH16)</f>
        <v>3486861</v>
      </c>
      <c r="AO23" s="232">
        <f>VALUE(庫存金額!AI16)</f>
        <v>6269507.0999999996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133339</v>
      </c>
      <c r="E24" s="555">
        <f>HLOOKUP(MONTH(日期!$C$2),當年目標設定!$D$1:$O$33,22,TRUE)</f>
        <v>184885.58915340176</v>
      </c>
      <c r="F24" s="309">
        <f>HLOOKUP(MONTH(日期!$C$2),當年目標設定!$R$1:$AC$33,22,TRUE)</f>
        <v>179905.15933253919</v>
      </c>
      <c r="G24" s="308">
        <f>當年月推移!P22</f>
        <v>103882</v>
      </c>
      <c r="H24" s="308">
        <f>當年月推移!P56</f>
        <v>102256</v>
      </c>
      <c r="I24" s="232">
        <f>VALUE(庫存金額!C11)</f>
        <v>93089</v>
      </c>
      <c r="J24" s="232">
        <f>VALUE(庫存金額!D11)</f>
        <v>93089</v>
      </c>
      <c r="K24" s="232">
        <f>VALUE(庫存金額!E11)</f>
        <v>93089</v>
      </c>
      <c r="L24" s="232">
        <f>VALUE(庫存金額!F11)</f>
        <v>93089</v>
      </c>
      <c r="M24" s="232">
        <f>VALUE(庫存金額!G11)</f>
        <v>93089</v>
      </c>
      <c r="N24" s="232">
        <f>VALUE(庫存金額!H11)</f>
        <v>93089</v>
      </c>
      <c r="O24" s="232">
        <f>VALUE(庫存金額!I11)</f>
        <v>93089</v>
      </c>
      <c r="P24" s="232">
        <f>VALUE(庫存金額!J11)</f>
        <v>93089</v>
      </c>
      <c r="Q24" s="232">
        <f>VALUE(庫存金額!K11)</f>
        <v>93089</v>
      </c>
      <c r="R24" s="232">
        <f>VALUE(庫存金額!L11)</f>
        <v>93089</v>
      </c>
      <c r="S24" s="232">
        <f>VALUE(庫存金額!M11)</f>
        <v>93089</v>
      </c>
      <c r="T24" s="232">
        <f>VALUE(庫存金額!N11)</f>
        <v>93089</v>
      </c>
      <c r="U24" s="232">
        <f>VALUE(庫存金額!O11)</f>
        <v>93089</v>
      </c>
      <c r="V24" s="232">
        <f>VALUE(庫存金額!P11)</f>
        <v>93089</v>
      </c>
      <c r="W24" s="232">
        <f>VALUE(庫存金額!Q11)</f>
        <v>93089</v>
      </c>
      <c r="X24" s="232">
        <f>VALUE(庫存金額!R11)</f>
        <v>93089</v>
      </c>
      <c r="Y24" s="232">
        <f>VALUE(庫存金額!S11)</f>
        <v>93089</v>
      </c>
      <c r="Z24" s="232">
        <f>VALUE(庫存金額!T11)</f>
        <v>93089</v>
      </c>
      <c r="AA24" s="232">
        <f>VALUE(庫存金額!U11)</f>
        <v>93089</v>
      </c>
      <c r="AB24" s="232">
        <f>VALUE(庫存金額!V11)</f>
        <v>93089</v>
      </c>
      <c r="AC24" s="232">
        <f>VALUE(庫存金額!W11)</f>
        <v>93089</v>
      </c>
      <c r="AD24" s="232">
        <f>VALUE(庫存金額!X11)</f>
        <v>93089</v>
      </c>
      <c r="AE24" s="232">
        <f>VALUE(庫存金額!Y11)</f>
        <v>93089</v>
      </c>
      <c r="AF24" s="232">
        <f>VALUE(庫存金額!Z11)</f>
        <v>106839</v>
      </c>
      <c r="AG24" s="232">
        <f>VALUE(庫存金額!AA11)</f>
        <v>106839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91839</v>
      </c>
      <c r="AK24" s="232">
        <f>VALUE(庫存金額!AE11)</f>
        <v>91839</v>
      </c>
      <c r="AL24" s="232">
        <f>VALUE(庫存金額!AF11)</f>
        <v>91839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94797.33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162300</v>
      </c>
      <c r="H25" s="308">
        <f>當年月推移!P57</f>
        <v>173314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1807656.9000000001</v>
      </c>
      <c r="E26" s="325">
        <f t="shared" si="9"/>
        <v>0</v>
      </c>
      <c r="F26" s="318">
        <f t="shared" si="9"/>
        <v>0</v>
      </c>
      <c r="G26" s="318">
        <f t="shared" si="9"/>
        <v>14620483</v>
      </c>
      <c r="H26" s="318">
        <f t="shared" si="9"/>
        <v>14684170</v>
      </c>
      <c r="I26" s="237">
        <f t="shared" si="9"/>
        <v>6026623</v>
      </c>
      <c r="J26" s="237">
        <f t="shared" ref="J26:AO26" si="10">SUM(J27:J31)</f>
        <v>6976718</v>
      </c>
      <c r="K26" s="237">
        <f t="shared" si="10"/>
        <v>6976718</v>
      </c>
      <c r="L26" s="237">
        <f t="shared" si="10"/>
        <v>6976718</v>
      </c>
      <c r="M26" s="237">
        <f t="shared" si="10"/>
        <v>6859518</v>
      </c>
      <c r="N26" s="237">
        <f t="shared" si="10"/>
        <v>6859518</v>
      </c>
      <c r="O26" s="237">
        <f t="shared" si="10"/>
        <v>6776718</v>
      </c>
      <c r="P26" s="237">
        <f t="shared" si="10"/>
        <v>6484438</v>
      </c>
      <c r="Q26" s="237">
        <f t="shared" si="10"/>
        <v>7750438</v>
      </c>
      <c r="R26" s="237">
        <f t="shared" si="10"/>
        <v>7760788</v>
      </c>
      <c r="S26" s="237">
        <f t="shared" si="10"/>
        <v>7667988</v>
      </c>
      <c r="T26" s="237">
        <f t="shared" si="10"/>
        <v>7570388</v>
      </c>
      <c r="U26" s="237">
        <f t="shared" si="10"/>
        <v>7570388</v>
      </c>
      <c r="V26" s="237">
        <f t="shared" si="10"/>
        <v>7534852</v>
      </c>
      <c r="W26" s="237">
        <f t="shared" si="10"/>
        <v>7493418</v>
      </c>
      <c r="X26" s="237">
        <f t="shared" si="10"/>
        <v>7508558</v>
      </c>
      <c r="Y26" s="237">
        <f t="shared" si="10"/>
        <v>7413758</v>
      </c>
      <c r="Z26" s="237">
        <f t="shared" si="10"/>
        <v>8367144</v>
      </c>
      <c r="AA26" s="237">
        <f t="shared" si="10"/>
        <v>8300344</v>
      </c>
      <c r="AB26" s="237">
        <f t="shared" si="10"/>
        <v>8300344</v>
      </c>
      <c r="AC26" s="237">
        <f t="shared" si="10"/>
        <v>8182992</v>
      </c>
      <c r="AD26" s="237">
        <f t="shared" si="10"/>
        <v>7739383</v>
      </c>
      <c r="AE26" s="237">
        <f t="shared" si="10"/>
        <v>7963900</v>
      </c>
      <c r="AF26" s="237">
        <f t="shared" si="10"/>
        <v>7869500</v>
      </c>
      <c r="AG26" s="237">
        <f t="shared" si="10"/>
        <v>8641500</v>
      </c>
      <c r="AH26" s="237">
        <f t="shared" si="10"/>
        <v>8529900</v>
      </c>
      <c r="AI26" s="237">
        <f t="shared" si="10"/>
        <v>8529900</v>
      </c>
      <c r="AJ26" s="237">
        <f t="shared" si="10"/>
        <v>8849620</v>
      </c>
      <c r="AK26" s="237">
        <f t="shared" si="10"/>
        <v>8207271</v>
      </c>
      <c r="AL26" s="237">
        <f t="shared" si="10"/>
        <v>8124471</v>
      </c>
      <c r="AM26" s="237">
        <f t="shared" si="10"/>
        <v>0</v>
      </c>
      <c r="AN26" s="237">
        <f t="shared" si="10"/>
        <v>-82800</v>
      </c>
      <c r="AO26" s="237">
        <f t="shared" si="10"/>
        <v>7660460.4699999997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128162.8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179314</v>
      </c>
      <c r="J28" s="27">
        <f>VALUE(庫存金額!D21)</f>
        <v>119098</v>
      </c>
      <c r="K28" s="27">
        <f>VALUE(庫存金額!E21)</f>
        <v>119098</v>
      </c>
      <c r="L28" s="27">
        <f>VALUE(庫存金額!F21)</f>
        <v>119098</v>
      </c>
      <c r="M28" s="27">
        <f>VALUE(庫存金額!G21)</f>
        <v>119098</v>
      </c>
      <c r="N28" s="27">
        <f>VALUE(庫存金額!H21)</f>
        <v>119098</v>
      </c>
      <c r="O28" s="27">
        <f>VALUE(庫存金額!I21)</f>
        <v>119098</v>
      </c>
      <c r="P28" s="27">
        <f>VALUE(庫存金額!J21)</f>
        <v>119098</v>
      </c>
      <c r="Q28" s="27">
        <f>VALUE(庫存金額!K21)</f>
        <v>119098</v>
      </c>
      <c r="R28" s="27">
        <f>VALUE(庫存金額!L21)</f>
        <v>122698</v>
      </c>
      <c r="S28" s="27">
        <f>VALUE(庫存金額!M21)</f>
        <v>122698</v>
      </c>
      <c r="T28" s="27">
        <f>VALUE(庫存金額!N21)</f>
        <v>122698</v>
      </c>
      <c r="U28" s="27">
        <f>VALUE(庫存金額!O21)</f>
        <v>122698</v>
      </c>
      <c r="V28" s="27">
        <f>VALUE(庫存金額!P21)</f>
        <v>221962</v>
      </c>
      <c r="W28" s="27">
        <f>VALUE(庫存金額!Q21)</f>
        <v>209338</v>
      </c>
      <c r="X28" s="27">
        <f>VALUE(庫存金額!R21)</f>
        <v>209338</v>
      </c>
      <c r="Y28" s="27">
        <f>VALUE(庫存金額!S21)</f>
        <v>209338</v>
      </c>
      <c r="Z28" s="27">
        <f>VALUE(庫存金額!T21)</f>
        <v>209338</v>
      </c>
      <c r="AA28" s="27">
        <f>VALUE(庫存金額!U21)</f>
        <v>209338</v>
      </c>
      <c r="AB28" s="27">
        <f>VALUE(庫存金額!V21)</f>
        <v>209338</v>
      </c>
      <c r="AC28" s="27">
        <f>VALUE(庫存金額!W21)</f>
        <v>209338</v>
      </c>
      <c r="AD28" s="27">
        <f>VALUE(庫存金額!X21)</f>
        <v>209338</v>
      </c>
      <c r="AE28" s="27">
        <f>VALUE(庫存金額!Y21)</f>
        <v>209338</v>
      </c>
      <c r="AF28" s="27">
        <f>VALUE(庫存金額!Z21)</f>
        <v>209338</v>
      </c>
      <c r="AG28" s="27">
        <f>VALUE(庫存金額!AA21)</f>
        <v>209338</v>
      </c>
      <c r="AH28" s="27">
        <f>VALUE(庫存金額!AB21)</f>
        <v>209338</v>
      </c>
      <c r="AI28" s="27">
        <f>VALUE(庫存金額!AC21)</f>
        <v>209338</v>
      </c>
      <c r="AJ28" s="27">
        <f>VALUE(庫存金額!AD21)</f>
        <v>209338</v>
      </c>
      <c r="AK28" s="27">
        <f>VALUE(庫存金額!AE21)</f>
        <v>209338</v>
      </c>
      <c r="AL28" s="27">
        <f>VALUE(庫存金額!AF21)</f>
        <v>209338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173142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9326677</v>
      </c>
      <c r="H29" s="308">
        <f>當年月推移!P61</f>
        <v>9099440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5293806</v>
      </c>
      <c r="H30" s="308">
        <f>當年月推移!P62</f>
        <v>5584730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1518318.1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5686133</v>
      </c>
      <c r="J31" s="111">
        <f>VALUE(庫存金額!D25)</f>
        <v>6696444</v>
      </c>
      <c r="K31" s="111">
        <f>VALUE(庫存金額!E25)</f>
        <v>6696444</v>
      </c>
      <c r="L31" s="111">
        <f>VALUE(庫存金額!F25)</f>
        <v>6696444</v>
      </c>
      <c r="M31" s="111">
        <f>VALUE(庫存金額!G25)</f>
        <v>6579244</v>
      </c>
      <c r="N31" s="111">
        <f>VALUE(庫存金額!H25)</f>
        <v>6579244</v>
      </c>
      <c r="O31" s="111">
        <f>VALUE(庫存金額!I25)</f>
        <v>6496444</v>
      </c>
      <c r="P31" s="111">
        <f>VALUE(庫存金額!J25)</f>
        <v>6204164</v>
      </c>
      <c r="Q31" s="111">
        <f>VALUE(庫存金額!K25)</f>
        <v>7470164</v>
      </c>
      <c r="R31" s="111">
        <f>VALUE(庫存金額!L25)</f>
        <v>7476914</v>
      </c>
      <c r="S31" s="111">
        <f>VALUE(庫存金額!M25)</f>
        <v>7384114</v>
      </c>
      <c r="T31" s="111">
        <f>VALUE(庫存金額!N25)</f>
        <v>7286514</v>
      </c>
      <c r="U31" s="111">
        <f>VALUE(庫存金額!O25)</f>
        <v>7286514</v>
      </c>
      <c r="V31" s="111">
        <f>VALUE(庫存金額!P25)</f>
        <v>7151714</v>
      </c>
      <c r="W31" s="111">
        <f>VALUE(庫存金額!Q25)</f>
        <v>7122904</v>
      </c>
      <c r="X31" s="111">
        <f>VALUE(庫存金額!R25)</f>
        <v>7138044</v>
      </c>
      <c r="Y31" s="111">
        <f>VALUE(庫存金額!S25)</f>
        <v>7043244</v>
      </c>
      <c r="Z31" s="111">
        <f>VALUE(庫存金額!T25)</f>
        <v>7996630</v>
      </c>
      <c r="AA31" s="111">
        <f>VALUE(庫存金額!U25)</f>
        <v>7929830</v>
      </c>
      <c r="AB31" s="111">
        <f>VALUE(庫存金額!V25)</f>
        <v>7929830</v>
      </c>
      <c r="AC31" s="111">
        <f>VALUE(庫存金額!W25)</f>
        <v>7812478</v>
      </c>
      <c r="AD31" s="111">
        <f>VALUE(庫存金額!X25)</f>
        <v>7368869</v>
      </c>
      <c r="AE31" s="111">
        <f>VALUE(庫存金額!Y25)</f>
        <v>7593386</v>
      </c>
      <c r="AF31" s="111">
        <f>VALUE(庫存金額!Z25)</f>
        <v>7498986</v>
      </c>
      <c r="AG31" s="111">
        <f>VALUE(庫存金額!AA25)</f>
        <v>8270986</v>
      </c>
      <c r="AH31" s="111">
        <f>VALUE(庫存金額!AB25)</f>
        <v>8159386</v>
      </c>
      <c r="AI31" s="111">
        <f>VALUE(庫存金額!AC25)</f>
        <v>8159386</v>
      </c>
      <c r="AJ31" s="111">
        <f>VALUE(庫存金額!AD25)</f>
        <v>8479106</v>
      </c>
      <c r="AK31" s="111">
        <f>VALUE(庫存金額!AE25)</f>
        <v>7836757</v>
      </c>
      <c r="AL31" s="111">
        <f>VALUE(庫存金額!AF25)</f>
        <v>7753957</v>
      </c>
      <c r="AM31" s="111">
        <f>VALUE(庫存金額!AG25)</f>
        <v>0</v>
      </c>
      <c r="AN31" s="111">
        <f>VALUE(庫存金額!AH25)</f>
        <v>-82800</v>
      </c>
      <c r="AO31" s="111">
        <f>VALUE(庫存金額!AI25)</f>
        <v>7326142.4699999997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2850462.3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1617161</v>
      </c>
      <c r="H32" s="328">
        <f>當年月推移!P63</f>
        <v>1607073</v>
      </c>
      <c r="I32" s="110">
        <f>VALUE(庫存金額!C15)</f>
        <v>1605674</v>
      </c>
      <c r="J32" s="110">
        <f>VALUE(庫存金額!D15)</f>
        <v>1655445</v>
      </c>
      <c r="K32" s="110">
        <f>VALUE(庫存金額!E15)</f>
        <v>1655445</v>
      </c>
      <c r="L32" s="110">
        <f>VALUE(庫存金額!F15)</f>
        <v>1655445</v>
      </c>
      <c r="M32" s="110">
        <f>VALUE(庫存金額!G15)</f>
        <v>1609489</v>
      </c>
      <c r="N32" s="110">
        <f>VALUE(庫存金額!H15)</f>
        <v>1609489</v>
      </c>
      <c r="O32" s="110">
        <f>VALUE(庫存金額!I15)</f>
        <v>1614502</v>
      </c>
      <c r="P32" s="110">
        <f>VALUE(庫存金額!J15)</f>
        <v>1614502</v>
      </c>
      <c r="Q32" s="110">
        <f>VALUE(庫存金額!K15)</f>
        <v>1614502</v>
      </c>
      <c r="R32" s="110">
        <f>VALUE(庫存金額!L15)</f>
        <v>1614502</v>
      </c>
      <c r="S32" s="110">
        <f>VALUE(庫存金額!M15)</f>
        <v>1614424</v>
      </c>
      <c r="T32" s="110">
        <f>VALUE(庫存金額!N15)</f>
        <v>1614424</v>
      </c>
      <c r="U32" s="110">
        <f>VALUE(庫存金額!O15)</f>
        <v>1614424</v>
      </c>
      <c r="V32" s="110">
        <f>VALUE(庫存金額!P15)</f>
        <v>1614424</v>
      </c>
      <c r="W32" s="110">
        <f>VALUE(庫存金額!Q15)</f>
        <v>1614424</v>
      </c>
      <c r="X32" s="110">
        <f>VALUE(庫存金額!R15)</f>
        <v>1614424</v>
      </c>
      <c r="Y32" s="110">
        <f>VALUE(庫存金額!S15)</f>
        <v>1605674</v>
      </c>
      <c r="Z32" s="110">
        <f>VALUE(庫存金額!T15)</f>
        <v>1605674</v>
      </c>
      <c r="AA32" s="110">
        <f>VALUE(庫存金額!U15)</f>
        <v>1605674</v>
      </c>
      <c r="AB32" s="110">
        <f>VALUE(庫存金額!V15)</f>
        <v>1605674</v>
      </c>
      <c r="AC32" s="110">
        <f>VALUE(庫存金額!W15)</f>
        <v>1605674</v>
      </c>
      <c r="AD32" s="110">
        <f>VALUE(庫存金額!X15)</f>
        <v>1605674</v>
      </c>
      <c r="AE32" s="110">
        <f>VALUE(庫存金額!Y15)</f>
        <v>1632528</v>
      </c>
      <c r="AF32" s="110">
        <f>VALUE(庫存金額!Z15)</f>
        <v>1605674</v>
      </c>
      <c r="AG32" s="110">
        <f>VALUE(庫存金額!AA15)</f>
        <v>1605674</v>
      </c>
      <c r="AH32" s="110">
        <f>VALUE(庫存金額!AB15)</f>
        <v>1605674</v>
      </c>
      <c r="AI32" s="110">
        <f>VALUE(庫存金額!AC15)</f>
        <v>1605674</v>
      </c>
      <c r="AJ32" s="110">
        <f>VALUE(庫存金額!AD15)</f>
        <v>1605674</v>
      </c>
      <c r="AK32" s="110">
        <f>VALUE(庫存金額!AE15)</f>
        <v>1605674</v>
      </c>
      <c r="AL32" s="110">
        <f>VALUE(庫存金額!AF15)</f>
        <v>1605674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1614727.63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5974807</v>
      </c>
      <c r="H34" s="328">
        <f>當年月推移!P65</f>
        <v>7677205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11673847</v>
      </c>
      <c r="H35" s="508">
        <f>當年月推移!P66</f>
        <v>11456444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2024/4</v>
      </c>
      <c r="E38" s="610" t="str">
        <f>E3</f>
        <v>2025/4</v>
      </c>
      <c r="F38" s="332"/>
      <c r="G38" s="565">
        <f>YEAR(日期!C2)</f>
        <v>2025</v>
      </c>
      <c r="H38" s="566"/>
      <c r="I38" s="527" t="str">
        <f>日期!C2</f>
        <v>2025/04/01</v>
      </c>
      <c r="J38" s="527" t="str">
        <f>日期!D2</f>
        <v>2025/04/02</v>
      </c>
      <c r="K38" s="527" t="str">
        <f>日期!E2</f>
        <v>2025/04/03</v>
      </c>
      <c r="L38" s="527" t="str">
        <f>日期!F2</f>
        <v>2025/04/04</v>
      </c>
      <c r="M38" s="527" t="str">
        <f>日期!G2</f>
        <v>2025/04/05</v>
      </c>
      <c r="N38" s="527" t="str">
        <f>日期!H2</f>
        <v>2025/04/06</v>
      </c>
      <c r="O38" s="527" t="str">
        <f>日期!I2</f>
        <v>2025/04/07</v>
      </c>
      <c r="P38" s="527" t="str">
        <f>日期!J2</f>
        <v>2025/04/08</v>
      </c>
      <c r="Q38" s="527" t="str">
        <f>日期!K2</f>
        <v>2025/04/09</v>
      </c>
      <c r="R38" s="527" t="str">
        <f>日期!L2</f>
        <v>2025/04/10</v>
      </c>
      <c r="S38" s="527" t="str">
        <f>日期!M2</f>
        <v>2025/04/11</v>
      </c>
      <c r="T38" s="527" t="str">
        <f>日期!N2</f>
        <v>2025/04/12</v>
      </c>
      <c r="U38" s="527" t="str">
        <f>日期!O2</f>
        <v>2025/04/13</v>
      </c>
      <c r="V38" s="527" t="str">
        <f>日期!P2</f>
        <v>2025/04/14</v>
      </c>
      <c r="W38" s="527" t="str">
        <f>日期!Q2</f>
        <v>2025/04/15</v>
      </c>
      <c r="X38" s="527" t="str">
        <f>日期!R2</f>
        <v>2025/04/16</v>
      </c>
      <c r="Y38" s="527" t="str">
        <f>日期!S2</f>
        <v>2025/04/17</v>
      </c>
      <c r="Z38" s="527" t="str">
        <f>日期!T2</f>
        <v>2025/04/18</v>
      </c>
      <c r="AA38" s="527" t="str">
        <f>日期!U2</f>
        <v>2025/04/19</v>
      </c>
      <c r="AB38" s="527" t="str">
        <f>日期!V2</f>
        <v>2025/04/20</v>
      </c>
      <c r="AC38" s="527" t="str">
        <f>日期!W2</f>
        <v>2025/04/21</v>
      </c>
      <c r="AD38" s="527" t="str">
        <f>日期!X2</f>
        <v>2025/04/22</v>
      </c>
      <c r="AE38" s="527" t="str">
        <f>日期!Y2</f>
        <v>2025/04/23</v>
      </c>
      <c r="AF38" s="527" t="str">
        <f>日期!Z2</f>
        <v>2025/04/24</v>
      </c>
      <c r="AG38" s="527" t="str">
        <f>日期!AA2</f>
        <v>2025/04/25</v>
      </c>
      <c r="AH38" s="527" t="str">
        <f>日期!AB2</f>
        <v>2025/04/26</v>
      </c>
      <c r="AI38" s="527" t="str">
        <f>日期!AC2</f>
        <v>2025/04/27</v>
      </c>
      <c r="AJ38" s="527" t="str">
        <f>日期!AD2</f>
        <v>2025/04/28</v>
      </c>
      <c r="AK38" s="527" t="str">
        <f>日期!AE2</f>
        <v>2025/04/29</v>
      </c>
      <c r="AL38" s="527" t="str">
        <f>日期!AF2</f>
        <v>2025/04/30</v>
      </c>
      <c r="AM38" s="527">
        <f>日期!AG2</f>
        <v>0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Tue</v>
      </c>
      <c r="J39" s="12" t="str">
        <f>日期!D3</f>
        <v>Wed</v>
      </c>
      <c r="K39" s="12" t="str">
        <f>日期!E3</f>
        <v>Thu</v>
      </c>
      <c r="L39" s="12" t="str">
        <f>日期!F3</f>
        <v>Fri</v>
      </c>
      <c r="M39" s="12" t="str">
        <f>日期!G3</f>
        <v>Sat</v>
      </c>
      <c r="N39" s="12" t="str">
        <f>日期!H3</f>
        <v>Sun</v>
      </c>
      <c r="O39" s="12" t="str">
        <f>日期!I3</f>
        <v>Mon</v>
      </c>
      <c r="P39" s="12" t="str">
        <f>日期!J3</f>
        <v>Tue</v>
      </c>
      <c r="Q39" s="12" t="str">
        <f>日期!K3</f>
        <v>Wed</v>
      </c>
      <c r="R39" s="12" t="str">
        <f>日期!L3</f>
        <v>Thu</v>
      </c>
      <c r="S39" s="12" t="str">
        <f>日期!M3</f>
        <v>Fri</v>
      </c>
      <c r="T39" s="12" t="str">
        <f>日期!N3</f>
        <v>Sat</v>
      </c>
      <c r="U39" s="12" t="str">
        <f>日期!O3</f>
        <v>Sun</v>
      </c>
      <c r="V39" s="12" t="str">
        <f>日期!P3</f>
        <v>Mon</v>
      </c>
      <c r="W39" s="12" t="str">
        <f>日期!Q3</f>
        <v>Tue</v>
      </c>
      <c r="X39" s="12" t="str">
        <f>日期!R3</f>
        <v>Wed</v>
      </c>
      <c r="Y39" s="12" t="str">
        <f>日期!S3</f>
        <v>Thu</v>
      </c>
      <c r="Z39" s="12" t="str">
        <f>日期!T3</f>
        <v>Fri</v>
      </c>
      <c r="AA39" s="12" t="str">
        <f>日期!U3</f>
        <v>Sat</v>
      </c>
      <c r="AB39" s="12" t="str">
        <f>日期!V3</f>
        <v>Sun</v>
      </c>
      <c r="AC39" s="12" t="str">
        <f>日期!W3</f>
        <v>Mon</v>
      </c>
      <c r="AD39" s="12" t="str">
        <f>日期!X3</f>
        <v>Tue</v>
      </c>
      <c r="AE39" s="12" t="str">
        <f>日期!Y3</f>
        <v>Wed</v>
      </c>
      <c r="AF39" s="12" t="str">
        <f>日期!Z3</f>
        <v>Thu</v>
      </c>
      <c r="AG39" s="12" t="str">
        <f>日期!AA3</f>
        <v>Fri</v>
      </c>
      <c r="AH39" s="12" t="str">
        <f>日期!AB3</f>
        <v>Sat</v>
      </c>
      <c r="AI39" s="12" t="str">
        <f>日期!AC3</f>
        <v>Sun</v>
      </c>
      <c r="AJ39" s="12" t="str">
        <f>日期!AD3</f>
        <v>Mon</v>
      </c>
      <c r="AK39" s="12" t="str">
        <f>日期!AE3</f>
        <v>Tue</v>
      </c>
      <c r="AL39" s="12" t="str">
        <f>日期!AF3</f>
        <v>Wed</v>
      </c>
      <c r="AM39" s="12">
        <f>日期!AG3</f>
        <v>0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98.597690999999998</v>
      </c>
      <c r="E40" s="45">
        <v>97.8</v>
      </c>
      <c r="F40" s="46" t="s">
        <v>45</v>
      </c>
      <c r="G40" s="559">
        <f>ROUND(當年月推移!P99,1)</f>
        <v>98.2</v>
      </c>
      <c r="H40" s="560"/>
      <c r="I40" s="245">
        <f>ROUND(供應率ALL!C2,1)</f>
        <v>98.7</v>
      </c>
      <c r="J40" s="245">
        <f>ROUND(供應率ALL!D2,1)</f>
        <v>98.8</v>
      </c>
      <c r="K40" s="245">
        <f>ROUND(供應率ALL!E2,1)</f>
        <v>0</v>
      </c>
      <c r="L40" s="245">
        <f>ROUND(供應率ALL!F2,1)</f>
        <v>0</v>
      </c>
      <c r="M40" s="245">
        <f>ROUND(供應率ALL!G2,1)</f>
        <v>98.5</v>
      </c>
      <c r="N40" s="245">
        <f>ROUND(供應率ALL!H2,1)</f>
        <v>0</v>
      </c>
      <c r="O40" s="245">
        <f>ROUND(供應率ALL!I2,1)</f>
        <v>98.4</v>
      </c>
      <c r="P40" s="245">
        <f>ROUND(供應率ALL!J2,1)</f>
        <v>98.4</v>
      </c>
      <c r="Q40" s="245">
        <f>ROUND(供應率ALL!K2,1)</f>
        <v>98.4</v>
      </c>
      <c r="R40" s="245">
        <f>ROUND(供應率ALL!L2,1)</f>
        <v>98.5</v>
      </c>
      <c r="S40" s="245">
        <f>ROUND(供應率ALL!M2,1)</f>
        <v>98.5</v>
      </c>
      <c r="T40" s="245">
        <f>ROUND(供應率ALL!N2,1)</f>
        <v>98.7</v>
      </c>
      <c r="U40" s="245">
        <f>ROUND(供應率ALL!O2,1)</f>
        <v>0</v>
      </c>
      <c r="V40" s="245">
        <f>ROUND(供應率ALL!P2,1)</f>
        <v>98.5</v>
      </c>
      <c r="W40" s="245">
        <f>ROUND(供應率ALL!Q2,1)</f>
        <v>98.1</v>
      </c>
      <c r="X40" s="245">
        <f>ROUND(供應率ALL!R2,1)</f>
        <v>98.3</v>
      </c>
      <c r="Y40" s="245">
        <f>ROUND(供應率ALL!S2,1)</f>
        <v>98.1</v>
      </c>
      <c r="Z40" s="245">
        <f>ROUND(供應率ALL!T2,1)</f>
        <v>98.4</v>
      </c>
      <c r="AA40" s="245">
        <f>ROUND(供應率ALL!U2,1)</f>
        <v>98.6</v>
      </c>
      <c r="AB40" s="245">
        <f>ROUND(供應率ALL!V2,1)</f>
        <v>0</v>
      </c>
      <c r="AC40" s="245">
        <f>ROUND(供應率ALL!W2,1)</f>
        <v>98.7</v>
      </c>
      <c r="AD40" s="245">
        <f>ROUND(供應率ALL!X2,1)</f>
        <v>98.7</v>
      </c>
      <c r="AE40" s="245">
        <f>ROUND(供應率ALL!Y2,1)</f>
        <v>98.4</v>
      </c>
      <c r="AF40" s="245">
        <f>ROUND(供應率ALL!Z2,1)</f>
        <v>98.4</v>
      </c>
      <c r="AG40" s="245">
        <f>ROUND(供應率ALL!AA2,1)</f>
        <v>98.4</v>
      </c>
      <c r="AH40" s="245">
        <f>ROUND(供應率ALL!AB2,1)</f>
        <v>98.8</v>
      </c>
      <c r="AI40" s="245">
        <f>ROUND(供應率ALL!AC2,1)</f>
        <v>0</v>
      </c>
      <c r="AJ40" s="245">
        <f>ROUND(供應率ALL!AD2,1)</f>
        <v>98.8</v>
      </c>
      <c r="AK40" s="245">
        <f>ROUND(供應率ALL!AE2,1)</f>
        <v>98.5</v>
      </c>
      <c r="AL40" s="245">
        <f>ROUND(供應率ALL!AF2,1)</f>
        <v>98.5</v>
      </c>
      <c r="AM40" s="245">
        <f>ROUND(供應率ALL!AG2,1)</f>
        <v>0</v>
      </c>
      <c r="AN40" s="213">
        <f>ROUND(供應率ALL!AH2,1)</f>
        <v>98.5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99.919190999999998</v>
      </c>
      <c r="E41" s="50">
        <v>99</v>
      </c>
      <c r="F41" s="51" t="s">
        <v>45</v>
      </c>
      <c r="G41" s="563">
        <f>ROUND(當年月推移!P100,1)</f>
        <v>99.6</v>
      </c>
      <c r="H41" s="564"/>
      <c r="I41" s="47">
        <f>ROUND(供應率ALL!C4,1)</f>
        <v>100</v>
      </c>
      <c r="J41" s="47">
        <f>ROUND(供應率ALL!D4,1)</f>
        <v>100</v>
      </c>
      <c r="K41" s="47">
        <f>ROUND(供應率ALL!E4,1)</f>
        <v>0</v>
      </c>
      <c r="L41" s="47">
        <f>ROUND(供應率ALL!F4,1)</f>
        <v>0</v>
      </c>
      <c r="M41" s="47">
        <f>ROUND(供應率ALL!G4,1)</f>
        <v>100</v>
      </c>
      <c r="N41" s="47">
        <f>ROUND(供應率ALL!H4,1)</f>
        <v>0</v>
      </c>
      <c r="O41" s="47">
        <f>ROUND(供應率ALL!I4,1)</f>
        <v>100</v>
      </c>
      <c r="P41" s="47">
        <f>ROUND(供應率ALL!J4,1)</f>
        <v>100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100</v>
      </c>
      <c r="T41" s="47">
        <f>ROUND(供應率ALL!N4,1)</f>
        <v>99.5</v>
      </c>
      <c r="U41" s="47">
        <f>ROUND(供應率ALL!O4,1)</f>
        <v>0</v>
      </c>
      <c r="V41" s="47">
        <f>ROUND(供應率ALL!P4,1)</f>
        <v>100</v>
      </c>
      <c r="W41" s="47">
        <f>ROUND(供應率ALL!Q4,1)</f>
        <v>99.7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0</v>
      </c>
      <c r="AC41" s="47">
        <f>ROUND(供應率ALL!W4,1)</f>
        <v>100</v>
      </c>
      <c r="AD41" s="47">
        <f>ROUND(供應率ALL!X4,1)</f>
        <v>100</v>
      </c>
      <c r="AE41" s="47">
        <f>ROUND(供應率ALL!Y4,1)</f>
        <v>99.7</v>
      </c>
      <c r="AF41" s="47">
        <f>ROUND(供應率ALL!Z4,1)</f>
        <v>99.7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0</v>
      </c>
      <c r="AJ41" s="47">
        <f>ROUND(供應率ALL!AD4,1)</f>
        <v>100</v>
      </c>
      <c r="AK41" s="47">
        <f>ROUND(供應率ALL!AE4,1)</f>
        <v>100</v>
      </c>
      <c r="AL41" s="47">
        <f>ROUND(供應率ALL!AF4,1)</f>
        <v>100</v>
      </c>
      <c r="AM41" s="47">
        <f>ROUND(供應率ALL!AG4,1)</f>
        <v>0</v>
      </c>
      <c r="AN41" s="214">
        <f>ROUND(供應率ALL!AH4,1)</f>
        <v>100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76.769024999999999</v>
      </c>
      <c r="E42" s="50">
        <v>75</v>
      </c>
      <c r="F42" s="51" t="s">
        <v>45</v>
      </c>
      <c r="G42" s="563">
        <f>ROUND(當年月推移!P101,1)</f>
        <v>92</v>
      </c>
      <c r="H42" s="564"/>
      <c r="I42" s="47">
        <f>ROUND(供應率ALL!C5,1)</f>
        <v>100</v>
      </c>
      <c r="J42" s="47">
        <f>ROUND(供應率ALL!D5,1)</f>
        <v>41.6</v>
      </c>
      <c r="K42" s="47">
        <f>ROUND(供應率ALL!E5,1)</f>
        <v>0</v>
      </c>
      <c r="L42" s="47">
        <f>ROUND(供應率ALL!F5,1)</f>
        <v>0</v>
      </c>
      <c r="M42" s="47">
        <f>ROUND(供應率ALL!G5,1)</f>
        <v>70</v>
      </c>
      <c r="N42" s="47">
        <f>ROUND(供應率ALL!H5,1)</f>
        <v>0</v>
      </c>
      <c r="O42" s="47">
        <f>ROUND(供應率ALL!I5,1)</f>
        <v>66.599999999999994</v>
      </c>
      <c r="P42" s="47">
        <f>ROUND(供應率ALL!J5,1)</f>
        <v>68.7</v>
      </c>
      <c r="Q42" s="47">
        <f>ROUND(供應率ALL!K5,1)</f>
        <v>100</v>
      </c>
      <c r="R42" s="47">
        <f>ROUND(供應率ALL!L5,1)</f>
        <v>100</v>
      </c>
      <c r="S42" s="47">
        <f>ROUND(供應率ALL!M5,1)</f>
        <v>75</v>
      </c>
      <c r="T42" s="47">
        <f>ROUND(供應率ALL!N5,1)</f>
        <v>86.6</v>
      </c>
      <c r="U42" s="47">
        <f>ROUND(供應率ALL!O5,1)</f>
        <v>0</v>
      </c>
      <c r="V42" s="47">
        <f>ROUND(供應率ALL!P5,1)</f>
        <v>99.2</v>
      </c>
      <c r="W42" s="47">
        <f>ROUND(供應率ALL!Q5,1)</f>
        <v>71.400000000000006</v>
      </c>
      <c r="X42" s="47">
        <f>ROUND(供應率ALL!R5,1)</f>
        <v>90.9</v>
      </c>
      <c r="Y42" s="47">
        <f>ROUND(供應率ALL!S5,1)</f>
        <v>73.3</v>
      </c>
      <c r="Z42" s="47">
        <f>ROUND(供應率ALL!T5,1)</f>
        <v>100</v>
      </c>
      <c r="AA42" s="47">
        <f>ROUND(供應率ALL!U5,1)</f>
        <v>85.7</v>
      </c>
      <c r="AB42" s="47">
        <f>ROUND(供應率ALL!V5,1)</f>
        <v>0</v>
      </c>
      <c r="AC42" s="47">
        <f>ROUND(供應率ALL!W5,1)</f>
        <v>100</v>
      </c>
      <c r="AD42" s="47">
        <f>ROUND(供應率ALL!X5,1)</f>
        <v>87.5</v>
      </c>
      <c r="AE42" s="47">
        <f>ROUND(供應率ALL!Y5,1)</f>
        <v>87.5</v>
      </c>
      <c r="AF42" s="47">
        <f>ROUND(供應率ALL!Z5,1)</f>
        <v>100</v>
      </c>
      <c r="AG42" s="47">
        <f>ROUND(供應率ALL!AA5,1)</f>
        <v>100</v>
      </c>
      <c r="AH42" s="47">
        <f>ROUND(供應率ALL!AB5,1)</f>
        <v>100</v>
      </c>
      <c r="AI42" s="47">
        <f>ROUND(供應率ALL!AC5,1)</f>
        <v>0</v>
      </c>
      <c r="AJ42" s="47">
        <f>ROUND(供應率ALL!AD5,1)</f>
        <v>98.1</v>
      </c>
      <c r="AK42" s="47">
        <f>ROUND(供應率ALL!AE5,1)</f>
        <v>99.1</v>
      </c>
      <c r="AL42" s="47">
        <f>ROUND(供應率ALL!AF5,1)</f>
        <v>94.4</v>
      </c>
      <c r="AM42" s="47">
        <f>ROUND(供應率ALL!AG5,1)</f>
        <v>0</v>
      </c>
      <c r="AN42" s="214">
        <f>ROUND(供應率ALL!AH5,1)</f>
        <v>93.5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99.613371999999998</v>
      </c>
      <c r="E43" s="50">
        <v>99</v>
      </c>
      <c r="F43" s="51" t="s">
        <v>45</v>
      </c>
      <c r="G43" s="563">
        <f>ROUND(當年月推移!P102,1)</f>
        <v>99.4</v>
      </c>
      <c r="H43" s="564"/>
      <c r="I43" s="47">
        <f>ROUND(供應率ALL!C6,1)</f>
        <v>99.4</v>
      </c>
      <c r="J43" s="47">
        <f>ROUND(供應率ALL!D6,1)</f>
        <v>99.7</v>
      </c>
      <c r="K43" s="47">
        <f>ROUND(供應率ALL!E6,1)</f>
        <v>0</v>
      </c>
      <c r="L43" s="47">
        <f>ROUND(供應率ALL!F6,1)</f>
        <v>0</v>
      </c>
      <c r="M43" s="47">
        <f>ROUND(供應率ALL!G6,1)</f>
        <v>98.5</v>
      </c>
      <c r="N43" s="47">
        <f>ROUND(供應率ALL!H6,1)</f>
        <v>0</v>
      </c>
      <c r="O43" s="47">
        <f>ROUND(供應率ALL!I6,1)</f>
        <v>97.6</v>
      </c>
      <c r="P43" s="47">
        <f>ROUND(供應率ALL!J6,1)</f>
        <v>98</v>
      </c>
      <c r="Q43" s="47">
        <f>ROUND(供應率ALL!K6,1)</f>
        <v>98.7</v>
      </c>
      <c r="R43" s="47">
        <f>ROUND(供應率ALL!L6,1)</f>
        <v>98.9</v>
      </c>
      <c r="S43" s="47">
        <f>ROUND(供應率ALL!M6,1)</f>
        <v>99.6</v>
      </c>
      <c r="T43" s="47">
        <f>ROUND(供應率ALL!N6,1)</f>
        <v>99.9</v>
      </c>
      <c r="U43" s="47">
        <f>ROUND(供應率ALL!O6,1)</f>
        <v>0</v>
      </c>
      <c r="V43" s="47">
        <f>ROUND(供應率ALL!P6,1)</f>
        <v>99.3</v>
      </c>
      <c r="W43" s="47">
        <f>ROUND(供應率ALL!Q6,1)</f>
        <v>99.5</v>
      </c>
      <c r="X43" s="47">
        <f>ROUND(供應率ALL!R6,1)</f>
        <v>99.4</v>
      </c>
      <c r="Y43" s="47">
        <f>ROUND(供應率ALL!S6,1)</f>
        <v>99.4</v>
      </c>
      <c r="Z43" s="47">
        <f>ROUND(供應率ALL!T6,1)</f>
        <v>99.2</v>
      </c>
      <c r="AA43" s="47">
        <f>ROUND(供應率ALL!U6,1)</f>
        <v>99.8</v>
      </c>
      <c r="AB43" s="47">
        <f>ROUND(供應率ALL!V6,1)</f>
        <v>0</v>
      </c>
      <c r="AC43" s="47">
        <f>ROUND(供應率ALL!W6,1)</f>
        <v>99.4</v>
      </c>
      <c r="AD43" s="47">
        <f>ROUND(供應率ALL!X6,1)</f>
        <v>99.5</v>
      </c>
      <c r="AE43" s="47">
        <f>ROUND(供應率ALL!Y6,1)</f>
        <v>98.7</v>
      </c>
      <c r="AF43" s="47">
        <f>ROUND(供應率ALL!Z6,1)</f>
        <v>97.8</v>
      </c>
      <c r="AG43" s="47">
        <f>ROUND(供應率ALL!AA6,1)</f>
        <v>99.4</v>
      </c>
      <c r="AH43" s="47">
        <f>ROUND(供應率ALL!AB6,1)</f>
        <v>100</v>
      </c>
      <c r="AI43" s="47">
        <f>ROUND(供應率ALL!AC6,1)</f>
        <v>0</v>
      </c>
      <c r="AJ43" s="47">
        <f>ROUND(供應率ALL!AD6,1)</f>
        <v>99.8</v>
      </c>
      <c r="AK43" s="47">
        <f>ROUND(供應率ALL!AE6,1)</f>
        <v>99.7</v>
      </c>
      <c r="AL43" s="47">
        <f>ROUND(供應率ALL!AF6,1)</f>
        <v>99.5</v>
      </c>
      <c r="AM43" s="47">
        <f>ROUND(供應率ALL!AG6,1)</f>
        <v>0</v>
      </c>
      <c r="AN43" s="214">
        <f>ROUND(供應率ALL!AH6,1)</f>
        <v>99.3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92.749100999999996</v>
      </c>
      <c r="E44" s="50">
        <v>92</v>
      </c>
      <c r="F44" s="51" t="s">
        <v>45</v>
      </c>
      <c r="G44" s="563">
        <f>ROUND(當年月推移!P103,1)</f>
        <v>94.6</v>
      </c>
      <c r="H44" s="564"/>
      <c r="I44" s="47">
        <f>ROUND(供應率ALL!C23,1)</f>
        <v>95.7</v>
      </c>
      <c r="J44" s="47">
        <f>ROUND(供應率ALL!D23,1)</f>
        <v>96</v>
      </c>
      <c r="K44" s="47">
        <f>ROUND(供應率ALL!E23,1)</f>
        <v>0</v>
      </c>
      <c r="L44" s="47">
        <f>ROUND(供應率ALL!F23,1)</f>
        <v>0</v>
      </c>
      <c r="M44" s="47">
        <f>ROUND(供應率ALL!G23,1)</f>
        <v>97.2</v>
      </c>
      <c r="N44" s="47">
        <f>ROUND(供應率ALL!H23,1)</f>
        <v>0</v>
      </c>
      <c r="O44" s="47">
        <f>ROUND(供應率ALL!I23,1)</f>
        <v>95</v>
      </c>
      <c r="P44" s="47">
        <f>ROUND(供應率ALL!J23,1)</f>
        <v>94.8</v>
      </c>
      <c r="Q44" s="47">
        <f>ROUND(供應率ALL!K23,1)</f>
        <v>94.4</v>
      </c>
      <c r="R44" s="47">
        <f>ROUND(供應率ALL!L23,1)</f>
        <v>95.6</v>
      </c>
      <c r="S44" s="47">
        <f>ROUND(供應率ALL!M23,1)</f>
        <v>95</v>
      </c>
      <c r="T44" s="47">
        <f>ROUND(供應率ALL!N23,1)</f>
        <v>95.3</v>
      </c>
      <c r="U44" s="47">
        <f>ROUND(供應率ALL!O23,1)</f>
        <v>0</v>
      </c>
      <c r="V44" s="47">
        <f>ROUND(供應率ALL!P23,1)</f>
        <v>95.4</v>
      </c>
      <c r="W44" s="47">
        <f>ROUND(供應率ALL!Q23,1)</f>
        <v>95.5</v>
      </c>
      <c r="X44" s="47">
        <f>ROUND(供應率ALL!R23,1)</f>
        <v>96</v>
      </c>
      <c r="Y44" s="47">
        <f>ROUND(供應率ALL!S23,1)</f>
        <v>95</v>
      </c>
      <c r="Z44" s="47">
        <f>ROUND(供應率ALL!T23,1)</f>
        <v>97.9</v>
      </c>
      <c r="AA44" s="47">
        <f>ROUND(供應率ALL!U23,1)</f>
        <v>96.3</v>
      </c>
      <c r="AB44" s="47">
        <f>ROUND(供應率ALL!V23,1)</f>
        <v>0</v>
      </c>
      <c r="AC44" s="47">
        <f>ROUND(供應率ALL!W23,1)</f>
        <v>95.8</v>
      </c>
      <c r="AD44" s="47">
        <f>ROUND(供應率ALL!X23,1)</f>
        <v>96.5</v>
      </c>
      <c r="AE44" s="47">
        <f>ROUND(供應率ALL!Y23,1)</f>
        <v>95.4</v>
      </c>
      <c r="AF44" s="47">
        <f>ROUND(供應率ALL!Z23,1)</f>
        <v>96.9</v>
      </c>
      <c r="AG44" s="47">
        <f>ROUND(供應率ALL!AA23,1)</f>
        <v>96.3</v>
      </c>
      <c r="AH44" s="47">
        <f>ROUND(供應率ALL!AB23,1)</f>
        <v>96.3</v>
      </c>
      <c r="AI44" s="47">
        <f>ROUND(供應率ALL!AC23,1)</f>
        <v>0</v>
      </c>
      <c r="AJ44" s="47">
        <f>ROUND(供應率ALL!AD23,1)</f>
        <v>94.8</v>
      </c>
      <c r="AK44" s="47">
        <f>ROUND(供應率ALL!AE23,1)</f>
        <v>96.7</v>
      </c>
      <c r="AL44" s="47">
        <f>ROUND(供應率ALL!AF23,1)</f>
        <v>96</v>
      </c>
      <c r="AM44" s="47">
        <f>ROUND(供應率ALL!AG23,1)</f>
        <v>0</v>
      </c>
      <c r="AN44" s="214">
        <f>ROUND(供應率ALL!AH23,1)</f>
        <v>95.9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98.977628999999993</v>
      </c>
      <c r="E45" s="50">
        <v>95</v>
      </c>
      <c r="F45" s="51" t="s">
        <v>45</v>
      </c>
      <c r="G45" s="563">
        <f>ROUND(當年月推移!P104,1)</f>
        <v>98.4</v>
      </c>
      <c r="H45" s="564"/>
      <c r="I45" s="47">
        <f>ROUND(供應率ALL!C8,1)</f>
        <v>98.9</v>
      </c>
      <c r="J45" s="47">
        <f>ROUND(供應率ALL!D8,1)</f>
        <v>99.7</v>
      </c>
      <c r="K45" s="47">
        <f>ROUND(供應率ALL!E8,1)</f>
        <v>0</v>
      </c>
      <c r="L45" s="47">
        <f>ROUND(供應率ALL!F8,1)</f>
        <v>0</v>
      </c>
      <c r="M45" s="47">
        <f>ROUND(供應率ALL!G8,1)</f>
        <v>99.1</v>
      </c>
      <c r="N45" s="47">
        <f>ROUND(供應率ALL!H8,1)</f>
        <v>0</v>
      </c>
      <c r="O45" s="47">
        <f>ROUND(供應率ALL!I8,1)</f>
        <v>99.1</v>
      </c>
      <c r="P45" s="47">
        <f>ROUND(供應率ALL!J8,1)</f>
        <v>99.6</v>
      </c>
      <c r="Q45" s="47">
        <f>ROUND(供應率ALL!K8,1)</f>
        <v>99.4</v>
      </c>
      <c r="R45" s="47">
        <f>ROUND(供應率ALL!L8,1)</f>
        <v>99.7</v>
      </c>
      <c r="S45" s="47">
        <f>ROUND(供應率ALL!M8,1)</f>
        <v>100</v>
      </c>
      <c r="T45" s="47">
        <f>ROUND(供應率ALL!N8,1)</f>
        <v>99.7</v>
      </c>
      <c r="U45" s="47">
        <f>ROUND(供應率ALL!O8,1)</f>
        <v>0</v>
      </c>
      <c r="V45" s="47">
        <f>ROUND(供應率ALL!P8,1)</f>
        <v>100</v>
      </c>
      <c r="W45" s="47">
        <f>ROUND(供應率ALL!Q8,1)</f>
        <v>99.4</v>
      </c>
      <c r="X45" s="47">
        <f>ROUND(供應率ALL!R8,1)</f>
        <v>100</v>
      </c>
      <c r="Y45" s="47">
        <f>ROUND(供應率ALL!S8,1)</f>
        <v>99.7</v>
      </c>
      <c r="Z45" s="47">
        <f>ROUND(供應率ALL!T8,1)</f>
        <v>99.7</v>
      </c>
      <c r="AA45" s="47">
        <f>ROUND(供應率ALL!U8,1)</f>
        <v>100</v>
      </c>
      <c r="AB45" s="47">
        <f>ROUND(供應率ALL!V8,1)</f>
        <v>0</v>
      </c>
      <c r="AC45" s="47">
        <f>ROUND(供應率ALL!W8,1)</f>
        <v>99.7</v>
      </c>
      <c r="AD45" s="47">
        <f>ROUND(供應率ALL!X8,1)</f>
        <v>97.4</v>
      </c>
      <c r="AE45" s="47">
        <f>ROUND(供應率ALL!Y8,1)</f>
        <v>98.6</v>
      </c>
      <c r="AF45" s="47">
        <f>ROUND(供應率ALL!Z8,1)</f>
        <v>97.9</v>
      </c>
      <c r="AG45" s="47">
        <f>ROUND(供應率ALL!AA8,1)</f>
        <v>98.1</v>
      </c>
      <c r="AH45" s="47">
        <f>ROUND(供應率ALL!AB8,1)</f>
        <v>99</v>
      </c>
      <c r="AI45" s="47">
        <f>ROUND(供應率ALL!AC8,1)</f>
        <v>0</v>
      </c>
      <c r="AJ45" s="47">
        <f>ROUND(供應率ALL!AD8,1)</f>
        <v>96.5</v>
      </c>
      <c r="AK45" s="47">
        <f>ROUND(供應率ALL!AE8,1)</f>
        <v>96.1</v>
      </c>
      <c r="AL45" s="47">
        <f>ROUND(供應率ALL!AF8,1)</f>
        <v>96.3</v>
      </c>
      <c r="AM45" s="47">
        <f>ROUND(供應率ALL!AG8,1)</f>
        <v>0</v>
      </c>
      <c r="AN45" s="214">
        <f>ROUND(供應率ALL!AH8,1)</f>
        <v>98.9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97.142857000000006</v>
      </c>
      <c r="E46" s="50">
        <v>95</v>
      </c>
      <c r="F46" s="51" t="s">
        <v>45</v>
      </c>
      <c r="G46" s="563">
        <f>ROUND(當年月推移!P105,1)</f>
        <v>94.8</v>
      </c>
      <c r="H46" s="564"/>
      <c r="I46" s="47">
        <f>ROUND(供應率ALL!C9,1)</f>
        <v>100</v>
      </c>
      <c r="J46" s="47">
        <f>ROUND(供應率ALL!D9,1)</f>
        <v>100</v>
      </c>
      <c r="K46" s="47">
        <f>ROUND(供應率ALL!E9,1)</f>
        <v>0</v>
      </c>
      <c r="L46" s="47">
        <f>ROUND(供應率ALL!F9,1)</f>
        <v>0</v>
      </c>
      <c r="M46" s="47">
        <f>ROUND(供應率ALL!G9,1)</f>
        <v>93.3</v>
      </c>
      <c r="N46" s="47">
        <f>ROUND(供應率ALL!H9,1)</f>
        <v>0</v>
      </c>
      <c r="O46" s="47">
        <f>ROUND(供應率ALL!I9,1)</f>
        <v>100</v>
      </c>
      <c r="P46" s="47">
        <f>ROUND(供應率ALL!J9,1)</f>
        <v>100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0</v>
      </c>
      <c r="V46" s="47">
        <f>ROUND(供應率ALL!P9,1)</f>
        <v>100</v>
      </c>
      <c r="W46" s="47">
        <f>ROUND(供應率ALL!Q9,1)</f>
        <v>100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100</v>
      </c>
      <c r="AA46" s="47">
        <f>ROUND(供應率ALL!U9,1)</f>
        <v>100</v>
      </c>
      <c r="AB46" s="47">
        <f>ROUND(供應率ALL!V9,1)</f>
        <v>0</v>
      </c>
      <c r="AC46" s="47">
        <f>ROUND(供應率ALL!W9,1)</f>
        <v>100</v>
      </c>
      <c r="AD46" s="47">
        <f>ROUND(供應率ALL!X9,1)</f>
        <v>100</v>
      </c>
      <c r="AE46" s="47">
        <f>ROUND(供應率ALL!Y9,1)</f>
        <v>100</v>
      </c>
      <c r="AF46" s="47">
        <f>ROUND(供應率ALL!Z9,1)</f>
        <v>100</v>
      </c>
      <c r="AG46" s="47">
        <f>ROUND(供應率ALL!AA9,1)</f>
        <v>100</v>
      </c>
      <c r="AH46" s="47">
        <f>ROUND(供應率ALL!AB9,1)</f>
        <v>100</v>
      </c>
      <c r="AI46" s="47">
        <f>ROUND(供應率ALL!AC9,1)</f>
        <v>0</v>
      </c>
      <c r="AJ46" s="47">
        <f>ROUND(供應率ALL!AD9,1)</f>
        <v>100</v>
      </c>
      <c r="AK46" s="47">
        <f>ROUND(供應率ALL!AE9,1)</f>
        <v>100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99.7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98.516259000000005</v>
      </c>
      <c r="E47" s="52">
        <v>97.8</v>
      </c>
      <c r="F47" s="53"/>
      <c r="G47" s="574">
        <f>ROUND(當年月推移!P106,1)</f>
        <v>98.3</v>
      </c>
      <c r="H47" s="575"/>
      <c r="I47" s="242">
        <f>ROUND(供應率ALL!C10,1)</f>
        <v>98.7</v>
      </c>
      <c r="J47" s="242">
        <f>ROUND(供應率ALL!D10,1)</f>
        <v>98.8</v>
      </c>
      <c r="K47" s="242">
        <f>ROUND(供應率ALL!E10,1)</f>
        <v>0</v>
      </c>
      <c r="L47" s="242">
        <f>ROUND(供應率ALL!F10,1)</f>
        <v>0</v>
      </c>
      <c r="M47" s="242">
        <f>ROUND(供應率ALL!G10,1)</f>
        <v>98.4</v>
      </c>
      <c r="N47" s="242">
        <f>ROUND(供應率ALL!H10,1)</f>
        <v>0</v>
      </c>
      <c r="O47" s="242">
        <f>ROUND(供應率ALL!I10,1)</f>
        <v>98.2</v>
      </c>
      <c r="P47" s="242">
        <f>ROUND(供應率ALL!J10,1)</f>
        <v>98.3</v>
      </c>
      <c r="Q47" s="242">
        <f>ROUND(供應率ALL!K10,1)</f>
        <v>98.4</v>
      </c>
      <c r="R47" s="242">
        <f>ROUND(供應率ALL!L10,1)</f>
        <v>98.5</v>
      </c>
      <c r="S47" s="242">
        <f>ROUND(供應率ALL!M10,1)</f>
        <v>98.6</v>
      </c>
      <c r="T47" s="242">
        <f>ROUND(供應率ALL!N10,1)</f>
        <v>98.7</v>
      </c>
      <c r="U47" s="242">
        <f>ROUND(供應率ALL!O10,1)</f>
        <v>0</v>
      </c>
      <c r="V47" s="242">
        <f>ROUND(供應率ALL!P10,1)</f>
        <v>98.6</v>
      </c>
      <c r="W47" s="242">
        <f>ROUND(供應率ALL!Q10,1)</f>
        <v>98.3</v>
      </c>
      <c r="X47" s="242">
        <f>ROUND(供應率ALL!R10,1)</f>
        <v>98.5</v>
      </c>
      <c r="Y47" s="242">
        <f>ROUND(供應率ALL!S10,1)</f>
        <v>98.3</v>
      </c>
      <c r="Z47" s="242">
        <f>ROUND(供應率ALL!T10,1)</f>
        <v>98.6</v>
      </c>
      <c r="AA47" s="242">
        <f>ROUND(供應率ALL!U10,1)</f>
        <v>98.8</v>
      </c>
      <c r="AB47" s="242">
        <f>ROUND(供應率ALL!V10,1)</f>
        <v>0</v>
      </c>
      <c r="AC47" s="242">
        <f>ROUND(供應率ALL!W10,1)</f>
        <v>98.8</v>
      </c>
      <c r="AD47" s="242">
        <f>ROUND(供應率ALL!X10,1)</f>
        <v>98.7</v>
      </c>
      <c r="AE47" s="242">
        <f>ROUND(供應率ALL!Y10,1)</f>
        <v>98.4</v>
      </c>
      <c r="AF47" s="242">
        <f>ROUND(供應率ALL!Z10,1)</f>
        <v>98.3</v>
      </c>
      <c r="AG47" s="242">
        <f>ROUND(供應率ALL!AA10,1)</f>
        <v>98.5</v>
      </c>
      <c r="AH47" s="242">
        <f>ROUND(供應率ALL!AB10,1)</f>
        <v>98.9</v>
      </c>
      <c r="AI47" s="242">
        <f>ROUND(供應率ALL!AC10,1)</f>
        <v>0</v>
      </c>
      <c r="AJ47" s="242">
        <f>ROUND(供應率ALL!AD10,1)</f>
        <v>98.8</v>
      </c>
      <c r="AK47" s="242">
        <f>ROUND(供應率ALL!AE10,1)</f>
        <v>98.5</v>
      </c>
      <c r="AL47" s="242">
        <f>ROUND(供應率ALL!AF10,1)</f>
        <v>98.5</v>
      </c>
      <c r="AM47" s="242">
        <f>ROUND(供應率ALL!AG10,1)</f>
        <v>0</v>
      </c>
      <c r="AN47" s="271">
        <f>ROUND(供應率ALL!AH10,1)</f>
        <v>98.6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97.971451999999999</v>
      </c>
      <c r="E48" s="269">
        <v>97.8</v>
      </c>
      <c r="F48" s="270" t="s">
        <v>45</v>
      </c>
      <c r="G48" s="563">
        <f>ROUND(當年月推移!P107,1)</f>
        <v>98</v>
      </c>
      <c r="H48" s="564"/>
      <c r="I48" s="47">
        <f>ROUND(供應率ALL!C3,1)</f>
        <v>98.7</v>
      </c>
      <c r="J48" s="47">
        <f>ROUND(供應率ALL!D3,1)</f>
        <v>98.3</v>
      </c>
      <c r="K48" s="47">
        <f>ROUND(供應率ALL!E3,1)</f>
        <v>0</v>
      </c>
      <c r="L48" s="47">
        <f>ROUND(供應率ALL!F3,1)</f>
        <v>0</v>
      </c>
      <c r="M48" s="47">
        <f>ROUND(供應率ALL!G3,1)</f>
        <v>98.4</v>
      </c>
      <c r="N48" s="47">
        <f>ROUND(供應率ALL!H3,1)</f>
        <v>0</v>
      </c>
      <c r="O48" s="47">
        <f>ROUND(供應率ALL!I3,1)</f>
        <v>97.7</v>
      </c>
      <c r="P48" s="47">
        <f>ROUND(供應率ALL!J3,1)</f>
        <v>98</v>
      </c>
      <c r="Q48" s="47">
        <f>ROUND(供應率ALL!K3,1)</f>
        <v>98.5</v>
      </c>
      <c r="R48" s="47">
        <f>ROUND(供應率ALL!L3,1)</f>
        <v>98.8</v>
      </c>
      <c r="S48" s="47">
        <f>ROUND(供應率ALL!M3,1)</f>
        <v>98.7</v>
      </c>
      <c r="T48" s="47">
        <f>ROUND(供應率ALL!N3,1)</f>
        <v>98.2</v>
      </c>
      <c r="U48" s="47">
        <f>ROUND(供應率ALL!O3,1)</f>
        <v>0</v>
      </c>
      <c r="V48" s="47">
        <f>ROUND(供應率ALL!P3,1)</f>
        <v>98.9</v>
      </c>
      <c r="W48" s="47">
        <f>ROUND(供應率ALL!Q3,1)</f>
        <v>98.5</v>
      </c>
      <c r="X48" s="47">
        <f>ROUND(供應率ALL!R3,1)</f>
        <v>98.6</v>
      </c>
      <c r="Y48" s="47">
        <f>ROUND(供應率ALL!S3,1)</f>
        <v>99</v>
      </c>
      <c r="Z48" s="47">
        <f>ROUND(供應率ALL!T3,1)</f>
        <v>99.1</v>
      </c>
      <c r="AA48" s="47">
        <f>ROUND(供應率ALL!U3,1)</f>
        <v>98.9</v>
      </c>
      <c r="AB48" s="47">
        <f>ROUND(供應率ALL!V3,1)</f>
        <v>0</v>
      </c>
      <c r="AC48" s="47">
        <f>ROUND(供應率ALL!W3,1)</f>
        <v>98.7</v>
      </c>
      <c r="AD48" s="47">
        <f>ROUND(供應率ALL!X3,1)</f>
        <v>98.6</v>
      </c>
      <c r="AE48" s="47">
        <f>ROUND(供應率ALL!Y3,1)</f>
        <v>98.2</v>
      </c>
      <c r="AF48" s="47">
        <f>ROUND(供應率ALL!Z3,1)</f>
        <v>98.5</v>
      </c>
      <c r="AG48" s="47">
        <f>ROUND(供應率ALL!AA3,1)</f>
        <v>98.3</v>
      </c>
      <c r="AH48" s="47">
        <f>ROUND(供應率ALL!AB3,1)</f>
        <v>99</v>
      </c>
      <c r="AI48" s="47">
        <f>ROUND(供應率ALL!AC3,1)</f>
        <v>0</v>
      </c>
      <c r="AJ48" s="47">
        <f>ROUND(供應率ALL!AD3,1)</f>
        <v>98.3</v>
      </c>
      <c r="AK48" s="47">
        <f>ROUND(供應率ALL!AE3,1)</f>
        <v>99</v>
      </c>
      <c r="AL48" s="47">
        <f>ROUND(供應率ALL!AF3,1)</f>
        <v>97.8</v>
      </c>
      <c r="AM48" s="47">
        <f>ROUND(供應率ALL!AG3,1)</f>
        <v>0</v>
      </c>
      <c r="AN48" s="214">
        <f>ROUND(供應率ALL!AH3,1)</f>
        <v>98.6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100</v>
      </c>
      <c r="E49" s="50">
        <v>99</v>
      </c>
      <c r="F49" s="51"/>
      <c r="G49" s="612">
        <f>ROUND(當年月推移!P108,1)</f>
        <v>98.5</v>
      </c>
      <c r="H49" s="613"/>
      <c r="I49" s="47">
        <f>ROUND(供應率ALL!C11,1)</f>
        <v>100</v>
      </c>
      <c r="J49" s="47">
        <f>ROUND(供應率ALL!D11,1)</f>
        <v>100</v>
      </c>
      <c r="K49" s="47">
        <f>ROUND(供應率ALL!E11,1)</f>
        <v>0</v>
      </c>
      <c r="L49" s="47">
        <f>ROUND(供應率ALL!F11,1)</f>
        <v>0</v>
      </c>
      <c r="M49" s="47">
        <f>ROUND(供應率ALL!G11,1)</f>
        <v>100</v>
      </c>
      <c r="N49" s="47">
        <f>ROUND(供應率ALL!H11,1)</f>
        <v>0</v>
      </c>
      <c r="O49" s="47">
        <f>ROUND(供應率ALL!I11,1)</f>
        <v>100</v>
      </c>
      <c r="P49" s="47">
        <f>ROUND(供應率ALL!J11,1)</f>
        <v>100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0</v>
      </c>
      <c r="V49" s="47">
        <f>ROUND(供應率ALL!P11,1)</f>
        <v>100</v>
      </c>
      <c r="W49" s="47">
        <f>ROUND(供應率ALL!Q11,1)</f>
        <v>100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0</v>
      </c>
      <c r="AC49" s="47">
        <f>ROUND(供應率ALL!W11,1)</f>
        <v>100</v>
      </c>
      <c r="AD49" s="47">
        <f>ROUND(供應率ALL!X11,1)</f>
        <v>100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0</v>
      </c>
      <c r="AJ49" s="47">
        <f>ROUND(供應率ALL!AD11,1)</f>
        <v>100</v>
      </c>
      <c r="AK49" s="47">
        <f>ROUND(供應率ALL!AE11,1)</f>
        <v>100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44.617562999999997</v>
      </c>
      <c r="E50" s="50">
        <v>75</v>
      </c>
      <c r="F50" s="51"/>
      <c r="G50" s="612">
        <f>ROUND(當年月推移!P109,1)</f>
        <v>95.8</v>
      </c>
      <c r="H50" s="613"/>
      <c r="I50" s="47">
        <f>ROUND(供應率ALL!C12,1)</f>
        <v>100</v>
      </c>
      <c r="J50" s="47">
        <f>ROUND(供應率ALL!D12,1)</f>
        <v>97.6</v>
      </c>
      <c r="K50" s="47">
        <f>ROUND(供應率ALL!E12,1)</f>
        <v>0</v>
      </c>
      <c r="L50" s="47">
        <f>ROUND(供應率ALL!F12,1)</f>
        <v>0</v>
      </c>
      <c r="M50" s="47">
        <f>ROUND(供應率ALL!G12,1)</f>
        <v>100</v>
      </c>
      <c r="N50" s="47">
        <f>ROUND(供應率ALL!H12,1)</f>
        <v>0</v>
      </c>
      <c r="O50" s="47">
        <f>ROUND(供應率ALL!I12,1)</f>
        <v>97.3</v>
      </c>
      <c r="P50" s="47">
        <f>ROUND(供應率ALL!J12,1)</f>
        <v>98</v>
      </c>
      <c r="Q50" s="47">
        <f>ROUND(供應率ALL!K12,1)</f>
        <v>93.4</v>
      </c>
      <c r="R50" s="47">
        <f>ROUND(供應率ALL!L12,1)</f>
        <v>100</v>
      </c>
      <c r="S50" s="47">
        <f>ROUND(供應率ALL!M12,1)</f>
        <v>95.7</v>
      </c>
      <c r="T50" s="47">
        <f>ROUND(供應率ALL!N12,1)</f>
        <v>100</v>
      </c>
      <c r="U50" s="47">
        <f>ROUND(供應率ALL!O12,1)</f>
        <v>0</v>
      </c>
      <c r="V50" s="47">
        <f>ROUND(供應率ALL!P12,1)</f>
        <v>100</v>
      </c>
      <c r="W50" s="47">
        <f>ROUND(供應率ALL!Q12,1)</f>
        <v>98</v>
      </c>
      <c r="X50" s="47">
        <f>ROUND(供應率ALL!R12,1)</f>
        <v>100</v>
      </c>
      <c r="Y50" s="47">
        <f>ROUND(供應率ALL!S12,1)</f>
        <v>97.7</v>
      </c>
      <c r="Z50" s="47">
        <f>ROUND(供應率ALL!T12,1)</f>
        <v>100</v>
      </c>
      <c r="AA50" s="47">
        <f>ROUND(供應率ALL!U12,1)</f>
        <v>100</v>
      </c>
      <c r="AB50" s="47">
        <f>ROUND(供應率ALL!V12,1)</f>
        <v>0</v>
      </c>
      <c r="AC50" s="47">
        <f>ROUND(供應率ALL!W12,1)</f>
        <v>100</v>
      </c>
      <c r="AD50" s="47">
        <f>ROUND(供應率ALL!X12,1)</f>
        <v>96</v>
      </c>
      <c r="AE50" s="47">
        <f>ROUND(供應率ALL!Y12,1)</f>
        <v>96.2</v>
      </c>
      <c r="AF50" s="47">
        <f>ROUND(供應率ALL!Z12,1)</f>
        <v>88.7</v>
      </c>
      <c r="AG50" s="47">
        <f>ROUND(供應率ALL!AA12,1)</f>
        <v>98.1</v>
      </c>
      <c r="AH50" s="47">
        <f>ROUND(供應率ALL!AB12,1)</f>
        <v>100</v>
      </c>
      <c r="AI50" s="47">
        <f>ROUND(供應率ALL!AC12,1)</f>
        <v>0</v>
      </c>
      <c r="AJ50" s="47">
        <f>ROUND(供應率ALL!AD12,1)</f>
        <v>100</v>
      </c>
      <c r="AK50" s="47">
        <f>ROUND(供應率ALL!AE12,1)</f>
        <v>94.9</v>
      </c>
      <c r="AL50" s="47">
        <f>ROUND(供應率ALL!AF12,1)</f>
        <v>97.8</v>
      </c>
      <c r="AM50" s="47">
        <f>ROUND(供應率ALL!AG12,1)</f>
        <v>0</v>
      </c>
      <c r="AN50" s="214">
        <f>ROUND(供應率ALL!AH12,1)</f>
        <v>97.7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93.335678999999999</v>
      </c>
      <c r="E51" s="50">
        <v>98.7</v>
      </c>
      <c r="F51" s="51"/>
      <c r="G51" s="612">
        <f>ROUND(當年月推移!P110,1)</f>
        <v>95.9</v>
      </c>
      <c r="H51" s="613"/>
      <c r="I51" s="47">
        <f>ROUND(供應率ALL!C13,1)</f>
        <v>97.2</v>
      </c>
      <c r="J51" s="47">
        <f>ROUND(供應率ALL!D13,1)</f>
        <v>96.4</v>
      </c>
      <c r="K51" s="47">
        <f>ROUND(供應率ALL!E13,1)</f>
        <v>0</v>
      </c>
      <c r="L51" s="47">
        <f>ROUND(供應率ALL!F13,1)</f>
        <v>0</v>
      </c>
      <c r="M51" s="47">
        <f>ROUND(供應率ALL!G13,1)</f>
        <v>96.4</v>
      </c>
      <c r="N51" s="47">
        <f>ROUND(供應率ALL!H13,1)</f>
        <v>0</v>
      </c>
      <c r="O51" s="47">
        <f>ROUND(供應率ALL!I13,1)</f>
        <v>95.4</v>
      </c>
      <c r="P51" s="47">
        <f>ROUND(供應率ALL!J13,1)</f>
        <v>98.8</v>
      </c>
      <c r="Q51" s="47">
        <f>ROUND(供應率ALL!K13,1)</f>
        <v>96.7</v>
      </c>
      <c r="R51" s="47">
        <f>ROUND(供應率ALL!L13,1)</f>
        <v>93.1</v>
      </c>
      <c r="S51" s="47">
        <f>ROUND(供應率ALL!M13,1)</f>
        <v>94.2</v>
      </c>
      <c r="T51" s="47">
        <f>ROUND(供應率ALL!N13,1)</f>
        <v>97.5</v>
      </c>
      <c r="U51" s="47">
        <f>ROUND(供應率ALL!O13,1)</f>
        <v>0</v>
      </c>
      <c r="V51" s="47">
        <f>ROUND(供應率ALL!P13,1)</f>
        <v>94.7</v>
      </c>
      <c r="W51" s="47">
        <f>ROUND(供應率ALL!Q13,1)</f>
        <v>97.5</v>
      </c>
      <c r="X51" s="47">
        <f>ROUND(供應率ALL!R13,1)</f>
        <v>96.3</v>
      </c>
      <c r="Y51" s="47">
        <f>ROUND(供應率ALL!S13,1)</f>
        <v>97</v>
      </c>
      <c r="Z51" s="47">
        <f>ROUND(供應率ALL!T13,1)</f>
        <v>96.7</v>
      </c>
      <c r="AA51" s="47">
        <f>ROUND(供應率ALL!U13,1)</f>
        <v>97.9</v>
      </c>
      <c r="AB51" s="47">
        <f>ROUND(供應率ALL!V13,1)</f>
        <v>0</v>
      </c>
      <c r="AC51" s="47">
        <f>ROUND(供應率ALL!W13,1)</f>
        <v>98.2</v>
      </c>
      <c r="AD51" s="47">
        <f>ROUND(供應率ALL!X13,1)</f>
        <v>97.1</v>
      </c>
      <c r="AE51" s="47">
        <f>ROUND(供應率ALL!Y13,1)</f>
        <v>95.9</v>
      </c>
      <c r="AF51" s="47">
        <f>ROUND(供應率ALL!Z13,1)</f>
        <v>93.7</v>
      </c>
      <c r="AG51" s="47">
        <f>ROUND(供應率ALL!AA13,1)</f>
        <v>97.8</v>
      </c>
      <c r="AH51" s="47">
        <f>ROUND(供應率ALL!AB13,1)</f>
        <v>96.2</v>
      </c>
      <c r="AI51" s="47">
        <f>ROUND(供應率ALL!AC13,1)</f>
        <v>0</v>
      </c>
      <c r="AJ51" s="47">
        <f>ROUND(供應率ALL!AD13,1)</f>
        <v>97.3</v>
      </c>
      <c r="AK51" s="47">
        <f>ROUND(供應率ALL!AE13,1)</f>
        <v>97.3</v>
      </c>
      <c r="AL51" s="47">
        <f>ROUND(供應率ALL!AF13,1)</f>
        <v>98.1</v>
      </c>
      <c r="AM51" s="47">
        <f>ROUND(供應率ALL!AG13,1)</f>
        <v>0</v>
      </c>
      <c r="AN51" s="214">
        <f>ROUND(供應率ALL!AH13,1)</f>
        <v>96.6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97.522299000000004</v>
      </c>
      <c r="E52" s="50">
        <v>95</v>
      </c>
      <c r="F52" s="51"/>
      <c r="G52" s="612">
        <f>ROUND(當年月推移!P111,1)</f>
        <v>88.2</v>
      </c>
      <c r="H52" s="613"/>
      <c r="I52" s="47">
        <f>ROUND(供應率ALL!C14,1)</f>
        <v>100</v>
      </c>
      <c r="J52" s="47">
        <f>ROUND(供應率ALL!D14,1)</f>
        <v>98.6</v>
      </c>
      <c r="K52" s="47">
        <f>ROUND(供應率ALL!E14,1)</f>
        <v>0</v>
      </c>
      <c r="L52" s="47">
        <f>ROUND(供應率ALL!F14,1)</f>
        <v>0</v>
      </c>
      <c r="M52" s="47">
        <f>ROUND(供應率ALL!G14,1)</f>
        <v>100</v>
      </c>
      <c r="N52" s="47">
        <f>ROUND(供應率ALL!H14,1)</f>
        <v>0</v>
      </c>
      <c r="O52" s="47">
        <f>ROUND(供應率ALL!I14,1)</f>
        <v>100</v>
      </c>
      <c r="P52" s="47">
        <f>ROUND(供應率ALL!J14,1)</f>
        <v>100</v>
      </c>
      <c r="Q52" s="47">
        <f>ROUND(供應率ALL!K14,1)</f>
        <v>91.2</v>
      </c>
      <c r="R52" s="47">
        <f>ROUND(供應率ALL!L14,1)</f>
        <v>85.1</v>
      </c>
      <c r="S52" s="47">
        <f>ROUND(供應率ALL!M14,1)</f>
        <v>96.2</v>
      </c>
      <c r="T52" s="47">
        <f>ROUND(供應率ALL!N14,1)</f>
        <v>100</v>
      </c>
      <c r="U52" s="47">
        <f>ROUND(供應率ALL!O14,1)</f>
        <v>0</v>
      </c>
      <c r="V52" s="47">
        <f>ROUND(供應率ALL!P14,1)</f>
        <v>100</v>
      </c>
      <c r="W52" s="47">
        <f>ROUND(供應率ALL!Q14,1)</f>
        <v>94.8</v>
      </c>
      <c r="X52" s="47">
        <f>ROUND(供應率ALL!R14,1)</f>
        <v>100</v>
      </c>
      <c r="Y52" s="47">
        <f>ROUND(供應率ALL!S14,1)</f>
        <v>94.4</v>
      </c>
      <c r="Z52" s="47">
        <f>ROUND(供應率ALL!T14,1)</f>
        <v>95.7</v>
      </c>
      <c r="AA52" s="47">
        <f>ROUND(供應率ALL!U14,1)</f>
        <v>94.2</v>
      </c>
      <c r="AB52" s="47">
        <f>ROUND(供應率ALL!V14,1)</f>
        <v>0</v>
      </c>
      <c r="AC52" s="47">
        <f>ROUND(供應率ALL!W14,1)</f>
        <v>93.4</v>
      </c>
      <c r="AD52" s="47">
        <f>ROUND(供應率ALL!X14,1)</f>
        <v>94.3</v>
      </c>
      <c r="AE52" s="47">
        <f>ROUND(供應率ALL!Y14,1)</f>
        <v>95.2</v>
      </c>
      <c r="AF52" s="47">
        <f>ROUND(供應率ALL!Z14,1)</f>
        <v>100</v>
      </c>
      <c r="AG52" s="47">
        <f>ROUND(供應率ALL!AA14,1)</f>
        <v>97</v>
      </c>
      <c r="AH52" s="47">
        <f>ROUND(供應率ALL!AB14,1)</f>
        <v>93.4</v>
      </c>
      <c r="AI52" s="47">
        <f>ROUND(供應率ALL!AC14,1)</f>
        <v>0</v>
      </c>
      <c r="AJ52" s="47">
        <f>ROUND(供應率ALL!AD14,1)</f>
        <v>98.1</v>
      </c>
      <c r="AK52" s="47">
        <f>ROUND(供應率ALL!AE14,1)</f>
        <v>98.6</v>
      </c>
      <c r="AL52" s="47">
        <f>ROUND(供應率ALL!AF14,1)</f>
        <v>98.1</v>
      </c>
      <c r="AM52" s="47">
        <f>ROUND(供應率ALL!AG14,1)</f>
        <v>0</v>
      </c>
      <c r="AN52" s="214">
        <f>ROUND(供應率ALL!AH14,1)</f>
        <v>96.6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0</v>
      </c>
      <c r="E53" s="50"/>
      <c r="F53" s="51"/>
      <c r="G53" s="612">
        <f>ROUND(當年月推移!P112,1)</f>
        <v>33.299999999999997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100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50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96.248538999999994</v>
      </c>
      <c r="E54" s="52"/>
      <c r="F54" s="53" t="s">
        <v>45</v>
      </c>
      <c r="G54" s="574">
        <f>ROUND(當年月推移!P113,1)</f>
        <v>97.2</v>
      </c>
      <c r="H54" s="575"/>
      <c r="I54" s="242">
        <f>ROUND(供應率ALL!C16,1)</f>
        <v>98.5</v>
      </c>
      <c r="J54" s="242">
        <f>ROUND(供應率ALL!D16,1)</f>
        <v>98</v>
      </c>
      <c r="K54" s="242">
        <f>ROUND(供應率ALL!E16,1)</f>
        <v>0</v>
      </c>
      <c r="L54" s="242">
        <f>ROUND(供應率ALL!F16,1)</f>
        <v>0</v>
      </c>
      <c r="M54" s="242">
        <f>ROUND(供應率ALL!G16,1)</f>
        <v>98.3</v>
      </c>
      <c r="N54" s="242">
        <f>ROUND(供應率ALL!H16,1)</f>
        <v>0</v>
      </c>
      <c r="O54" s="242">
        <f>ROUND(供應率ALL!I16,1)</f>
        <v>97.5</v>
      </c>
      <c r="P54" s="242">
        <f>ROUND(供應率ALL!J16,1)</f>
        <v>98.1</v>
      </c>
      <c r="Q54" s="242">
        <f>ROUND(供應率ALL!K16,1)</f>
        <v>98</v>
      </c>
      <c r="R54" s="242">
        <f>ROUND(供應率ALL!L16,1)</f>
        <v>97.9</v>
      </c>
      <c r="S54" s="242">
        <f>ROUND(供應率ALL!M16,1)</f>
        <v>97.9</v>
      </c>
      <c r="T54" s="242">
        <f>ROUND(供應率ALL!N16,1)</f>
        <v>98.2</v>
      </c>
      <c r="U54" s="242">
        <f>ROUND(供應率ALL!O16,1)</f>
        <v>0</v>
      </c>
      <c r="V54" s="242">
        <f>ROUND(供應率ALL!P16,1)</f>
        <v>98.4</v>
      </c>
      <c r="W54" s="242">
        <f>ROUND(供應率ALL!Q16,1)</f>
        <v>98.3</v>
      </c>
      <c r="X54" s="242">
        <f>ROUND(供應率ALL!R16,1)</f>
        <v>98.4</v>
      </c>
      <c r="Y54" s="242">
        <f>ROUND(供應率ALL!S16,1)</f>
        <v>98.6</v>
      </c>
      <c r="Z54" s="242">
        <f>ROUND(供應率ALL!T16,1)</f>
        <v>98.6</v>
      </c>
      <c r="AA54" s="242">
        <f>ROUND(供應率ALL!U16,1)</f>
        <v>98.6</v>
      </c>
      <c r="AB54" s="242">
        <f>ROUND(供應率ALL!V16,1)</f>
        <v>0</v>
      </c>
      <c r="AC54" s="242">
        <f>ROUND(供應率ALL!W16,1)</f>
        <v>98.5</v>
      </c>
      <c r="AD54" s="242">
        <f>ROUND(供應率ALL!X16,1)</f>
        <v>98.3</v>
      </c>
      <c r="AE54" s="242">
        <f>ROUND(供應率ALL!Y16,1)</f>
        <v>97.8</v>
      </c>
      <c r="AF54" s="242">
        <f>ROUND(供應率ALL!Z16,1)</f>
        <v>97.5</v>
      </c>
      <c r="AG54" s="242">
        <f>ROUND(供應率ALL!AA16,1)</f>
        <v>98.2</v>
      </c>
      <c r="AH54" s="242">
        <f>ROUND(供應率ALL!AB16,1)</f>
        <v>98.2</v>
      </c>
      <c r="AI54" s="242">
        <f>ROUND(供應率ALL!AC16,1)</f>
        <v>0</v>
      </c>
      <c r="AJ54" s="242">
        <f>ROUND(供應率ALL!AD16,1)</f>
        <v>98.2</v>
      </c>
      <c r="AK54" s="242">
        <f>ROUND(供應率ALL!AE16,1)</f>
        <v>98.7</v>
      </c>
      <c r="AL54" s="242">
        <f>ROUND(供應率ALL!AF16,1)</f>
        <v>97.9</v>
      </c>
      <c r="AM54" s="242">
        <f>ROUND(供應率ALL!AG16,1)</f>
        <v>0</v>
      </c>
      <c r="AN54" s="215">
        <f>ROUND(供應率ALL!AH16,1)</f>
        <v>98.2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85.6</v>
      </c>
      <c r="H60" s="575"/>
      <c r="I60" s="242">
        <f>ROUND(供應率ALL!C21,1)</f>
        <v>100</v>
      </c>
      <c r="J60" s="242">
        <f>ROUND(供應率ALL!D21,1)</f>
        <v>100</v>
      </c>
      <c r="K60" s="242">
        <f>ROUND(供應率ALL!E21,1)</f>
        <v>0</v>
      </c>
      <c r="L60" s="242">
        <f>ROUND(供應率ALL!F21,1)</f>
        <v>0</v>
      </c>
      <c r="M60" s="242">
        <f>ROUND(供應率ALL!G21,1)</f>
        <v>100</v>
      </c>
      <c r="N60" s="242">
        <f>ROUND(供應率ALL!H21,1)</f>
        <v>0</v>
      </c>
      <c r="O60" s="242">
        <f>ROUND(供應率ALL!I21,1)</f>
        <v>100</v>
      </c>
      <c r="P60" s="242">
        <f>ROUND(供應率ALL!J21,1)</f>
        <v>100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0</v>
      </c>
      <c r="V60" s="242">
        <f>ROUND(供應率ALL!P21,1)</f>
        <v>100</v>
      </c>
      <c r="W60" s="242">
        <f>ROUND(供應率ALL!Q21,1)</f>
        <v>100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0</v>
      </c>
      <c r="AC60" s="242">
        <f>ROUND(供應率ALL!W21,1)</f>
        <v>100</v>
      </c>
      <c r="AD60" s="242">
        <f>ROUND(供應率ALL!X21,1)</f>
        <v>100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0</v>
      </c>
      <c r="AJ60" s="242">
        <f>ROUND(供應率ALL!AD21,1)</f>
        <v>100</v>
      </c>
      <c r="AK60" s="242">
        <f>ROUND(供應率ALL!AE21,1)</f>
        <v>100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2024/4</v>
      </c>
      <c r="E63" s="610" t="str">
        <f>E3</f>
        <v>2025/4</v>
      </c>
      <c r="F63" s="623"/>
      <c r="G63" s="565">
        <f>YEAR(日期!C2)</f>
        <v>2025</v>
      </c>
      <c r="H63" s="566"/>
      <c r="I63" s="527" t="str">
        <f>日期!C2</f>
        <v>2025/04/01</v>
      </c>
      <c r="J63" s="527" t="str">
        <f>日期!D2</f>
        <v>2025/04/02</v>
      </c>
      <c r="K63" s="527" t="str">
        <f>日期!E2</f>
        <v>2025/04/03</v>
      </c>
      <c r="L63" s="527" t="str">
        <f>日期!F2</f>
        <v>2025/04/04</v>
      </c>
      <c r="M63" s="527" t="str">
        <f>日期!G2</f>
        <v>2025/04/05</v>
      </c>
      <c r="N63" s="527" t="str">
        <f>日期!H2</f>
        <v>2025/04/06</v>
      </c>
      <c r="O63" s="527" t="str">
        <f>日期!I2</f>
        <v>2025/04/07</v>
      </c>
      <c r="P63" s="527" t="str">
        <f>日期!J2</f>
        <v>2025/04/08</v>
      </c>
      <c r="Q63" s="527" t="str">
        <f>日期!K2</f>
        <v>2025/04/09</v>
      </c>
      <c r="R63" s="527" t="str">
        <f>日期!L2</f>
        <v>2025/04/10</v>
      </c>
      <c r="S63" s="527" t="str">
        <f>日期!M2</f>
        <v>2025/04/11</v>
      </c>
      <c r="T63" s="527" t="str">
        <f>日期!N2</f>
        <v>2025/04/12</v>
      </c>
      <c r="U63" s="527" t="str">
        <f>日期!O2</f>
        <v>2025/04/13</v>
      </c>
      <c r="V63" s="527" t="str">
        <f>日期!P2</f>
        <v>2025/04/14</v>
      </c>
      <c r="W63" s="527" t="str">
        <f>日期!Q2</f>
        <v>2025/04/15</v>
      </c>
      <c r="X63" s="527" t="str">
        <f>日期!R2</f>
        <v>2025/04/16</v>
      </c>
      <c r="Y63" s="527" t="str">
        <f>日期!S2</f>
        <v>2025/04/17</v>
      </c>
      <c r="Z63" s="527" t="str">
        <f>日期!T2</f>
        <v>2025/04/18</v>
      </c>
      <c r="AA63" s="527" t="str">
        <f>日期!U2</f>
        <v>2025/04/19</v>
      </c>
      <c r="AB63" s="527" t="str">
        <f>日期!V2</f>
        <v>2025/04/20</v>
      </c>
      <c r="AC63" s="527" t="str">
        <f>日期!W2</f>
        <v>2025/04/21</v>
      </c>
      <c r="AD63" s="527" t="str">
        <f>日期!X2</f>
        <v>2025/04/22</v>
      </c>
      <c r="AE63" s="527" t="str">
        <f>日期!Y2</f>
        <v>2025/04/23</v>
      </c>
      <c r="AF63" s="527" t="str">
        <f>日期!Z2</f>
        <v>2025/04/24</v>
      </c>
      <c r="AG63" s="527" t="str">
        <f>日期!AA2</f>
        <v>2025/04/25</v>
      </c>
      <c r="AH63" s="527" t="str">
        <f>日期!AB2</f>
        <v>2025/04/26</v>
      </c>
      <c r="AI63" s="527" t="str">
        <f>日期!AC2</f>
        <v>2025/04/27</v>
      </c>
      <c r="AJ63" s="527" t="str">
        <f>日期!AD2</f>
        <v>2025/04/28</v>
      </c>
      <c r="AK63" s="527" t="str">
        <f>日期!AE2</f>
        <v>2025/04/29</v>
      </c>
      <c r="AL63" s="527" t="str">
        <f>日期!AF2</f>
        <v>2025/04/30</v>
      </c>
      <c r="AM63" s="527">
        <f>日期!AG2</f>
        <v>0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Tue</v>
      </c>
      <c r="J64" s="12" t="str">
        <f>日期!D3</f>
        <v>Wed</v>
      </c>
      <c r="K64" s="12" t="str">
        <f>日期!E3</f>
        <v>Thu</v>
      </c>
      <c r="L64" s="12" t="str">
        <f>日期!F3</f>
        <v>Fri</v>
      </c>
      <c r="M64" s="12" t="str">
        <f>日期!G3</f>
        <v>Sat</v>
      </c>
      <c r="N64" s="12" t="str">
        <f>日期!H3</f>
        <v>Sun</v>
      </c>
      <c r="O64" s="12" t="str">
        <f>日期!I3</f>
        <v>Mon</v>
      </c>
      <c r="P64" s="12" t="str">
        <f>日期!J3</f>
        <v>Tue</v>
      </c>
      <c r="Q64" s="12" t="str">
        <f>日期!K3</f>
        <v>Wed</v>
      </c>
      <c r="R64" s="12" t="str">
        <f>日期!L3</f>
        <v>Thu</v>
      </c>
      <c r="S64" s="12" t="str">
        <f>日期!M3</f>
        <v>Fri</v>
      </c>
      <c r="T64" s="12" t="str">
        <f>日期!N3</f>
        <v>Sat</v>
      </c>
      <c r="U64" s="12" t="str">
        <f>日期!O3</f>
        <v>Sun</v>
      </c>
      <c r="V64" s="12" t="str">
        <f>日期!P3</f>
        <v>Mon</v>
      </c>
      <c r="W64" s="12" t="str">
        <f>日期!Q3</f>
        <v>Tue</v>
      </c>
      <c r="X64" s="12" t="str">
        <f>日期!R3</f>
        <v>Wed</v>
      </c>
      <c r="Y64" s="12" t="str">
        <f>日期!S3</f>
        <v>Thu</v>
      </c>
      <c r="Z64" s="12" t="str">
        <f>日期!T3</f>
        <v>Fri</v>
      </c>
      <c r="AA64" s="12" t="str">
        <f>日期!U3</f>
        <v>Sat</v>
      </c>
      <c r="AB64" s="12" t="str">
        <f>日期!V3</f>
        <v>Sun</v>
      </c>
      <c r="AC64" s="12" t="str">
        <f>日期!W3</f>
        <v>Mon</v>
      </c>
      <c r="AD64" s="12" t="str">
        <f>日期!X3</f>
        <v>Tue</v>
      </c>
      <c r="AE64" s="12" t="str">
        <f>日期!Y3</f>
        <v>Wed</v>
      </c>
      <c r="AF64" s="12" t="str">
        <f>日期!Z3</f>
        <v>Thu</v>
      </c>
      <c r="AG64" s="12" t="str">
        <f>日期!AA3</f>
        <v>Fri</v>
      </c>
      <c r="AH64" s="12" t="str">
        <f>日期!AB3</f>
        <v>Sat</v>
      </c>
      <c r="AI64" s="12" t="str">
        <f>日期!AC3</f>
        <v>Sun</v>
      </c>
      <c r="AJ64" s="12" t="str">
        <f>日期!AD3</f>
        <v>Mon</v>
      </c>
      <c r="AK64" s="12" t="str">
        <f>日期!AE3</f>
        <v>Tue</v>
      </c>
      <c r="AL64" s="12" t="str">
        <f>日期!AF3</f>
        <v>Wed</v>
      </c>
      <c r="AM64" s="12">
        <f>日期!AG3</f>
        <v>0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98.816854000000006</v>
      </c>
      <c r="E65" s="272">
        <v>98</v>
      </c>
      <c r="F65" s="272" t="s">
        <v>45</v>
      </c>
      <c r="G65" s="559">
        <f>ROUND(當年月推移!P124,1)</f>
        <v>98.2</v>
      </c>
      <c r="H65" s="560"/>
      <c r="I65" s="245">
        <f>ROUND(供應率!D2,1)</f>
        <v>99</v>
      </c>
      <c r="J65" s="245">
        <f>ROUND(供應率!E2,1)</f>
        <v>99.2</v>
      </c>
      <c r="K65" s="245">
        <f>ROUND(供應率!F2,1)</f>
        <v>0</v>
      </c>
      <c r="L65" s="245">
        <f>ROUND(供應率!G2,1)</f>
        <v>0</v>
      </c>
      <c r="M65" s="245">
        <f>ROUND(供應率!H2,1)</f>
        <v>98.5</v>
      </c>
      <c r="N65" s="245">
        <f>ROUND(供應率!I2,1)</f>
        <v>0</v>
      </c>
      <c r="O65" s="245">
        <f>ROUND(供應率!J2,1)</f>
        <v>98.4</v>
      </c>
      <c r="P65" s="245">
        <f>ROUND(供應率!K2,1)</f>
        <v>98.4</v>
      </c>
      <c r="Q65" s="245">
        <f>ROUND(供應率!L2,1)</f>
        <v>98.6</v>
      </c>
      <c r="R65" s="245">
        <f>ROUND(供應率!M2,1)</f>
        <v>98.6</v>
      </c>
      <c r="S65" s="245">
        <f>ROUND(供應率!N2,1)</f>
        <v>98.8</v>
      </c>
      <c r="T65" s="245">
        <f>ROUND(供應率!O2,1)</f>
        <v>99.1</v>
      </c>
      <c r="U65" s="245">
        <f>ROUND(供應率!P2,1)</f>
        <v>0</v>
      </c>
      <c r="V65" s="245">
        <f>ROUND(供應率!Q2,1)</f>
        <v>98.7</v>
      </c>
      <c r="W65" s="245">
        <f>ROUND(供應率!R2,1)</f>
        <v>98.5</v>
      </c>
      <c r="X65" s="245">
        <f>ROUND(供應率!S2,1)</f>
        <v>98.6</v>
      </c>
      <c r="Y65" s="245">
        <f>ROUND(供應率!T2,1)</f>
        <v>98.3</v>
      </c>
      <c r="Z65" s="245">
        <f>ROUND(供應率!U2,1)</f>
        <v>98.6</v>
      </c>
      <c r="AA65" s="245">
        <f>ROUND(供應率!V2,1)</f>
        <v>98.6</v>
      </c>
      <c r="AB65" s="245">
        <f>ROUND(供應率!W2,1)</f>
        <v>0</v>
      </c>
      <c r="AC65" s="245">
        <f>ROUND(供應率!X2,1)</f>
        <v>98.7</v>
      </c>
      <c r="AD65" s="245">
        <f>ROUND(供應率!Y2,1)</f>
        <v>98.8</v>
      </c>
      <c r="AE65" s="245">
        <f>ROUND(供應率!Z2,1)</f>
        <v>98.5</v>
      </c>
      <c r="AF65" s="245">
        <f>ROUND(供應率!AA2,1)</f>
        <v>98.3</v>
      </c>
      <c r="AG65" s="245">
        <f>ROUND(供應率!AB2,1)</f>
        <v>98.8</v>
      </c>
      <c r="AH65" s="245">
        <f>ROUND(供應率!AC2,1)</f>
        <v>99.1</v>
      </c>
      <c r="AI65" s="245">
        <f>ROUND(供應率!AD2,1)</f>
        <v>0</v>
      </c>
      <c r="AJ65" s="245">
        <f>ROUND(供應率!AE2,1)</f>
        <v>98.8</v>
      </c>
      <c r="AK65" s="245">
        <f>ROUND(供應率!AF2,1)</f>
        <v>98.1</v>
      </c>
      <c r="AL65" s="245">
        <f>ROUND(供應率!AG2,1)</f>
        <v>99</v>
      </c>
      <c r="AM65" s="245">
        <f>ROUND(供應率!AH2,1)</f>
        <v>0</v>
      </c>
      <c r="AN65" s="213">
        <f>ROUND(供應率!AI2,1)</f>
        <v>98.7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98.835796999999999</v>
      </c>
      <c r="E66" s="49">
        <v>98</v>
      </c>
      <c r="F66" s="49" t="s">
        <v>45</v>
      </c>
      <c r="G66" s="563">
        <f>ROUND(當年月推移!P125,1)</f>
        <v>98.5</v>
      </c>
      <c r="H66" s="564"/>
      <c r="I66" s="47">
        <f>ROUND(供應率!D3,1)</f>
        <v>98.5</v>
      </c>
      <c r="J66" s="47">
        <f>ROUND(供應率!E3,1)</f>
        <v>98.5</v>
      </c>
      <c r="K66" s="47">
        <f>ROUND(供應率!F3,1)</f>
        <v>0</v>
      </c>
      <c r="L66" s="47">
        <f>ROUND(供應率!G3,1)</f>
        <v>0</v>
      </c>
      <c r="M66" s="47">
        <f>ROUND(供應率!H3,1)</f>
        <v>98.6</v>
      </c>
      <c r="N66" s="47">
        <f>ROUND(供應率!I3,1)</f>
        <v>0</v>
      </c>
      <c r="O66" s="47">
        <f>ROUND(供應率!J3,1)</f>
        <v>98.6</v>
      </c>
      <c r="P66" s="47">
        <f>ROUND(供應率!K3,1)</f>
        <v>98.7</v>
      </c>
      <c r="Q66" s="47">
        <f>ROUND(供應率!L3,1)</f>
        <v>98.7</v>
      </c>
      <c r="R66" s="47">
        <f>ROUND(供應率!M3,1)</f>
        <v>98.7</v>
      </c>
      <c r="S66" s="47">
        <f>ROUND(供應率!N3,1)</f>
        <v>98.5</v>
      </c>
      <c r="T66" s="47">
        <f>ROUND(供應率!O3,1)</f>
        <v>98.5</v>
      </c>
      <c r="U66" s="47">
        <f>ROUND(供應率!P3,1)</f>
        <v>0</v>
      </c>
      <c r="V66" s="47">
        <f>ROUND(供應率!Q3,1)</f>
        <v>98.5</v>
      </c>
      <c r="W66" s="47">
        <f>ROUND(供應率!R3,1)</f>
        <v>98.5</v>
      </c>
      <c r="X66" s="47">
        <f>ROUND(供應率!S3,1)</f>
        <v>98.3</v>
      </c>
      <c r="Y66" s="47">
        <f>ROUND(供應率!T3,1)</f>
        <v>98.1</v>
      </c>
      <c r="Z66" s="47">
        <f>ROUND(供應率!U3,1)</f>
        <v>98.5</v>
      </c>
      <c r="AA66" s="47">
        <f>ROUND(供應率!V3,1)</f>
        <v>98.6</v>
      </c>
      <c r="AB66" s="47">
        <f>ROUND(供應率!W3,1)</f>
        <v>0</v>
      </c>
      <c r="AC66" s="47">
        <f>ROUND(供應率!X3,1)</f>
        <v>99</v>
      </c>
      <c r="AD66" s="47">
        <f>ROUND(供應率!Y3,1)</f>
        <v>98.9</v>
      </c>
      <c r="AE66" s="47">
        <f>ROUND(供應率!Z3,1)</f>
        <v>98.7</v>
      </c>
      <c r="AF66" s="47">
        <f>ROUND(供應率!AA3,1)</f>
        <v>98.8</v>
      </c>
      <c r="AG66" s="47">
        <f>ROUND(供應率!AB3,1)</f>
        <v>99</v>
      </c>
      <c r="AH66" s="47">
        <f>ROUND(供應率!AC3,1)</f>
        <v>99.1</v>
      </c>
      <c r="AI66" s="47">
        <f>ROUND(供應率!AD3,1)</f>
        <v>0</v>
      </c>
      <c r="AJ66" s="47">
        <f>ROUND(供應率!AE3,1)</f>
        <v>99.2</v>
      </c>
      <c r="AK66" s="47">
        <f>ROUND(供應率!AF3,1)</f>
        <v>99</v>
      </c>
      <c r="AL66" s="47">
        <f>ROUND(供應率!AG3,1)</f>
        <v>98.3</v>
      </c>
      <c r="AM66" s="47">
        <f>ROUND(供應率!AH3,1)</f>
        <v>0</v>
      </c>
      <c r="AN66" s="214">
        <f>ROUND(供應率!AI3,1)</f>
        <v>98.7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99.431608999999995</v>
      </c>
      <c r="E67" s="49">
        <v>99.2</v>
      </c>
      <c r="F67" s="49" t="s">
        <v>45</v>
      </c>
      <c r="G67" s="563">
        <f>ROUND(當年月推移!P126,1)</f>
        <v>99.3</v>
      </c>
      <c r="H67" s="564"/>
      <c r="I67" s="47">
        <f>ROUND(供應率!D4,1)</f>
        <v>99.5</v>
      </c>
      <c r="J67" s="47">
        <f>ROUND(供應率!E4,1)</f>
        <v>99.6</v>
      </c>
      <c r="K67" s="47">
        <f>ROUND(供應率!F4,1)</f>
        <v>0</v>
      </c>
      <c r="L67" s="47">
        <f>ROUND(供應率!G4,1)</f>
        <v>0</v>
      </c>
      <c r="M67" s="47">
        <f>ROUND(供應率!H4,1)</f>
        <v>99.5</v>
      </c>
      <c r="N67" s="47">
        <f>ROUND(供應率!I4,1)</f>
        <v>0</v>
      </c>
      <c r="O67" s="47">
        <f>ROUND(供應率!J4,1)</f>
        <v>99.5</v>
      </c>
      <c r="P67" s="47">
        <f>ROUND(供應率!K4,1)</f>
        <v>99.4</v>
      </c>
      <c r="Q67" s="47">
        <f>ROUND(供應率!L4,1)</f>
        <v>99.6</v>
      </c>
      <c r="R67" s="47">
        <f>ROUND(供應率!M4,1)</f>
        <v>99.5</v>
      </c>
      <c r="S67" s="47">
        <f>ROUND(供應率!N4,1)</f>
        <v>99</v>
      </c>
      <c r="T67" s="47">
        <f>ROUND(供應率!O4,1)</f>
        <v>99.5</v>
      </c>
      <c r="U67" s="47">
        <f>ROUND(供應率!P4,1)</f>
        <v>0</v>
      </c>
      <c r="V67" s="47">
        <f>ROUND(供應率!Q4,1)</f>
        <v>99.7</v>
      </c>
      <c r="W67" s="47">
        <f>ROUND(供應率!R4,1)</f>
        <v>99.6</v>
      </c>
      <c r="X67" s="47">
        <f>ROUND(供應率!S4,1)</f>
        <v>99.4</v>
      </c>
      <c r="Y67" s="47">
        <f>ROUND(供應率!T4,1)</f>
        <v>99.4</v>
      </c>
      <c r="Z67" s="47">
        <f>ROUND(供應率!U4,1)</f>
        <v>99.8</v>
      </c>
      <c r="AA67" s="47">
        <f>ROUND(供應率!V4,1)</f>
        <v>99.7</v>
      </c>
      <c r="AB67" s="47">
        <f>ROUND(供應率!W4,1)</f>
        <v>0</v>
      </c>
      <c r="AC67" s="47">
        <f>ROUND(供應率!X4,1)</f>
        <v>99.8</v>
      </c>
      <c r="AD67" s="47">
        <f>ROUND(供應率!Y4,1)</f>
        <v>98.6</v>
      </c>
      <c r="AE67" s="47">
        <f>ROUND(供應率!Z4,1)</f>
        <v>99.3</v>
      </c>
      <c r="AF67" s="47">
        <f>ROUND(供應率!AA4,1)</f>
        <v>99.1</v>
      </c>
      <c r="AG67" s="47">
        <f>ROUND(供應率!AB4,1)</f>
        <v>99.4</v>
      </c>
      <c r="AH67" s="47">
        <f>ROUND(供應率!AC4,1)</f>
        <v>99.6</v>
      </c>
      <c r="AI67" s="47">
        <f>ROUND(供應率!AD4,1)</f>
        <v>0</v>
      </c>
      <c r="AJ67" s="47">
        <f>ROUND(供應率!AE4,1)</f>
        <v>98.8</v>
      </c>
      <c r="AK67" s="47">
        <f>ROUND(供應率!AF4,1)</f>
        <v>99.5</v>
      </c>
      <c r="AL67" s="47">
        <f>ROUND(供應率!AG4,1)</f>
        <v>98.7</v>
      </c>
      <c r="AM67" s="47">
        <f>ROUND(供應率!AH4,1)</f>
        <v>0</v>
      </c>
      <c r="AN67" s="214">
        <f>ROUND(供應率!AI4,1)</f>
        <v>99.4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98.882735999999994</v>
      </c>
      <c r="E68" s="56">
        <v>98.1</v>
      </c>
      <c r="F68" s="56" t="s">
        <v>45</v>
      </c>
      <c r="G68" s="628">
        <f>ROUND(當年月推移!P127,1)</f>
        <v>98.4</v>
      </c>
      <c r="H68" s="629"/>
      <c r="I68" s="57">
        <f>ROUND(供應率!D5,1)</f>
        <v>98.9</v>
      </c>
      <c r="J68" s="57">
        <f>ROUND(供應率!E5,1)</f>
        <v>99</v>
      </c>
      <c r="K68" s="57">
        <f>ROUND(供應率!F5,1)</f>
        <v>0</v>
      </c>
      <c r="L68" s="57">
        <f>ROUND(供應率!G5,1)</f>
        <v>0</v>
      </c>
      <c r="M68" s="57">
        <f>ROUND(供應率!H5,1)</f>
        <v>98.7</v>
      </c>
      <c r="N68" s="57">
        <f>ROUND(供應率!I5,1)</f>
        <v>0</v>
      </c>
      <c r="O68" s="57">
        <f>ROUND(供應率!J5,1)</f>
        <v>98.6</v>
      </c>
      <c r="P68" s="57">
        <f>ROUND(供應率!K5,1)</f>
        <v>98.6</v>
      </c>
      <c r="Q68" s="57">
        <f>ROUND(供應率!L5,1)</f>
        <v>98.7</v>
      </c>
      <c r="R68" s="57">
        <f>ROUND(供應率!M5,1)</f>
        <v>98.7</v>
      </c>
      <c r="S68" s="57">
        <f>ROUND(供應率!N5,1)</f>
        <v>98.7</v>
      </c>
      <c r="T68" s="57">
        <f>ROUND(供應率!O5,1)</f>
        <v>98.9</v>
      </c>
      <c r="U68" s="57">
        <f>ROUND(供應率!P5,1)</f>
        <v>0</v>
      </c>
      <c r="V68" s="57">
        <f>ROUND(供應率!Q5,1)</f>
        <v>98.7</v>
      </c>
      <c r="W68" s="57">
        <f>ROUND(供應率!R5,1)</f>
        <v>98.6</v>
      </c>
      <c r="X68" s="57">
        <f>ROUND(供應率!S5,1)</f>
        <v>98.5</v>
      </c>
      <c r="Y68" s="57">
        <f>ROUND(供應率!T5,1)</f>
        <v>98.4</v>
      </c>
      <c r="Z68" s="57">
        <f>ROUND(供應率!U5,1)</f>
        <v>98.7</v>
      </c>
      <c r="AA68" s="57">
        <f>ROUND(供應率!V5,1)</f>
        <v>98.8</v>
      </c>
      <c r="AB68" s="57">
        <f>ROUND(供應率!W5,1)</f>
        <v>0</v>
      </c>
      <c r="AC68" s="57">
        <f>ROUND(供應率!X5,1)</f>
        <v>99</v>
      </c>
      <c r="AD68" s="57">
        <f>ROUND(供應率!Y5,1)</f>
        <v>98.8</v>
      </c>
      <c r="AE68" s="57">
        <f>ROUND(供應率!Z5,1)</f>
        <v>98.7</v>
      </c>
      <c r="AF68" s="57">
        <f>ROUND(供應率!AA5,1)</f>
        <v>98.6</v>
      </c>
      <c r="AG68" s="57">
        <f>ROUND(供應率!AB5,1)</f>
        <v>99</v>
      </c>
      <c r="AH68" s="57">
        <f>ROUND(供應率!AC5,1)</f>
        <v>99.2</v>
      </c>
      <c r="AI68" s="57">
        <f>ROUND(供應率!AD5,1)</f>
        <v>0</v>
      </c>
      <c r="AJ68" s="57">
        <f>ROUND(供應率!AE5,1)</f>
        <v>99</v>
      </c>
      <c r="AK68" s="57">
        <f>ROUND(供應率!AF5,1)</f>
        <v>98.7</v>
      </c>
      <c r="AL68" s="57">
        <f>ROUND(供應率!AG5,1)</f>
        <v>98.7</v>
      </c>
      <c r="AM68" s="57">
        <f>ROUND(供應率!AH5,1)</f>
        <v>0</v>
      </c>
      <c r="AN68" s="216">
        <f>ROUND(供應率!AI5,1)</f>
        <v>98.7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99.919190999999998</v>
      </c>
      <c r="E69" s="49">
        <v>99</v>
      </c>
      <c r="F69" s="49" t="s">
        <v>45</v>
      </c>
      <c r="G69" s="563">
        <f>ROUND(當年月推移!P128,1)</f>
        <v>99.7</v>
      </c>
      <c r="H69" s="564"/>
      <c r="I69" s="47">
        <f>ROUND(供應率!D7,1)</f>
        <v>100</v>
      </c>
      <c r="J69" s="47">
        <f>ROUND(供應率!E7,1)</f>
        <v>100</v>
      </c>
      <c r="K69" s="47">
        <f>ROUND(供應率!F7,1)</f>
        <v>0</v>
      </c>
      <c r="L69" s="47">
        <f>ROUND(供應率!G7,1)</f>
        <v>0</v>
      </c>
      <c r="M69" s="47">
        <f>ROUND(供應率!H7,1)</f>
        <v>100</v>
      </c>
      <c r="N69" s="47">
        <f>ROUND(供應率!I7,1)</f>
        <v>0</v>
      </c>
      <c r="O69" s="47">
        <f>ROUND(供應率!J7,1)</f>
        <v>100</v>
      </c>
      <c r="P69" s="47">
        <f>ROUND(供應率!K7,1)</f>
        <v>100</v>
      </c>
      <c r="Q69" s="47">
        <f>ROUND(供應率!L7,1)</f>
        <v>100</v>
      </c>
      <c r="R69" s="47">
        <f>ROUND(供應率!M7,1)</f>
        <v>100</v>
      </c>
      <c r="S69" s="47">
        <f>ROUND(供應率!N7,1)</f>
        <v>100</v>
      </c>
      <c r="T69" s="47">
        <f>ROUND(供應率!O7,1)</f>
        <v>99.5</v>
      </c>
      <c r="U69" s="47">
        <f>ROUND(供應率!P7,1)</f>
        <v>0</v>
      </c>
      <c r="V69" s="47">
        <f>ROUND(供應率!Q7,1)</f>
        <v>100</v>
      </c>
      <c r="W69" s="47">
        <f>ROUND(供應率!R7,1)</f>
        <v>99.7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0</v>
      </c>
      <c r="AC69" s="47">
        <f>ROUND(供應率!X7,1)</f>
        <v>100</v>
      </c>
      <c r="AD69" s="47">
        <f>ROUND(供應率!Y7,1)</f>
        <v>100</v>
      </c>
      <c r="AE69" s="47">
        <f>ROUND(供應率!Z7,1)</f>
        <v>99.7</v>
      </c>
      <c r="AF69" s="47">
        <f>ROUND(供應率!AA7,1)</f>
        <v>99.7</v>
      </c>
      <c r="AG69" s="47">
        <f>ROUND(供應率!AB7,1)</f>
        <v>100</v>
      </c>
      <c r="AH69" s="47">
        <f>ROUND(供應率!AC7,1)</f>
        <v>100</v>
      </c>
      <c r="AI69" s="47">
        <f>ROUND(供應率!AD7,1)</f>
        <v>0</v>
      </c>
      <c r="AJ69" s="47">
        <f>ROUND(供應率!AE7,1)</f>
        <v>100</v>
      </c>
      <c r="AK69" s="47">
        <f>ROUND(供應率!AF7,1)</f>
        <v>100</v>
      </c>
      <c r="AL69" s="47">
        <f>ROUND(供應率!AG7,1)</f>
        <v>100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71.639343999999994</v>
      </c>
      <c r="E70" s="49">
        <v>70</v>
      </c>
      <c r="F70" s="49" t="s">
        <v>45</v>
      </c>
      <c r="G70" s="563">
        <f>ROUND(當年月推移!P129,1)</f>
        <v>90.2</v>
      </c>
      <c r="H70" s="564"/>
      <c r="I70" s="47">
        <f>ROUND(供應率!D8,1)</f>
        <v>100</v>
      </c>
      <c r="J70" s="47">
        <f>ROUND(供應率!E8,1)</f>
        <v>55.5</v>
      </c>
      <c r="K70" s="47">
        <f>ROUND(供應率!F8,1)</f>
        <v>0</v>
      </c>
      <c r="L70" s="47">
        <f>ROUND(供應率!G8,1)</f>
        <v>0</v>
      </c>
      <c r="M70" s="47">
        <f>ROUND(供應率!H8,1)</f>
        <v>70</v>
      </c>
      <c r="N70" s="47">
        <f>ROUND(供應率!I8,1)</f>
        <v>0</v>
      </c>
      <c r="O70" s="47">
        <f>ROUND(供應率!J8,1)</f>
        <v>60</v>
      </c>
      <c r="P70" s="47">
        <f>ROUND(供應率!K8,1)</f>
        <v>73.3</v>
      </c>
      <c r="Q70" s="47">
        <f>ROUND(供應率!L8,1)</f>
        <v>100</v>
      </c>
      <c r="R70" s="47">
        <f>ROUND(供應率!M8,1)</f>
        <v>100</v>
      </c>
      <c r="S70" s="47">
        <f>ROUND(供應率!N8,1)</f>
        <v>75</v>
      </c>
      <c r="T70" s="47">
        <f>ROUND(供應率!O8,1)</f>
        <v>86.6</v>
      </c>
      <c r="U70" s="47">
        <f>ROUND(供應率!P8,1)</f>
        <v>0</v>
      </c>
      <c r="V70" s="47">
        <f>ROUND(供應率!Q8,1)</f>
        <v>93.7</v>
      </c>
      <c r="W70" s="47">
        <f>ROUND(供應率!R8,1)</f>
        <v>71.400000000000006</v>
      </c>
      <c r="X70" s="47">
        <f>ROUND(供應率!S8,1)</f>
        <v>100</v>
      </c>
      <c r="Y70" s="47">
        <f>ROUND(供應率!T8,1)</f>
        <v>73.3</v>
      </c>
      <c r="Z70" s="47">
        <f>ROUND(供應率!U8,1)</f>
        <v>100</v>
      </c>
      <c r="AA70" s="47">
        <f>ROUND(供應率!V8,1)</f>
        <v>85.7</v>
      </c>
      <c r="AB70" s="47">
        <f>ROUND(供應率!W8,1)</f>
        <v>0</v>
      </c>
      <c r="AC70" s="47">
        <f>ROUND(供應率!X8,1)</f>
        <v>100</v>
      </c>
      <c r="AD70" s="47">
        <f>ROUND(供應率!Y8,1)</f>
        <v>100</v>
      </c>
      <c r="AE70" s="47">
        <f>ROUND(供應率!Z8,1)</f>
        <v>87.5</v>
      </c>
      <c r="AF70" s="47">
        <f>ROUND(供應率!AA8,1)</f>
        <v>100</v>
      </c>
      <c r="AG70" s="47">
        <f>ROUND(供應率!AB8,1)</f>
        <v>100</v>
      </c>
      <c r="AH70" s="47">
        <f>ROUND(供應率!AC8,1)</f>
        <v>100</v>
      </c>
      <c r="AI70" s="47">
        <f>ROUND(供應率!AD8,1)</f>
        <v>0</v>
      </c>
      <c r="AJ70" s="47">
        <f>ROUND(供應率!AE8,1)</f>
        <v>100</v>
      </c>
      <c r="AK70" s="47">
        <f>ROUND(供應率!AF8,1)</f>
        <v>85.7</v>
      </c>
      <c r="AL70" s="47">
        <f>ROUND(供應率!AG8,1)</f>
        <v>87.5</v>
      </c>
      <c r="AM70" s="47">
        <f>ROUND(供應率!AH8,1)</f>
        <v>0</v>
      </c>
      <c r="AN70" s="214">
        <f>ROUND(供應率!AI8,1)</f>
        <v>85.9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99.641448999999994</v>
      </c>
      <c r="E71" s="49">
        <v>99.1</v>
      </c>
      <c r="F71" s="49" t="s">
        <v>45</v>
      </c>
      <c r="G71" s="563">
        <f>ROUND(當年月推移!P130,1)</f>
        <v>99.5</v>
      </c>
      <c r="H71" s="564"/>
      <c r="I71" s="47">
        <f>ROUND(供應率!D9,1)</f>
        <v>99.4</v>
      </c>
      <c r="J71" s="47">
        <f>ROUND(供應率!E9,1)</f>
        <v>99.7</v>
      </c>
      <c r="K71" s="47">
        <f>ROUND(供應率!F9,1)</f>
        <v>0</v>
      </c>
      <c r="L71" s="47">
        <f>ROUND(供應率!G9,1)</f>
        <v>0</v>
      </c>
      <c r="M71" s="47">
        <f>ROUND(供應率!H9,1)</f>
        <v>98.9</v>
      </c>
      <c r="N71" s="47">
        <f>ROUND(供應率!I9,1)</f>
        <v>0</v>
      </c>
      <c r="O71" s="47">
        <f>ROUND(供應率!J9,1)</f>
        <v>97.6</v>
      </c>
      <c r="P71" s="47">
        <f>ROUND(供應率!K9,1)</f>
        <v>98</v>
      </c>
      <c r="Q71" s="47">
        <f>ROUND(供應率!L9,1)</f>
        <v>98.8</v>
      </c>
      <c r="R71" s="47">
        <f>ROUND(供應率!M9,1)</f>
        <v>98.8</v>
      </c>
      <c r="S71" s="47">
        <f>ROUND(供應率!N9,1)</f>
        <v>99.6</v>
      </c>
      <c r="T71" s="47">
        <f>ROUND(供應率!O9,1)</f>
        <v>100</v>
      </c>
      <c r="U71" s="47">
        <f>ROUND(供應率!P9,1)</f>
        <v>0</v>
      </c>
      <c r="V71" s="47">
        <f>ROUND(供應率!Q9,1)</f>
        <v>99.3</v>
      </c>
      <c r="W71" s="47">
        <f>ROUND(供應率!R9,1)</f>
        <v>99.5</v>
      </c>
      <c r="X71" s="47">
        <f>ROUND(供應率!S9,1)</f>
        <v>99.5</v>
      </c>
      <c r="Y71" s="47">
        <f>ROUND(供應率!T9,1)</f>
        <v>99.4</v>
      </c>
      <c r="Z71" s="47">
        <f>ROUND(供應率!U9,1)</f>
        <v>99.2</v>
      </c>
      <c r="AA71" s="47">
        <f>ROUND(供應率!V9,1)</f>
        <v>99.8</v>
      </c>
      <c r="AB71" s="47">
        <f>ROUND(供應率!W9,1)</f>
        <v>0</v>
      </c>
      <c r="AC71" s="47">
        <f>ROUND(供應率!X9,1)</f>
        <v>99.5</v>
      </c>
      <c r="AD71" s="47">
        <f>ROUND(供應率!Y9,1)</f>
        <v>99.4</v>
      </c>
      <c r="AE71" s="47">
        <f>ROUND(供應率!Z9,1)</f>
        <v>98.7</v>
      </c>
      <c r="AF71" s="47">
        <f>ROUND(供應率!AA9,1)</f>
        <v>97.8</v>
      </c>
      <c r="AG71" s="47">
        <f>ROUND(供應率!AB9,1)</f>
        <v>99.4</v>
      </c>
      <c r="AH71" s="47">
        <f>ROUND(供應率!AC9,1)</f>
        <v>100</v>
      </c>
      <c r="AI71" s="47">
        <f>ROUND(供應率!AD9,1)</f>
        <v>0</v>
      </c>
      <c r="AJ71" s="47">
        <f>ROUND(供應率!AE9,1)</f>
        <v>99.9</v>
      </c>
      <c r="AK71" s="47">
        <f>ROUND(供應率!AF9,1)</f>
        <v>99.7</v>
      </c>
      <c r="AL71" s="47">
        <f>ROUND(供應率!AG9,1)</f>
        <v>99.6</v>
      </c>
      <c r="AM71" s="47">
        <f>ROUND(供應率!AH9,1)</f>
        <v>0</v>
      </c>
      <c r="AN71" s="214">
        <f>ROUND(供應率!AI9,1)</f>
        <v>99.3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96</v>
      </c>
      <c r="H72" s="564"/>
      <c r="I72" s="47">
        <f>ROUND(供應率!D22,1)</f>
        <v>96.8</v>
      </c>
      <c r="J72" s="47">
        <f>ROUND(供應率!E22,1)</f>
        <v>96.8</v>
      </c>
      <c r="K72" s="47">
        <f>ROUND(供應率!F22,1)</f>
        <v>0</v>
      </c>
      <c r="L72" s="47">
        <f>ROUND(供應率!G22,1)</f>
        <v>0</v>
      </c>
      <c r="M72" s="47">
        <f>ROUND(供應率!H22,1)</f>
        <v>98</v>
      </c>
      <c r="N72" s="47">
        <f>ROUND(供應率!I22,1)</f>
        <v>0</v>
      </c>
      <c r="O72" s="47">
        <f>ROUND(供應率!J22,1)</f>
        <v>95.2</v>
      </c>
      <c r="P72" s="47">
        <f>ROUND(供應率!K22,1)</f>
        <v>96.7</v>
      </c>
      <c r="Q72" s="47">
        <f>ROUND(供應率!L22,1)</f>
        <v>96.1</v>
      </c>
      <c r="R72" s="47">
        <f>ROUND(供應率!M22,1)</f>
        <v>96.6</v>
      </c>
      <c r="S72" s="47">
        <f>ROUND(供應率!N22,1)</f>
        <v>96.2</v>
      </c>
      <c r="T72" s="47">
        <f>ROUND(供應率!O22,1)</f>
        <v>96.3</v>
      </c>
      <c r="U72" s="47">
        <f>ROUND(供應率!P22,1)</f>
        <v>0</v>
      </c>
      <c r="V72" s="47">
        <f>ROUND(供應率!Q22,1)</f>
        <v>96.7</v>
      </c>
      <c r="W72" s="47">
        <f>ROUND(供應率!R22,1)</f>
        <v>96.4</v>
      </c>
      <c r="X72" s="47">
        <f>ROUND(供應率!S22,1)</f>
        <v>96.8</v>
      </c>
      <c r="Y72" s="47">
        <f>ROUND(供應率!T22,1)</f>
        <v>96.1</v>
      </c>
      <c r="Z72" s="47">
        <f>ROUND(供應率!U22,1)</f>
        <v>98.3</v>
      </c>
      <c r="AA72" s="47">
        <f>ROUND(供應率!V22,1)</f>
        <v>96.7</v>
      </c>
      <c r="AB72" s="47">
        <f>ROUND(供應率!W22,1)</f>
        <v>0</v>
      </c>
      <c r="AC72" s="47">
        <f>ROUND(供應率!X22,1)</f>
        <v>96.9</v>
      </c>
      <c r="AD72" s="47">
        <f>ROUND(供應率!Y22,1)</f>
        <v>97.7</v>
      </c>
      <c r="AE72" s="47">
        <f>ROUND(供應率!Z22,1)</f>
        <v>96.4</v>
      </c>
      <c r="AF72" s="47">
        <f>ROUND(供應率!AA22,1)</f>
        <v>97.9</v>
      </c>
      <c r="AG72" s="47">
        <f>ROUND(供應率!AB22,1)</f>
        <v>97.5</v>
      </c>
      <c r="AH72" s="47">
        <f>ROUND(供應率!AC22,1)</f>
        <v>97.5</v>
      </c>
      <c r="AI72" s="47">
        <f>ROUND(供應率!AD22,1)</f>
        <v>0</v>
      </c>
      <c r="AJ72" s="47">
        <f>ROUND(供應率!AE22,1)</f>
        <v>97.3</v>
      </c>
      <c r="AK72" s="47">
        <f>ROUND(供應率!AF22,1)</f>
        <v>97.1</v>
      </c>
      <c r="AL72" s="47">
        <f>ROUND(供應率!AG22,1)</f>
        <v>97.4</v>
      </c>
      <c r="AM72" s="47">
        <f>ROUND(供應率!AH22,1)</f>
        <v>0</v>
      </c>
      <c r="AN72" s="214">
        <f>ROUND(供應率!AI22,1)</f>
        <v>96.9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99.027158</v>
      </c>
      <c r="E73" s="58">
        <v>95</v>
      </c>
      <c r="F73" s="58" t="s">
        <v>45</v>
      </c>
      <c r="G73" s="642">
        <f>ROUND(當年月推移!P132,1)</f>
        <v>98.4</v>
      </c>
      <c r="H73" s="643"/>
      <c r="I73" s="59">
        <f>ROUND(供應率!D11,1)</f>
        <v>98.9</v>
      </c>
      <c r="J73" s="59">
        <f>ROUND(供應率!E11,1)</f>
        <v>99.7</v>
      </c>
      <c r="K73" s="59">
        <f>ROUND(供應率!F11,1)</f>
        <v>0</v>
      </c>
      <c r="L73" s="59">
        <f>ROUND(供應率!G11,1)</f>
        <v>0</v>
      </c>
      <c r="M73" s="59">
        <f>ROUND(供應率!H11,1)</f>
        <v>99.1</v>
      </c>
      <c r="N73" s="59">
        <f>ROUND(供應率!I11,1)</f>
        <v>0</v>
      </c>
      <c r="O73" s="59">
        <f>ROUND(供應率!J11,1)</f>
        <v>99.1</v>
      </c>
      <c r="P73" s="59">
        <f>ROUND(供應率!K11,1)</f>
        <v>99.6</v>
      </c>
      <c r="Q73" s="59">
        <f>ROUND(供應率!L11,1)</f>
        <v>99.4</v>
      </c>
      <c r="R73" s="59">
        <f>ROUND(供應率!M11,1)</f>
        <v>99.7</v>
      </c>
      <c r="S73" s="59">
        <f>ROUND(供應率!N11,1)</f>
        <v>100</v>
      </c>
      <c r="T73" s="59">
        <f>ROUND(供應率!O11,1)</f>
        <v>99.7</v>
      </c>
      <c r="U73" s="59">
        <f>ROUND(供應率!P11,1)</f>
        <v>0</v>
      </c>
      <c r="V73" s="59">
        <f>ROUND(供應率!Q11,1)</f>
        <v>100</v>
      </c>
      <c r="W73" s="59">
        <f>ROUND(供應率!R11,1)</f>
        <v>99.7</v>
      </c>
      <c r="X73" s="59">
        <f>ROUND(供應率!S11,1)</f>
        <v>100</v>
      </c>
      <c r="Y73" s="59">
        <f>ROUND(供應率!T11,1)</f>
        <v>99.7</v>
      </c>
      <c r="Z73" s="59">
        <f>ROUND(供應率!U11,1)</f>
        <v>100</v>
      </c>
      <c r="AA73" s="59">
        <f>ROUND(供應率!V11,1)</f>
        <v>100</v>
      </c>
      <c r="AB73" s="59">
        <f>ROUND(供應率!W11,1)</f>
        <v>0</v>
      </c>
      <c r="AC73" s="59">
        <f>ROUND(供應率!X11,1)</f>
        <v>99.7</v>
      </c>
      <c r="AD73" s="59">
        <f>ROUND(供應率!Y11,1)</f>
        <v>97.4</v>
      </c>
      <c r="AE73" s="59">
        <f>ROUND(供應率!Z11,1)</f>
        <v>98.8</v>
      </c>
      <c r="AF73" s="59">
        <f>ROUND(供應率!AA11,1)</f>
        <v>97.9</v>
      </c>
      <c r="AG73" s="59">
        <f>ROUND(供應率!AB11,1)</f>
        <v>98.1</v>
      </c>
      <c r="AH73" s="59">
        <f>ROUND(供應率!AC11,1)</f>
        <v>99</v>
      </c>
      <c r="AI73" s="59">
        <f>ROUND(供應率!AD11,1)</f>
        <v>0</v>
      </c>
      <c r="AJ73" s="59">
        <f>ROUND(供應率!AE11,1)</f>
        <v>96.5</v>
      </c>
      <c r="AK73" s="59">
        <f>ROUND(供應率!AF11,1)</f>
        <v>96.1</v>
      </c>
      <c r="AL73" s="59">
        <f>ROUND(供應率!AG11,1)</f>
        <v>96.5</v>
      </c>
      <c r="AM73" s="59">
        <f>ROUND(供應率!AH11,1)</f>
        <v>0</v>
      </c>
      <c r="AN73" s="217">
        <f>ROUND(供應率!AI11,1)</f>
        <v>98.9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98.751312999999996</v>
      </c>
      <c r="E74" s="49">
        <v>98.559727106188546</v>
      </c>
      <c r="F74" s="49" t="s">
        <v>45</v>
      </c>
      <c r="G74" s="563">
        <f>ROUND(當年月推移!P133,1)</f>
        <v>98.6</v>
      </c>
      <c r="H74" s="564"/>
      <c r="I74" s="47">
        <f>ROUND(供應率!D6,1)</f>
        <v>99.4</v>
      </c>
      <c r="J74" s="47">
        <f>ROUND(供應率!E6,1)</f>
        <v>98.8</v>
      </c>
      <c r="K74" s="47">
        <f>ROUND(供應率!F6,1)</f>
        <v>0</v>
      </c>
      <c r="L74" s="47">
        <f>ROUND(供應率!G6,1)</f>
        <v>0</v>
      </c>
      <c r="M74" s="47">
        <f>ROUND(供應率!H6,1)</f>
        <v>99.2</v>
      </c>
      <c r="N74" s="47">
        <f>ROUND(供應率!I6,1)</f>
        <v>0</v>
      </c>
      <c r="O74" s="47">
        <f>ROUND(供應率!J6,1)</f>
        <v>98.4</v>
      </c>
      <c r="P74" s="47">
        <f>ROUND(供應率!K6,1)</f>
        <v>98.9</v>
      </c>
      <c r="Q74" s="47">
        <f>ROUND(供應率!L6,1)</f>
        <v>99.2</v>
      </c>
      <c r="R74" s="47">
        <f>ROUND(供應率!M6,1)</f>
        <v>99.4</v>
      </c>
      <c r="S74" s="47">
        <f>ROUND(供應率!N6,1)</f>
        <v>99.2</v>
      </c>
      <c r="T74" s="47">
        <f>ROUND(供應率!O6,1)</f>
        <v>99</v>
      </c>
      <c r="U74" s="47">
        <f>ROUND(供應率!P6,1)</f>
        <v>0</v>
      </c>
      <c r="V74" s="47">
        <f>ROUND(供應率!Q6,1)</f>
        <v>99.3</v>
      </c>
      <c r="W74" s="47">
        <f>ROUND(供應率!R6,1)</f>
        <v>99.3</v>
      </c>
      <c r="X74" s="47">
        <f>ROUND(供應率!S6,1)</f>
        <v>99.6</v>
      </c>
      <c r="Y74" s="47">
        <f>ROUND(供應率!T6,1)</f>
        <v>99.4</v>
      </c>
      <c r="Z74" s="47">
        <f>ROUND(供應率!U6,1)</f>
        <v>99.5</v>
      </c>
      <c r="AA74" s="47">
        <f>ROUND(供應率!V6,1)</f>
        <v>99.6</v>
      </c>
      <c r="AB74" s="47">
        <f>ROUND(供應率!W6,1)</f>
        <v>0</v>
      </c>
      <c r="AC74" s="47">
        <f>ROUND(供應率!X6,1)</f>
        <v>99</v>
      </c>
      <c r="AD74" s="47">
        <f>ROUND(供應率!Y6,1)</f>
        <v>99</v>
      </c>
      <c r="AE74" s="47">
        <f>ROUND(供應率!Z6,1)</f>
        <v>99.1</v>
      </c>
      <c r="AF74" s="47">
        <f>ROUND(供應率!AA6,1)</f>
        <v>99.1</v>
      </c>
      <c r="AG74" s="47">
        <f>ROUND(供應率!AB6,1)</f>
        <v>99.3</v>
      </c>
      <c r="AH74" s="47">
        <f>ROUND(供應率!AC6,1)</f>
        <v>99.4</v>
      </c>
      <c r="AI74" s="47">
        <f>ROUND(供應率!AD6,1)</f>
        <v>0</v>
      </c>
      <c r="AJ74" s="47">
        <f>ROUND(供應率!AE6,1)</f>
        <v>99</v>
      </c>
      <c r="AK74" s="47">
        <f>ROUND(供應率!AF6,1)</f>
        <v>99.4</v>
      </c>
      <c r="AL74" s="47">
        <f>ROUND(供應率!AG6,1)</f>
        <v>99</v>
      </c>
      <c r="AM74" s="47">
        <f>ROUND(供應率!AH6,1)</f>
        <v>0</v>
      </c>
      <c r="AN74" s="214">
        <f>ROUND(供應率!AI6,1)</f>
        <v>99.2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100</v>
      </c>
      <c r="E75" s="243"/>
      <c r="F75" s="243"/>
      <c r="G75" s="563">
        <f>ROUND(當年月推移!P134,1)</f>
        <v>98.5</v>
      </c>
      <c r="H75" s="564"/>
      <c r="I75" s="244">
        <f>ROUND(供應率!D12,1)</f>
        <v>100</v>
      </c>
      <c r="J75" s="244">
        <f>ROUND(供應率!E12,1)</f>
        <v>100</v>
      </c>
      <c r="K75" s="244">
        <f>ROUND(供應率!F12,1)</f>
        <v>0</v>
      </c>
      <c r="L75" s="244">
        <f>ROUND(供應率!G12,1)</f>
        <v>0</v>
      </c>
      <c r="M75" s="244">
        <f>ROUND(供應率!H12,1)</f>
        <v>100</v>
      </c>
      <c r="N75" s="244">
        <f>ROUND(供應率!I12,1)</f>
        <v>0</v>
      </c>
      <c r="O75" s="244">
        <f>ROUND(供應率!J12,1)</f>
        <v>100</v>
      </c>
      <c r="P75" s="244">
        <f>ROUND(供應率!K12,1)</f>
        <v>100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0</v>
      </c>
      <c r="V75" s="244">
        <f>ROUND(供應率!Q12,1)</f>
        <v>100</v>
      </c>
      <c r="W75" s="244">
        <f>ROUND(供應率!R12,1)</f>
        <v>100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0</v>
      </c>
      <c r="AC75" s="244">
        <f>ROUND(供應率!X12,1)</f>
        <v>100</v>
      </c>
      <c r="AD75" s="244">
        <f>ROUND(供應率!Y12,1)</f>
        <v>100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0</v>
      </c>
      <c r="AJ75" s="244">
        <f>ROUND(供應率!AE12,1)</f>
        <v>100</v>
      </c>
      <c r="AK75" s="244">
        <f>ROUND(供應率!AF12,1)</f>
        <v>100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45.182724</v>
      </c>
      <c r="E76" s="243"/>
      <c r="F76" s="243"/>
      <c r="G76" s="563">
        <f>ROUND(當年月推移!P135,1)</f>
        <v>94.9</v>
      </c>
      <c r="H76" s="564"/>
      <c r="I76" s="244">
        <f>ROUND(供應率!D13,1)</f>
        <v>100</v>
      </c>
      <c r="J76" s="244">
        <f>ROUND(供應率!E13,1)</f>
        <v>97.6</v>
      </c>
      <c r="K76" s="244">
        <f>ROUND(供應率!F13,1)</f>
        <v>0</v>
      </c>
      <c r="L76" s="244">
        <f>ROUND(供應率!G13,1)</f>
        <v>0</v>
      </c>
      <c r="M76" s="244">
        <f>ROUND(供應率!H13,1)</f>
        <v>100</v>
      </c>
      <c r="N76" s="244">
        <f>ROUND(供應率!I13,1)</f>
        <v>0</v>
      </c>
      <c r="O76" s="244">
        <f>ROUND(供應率!J13,1)</f>
        <v>100</v>
      </c>
      <c r="P76" s="244">
        <f>ROUND(供應率!K13,1)</f>
        <v>100</v>
      </c>
      <c r="Q76" s="244">
        <f>ROUND(供應率!L13,1)</f>
        <v>93.4</v>
      </c>
      <c r="R76" s="244">
        <f>ROUND(供應率!M13,1)</f>
        <v>100</v>
      </c>
      <c r="S76" s="244">
        <f>ROUND(供應率!N13,1)</f>
        <v>100</v>
      </c>
      <c r="T76" s="244">
        <f>ROUND(供應率!O13,1)</f>
        <v>100</v>
      </c>
      <c r="U76" s="244">
        <f>ROUND(供應率!P13,1)</f>
        <v>0</v>
      </c>
      <c r="V76" s="244">
        <f>ROUND(供應率!Q13,1)</f>
        <v>100</v>
      </c>
      <c r="W76" s="244">
        <f>ROUND(供應率!R13,1)</f>
        <v>98</v>
      </c>
      <c r="X76" s="244">
        <f>ROUND(供應率!S13,1)</f>
        <v>100</v>
      </c>
      <c r="Y76" s="244">
        <f>ROUND(供應率!T13,1)</f>
        <v>97.7</v>
      </c>
      <c r="Z76" s="244">
        <f>ROUND(供應率!U13,1)</f>
        <v>100</v>
      </c>
      <c r="AA76" s="244">
        <f>ROUND(供應率!V13,1)</f>
        <v>100</v>
      </c>
      <c r="AB76" s="244">
        <f>ROUND(供應率!W13,1)</f>
        <v>0</v>
      </c>
      <c r="AC76" s="244">
        <f>ROUND(供應率!X13,1)</f>
        <v>100</v>
      </c>
      <c r="AD76" s="244">
        <f>ROUND(供應率!Y13,1)</f>
        <v>96</v>
      </c>
      <c r="AE76" s="244">
        <f>ROUND(供應率!Z13,1)</f>
        <v>100</v>
      </c>
      <c r="AF76" s="244">
        <f>ROUND(供應率!AA13,1)</f>
        <v>96.4</v>
      </c>
      <c r="AG76" s="244">
        <f>ROUND(供應率!AB13,1)</f>
        <v>100</v>
      </c>
      <c r="AH76" s="244">
        <f>ROUND(供應率!AC13,1)</f>
        <v>100</v>
      </c>
      <c r="AI76" s="244">
        <f>ROUND(供應率!AD13,1)</f>
        <v>0</v>
      </c>
      <c r="AJ76" s="244">
        <f>ROUND(供應率!AE13,1)</f>
        <v>100</v>
      </c>
      <c r="AK76" s="244">
        <f>ROUND(供應率!AF13,1)</f>
        <v>100</v>
      </c>
      <c r="AL76" s="244">
        <f>ROUND(供應率!AG13,1)</f>
        <v>97.8</v>
      </c>
      <c r="AM76" s="244">
        <f>ROUND(供應率!AH13,1)</f>
        <v>0</v>
      </c>
      <c r="AN76" s="246">
        <f>ROUND(供應率!AI13,1)</f>
        <v>98.9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98.2</v>
      </c>
      <c r="E77" s="243"/>
      <c r="F77" s="243"/>
      <c r="G77" s="563">
        <f>ROUND(當年月推移!P136,1)</f>
        <v>96.3</v>
      </c>
      <c r="H77" s="564"/>
      <c r="I77" s="244">
        <f>ROUND(供應率!D14,1)</f>
        <v>97.7</v>
      </c>
      <c r="J77" s="244">
        <f>ROUND(供應率!E14,1)</f>
        <v>97</v>
      </c>
      <c r="K77" s="244">
        <f>ROUND(供應率!F14,1)</f>
        <v>0</v>
      </c>
      <c r="L77" s="244">
        <f>ROUND(供應率!G14,1)</f>
        <v>0</v>
      </c>
      <c r="M77" s="244">
        <f>ROUND(供應率!H14,1)</f>
        <v>96.9</v>
      </c>
      <c r="N77" s="244">
        <f>ROUND(供應率!I14,1)</f>
        <v>0</v>
      </c>
      <c r="O77" s="244">
        <f>ROUND(供應率!J14,1)</f>
        <v>95.4</v>
      </c>
      <c r="P77" s="244">
        <f>ROUND(供應率!K14,1)</f>
        <v>99.1</v>
      </c>
      <c r="Q77" s="244">
        <f>ROUND(供應率!L14,1)</f>
        <v>97.4</v>
      </c>
      <c r="R77" s="244">
        <f>ROUND(供應率!M14,1)</f>
        <v>94.7</v>
      </c>
      <c r="S77" s="244">
        <f>ROUND(供應率!N14,1)</f>
        <v>95.4</v>
      </c>
      <c r="T77" s="244">
        <f>ROUND(供應率!O14,1)</f>
        <v>97.5</v>
      </c>
      <c r="U77" s="244">
        <f>ROUND(供應率!P14,1)</f>
        <v>0</v>
      </c>
      <c r="V77" s="244">
        <f>ROUND(供應率!Q14,1)</f>
        <v>95.9</v>
      </c>
      <c r="W77" s="244">
        <f>ROUND(供應率!R14,1)</f>
        <v>97.8</v>
      </c>
      <c r="X77" s="244">
        <f>ROUND(供應率!S14,1)</f>
        <v>96.3</v>
      </c>
      <c r="Y77" s="244">
        <f>ROUND(供應率!T14,1)</f>
        <v>97.2</v>
      </c>
      <c r="Z77" s="244">
        <f>ROUND(供應率!U14,1)</f>
        <v>97.3</v>
      </c>
      <c r="AA77" s="244">
        <f>ROUND(供應率!V14,1)</f>
        <v>98.9</v>
      </c>
      <c r="AB77" s="244">
        <f>ROUND(供應率!W14,1)</f>
        <v>0</v>
      </c>
      <c r="AC77" s="244">
        <f>ROUND(供應率!X14,1)</f>
        <v>98.5</v>
      </c>
      <c r="AD77" s="244">
        <f>ROUND(供應率!Y14,1)</f>
        <v>97.1</v>
      </c>
      <c r="AE77" s="244">
        <f>ROUND(供應率!Z14,1)</f>
        <v>96.2</v>
      </c>
      <c r="AF77" s="244">
        <f>ROUND(供應率!AA14,1)</f>
        <v>93.9</v>
      </c>
      <c r="AG77" s="244">
        <f>ROUND(供應率!AB14,1)</f>
        <v>97.8</v>
      </c>
      <c r="AH77" s="244">
        <f>ROUND(供應率!AC14,1)</f>
        <v>96.9</v>
      </c>
      <c r="AI77" s="244">
        <f>ROUND(供應率!AD14,1)</f>
        <v>0</v>
      </c>
      <c r="AJ77" s="244">
        <f>ROUND(供應率!AE14,1)</f>
        <v>97.3</v>
      </c>
      <c r="AK77" s="244">
        <f>ROUND(供應率!AF14,1)</f>
        <v>98.3</v>
      </c>
      <c r="AL77" s="244">
        <f>ROUND(供應率!AG14,1)</f>
        <v>98.4</v>
      </c>
      <c r="AM77" s="244">
        <f>ROUND(供應率!AH14,1)</f>
        <v>0</v>
      </c>
      <c r="AN77" s="246">
        <f>ROUND(供應率!AI14,1)</f>
        <v>97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97.616682999999995</v>
      </c>
      <c r="E78" s="243"/>
      <c r="F78" s="243"/>
      <c r="G78" s="563">
        <f>ROUND(當年月推移!P137,1)</f>
        <v>88.4</v>
      </c>
      <c r="H78" s="564"/>
      <c r="I78" s="244">
        <f>ROUND(供應率!D15,1)</f>
        <v>100</v>
      </c>
      <c r="J78" s="244">
        <f>ROUND(供應率!E15,1)</f>
        <v>98.6</v>
      </c>
      <c r="K78" s="244">
        <f>ROUND(供應率!F15,1)</f>
        <v>0</v>
      </c>
      <c r="L78" s="244">
        <f>ROUND(供應率!G15,1)</f>
        <v>0</v>
      </c>
      <c r="M78" s="244">
        <f>ROUND(供應率!H15,1)</f>
        <v>100</v>
      </c>
      <c r="N78" s="244">
        <f>ROUND(供應率!I15,1)</f>
        <v>0</v>
      </c>
      <c r="O78" s="244">
        <f>ROUND(供應率!J15,1)</f>
        <v>100</v>
      </c>
      <c r="P78" s="244">
        <f>ROUND(供應率!K15,1)</f>
        <v>100</v>
      </c>
      <c r="Q78" s="244">
        <f>ROUND(供應率!L15,1)</f>
        <v>91.2</v>
      </c>
      <c r="R78" s="244">
        <f>ROUND(供應率!M15,1)</f>
        <v>85.1</v>
      </c>
      <c r="S78" s="244">
        <f>ROUND(供應率!N15,1)</f>
        <v>96.2</v>
      </c>
      <c r="T78" s="244">
        <f>ROUND(供應率!O15,1)</f>
        <v>100</v>
      </c>
      <c r="U78" s="244">
        <f>ROUND(供應率!P15,1)</f>
        <v>0</v>
      </c>
      <c r="V78" s="244">
        <f>ROUND(供應率!Q15,1)</f>
        <v>100</v>
      </c>
      <c r="W78" s="244">
        <f>ROUND(供應率!R15,1)</f>
        <v>96.4</v>
      </c>
      <c r="X78" s="244">
        <f>ROUND(供應率!S15,1)</f>
        <v>100</v>
      </c>
      <c r="Y78" s="244">
        <f>ROUND(供應率!T15,1)</f>
        <v>94.4</v>
      </c>
      <c r="Z78" s="244">
        <f>ROUND(供應率!U15,1)</f>
        <v>95.7</v>
      </c>
      <c r="AA78" s="244">
        <f>ROUND(供應率!V15,1)</f>
        <v>94.1</v>
      </c>
      <c r="AB78" s="244">
        <f>ROUND(供應率!W15,1)</f>
        <v>0</v>
      </c>
      <c r="AC78" s="244">
        <f>ROUND(供應率!X15,1)</f>
        <v>93.4</v>
      </c>
      <c r="AD78" s="244">
        <f>ROUND(供應率!Y15,1)</f>
        <v>94.3</v>
      </c>
      <c r="AE78" s="244">
        <f>ROUND(供應率!Z15,1)</f>
        <v>95.2</v>
      </c>
      <c r="AF78" s="244">
        <f>ROUND(供應率!AA15,1)</f>
        <v>100</v>
      </c>
      <c r="AG78" s="244">
        <f>ROUND(供應率!AB15,1)</f>
        <v>97</v>
      </c>
      <c r="AH78" s="244">
        <f>ROUND(供應率!AC15,1)</f>
        <v>93.4</v>
      </c>
      <c r="AI78" s="244">
        <f>ROUND(供應率!AD15,1)</f>
        <v>0</v>
      </c>
      <c r="AJ78" s="244">
        <f>ROUND(供應率!AE15,1)</f>
        <v>98.1</v>
      </c>
      <c r="AK78" s="244">
        <f>ROUND(供應率!AF15,1)</f>
        <v>98.6</v>
      </c>
      <c r="AL78" s="244">
        <f>ROUND(供應率!AG15,1)</f>
        <v>98.1</v>
      </c>
      <c r="AM78" s="244">
        <f>ROUND(供應率!AH15,1)</f>
        <v>0</v>
      </c>
      <c r="AN78" s="246">
        <f>ROUND(供應率!AI15,1)</f>
        <v>96.6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0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2024/4</v>
      </c>
      <c r="E87" s="608" t="str">
        <f>E3</f>
        <v>2025/4</v>
      </c>
      <c r="F87" s="335">
        <f>YEAR(日期!C2)-1</f>
        <v>2024</v>
      </c>
      <c r="G87" s="635">
        <f>YEAR(日期!C2)</f>
        <v>2025</v>
      </c>
      <c r="H87" s="636"/>
      <c r="I87" s="527" t="str">
        <f>日期!C2</f>
        <v>2025/04/01</v>
      </c>
      <c r="J87" s="527" t="str">
        <f>日期!D2</f>
        <v>2025/04/02</v>
      </c>
      <c r="K87" s="527" t="str">
        <f>日期!E2</f>
        <v>2025/04/03</v>
      </c>
      <c r="L87" s="527" t="str">
        <f>日期!F2</f>
        <v>2025/04/04</v>
      </c>
      <c r="M87" s="527" t="str">
        <f>日期!G2</f>
        <v>2025/04/05</v>
      </c>
      <c r="N87" s="527" t="str">
        <f>日期!H2</f>
        <v>2025/04/06</v>
      </c>
      <c r="O87" s="527" t="str">
        <f>日期!I2</f>
        <v>2025/04/07</v>
      </c>
      <c r="P87" s="527" t="str">
        <f>日期!J2</f>
        <v>2025/04/08</v>
      </c>
      <c r="Q87" s="527" t="str">
        <f>日期!K2</f>
        <v>2025/04/09</v>
      </c>
      <c r="R87" s="527" t="str">
        <f>日期!L2</f>
        <v>2025/04/10</v>
      </c>
      <c r="S87" s="527" t="str">
        <f>日期!M2</f>
        <v>2025/04/11</v>
      </c>
      <c r="T87" s="527" t="str">
        <f>日期!N2</f>
        <v>2025/04/12</v>
      </c>
      <c r="U87" s="527" t="str">
        <f>日期!O2</f>
        <v>2025/04/13</v>
      </c>
      <c r="V87" s="527" t="str">
        <f>日期!P2</f>
        <v>2025/04/14</v>
      </c>
      <c r="W87" s="527" t="str">
        <f>日期!Q2</f>
        <v>2025/04/15</v>
      </c>
      <c r="X87" s="527" t="str">
        <f>日期!R2</f>
        <v>2025/04/16</v>
      </c>
      <c r="Y87" s="527" t="str">
        <f>日期!S2</f>
        <v>2025/04/17</v>
      </c>
      <c r="Z87" s="527" t="str">
        <f>日期!T2</f>
        <v>2025/04/18</v>
      </c>
      <c r="AA87" s="527" t="str">
        <f>日期!U2</f>
        <v>2025/04/19</v>
      </c>
      <c r="AB87" s="527" t="str">
        <f>日期!V2</f>
        <v>2025/04/20</v>
      </c>
      <c r="AC87" s="527" t="str">
        <f>日期!W2</f>
        <v>2025/04/21</v>
      </c>
      <c r="AD87" s="527" t="str">
        <f>日期!X2</f>
        <v>2025/04/22</v>
      </c>
      <c r="AE87" s="527" t="str">
        <f>日期!Y2</f>
        <v>2025/04/23</v>
      </c>
      <c r="AF87" s="527" t="str">
        <f>日期!Z2</f>
        <v>2025/04/24</v>
      </c>
      <c r="AG87" s="527" t="str">
        <f>日期!AA2</f>
        <v>2025/04/25</v>
      </c>
      <c r="AH87" s="527" t="str">
        <f>日期!AB2</f>
        <v>2025/04/26</v>
      </c>
      <c r="AI87" s="527" t="str">
        <f>日期!AC2</f>
        <v>2025/04/27</v>
      </c>
      <c r="AJ87" s="527" t="str">
        <f>日期!AD2</f>
        <v>2025/04/28</v>
      </c>
      <c r="AK87" s="527" t="str">
        <f>日期!AE2</f>
        <v>2025/04/29</v>
      </c>
      <c r="AL87" s="527" t="str">
        <f>日期!AF2</f>
        <v>2025/04/30</v>
      </c>
      <c r="AM87" s="527">
        <f>日期!AG2</f>
        <v>0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Tue</v>
      </c>
      <c r="J88" s="12" t="str">
        <f>日期!D3</f>
        <v>Wed</v>
      </c>
      <c r="K88" s="12" t="str">
        <f>日期!E3</f>
        <v>Thu</v>
      </c>
      <c r="L88" s="12" t="str">
        <f>日期!F3</f>
        <v>Fri</v>
      </c>
      <c r="M88" s="12" t="str">
        <f>日期!G3</f>
        <v>Sat</v>
      </c>
      <c r="N88" s="12" t="str">
        <f>日期!H3</f>
        <v>Sun</v>
      </c>
      <c r="O88" s="12" t="str">
        <f>日期!I3</f>
        <v>Mon</v>
      </c>
      <c r="P88" s="12" t="str">
        <f>日期!J3</f>
        <v>Tue</v>
      </c>
      <c r="Q88" s="12" t="str">
        <f>日期!K3</f>
        <v>Wed</v>
      </c>
      <c r="R88" s="12" t="str">
        <f>日期!L3</f>
        <v>Thu</v>
      </c>
      <c r="S88" s="12" t="str">
        <f>日期!M3</f>
        <v>Fri</v>
      </c>
      <c r="T88" s="12" t="str">
        <f>日期!N3</f>
        <v>Sat</v>
      </c>
      <c r="U88" s="12" t="str">
        <f>日期!O3</f>
        <v>Sun</v>
      </c>
      <c r="V88" s="12" t="str">
        <f>日期!P3</f>
        <v>Mon</v>
      </c>
      <c r="W88" s="12" t="str">
        <f>日期!Q3</f>
        <v>Tue</v>
      </c>
      <c r="X88" s="12" t="str">
        <f>日期!R3</f>
        <v>Wed</v>
      </c>
      <c r="Y88" s="12" t="str">
        <f>日期!S3</f>
        <v>Thu</v>
      </c>
      <c r="Z88" s="12" t="str">
        <f>日期!T3</f>
        <v>Fri</v>
      </c>
      <c r="AA88" s="12" t="str">
        <f>日期!U3</f>
        <v>Sat</v>
      </c>
      <c r="AB88" s="12" t="str">
        <f>日期!V3</f>
        <v>Sun</v>
      </c>
      <c r="AC88" s="12" t="str">
        <f>日期!W3</f>
        <v>Mon</v>
      </c>
      <c r="AD88" s="12" t="str">
        <f>日期!X3</f>
        <v>Tue</v>
      </c>
      <c r="AE88" s="12" t="str">
        <f>日期!Y3</f>
        <v>Wed</v>
      </c>
      <c r="AF88" s="12" t="str">
        <f>日期!Z3</f>
        <v>Thu</v>
      </c>
      <c r="AG88" s="12" t="str">
        <f>日期!AA3</f>
        <v>Fri</v>
      </c>
      <c r="AH88" s="12" t="str">
        <f>日期!AB3</f>
        <v>Sat</v>
      </c>
      <c r="AI88" s="12" t="str">
        <f>日期!AC3</f>
        <v>Sun</v>
      </c>
      <c r="AJ88" s="12" t="str">
        <f>日期!AD3</f>
        <v>Mon</v>
      </c>
      <c r="AK88" s="12" t="str">
        <f>日期!AE3</f>
        <v>Tue</v>
      </c>
      <c r="AL88" s="12" t="str">
        <f>日期!AF3</f>
        <v>Wed</v>
      </c>
      <c r="AM88" s="12">
        <f>日期!AG3</f>
        <v>0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3335</v>
      </c>
      <c r="E89" s="62" t="s">
        <v>45</v>
      </c>
      <c r="F89" s="62" t="s">
        <v>45</v>
      </c>
      <c r="G89" s="648">
        <f>當年月推移!P147</f>
        <v>4625</v>
      </c>
      <c r="H89" s="649"/>
      <c r="I89" s="63">
        <f>VALUE(點數BO!C2)</f>
        <v>158</v>
      </c>
      <c r="J89" s="63">
        <f>VALUE(點數BO!D2)</f>
        <v>139</v>
      </c>
      <c r="K89" s="63">
        <f>VALUE(點數BO!E2)</f>
        <v>0</v>
      </c>
      <c r="L89" s="63">
        <f>VALUE(點數BO!F2)</f>
        <v>0</v>
      </c>
      <c r="M89" s="63">
        <f>VALUE(點數BO!G2)</f>
        <v>127</v>
      </c>
      <c r="N89" s="63">
        <f>VALUE(點數BO!H2)</f>
        <v>0</v>
      </c>
      <c r="O89" s="63">
        <f>VALUE(點數BO!I2)</f>
        <v>0</v>
      </c>
      <c r="P89" s="63">
        <f>VALUE(點數BO!J2)</f>
        <v>193</v>
      </c>
      <c r="Q89" s="63">
        <f>VALUE(點數BO!K2)</f>
        <v>194</v>
      </c>
      <c r="R89" s="63">
        <f>VALUE(點數BO!L2)</f>
        <v>163</v>
      </c>
      <c r="S89" s="63">
        <f>VALUE(點數BO!M2)</f>
        <v>140</v>
      </c>
      <c r="T89" s="63">
        <f>VALUE(點數BO!N2)</f>
        <v>98</v>
      </c>
      <c r="U89" s="63">
        <f>VALUE(點數BO!O2)</f>
        <v>0</v>
      </c>
      <c r="V89" s="63">
        <f>VALUE(點數BO!P2)</f>
        <v>168</v>
      </c>
      <c r="W89" s="63">
        <f>VALUE(點數BO!Q2)</f>
        <v>222</v>
      </c>
      <c r="X89" s="63">
        <f>VALUE(點數BO!R2)</f>
        <v>177</v>
      </c>
      <c r="Y89" s="63">
        <f>VALUE(點數BO!S2)</f>
        <v>195</v>
      </c>
      <c r="Z89" s="63">
        <f>VALUE(點數BO!T2)</f>
        <v>151</v>
      </c>
      <c r="AA89" s="63">
        <f>VALUE(點數BO!U2)</f>
        <v>100</v>
      </c>
      <c r="AB89" s="63">
        <f>VALUE(點數BO!V2)</f>
        <v>0</v>
      </c>
      <c r="AC89" s="63">
        <f>VALUE(點數BO!W2)</f>
        <v>144</v>
      </c>
      <c r="AD89" s="63">
        <f>VALUE(點數BO!X2)</f>
        <v>145</v>
      </c>
      <c r="AE89" s="63">
        <f>VALUE(點數BO!Y2)</f>
        <v>166</v>
      </c>
      <c r="AF89" s="63">
        <f>VALUE(點數BO!Z2)</f>
        <v>157</v>
      </c>
      <c r="AG89" s="63">
        <f>VALUE(點數BO!AA2)</f>
        <v>140</v>
      </c>
      <c r="AH89" s="63">
        <f>VALUE(點數BO!AB2)</f>
        <v>84</v>
      </c>
      <c r="AI89" s="63">
        <f>VALUE(點數BO!AC2)</f>
        <v>0</v>
      </c>
      <c r="AJ89" s="63">
        <f>VALUE(點數BO!AD2)</f>
        <v>124</v>
      </c>
      <c r="AK89" s="63">
        <f>VALUE(點數BO!AE2)</f>
        <v>166</v>
      </c>
      <c r="AL89" s="63">
        <f>VALUE(點數BO!AF2)</f>
        <v>140</v>
      </c>
      <c r="AM89" s="63">
        <f>VALUE(點數BO!AG2)</f>
        <v>0</v>
      </c>
      <c r="AN89" s="516">
        <f>VALUE(點數BO!AH2)</f>
        <v>3663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50</v>
      </c>
      <c r="E90" s="64" t="s">
        <v>45</v>
      </c>
      <c r="F90" s="64" t="s">
        <v>45</v>
      </c>
      <c r="G90" s="630">
        <f>當年月推移!P148</f>
        <v>36</v>
      </c>
      <c r="H90" s="631"/>
      <c r="I90" s="63">
        <f>VALUE(點數BO!C4)</f>
        <v>0</v>
      </c>
      <c r="J90" s="63">
        <f>VALUE(點數BO!D4)</f>
        <v>0</v>
      </c>
      <c r="K90" s="63">
        <f>VALUE(點數BO!E4)</f>
        <v>0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0</v>
      </c>
      <c r="T90" s="63">
        <f>VALUE(點數BO!N4)</f>
        <v>2</v>
      </c>
      <c r="U90" s="63">
        <f>VALUE(點數BO!O4)</f>
        <v>0</v>
      </c>
      <c r="V90" s="63">
        <f>VALUE(點數BO!P4)</f>
        <v>0</v>
      </c>
      <c r="W90" s="63">
        <f>VALUE(點數BO!Q4)</f>
        <v>1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1</v>
      </c>
      <c r="AF90" s="63">
        <f>VALUE(點數BO!Z4)</f>
        <v>1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0</v>
      </c>
      <c r="AK90" s="63">
        <f>VALUE(點數BO!AE4)</f>
        <v>0</v>
      </c>
      <c r="AL90" s="63">
        <f>VALUE(點數BO!AF4)</f>
        <v>0</v>
      </c>
      <c r="AM90" s="63">
        <f>VALUE(點數BO!AG4)</f>
        <v>0</v>
      </c>
      <c r="AN90" s="517">
        <f>VALUE(點數BO!AH4)</f>
        <v>5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174</v>
      </c>
      <c r="E91" s="64" t="s">
        <v>45</v>
      </c>
      <c r="F91" s="64" t="s">
        <v>45</v>
      </c>
      <c r="G91" s="630">
        <f>當年月推移!P149</f>
        <v>27</v>
      </c>
      <c r="H91" s="631"/>
      <c r="I91" s="63">
        <f>VALUE(點數BO!C5)</f>
        <v>0</v>
      </c>
      <c r="J91" s="63">
        <f>VALUE(點數BO!D5)</f>
        <v>7</v>
      </c>
      <c r="K91" s="63">
        <f>VALUE(點數BO!E5)</f>
        <v>0</v>
      </c>
      <c r="L91" s="63">
        <f>VALUE(點數BO!F5)</f>
        <v>0</v>
      </c>
      <c r="M91" s="63">
        <f>VALUE(點數BO!G5)</f>
        <v>3</v>
      </c>
      <c r="N91" s="63">
        <f>VALUE(點數BO!H5)</f>
        <v>0</v>
      </c>
      <c r="O91" s="63">
        <f>VALUE(點數BO!I5)</f>
        <v>0</v>
      </c>
      <c r="P91" s="63">
        <f>VALUE(點數BO!J5)</f>
        <v>5</v>
      </c>
      <c r="Q91" s="63">
        <f>VALUE(點數BO!K5)</f>
        <v>0</v>
      </c>
      <c r="R91" s="63">
        <f>VALUE(點數BO!L5)</f>
        <v>0</v>
      </c>
      <c r="S91" s="63">
        <f>VALUE(點數BO!M5)</f>
        <v>2</v>
      </c>
      <c r="T91" s="63">
        <f>VALUE(點數BO!N5)</f>
        <v>2</v>
      </c>
      <c r="U91" s="63">
        <f>VALUE(點數BO!O5)</f>
        <v>0</v>
      </c>
      <c r="V91" s="63">
        <f>VALUE(點數BO!P5)</f>
        <v>1</v>
      </c>
      <c r="W91" s="63">
        <f>VALUE(點數BO!Q5)</f>
        <v>2</v>
      </c>
      <c r="X91" s="63">
        <f>VALUE(點數BO!R5)</f>
        <v>1</v>
      </c>
      <c r="Y91" s="63">
        <f>VALUE(點數BO!S5)</f>
        <v>4</v>
      </c>
      <c r="Z91" s="63">
        <f>VALUE(點數BO!T5)</f>
        <v>0</v>
      </c>
      <c r="AA91" s="63">
        <f>VALUE(點數BO!U5)</f>
        <v>1</v>
      </c>
      <c r="AB91" s="63">
        <f>VALUE(點數BO!V5)</f>
        <v>0</v>
      </c>
      <c r="AC91" s="63">
        <f>VALUE(點數BO!W5)</f>
        <v>0</v>
      </c>
      <c r="AD91" s="63">
        <f>VALUE(點數BO!X5)</f>
        <v>1</v>
      </c>
      <c r="AE91" s="63">
        <f>VALUE(點數BO!Y5)</f>
        <v>1</v>
      </c>
      <c r="AF91" s="63">
        <f>VALUE(點數BO!Z5)</f>
        <v>0</v>
      </c>
      <c r="AG91" s="63">
        <f>VALUE(點數BO!AA5)</f>
        <v>0</v>
      </c>
      <c r="AH91" s="63">
        <f>VALUE(點數BO!AB5)</f>
        <v>0</v>
      </c>
      <c r="AI91" s="63">
        <f>VALUE(點數BO!AC5)</f>
        <v>0</v>
      </c>
      <c r="AJ91" s="63">
        <f>VALUE(點數BO!AD5)</f>
        <v>2</v>
      </c>
      <c r="AK91" s="63">
        <f>VALUE(點數BO!AE5)</f>
        <v>1</v>
      </c>
      <c r="AL91" s="63">
        <f>VALUE(點數BO!AF5)</f>
        <v>2</v>
      </c>
      <c r="AM91" s="63">
        <f>VALUE(點數BO!AG5)</f>
        <v>0</v>
      </c>
      <c r="AN91" s="517">
        <f>VALUE(點數BO!AH5)</f>
        <v>37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151</v>
      </c>
      <c r="E92" s="64" t="s">
        <v>45</v>
      </c>
      <c r="F92" s="64" t="s">
        <v>45</v>
      </c>
      <c r="G92" s="630">
        <f>當年月推移!P150</f>
        <v>237</v>
      </c>
      <c r="H92" s="631"/>
      <c r="I92" s="63">
        <f>VALUE(點數BO!C6)</f>
        <v>14</v>
      </c>
      <c r="J92" s="63">
        <f>VALUE(點數BO!D6)</f>
        <v>7</v>
      </c>
      <c r="K92" s="63">
        <f>VALUE(點數BO!E6)</f>
        <v>0</v>
      </c>
      <c r="L92" s="63">
        <f>VALUE(點數BO!F6)</f>
        <v>0</v>
      </c>
      <c r="M92" s="63">
        <f>VALUE(點數BO!G6)</f>
        <v>26</v>
      </c>
      <c r="N92" s="63">
        <f>VALUE(點數BO!H6)</f>
        <v>0</v>
      </c>
      <c r="O92" s="63">
        <f>VALUE(點數BO!I6)</f>
        <v>0</v>
      </c>
      <c r="P92" s="63">
        <f>VALUE(點數BO!J6)</f>
        <v>34</v>
      </c>
      <c r="Q92" s="63">
        <f>VALUE(點數BO!K6)</f>
        <v>21</v>
      </c>
      <c r="R92" s="63">
        <f>VALUE(點數BO!L6)</f>
        <v>18</v>
      </c>
      <c r="S92" s="63">
        <f>VALUE(點數BO!M6)</f>
        <v>5</v>
      </c>
      <c r="T92" s="63">
        <f>VALUE(點數BO!N6)</f>
        <v>1</v>
      </c>
      <c r="U92" s="63">
        <f>VALUE(點數BO!O6)</f>
        <v>0</v>
      </c>
      <c r="V92" s="63">
        <f>VALUE(點數BO!P6)</f>
        <v>12</v>
      </c>
      <c r="W92" s="63">
        <f>VALUE(點數BO!Q6)</f>
        <v>9</v>
      </c>
      <c r="X92" s="63">
        <f>VALUE(點數BO!R6)</f>
        <v>10</v>
      </c>
      <c r="Y92" s="63">
        <f>VALUE(點數BO!S6)</f>
        <v>9</v>
      </c>
      <c r="Z92" s="63">
        <f>VALUE(點數BO!T6)</f>
        <v>12</v>
      </c>
      <c r="AA92" s="63">
        <f>VALUE(點數BO!U6)</f>
        <v>3</v>
      </c>
      <c r="AB92" s="63">
        <f>VALUE(點數BO!V6)</f>
        <v>0</v>
      </c>
      <c r="AC92" s="63">
        <f>VALUE(點數BO!W6)</f>
        <v>10</v>
      </c>
      <c r="AD92" s="63">
        <f>VALUE(點數BO!X6)</f>
        <v>9</v>
      </c>
      <c r="AE92" s="63">
        <f>VALUE(點數BO!Y6)</f>
        <v>21</v>
      </c>
      <c r="AF92" s="63">
        <f>VALUE(點數BO!Z6)</f>
        <v>35</v>
      </c>
      <c r="AG92" s="63">
        <f>VALUE(點數BO!AA6)</f>
        <v>8</v>
      </c>
      <c r="AH92" s="63">
        <f>VALUE(點數BO!AB6)</f>
        <v>0</v>
      </c>
      <c r="AI92" s="63">
        <f>VALUE(點數BO!AC6)</f>
        <v>0</v>
      </c>
      <c r="AJ92" s="63">
        <f>VALUE(點數BO!AD6)</f>
        <v>3</v>
      </c>
      <c r="AK92" s="63">
        <f>VALUE(點數BO!AE6)</f>
        <v>4</v>
      </c>
      <c r="AL92" s="63">
        <f>VALUE(點數BO!AF6)</f>
        <v>7</v>
      </c>
      <c r="AM92" s="63">
        <f>VALUE(點數BO!AG6)</f>
        <v>0</v>
      </c>
      <c r="AN92" s="517">
        <f>VALUE(點數BO!AH6)</f>
        <v>315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766</v>
      </c>
      <c r="E93" s="64" t="s">
        <v>45</v>
      </c>
      <c r="F93" s="64" t="s">
        <v>45</v>
      </c>
      <c r="G93" s="630">
        <f>當年月推移!P151</f>
        <v>594</v>
      </c>
      <c r="H93" s="631"/>
      <c r="I93" s="63">
        <f>VALUE(點數BO!C20)</f>
        <v>22</v>
      </c>
      <c r="J93" s="63">
        <f>VALUE(點數BO!D20)</f>
        <v>23</v>
      </c>
      <c r="K93" s="63">
        <f>VALUE(點數BO!E20)</f>
        <v>0</v>
      </c>
      <c r="L93" s="63">
        <f>VALUE(點數BO!F20)</f>
        <v>0</v>
      </c>
      <c r="M93" s="63">
        <f>VALUE(點數BO!G20)</f>
        <v>13</v>
      </c>
      <c r="N93" s="63">
        <f>VALUE(點數BO!H20)</f>
        <v>0</v>
      </c>
      <c r="O93" s="63">
        <f>VALUE(點數BO!I20)</f>
        <v>0</v>
      </c>
      <c r="P93" s="63">
        <f>VALUE(點數BO!J20)</f>
        <v>18</v>
      </c>
      <c r="Q93" s="63">
        <f>VALUE(點數BO!K20)</f>
        <v>22</v>
      </c>
      <c r="R93" s="63">
        <f>VALUE(點數BO!L20)</f>
        <v>18</v>
      </c>
      <c r="S93" s="63">
        <f>VALUE(點數BO!M20)</f>
        <v>20</v>
      </c>
      <c r="T93" s="63">
        <f>VALUE(點數BO!N20)</f>
        <v>25</v>
      </c>
      <c r="U93" s="63">
        <f>VALUE(點數BO!O20)</f>
        <v>0</v>
      </c>
      <c r="V93" s="63">
        <f>VALUE(點數BO!P20)</f>
        <v>23</v>
      </c>
      <c r="W93" s="63">
        <f>VALUE(點數BO!Q20)</f>
        <v>19</v>
      </c>
      <c r="X93" s="63">
        <f>VALUE(點數BO!R20)</f>
        <v>15</v>
      </c>
      <c r="Y93" s="63">
        <f>VALUE(點數BO!S20)</f>
        <v>20</v>
      </c>
      <c r="Z93" s="63">
        <f>VALUE(點數BO!T20)</f>
        <v>9</v>
      </c>
      <c r="AA93" s="63">
        <f>VALUE(點數BO!U20)</f>
        <v>17</v>
      </c>
      <c r="AB93" s="63">
        <f>VALUE(點數BO!V20)</f>
        <v>0</v>
      </c>
      <c r="AC93" s="63">
        <f>VALUE(點數BO!W20)</f>
        <v>18</v>
      </c>
      <c r="AD93" s="63">
        <f>VALUE(點數BO!X20)</f>
        <v>14</v>
      </c>
      <c r="AE93" s="63">
        <f>VALUE(點數BO!Y20)</f>
        <v>18</v>
      </c>
      <c r="AF93" s="63">
        <f>VALUE(點數BO!Z20)</f>
        <v>12</v>
      </c>
      <c r="AG93" s="63">
        <f>VALUE(點數BO!AA20)</f>
        <v>15</v>
      </c>
      <c r="AH93" s="63">
        <f>VALUE(點數BO!AB20)</f>
        <v>17</v>
      </c>
      <c r="AI93" s="63">
        <f>VALUE(點數BO!AC20)</f>
        <v>0</v>
      </c>
      <c r="AJ93" s="63">
        <f>VALUE(點數BO!AD20)</f>
        <v>26</v>
      </c>
      <c r="AK93" s="63">
        <f>VALUE(點數BO!AE20)</f>
        <v>16</v>
      </c>
      <c r="AL93" s="63">
        <f>VALUE(點數BO!AF20)</f>
        <v>16</v>
      </c>
      <c r="AM93" s="63">
        <f>VALUE(點數BO!AG20)</f>
        <v>0</v>
      </c>
      <c r="AN93" s="517">
        <f>VALUE(點數BO!AH20)</f>
        <v>434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101</v>
      </c>
      <c r="E94" s="64" t="s">
        <v>45</v>
      </c>
      <c r="F94" s="64" t="s">
        <v>45</v>
      </c>
      <c r="G94" s="630">
        <f>當年月推移!P152</f>
        <v>169</v>
      </c>
      <c r="H94" s="631"/>
      <c r="I94" s="63">
        <f>VALUE(點數BO!C8)</f>
        <v>3</v>
      </c>
      <c r="J94" s="63">
        <f>VALUE(點數BO!D8)</f>
        <v>1</v>
      </c>
      <c r="K94" s="63">
        <f>VALUE(點數BO!E8)</f>
        <v>0</v>
      </c>
      <c r="L94" s="63">
        <f>VALUE(點數BO!F8)</f>
        <v>0</v>
      </c>
      <c r="M94" s="63">
        <f>VALUE(點數BO!G8)</f>
        <v>4</v>
      </c>
      <c r="N94" s="63">
        <f>VALUE(點數BO!H8)</f>
        <v>0</v>
      </c>
      <c r="O94" s="63">
        <f>VALUE(點數BO!I8)</f>
        <v>0</v>
      </c>
      <c r="P94" s="63">
        <f>VALUE(點數BO!J8)</f>
        <v>1</v>
      </c>
      <c r="Q94" s="63">
        <f>VALUE(點數BO!K8)</f>
        <v>2</v>
      </c>
      <c r="R94" s="63">
        <f>VALUE(點數BO!L8)</f>
        <v>1</v>
      </c>
      <c r="S94" s="63">
        <f>VALUE(點數BO!M8)</f>
        <v>0</v>
      </c>
      <c r="T94" s="63">
        <f>VALUE(點數BO!N8)</f>
        <v>1</v>
      </c>
      <c r="U94" s="63">
        <f>VALUE(點數BO!O8)</f>
        <v>0</v>
      </c>
      <c r="V94" s="63">
        <f>VALUE(點數BO!P8)</f>
        <v>0</v>
      </c>
      <c r="W94" s="63">
        <f>VALUE(點數BO!Q8)</f>
        <v>2</v>
      </c>
      <c r="X94" s="63">
        <f>VALUE(點數BO!R8)</f>
        <v>0</v>
      </c>
      <c r="Y94" s="63">
        <f>VALUE(點數BO!S8)</f>
        <v>1</v>
      </c>
      <c r="Z94" s="63">
        <f>VALUE(點數BO!T8)</f>
        <v>1</v>
      </c>
      <c r="AA94" s="63">
        <f>VALUE(點數BO!U8)</f>
        <v>0</v>
      </c>
      <c r="AB94" s="63">
        <f>VALUE(點數BO!V8)</f>
        <v>0</v>
      </c>
      <c r="AC94" s="63">
        <f>VALUE(點數BO!W8)</f>
        <v>1</v>
      </c>
      <c r="AD94" s="63">
        <f>VALUE(點數BO!X8)</f>
        <v>8</v>
      </c>
      <c r="AE94" s="63">
        <f>VALUE(點數BO!Y8)</f>
        <v>6</v>
      </c>
      <c r="AF94" s="63">
        <f>VALUE(點數BO!Z8)</f>
        <v>8</v>
      </c>
      <c r="AG94" s="63">
        <f>VALUE(點數BO!AA8)</f>
        <v>6</v>
      </c>
      <c r="AH94" s="63">
        <f>VALUE(點數BO!AB8)</f>
        <v>4</v>
      </c>
      <c r="AI94" s="63">
        <f>VALUE(點數BO!AC8)</f>
        <v>0</v>
      </c>
      <c r="AJ94" s="63">
        <f>VALUE(點數BO!AD8)</f>
        <v>17</v>
      </c>
      <c r="AK94" s="63">
        <f>VALUE(點數BO!AE8)</f>
        <v>16</v>
      </c>
      <c r="AL94" s="63">
        <f>VALUE(點數BO!AF8)</f>
        <v>15</v>
      </c>
      <c r="AM94" s="63">
        <f>VALUE(點數BO!AG8)</f>
        <v>0</v>
      </c>
      <c r="AN94" s="517">
        <f>VALUE(點數BO!AH8)</f>
        <v>101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10</v>
      </c>
      <c r="E95" s="65" t="s">
        <v>45</v>
      </c>
      <c r="F95" s="65" t="s">
        <v>45</v>
      </c>
      <c r="G95" s="630">
        <f>當年月推移!P153</f>
        <v>12</v>
      </c>
      <c r="H95" s="631"/>
      <c r="I95" s="63">
        <f>VALUE(點數BO!C9)</f>
        <v>0</v>
      </c>
      <c r="J95" s="63">
        <f>VALUE(點數BO!D9)</f>
        <v>0</v>
      </c>
      <c r="K95" s="63">
        <f>VALUE(點數BO!E9)</f>
        <v>0</v>
      </c>
      <c r="L95" s="63">
        <f>VALUE(點數BO!F9)</f>
        <v>0</v>
      </c>
      <c r="M95" s="63">
        <f>VALUE(點數BO!G9)</f>
        <v>1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0</v>
      </c>
      <c r="AA95" s="63">
        <f>VALUE(點數BO!U9)</f>
        <v>0</v>
      </c>
      <c r="AB95" s="63">
        <f>VALUE(點數BO!V9)</f>
        <v>0</v>
      </c>
      <c r="AC95" s="63">
        <f>VALUE(點數BO!W9)</f>
        <v>0</v>
      </c>
      <c r="AD95" s="63">
        <f>VALUE(點數BO!X9)</f>
        <v>0</v>
      </c>
      <c r="AE95" s="63">
        <f>VALUE(點數BO!Y9)</f>
        <v>0</v>
      </c>
      <c r="AF95" s="63">
        <f>VALUE(點數BO!Z9)</f>
        <v>0</v>
      </c>
      <c r="AG95" s="63">
        <f>VALUE(點數BO!AA9)</f>
        <v>0</v>
      </c>
      <c r="AH95" s="63">
        <f>VALUE(點數BO!AB9)</f>
        <v>0</v>
      </c>
      <c r="AI95" s="63">
        <f>VALUE(點數BO!AC9)</f>
        <v>0</v>
      </c>
      <c r="AJ95" s="63">
        <f>VALUE(點數BO!AD9)</f>
        <v>0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1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4587</v>
      </c>
      <c r="E96" s="248"/>
      <c r="F96" s="248"/>
      <c r="G96" s="664">
        <f>當年月推移!P154</f>
        <v>5700</v>
      </c>
      <c r="H96" s="665"/>
      <c r="I96" s="249">
        <f>SUM(I89:I95)</f>
        <v>197</v>
      </c>
      <c r="J96" s="249">
        <f>SUM(J89:J95)</f>
        <v>177</v>
      </c>
      <c r="K96" s="249">
        <f>SUM(K89:K95)</f>
        <v>0</v>
      </c>
      <c r="L96" s="249">
        <f t="shared" ref="L96:AN96" si="11">SUM(L89:L95)</f>
        <v>0</v>
      </c>
      <c r="M96" s="249">
        <f t="shared" si="11"/>
        <v>174</v>
      </c>
      <c r="N96" s="249">
        <f t="shared" si="11"/>
        <v>0</v>
      </c>
      <c r="O96" s="249">
        <f t="shared" si="11"/>
        <v>0</v>
      </c>
      <c r="P96" s="249">
        <f t="shared" si="11"/>
        <v>251</v>
      </c>
      <c r="Q96" s="249">
        <f t="shared" si="11"/>
        <v>239</v>
      </c>
      <c r="R96" s="249">
        <f t="shared" si="11"/>
        <v>200</v>
      </c>
      <c r="S96" s="249">
        <f t="shared" si="11"/>
        <v>167</v>
      </c>
      <c r="T96" s="249">
        <f t="shared" si="11"/>
        <v>129</v>
      </c>
      <c r="U96" s="249">
        <f t="shared" si="11"/>
        <v>0</v>
      </c>
      <c r="V96" s="249">
        <f t="shared" si="11"/>
        <v>204</v>
      </c>
      <c r="W96" s="249">
        <f t="shared" si="11"/>
        <v>255</v>
      </c>
      <c r="X96" s="249">
        <f t="shared" si="11"/>
        <v>203</v>
      </c>
      <c r="Y96" s="249">
        <f t="shared" si="11"/>
        <v>229</v>
      </c>
      <c r="Z96" s="249">
        <f t="shared" si="11"/>
        <v>173</v>
      </c>
      <c r="AA96" s="249">
        <f t="shared" si="11"/>
        <v>121</v>
      </c>
      <c r="AB96" s="249">
        <f t="shared" si="11"/>
        <v>0</v>
      </c>
      <c r="AC96" s="249">
        <f t="shared" si="11"/>
        <v>173</v>
      </c>
      <c r="AD96" s="249">
        <f t="shared" si="11"/>
        <v>177</v>
      </c>
      <c r="AE96" s="249">
        <f t="shared" si="11"/>
        <v>213</v>
      </c>
      <c r="AF96" s="249">
        <f t="shared" si="11"/>
        <v>213</v>
      </c>
      <c r="AG96" s="249">
        <f t="shared" si="11"/>
        <v>169</v>
      </c>
      <c r="AH96" s="249">
        <f t="shared" si="11"/>
        <v>105</v>
      </c>
      <c r="AI96" s="249">
        <f t="shared" si="11"/>
        <v>0</v>
      </c>
      <c r="AJ96" s="249">
        <f t="shared" si="11"/>
        <v>172</v>
      </c>
      <c r="AK96" s="249">
        <f t="shared" si="11"/>
        <v>203</v>
      </c>
      <c r="AL96" s="249">
        <f t="shared" si="11"/>
        <v>180</v>
      </c>
      <c r="AM96" s="249">
        <f t="shared" si="11"/>
        <v>0</v>
      </c>
      <c r="AN96" s="250">
        <f t="shared" si="11"/>
        <v>4556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685</v>
      </c>
      <c r="E97" s="64" t="s">
        <v>45</v>
      </c>
      <c r="F97" s="64" t="s">
        <v>45</v>
      </c>
      <c r="G97" s="630">
        <f>當年月推移!P155</f>
        <v>798</v>
      </c>
      <c r="H97" s="631"/>
      <c r="I97" s="63">
        <f>VALUE(點數BO!C3)</f>
        <v>23</v>
      </c>
      <c r="J97" s="63">
        <f>VALUE(點數BO!D3)</f>
        <v>26</v>
      </c>
      <c r="K97" s="63">
        <f>VALUE(點數BO!E3)</f>
        <v>0</v>
      </c>
      <c r="L97" s="63">
        <f>VALUE(點數BO!F3)</f>
        <v>0</v>
      </c>
      <c r="M97" s="63">
        <f>VALUE(點數BO!G3)</f>
        <v>16</v>
      </c>
      <c r="N97" s="63">
        <f>VALUE(點數BO!H3)</f>
        <v>0</v>
      </c>
      <c r="O97" s="63">
        <f>VALUE(點數BO!I3)</f>
        <v>0</v>
      </c>
      <c r="P97" s="63">
        <f>VALUE(點數BO!J3)</f>
        <v>43</v>
      </c>
      <c r="Q97" s="63">
        <f>VALUE(點數BO!K3)</f>
        <v>27</v>
      </c>
      <c r="R97" s="63">
        <f>VALUE(點數BO!L3)</f>
        <v>23</v>
      </c>
      <c r="S97" s="63">
        <f>VALUE(點數BO!M3)</f>
        <v>20</v>
      </c>
      <c r="T97" s="63">
        <f>VALUE(點數BO!N3)</f>
        <v>18</v>
      </c>
      <c r="U97" s="63">
        <f>VALUE(點數BO!O3)</f>
        <v>0</v>
      </c>
      <c r="V97" s="63">
        <f>VALUE(點數BO!P3)</f>
        <v>19</v>
      </c>
      <c r="W97" s="63">
        <f>VALUE(點數BO!Q3)</f>
        <v>29</v>
      </c>
      <c r="X97" s="63">
        <f>VALUE(點數BO!R3)</f>
        <v>25</v>
      </c>
      <c r="Y97" s="63">
        <f>VALUE(點數BO!S3)</f>
        <v>20</v>
      </c>
      <c r="Z97" s="63">
        <f>VALUE(點數BO!T3)</f>
        <v>12</v>
      </c>
      <c r="AA97" s="63">
        <f>VALUE(點數BO!U3)</f>
        <v>11</v>
      </c>
      <c r="AB97" s="63">
        <f>VALUE(點數BO!V3)</f>
        <v>0</v>
      </c>
      <c r="AC97" s="63">
        <f>VALUE(點數BO!W3)</f>
        <v>20</v>
      </c>
      <c r="AD97" s="63">
        <f>VALUE(點數BO!X3)</f>
        <v>27</v>
      </c>
      <c r="AE97" s="63">
        <f>VALUE(點數BO!Y3)</f>
        <v>30</v>
      </c>
      <c r="AF97" s="63">
        <f>VALUE(點數BO!Z3)</f>
        <v>25</v>
      </c>
      <c r="AG97" s="63">
        <f>VALUE(點數BO!AA3)</f>
        <v>27</v>
      </c>
      <c r="AH97" s="63">
        <f>VALUE(點數BO!AB3)</f>
        <v>10</v>
      </c>
      <c r="AI97" s="63">
        <f>VALUE(點數BO!AC3)</f>
        <v>0</v>
      </c>
      <c r="AJ97" s="63">
        <f>VALUE(點數BO!AD3)</f>
        <v>29</v>
      </c>
      <c r="AK97" s="63">
        <f>VALUE(點數BO!AE3)</f>
        <v>17</v>
      </c>
      <c r="AL97" s="63">
        <f>VALUE(點數BO!AF3)</f>
        <v>40</v>
      </c>
      <c r="AM97" s="63">
        <f>VALUE(點數BO!AG3)</f>
        <v>0</v>
      </c>
      <c r="AN97" s="517">
        <f>VALUE(點數BO!AH3)</f>
        <v>575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0</v>
      </c>
      <c r="E98" s="65"/>
      <c r="F98" s="65"/>
      <c r="G98" s="630">
        <f>當年月推移!P156</f>
        <v>9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391</v>
      </c>
      <c r="E99" s="65"/>
      <c r="F99" s="65"/>
      <c r="G99" s="630">
        <f>當年月推移!P157</f>
        <v>23</v>
      </c>
      <c r="H99" s="631"/>
      <c r="I99" s="63">
        <f>VALUE(點數BO!C11)</f>
        <v>0</v>
      </c>
      <c r="J99" s="63">
        <f>VALUE(點數BO!D11)</f>
        <v>1</v>
      </c>
      <c r="K99" s="63">
        <f>VALUE(點數BO!E11)</f>
        <v>0</v>
      </c>
      <c r="L99" s="63">
        <f>VALUE(點數BO!F11)</f>
        <v>0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1</v>
      </c>
      <c r="Q99" s="63">
        <f>VALUE(點數BO!K11)</f>
        <v>4</v>
      </c>
      <c r="R99" s="63">
        <f>VALUE(點數BO!L11)</f>
        <v>0</v>
      </c>
      <c r="S99" s="63">
        <f>VALUE(點數BO!M11)</f>
        <v>2</v>
      </c>
      <c r="T99" s="63">
        <f>VALUE(點數BO!N11)</f>
        <v>0</v>
      </c>
      <c r="U99" s="63">
        <f>VALUE(點數BO!O11)</f>
        <v>0</v>
      </c>
      <c r="V99" s="63">
        <f>VALUE(點數BO!P11)</f>
        <v>0</v>
      </c>
      <c r="W99" s="63">
        <f>VALUE(點數BO!Q11)</f>
        <v>1</v>
      </c>
      <c r="X99" s="63">
        <f>VALUE(點數BO!R11)</f>
        <v>0</v>
      </c>
      <c r="Y99" s="63">
        <f>VALUE(點數BO!S11)</f>
        <v>1</v>
      </c>
      <c r="Z99" s="63">
        <f>VALUE(點數BO!T11)</f>
        <v>0</v>
      </c>
      <c r="AA99" s="63">
        <f>VALUE(點數BO!U11)</f>
        <v>0</v>
      </c>
      <c r="AB99" s="63">
        <f>VALUE(點數BO!V11)</f>
        <v>0</v>
      </c>
      <c r="AC99" s="63">
        <f>VALUE(點數BO!W11)</f>
        <v>0</v>
      </c>
      <c r="AD99" s="63">
        <f>VALUE(點數BO!X11)</f>
        <v>2</v>
      </c>
      <c r="AE99" s="63">
        <f>VALUE(點數BO!Y11)</f>
        <v>2</v>
      </c>
      <c r="AF99" s="63">
        <f>VALUE(點數BO!Z11)</f>
        <v>7</v>
      </c>
      <c r="AG99" s="63">
        <f>VALUE(點數BO!AA11)</f>
        <v>1</v>
      </c>
      <c r="AH99" s="63">
        <f>VALUE(點數BO!AB11)</f>
        <v>0</v>
      </c>
      <c r="AI99" s="63">
        <f>VALUE(點數BO!AC11)</f>
        <v>0</v>
      </c>
      <c r="AJ99" s="63">
        <f>VALUE(點數BO!AD11)</f>
        <v>0</v>
      </c>
      <c r="AK99" s="63">
        <f>VALUE(點數BO!AE11)</f>
        <v>3</v>
      </c>
      <c r="AL99" s="63">
        <f>VALUE(點數BO!AF11)</f>
        <v>1</v>
      </c>
      <c r="AM99" s="63">
        <f>VALUE(點數BO!AG11)</f>
        <v>0</v>
      </c>
      <c r="AN99" s="517">
        <f>VALUE(點數BO!AH11)</f>
        <v>27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568</v>
      </c>
      <c r="E100" s="65"/>
      <c r="F100" s="65"/>
      <c r="G100" s="630">
        <f>當年月推移!P158</f>
        <v>335</v>
      </c>
      <c r="H100" s="631"/>
      <c r="I100" s="63">
        <f>VALUE(點數BO!C12)</f>
        <v>11</v>
      </c>
      <c r="J100" s="63">
        <f>VALUE(點數BO!D12)</f>
        <v>13</v>
      </c>
      <c r="K100" s="63">
        <f>VALUE(點數BO!E12)</f>
        <v>0</v>
      </c>
      <c r="L100" s="63">
        <f>VALUE(點數BO!F12)</f>
        <v>0</v>
      </c>
      <c r="M100" s="63">
        <f>VALUE(點數BO!G12)</f>
        <v>8</v>
      </c>
      <c r="N100" s="63">
        <f>VALUE(點數BO!H12)</f>
        <v>0</v>
      </c>
      <c r="O100" s="63">
        <f>VALUE(點數BO!I12)</f>
        <v>0</v>
      </c>
      <c r="P100" s="63">
        <f>VALUE(點數BO!J12)</f>
        <v>3</v>
      </c>
      <c r="Q100" s="63">
        <f>VALUE(點數BO!K12)</f>
        <v>9</v>
      </c>
      <c r="R100" s="63">
        <f>VALUE(點數BO!L12)</f>
        <v>21</v>
      </c>
      <c r="S100" s="63">
        <f>VALUE(點數BO!M12)</f>
        <v>18</v>
      </c>
      <c r="T100" s="63">
        <f>VALUE(點數BO!N12)</f>
        <v>7</v>
      </c>
      <c r="U100" s="63">
        <f>VALUE(點數BO!O12)</f>
        <v>0</v>
      </c>
      <c r="V100" s="63">
        <f>VALUE(點數BO!P12)</f>
        <v>17</v>
      </c>
      <c r="W100" s="63">
        <f>VALUE(點數BO!Q12)</f>
        <v>8</v>
      </c>
      <c r="X100" s="63">
        <f>VALUE(點數BO!R12)</f>
        <v>11</v>
      </c>
      <c r="Y100" s="63">
        <f>VALUE(點數BO!S12)</f>
        <v>10</v>
      </c>
      <c r="Z100" s="63">
        <f>VALUE(點數BO!T12)</f>
        <v>10</v>
      </c>
      <c r="AA100" s="63">
        <f>VALUE(點數BO!U12)</f>
        <v>6</v>
      </c>
      <c r="AB100" s="63">
        <f>VALUE(點數BO!V12)</f>
        <v>0</v>
      </c>
      <c r="AC100" s="63">
        <f>VALUE(點數BO!W12)</f>
        <v>5</v>
      </c>
      <c r="AD100" s="63">
        <f>VALUE(點數BO!X12)</f>
        <v>9</v>
      </c>
      <c r="AE100" s="63">
        <f>VALUE(點數BO!Y12)</f>
        <v>12</v>
      </c>
      <c r="AF100" s="63">
        <f>VALUE(點數BO!Z12)</f>
        <v>21</v>
      </c>
      <c r="AG100" s="63">
        <f>VALUE(點數BO!AA12)</f>
        <v>7</v>
      </c>
      <c r="AH100" s="63">
        <f>VALUE(點數BO!AB12)</f>
        <v>11</v>
      </c>
      <c r="AI100" s="63">
        <f>VALUE(點數BO!AC12)</f>
        <v>0</v>
      </c>
      <c r="AJ100" s="63">
        <f>VALUE(點數BO!AD12)</f>
        <v>7</v>
      </c>
      <c r="AK100" s="63">
        <f>VALUE(點數BO!AE12)</f>
        <v>8</v>
      </c>
      <c r="AL100" s="63">
        <f>VALUE(點數BO!AF12)</f>
        <v>6</v>
      </c>
      <c r="AM100" s="63">
        <f>VALUE(點數BO!AG12)</f>
        <v>0</v>
      </c>
      <c r="AN100" s="517">
        <f>VALUE(點數BO!AH12)</f>
        <v>246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25</v>
      </c>
      <c r="E101" s="65" t="s">
        <v>45</v>
      </c>
      <c r="F101" s="65" t="s">
        <v>45</v>
      </c>
      <c r="G101" s="630">
        <f>當年月推移!P159</f>
        <v>159</v>
      </c>
      <c r="H101" s="631"/>
      <c r="I101" s="63">
        <f>VALUE(點數BO!C13)</f>
        <v>0</v>
      </c>
      <c r="J101" s="63">
        <f>VALUE(點數BO!D13)</f>
        <v>1</v>
      </c>
      <c r="K101" s="63">
        <f>VALUE(點數BO!E13)</f>
        <v>0</v>
      </c>
      <c r="L101" s="63">
        <f>VALUE(點數BO!F13)</f>
        <v>0</v>
      </c>
      <c r="M101" s="63">
        <f>VALUE(點數BO!G13)</f>
        <v>0</v>
      </c>
      <c r="N101" s="63">
        <f>VALUE(點數BO!H13)</f>
        <v>0</v>
      </c>
      <c r="O101" s="63">
        <f>VALUE(點數BO!I13)</f>
        <v>0</v>
      </c>
      <c r="P101" s="63">
        <f>VALUE(點數BO!J13)</f>
        <v>0</v>
      </c>
      <c r="Q101" s="63">
        <f>VALUE(點數BO!K13)</f>
        <v>5</v>
      </c>
      <c r="R101" s="63">
        <f>VALUE(點數BO!L13)</f>
        <v>8</v>
      </c>
      <c r="S101" s="63">
        <f>VALUE(點數BO!M13)</f>
        <v>2</v>
      </c>
      <c r="T101" s="63">
        <f>VALUE(點數BO!N13)</f>
        <v>0</v>
      </c>
      <c r="U101" s="63">
        <f>VALUE(點數BO!O13)</f>
        <v>0</v>
      </c>
      <c r="V101" s="63">
        <f>VALUE(點數BO!P13)</f>
        <v>0</v>
      </c>
      <c r="W101" s="63">
        <f>VALUE(點數BO!Q13)</f>
        <v>3</v>
      </c>
      <c r="X101" s="63">
        <f>VALUE(點數BO!R13)</f>
        <v>0</v>
      </c>
      <c r="Y101" s="63">
        <f>VALUE(點數BO!S13)</f>
        <v>3</v>
      </c>
      <c r="Z101" s="63">
        <f>VALUE(點數BO!T13)</f>
        <v>3</v>
      </c>
      <c r="AA101" s="63">
        <f>VALUE(點數BO!U13)</f>
        <v>3</v>
      </c>
      <c r="AB101" s="63">
        <f>VALUE(點數BO!V13)</f>
        <v>0</v>
      </c>
      <c r="AC101" s="63">
        <f>VALUE(點數BO!W13)</f>
        <v>4</v>
      </c>
      <c r="AD101" s="63">
        <f>VALUE(點數BO!X13)</f>
        <v>3</v>
      </c>
      <c r="AE101" s="63">
        <f>VALUE(點數BO!Y13)</f>
        <v>3</v>
      </c>
      <c r="AF101" s="63">
        <f>VALUE(點數BO!Z13)</f>
        <v>0</v>
      </c>
      <c r="AG101" s="63">
        <f>VALUE(點數BO!AA13)</f>
        <v>2</v>
      </c>
      <c r="AH101" s="63">
        <f>VALUE(點數BO!AB13)</f>
        <v>4</v>
      </c>
      <c r="AI101" s="63">
        <f>VALUE(點數BO!AC13)</f>
        <v>0</v>
      </c>
      <c r="AJ101" s="63">
        <f>VALUE(點數BO!AD13)</f>
        <v>1</v>
      </c>
      <c r="AK101" s="63">
        <f>VALUE(點數BO!AE13)</f>
        <v>1</v>
      </c>
      <c r="AL101" s="63">
        <f>VALUE(點數BO!AF13)</f>
        <v>1</v>
      </c>
      <c r="AM101" s="63">
        <f>VALUE(點數BO!AG13)</f>
        <v>0</v>
      </c>
      <c r="AN101" s="517">
        <f>VALUE(點數BO!AH13)</f>
        <v>47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1</v>
      </c>
      <c r="E102" s="65"/>
      <c r="F102" s="65"/>
      <c r="G102" s="630">
        <f>當年月推移!P160</f>
        <v>1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1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0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1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1670</v>
      </c>
      <c r="E103" s="66" t="s">
        <v>45</v>
      </c>
      <c r="F103" s="66" t="s">
        <v>45</v>
      </c>
      <c r="G103" s="659">
        <f>當年月推移!P161</f>
        <v>1325</v>
      </c>
      <c r="H103" s="660"/>
      <c r="I103" s="66">
        <f>SUM(I97:I102)</f>
        <v>34</v>
      </c>
      <c r="J103" s="66">
        <f>SUM(J97:J102)</f>
        <v>41</v>
      </c>
      <c r="K103" s="66">
        <f t="shared" ref="K103:AN103" si="12">SUM(K97:K102)</f>
        <v>0</v>
      </c>
      <c r="L103" s="66">
        <f t="shared" si="12"/>
        <v>0</v>
      </c>
      <c r="M103" s="66">
        <f t="shared" si="12"/>
        <v>24</v>
      </c>
      <c r="N103" s="66">
        <f t="shared" si="12"/>
        <v>0</v>
      </c>
      <c r="O103" s="66">
        <f t="shared" si="12"/>
        <v>0</v>
      </c>
      <c r="P103" s="66">
        <f t="shared" si="12"/>
        <v>48</v>
      </c>
      <c r="Q103" s="66">
        <f t="shared" si="12"/>
        <v>45</v>
      </c>
      <c r="R103" s="66">
        <f t="shared" si="12"/>
        <v>52</v>
      </c>
      <c r="S103" s="66">
        <f t="shared" si="12"/>
        <v>42</v>
      </c>
      <c r="T103" s="66">
        <f t="shared" si="12"/>
        <v>25</v>
      </c>
      <c r="U103" s="66">
        <f t="shared" si="12"/>
        <v>0</v>
      </c>
      <c r="V103" s="66">
        <f t="shared" si="12"/>
        <v>36</v>
      </c>
      <c r="W103" s="66">
        <f t="shared" si="12"/>
        <v>41</v>
      </c>
      <c r="X103" s="66">
        <f t="shared" si="12"/>
        <v>36</v>
      </c>
      <c r="Y103" s="66">
        <f t="shared" si="12"/>
        <v>34</v>
      </c>
      <c r="Z103" s="66">
        <f t="shared" si="12"/>
        <v>25</v>
      </c>
      <c r="AA103" s="66">
        <f t="shared" si="12"/>
        <v>20</v>
      </c>
      <c r="AB103" s="66">
        <f t="shared" si="12"/>
        <v>0</v>
      </c>
      <c r="AC103" s="66">
        <f t="shared" si="12"/>
        <v>29</v>
      </c>
      <c r="AD103" s="66">
        <f t="shared" si="12"/>
        <v>41</v>
      </c>
      <c r="AE103" s="66">
        <f t="shared" si="12"/>
        <v>47</v>
      </c>
      <c r="AF103" s="66">
        <f t="shared" si="12"/>
        <v>53</v>
      </c>
      <c r="AG103" s="66">
        <f t="shared" si="12"/>
        <v>37</v>
      </c>
      <c r="AH103" s="66">
        <f t="shared" si="12"/>
        <v>25</v>
      </c>
      <c r="AI103" s="66">
        <f t="shared" si="12"/>
        <v>0</v>
      </c>
      <c r="AJ103" s="66">
        <f t="shared" si="12"/>
        <v>37</v>
      </c>
      <c r="AK103" s="66">
        <f t="shared" si="12"/>
        <v>29</v>
      </c>
      <c r="AL103" s="66">
        <f t="shared" si="12"/>
        <v>48</v>
      </c>
      <c r="AM103" s="66">
        <f t="shared" si="12"/>
        <v>0</v>
      </c>
      <c r="AN103" s="218">
        <f t="shared" si="12"/>
        <v>896</v>
      </c>
      <c r="AO103" s="16">
        <f>SUM(I103:AM103)</f>
        <v>849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AE6" activePane="bottomRight" state="frozen"/>
      <selection pane="bottomRight" activeCell="K79" sqref="K79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2025年4月</v>
      </c>
      <c r="D4" s="545" t="str">
        <f>日期!C2</f>
        <v>2025/04/01</v>
      </c>
      <c r="E4" s="545" t="str">
        <f>日期!D2</f>
        <v>2025/04/02</v>
      </c>
      <c r="F4" s="545" t="str">
        <f>日期!E2</f>
        <v>2025/04/03</v>
      </c>
      <c r="G4" s="545" t="str">
        <f>日期!F2</f>
        <v>2025/04/04</v>
      </c>
      <c r="H4" s="545" t="str">
        <f>日期!G2</f>
        <v>2025/04/05</v>
      </c>
      <c r="I4" s="545" t="str">
        <f>日期!H2</f>
        <v>2025/04/06</v>
      </c>
      <c r="J4" s="545" t="str">
        <f>日期!I2</f>
        <v>2025/04/07</v>
      </c>
      <c r="K4" s="545" t="str">
        <f>日期!J2</f>
        <v>2025/04/08</v>
      </c>
      <c r="L4" s="545" t="str">
        <f>日期!K2</f>
        <v>2025/04/09</v>
      </c>
      <c r="M4" s="545" t="str">
        <f>日期!L2</f>
        <v>2025/04/10</v>
      </c>
      <c r="N4" s="545" t="str">
        <f>日期!M2</f>
        <v>2025/04/11</v>
      </c>
      <c r="O4" s="545" t="str">
        <f>日期!N2</f>
        <v>2025/04/12</v>
      </c>
      <c r="P4" s="545" t="str">
        <f>日期!O2</f>
        <v>2025/04/13</v>
      </c>
      <c r="Q4" s="545" t="str">
        <f>日期!P2</f>
        <v>2025/04/14</v>
      </c>
      <c r="R4" s="545" t="str">
        <f>日期!Q2</f>
        <v>2025/04/15</v>
      </c>
      <c r="S4" s="545" t="str">
        <f>日期!R2</f>
        <v>2025/04/16</v>
      </c>
      <c r="T4" s="545" t="str">
        <f>日期!S2</f>
        <v>2025/04/17</v>
      </c>
      <c r="U4" s="545" t="str">
        <f>日期!T2</f>
        <v>2025/04/18</v>
      </c>
      <c r="V4" s="545" t="str">
        <f>日期!U2</f>
        <v>2025/04/19</v>
      </c>
      <c r="W4" s="545" t="str">
        <f>日期!V2</f>
        <v>2025/04/20</v>
      </c>
      <c r="X4" s="545" t="str">
        <f>日期!W2</f>
        <v>2025/04/21</v>
      </c>
      <c r="Y4" s="545" t="str">
        <f>日期!X2</f>
        <v>2025/04/22</v>
      </c>
      <c r="Z4" s="545" t="str">
        <f>日期!Y2</f>
        <v>2025/04/23</v>
      </c>
      <c r="AA4" s="545" t="str">
        <f>日期!Z2</f>
        <v>2025/04/24</v>
      </c>
      <c r="AB4" s="545" t="str">
        <f>日期!AA2</f>
        <v>2025/04/25</v>
      </c>
      <c r="AC4" s="545" t="str">
        <f>日期!AB2</f>
        <v>2025/04/26</v>
      </c>
      <c r="AD4" s="545" t="str">
        <f>日期!AC2</f>
        <v>2025/04/27</v>
      </c>
      <c r="AE4" s="545" t="str">
        <f>日期!AD2</f>
        <v>2025/04/28</v>
      </c>
      <c r="AF4" s="545" t="str">
        <f>日期!AE2</f>
        <v>2025/04/29</v>
      </c>
      <c r="AG4" s="545" t="str">
        <f>日期!AF2</f>
        <v>2025/04/30</v>
      </c>
      <c r="AH4" s="545">
        <f>日期!AG2</f>
        <v>0</v>
      </c>
      <c r="AI4" s="674" t="s">
        <v>68</v>
      </c>
      <c r="AJ4" s="674" t="s">
        <v>69</v>
      </c>
      <c r="AK4" s="544" t="str">
        <f>YEAR(日期!C2)&amp;"年"&amp;MONTH(日期!C2)+1&amp;"月"</f>
        <v>2025年5月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Tue</v>
      </c>
      <c r="E5" s="547" t="str">
        <f>日期!D3</f>
        <v>Wed</v>
      </c>
      <c r="F5" s="547" t="str">
        <f>日期!E3</f>
        <v>Thu</v>
      </c>
      <c r="G5" s="547" t="str">
        <f>日期!F3</f>
        <v>Fri</v>
      </c>
      <c r="H5" s="547" t="str">
        <f>日期!G3</f>
        <v>Sat</v>
      </c>
      <c r="I5" s="547" t="str">
        <f>日期!H3</f>
        <v>Sun</v>
      </c>
      <c r="J5" s="547" t="str">
        <f>日期!I3</f>
        <v>Mon</v>
      </c>
      <c r="K5" s="547" t="str">
        <f>日期!J3</f>
        <v>Tue</v>
      </c>
      <c r="L5" s="547" t="str">
        <f>日期!K3</f>
        <v>Wed</v>
      </c>
      <c r="M5" s="547" t="str">
        <f>日期!L3</f>
        <v>Thu</v>
      </c>
      <c r="N5" s="547" t="str">
        <f>日期!M3</f>
        <v>Fri</v>
      </c>
      <c r="O5" s="547" t="str">
        <f>日期!N3</f>
        <v>Sat</v>
      </c>
      <c r="P5" s="547" t="str">
        <f>日期!O3</f>
        <v>Sun</v>
      </c>
      <c r="Q5" s="547" t="str">
        <f>日期!P3</f>
        <v>Mon</v>
      </c>
      <c r="R5" s="547" t="str">
        <f>日期!Q3</f>
        <v>Tue</v>
      </c>
      <c r="S5" s="547" t="str">
        <f>日期!R3</f>
        <v>Wed</v>
      </c>
      <c r="T5" s="547" t="str">
        <f>日期!S3</f>
        <v>Thu</v>
      </c>
      <c r="U5" s="547" t="str">
        <f>日期!T3</f>
        <v>Fri</v>
      </c>
      <c r="V5" s="547" t="str">
        <f>日期!U3</f>
        <v>Sat</v>
      </c>
      <c r="W5" s="547" t="str">
        <f>日期!V3</f>
        <v>Sun</v>
      </c>
      <c r="X5" s="547" t="str">
        <f>日期!W3</f>
        <v>Mon</v>
      </c>
      <c r="Y5" s="547" t="str">
        <f>日期!X3</f>
        <v>Tue</v>
      </c>
      <c r="Z5" s="547" t="str">
        <f>日期!Y3</f>
        <v>Wed</v>
      </c>
      <c r="AA5" s="547" t="str">
        <f>日期!Z3</f>
        <v>Thu</v>
      </c>
      <c r="AB5" s="547" t="str">
        <f>日期!AA3</f>
        <v>Fri</v>
      </c>
      <c r="AC5" s="547" t="str">
        <f>日期!AB3</f>
        <v>Sat</v>
      </c>
      <c r="AD5" s="547" t="str">
        <f>日期!AC3</f>
        <v>Sun</v>
      </c>
      <c r="AE5" s="547" t="str">
        <f>日期!AD3</f>
        <v>Mon</v>
      </c>
      <c r="AF5" s="547" t="str">
        <f>日期!AE3</f>
        <v>Tue</v>
      </c>
      <c r="AG5" s="547" t="str">
        <f>日期!AF3</f>
        <v>Wed</v>
      </c>
      <c r="AH5" s="547">
        <f>日期!AG3</f>
        <v>0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141968118.24565902</v>
      </c>
      <c r="D6" s="88">
        <f>VALUE(庫存金額A類!C2)</f>
        <v>143223856</v>
      </c>
      <c r="E6" s="88">
        <f>VALUE(庫存金額A類!D2)</f>
        <v>144874372</v>
      </c>
      <c r="F6" s="88">
        <f>VALUE(庫存金額A類!E2)</f>
        <v>144879397</v>
      </c>
      <c r="G6" s="88">
        <f>VALUE(庫存金額A類!F2)</f>
        <v>144879397</v>
      </c>
      <c r="H6" s="88">
        <f>VALUE(庫存金額A類!G2)</f>
        <v>140893322</v>
      </c>
      <c r="I6" s="88">
        <f>VALUE(庫存金額A類!H2)</f>
        <v>141336086</v>
      </c>
      <c r="J6" s="88">
        <f>VALUE(庫存金額A類!I2)</f>
        <v>144109865</v>
      </c>
      <c r="K6" s="88">
        <f>VALUE(庫存金額A類!J2)</f>
        <v>142311161</v>
      </c>
      <c r="L6" s="88">
        <f>VALUE(庫存金額A類!K2)</f>
        <v>142989184</v>
      </c>
      <c r="M6" s="88">
        <f>VALUE(庫存金額A類!L2)</f>
        <v>144816364</v>
      </c>
      <c r="N6" s="88">
        <f>VALUE(庫存金額A類!M2)</f>
        <v>144678527</v>
      </c>
      <c r="O6" s="88">
        <f>VALUE(庫存金額A類!N2)</f>
        <v>141896458</v>
      </c>
      <c r="P6" s="88">
        <f>VALUE(庫存金額A類!O2)</f>
        <v>141872638</v>
      </c>
      <c r="Q6" s="88">
        <f>VALUE(庫存金額A類!P2)</f>
        <v>142387389</v>
      </c>
      <c r="R6" s="88">
        <f>VALUE(庫存金額A類!Q2)</f>
        <v>142515081</v>
      </c>
      <c r="S6" s="88">
        <f>VALUE(庫存金額A類!R2)</f>
        <v>142633920</v>
      </c>
      <c r="T6" s="88">
        <f>VALUE(庫存金額A類!S2)</f>
        <v>140935545</v>
      </c>
      <c r="U6" s="88">
        <f>VALUE(庫存金額A類!T2)</f>
        <v>141973954</v>
      </c>
      <c r="V6" s="88">
        <f>VALUE(庫存金額A類!U2)</f>
        <v>138920138</v>
      </c>
      <c r="W6" s="88">
        <f>VALUE(庫存金額A類!V2)</f>
        <v>138915671</v>
      </c>
      <c r="X6" s="88">
        <f>VALUE(庫存金額A類!W2)</f>
        <v>136804480</v>
      </c>
      <c r="Y6" s="88">
        <f>VALUE(庫存金額A類!X2)</f>
        <v>137819833</v>
      </c>
      <c r="Z6" s="88">
        <f>VALUE(庫存金額A類!Y2)</f>
        <v>136844056</v>
      </c>
      <c r="AA6" s="88">
        <f>VALUE(庫存金額A類!Z2)</f>
        <v>137144842</v>
      </c>
      <c r="AB6" s="88">
        <f>VALUE(庫存金額A類!AA2)</f>
        <v>137739333</v>
      </c>
      <c r="AC6" s="88">
        <f>VALUE(庫存金額A類!AB2)</f>
        <v>135753369</v>
      </c>
      <c r="AD6" s="88">
        <f>VALUE(庫存金額A類!AC2)</f>
        <v>135753369</v>
      </c>
      <c r="AE6" s="88">
        <f>VALUE(庫存金額A類!AD2)</f>
        <v>136107522</v>
      </c>
      <c r="AF6" s="88">
        <f>VALUE(庫存金額A類!AE2)</f>
        <v>138903111</v>
      </c>
      <c r="AG6" s="88">
        <f>VALUE(庫存金額A類!AF2)</f>
        <v>139785478</v>
      </c>
      <c r="AH6" s="88">
        <f>VALUE(庫存金額A類!AG2)</f>
        <v>0</v>
      </c>
      <c r="AI6" s="88">
        <f>VALUE(庫存金額A類!AH2)</f>
        <v>140789923.93000001</v>
      </c>
      <c r="AJ6" s="549">
        <f>AI6/AI9</f>
        <v>0.46158256033144451</v>
      </c>
      <c r="AK6" s="82">
        <f>HLOOKUP(MONTH(日期!$C$2)+1,A類各進口別庫存金額目標!$B$2:$M$7,4,TRUE)</f>
        <v>142642220.78163132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122620458.48901448</v>
      </c>
      <c r="D7" s="88">
        <f>VALUE(庫存金額A類!C3)</f>
        <v>115050070</v>
      </c>
      <c r="E7" s="88">
        <f>VALUE(庫存金額A類!D3)</f>
        <v>117184400</v>
      </c>
      <c r="F7" s="88">
        <f>VALUE(庫存金額A類!E3)</f>
        <v>117186506</v>
      </c>
      <c r="G7" s="88">
        <f>VALUE(庫存金額A類!F3)</f>
        <v>117186506</v>
      </c>
      <c r="H7" s="88">
        <f>VALUE(庫存金額A類!G3)</f>
        <v>114189027</v>
      </c>
      <c r="I7" s="88">
        <f>VALUE(庫存金額A類!H3)</f>
        <v>114190546</v>
      </c>
      <c r="J7" s="88">
        <f>VALUE(庫存金額A類!I3)</f>
        <v>116163504</v>
      </c>
      <c r="K7" s="88">
        <f>VALUE(庫存金額A類!J3)</f>
        <v>114982009</v>
      </c>
      <c r="L7" s="88">
        <f>VALUE(庫存金額A類!K3)</f>
        <v>112638843</v>
      </c>
      <c r="M7" s="88">
        <f>VALUE(庫存金額A類!L3)</f>
        <v>114494827</v>
      </c>
      <c r="N7" s="88">
        <f>VALUE(庫存金額A類!M3)</f>
        <v>115558763</v>
      </c>
      <c r="O7" s="88">
        <f>VALUE(庫存金額A類!N3)</f>
        <v>112677692</v>
      </c>
      <c r="P7" s="88">
        <f>VALUE(庫存金額A類!O3)</f>
        <v>112675500</v>
      </c>
      <c r="Q7" s="88">
        <f>VALUE(庫存金額A類!P3)</f>
        <v>113849082</v>
      </c>
      <c r="R7" s="88">
        <f>VALUE(庫存金額A類!Q3)</f>
        <v>114688474</v>
      </c>
      <c r="S7" s="88">
        <f>VALUE(庫存金額A類!R3)</f>
        <v>114210122</v>
      </c>
      <c r="T7" s="88">
        <f>VALUE(庫存金額A類!S3)</f>
        <v>115699244</v>
      </c>
      <c r="U7" s="88">
        <f>VALUE(庫存金額A類!T3)</f>
        <v>116191187</v>
      </c>
      <c r="V7" s="88">
        <f>VALUE(庫存金額A類!U3)</f>
        <v>118138692</v>
      </c>
      <c r="W7" s="88">
        <f>VALUE(庫存金額A類!V3)</f>
        <v>118132391</v>
      </c>
      <c r="X7" s="88">
        <f>VALUE(庫存金額A類!W3)</f>
        <v>119295785</v>
      </c>
      <c r="Y7" s="88">
        <f>VALUE(庫存金額A類!X3)</f>
        <v>120939663</v>
      </c>
      <c r="Z7" s="88">
        <f>VALUE(庫存金額A類!Y3)</f>
        <v>121958545</v>
      </c>
      <c r="AA7" s="88">
        <f>VALUE(庫存金額A類!Z3)</f>
        <v>124013024</v>
      </c>
      <c r="AB7" s="88">
        <f>VALUE(庫存金額A類!AA3)</f>
        <v>124772943</v>
      </c>
      <c r="AC7" s="88">
        <f>VALUE(庫存金額A類!AB3)</f>
        <v>125754236</v>
      </c>
      <c r="AD7" s="88">
        <f>VALUE(庫存金額A類!AC3)</f>
        <v>125751686</v>
      </c>
      <c r="AE7" s="88">
        <f>VALUE(庫存金額A類!AD3)</f>
        <v>127715098</v>
      </c>
      <c r="AF7" s="88">
        <f>VALUE(庫存金額A類!AE3)</f>
        <v>127059772</v>
      </c>
      <c r="AG7" s="88">
        <f>VALUE(庫存金額A類!AF3)</f>
        <v>130451547</v>
      </c>
      <c r="AH7" s="88">
        <f>VALUE(庫存金額A類!AG3)</f>
        <v>0</v>
      </c>
      <c r="AI7" s="88">
        <f>VALUE(庫存金額A類!AH3)</f>
        <v>118426656.13</v>
      </c>
      <c r="AJ7" s="549">
        <f>AI7/AI9</f>
        <v>0.38826414293082112</v>
      </c>
      <c r="AK7" s="82">
        <f>HLOOKUP(MONTH(日期!$C$2)+1,A類各進口別庫存金額目標!$B$2:$M$7,5,TRUE)</f>
        <v>123425621.10899495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36134055.534872964</v>
      </c>
      <c r="D8" s="88">
        <f>VALUE(庫存金額A類!C4)</f>
        <v>48358096</v>
      </c>
      <c r="E8" s="88">
        <f>VALUE(庫存金額A類!D4)</f>
        <v>46797657</v>
      </c>
      <c r="F8" s="88">
        <f>VALUE(庫存金額A類!E4)</f>
        <v>46797657</v>
      </c>
      <c r="G8" s="88">
        <f>VALUE(庫存金額A類!F4)</f>
        <v>46797657</v>
      </c>
      <c r="H8" s="88">
        <f>VALUE(庫存金額A類!G4)</f>
        <v>45974975</v>
      </c>
      <c r="I8" s="88">
        <f>VALUE(庫存金額A類!H4)</f>
        <v>45974975</v>
      </c>
      <c r="J8" s="88">
        <f>VALUE(庫存金額A類!I4)</f>
        <v>49657056</v>
      </c>
      <c r="K8" s="88">
        <f>VALUE(庫存金額A類!J4)</f>
        <v>48685683</v>
      </c>
      <c r="L8" s="88">
        <f>VALUE(庫存金額A類!K4)</f>
        <v>47430546</v>
      </c>
      <c r="M8" s="88">
        <f>VALUE(庫存金額A類!L4)</f>
        <v>46070281</v>
      </c>
      <c r="N8" s="88">
        <f>VALUE(庫存金額A類!M4)</f>
        <v>46748727</v>
      </c>
      <c r="O8" s="88">
        <f>VALUE(庫存金額A類!N4)</f>
        <v>45492170</v>
      </c>
      <c r="P8" s="88">
        <f>VALUE(庫存金額A類!O4)</f>
        <v>45492170</v>
      </c>
      <c r="Q8" s="88">
        <f>VALUE(庫存金額A類!P4)</f>
        <v>45851521</v>
      </c>
      <c r="R8" s="88">
        <f>VALUE(庫存金額A類!Q4)</f>
        <v>45154712</v>
      </c>
      <c r="S8" s="88">
        <f>VALUE(庫存金額A類!R4)</f>
        <v>45485204</v>
      </c>
      <c r="T8" s="88">
        <f>VALUE(庫存金額A類!S4)</f>
        <v>45918162</v>
      </c>
      <c r="U8" s="88">
        <f>VALUE(庫存金額A類!T4)</f>
        <v>47468651</v>
      </c>
      <c r="V8" s="88">
        <f>VALUE(庫存金額A類!U4)</f>
        <v>46422855</v>
      </c>
      <c r="W8" s="88">
        <f>VALUE(庫存金額A類!V4)</f>
        <v>46422855</v>
      </c>
      <c r="X8" s="88">
        <f>VALUE(庫存金額A類!W4)</f>
        <v>45028459</v>
      </c>
      <c r="Y8" s="88">
        <f>VALUE(庫存金額A類!X4)</f>
        <v>44336180</v>
      </c>
      <c r="Z8" s="88">
        <f>VALUE(庫存金額A類!Y4)</f>
        <v>43979422</v>
      </c>
      <c r="AA8" s="88">
        <f>VALUE(庫存金額A類!Z4)</f>
        <v>46348989</v>
      </c>
      <c r="AB8" s="88">
        <f>VALUE(庫存金額A類!AA4)</f>
        <v>45319030</v>
      </c>
      <c r="AC8" s="88">
        <f>VALUE(庫存金額A類!AB4)</f>
        <v>44417067</v>
      </c>
      <c r="AD8" s="88">
        <f>VALUE(庫存金額A類!AC4)</f>
        <v>44417067</v>
      </c>
      <c r="AE8" s="88">
        <f>VALUE(庫存金額A類!AD4)</f>
        <v>43226211</v>
      </c>
      <c r="AF8" s="88">
        <f>VALUE(庫存金額A類!AE4)</f>
        <v>42183436</v>
      </c>
      <c r="AG8" s="88">
        <f>VALUE(庫存金額A類!AF4)</f>
        <v>41715879</v>
      </c>
      <c r="AH8" s="88">
        <f>VALUE(庫存金額A類!AG4)</f>
        <v>0</v>
      </c>
      <c r="AI8" s="88">
        <f>VALUE(庫存金額A類!AH4)</f>
        <v>45799111.670000002</v>
      </c>
      <c r="AJ8" s="549">
        <f>AI8/AI9</f>
        <v>0.15015329673773437</v>
      </c>
      <c r="AK8" s="82">
        <f>HLOOKUP(MONTH(日期!$C$2)+1,A類各進口別庫存金額目標!$B$2:$M$7,6,TRUE)</f>
        <v>33793444.847199053</v>
      </c>
    </row>
    <row r="9" spans="1:37" ht="19.5">
      <c r="A9" s="682" t="s">
        <v>73</v>
      </c>
      <c r="B9" s="682"/>
      <c r="C9" s="83">
        <f>SUM(C6:C8)</f>
        <v>300722632.26954645</v>
      </c>
      <c r="D9" s="84">
        <f t="shared" ref="D9:AH9" si="0">SUM(D6:D8)</f>
        <v>306632022</v>
      </c>
      <c r="E9" s="84">
        <f t="shared" si="0"/>
        <v>308856429</v>
      </c>
      <c r="F9" s="84">
        <f t="shared" si="0"/>
        <v>308863560</v>
      </c>
      <c r="G9" s="84">
        <f t="shared" si="0"/>
        <v>308863560</v>
      </c>
      <c r="H9" s="84">
        <f t="shared" si="0"/>
        <v>301057324</v>
      </c>
      <c r="I9" s="84">
        <f t="shared" si="0"/>
        <v>301501607</v>
      </c>
      <c r="J9" s="84">
        <f t="shared" si="0"/>
        <v>309930425</v>
      </c>
      <c r="K9" s="84">
        <f t="shared" si="0"/>
        <v>305978853</v>
      </c>
      <c r="L9" s="84">
        <f t="shared" si="0"/>
        <v>303058573</v>
      </c>
      <c r="M9" s="84">
        <f t="shared" si="0"/>
        <v>305381472</v>
      </c>
      <c r="N9" s="84">
        <f t="shared" si="0"/>
        <v>306986017</v>
      </c>
      <c r="O9" s="84">
        <f t="shared" si="0"/>
        <v>300066320</v>
      </c>
      <c r="P9" s="84">
        <f t="shared" si="0"/>
        <v>300040308</v>
      </c>
      <c r="Q9" s="84">
        <f>SUM(Q6:Q8)</f>
        <v>302087992</v>
      </c>
      <c r="R9" s="84">
        <f t="shared" si="0"/>
        <v>302358267</v>
      </c>
      <c r="S9" s="84">
        <f t="shared" si="0"/>
        <v>302329246</v>
      </c>
      <c r="T9" s="84">
        <f t="shared" si="0"/>
        <v>302552951</v>
      </c>
      <c r="U9" s="84">
        <f t="shared" si="0"/>
        <v>305633792</v>
      </c>
      <c r="V9" s="84">
        <f t="shared" si="0"/>
        <v>303481685</v>
      </c>
      <c r="W9" s="84">
        <f t="shared" si="0"/>
        <v>303470917</v>
      </c>
      <c r="X9" s="84">
        <f t="shared" si="0"/>
        <v>301128724</v>
      </c>
      <c r="Y9" s="84">
        <f t="shared" si="0"/>
        <v>303095676</v>
      </c>
      <c r="Z9" s="84">
        <f t="shared" si="0"/>
        <v>302782023</v>
      </c>
      <c r="AA9" s="84">
        <f t="shared" si="0"/>
        <v>307506855</v>
      </c>
      <c r="AB9" s="84">
        <f>SUM(AB6:AB8)</f>
        <v>307831306</v>
      </c>
      <c r="AC9" s="84">
        <f t="shared" si="0"/>
        <v>305924672</v>
      </c>
      <c r="AD9" s="84">
        <f t="shared" si="0"/>
        <v>305922122</v>
      </c>
      <c r="AE9" s="84">
        <f t="shared" si="0"/>
        <v>307048831</v>
      </c>
      <c r="AF9" s="84">
        <f t="shared" si="0"/>
        <v>308146319</v>
      </c>
      <c r="AG9" s="84">
        <f t="shared" si="0"/>
        <v>311952904</v>
      </c>
      <c r="AH9" s="84">
        <f t="shared" si="0"/>
        <v>0</v>
      </c>
      <c r="AI9" s="84">
        <f>SUM(AI6:AI8)</f>
        <v>305015691.73000002</v>
      </c>
      <c r="AJ9" s="550">
        <f>AI9/AI$9</f>
        <v>1</v>
      </c>
      <c r="AK9" s="83">
        <f>SUM(AK6:AK8)</f>
        <v>299861286.73782527</v>
      </c>
    </row>
    <row r="10" spans="1:37">
      <c r="AI10" s="98">
        <f>AI9-C9</f>
        <v>4293059.4604535699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X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2025/04/01</v>
      </c>
      <c r="D4" s="528" t="str">
        <f>日期!D2</f>
        <v>2025/04/02</v>
      </c>
      <c r="E4" s="528" t="str">
        <f>日期!E2</f>
        <v>2025/04/03</v>
      </c>
      <c r="F4" s="528" t="str">
        <f>日期!F2</f>
        <v>2025/04/04</v>
      </c>
      <c r="G4" s="528" t="str">
        <f>日期!G2</f>
        <v>2025/04/05</v>
      </c>
      <c r="H4" s="528" t="str">
        <f>日期!H2</f>
        <v>2025/04/06</v>
      </c>
      <c r="I4" s="528" t="str">
        <f>日期!I2</f>
        <v>2025/04/07</v>
      </c>
      <c r="J4" s="528" t="str">
        <f>日期!J2</f>
        <v>2025/04/08</v>
      </c>
      <c r="K4" s="528" t="str">
        <f>日期!K2</f>
        <v>2025/04/09</v>
      </c>
      <c r="L4" s="528" t="str">
        <f>日期!L2</f>
        <v>2025/04/10</v>
      </c>
      <c r="M4" s="528" t="str">
        <f>日期!M2</f>
        <v>2025/04/11</v>
      </c>
      <c r="N4" s="528" t="str">
        <f>日期!N2</f>
        <v>2025/04/12</v>
      </c>
      <c r="O4" s="528" t="str">
        <f>日期!O2</f>
        <v>2025/04/13</v>
      </c>
      <c r="P4" s="528" t="str">
        <f>日期!P2</f>
        <v>2025/04/14</v>
      </c>
      <c r="Q4" s="528" t="str">
        <f>日期!Q2</f>
        <v>2025/04/15</v>
      </c>
      <c r="R4" s="528" t="str">
        <f>日期!R2</f>
        <v>2025/04/16</v>
      </c>
      <c r="S4" s="528" t="str">
        <f>日期!S2</f>
        <v>2025/04/17</v>
      </c>
      <c r="T4" s="528" t="str">
        <f>日期!T2</f>
        <v>2025/04/18</v>
      </c>
      <c r="U4" s="528" t="str">
        <f>日期!U2</f>
        <v>2025/04/19</v>
      </c>
      <c r="V4" s="528" t="str">
        <f>日期!V2</f>
        <v>2025/04/20</v>
      </c>
      <c r="W4" s="528" t="str">
        <f>日期!W2</f>
        <v>2025/04/21</v>
      </c>
      <c r="X4" s="528" t="str">
        <f>日期!X2</f>
        <v>2025/04/22</v>
      </c>
      <c r="Y4" s="528" t="str">
        <f>日期!Y2</f>
        <v>2025/04/23</v>
      </c>
      <c r="Z4" s="528" t="str">
        <f>日期!Z2</f>
        <v>2025/04/24</v>
      </c>
      <c r="AA4" s="528" t="str">
        <f>日期!AA2</f>
        <v>2025/04/25</v>
      </c>
      <c r="AB4" s="528" t="str">
        <f>日期!AB2</f>
        <v>2025/04/26</v>
      </c>
      <c r="AC4" s="528" t="str">
        <f>日期!AC2</f>
        <v>2025/04/27</v>
      </c>
      <c r="AD4" s="528" t="str">
        <f>日期!AD2</f>
        <v>2025/04/28</v>
      </c>
      <c r="AE4" s="528" t="str">
        <f>日期!AE2</f>
        <v>2025/04/29</v>
      </c>
      <c r="AF4" s="528" t="str">
        <f>日期!AF2</f>
        <v>2025/04/30</v>
      </c>
      <c r="AG4" s="528">
        <f>日期!AG2</f>
        <v>0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Tue</v>
      </c>
      <c r="D5" s="522" t="str">
        <f>日期!D3</f>
        <v>Wed</v>
      </c>
      <c r="E5" s="522" t="str">
        <f>日期!E3</f>
        <v>Thu</v>
      </c>
      <c r="F5" s="522" t="str">
        <f>日期!F3</f>
        <v>Fri</v>
      </c>
      <c r="G5" s="522" t="str">
        <f>日期!G3</f>
        <v>Sat</v>
      </c>
      <c r="H5" s="522" t="str">
        <f>日期!H3</f>
        <v>Sun</v>
      </c>
      <c r="I5" s="522" t="str">
        <f>日期!I3</f>
        <v>Mon</v>
      </c>
      <c r="J5" s="522" t="str">
        <f>日期!J3</f>
        <v>Tue</v>
      </c>
      <c r="K5" s="522" t="str">
        <f>日期!K3</f>
        <v>Wed</v>
      </c>
      <c r="L5" s="522" t="str">
        <f>日期!L3</f>
        <v>Thu</v>
      </c>
      <c r="M5" s="522" t="str">
        <f>日期!M3</f>
        <v>Fri</v>
      </c>
      <c r="N5" s="522" t="str">
        <f>日期!N3</f>
        <v>Sat</v>
      </c>
      <c r="O5" s="522" t="str">
        <f>日期!O3</f>
        <v>Sun</v>
      </c>
      <c r="P5" s="522" t="str">
        <f>日期!P3</f>
        <v>Mon</v>
      </c>
      <c r="Q5" s="522" t="str">
        <f>日期!Q3</f>
        <v>Tue</v>
      </c>
      <c r="R5" s="522" t="str">
        <f>日期!R3</f>
        <v>Wed</v>
      </c>
      <c r="S5" s="522" t="str">
        <f>日期!S3</f>
        <v>Thu</v>
      </c>
      <c r="T5" s="522" t="str">
        <f>日期!T3</f>
        <v>Fri</v>
      </c>
      <c r="U5" s="522" t="str">
        <f>日期!U3</f>
        <v>Sat</v>
      </c>
      <c r="V5" s="522" t="str">
        <f>日期!V3</f>
        <v>Sun</v>
      </c>
      <c r="W5" s="522" t="str">
        <f>日期!W3</f>
        <v>Mon</v>
      </c>
      <c r="X5" s="522" t="str">
        <f>日期!X3</f>
        <v>Tue</v>
      </c>
      <c r="Y5" s="522" t="str">
        <f>日期!Y3</f>
        <v>Wed</v>
      </c>
      <c r="Z5" s="522" t="str">
        <f>日期!Z3</f>
        <v>Thu</v>
      </c>
      <c r="AA5" s="522" t="str">
        <f>日期!AA3</f>
        <v>Fri</v>
      </c>
      <c r="AB5" s="522" t="str">
        <f>日期!AB3</f>
        <v>Sat</v>
      </c>
      <c r="AC5" s="522" t="str">
        <f>日期!AC3</f>
        <v>Sun</v>
      </c>
      <c r="AD5" s="522" t="str">
        <f>日期!AD3</f>
        <v>Mon</v>
      </c>
      <c r="AE5" s="522" t="str">
        <f>日期!AE3</f>
        <v>Tue</v>
      </c>
      <c r="AF5" s="522" t="str">
        <f>日期!AF3</f>
        <v>Wed</v>
      </c>
      <c r="AG5" s="522">
        <f>日期!AG3</f>
        <v>0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12871867</v>
      </c>
      <c r="D6" s="103">
        <f>VALUE(期貨金額!E2)</f>
        <v>15027003</v>
      </c>
      <c r="E6" s="103">
        <f>VALUE(期貨金額!F2)</f>
        <v>15027003</v>
      </c>
      <c r="F6" s="103">
        <f>VALUE(期貨金額!G2)</f>
        <v>15027003</v>
      </c>
      <c r="G6" s="103">
        <f>VALUE(期貨金額!H2)</f>
        <v>15024136</v>
      </c>
      <c r="H6" s="103">
        <f>VALUE(期貨金額!I2)</f>
        <v>14579139</v>
      </c>
      <c r="I6" s="103">
        <f>VALUE(期貨金額!J2)</f>
        <v>12741603</v>
      </c>
      <c r="J6" s="103">
        <f>VALUE(期貨金額!K2)</f>
        <v>14890212</v>
      </c>
      <c r="K6" s="103">
        <f>VALUE(期貨金額!L2)</f>
        <v>14526975</v>
      </c>
      <c r="L6" s="103">
        <f>VALUE(期貨金額!M2)</f>
        <v>14193691</v>
      </c>
      <c r="M6" s="103">
        <f>VALUE(期貨金額!N2)</f>
        <v>14554219</v>
      </c>
      <c r="N6" s="103">
        <f>VALUE(期貨金額!O2)</f>
        <v>15037297</v>
      </c>
      <c r="O6" s="103">
        <f>VALUE(期貨金額!P2)</f>
        <v>15037297</v>
      </c>
      <c r="P6" s="103">
        <f>VALUE(期貨金額!Q2)</f>
        <v>14383470</v>
      </c>
      <c r="Q6" s="103">
        <f>VALUE(期貨金額!R2)</f>
        <v>15320619</v>
      </c>
      <c r="R6" s="103">
        <f>VALUE(期貨金額!S2)</f>
        <v>16171417</v>
      </c>
      <c r="S6" s="103">
        <f>VALUE(期貨金額!T2)</f>
        <v>15958766</v>
      </c>
      <c r="T6" s="103">
        <f>VALUE(期貨金額!U2)</f>
        <v>15011393</v>
      </c>
      <c r="U6" s="103">
        <f>VALUE(期貨金額!V2)</f>
        <v>15007459</v>
      </c>
      <c r="V6" s="103">
        <f>VALUE(期貨金額!W2)</f>
        <v>15007459</v>
      </c>
      <c r="W6" s="103">
        <f>VALUE(期貨金額!X2)</f>
        <v>15377646</v>
      </c>
      <c r="X6" s="103">
        <f>VALUE(期貨金額!Y2)</f>
        <v>14255346</v>
      </c>
      <c r="Y6" s="103">
        <f>VALUE(期貨金額!Z2)</f>
        <v>16275573</v>
      </c>
      <c r="Z6" s="103">
        <f>VALUE(期貨金額!AA2)</f>
        <v>15588859</v>
      </c>
      <c r="AA6" s="103">
        <f>VALUE(期貨金額!AB2)</f>
        <v>15189140</v>
      </c>
      <c r="AB6" s="103">
        <f>VALUE(期貨金額!AC2)</f>
        <v>14709919</v>
      </c>
      <c r="AC6" s="103">
        <f>VALUE(期貨金額!AD2)</f>
        <v>14709919</v>
      </c>
      <c r="AD6" s="103">
        <f>VALUE(期貨金額!AE2)</f>
        <v>14362082</v>
      </c>
      <c r="AE6" s="103">
        <f>VALUE(期貨金額!AF2)</f>
        <v>12743012</v>
      </c>
      <c r="AF6" s="103">
        <f>VALUE(期貨金額!AG2)</f>
        <v>11269974</v>
      </c>
      <c r="AG6" s="103">
        <f>VALUE(期貨金額!AH2)</f>
        <v>0</v>
      </c>
      <c r="AH6" s="103">
        <f>VALUE(期貨金額!AI2)</f>
        <v>14662649.93</v>
      </c>
      <c r="AI6" s="504">
        <f>AH6/$AH$19</f>
        <v>0.54845074762513446</v>
      </c>
    </row>
    <row r="7" spans="1:35" ht="17.45">
      <c r="A7" s="105" t="s">
        <v>72</v>
      </c>
      <c r="B7" s="106" t="s">
        <v>237</v>
      </c>
      <c r="C7" s="103">
        <f>VALUE(期貨金額!D3)</f>
        <v>7753666</v>
      </c>
      <c r="D7" s="103">
        <f>VALUE(期貨金額!E3)</f>
        <v>7628363</v>
      </c>
      <c r="E7" s="103">
        <f>VALUE(期貨金額!F3)</f>
        <v>7628363</v>
      </c>
      <c r="F7" s="103">
        <f>VALUE(期貨金額!G3)</f>
        <v>7628363</v>
      </c>
      <c r="G7" s="103">
        <f>VALUE(期貨金額!H3)</f>
        <v>7628363</v>
      </c>
      <c r="H7" s="103">
        <f>VALUE(期貨金額!I3)</f>
        <v>7628363</v>
      </c>
      <c r="I7" s="103">
        <f>VALUE(期貨金額!J3)</f>
        <v>7980206</v>
      </c>
      <c r="J7" s="103">
        <f>VALUE(期貨金額!K3)</f>
        <v>7530884</v>
      </c>
      <c r="K7" s="103">
        <f>VALUE(期貨金額!L3)</f>
        <v>7473415</v>
      </c>
      <c r="L7" s="103">
        <f>VALUE(期貨金額!M3)</f>
        <v>7472408</v>
      </c>
      <c r="M7" s="103">
        <f>VALUE(期貨金額!N3)</f>
        <v>7420568</v>
      </c>
      <c r="N7" s="103">
        <f>VALUE(期貨金額!O3)</f>
        <v>7420276</v>
      </c>
      <c r="O7" s="103">
        <f>VALUE(期貨金額!P3)</f>
        <v>7420276</v>
      </c>
      <c r="P7" s="103">
        <f>VALUE(期貨金額!Q3)</f>
        <v>7014017</v>
      </c>
      <c r="Q7" s="103">
        <f>VALUE(期貨金額!R3)</f>
        <v>6988802</v>
      </c>
      <c r="R7" s="103">
        <f>VALUE(期貨金額!S3)</f>
        <v>6986034</v>
      </c>
      <c r="S7" s="103">
        <f>VALUE(期貨金額!T3)</f>
        <v>6991933</v>
      </c>
      <c r="T7" s="103">
        <f>VALUE(期貨金額!U3)</f>
        <v>6967502</v>
      </c>
      <c r="U7" s="103">
        <f>VALUE(期貨金額!V3)</f>
        <v>7050791</v>
      </c>
      <c r="V7" s="103">
        <f>VALUE(期貨金額!W3)</f>
        <v>7050791</v>
      </c>
      <c r="W7" s="103">
        <f>VALUE(期貨金額!X3)</f>
        <v>7595211</v>
      </c>
      <c r="X7" s="103">
        <f>VALUE(期貨金額!Y3)</f>
        <v>8368625</v>
      </c>
      <c r="Y7" s="103">
        <f>VALUE(期貨金額!Z3)</f>
        <v>8198298</v>
      </c>
      <c r="Z7" s="103">
        <f>VALUE(期貨金額!AA3)</f>
        <v>8211154</v>
      </c>
      <c r="AA7" s="103">
        <f>VALUE(期貨金額!AB3)</f>
        <v>8247830</v>
      </c>
      <c r="AB7" s="103">
        <f>VALUE(期貨金額!AC3)</f>
        <v>8250355</v>
      </c>
      <c r="AC7" s="103">
        <f>VALUE(期貨金額!AD3)</f>
        <v>8250355</v>
      </c>
      <c r="AD7" s="103">
        <f>VALUE(期貨金額!AE3)</f>
        <v>8391594</v>
      </c>
      <c r="AE7" s="103">
        <f>VALUE(期貨金額!AF3)</f>
        <v>7618689</v>
      </c>
      <c r="AF7" s="103">
        <f>VALUE(期貨金額!AG3)</f>
        <v>6346190</v>
      </c>
      <c r="AG7" s="103">
        <f>VALUE(期貨金額!AH3)</f>
        <v>0</v>
      </c>
      <c r="AH7" s="103">
        <f>VALUE(期貨金額!AI3)</f>
        <v>7571389.5</v>
      </c>
      <c r="AI7" s="504">
        <f t="shared" ref="AI7:AI17" si="0">AH7/$AH$19</f>
        <v>0.28320489486282735</v>
      </c>
    </row>
    <row r="8" spans="1:35" ht="17.45">
      <c r="A8" s="105" t="s">
        <v>72</v>
      </c>
      <c r="B8" s="106">
        <v>4</v>
      </c>
      <c r="C8" s="103">
        <f>VALUE(期貨金額!D4)</f>
        <v>4510339</v>
      </c>
      <c r="D8" s="103">
        <f>VALUE(期貨金額!E4)</f>
        <v>4515309</v>
      </c>
      <c r="E8" s="103">
        <f>VALUE(期貨金額!F4)</f>
        <v>4515309</v>
      </c>
      <c r="F8" s="103">
        <f>VALUE(期貨金額!G4)</f>
        <v>4515309</v>
      </c>
      <c r="G8" s="103">
        <f>VALUE(期貨金額!H4)</f>
        <v>4515309</v>
      </c>
      <c r="H8" s="103">
        <f>VALUE(期貨金額!I4)</f>
        <v>4515309</v>
      </c>
      <c r="I8" s="103">
        <f>VALUE(期貨金額!J4)</f>
        <v>4515271</v>
      </c>
      <c r="J8" s="103">
        <f>VALUE(期貨金額!K4)</f>
        <v>4561570</v>
      </c>
      <c r="K8" s="103">
        <f>VALUE(期貨金額!L4)</f>
        <v>4659056</v>
      </c>
      <c r="L8" s="103">
        <f>VALUE(期貨金額!M4)</f>
        <v>4786309</v>
      </c>
      <c r="M8" s="103">
        <f>VALUE(期貨金額!N4)</f>
        <v>4762379</v>
      </c>
      <c r="N8" s="103">
        <f>VALUE(期貨金額!O4)</f>
        <v>4763408</v>
      </c>
      <c r="O8" s="103">
        <f>VALUE(期貨金額!P4)</f>
        <v>4763408</v>
      </c>
      <c r="P8" s="103">
        <f>VALUE(期貨金額!Q4)</f>
        <v>4670115</v>
      </c>
      <c r="Q8" s="103">
        <f>VALUE(期貨金額!R4)</f>
        <v>4583971</v>
      </c>
      <c r="R8" s="103">
        <f>VALUE(期貨金額!S4)</f>
        <v>4580286</v>
      </c>
      <c r="S8" s="103">
        <f>VALUE(期貨金額!T4)</f>
        <v>4459997</v>
      </c>
      <c r="T8" s="103">
        <f>VALUE(期貨金額!U4)</f>
        <v>4369544</v>
      </c>
      <c r="U8" s="103">
        <f>VALUE(期貨金額!V4)</f>
        <v>4369544</v>
      </c>
      <c r="V8" s="103">
        <f>VALUE(期貨金額!W4)</f>
        <v>4369544</v>
      </c>
      <c r="W8" s="103">
        <f>VALUE(期貨金額!X4)</f>
        <v>4368751</v>
      </c>
      <c r="X8" s="103">
        <f>VALUE(期貨金額!Y4)</f>
        <v>4390903</v>
      </c>
      <c r="Y8" s="103">
        <f>VALUE(期貨金額!Z4)</f>
        <v>4390632</v>
      </c>
      <c r="Z8" s="103">
        <f>VALUE(期貨金額!AA4)</f>
        <v>4762693</v>
      </c>
      <c r="AA8" s="103">
        <f>VALUE(期貨金額!AB4)</f>
        <v>4480599</v>
      </c>
      <c r="AB8" s="103">
        <f>VALUE(期貨金額!AC4)</f>
        <v>4480609</v>
      </c>
      <c r="AC8" s="103">
        <f>VALUE(期貨金額!AD4)</f>
        <v>4480609</v>
      </c>
      <c r="AD8" s="103">
        <f>VALUE(期貨金額!AE4)</f>
        <v>4416628</v>
      </c>
      <c r="AE8" s="103">
        <f>VALUE(期貨金額!AF4)</f>
        <v>4004859</v>
      </c>
      <c r="AF8" s="103">
        <f>VALUE(期貨金額!AG4)</f>
        <v>3592653</v>
      </c>
      <c r="AG8" s="103">
        <f>VALUE(期貨金額!AH4)</f>
        <v>0</v>
      </c>
      <c r="AH8" s="103">
        <f>VALUE(期貨金額!AI4)</f>
        <v>4489007.4000000004</v>
      </c>
      <c r="AI8" s="504">
        <f t="shared" si="0"/>
        <v>0.16790958499169198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0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0</v>
      </c>
      <c r="AI14" s="504">
        <f t="shared" si="0"/>
        <v>0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17231</v>
      </c>
      <c r="D17" s="103">
        <f>VALUE(期貨金額!E15)</f>
        <v>11931</v>
      </c>
      <c r="E17" s="103">
        <f>VALUE(期貨金額!F15)</f>
        <v>11931</v>
      </c>
      <c r="F17" s="103">
        <f>VALUE(期貨金額!G15)</f>
        <v>11931</v>
      </c>
      <c r="G17" s="103">
        <f>VALUE(期貨金額!H15)</f>
        <v>11931</v>
      </c>
      <c r="H17" s="103">
        <f>VALUE(期貨金額!I15)</f>
        <v>11931</v>
      </c>
      <c r="I17" s="103">
        <f>VALUE(期貨金額!J15)</f>
        <v>11931</v>
      </c>
      <c r="J17" s="103">
        <f>VALUE(期貨金額!K15)</f>
        <v>11931</v>
      </c>
      <c r="K17" s="103">
        <f>VALUE(期貨金額!L15)</f>
        <v>13105</v>
      </c>
      <c r="L17" s="103">
        <f>VALUE(期貨金額!M15)</f>
        <v>13106</v>
      </c>
      <c r="M17" s="103">
        <f>VALUE(期貨金額!N15)</f>
        <v>10666</v>
      </c>
      <c r="N17" s="103">
        <f>VALUE(期貨金額!O15)</f>
        <v>10666</v>
      </c>
      <c r="O17" s="103">
        <f>VALUE(期貨金額!P15)</f>
        <v>10666</v>
      </c>
      <c r="P17" s="103">
        <f>VALUE(期貨金額!Q15)</f>
        <v>10666</v>
      </c>
      <c r="Q17" s="103">
        <f>VALUE(期貨金額!R15)</f>
        <v>13266</v>
      </c>
      <c r="R17" s="103">
        <f>VALUE(期貨金額!S15)</f>
        <v>13266</v>
      </c>
      <c r="S17" s="103">
        <f>VALUE(期貨金額!T15)</f>
        <v>13265</v>
      </c>
      <c r="T17" s="103">
        <f>VALUE(期貨金額!U15)</f>
        <v>13265</v>
      </c>
      <c r="U17" s="103">
        <f>VALUE(期貨金額!V15)</f>
        <v>13265</v>
      </c>
      <c r="V17" s="103">
        <f>VALUE(期貨金額!W15)</f>
        <v>13265</v>
      </c>
      <c r="W17" s="103">
        <f>VALUE(期貨金額!X15)</f>
        <v>13265</v>
      </c>
      <c r="X17" s="103">
        <f>VALUE(期貨金額!Y15)</f>
        <v>13265</v>
      </c>
      <c r="Y17" s="103">
        <f>VALUE(期貨金額!Z15)</f>
        <v>13265</v>
      </c>
      <c r="Z17" s="103">
        <f>VALUE(期貨金額!AA15)</f>
        <v>9399</v>
      </c>
      <c r="AA17" s="103">
        <f>VALUE(期貨金額!AB15)</f>
        <v>9399</v>
      </c>
      <c r="AB17" s="103">
        <f>VALUE(期貨金額!AC15)</f>
        <v>9399</v>
      </c>
      <c r="AC17" s="103">
        <f>VALUE(期貨金額!AD15)</f>
        <v>9399</v>
      </c>
      <c r="AD17" s="103">
        <f>VALUE(期貨金額!AE15)</f>
        <v>9399</v>
      </c>
      <c r="AE17" s="103">
        <f>VALUE(期貨金額!AF15)</f>
        <v>6350</v>
      </c>
      <c r="AF17" s="103">
        <f>VALUE(期貨金額!AG15)</f>
        <v>6350</v>
      </c>
      <c r="AG17" s="103">
        <f>VALUE(期貨金額!AH15)</f>
        <v>0</v>
      </c>
      <c r="AH17" s="103">
        <f>VALUE(期貨金額!AI15)</f>
        <v>11623.5</v>
      </c>
      <c r="AI17" s="504">
        <f t="shared" si="0"/>
        <v>4.347725203462421E-4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25153103</v>
      </c>
      <c r="D19" s="107">
        <f t="shared" si="1"/>
        <v>27182606</v>
      </c>
      <c r="E19" s="107">
        <f t="shared" si="1"/>
        <v>27182606</v>
      </c>
      <c r="F19" s="107">
        <f t="shared" si="1"/>
        <v>27182606</v>
      </c>
      <c r="G19" s="107">
        <f t="shared" si="1"/>
        <v>27179739</v>
      </c>
      <c r="H19" s="107">
        <f t="shared" si="1"/>
        <v>26734742</v>
      </c>
      <c r="I19" s="107">
        <f t="shared" si="1"/>
        <v>25249011</v>
      </c>
      <c r="J19" s="107">
        <f t="shared" si="1"/>
        <v>26994597</v>
      </c>
      <c r="K19" s="107">
        <f t="shared" si="1"/>
        <v>26672551</v>
      </c>
      <c r="L19" s="107">
        <f t="shared" si="1"/>
        <v>26465514</v>
      </c>
      <c r="M19" s="107">
        <f t="shared" si="1"/>
        <v>26747832</v>
      </c>
      <c r="N19" s="107">
        <f t="shared" si="1"/>
        <v>27231647</v>
      </c>
      <c r="O19" s="107">
        <f t="shared" si="1"/>
        <v>27231647</v>
      </c>
      <c r="P19" s="107">
        <f t="shared" si="1"/>
        <v>26078268</v>
      </c>
      <c r="Q19" s="107">
        <f t="shared" si="1"/>
        <v>26906658</v>
      </c>
      <c r="R19" s="107">
        <f t="shared" si="1"/>
        <v>27751003</v>
      </c>
      <c r="S19" s="107">
        <f t="shared" si="1"/>
        <v>27423961</v>
      </c>
      <c r="T19" s="107">
        <f t="shared" si="1"/>
        <v>26361704</v>
      </c>
      <c r="U19" s="107">
        <f t="shared" si="1"/>
        <v>26441059</v>
      </c>
      <c r="V19" s="107">
        <f t="shared" si="1"/>
        <v>26441059</v>
      </c>
      <c r="W19" s="107">
        <f t="shared" si="1"/>
        <v>27354873</v>
      </c>
      <c r="X19" s="107">
        <f>SUM(X6:X18)</f>
        <v>27028139</v>
      </c>
      <c r="Y19" s="107">
        <f t="shared" si="1"/>
        <v>28877768</v>
      </c>
      <c r="Z19" s="107">
        <f t="shared" si="1"/>
        <v>28572105</v>
      </c>
      <c r="AA19" s="107">
        <f t="shared" si="1"/>
        <v>27926968</v>
      </c>
      <c r="AB19" s="107">
        <f t="shared" si="1"/>
        <v>27450282</v>
      </c>
      <c r="AC19" s="107">
        <f t="shared" si="1"/>
        <v>27450282</v>
      </c>
      <c r="AD19" s="107">
        <f t="shared" si="1"/>
        <v>27179703</v>
      </c>
      <c r="AE19" s="107">
        <f t="shared" si="1"/>
        <v>24372910</v>
      </c>
      <c r="AF19" s="107">
        <f t="shared" si="1"/>
        <v>21215167</v>
      </c>
      <c r="AG19" s="107">
        <f t="shared" si="1"/>
        <v>0</v>
      </c>
      <c r="AH19" s="107">
        <f t="shared" si="1"/>
        <v>26734670.329999998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1477217</v>
      </c>
      <c r="D20" s="103">
        <f>VALUE(期貨金額!E7)</f>
        <v>1479940</v>
      </c>
      <c r="E20" s="103">
        <f>VALUE(期貨金額!F7)</f>
        <v>1479940</v>
      </c>
      <c r="F20" s="103">
        <f>VALUE(期貨金額!G7)</f>
        <v>1479940</v>
      </c>
      <c r="G20" s="103">
        <f>VALUE(期貨金額!H7)</f>
        <v>1479940</v>
      </c>
      <c r="H20" s="103">
        <f>VALUE(期貨金額!I7)</f>
        <v>1479940</v>
      </c>
      <c r="I20" s="103">
        <f>VALUE(期貨金額!J7)</f>
        <v>1482797</v>
      </c>
      <c r="J20" s="103">
        <f>VALUE(期貨金額!K7)</f>
        <v>1463990</v>
      </c>
      <c r="K20" s="103">
        <f>VALUE(期貨金額!L7)</f>
        <v>1466387</v>
      </c>
      <c r="L20" s="103">
        <f>VALUE(期貨金額!M7)</f>
        <v>1469374</v>
      </c>
      <c r="M20" s="103">
        <f>VALUE(期貨金額!N7)</f>
        <v>1469483</v>
      </c>
      <c r="N20" s="103">
        <f>VALUE(期貨金額!O7)</f>
        <v>1469899</v>
      </c>
      <c r="O20" s="103">
        <f>VALUE(期貨金額!P7)</f>
        <v>1469899</v>
      </c>
      <c r="P20" s="103">
        <f>VALUE(期貨金額!Q7)</f>
        <v>1471106</v>
      </c>
      <c r="Q20" s="103">
        <f>VALUE(期貨金額!R7)</f>
        <v>1472524</v>
      </c>
      <c r="R20" s="103">
        <f>VALUE(期貨金額!S7)</f>
        <v>1474020</v>
      </c>
      <c r="S20" s="103">
        <f>VALUE(期貨金額!T7)</f>
        <v>1515296</v>
      </c>
      <c r="T20" s="103">
        <f>VALUE(期貨金額!U7)</f>
        <v>1549652</v>
      </c>
      <c r="U20" s="103">
        <f>VALUE(期貨金額!V7)</f>
        <v>1549654</v>
      </c>
      <c r="V20" s="103">
        <f>VALUE(期貨金額!W7)</f>
        <v>1549654</v>
      </c>
      <c r="W20" s="103">
        <f>VALUE(期貨金額!X7)</f>
        <v>1545577</v>
      </c>
      <c r="X20" s="103">
        <f>VALUE(期貨金額!Y7)</f>
        <v>1551392</v>
      </c>
      <c r="Y20" s="103">
        <f>VALUE(期貨金額!Z7)</f>
        <v>1582540</v>
      </c>
      <c r="Z20" s="103">
        <f>VALUE(期貨金額!AA7)</f>
        <v>1670692</v>
      </c>
      <c r="AA20" s="103">
        <f>VALUE(期貨金額!AB7)</f>
        <v>1733704</v>
      </c>
      <c r="AB20" s="103">
        <f>VALUE(期貨金額!AC7)</f>
        <v>1732393</v>
      </c>
      <c r="AC20" s="103">
        <f>VALUE(期貨金額!AD7)</f>
        <v>1732393</v>
      </c>
      <c r="AD20" s="103">
        <f>VALUE(期貨金額!AE7)</f>
        <v>1692719</v>
      </c>
      <c r="AE20" s="103">
        <f>VALUE(期貨金額!AF7)</f>
        <v>1762247</v>
      </c>
      <c r="AF20" s="103">
        <f>VALUE(期貨金額!AG7)</f>
        <v>1815285</v>
      </c>
      <c r="AG20" s="103">
        <f>VALUE(期貨金額!AH7)</f>
        <v>0</v>
      </c>
      <c r="AH20" s="103">
        <f>VALUE(期貨金額!AI7)</f>
        <v>1552319.8</v>
      </c>
      <c r="AI20" s="504">
        <f>AH20/$AH$26</f>
        <v>0.99991548847596479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1968</v>
      </c>
      <c r="AF22" s="103">
        <f>VALUE(期貨金額!AG21)</f>
        <v>1968</v>
      </c>
      <c r="AG22" s="103">
        <f>VALUE(期貨金額!AH21)</f>
        <v>0</v>
      </c>
      <c r="AH22" s="103">
        <f>VALUE(期貨金額!AI21)</f>
        <v>131.19999999999999</v>
      </c>
      <c r="AI22" s="504">
        <f t="shared" si="2"/>
        <v>8.451152403521914E-5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1477217</v>
      </c>
      <c r="D26" s="107">
        <f>SUM(D20:D25)</f>
        <v>1479940</v>
      </c>
      <c r="E26" s="107">
        <f>SUM(E20:E25)</f>
        <v>1479940</v>
      </c>
      <c r="F26" s="107">
        <f t="shared" ref="F26:AH26" si="3">SUM(F20:F25)</f>
        <v>1479940</v>
      </c>
      <c r="G26" s="107">
        <f t="shared" si="3"/>
        <v>1479940</v>
      </c>
      <c r="H26" s="107">
        <f t="shared" si="3"/>
        <v>1479940</v>
      </c>
      <c r="I26" s="107">
        <f t="shared" si="3"/>
        <v>1482797</v>
      </c>
      <c r="J26" s="107">
        <f t="shared" si="3"/>
        <v>1463990</v>
      </c>
      <c r="K26" s="107">
        <f t="shared" si="3"/>
        <v>1466387</v>
      </c>
      <c r="L26" s="107">
        <f t="shared" si="3"/>
        <v>1469374</v>
      </c>
      <c r="M26" s="107">
        <f t="shared" si="3"/>
        <v>1469483</v>
      </c>
      <c r="N26" s="107">
        <f t="shared" si="3"/>
        <v>1469899</v>
      </c>
      <c r="O26" s="107">
        <f t="shared" si="3"/>
        <v>1469899</v>
      </c>
      <c r="P26" s="107">
        <f t="shared" si="3"/>
        <v>1471106</v>
      </c>
      <c r="Q26" s="107">
        <f t="shared" si="3"/>
        <v>1472524</v>
      </c>
      <c r="R26" s="107">
        <f t="shared" si="3"/>
        <v>1474020</v>
      </c>
      <c r="S26" s="107">
        <f t="shared" si="3"/>
        <v>1515296</v>
      </c>
      <c r="T26" s="107">
        <f t="shared" si="3"/>
        <v>1549652</v>
      </c>
      <c r="U26" s="107">
        <f t="shared" si="3"/>
        <v>1549654</v>
      </c>
      <c r="V26" s="107">
        <f t="shared" si="3"/>
        <v>1549654</v>
      </c>
      <c r="W26" s="107">
        <f t="shared" si="3"/>
        <v>1545577</v>
      </c>
      <c r="X26" s="107">
        <f t="shared" si="3"/>
        <v>1551392</v>
      </c>
      <c r="Y26" s="107">
        <f t="shared" si="3"/>
        <v>1582540</v>
      </c>
      <c r="Z26" s="107">
        <f t="shared" si="3"/>
        <v>1670692</v>
      </c>
      <c r="AA26" s="107">
        <f t="shared" si="3"/>
        <v>1733704</v>
      </c>
      <c r="AB26" s="107">
        <f t="shared" si="3"/>
        <v>1732393</v>
      </c>
      <c r="AC26" s="107">
        <f t="shared" si="3"/>
        <v>1732393</v>
      </c>
      <c r="AD26" s="107">
        <f t="shared" si="3"/>
        <v>1692719</v>
      </c>
      <c r="AE26" s="107">
        <f t="shared" si="3"/>
        <v>1764215</v>
      </c>
      <c r="AF26" s="107">
        <f t="shared" si="3"/>
        <v>1817253</v>
      </c>
      <c r="AG26" s="107">
        <f t="shared" si="3"/>
        <v>0</v>
      </c>
      <c r="AH26" s="107">
        <f t="shared" si="3"/>
        <v>1552451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0</v>
      </c>
      <c r="H3" s="119">
        <f t="shared" si="0"/>
        <v>0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586780854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0</v>
      </c>
      <c r="H4" s="124">
        <f t="shared" si="1"/>
        <v>0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345213770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0</v>
      </c>
      <c r="H5" s="129">
        <f>VALUE(月庫存金額!G2)</f>
        <v>0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296906842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0</v>
      </c>
      <c r="H6" s="129">
        <f>VALUE(月庫存金額!G4)</f>
        <v>0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6729955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0</v>
      </c>
      <c r="H7" s="129">
        <f>VALUE(月庫存金額!G5)</f>
        <v>0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9920318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0</v>
      </c>
      <c r="H8" s="129">
        <f>VALUE(月庫存金額!G6)</f>
        <v>0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20215606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0</v>
      </c>
      <c r="H10" s="129">
        <f>VALUE(月庫存金額!G8)</f>
        <v>0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11441049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0</v>
      </c>
      <c r="H11" s="133">
        <f t="shared" si="2"/>
        <v>0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1832532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0</v>
      </c>
      <c r="H13" s="129">
        <f>VALUE(月庫存金額!G10)</f>
        <v>0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1532955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0</v>
      </c>
      <c r="H15" s="129">
        <f>VALUE(月庫存金額!G14)</f>
        <v>0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299577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0</v>
      </c>
      <c r="H16" s="133">
        <f t="shared" si="3"/>
        <v>0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239734552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0</v>
      </c>
      <c r="H17" s="129">
        <f>VALUE(月庫存金額!G3)</f>
        <v>0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220323703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0</v>
      </c>
      <c r="H18" s="129">
        <f>VALUE(月庫存金額!G13)</f>
        <v>0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2332752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0</v>
      </c>
      <c r="H19" s="129">
        <f>VALUE(月庫存金額!G21)</f>
        <v>0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0</v>
      </c>
      <c r="H20" s="129">
        <f>VALUE(月庫存金額!G20)</f>
        <v>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0</v>
      </c>
      <c r="H21" s="129">
        <f>VALUE(月庫存金額!G19)</f>
        <v>0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16487939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0</v>
      </c>
      <c r="H22" s="129">
        <f>VALUE(月庫存金額!G11)</f>
        <v>0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103882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0</v>
      </c>
      <c r="H23" s="129">
        <f>VALUE(月庫存金額!G22)</f>
        <v>0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162300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0</v>
      </c>
      <c r="H24" s="133">
        <f t="shared" si="4"/>
        <v>0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14620483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0</v>
      </c>
      <c r="H27" s="129">
        <f>VALUE(月庫存金額!G25)</f>
        <v>0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9326677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0</v>
      </c>
      <c r="H28" s="129">
        <f>VALUE(月庫存金額!G26)</f>
        <v>0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5293806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0</v>
      </c>
      <c r="H29" s="140">
        <f>VALUE(月庫存金額!G15)</f>
        <v>0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1617161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0</v>
      </c>
      <c r="H31" s="143">
        <f>VALUE(月庫存金額!G17)</f>
        <v>0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5974807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0</v>
      </c>
      <c r="H32" s="147">
        <f>VALUE(月庫存金額!G18)</f>
        <v>0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11673847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0</v>
      </c>
      <c r="H37" s="119">
        <f t="shared" si="5"/>
        <v>0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612001221</v>
      </c>
      <c r="Q37" s="121"/>
    </row>
    <row r="38" spans="1:17" ht="13.5">
      <c r="A38" s="123"/>
      <c r="B38" s="758" t="s">
        <v>10</v>
      </c>
      <c r="C38" s="759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0</v>
      </c>
      <c r="H38" s="124">
        <f t="shared" si="6"/>
        <v>0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361156789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0</v>
      </c>
      <c r="H39" s="130">
        <f>VALUE(月庫存金額!T2)</f>
        <v>0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307112712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0</v>
      </c>
      <c r="H40" s="130">
        <f>VALUE(月庫存金額!T4)</f>
        <v>0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8787467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0</v>
      </c>
      <c r="H41" s="130">
        <f>VALUE(月庫存金額!T5)</f>
        <v>0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9554583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0</v>
      </c>
      <c r="H42" s="130">
        <f>VALUE(月庫存金額!T6)</f>
        <v>0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21046979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0</v>
      </c>
      <c r="H44" s="130">
        <f>VALUE(月庫存金額!T8)</f>
        <v>0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14655048</v>
      </c>
      <c r="Q44" s="121"/>
    </row>
    <row r="45" spans="1:17" ht="13.5">
      <c r="A45" s="126"/>
      <c r="B45" s="760" t="s">
        <v>17</v>
      </c>
      <c r="C45" s="761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0</v>
      </c>
      <c r="H45" s="124">
        <f t="shared" si="7"/>
        <v>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1941175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0</v>
      </c>
      <c r="H47" s="130">
        <f>VALUE(月庫存金額!T10)</f>
        <v>0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1634457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0</v>
      </c>
      <c r="H49" s="130">
        <f>VALUE(月庫存金額!T14)</f>
        <v>0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306718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0</v>
      </c>
      <c r="H50" s="124">
        <f t="shared" si="8"/>
        <v>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248903257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0</v>
      </c>
      <c r="H51" s="130">
        <f>VALUE(月庫存金額!T3)</f>
        <v>0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227057331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0</v>
      </c>
      <c r="H52" s="130">
        <f>VALUE(月庫存金額!T13)</f>
        <v>0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3065693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0</v>
      </c>
      <c r="H53" s="130">
        <f>VALUE(月庫存金額!T21)</f>
        <v>0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0</v>
      </c>
      <c r="H54" s="130">
        <f>VALUE(月庫存金額!T20)</f>
        <v>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0</v>
      </c>
      <c r="H55" s="130">
        <f>VALUE(月庫存金額!T19)</f>
        <v>0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18180687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0</v>
      </c>
      <c r="H56" s="130">
        <f>VALUE(月庫存金額!T11)</f>
        <v>0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102256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0</v>
      </c>
      <c r="H57" s="130">
        <f>VALUE(月庫存金額!T22)</f>
        <v>0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173314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0</v>
      </c>
      <c r="H58" s="124">
        <f t="shared" si="9"/>
        <v>0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14684170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0</v>
      </c>
      <c r="H61" s="130">
        <f>VALUE(月庫存金額!T25)</f>
        <v>0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9099440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0</v>
      </c>
      <c r="H62" s="130">
        <f>VALUE(月庫存金額!T26)</f>
        <v>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5584730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0</v>
      </c>
      <c r="H63" s="140">
        <f>VALUE(月庫存金額!T15)</f>
        <v>0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1607073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0</v>
      </c>
      <c r="H65" s="143">
        <f>VALUE(月庫存金額!T17)</f>
        <v>0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7677205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0</v>
      </c>
      <c r="H66" s="147">
        <f>VALUE(月庫存金額!T18)</f>
        <v>0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11456444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0</v>
      </c>
      <c r="H99" s="187" t="str">
        <f>月供應率ALL!G2</f>
        <v>0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98.2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0</v>
      </c>
      <c r="H100" s="187" t="str">
        <f>月供應率ALL!G4</f>
        <v>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99.6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0</v>
      </c>
      <c r="H101" s="187" t="str">
        <f>月供應率ALL!G5</f>
        <v>0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92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0</v>
      </c>
      <c r="H102" s="187" t="str">
        <f>月供應率ALL!G6</f>
        <v>0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0</v>
      </c>
      <c r="H103" s="187" t="str">
        <f>月供應率ALL!G23</f>
        <v>0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94.6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0</v>
      </c>
      <c r="H104" s="187" t="str">
        <f>月供應率ALL!G8</f>
        <v>0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98.4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0</v>
      </c>
      <c r="H105" s="187" t="str">
        <f>月供應率ALL!G9</f>
        <v>0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94.8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0</v>
      </c>
      <c r="H106" s="256" t="str">
        <f>月供應率ALL!G10</f>
        <v>0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98.3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0</v>
      </c>
      <c r="H107" s="187" t="str">
        <f>月供應率ALL!G3</f>
        <v>0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0</v>
      </c>
      <c r="H108" s="189" t="str">
        <f>月供應率ALL!G11</f>
        <v>0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98.5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0</v>
      </c>
      <c r="H109" s="189" t="str">
        <f>月供應率ALL!G12</f>
        <v>0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95.8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0</v>
      </c>
      <c r="H110" s="189" t="str">
        <f>月供應率ALL!G13</f>
        <v>0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95.9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0</v>
      </c>
      <c r="H111" s="189" t="str">
        <f>月供應率ALL!G14</f>
        <v>0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88.2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33.3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0</v>
      </c>
      <c r="H113" s="190" t="str">
        <f>月供應率ALL!G16</f>
        <v>0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97.2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0</v>
      </c>
      <c r="H119" s="190" t="str">
        <f>月供應率ALL!G21</f>
        <v>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85.6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0</v>
      </c>
      <c r="H124" s="195" t="str">
        <f>月供應率!H2</f>
        <v>0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98.2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0</v>
      </c>
      <c r="H125" s="195" t="str">
        <f>月供應率!H3</f>
        <v>0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98.5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0</v>
      </c>
      <c r="H126" s="195" t="str">
        <f>月供應率!H4</f>
        <v>0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0</v>
      </c>
      <c r="H127" s="199" t="str">
        <f>月供應率!H5</f>
        <v>0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98.4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0</v>
      </c>
      <c r="H128" s="195" t="str">
        <f>月供應率!H7</f>
        <v>0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99.7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0</v>
      </c>
      <c r="H129" s="195" t="str">
        <f>月供應率!H8</f>
        <v>0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90.2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0</v>
      </c>
      <c r="H130" s="195" t="str">
        <f>月供應率!H9</f>
        <v>0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0</v>
      </c>
      <c r="H131" s="195" t="str">
        <f>月供應率!H22</f>
        <v>0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0</v>
      </c>
      <c r="H132" s="201" t="str">
        <f>月供應率!H11</f>
        <v>0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98.4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0</v>
      </c>
      <c r="H133" s="195" t="str">
        <f>月供應率!H6</f>
        <v>0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98.6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0</v>
      </c>
      <c r="H134" s="260" t="str">
        <f>月供應率!H12</f>
        <v>0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98.5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0</v>
      </c>
      <c r="H135" s="260" t="str">
        <f>月供應率!H13</f>
        <v>0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94.9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0</v>
      </c>
      <c r="H136" s="260" t="str">
        <f>月供應率!H14</f>
        <v>0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96.3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0</v>
      </c>
      <c r="H137" s="260" t="str">
        <f>月供應率!H15</f>
        <v>0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88.4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0</v>
      </c>
      <c r="H147" s="204">
        <f>VALUE(月點數BO!G2)</f>
        <v>0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4625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0</v>
      </c>
      <c r="H148" s="204">
        <f>VALUE(月點數BO!G4)</f>
        <v>0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36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0</v>
      </c>
      <c r="H149" s="204">
        <f>VALUE(月點數BO!G5)</f>
        <v>0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27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0</v>
      </c>
      <c r="H150" s="204">
        <f>VALUE(月點數BO!G6)</f>
        <v>0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237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0</v>
      </c>
      <c r="H151" s="204">
        <f>VALUE(月點數BO!G20)</f>
        <v>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594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0</v>
      </c>
      <c r="H152" s="204">
        <f>VALUE(月點數BO!G8)</f>
        <v>0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169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0</v>
      </c>
      <c r="H153" s="204">
        <f>VALUE(月點數BO!G9)</f>
        <v>0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12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0</v>
      </c>
      <c r="H154" s="261">
        <f t="shared" si="12"/>
        <v>0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5700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0</v>
      </c>
      <c r="H155" s="204">
        <f>VALUE(月點數BO!G3)</f>
        <v>0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798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0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9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0</v>
      </c>
      <c r="H157" s="207">
        <f>VALUE(月點數BO!G11)</f>
        <v>0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23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0</v>
      </c>
      <c r="H158" s="207">
        <f>VALUE(月點數BO!G12)</f>
        <v>0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335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0</v>
      </c>
      <c r="H159" s="207">
        <f>VALUE(月點數BO!G13)</f>
        <v>0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159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0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0</v>
      </c>
      <c r="H161" s="211">
        <f t="shared" si="13"/>
        <v>0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1325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/>
      <c r="AH2" s="502">
        <v>45628.229173113403</v>
      </c>
    </row>
    <row r="3" spans="1:34">
      <c r="A3" s="503" t="s">
        <v>328</v>
      </c>
      <c r="B3" s="503" t="s">
        <v>359</v>
      </c>
      <c r="C3" s="503" t="s">
        <v>108</v>
      </c>
      <c r="D3" s="503" t="s">
        <v>109</v>
      </c>
      <c r="E3" s="503" t="s">
        <v>110</v>
      </c>
      <c r="F3" s="503" t="s">
        <v>111</v>
      </c>
      <c r="G3" s="503" t="s">
        <v>112</v>
      </c>
      <c r="H3" s="503" t="s">
        <v>106</v>
      </c>
      <c r="I3" s="503" t="s">
        <v>107</v>
      </c>
      <c r="J3" s="503" t="s">
        <v>108</v>
      </c>
      <c r="K3" s="503" t="s">
        <v>109</v>
      </c>
      <c r="L3" s="503" t="s">
        <v>110</v>
      </c>
      <c r="M3" s="503" t="s">
        <v>111</v>
      </c>
      <c r="N3" s="503" t="s">
        <v>112</v>
      </c>
      <c r="O3" s="503" t="s">
        <v>106</v>
      </c>
      <c r="P3" s="503" t="s">
        <v>107</v>
      </c>
      <c r="Q3" s="503" t="s">
        <v>108</v>
      </c>
      <c r="R3" s="503" t="s">
        <v>109</v>
      </c>
      <c r="S3" s="503" t="s">
        <v>110</v>
      </c>
      <c r="T3" s="503" t="s">
        <v>111</v>
      </c>
      <c r="U3" s="503" t="s">
        <v>112</v>
      </c>
      <c r="V3" s="503" t="s">
        <v>106</v>
      </c>
      <c r="W3" s="503" t="s">
        <v>107</v>
      </c>
      <c r="X3" s="503" t="s">
        <v>108</v>
      </c>
      <c r="Y3" s="503" t="s">
        <v>109</v>
      </c>
      <c r="Z3" s="503" t="s">
        <v>110</v>
      </c>
      <c r="AA3" s="503" t="s">
        <v>111</v>
      </c>
      <c r="AB3" s="503" t="s">
        <v>112</v>
      </c>
      <c r="AC3" s="503" t="s">
        <v>106</v>
      </c>
      <c r="AD3" s="503" t="s">
        <v>107</v>
      </c>
      <c r="AE3" s="503" t="s">
        <v>108</v>
      </c>
      <c r="AF3" s="503" t="s">
        <v>109</v>
      </c>
      <c r="AG3" s="503"/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361</v>
      </c>
      <c r="AI1" s="1" t="s">
        <v>362</v>
      </c>
    </row>
    <row r="2" spans="1:37">
      <c r="A2" s="1" t="s">
        <v>328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366</v>
      </c>
      <c r="G2" s="1" t="s">
        <v>367</v>
      </c>
      <c r="H2" s="1" t="s">
        <v>368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373</v>
      </c>
      <c r="N2" s="1" t="s">
        <v>374</v>
      </c>
      <c r="O2" s="1" t="s">
        <v>375</v>
      </c>
      <c r="P2" s="1" t="s">
        <v>376</v>
      </c>
      <c r="Q2" s="1" t="s">
        <v>377</v>
      </c>
      <c r="R2" s="1" t="s">
        <v>378</v>
      </c>
      <c r="S2" s="1" t="s">
        <v>379</v>
      </c>
      <c r="T2" s="1" t="s">
        <v>380</v>
      </c>
      <c r="U2" s="1" t="s">
        <v>381</v>
      </c>
      <c r="V2" s="1" t="s">
        <v>382</v>
      </c>
      <c r="W2" s="1" t="s">
        <v>383</v>
      </c>
      <c r="X2" s="1" t="s">
        <v>384</v>
      </c>
      <c r="Y2" s="1" t="s">
        <v>385</v>
      </c>
      <c r="Z2" s="1" t="s">
        <v>386</v>
      </c>
      <c r="AA2" s="306" t="s">
        <v>387</v>
      </c>
      <c r="AB2" s="1" t="s">
        <v>388</v>
      </c>
      <c r="AC2" s="1" t="s">
        <v>389</v>
      </c>
      <c r="AD2" s="1" t="s">
        <v>390</v>
      </c>
      <c r="AE2" s="1" t="s">
        <v>391</v>
      </c>
      <c r="AF2" s="1" t="s">
        <v>392</v>
      </c>
      <c r="AG2" s="1" t="s">
        <v>393</v>
      </c>
      <c r="AH2" s="1" t="s">
        <v>394</v>
      </c>
      <c r="AI2" s="1" t="s">
        <v>395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396</v>
      </c>
      <c r="C3" s="1" t="s">
        <v>397</v>
      </c>
      <c r="D3" s="1" t="s">
        <v>398</v>
      </c>
      <c r="E3" s="1" t="s">
        <v>399</v>
      </c>
      <c r="F3" s="1" t="s">
        <v>399</v>
      </c>
      <c r="G3" s="1" t="s">
        <v>400</v>
      </c>
      <c r="H3" s="1" t="s">
        <v>400</v>
      </c>
      <c r="I3" s="1" t="s">
        <v>401</v>
      </c>
      <c r="J3" s="1" t="s">
        <v>402</v>
      </c>
      <c r="K3" s="1" t="s">
        <v>403</v>
      </c>
      <c r="L3" s="1" t="s">
        <v>404</v>
      </c>
      <c r="M3" s="1" t="s">
        <v>405</v>
      </c>
      <c r="N3" s="1" t="s">
        <v>406</v>
      </c>
      <c r="O3" s="1" t="s">
        <v>407</v>
      </c>
      <c r="P3" s="1" t="s">
        <v>408</v>
      </c>
      <c r="Q3" s="1" t="s">
        <v>409</v>
      </c>
      <c r="R3" s="1" t="s">
        <v>410</v>
      </c>
      <c r="S3" s="1" t="s">
        <v>411</v>
      </c>
      <c r="T3" s="1" t="s">
        <v>412</v>
      </c>
      <c r="U3" s="1" t="s">
        <v>413</v>
      </c>
      <c r="V3" s="1" t="s">
        <v>413</v>
      </c>
      <c r="W3" s="1" t="s">
        <v>414</v>
      </c>
      <c r="X3" s="1" t="s">
        <v>415</v>
      </c>
      <c r="Y3" s="1" t="s">
        <v>416</v>
      </c>
      <c r="Z3" s="1" t="s">
        <v>417</v>
      </c>
      <c r="AA3" s="1" t="s">
        <v>418</v>
      </c>
      <c r="AB3" s="1" t="s">
        <v>419</v>
      </c>
      <c r="AC3" s="1" t="s">
        <v>419</v>
      </c>
      <c r="AD3" s="1" t="s">
        <v>420</v>
      </c>
      <c r="AE3" s="1" t="s">
        <v>421</v>
      </c>
      <c r="AF3" s="1" t="s">
        <v>422</v>
      </c>
      <c r="AG3" s="1" t="s">
        <v>393</v>
      </c>
      <c r="AH3" s="1" t="s">
        <v>423</v>
      </c>
      <c r="AI3" s="1" t="s">
        <v>424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425</v>
      </c>
      <c r="C4" s="1" t="s">
        <v>426</v>
      </c>
      <c r="D4" s="1" t="s">
        <v>427</v>
      </c>
      <c r="E4" s="1" t="s">
        <v>427</v>
      </c>
      <c r="F4" s="1" t="s">
        <v>427</v>
      </c>
      <c r="G4" s="1" t="s">
        <v>428</v>
      </c>
      <c r="H4" s="1" t="s">
        <v>428</v>
      </c>
      <c r="I4" s="1" t="s">
        <v>429</v>
      </c>
      <c r="J4" s="1" t="s">
        <v>430</v>
      </c>
      <c r="K4" s="1" t="s">
        <v>431</v>
      </c>
      <c r="L4" s="1" t="s">
        <v>432</v>
      </c>
      <c r="M4" s="1" t="s">
        <v>433</v>
      </c>
      <c r="N4" s="1" t="s">
        <v>434</v>
      </c>
      <c r="O4" s="1" t="s">
        <v>434</v>
      </c>
      <c r="P4" s="1" t="s">
        <v>435</v>
      </c>
      <c r="Q4" s="1" t="s">
        <v>436</v>
      </c>
      <c r="R4" s="1" t="s">
        <v>437</v>
      </c>
      <c r="S4" s="1" t="s">
        <v>438</v>
      </c>
      <c r="T4" s="1" t="s">
        <v>439</v>
      </c>
      <c r="U4" s="1" t="s">
        <v>440</v>
      </c>
      <c r="V4" s="1" t="s">
        <v>440</v>
      </c>
      <c r="W4" s="1" t="s">
        <v>441</v>
      </c>
      <c r="X4" s="1" t="s">
        <v>442</v>
      </c>
      <c r="Y4" s="1" t="s">
        <v>443</v>
      </c>
      <c r="Z4" s="1" t="s">
        <v>444</v>
      </c>
      <c r="AA4" s="1" t="s">
        <v>445</v>
      </c>
      <c r="AB4" s="1" t="s">
        <v>446</v>
      </c>
      <c r="AC4" s="1" t="s">
        <v>446</v>
      </c>
      <c r="AD4" s="1" t="s">
        <v>447</v>
      </c>
      <c r="AE4" s="1" t="s">
        <v>448</v>
      </c>
      <c r="AF4" s="1" t="s">
        <v>449</v>
      </c>
      <c r="AG4" s="1" t="s">
        <v>393</v>
      </c>
      <c r="AH4" s="1" t="s">
        <v>450</v>
      </c>
      <c r="AI4" s="1" t="s">
        <v>451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452</v>
      </c>
      <c r="C5" s="1" t="s">
        <v>453</v>
      </c>
      <c r="D5" s="1" t="s">
        <v>454</v>
      </c>
      <c r="E5" s="1" t="s">
        <v>454</v>
      </c>
      <c r="F5" s="1" t="s">
        <v>454</v>
      </c>
      <c r="G5" s="1" t="s">
        <v>455</v>
      </c>
      <c r="H5" s="1" t="s">
        <v>455</v>
      </c>
      <c r="I5" s="1" t="s">
        <v>456</v>
      </c>
      <c r="J5" s="1" t="s">
        <v>457</v>
      </c>
      <c r="K5" s="1" t="s">
        <v>458</v>
      </c>
      <c r="L5" s="1" t="s">
        <v>459</v>
      </c>
      <c r="M5" s="1" t="s">
        <v>460</v>
      </c>
      <c r="N5" s="1" t="s">
        <v>461</v>
      </c>
      <c r="O5" s="1" t="s">
        <v>461</v>
      </c>
      <c r="P5" s="1" t="s">
        <v>462</v>
      </c>
      <c r="Q5" s="1" t="s">
        <v>463</v>
      </c>
      <c r="R5" s="1" t="s">
        <v>464</v>
      </c>
      <c r="S5" s="1" t="s">
        <v>465</v>
      </c>
      <c r="T5" s="1" t="s">
        <v>466</v>
      </c>
      <c r="U5" s="1" t="s">
        <v>467</v>
      </c>
      <c r="V5" s="1" t="s">
        <v>467</v>
      </c>
      <c r="W5" s="1" t="s">
        <v>468</v>
      </c>
      <c r="X5" s="1" t="s">
        <v>469</v>
      </c>
      <c r="Y5" s="1" t="s">
        <v>470</v>
      </c>
      <c r="Z5" s="1" t="s">
        <v>471</v>
      </c>
      <c r="AA5" s="1" t="s">
        <v>472</v>
      </c>
      <c r="AB5" s="1" t="s">
        <v>473</v>
      </c>
      <c r="AC5" s="1" t="s">
        <v>473</v>
      </c>
      <c r="AD5" s="1" t="s">
        <v>474</v>
      </c>
      <c r="AE5" s="1" t="s">
        <v>475</v>
      </c>
      <c r="AF5" s="1" t="s">
        <v>476</v>
      </c>
      <c r="AG5" s="1" t="s">
        <v>393</v>
      </c>
      <c r="AH5" s="1" t="s">
        <v>477</v>
      </c>
      <c r="AI5" s="1" t="s">
        <v>478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479</v>
      </c>
      <c r="C6" s="1" t="s">
        <v>480</v>
      </c>
      <c r="D6" s="1" t="s">
        <v>481</v>
      </c>
      <c r="E6" s="1" t="s">
        <v>481</v>
      </c>
      <c r="F6" s="1" t="s">
        <v>481</v>
      </c>
      <c r="G6" s="1" t="s">
        <v>482</v>
      </c>
      <c r="H6" s="1" t="s">
        <v>482</v>
      </c>
      <c r="I6" s="1" t="s">
        <v>483</v>
      </c>
      <c r="J6" s="1" t="s">
        <v>484</v>
      </c>
      <c r="K6" s="1" t="s">
        <v>485</v>
      </c>
      <c r="L6" s="1" t="s">
        <v>486</v>
      </c>
      <c r="M6" s="1" t="s">
        <v>487</v>
      </c>
      <c r="N6" s="1" t="s">
        <v>488</v>
      </c>
      <c r="O6" s="1" t="s">
        <v>489</v>
      </c>
      <c r="P6" s="1" t="s">
        <v>490</v>
      </c>
      <c r="Q6" s="1" t="s">
        <v>491</v>
      </c>
      <c r="R6" s="1" t="s">
        <v>492</v>
      </c>
      <c r="S6" s="1" t="s">
        <v>493</v>
      </c>
      <c r="T6" s="1" t="s">
        <v>494</v>
      </c>
      <c r="U6" s="1" t="s">
        <v>495</v>
      </c>
      <c r="V6" s="1" t="s">
        <v>496</v>
      </c>
      <c r="W6" s="1" t="s">
        <v>497</v>
      </c>
      <c r="X6" s="1" t="s">
        <v>498</v>
      </c>
      <c r="Y6" s="1" t="s">
        <v>499</v>
      </c>
      <c r="Z6" s="1" t="s">
        <v>500</v>
      </c>
      <c r="AA6" s="1" t="s">
        <v>501</v>
      </c>
      <c r="AB6" s="1" t="s">
        <v>502</v>
      </c>
      <c r="AC6" s="1" t="s">
        <v>502</v>
      </c>
      <c r="AD6" s="1" t="s">
        <v>503</v>
      </c>
      <c r="AE6" s="1" t="s">
        <v>504</v>
      </c>
      <c r="AF6" s="1" t="s">
        <v>505</v>
      </c>
      <c r="AG6" s="1" t="s">
        <v>393</v>
      </c>
      <c r="AH6" s="1" t="s">
        <v>506</v>
      </c>
      <c r="AI6" s="1" t="s">
        <v>507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508</v>
      </c>
      <c r="C7" s="1" t="s">
        <v>393</v>
      </c>
      <c r="D7" s="1" t="s">
        <v>393</v>
      </c>
      <c r="E7" s="1" t="s">
        <v>393</v>
      </c>
      <c r="F7" s="1" t="s">
        <v>393</v>
      </c>
      <c r="G7" s="1" t="s">
        <v>393</v>
      </c>
      <c r="H7" s="1" t="s">
        <v>393</v>
      </c>
      <c r="I7" s="1" t="s">
        <v>393</v>
      </c>
      <c r="J7" s="1" t="s">
        <v>393</v>
      </c>
      <c r="K7" s="1" t="s">
        <v>393</v>
      </c>
      <c r="L7" s="1" t="s">
        <v>393</v>
      </c>
      <c r="M7" s="1" t="s">
        <v>393</v>
      </c>
      <c r="N7" s="1" t="s">
        <v>393</v>
      </c>
      <c r="O7" s="1" t="s">
        <v>393</v>
      </c>
      <c r="P7" s="1" t="s">
        <v>393</v>
      </c>
      <c r="Q7" s="1" t="s">
        <v>393</v>
      </c>
      <c r="R7" s="1" t="s">
        <v>393</v>
      </c>
      <c r="S7" s="1" t="s">
        <v>393</v>
      </c>
      <c r="T7" s="1" t="s">
        <v>393</v>
      </c>
      <c r="U7" s="1" t="s">
        <v>393</v>
      </c>
      <c r="V7" s="1" t="s">
        <v>393</v>
      </c>
      <c r="W7" s="1" t="s">
        <v>393</v>
      </c>
      <c r="X7" s="1" t="s">
        <v>393</v>
      </c>
      <c r="Y7" s="1" t="s">
        <v>393</v>
      </c>
      <c r="Z7" s="1" t="s">
        <v>393</v>
      </c>
      <c r="AA7" s="1" t="s">
        <v>393</v>
      </c>
      <c r="AB7" s="1" t="s">
        <v>393</v>
      </c>
      <c r="AC7" s="1" t="s">
        <v>393</v>
      </c>
      <c r="AD7" s="1" t="s">
        <v>393</v>
      </c>
      <c r="AE7" s="1" t="s">
        <v>393</v>
      </c>
      <c r="AF7" s="1" t="s">
        <v>393</v>
      </c>
      <c r="AG7" s="1" t="s">
        <v>393</v>
      </c>
      <c r="AH7" s="1" t="s">
        <v>393</v>
      </c>
      <c r="AI7" s="1" t="s">
        <v>393</v>
      </c>
      <c r="AJ7">
        <v>0</v>
      </c>
      <c r="AK7" s="502">
        <v>43056.229202361101</v>
      </c>
    </row>
    <row r="8" spans="1:37">
      <c r="A8" s="1" t="s">
        <v>328</v>
      </c>
      <c r="B8" s="1" t="s">
        <v>509</v>
      </c>
      <c r="C8" s="1" t="s">
        <v>510</v>
      </c>
      <c r="D8" s="1" t="s">
        <v>511</v>
      </c>
      <c r="E8" s="1" t="s">
        <v>511</v>
      </c>
      <c r="F8" s="1" t="s">
        <v>511</v>
      </c>
      <c r="G8" s="1" t="s">
        <v>512</v>
      </c>
      <c r="H8" s="1" t="s">
        <v>512</v>
      </c>
      <c r="I8" s="1" t="s">
        <v>513</v>
      </c>
      <c r="J8" s="1" t="s">
        <v>514</v>
      </c>
      <c r="K8" s="1" t="s">
        <v>515</v>
      </c>
      <c r="L8" s="1" t="s">
        <v>516</v>
      </c>
      <c r="M8" s="1" t="s">
        <v>517</v>
      </c>
      <c r="N8" s="1" t="s">
        <v>518</v>
      </c>
      <c r="O8" s="1" t="s">
        <v>518</v>
      </c>
      <c r="P8" s="1" t="s">
        <v>519</v>
      </c>
      <c r="Q8" s="1" t="s">
        <v>520</v>
      </c>
      <c r="R8" s="1" t="s">
        <v>521</v>
      </c>
      <c r="S8" s="1" t="s">
        <v>522</v>
      </c>
      <c r="T8" s="1" t="s">
        <v>523</v>
      </c>
      <c r="U8" s="1" t="s">
        <v>524</v>
      </c>
      <c r="V8" s="1" t="s">
        <v>524</v>
      </c>
      <c r="W8" s="1" t="s">
        <v>525</v>
      </c>
      <c r="X8" s="1" t="s">
        <v>526</v>
      </c>
      <c r="Y8" s="1" t="s">
        <v>527</v>
      </c>
      <c r="Z8" s="1" t="s">
        <v>528</v>
      </c>
      <c r="AA8" s="1" t="s">
        <v>529</v>
      </c>
      <c r="AB8" s="1" t="s">
        <v>530</v>
      </c>
      <c r="AC8" s="1" t="s">
        <v>530</v>
      </c>
      <c r="AD8" s="1" t="s">
        <v>531</v>
      </c>
      <c r="AE8" s="1" t="s">
        <v>532</v>
      </c>
      <c r="AF8" s="1" t="s">
        <v>533</v>
      </c>
      <c r="AG8" s="1" t="s">
        <v>393</v>
      </c>
      <c r="AH8" s="1" t="s">
        <v>534</v>
      </c>
      <c r="AI8" s="1" t="s">
        <v>535</v>
      </c>
      <c r="AJ8">
        <v>7768697</v>
      </c>
      <c r="AK8" s="502">
        <v>43056.229202361101</v>
      </c>
    </row>
    <row r="9" spans="1:37">
      <c r="A9" s="1" t="s">
        <v>328</v>
      </c>
      <c r="B9" s="1" t="s">
        <v>536</v>
      </c>
      <c r="C9" s="1" t="s">
        <v>393</v>
      </c>
      <c r="D9" s="1" t="s">
        <v>393</v>
      </c>
      <c r="E9" s="1" t="s">
        <v>393</v>
      </c>
      <c r="F9" s="1" t="s">
        <v>393</v>
      </c>
      <c r="G9" s="1" t="s">
        <v>393</v>
      </c>
      <c r="H9" s="1" t="s">
        <v>393</v>
      </c>
      <c r="I9" s="1" t="s">
        <v>393</v>
      </c>
      <c r="J9" s="1" t="s">
        <v>393</v>
      </c>
      <c r="K9" s="1" t="s">
        <v>393</v>
      </c>
      <c r="L9" s="1" t="s">
        <v>393</v>
      </c>
      <c r="M9" s="1" t="s">
        <v>393</v>
      </c>
      <c r="N9" s="1" t="s">
        <v>393</v>
      </c>
      <c r="O9" s="1" t="s">
        <v>393</v>
      </c>
      <c r="P9" s="1" t="s">
        <v>393</v>
      </c>
      <c r="Q9" s="1" t="s">
        <v>393</v>
      </c>
      <c r="R9" s="1" t="s">
        <v>393</v>
      </c>
      <c r="S9" s="1" t="s">
        <v>393</v>
      </c>
      <c r="T9" s="1" t="s">
        <v>393</v>
      </c>
      <c r="U9" s="1" t="s">
        <v>393</v>
      </c>
      <c r="V9" s="1" t="s">
        <v>393</v>
      </c>
      <c r="W9" s="1" t="s">
        <v>393</v>
      </c>
      <c r="X9" s="1" t="s">
        <v>393</v>
      </c>
      <c r="Y9" s="1" t="s">
        <v>393</v>
      </c>
      <c r="Z9" s="1" t="s">
        <v>393</v>
      </c>
      <c r="AA9" s="1" t="s">
        <v>393</v>
      </c>
      <c r="AB9" s="1" t="s">
        <v>393</v>
      </c>
      <c r="AC9" s="1" t="s">
        <v>393</v>
      </c>
      <c r="AD9" s="1" t="s">
        <v>393</v>
      </c>
      <c r="AE9" s="1" t="s">
        <v>393</v>
      </c>
      <c r="AF9" s="1" t="s">
        <v>393</v>
      </c>
      <c r="AG9" s="1" t="s">
        <v>393</v>
      </c>
      <c r="AH9" s="1" t="s">
        <v>393</v>
      </c>
      <c r="AI9" s="1" t="s">
        <v>393</v>
      </c>
      <c r="AJ9">
        <v>0</v>
      </c>
      <c r="AK9" s="502">
        <v>43056.229202361101</v>
      </c>
    </row>
    <row r="10" spans="1:37">
      <c r="A10" s="1" t="s">
        <v>328</v>
      </c>
      <c r="B10" s="1" t="s">
        <v>537</v>
      </c>
      <c r="C10" s="1" t="s">
        <v>538</v>
      </c>
      <c r="D10" s="1" t="s">
        <v>539</v>
      </c>
      <c r="E10" s="1" t="s">
        <v>539</v>
      </c>
      <c r="F10" s="1" t="s">
        <v>539</v>
      </c>
      <c r="G10" s="1" t="s">
        <v>540</v>
      </c>
      <c r="H10" s="1" t="s">
        <v>540</v>
      </c>
      <c r="I10" s="1" t="s">
        <v>541</v>
      </c>
      <c r="J10" s="1" t="s">
        <v>542</v>
      </c>
      <c r="K10" s="1" t="s">
        <v>543</v>
      </c>
      <c r="L10" s="1" t="s">
        <v>544</v>
      </c>
      <c r="M10" s="1" t="s">
        <v>545</v>
      </c>
      <c r="N10" s="1" t="s">
        <v>546</v>
      </c>
      <c r="O10" s="1" t="s">
        <v>546</v>
      </c>
      <c r="P10" s="1" t="s">
        <v>547</v>
      </c>
      <c r="Q10" s="1" t="s">
        <v>548</v>
      </c>
      <c r="R10" s="1" t="s">
        <v>549</v>
      </c>
      <c r="S10" s="1" t="s">
        <v>550</v>
      </c>
      <c r="T10" s="1" t="s">
        <v>551</v>
      </c>
      <c r="U10" s="1" t="s">
        <v>552</v>
      </c>
      <c r="V10" s="1" t="s">
        <v>552</v>
      </c>
      <c r="W10" s="1" t="s">
        <v>553</v>
      </c>
      <c r="X10" s="1" t="s">
        <v>554</v>
      </c>
      <c r="Y10" s="1" t="s">
        <v>555</v>
      </c>
      <c r="Z10" s="1" t="s">
        <v>556</v>
      </c>
      <c r="AA10" s="1" t="s">
        <v>557</v>
      </c>
      <c r="AB10" s="1" t="s">
        <v>558</v>
      </c>
      <c r="AC10" s="1" t="s">
        <v>558</v>
      </c>
      <c r="AD10" s="1" t="s">
        <v>559</v>
      </c>
      <c r="AE10" s="1" t="s">
        <v>560</v>
      </c>
      <c r="AF10" s="1" t="s">
        <v>561</v>
      </c>
      <c r="AG10" s="1" t="s">
        <v>393</v>
      </c>
      <c r="AH10" s="1" t="s">
        <v>562</v>
      </c>
      <c r="AI10" s="1" t="s">
        <v>563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564</v>
      </c>
      <c r="C11" s="1" t="s">
        <v>565</v>
      </c>
      <c r="D11" s="1" t="s">
        <v>565</v>
      </c>
      <c r="E11" s="1" t="s">
        <v>565</v>
      </c>
      <c r="F11" s="1" t="s">
        <v>565</v>
      </c>
      <c r="G11" s="1" t="s">
        <v>565</v>
      </c>
      <c r="H11" s="1" t="s">
        <v>565</v>
      </c>
      <c r="I11" s="1" t="s">
        <v>565</v>
      </c>
      <c r="J11" s="1" t="s">
        <v>565</v>
      </c>
      <c r="K11" s="1" t="s">
        <v>565</v>
      </c>
      <c r="L11" s="1" t="s">
        <v>565</v>
      </c>
      <c r="M11" s="1" t="s">
        <v>565</v>
      </c>
      <c r="N11" s="1" t="s">
        <v>565</v>
      </c>
      <c r="O11" s="1" t="s">
        <v>565</v>
      </c>
      <c r="P11" s="1" t="s">
        <v>565</v>
      </c>
      <c r="Q11" s="1" t="s">
        <v>565</v>
      </c>
      <c r="R11" s="1" t="s">
        <v>565</v>
      </c>
      <c r="S11" s="1" t="s">
        <v>565</v>
      </c>
      <c r="T11" s="1" t="s">
        <v>565</v>
      </c>
      <c r="U11" s="1" t="s">
        <v>565</v>
      </c>
      <c r="V11" s="1" t="s">
        <v>565</v>
      </c>
      <c r="W11" s="1" t="s">
        <v>565</v>
      </c>
      <c r="X11" s="1" t="s">
        <v>565</v>
      </c>
      <c r="Y11" s="1" t="s">
        <v>565</v>
      </c>
      <c r="Z11" s="1" t="s">
        <v>566</v>
      </c>
      <c r="AA11" s="1" t="s">
        <v>566</v>
      </c>
      <c r="AB11" s="1" t="s">
        <v>566</v>
      </c>
      <c r="AC11" s="1" t="s">
        <v>566</v>
      </c>
      <c r="AD11" s="1" t="s">
        <v>567</v>
      </c>
      <c r="AE11" s="1" t="s">
        <v>567</v>
      </c>
      <c r="AF11" s="1" t="s">
        <v>567</v>
      </c>
      <c r="AG11" s="1" t="s">
        <v>393</v>
      </c>
      <c r="AH11" s="1" t="s">
        <v>393</v>
      </c>
      <c r="AI11" s="1" t="s">
        <v>568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569</v>
      </c>
      <c r="C12" s="1" t="s">
        <v>393</v>
      </c>
      <c r="D12" s="1" t="s">
        <v>393</v>
      </c>
      <c r="E12" s="1" t="s">
        <v>393</v>
      </c>
      <c r="F12" s="1" t="s">
        <v>393</v>
      </c>
      <c r="G12" s="1" t="s">
        <v>393</v>
      </c>
      <c r="H12" s="1" t="s">
        <v>393</v>
      </c>
      <c r="I12" s="1" t="s">
        <v>393</v>
      </c>
      <c r="J12" s="1" t="s">
        <v>393</v>
      </c>
      <c r="K12" s="1" t="s">
        <v>393</v>
      </c>
      <c r="L12" s="1" t="s">
        <v>393</v>
      </c>
      <c r="M12" s="1" t="s">
        <v>393</v>
      </c>
      <c r="N12" s="1" t="s">
        <v>393</v>
      </c>
      <c r="O12" s="1" t="s">
        <v>393</v>
      </c>
      <c r="P12" s="1" t="s">
        <v>393</v>
      </c>
      <c r="Q12" s="1" t="s">
        <v>393</v>
      </c>
      <c r="R12" s="1" t="s">
        <v>393</v>
      </c>
      <c r="S12" s="1" t="s">
        <v>393</v>
      </c>
      <c r="T12" s="1" t="s">
        <v>393</v>
      </c>
      <c r="U12" s="1" t="s">
        <v>393</v>
      </c>
      <c r="V12" s="1" t="s">
        <v>393</v>
      </c>
      <c r="W12" s="1" t="s">
        <v>393</v>
      </c>
      <c r="X12" s="1" t="s">
        <v>393</v>
      </c>
      <c r="Y12" s="1" t="s">
        <v>393</v>
      </c>
      <c r="Z12" s="1" t="s">
        <v>393</v>
      </c>
      <c r="AA12" s="1" t="s">
        <v>393</v>
      </c>
      <c r="AB12" s="1" t="s">
        <v>393</v>
      </c>
      <c r="AC12" s="1" t="s">
        <v>393</v>
      </c>
      <c r="AD12" s="1" t="s">
        <v>393</v>
      </c>
      <c r="AE12" s="1" t="s">
        <v>393</v>
      </c>
      <c r="AF12" s="1" t="s">
        <v>393</v>
      </c>
      <c r="AG12" s="1" t="s">
        <v>393</v>
      </c>
      <c r="AH12" s="1" t="s">
        <v>393</v>
      </c>
      <c r="AI12" s="1" t="s">
        <v>393</v>
      </c>
      <c r="AJ12">
        <v>0</v>
      </c>
      <c r="AK12" s="502">
        <v>43056.229202361101</v>
      </c>
    </row>
    <row r="13" spans="1:37">
      <c r="A13" s="1" t="s">
        <v>328</v>
      </c>
      <c r="B13" s="1" t="s">
        <v>570</v>
      </c>
      <c r="C13" s="1" t="s">
        <v>571</v>
      </c>
      <c r="D13" s="1" t="s">
        <v>572</v>
      </c>
      <c r="E13" s="1" t="s">
        <v>572</v>
      </c>
      <c r="F13" s="1" t="s">
        <v>572</v>
      </c>
      <c r="G13" s="1" t="s">
        <v>573</v>
      </c>
      <c r="H13" s="1" t="s">
        <v>573</v>
      </c>
      <c r="I13" s="1" t="s">
        <v>574</v>
      </c>
      <c r="J13" s="1" t="s">
        <v>575</v>
      </c>
      <c r="K13" s="1" t="s">
        <v>576</v>
      </c>
      <c r="L13" s="1" t="s">
        <v>577</v>
      </c>
      <c r="M13" s="1" t="s">
        <v>578</v>
      </c>
      <c r="N13" s="1" t="s">
        <v>579</v>
      </c>
      <c r="O13" s="1" t="s">
        <v>579</v>
      </c>
      <c r="P13" s="1" t="s">
        <v>580</v>
      </c>
      <c r="Q13" s="1" t="s">
        <v>581</v>
      </c>
      <c r="R13" s="1" t="s">
        <v>582</v>
      </c>
      <c r="S13" s="1" t="s">
        <v>583</v>
      </c>
      <c r="T13" s="1" t="s">
        <v>584</v>
      </c>
      <c r="U13" s="1" t="s">
        <v>585</v>
      </c>
      <c r="V13" s="1" t="s">
        <v>585</v>
      </c>
      <c r="W13" s="1" t="s">
        <v>586</v>
      </c>
      <c r="X13" s="1" t="s">
        <v>587</v>
      </c>
      <c r="Y13" s="1" t="s">
        <v>588</v>
      </c>
      <c r="Z13" s="1" t="s">
        <v>589</v>
      </c>
      <c r="AA13" s="1" t="s">
        <v>590</v>
      </c>
      <c r="AB13" s="1" t="s">
        <v>591</v>
      </c>
      <c r="AC13" s="1" t="s">
        <v>591</v>
      </c>
      <c r="AD13" s="1" t="s">
        <v>592</v>
      </c>
      <c r="AE13" s="1" t="s">
        <v>593</v>
      </c>
      <c r="AF13" s="1" t="s">
        <v>594</v>
      </c>
      <c r="AG13" s="1" t="s">
        <v>393</v>
      </c>
      <c r="AH13" s="1" t="s">
        <v>595</v>
      </c>
      <c r="AI13" s="1" t="s">
        <v>596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597</v>
      </c>
      <c r="C14" s="1" t="s">
        <v>598</v>
      </c>
      <c r="D14" s="1" t="s">
        <v>599</v>
      </c>
      <c r="E14" s="1" t="s">
        <v>599</v>
      </c>
      <c r="F14" s="1" t="s">
        <v>599</v>
      </c>
      <c r="G14" s="1" t="s">
        <v>599</v>
      </c>
      <c r="H14" s="1" t="s">
        <v>599</v>
      </c>
      <c r="I14" s="1" t="s">
        <v>600</v>
      </c>
      <c r="J14" s="1" t="s">
        <v>601</v>
      </c>
      <c r="K14" s="1" t="s">
        <v>602</v>
      </c>
      <c r="L14" s="1" t="s">
        <v>603</v>
      </c>
      <c r="M14" s="1" t="s">
        <v>604</v>
      </c>
      <c r="N14" s="1" t="s">
        <v>605</v>
      </c>
      <c r="O14" s="1" t="s">
        <v>605</v>
      </c>
      <c r="P14" s="1" t="s">
        <v>606</v>
      </c>
      <c r="Q14" s="1" t="s">
        <v>607</v>
      </c>
      <c r="R14" s="1" t="s">
        <v>608</v>
      </c>
      <c r="S14" s="1" t="s">
        <v>609</v>
      </c>
      <c r="T14" s="1" t="s">
        <v>610</v>
      </c>
      <c r="U14" s="1" t="s">
        <v>610</v>
      </c>
      <c r="V14" s="1" t="s">
        <v>610</v>
      </c>
      <c r="W14" s="1" t="s">
        <v>610</v>
      </c>
      <c r="X14" s="1" t="s">
        <v>611</v>
      </c>
      <c r="Y14" s="1" t="s">
        <v>612</v>
      </c>
      <c r="Z14" s="1" t="s">
        <v>613</v>
      </c>
      <c r="AA14" s="1" t="s">
        <v>614</v>
      </c>
      <c r="AB14" s="1" t="s">
        <v>615</v>
      </c>
      <c r="AC14" s="1" t="s">
        <v>615</v>
      </c>
      <c r="AD14" s="1" t="s">
        <v>616</v>
      </c>
      <c r="AE14" s="1" t="s">
        <v>617</v>
      </c>
      <c r="AF14" s="1" t="s">
        <v>618</v>
      </c>
      <c r="AG14" s="1" t="s">
        <v>393</v>
      </c>
      <c r="AH14" s="1" t="s">
        <v>619</v>
      </c>
      <c r="AI14" s="1" t="s">
        <v>620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621</v>
      </c>
      <c r="C15" s="1" t="s">
        <v>622</v>
      </c>
      <c r="D15" s="1" t="s">
        <v>623</v>
      </c>
      <c r="E15" s="1" t="s">
        <v>623</v>
      </c>
      <c r="F15" s="1" t="s">
        <v>623</v>
      </c>
      <c r="G15" s="1" t="s">
        <v>624</v>
      </c>
      <c r="H15" s="1" t="s">
        <v>624</v>
      </c>
      <c r="I15" s="1" t="s">
        <v>625</v>
      </c>
      <c r="J15" s="1" t="s">
        <v>625</v>
      </c>
      <c r="K15" s="1" t="s">
        <v>625</v>
      </c>
      <c r="L15" s="1" t="s">
        <v>625</v>
      </c>
      <c r="M15" s="1" t="s">
        <v>626</v>
      </c>
      <c r="N15" s="1" t="s">
        <v>626</v>
      </c>
      <c r="O15" s="1" t="s">
        <v>626</v>
      </c>
      <c r="P15" s="1" t="s">
        <v>626</v>
      </c>
      <c r="Q15" s="1" t="s">
        <v>626</v>
      </c>
      <c r="R15" s="1" t="s">
        <v>626</v>
      </c>
      <c r="S15" s="1" t="s">
        <v>622</v>
      </c>
      <c r="T15" s="1" t="s">
        <v>622</v>
      </c>
      <c r="U15" s="1" t="s">
        <v>622</v>
      </c>
      <c r="V15" s="1" t="s">
        <v>622</v>
      </c>
      <c r="W15" s="1" t="s">
        <v>622</v>
      </c>
      <c r="X15" s="1" t="s">
        <v>622</v>
      </c>
      <c r="Y15" s="1" t="s">
        <v>627</v>
      </c>
      <c r="Z15" s="1" t="s">
        <v>622</v>
      </c>
      <c r="AA15" s="1" t="s">
        <v>622</v>
      </c>
      <c r="AB15" s="1" t="s">
        <v>622</v>
      </c>
      <c r="AC15" s="1" t="s">
        <v>622</v>
      </c>
      <c r="AD15" s="1" t="s">
        <v>622</v>
      </c>
      <c r="AE15" s="1" t="s">
        <v>622</v>
      </c>
      <c r="AF15" s="1" t="s">
        <v>622</v>
      </c>
      <c r="AG15" s="1" t="s">
        <v>393</v>
      </c>
      <c r="AH15" s="1" t="s">
        <v>393</v>
      </c>
      <c r="AI15" s="1" t="s">
        <v>628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629</v>
      </c>
      <c r="C16" s="1" t="s">
        <v>630</v>
      </c>
      <c r="D16" s="1" t="s">
        <v>631</v>
      </c>
      <c r="E16" s="1" t="s">
        <v>631</v>
      </c>
      <c r="F16" s="1" t="s">
        <v>631</v>
      </c>
      <c r="G16" s="1" t="s">
        <v>632</v>
      </c>
      <c r="H16" s="1" t="s">
        <v>632</v>
      </c>
      <c r="I16" s="1" t="s">
        <v>633</v>
      </c>
      <c r="J16" s="1" t="s">
        <v>634</v>
      </c>
      <c r="K16" s="1" t="s">
        <v>635</v>
      </c>
      <c r="L16" s="1" t="s">
        <v>636</v>
      </c>
      <c r="M16" s="1" t="s">
        <v>637</v>
      </c>
      <c r="N16" s="1" t="s">
        <v>638</v>
      </c>
      <c r="O16" s="1" t="s">
        <v>638</v>
      </c>
      <c r="P16" s="1" t="s">
        <v>639</v>
      </c>
      <c r="Q16" s="1" t="s">
        <v>640</v>
      </c>
      <c r="R16" s="1" t="s">
        <v>641</v>
      </c>
      <c r="S16" s="1" t="s">
        <v>642</v>
      </c>
      <c r="T16" s="1" t="s">
        <v>643</v>
      </c>
      <c r="U16" s="1" t="s">
        <v>644</v>
      </c>
      <c r="V16" s="1" t="s">
        <v>644</v>
      </c>
      <c r="W16" s="1" t="s">
        <v>645</v>
      </c>
      <c r="X16" s="1" t="s">
        <v>646</v>
      </c>
      <c r="Y16" s="1" t="s">
        <v>647</v>
      </c>
      <c r="Z16" s="1" t="s">
        <v>648</v>
      </c>
      <c r="AA16" s="1" t="s">
        <v>649</v>
      </c>
      <c r="AB16" s="1" t="s">
        <v>650</v>
      </c>
      <c r="AC16" s="1" t="s">
        <v>650</v>
      </c>
      <c r="AD16" s="1" t="s">
        <v>651</v>
      </c>
      <c r="AE16" s="1" t="s">
        <v>652</v>
      </c>
      <c r="AF16" s="1" t="s">
        <v>653</v>
      </c>
      <c r="AG16" s="1" t="s">
        <v>393</v>
      </c>
      <c r="AH16" s="1" t="s">
        <v>654</v>
      </c>
      <c r="AI16" s="1" t="s">
        <v>655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656</v>
      </c>
      <c r="C17" s="1" t="s">
        <v>657</v>
      </c>
      <c r="D17" s="1" t="s">
        <v>658</v>
      </c>
      <c r="E17" s="1" t="s">
        <v>658</v>
      </c>
      <c r="F17" s="1" t="s">
        <v>658</v>
      </c>
      <c r="G17" s="1" t="s">
        <v>659</v>
      </c>
      <c r="H17" s="1" t="s">
        <v>659</v>
      </c>
      <c r="I17" s="1" t="s">
        <v>660</v>
      </c>
      <c r="J17" s="1" t="s">
        <v>661</v>
      </c>
      <c r="K17" s="1" t="s">
        <v>662</v>
      </c>
      <c r="L17" s="1" t="s">
        <v>663</v>
      </c>
      <c r="M17" s="1" t="s">
        <v>664</v>
      </c>
      <c r="N17" s="1" t="s">
        <v>665</v>
      </c>
      <c r="O17" s="1" t="s">
        <v>665</v>
      </c>
      <c r="P17" s="1" t="s">
        <v>666</v>
      </c>
      <c r="Q17" s="1" t="s">
        <v>667</v>
      </c>
      <c r="R17" s="1" t="s">
        <v>668</v>
      </c>
      <c r="S17" s="1" t="s">
        <v>669</v>
      </c>
      <c r="T17" s="1" t="s">
        <v>670</v>
      </c>
      <c r="U17" s="1" t="s">
        <v>671</v>
      </c>
      <c r="V17" s="1" t="s">
        <v>671</v>
      </c>
      <c r="W17" s="1" t="s">
        <v>672</v>
      </c>
      <c r="X17" s="1" t="s">
        <v>673</v>
      </c>
      <c r="Y17" s="1" t="s">
        <v>674</v>
      </c>
      <c r="Z17" s="1" t="s">
        <v>675</v>
      </c>
      <c r="AA17" s="1" t="s">
        <v>676</v>
      </c>
      <c r="AB17" s="1" t="s">
        <v>677</v>
      </c>
      <c r="AC17" s="1" t="s">
        <v>677</v>
      </c>
      <c r="AD17" s="1" t="s">
        <v>678</v>
      </c>
      <c r="AE17" s="1" t="s">
        <v>679</v>
      </c>
      <c r="AF17" s="1" t="s">
        <v>680</v>
      </c>
      <c r="AG17" s="1" t="s">
        <v>393</v>
      </c>
      <c r="AH17" s="1" t="s">
        <v>681</v>
      </c>
      <c r="AI17" s="1" t="s">
        <v>682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683</v>
      </c>
      <c r="C18" s="1" t="s">
        <v>684</v>
      </c>
      <c r="D18" s="1" t="s">
        <v>685</v>
      </c>
      <c r="E18" s="1" t="s">
        <v>685</v>
      </c>
      <c r="F18" s="1" t="s">
        <v>685</v>
      </c>
      <c r="G18" s="1" t="s">
        <v>686</v>
      </c>
      <c r="H18" s="1" t="s">
        <v>686</v>
      </c>
      <c r="I18" s="1" t="s">
        <v>687</v>
      </c>
      <c r="J18" s="1" t="s">
        <v>688</v>
      </c>
      <c r="K18" s="1" t="s">
        <v>689</v>
      </c>
      <c r="L18" s="1" t="s">
        <v>690</v>
      </c>
      <c r="M18" s="1" t="s">
        <v>691</v>
      </c>
      <c r="N18" s="1" t="s">
        <v>692</v>
      </c>
      <c r="O18" s="1" t="s">
        <v>692</v>
      </c>
      <c r="P18" s="1" t="s">
        <v>693</v>
      </c>
      <c r="Q18" s="1" t="s">
        <v>694</v>
      </c>
      <c r="R18" s="1" t="s">
        <v>695</v>
      </c>
      <c r="S18" s="1" t="s">
        <v>696</v>
      </c>
      <c r="T18" s="1" t="s">
        <v>697</v>
      </c>
      <c r="U18" s="1" t="s">
        <v>698</v>
      </c>
      <c r="V18" s="1" t="s">
        <v>698</v>
      </c>
      <c r="W18" s="1" t="s">
        <v>699</v>
      </c>
      <c r="X18" s="1" t="s">
        <v>700</v>
      </c>
      <c r="Y18" s="1" t="s">
        <v>701</v>
      </c>
      <c r="Z18" s="1" t="s">
        <v>702</v>
      </c>
      <c r="AA18" s="1" t="s">
        <v>703</v>
      </c>
      <c r="AB18" s="1" t="s">
        <v>704</v>
      </c>
      <c r="AC18" s="1" t="s">
        <v>704</v>
      </c>
      <c r="AD18" s="1" t="s">
        <v>705</v>
      </c>
      <c r="AE18" s="1" t="s">
        <v>706</v>
      </c>
      <c r="AF18" s="1" t="s">
        <v>707</v>
      </c>
      <c r="AG18" s="1" t="s">
        <v>393</v>
      </c>
      <c r="AH18" s="1" t="s">
        <v>708</v>
      </c>
      <c r="AI18" s="1" t="s">
        <v>709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710</v>
      </c>
      <c r="C19" s="1" t="s">
        <v>711</v>
      </c>
      <c r="D19" s="1" t="s">
        <v>711</v>
      </c>
      <c r="E19" s="1" t="s">
        <v>711</v>
      </c>
      <c r="F19" s="1" t="s">
        <v>711</v>
      </c>
      <c r="G19" s="1" t="s">
        <v>711</v>
      </c>
      <c r="H19" s="1" t="s">
        <v>711</v>
      </c>
      <c r="I19" s="1" t="s">
        <v>711</v>
      </c>
      <c r="J19" s="1" t="s">
        <v>711</v>
      </c>
      <c r="K19" s="1" t="s">
        <v>711</v>
      </c>
      <c r="L19" s="1" t="s">
        <v>711</v>
      </c>
      <c r="M19" s="1" t="s">
        <v>711</v>
      </c>
      <c r="N19" s="1" t="s">
        <v>711</v>
      </c>
      <c r="O19" s="1" t="s">
        <v>711</v>
      </c>
      <c r="P19" s="1" t="s">
        <v>711</v>
      </c>
      <c r="Q19" s="1" t="s">
        <v>711</v>
      </c>
      <c r="R19" s="1" t="s">
        <v>711</v>
      </c>
      <c r="S19" s="1" t="s">
        <v>711</v>
      </c>
      <c r="T19" s="1" t="s">
        <v>711</v>
      </c>
      <c r="U19" s="1" t="s">
        <v>711</v>
      </c>
      <c r="V19" s="1" t="s">
        <v>711</v>
      </c>
      <c r="W19" s="1" t="s">
        <v>711</v>
      </c>
      <c r="X19" s="1" t="s">
        <v>711</v>
      </c>
      <c r="Y19" s="1" t="s">
        <v>711</v>
      </c>
      <c r="Z19" s="1" t="s">
        <v>711</v>
      </c>
      <c r="AA19" s="1" t="s">
        <v>711</v>
      </c>
      <c r="AB19" s="1" t="s">
        <v>711</v>
      </c>
      <c r="AC19" s="1" t="s">
        <v>711</v>
      </c>
      <c r="AD19" s="1" t="s">
        <v>711</v>
      </c>
      <c r="AE19" s="1" t="s">
        <v>711</v>
      </c>
      <c r="AF19" s="1" t="s">
        <v>711</v>
      </c>
      <c r="AG19" s="1" t="s">
        <v>393</v>
      </c>
      <c r="AH19" s="1" t="s">
        <v>393</v>
      </c>
      <c r="AI19" s="1" t="s">
        <v>711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712</v>
      </c>
      <c r="C20" s="1" t="s">
        <v>713</v>
      </c>
      <c r="D20" s="1" t="s">
        <v>713</v>
      </c>
      <c r="E20" s="1" t="s">
        <v>713</v>
      </c>
      <c r="F20" s="1" t="s">
        <v>713</v>
      </c>
      <c r="G20" s="1" t="s">
        <v>713</v>
      </c>
      <c r="H20" s="1" t="s">
        <v>713</v>
      </c>
      <c r="I20" s="1" t="s">
        <v>713</v>
      </c>
      <c r="J20" s="1" t="s">
        <v>713</v>
      </c>
      <c r="K20" s="1" t="s">
        <v>713</v>
      </c>
      <c r="L20" s="1" t="s">
        <v>713</v>
      </c>
      <c r="M20" s="1" t="s">
        <v>713</v>
      </c>
      <c r="N20" s="1" t="s">
        <v>713</v>
      </c>
      <c r="O20" s="1" t="s">
        <v>713</v>
      </c>
      <c r="P20" s="1" t="s">
        <v>713</v>
      </c>
      <c r="Q20" s="1" t="s">
        <v>713</v>
      </c>
      <c r="R20" s="1" t="s">
        <v>713</v>
      </c>
      <c r="S20" s="1" t="s">
        <v>713</v>
      </c>
      <c r="T20" s="1" t="s">
        <v>713</v>
      </c>
      <c r="U20" s="1" t="s">
        <v>713</v>
      </c>
      <c r="V20" s="1" t="s">
        <v>713</v>
      </c>
      <c r="W20" s="1" t="s">
        <v>713</v>
      </c>
      <c r="X20" s="1" t="s">
        <v>713</v>
      </c>
      <c r="Y20" s="1" t="s">
        <v>713</v>
      </c>
      <c r="Z20" s="1" t="s">
        <v>713</v>
      </c>
      <c r="AA20" s="1" t="s">
        <v>713</v>
      </c>
      <c r="AB20" s="1" t="s">
        <v>713</v>
      </c>
      <c r="AC20" s="1" t="s">
        <v>713</v>
      </c>
      <c r="AD20" s="1" t="s">
        <v>713</v>
      </c>
      <c r="AE20" s="1" t="s">
        <v>713</v>
      </c>
      <c r="AF20" s="1" t="s">
        <v>713</v>
      </c>
      <c r="AG20" s="1" t="s">
        <v>393</v>
      </c>
      <c r="AH20" s="1" t="s">
        <v>393</v>
      </c>
      <c r="AI20" s="1" t="s">
        <v>713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714</v>
      </c>
      <c r="C21" s="1" t="s">
        <v>715</v>
      </c>
      <c r="D21" s="1" t="s">
        <v>716</v>
      </c>
      <c r="E21" s="1" t="s">
        <v>716</v>
      </c>
      <c r="F21" s="1" t="s">
        <v>716</v>
      </c>
      <c r="G21" s="1" t="s">
        <v>716</v>
      </c>
      <c r="H21" s="1" t="s">
        <v>716</v>
      </c>
      <c r="I21" s="1" t="s">
        <v>716</v>
      </c>
      <c r="J21" s="1" t="s">
        <v>716</v>
      </c>
      <c r="K21" s="1" t="s">
        <v>716</v>
      </c>
      <c r="L21" s="1" t="s">
        <v>717</v>
      </c>
      <c r="M21" s="1" t="s">
        <v>717</v>
      </c>
      <c r="N21" s="1" t="s">
        <v>717</v>
      </c>
      <c r="O21" s="1" t="s">
        <v>717</v>
      </c>
      <c r="P21" s="1" t="s">
        <v>718</v>
      </c>
      <c r="Q21" s="1" t="s">
        <v>719</v>
      </c>
      <c r="R21" s="1" t="s">
        <v>719</v>
      </c>
      <c r="S21" s="1" t="s">
        <v>719</v>
      </c>
      <c r="T21" s="1" t="s">
        <v>719</v>
      </c>
      <c r="U21" s="1" t="s">
        <v>719</v>
      </c>
      <c r="V21" s="1" t="s">
        <v>719</v>
      </c>
      <c r="W21" s="1" t="s">
        <v>719</v>
      </c>
      <c r="X21" s="1" t="s">
        <v>719</v>
      </c>
      <c r="Y21" s="1" t="s">
        <v>719</v>
      </c>
      <c r="Z21" s="1" t="s">
        <v>719</v>
      </c>
      <c r="AA21" s="1" t="s">
        <v>719</v>
      </c>
      <c r="AB21" s="1" t="s">
        <v>719</v>
      </c>
      <c r="AC21" s="1" t="s">
        <v>719</v>
      </c>
      <c r="AD21" s="1" t="s">
        <v>719</v>
      </c>
      <c r="AE21" s="1" t="s">
        <v>719</v>
      </c>
      <c r="AF21" s="1" t="s">
        <v>719</v>
      </c>
      <c r="AG21" s="1" t="s">
        <v>393</v>
      </c>
      <c r="AH21" s="1" t="s">
        <v>393</v>
      </c>
      <c r="AI21" s="1" t="s">
        <v>720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721</v>
      </c>
      <c r="C22" s="1" t="s">
        <v>393</v>
      </c>
      <c r="D22" s="1" t="s">
        <v>393</v>
      </c>
      <c r="E22" s="1" t="s">
        <v>393</v>
      </c>
      <c r="F22" s="1" t="s">
        <v>393</v>
      </c>
      <c r="G22" s="1" t="s">
        <v>393</v>
      </c>
      <c r="H22" s="1" t="s">
        <v>393</v>
      </c>
      <c r="I22" s="1" t="s">
        <v>393</v>
      </c>
      <c r="J22" s="1" t="s">
        <v>393</v>
      </c>
      <c r="K22" s="1" t="s">
        <v>393</v>
      </c>
      <c r="L22" s="1" t="s">
        <v>393</v>
      </c>
      <c r="M22" s="1" t="s">
        <v>393</v>
      </c>
      <c r="N22" s="1" t="s">
        <v>393</v>
      </c>
      <c r="O22" s="1" t="s">
        <v>393</v>
      </c>
      <c r="P22" s="1" t="s">
        <v>393</v>
      </c>
      <c r="Q22" s="1" t="s">
        <v>393</v>
      </c>
      <c r="R22" s="1" t="s">
        <v>393</v>
      </c>
      <c r="S22" s="1" t="s">
        <v>393</v>
      </c>
      <c r="T22" s="1" t="s">
        <v>393</v>
      </c>
      <c r="U22" s="1" t="s">
        <v>393</v>
      </c>
      <c r="V22" s="1" t="s">
        <v>393</v>
      </c>
      <c r="W22" s="1" t="s">
        <v>393</v>
      </c>
      <c r="X22" s="1" t="s">
        <v>393</v>
      </c>
      <c r="Y22" s="1" t="s">
        <v>393</v>
      </c>
      <c r="Z22" s="1" t="s">
        <v>393</v>
      </c>
      <c r="AA22" s="1" t="s">
        <v>393</v>
      </c>
      <c r="AB22" s="1" t="s">
        <v>393</v>
      </c>
      <c r="AC22" s="1" t="s">
        <v>393</v>
      </c>
      <c r="AD22" s="1" t="s">
        <v>393</v>
      </c>
      <c r="AE22" s="1" t="s">
        <v>393</v>
      </c>
      <c r="AF22" s="1" t="s">
        <v>393</v>
      </c>
      <c r="AG22" s="1" t="s">
        <v>393</v>
      </c>
      <c r="AH22" s="1" t="s">
        <v>393</v>
      </c>
      <c r="AI22" s="1" t="s">
        <v>393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722</v>
      </c>
      <c r="C23" s="1" t="s">
        <v>393</v>
      </c>
      <c r="D23" s="1" t="s">
        <v>393</v>
      </c>
      <c r="E23" s="1" t="s">
        <v>393</v>
      </c>
      <c r="F23" s="1" t="s">
        <v>393</v>
      </c>
      <c r="G23" s="1" t="s">
        <v>393</v>
      </c>
      <c r="H23" s="1" t="s">
        <v>393</v>
      </c>
      <c r="I23" s="1" t="s">
        <v>393</v>
      </c>
      <c r="J23" s="1" t="s">
        <v>393</v>
      </c>
      <c r="K23" s="1" t="s">
        <v>393</v>
      </c>
      <c r="L23" s="1" t="s">
        <v>393</v>
      </c>
      <c r="M23" s="1" t="s">
        <v>393</v>
      </c>
      <c r="N23" s="1" t="s">
        <v>393</v>
      </c>
      <c r="O23" s="1" t="s">
        <v>393</v>
      </c>
      <c r="P23" s="1" t="s">
        <v>393</v>
      </c>
      <c r="Q23" s="1" t="s">
        <v>393</v>
      </c>
      <c r="R23" s="1" t="s">
        <v>393</v>
      </c>
      <c r="S23" s="1" t="s">
        <v>393</v>
      </c>
      <c r="T23" s="1" t="s">
        <v>393</v>
      </c>
      <c r="U23" s="1" t="s">
        <v>393</v>
      </c>
      <c r="V23" s="1" t="s">
        <v>393</v>
      </c>
      <c r="W23" s="1" t="s">
        <v>393</v>
      </c>
      <c r="X23" s="1" t="s">
        <v>393</v>
      </c>
      <c r="Y23" s="1" t="s">
        <v>393</v>
      </c>
      <c r="Z23" s="1" t="s">
        <v>393</v>
      </c>
      <c r="AA23" s="1" t="s">
        <v>393</v>
      </c>
      <c r="AB23" s="1" t="s">
        <v>393</v>
      </c>
      <c r="AC23" s="1" t="s">
        <v>393</v>
      </c>
      <c r="AD23" s="1" t="s">
        <v>393</v>
      </c>
      <c r="AE23" s="1" t="s">
        <v>393</v>
      </c>
      <c r="AF23" s="1" t="s">
        <v>393</v>
      </c>
      <c r="AG23" s="1" t="s">
        <v>393</v>
      </c>
      <c r="AH23" s="1" t="s">
        <v>393</v>
      </c>
      <c r="AI23" s="1" t="s">
        <v>393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723</v>
      </c>
      <c r="C24" s="1" t="s">
        <v>724</v>
      </c>
      <c r="D24" s="1" t="s">
        <v>725</v>
      </c>
      <c r="E24" s="1" t="s">
        <v>725</v>
      </c>
      <c r="F24" s="1" t="s">
        <v>725</v>
      </c>
      <c r="G24" s="1" t="s">
        <v>726</v>
      </c>
      <c r="H24" s="1" t="s">
        <v>726</v>
      </c>
      <c r="I24" s="1" t="s">
        <v>727</v>
      </c>
      <c r="J24" s="1" t="s">
        <v>728</v>
      </c>
      <c r="K24" s="1" t="s">
        <v>729</v>
      </c>
      <c r="L24" s="1" t="s">
        <v>730</v>
      </c>
      <c r="M24" s="1" t="s">
        <v>731</v>
      </c>
      <c r="N24" s="1" t="s">
        <v>732</v>
      </c>
      <c r="O24" s="1" t="s">
        <v>732</v>
      </c>
      <c r="P24" s="1" t="s">
        <v>733</v>
      </c>
      <c r="Q24" s="1" t="s">
        <v>734</v>
      </c>
      <c r="R24" s="1" t="s">
        <v>735</v>
      </c>
      <c r="S24" s="1" t="s">
        <v>736</v>
      </c>
      <c r="T24" s="1" t="s">
        <v>737</v>
      </c>
      <c r="U24" s="1" t="s">
        <v>738</v>
      </c>
      <c r="V24" s="1" t="s">
        <v>738</v>
      </c>
      <c r="W24" s="1" t="s">
        <v>739</v>
      </c>
      <c r="X24" s="1" t="s">
        <v>740</v>
      </c>
      <c r="Y24" s="1" t="s">
        <v>741</v>
      </c>
      <c r="Z24" s="1" t="s">
        <v>742</v>
      </c>
      <c r="AA24" s="1" t="s">
        <v>743</v>
      </c>
      <c r="AB24" s="1" t="s">
        <v>744</v>
      </c>
      <c r="AC24" s="1" t="s">
        <v>744</v>
      </c>
      <c r="AD24" s="1" t="s">
        <v>745</v>
      </c>
      <c r="AE24" s="1" t="s">
        <v>746</v>
      </c>
      <c r="AF24" s="1" t="s">
        <v>747</v>
      </c>
      <c r="AG24" s="1" t="s">
        <v>393</v>
      </c>
      <c r="AH24" s="1" t="s">
        <v>748</v>
      </c>
      <c r="AI24" s="1" t="s">
        <v>749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750</v>
      </c>
      <c r="C25" s="1" t="s">
        <v>751</v>
      </c>
      <c r="D25" s="1" t="s">
        <v>752</v>
      </c>
      <c r="E25" s="1" t="s">
        <v>752</v>
      </c>
      <c r="F25" s="1" t="s">
        <v>752</v>
      </c>
      <c r="G25" s="1" t="s">
        <v>753</v>
      </c>
      <c r="H25" s="1" t="s">
        <v>753</v>
      </c>
      <c r="I25" s="1" t="s">
        <v>754</v>
      </c>
      <c r="J25" s="1" t="s">
        <v>755</v>
      </c>
      <c r="K25" s="1" t="s">
        <v>756</v>
      </c>
      <c r="L25" s="1" t="s">
        <v>757</v>
      </c>
      <c r="M25" s="1" t="s">
        <v>758</v>
      </c>
      <c r="N25" s="1" t="s">
        <v>759</v>
      </c>
      <c r="O25" s="1" t="s">
        <v>759</v>
      </c>
      <c r="P25" s="1" t="s">
        <v>760</v>
      </c>
      <c r="Q25" s="1" t="s">
        <v>761</v>
      </c>
      <c r="R25" s="1" t="s">
        <v>762</v>
      </c>
      <c r="S25" s="1" t="s">
        <v>763</v>
      </c>
      <c r="T25" s="1" t="s">
        <v>764</v>
      </c>
      <c r="U25" s="1" t="s">
        <v>765</v>
      </c>
      <c r="V25" s="1" t="s">
        <v>765</v>
      </c>
      <c r="W25" s="1" t="s">
        <v>766</v>
      </c>
      <c r="X25" s="1" t="s">
        <v>767</v>
      </c>
      <c r="Y25" s="1" t="s">
        <v>768</v>
      </c>
      <c r="Z25" s="1" t="s">
        <v>769</v>
      </c>
      <c r="AA25" s="1" t="s">
        <v>770</v>
      </c>
      <c r="AB25" s="1" t="s">
        <v>771</v>
      </c>
      <c r="AC25" s="1" t="s">
        <v>771</v>
      </c>
      <c r="AD25" s="1" t="s">
        <v>772</v>
      </c>
      <c r="AE25" s="1" t="s">
        <v>773</v>
      </c>
      <c r="AF25" s="1" t="s">
        <v>774</v>
      </c>
      <c r="AG25" s="1" t="s">
        <v>393</v>
      </c>
      <c r="AH25" s="1" t="s">
        <v>775</v>
      </c>
      <c r="AI25" s="1" t="s">
        <v>776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777</v>
      </c>
    </row>
    <row r="2" spans="1:35">
      <c r="A2" s="1" t="s">
        <v>328</v>
      </c>
      <c r="B2" s="285" t="s">
        <v>363</v>
      </c>
      <c r="C2" s="1" t="s">
        <v>778</v>
      </c>
      <c r="D2" s="1" t="s">
        <v>779</v>
      </c>
      <c r="E2" s="1" t="s">
        <v>780</v>
      </c>
      <c r="F2" s="1" t="s">
        <v>780</v>
      </c>
      <c r="G2" s="1" t="s">
        <v>781</v>
      </c>
      <c r="H2" s="1" t="s">
        <v>780</v>
      </c>
      <c r="I2" s="1" t="s">
        <v>782</v>
      </c>
      <c r="J2" s="1" t="s">
        <v>782</v>
      </c>
      <c r="K2" s="1" t="s">
        <v>782</v>
      </c>
      <c r="L2" s="1" t="s">
        <v>781</v>
      </c>
      <c r="M2" s="1" t="s">
        <v>781</v>
      </c>
      <c r="N2" s="1" t="s">
        <v>778</v>
      </c>
      <c r="O2" s="1" t="s">
        <v>780</v>
      </c>
      <c r="P2" s="1" t="s">
        <v>781</v>
      </c>
      <c r="Q2" s="1" t="s">
        <v>783</v>
      </c>
      <c r="R2" s="1" t="s">
        <v>784</v>
      </c>
      <c r="S2" s="1" t="s">
        <v>783</v>
      </c>
      <c r="T2" s="1" t="s">
        <v>782</v>
      </c>
      <c r="U2" s="1" t="s">
        <v>785</v>
      </c>
      <c r="V2" s="1" t="s">
        <v>780</v>
      </c>
      <c r="W2" s="1" t="s">
        <v>778</v>
      </c>
      <c r="X2" s="1" t="s">
        <v>778</v>
      </c>
      <c r="Y2" s="1" t="s">
        <v>782</v>
      </c>
      <c r="Z2" s="1" t="s">
        <v>782</v>
      </c>
      <c r="AA2" s="1" t="s">
        <v>782</v>
      </c>
      <c r="AB2" s="1" t="s">
        <v>779</v>
      </c>
      <c r="AC2" s="1" t="s">
        <v>780</v>
      </c>
      <c r="AD2" s="1" t="s">
        <v>779</v>
      </c>
      <c r="AE2" s="1" t="s">
        <v>781</v>
      </c>
      <c r="AF2" s="1" t="s">
        <v>781</v>
      </c>
      <c r="AG2" s="1" t="s">
        <v>780</v>
      </c>
      <c r="AH2" s="1" t="s">
        <v>781</v>
      </c>
      <c r="AI2" s="502">
        <v>44412.229194178202</v>
      </c>
    </row>
    <row r="3" spans="1:35">
      <c r="A3" s="1" t="s">
        <v>328</v>
      </c>
      <c r="B3" s="285" t="s">
        <v>396</v>
      </c>
      <c r="C3" s="1" t="s">
        <v>778</v>
      </c>
      <c r="D3" s="1" t="s">
        <v>784</v>
      </c>
      <c r="E3" s="1" t="s">
        <v>780</v>
      </c>
      <c r="F3" s="1" t="s">
        <v>780</v>
      </c>
      <c r="G3" s="1" t="s">
        <v>782</v>
      </c>
      <c r="H3" s="1" t="s">
        <v>780</v>
      </c>
      <c r="I3" s="1" t="s">
        <v>786</v>
      </c>
      <c r="J3" s="1" t="s">
        <v>787</v>
      </c>
      <c r="K3" s="1" t="s">
        <v>781</v>
      </c>
      <c r="L3" s="1" t="s">
        <v>779</v>
      </c>
      <c r="M3" s="1" t="s">
        <v>778</v>
      </c>
      <c r="N3" s="1" t="s">
        <v>788</v>
      </c>
      <c r="O3" s="1" t="s">
        <v>780</v>
      </c>
      <c r="P3" s="1" t="s">
        <v>789</v>
      </c>
      <c r="Q3" s="1" t="s">
        <v>781</v>
      </c>
      <c r="R3" s="1" t="s">
        <v>785</v>
      </c>
      <c r="S3" s="1" t="s">
        <v>790</v>
      </c>
      <c r="T3" s="1" t="s">
        <v>791</v>
      </c>
      <c r="U3" s="1" t="s">
        <v>789</v>
      </c>
      <c r="V3" s="1" t="s">
        <v>780</v>
      </c>
      <c r="W3" s="1" t="s">
        <v>778</v>
      </c>
      <c r="X3" s="1" t="s">
        <v>785</v>
      </c>
      <c r="Y3" s="1" t="s">
        <v>788</v>
      </c>
      <c r="Z3" s="1" t="s">
        <v>781</v>
      </c>
      <c r="AA3" s="1" t="s">
        <v>784</v>
      </c>
      <c r="AB3" s="1" t="s">
        <v>790</v>
      </c>
      <c r="AC3" s="1" t="s">
        <v>780</v>
      </c>
      <c r="AD3" s="1" t="s">
        <v>784</v>
      </c>
      <c r="AE3" s="1" t="s">
        <v>790</v>
      </c>
      <c r="AF3" s="1" t="s">
        <v>792</v>
      </c>
      <c r="AG3" s="1" t="s">
        <v>780</v>
      </c>
      <c r="AH3" s="1" t="s">
        <v>785</v>
      </c>
      <c r="AI3" s="502">
        <v>44412.229194178202</v>
      </c>
    </row>
    <row r="4" spans="1:35">
      <c r="A4" s="1" t="s">
        <v>328</v>
      </c>
      <c r="B4" s="285" t="s">
        <v>425</v>
      </c>
      <c r="C4" s="1" t="s">
        <v>793</v>
      </c>
      <c r="D4" s="1" t="s">
        <v>793</v>
      </c>
      <c r="E4" s="1" t="s">
        <v>780</v>
      </c>
      <c r="F4" s="1" t="s">
        <v>780</v>
      </c>
      <c r="G4" s="1" t="s">
        <v>793</v>
      </c>
      <c r="H4" s="1" t="s">
        <v>780</v>
      </c>
      <c r="I4" s="1" t="s">
        <v>793</v>
      </c>
      <c r="J4" s="1" t="s">
        <v>793</v>
      </c>
      <c r="K4" s="1" t="s">
        <v>793</v>
      </c>
      <c r="L4" s="1" t="s">
        <v>793</v>
      </c>
      <c r="M4" s="1" t="s">
        <v>793</v>
      </c>
      <c r="N4" s="1" t="s">
        <v>794</v>
      </c>
      <c r="O4" s="1" t="s">
        <v>780</v>
      </c>
      <c r="P4" s="1" t="s">
        <v>793</v>
      </c>
      <c r="Q4" s="1" t="s">
        <v>795</v>
      </c>
      <c r="R4" s="1" t="s">
        <v>793</v>
      </c>
      <c r="S4" s="1" t="s">
        <v>793</v>
      </c>
      <c r="T4" s="1" t="s">
        <v>793</v>
      </c>
      <c r="U4" s="1" t="s">
        <v>793</v>
      </c>
      <c r="V4" s="1" t="s">
        <v>780</v>
      </c>
      <c r="W4" s="1" t="s">
        <v>793</v>
      </c>
      <c r="X4" s="1" t="s">
        <v>793</v>
      </c>
      <c r="Y4" s="1" t="s">
        <v>795</v>
      </c>
      <c r="Z4" s="1" t="s">
        <v>795</v>
      </c>
      <c r="AA4" s="1" t="s">
        <v>793</v>
      </c>
      <c r="AB4" s="1" t="s">
        <v>793</v>
      </c>
      <c r="AC4" s="1" t="s">
        <v>780</v>
      </c>
      <c r="AD4" s="1" t="s">
        <v>793</v>
      </c>
      <c r="AE4" s="1" t="s">
        <v>793</v>
      </c>
      <c r="AF4" s="1" t="s">
        <v>793</v>
      </c>
      <c r="AG4" s="1" t="s">
        <v>780</v>
      </c>
      <c r="AH4" s="1" t="s">
        <v>793</v>
      </c>
      <c r="AI4" s="502">
        <v>44412.229194178202</v>
      </c>
    </row>
    <row r="5" spans="1:35">
      <c r="A5" s="1" t="s">
        <v>328</v>
      </c>
      <c r="B5" s="285" t="s">
        <v>452</v>
      </c>
      <c r="C5" s="1" t="s">
        <v>793</v>
      </c>
      <c r="D5" s="1" t="s">
        <v>796</v>
      </c>
      <c r="E5" s="1" t="s">
        <v>780</v>
      </c>
      <c r="F5" s="1" t="s">
        <v>780</v>
      </c>
      <c r="G5" s="1" t="s">
        <v>797</v>
      </c>
      <c r="H5" s="1" t="s">
        <v>780</v>
      </c>
      <c r="I5" s="1" t="s">
        <v>798</v>
      </c>
      <c r="J5" s="1" t="s">
        <v>799</v>
      </c>
      <c r="K5" s="1" t="s">
        <v>793</v>
      </c>
      <c r="L5" s="1" t="s">
        <v>793</v>
      </c>
      <c r="M5" s="1" t="s">
        <v>800</v>
      </c>
      <c r="N5" s="1" t="s">
        <v>801</v>
      </c>
      <c r="O5" s="1" t="s">
        <v>780</v>
      </c>
      <c r="P5" s="1" t="s">
        <v>802</v>
      </c>
      <c r="Q5" s="1" t="s">
        <v>803</v>
      </c>
      <c r="R5" s="1" t="s">
        <v>804</v>
      </c>
      <c r="S5" s="1" t="s">
        <v>805</v>
      </c>
      <c r="T5" s="1" t="s">
        <v>793</v>
      </c>
      <c r="U5" s="1" t="s">
        <v>806</v>
      </c>
      <c r="V5" s="1" t="s">
        <v>780</v>
      </c>
      <c r="W5" s="1" t="s">
        <v>793</v>
      </c>
      <c r="X5" s="1" t="s">
        <v>807</v>
      </c>
      <c r="Y5" s="1" t="s">
        <v>807</v>
      </c>
      <c r="Z5" s="1" t="s">
        <v>793</v>
      </c>
      <c r="AA5" s="1" t="s">
        <v>793</v>
      </c>
      <c r="AB5" s="1" t="s">
        <v>793</v>
      </c>
      <c r="AC5" s="1" t="s">
        <v>780</v>
      </c>
      <c r="AD5" s="1" t="s">
        <v>783</v>
      </c>
      <c r="AE5" s="1" t="s">
        <v>791</v>
      </c>
      <c r="AF5" s="1" t="s">
        <v>808</v>
      </c>
      <c r="AG5" s="1" t="s">
        <v>780</v>
      </c>
      <c r="AH5" s="1" t="s">
        <v>809</v>
      </c>
      <c r="AI5" s="502">
        <v>44412.229194178202</v>
      </c>
    </row>
    <row r="6" spans="1:35">
      <c r="A6" s="1" t="s">
        <v>328</v>
      </c>
      <c r="B6" s="285" t="s">
        <v>479</v>
      </c>
      <c r="C6" s="1" t="s">
        <v>810</v>
      </c>
      <c r="D6" s="1" t="s">
        <v>795</v>
      </c>
      <c r="E6" s="1" t="s">
        <v>780</v>
      </c>
      <c r="F6" s="1" t="s">
        <v>780</v>
      </c>
      <c r="G6" s="1" t="s">
        <v>781</v>
      </c>
      <c r="H6" s="1" t="s">
        <v>780</v>
      </c>
      <c r="I6" s="1" t="s">
        <v>811</v>
      </c>
      <c r="J6" s="1" t="s">
        <v>787</v>
      </c>
      <c r="K6" s="1" t="s">
        <v>778</v>
      </c>
      <c r="L6" s="1" t="s">
        <v>789</v>
      </c>
      <c r="M6" s="1" t="s">
        <v>812</v>
      </c>
      <c r="N6" s="1" t="s">
        <v>813</v>
      </c>
      <c r="O6" s="1" t="s">
        <v>780</v>
      </c>
      <c r="P6" s="1" t="s">
        <v>814</v>
      </c>
      <c r="Q6" s="1" t="s">
        <v>794</v>
      </c>
      <c r="R6" s="1" t="s">
        <v>810</v>
      </c>
      <c r="S6" s="1" t="s">
        <v>810</v>
      </c>
      <c r="T6" s="1" t="s">
        <v>802</v>
      </c>
      <c r="U6" s="1" t="s">
        <v>815</v>
      </c>
      <c r="V6" s="1" t="s">
        <v>780</v>
      </c>
      <c r="W6" s="1" t="s">
        <v>810</v>
      </c>
      <c r="X6" s="1" t="s">
        <v>794</v>
      </c>
      <c r="Y6" s="1" t="s">
        <v>778</v>
      </c>
      <c r="Z6" s="1" t="s">
        <v>792</v>
      </c>
      <c r="AA6" s="1" t="s">
        <v>810</v>
      </c>
      <c r="AB6" s="1" t="s">
        <v>793</v>
      </c>
      <c r="AC6" s="1" t="s">
        <v>780</v>
      </c>
      <c r="AD6" s="1" t="s">
        <v>815</v>
      </c>
      <c r="AE6" s="1" t="s">
        <v>795</v>
      </c>
      <c r="AF6" s="1" t="s">
        <v>794</v>
      </c>
      <c r="AG6" s="1" t="s">
        <v>780</v>
      </c>
      <c r="AH6" s="1" t="s">
        <v>814</v>
      </c>
      <c r="AI6" s="502">
        <v>44412.229194178202</v>
      </c>
    </row>
    <row r="7" spans="1:35">
      <c r="A7" s="1" t="s">
        <v>328</v>
      </c>
      <c r="B7" s="285" t="s">
        <v>508</v>
      </c>
      <c r="C7" s="1" t="s">
        <v>780</v>
      </c>
      <c r="D7" s="1" t="s">
        <v>780</v>
      </c>
      <c r="E7" s="1" t="s">
        <v>780</v>
      </c>
      <c r="F7" s="1" t="s">
        <v>780</v>
      </c>
      <c r="G7" s="1" t="s">
        <v>780</v>
      </c>
      <c r="H7" s="1" t="s">
        <v>780</v>
      </c>
      <c r="I7" s="1" t="s">
        <v>780</v>
      </c>
      <c r="J7" s="1" t="s">
        <v>780</v>
      </c>
      <c r="K7" s="1" t="s">
        <v>780</v>
      </c>
      <c r="L7" s="1" t="s">
        <v>780</v>
      </c>
      <c r="M7" s="1" t="s">
        <v>780</v>
      </c>
      <c r="N7" s="1" t="s">
        <v>780</v>
      </c>
      <c r="O7" s="1" t="s">
        <v>780</v>
      </c>
      <c r="P7" s="1" t="s">
        <v>780</v>
      </c>
      <c r="Q7" s="1" t="s">
        <v>780</v>
      </c>
      <c r="R7" s="1" t="s">
        <v>780</v>
      </c>
      <c r="S7" s="1" t="s">
        <v>780</v>
      </c>
      <c r="T7" s="1" t="s">
        <v>780</v>
      </c>
      <c r="U7" s="1" t="s">
        <v>780</v>
      </c>
      <c r="V7" s="1" t="s">
        <v>780</v>
      </c>
      <c r="W7" s="1" t="s">
        <v>780</v>
      </c>
      <c r="X7" s="1" t="s">
        <v>780</v>
      </c>
      <c r="Y7" s="1" t="s">
        <v>780</v>
      </c>
      <c r="Z7" s="1" t="s">
        <v>780</v>
      </c>
      <c r="AA7" s="1" t="s">
        <v>780</v>
      </c>
      <c r="AB7" s="1" t="s">
        <v>780</v>
      </c>
      <c r="AC7" s="1" t="s">
        <v>780</v>
      </c>
      <c r="AD7" s="1" t="s">
        <v>780</v>
      </c>
      <c r="AE7" s="1" t="s">
        <v>780</v>
      </c>
      <c r="AF7" s="1" t="s">
        <v>780</v>
      </c>
      <c r="AG7" s="1" t="s">
        <v>780</v>
      </c>
      <c r="AH7" s="1" t="s">
        <v>780</v>
      </c>
      <c r="AI7" s="502">
        <v>44412.229194178202</v>
      </c>
    </row>
    <row r="8" spans="1:35">
      <c r="A8" s="1" t="s">
        <v>328</v>
      </c>
      <c r="B8" s="285" t="s">
        <v>509</v>
      </c>
      <c r="C8" s="1" t="s">
        <v>789</v>
      </c>
      <c r="D8" s="1" t="s">
        <v>795</v>
      </c>
      <c r="E8" s="1" t="s">
        <v>780</v>
      </c>
      <c r="F8" s="1" t="s">
        <v>780</v>
      </c>
      <c r="G8" s="1" t="s">
        <v>791</v>
      </c>
      <c r="H8" s="1" t="s">
        <v>780</v>
      </c>
      <c r="I8" s="1" t="s">
        <v>791</v>
      </c>
      <c r="J8" s="1" t="s">
        <v>812</v>
      </c>
      <c r="K8" s="1" t="s">
        <v>810</v>
      </c>
      <c r="L8" s="1" t="s">
        <v>795</v>
      </c>
      <c r="M8" s="1" t="s">
        <v>793</v>
      </c>
      <c r="N8" s="1" t="s">
        <v>795</v>
      </c>
      <c r="O8" s="1" t="s">
        <v>780</v>
      </c>
      <c r="P8" s="1" t="s">
        <v>793</v>
      </c>
      <c r="Q8" s="1" t="s">
        <v>810</v>
      </c>
      <c r="R8" s="1" t="s">
        <v>793</v>
      </c>
      <c r="S8" s="1" t="s">
        <v>795</v>
      </c>
      <c r="T8" s="1" t="s">
        <v>795</v>
      </c>
      <c r="U8" s="1" t="s">
        <v>793</v>
      </c>
      <c r="V8" s="1" t="s">
        <v>780</v>
      </c>
      <c r="W8" s="1" t="s">
        <v>795</v>
      </c>
      <c r="X8" s="1" t="s">
        <v>816</v>
      </c>
      <c r="Y8" s="1" t="s">
        <v>785</v>
      </c>
      <c r="Z8" s="1" t="s">
        <v>817</v>
      </c>
      <c r="AA8" s="1" t="s">
        <v>783</v>
      </c>
      <c r="AB8" s="1" t="s">
        <v>790</v>
      </c>
      <c r="AC8" s="1" t="s">
        <v>780</v>
      </c>
      <c r="AD8" s="1" t="s">
        <v>818</v>
      </c>
      <c r="AE8" s="1" t="s">
        <v>819</v>
      </c>
      <c r="AF8" s="1" t="s">
        <v>820</v>
      </c>
      <c r="AG8" s="1" t="s">
        <v>780</v>
      </c>
      <c r="AH8" s="1" t="s">
        <v>789</v>
      </c>
      <c r="AI8" s="502">
        <v>44412.229194178202</v>
      </c>
    </row>
    <row r="9" spans="1:35">
      <c r="A9" s="1" t="s">
        <v>328</v>
      </c>
      <c r="B9" s="285" t="s">
        <v>821</v>
      </c>
      <c r="C9" s="1" t="s">
        <v>793</v>
      </c>
      <c r="D9" s="1" t="s">
        <v>793</v>
      </c>
      <c r="E9" s="1" t="s">
        <v>780</v>
      </c>
      <c r="F9" s="1" t="s">
        <v>780</v>
      </c>
      <c r="G9" s="1" t="s">
        <v>822</v>
      </c>
      <c r="H9" s="1" t="s">
        <v>780</v>
      </c>
      <c r="I9" s="1" t="s">
        <v>793</v>
      </c>
      <c r="J9" s="1" t="s">
        <v>793</v>
      </c>
      <c r="K9" s="1" t="s">
        <v>793</v>
      </c>
      <c r="L9" s="1" t="s">
        <v>793</v>
      </c>
      <c r="M9" s="1" t="s">
        <v>793</v>
      </c>
      <c r="N9" s="1" t="s">
        <v>793</v>
      </c>
      <c r="O9" s="1" t="s">
        <v>780</v>
      </c>
      <c r="P9" s="1" t="s">
        <v>793</v>
      </c>
      <c r="Q9" s="1" t="s">
        <v>793</v>
      </c>
      <c r="R9" s="1" t="s">
        <v>793</v>
      </c>
      <c r="S9" s="1" t="s">
        <v>793</v>
      </c>
      <c r="T9" s="1" t="s">
        <v>793</v>
      </c>
      <c r="U9" s="1" t="s">
        <v>793</v>
      </c>
      <c r="V9" s="1" t="s">
        <v>780</v>
      </c>
      <c r="W9" s="1" t="s">
        <v>793</v>
      </c>
      <c r="X9" s="1" t="s">
        <v>793</v>
      </c>
      <c r="Y9" s="1" t="s">
        <v>793</v>
      </c>
      <c r="Z9" s="1" t="s">
        <v>793</v>
      </c>
      <c r="AA9" s="1" t="s">
        <v>793</v>
      </c>
      <c r="AB9" s="1" t="s">
        <v>793</v>
      </c>
      <c r="AC9" s="1" t="s">
        <v>780</v>
      </c>
      <c r="AD9" s="1" t="s">
        <v>793</v>
      </c>
      <c r="AE9" s="1" t="s">
        <v>793</v>
      </c>
      <c r="AF9" s="1" t="s">
        <v>793</v>
      </c>
      <c r="AG9" s="1" t="s">
        <v>780</v>
      </c>
      <c r="AH9" s="1" t="s">
        <v>795</v>
      </c>
      <c r="AI9" s="502">
        <v>44412.229194178202</v>
      </c>
    </row>
    <row r="10" spans="1:35">
      <c r="A10" s="1" t="s">
        <v>328</v>
      </c>
      <c r="B10" s="285" t="s">
        <v>823</v>
      </c>
      <c r="C10" s="1" t="s">
        <v>778</v>
      </c>
      <c r="D10" s="1" t="s">
        <v>779</v>
      </c>
      <c r="E10" s="1" t="s">
        <v>780</v>
      </c>
      <c r="F10" s="1" t="s">
        <v>780</v>
      </c>
      <c r="G10" s="1" t="s">
        <v>782</v>
      </c>
      <c r="H10" s="1" t="s">
        <v>780</v>
      </c>
      <c r="I10" s="1" t="s">
        <v>788</v>
      </c>
      <c r="J10" s="1" t="s">
        <v>784</v>
      </c>
      <c r="K10" s="1" t="s">
        <v>782</v>
      </c>
      <c r="L10" s="1" t="s">
        <v>781</v>
      </c>
      <c r="M10" s="1" t="s">
        <v>785</v>
      </c>
      <c r="N10" s="1" t="s">
        <v>778</v>
      </c>
      <c r="O10" s="1" t="s">
        <v>780</v>
      </c>
      <c r="P10" s="1" t="s">
        <v>785</v>
      </c>
      <c r="Q10" s="1" t="s">
        <v>784</v>
      </c>
      <c r="R10" s="1" t="s">
        <v>781</v>
      </c>
      <c r="S10" s="1" t="s">
        <v>784</v>
      </c>
      <c r="T10" s="1" t="s">
        <v>785</v>
      </c>
      <c r="U10" s="1" t="s">
        <v>779</v>
      </c>
      <c r="V10" s="1" t="s">
        <v>780</v>
      </c>
      <c r="W10" s="1" t="s">
        <v>779</v>
      </c>
      <c r="X10" s="1" t="s">
        <v>778</v>
      </c>
      <c r="Y10" s="1" t="s">
        <v>782</v>
      </c>
      <c r="Z10" s="1" t="s">
        <v>784</v>
      </c>
      <c r="AA10" s="1" t="s">
        <v>781</v>
      </c>
      <c r="AB10" s="1" t="s">
        <v>789</v>
      </c>
      <c r="AC10" s="1" t="s">
        <v>780</v>
      </c>
      <c r="AD10" s="1" t="s">
        <v>779</v>
      </c>
      <c r="AE10" s="1" t="s">
        <v>781</v>
      </c>
      <c r="AF10" s="1" t="s">
        <v>781</v>
      </c>
      <c r="AG10" s="1" t="s">
        <v>780</v>
      </c>
      <c r="AH10" s="1" t="s">
        <v>785</v>
      </c>
      <c r="AI10" s="502">
        <v>44412.229194178202</v>
      </c>
    </row>
    <row r="11" spans="1:35">
      <c r="A11" s="1" t="s">
        <v>328</v>
      </c>
      <c r="B11" s="285" t="s">
        <v>824</v>
      </c>
      <c r="C11" s="1" t="s">
        <v>793</v>
      </c>
      <c r="D11" s="1" t="s">
        <v>793</v>
      </c>
      <c r="E11" s="1" t="s">
        <v>780</v>
      </c>
      <c r="F11" s="1" t="s">
        <v>780</v>
      </c>
      <c r="G11" s="1" t="s">
        <v>793</v>
      </c>
      <c r="H11" s="1" t="s">
        <v>780</v>
      </c>
      <c r="I11" s="1" t="s">
        <v>793</v>
      </c>
      <c r="J11" s="1" t="s">
        <v>793</v>
      </c>
      <c r="K11" s="1" t="s">
        <v>793</v>
      </c>
      <c r="L11" s="1" t="s">
        <v>793</v>
      </c>
      <c r="M11" s="1" t="s">
        <v>793</v>
      </c>
      <c r="N11" s="1" t="s">
        <v>793</v>
      </c>
      <c r="O11" s="1" t="s">
        <v>780</v>
      </c>
      <c r="P11" s="1" t="s">
        <v>793</v>
      </c>
      <c r="Q11" s="1" t="s">
        <v>793</v>
      </c>
      <c r="R11" s="1" t="s">
        <v>793</v>
      </c>
      <c r="S11" s="1" t="s">
        <v>793</v>
      </c>
      <c r="T11" s="1" t="s">
        <v>793</v>
      </c>
      <c r="U11" s="1" t="s">
        <v>793</v>
      </c>
      <c r="V11" s="1" t="s">
        <v>780</v>
      </c>
      <c r="W11" s="1" t="s">
        <v>793</v>
      </c>
      <c r="X11" s="1" t="s">
        <v>793</v>
      </c>
      <c r="Y11" s="1" t="s">
        <v>793</v>
      </c>
      <c r="Z11" s="1" t="s">
        <v>793</v>
      </c>
      <c r="AA11" s="1" t="s">
        <v>793</v>
      </c>
      <c r="AB11" s="1" t="s">
        <v>793</v>
      </c>
      <c r="AC11" s="1" t="s">
        <v>780</v>
      </c>
      <c r="AD11" s="1" t="s">
        <v>793</v>
      </c>
      <c r="AE11" s="1" t="s">
        <v>793</v>
      </c>
      <c r="AF11" s="1" t="s">
        <v>793</v>
      </c>
      <c r="AG11" s="1" t="s">
        <v>780</v>
      </c>
      <c r="AH11" s="1" t="s">
        <v>793</v>
      </c>
      <c r="AI11" s="502">
        <v>44412.229194178202</v>
      </c>
    </row>
    <row r="12" spans="1:35">
      <c r="A12" s="1" t="s">
        <v>328</v>
      </c>
      <c r="B12" s="285" t="s">
        <v>825</v>
      </c>
      <c r="C12" s="1" t="s">
        <v>793</v>
      </c>
      <c r="D12" s="1" t="s">
        <v>811</v>
      </c>
      <c r="E12" s="1" t="s">
        <v>780</v>
      </c>
      <c r="F12" s="1" t="s">
        <v>780</v>
      </c>
      <c r="G12" s="1" t="s">
        <v>793</v>
      </c>
      <c r="H12" s="1" t="s">
        <v>780</v>
      </c>
      <c r="I12" s="1" t="s">
        <v>826</v>
      </c>
      <c r="J12" s="1" t="s">
        <v>787</v>
      </c>
      <c r="K12" s="1" t="s">
        <v>827</v>
      </c>
      <c r="L12" s="1" t="s">
        <v>793</v>
      </c>
      <c r="M12" s="1" t="s">
        <v>828</v>
      </c>
      <c r="N12" s="1" t="s">
        <v>793</v>
      </c>
      <c r="O12" s="1" t="s">
        <v>780</v>
      </c>
      <c r="P12" s="1" t="s">
        <v>793</v>
      </c>
      <c r="Q12" s="1" t="s">
        <v>787</v>
      </c>
      <c r="R12" s="1" t="s">
        <v>793</v>
      </c>
      <c r="S12" s="1" t="s">
        <v>786</v>
      </c>
      <c r="T12" s="1" t="s">
        <v>793</v>
      </c>
      <c r="U12" s="1" t="s">
        <v>793</v>
      </c>
      <c r="V12" s="1" t="s">
        <v>780</v>
      </c>
      <c r="W12" s="1" t="s">
        <v>793</v>
      </c>
      <c r="X12" s="1" t="s">
        <v>829</v>
      </c>
      <c r="Y12" s="1" t="s">
        <v>830</v>
      </c>
      <c r="Z12" s="1" t="s">
        <v>831</v>
      </c>
      <c r="AA12" s="1" t="s">
        <v>783</v>
      </c>
      <c r="AB12" s="1" t="s">
        <v>793</v>
      </c>
      <c r="AC12" s="1" t="s">
        <v>780</v>
      </c>
      <c r="AD12" s="1" t="s">
        <v>793</v>
      </c>
      <c r="AE12" s="1" t="s">
        <v>832</v>
      </c>
      <c r="AF12" s="1" t="s">
        <v>792</v>
      </c>
      <c r="AG12" s="1" t="s">
        <v>780</v>
      </c>
      <c r="AH12" s="1" t="s">
        <v>786</v>
      </c>
      <c r="AI12" s="502">
        <v>44412.229194178202</v>
      </c>
    </row>
    <row r="13" spans="1:35">
      <c r="A13" s="1" t="s">
        <v>328</v>
      </c>
      <c r="B13" s="285" t="s">
        <v>833</v>
      </c>
      <c r="C13" s="1" t="s">
        <v>834</v>
      </c>
      <c r="D13" s="1" t="s">
        <v>835</v>
      </c>
      <c r="E13" s="1" t="s">
        <v>780</v>
      </c>
      <c r="F13" s="1" t="s">
        <v>780</v>
      </c>
      <c r="G13" s="1" t="s">
        <v>835</v>
      </c>
      <c r="H13" s="1" t="s">
        <v>780</v>
      </c>
      <c r="I13" s="1" t="s">
        <v>836</v>
      </c>
      <c r="J13" s="1" t="s">
        <v>779</v>
      </c>
      <c r="K13" s="1" t="s">
        <v>837</v>
      </c>
      <c r="L13" s="1" t="s">
        <v>838</v>
      </c>
      <c r="M13" s="1" t="s">
        <v>839</v>
      </c>
      <c r="N13" s="1" t="s">
        <v>840</v>
      </c>
      <c r="O13" s="1" t="s">
        <v>780</v>
      </c>
      <c r="P13" s="1" t="s">
        <v>841</v>
      </c>
      <c r="Q13" s="1" t="s">
        <v>840</v>
      </c>
      <c r="R13" s="1" t="s">
        <v>820</v>
      </c>
      <c r="S13" s="1" t="s">
        <v>842</v>
      </c>
      <c r="T13" s="1" t="s">
        <v>837</v>
      </c>
      <c r="U13" s="1" t="s">
        <v>817</v>
      </c>
      <c r="V13" s="1" t="s">
        <v>780</v>
      </c>
      <c r="W13" s="1" t="s">
        <v>788</v>
      </c>
      <c r="X13" s="1" t="s">
        <v>843</v>
      </c>
      <c r="Y13" s="1" t="s">
        <v>844</v>
      </c>
      <c r="Z13" s="1" t="s">
        <v>845</v>
      </c>
      <c r="AA13" s="1" t="s">
        <v>792</v>
      </c>
      <c r="AB13" s="1" t="s">
        <v>830</v>
      </c>
      <c r="AC13" s="1" t="s">
        <v>780</v>
      </c>
      <c r="AD13" s="1" t="s">
        <v>826</v>
      </c>
      <c r="AE13" s="1" t="s">
        <v>826</v>
      </c>
      <c r="AF13" s="1" t="s">
        <v>783</v>
      </c>
      <c r="AG13" s="1" t="s">
        <v>780</v>
      </c>
      <c r="AH13" s="1" t="s">
        <v>846</v>
      </c>
      <c r="AI13" s="502">
        <v>44412.229194178202</v>
      </c>
    </row>
    <row r="14" spans="1:35">
      <c r="A14" s="1" t="s">
        <v>328</v>
      </c>
      <c r="B14" s="285" t="s">
        <v>847</v>
      </c>
      <c r="C14" s="1" t="s">
        <v>793</v>
      </c>
      <c r="D14" s="1" t="s">
        <v>785</v>
      </c>
      <c r="E14" s="1" t="s">
        <v>780</v>
      </c>
      <c r="F14" s="1" t="s">
        <v>780</v>
      </c>
      <c r="G14" s="1" t="s">
        <v>793</v>
      </c>
      <c r="H14" s="1" t="s">
        <v>780</v>
      </c>
      <c r="I14" s="1" t="s">
        <v>793</v>
      </c>
      <c r="J14" s="1" t="s">
        <v>793</v>
      </c>
      <c r="K14" s="1" t="s">
        <v>848</v>
      </c>
      <c r="L14" s="1" t="s">
        <v>849</v>
      </c>
      <c r="M14" s="1" t="s">
        <v>830</v>
      </c>
      <c r="N14" s="1" t="s">
        <v>793</v>
      </c>
      <c r="O14" s="1" t="s">
        <v>780</v>
      </c>
      <c r="P14" s="1" t="s">
        <v>793</v>
      </c>
      <c r="Q14" s="1" t="s">
        <v>850</v>
      </c>
      <c r="R14" s="1" t="s">
        <v>793</v>
      </c>
      <c r="S14" s="1" t="s">
        <v>808</v>
      </c>
      <c r="T14" s="1" t="s">
        <v>828</v>
      </c>
      <c r="U14" s="1" t="s">
        <v>839</v>
      </c>
      <c r="V14" s="1" t="s">
        <v>780</v>
      </c>
      <c r="W14" s="1" t="s">
        <v>827</v>
      </c>
      <c r="X14" s="1" t="s">
        <v>851</v>
      </c>
      <c r="Y14" s="1" t="s">
        <v>852</v>
      </c>
      <c r="Z14" s="1" t="s">
        <v>793</v>
      </c>
      <c r="AA14" s="1" t="s">
        <v>842</v>
      </c>
      <c r="AB14" s="1" t="s">
        <v>827</v>
      </c>
      <c r="AC14" s="1" t="s">
        <v>780</v>
      </c>
      <c r="AD14" s="1" t="s">
        <v>783</v>
      </c>
      <c r="AE14" s="1" t="s">
        <v>785</v>
      </c>
      <c r="AF14" s="1" t="s">
        <v>783</v>
      </c>
      <c r="AG14" s="1" t="s">
        <v>780</v>
      </c>
      <c r="AH14" s="1" t="s">
        <v>846</v>
      </c>
      <c r="AI14" s="502">
        <v>44412.229194178202</v>
      </c>
    </row>
    <row r="15" spans="1:35">
      <c r="A15" s="1" t="s">
        <v>328</v>
      </c>
      <c r="B15" s="285" t="s">
        <v>853</v>
      </c>
      <c r="C15" s="1" t="s">
        <v>780</v>
      </c>
      <c r="D15" s="1" t="s">
        <v>780</v>
      </c>
      <c r="E15" s="1" t="s">
        <v>780</v>
      </c>
      <c r="F15" s="1" t="s">
        <v>780</v>
      </c>
      <c r="G15" s="1" t="s">
        <v>780</v>
      </c>
      <c r="H15" s="1" t="s">
        <v>780</v>
      </c>
      <c r="I15" s="1" t="s">
        <v>780</v>
      </c>
      <c r="J15" s="1" t="s">
        <v>780</v>
      </c>
      <c r="K15" s="1" t="s">
        <v>780</v>
      </c>
      <c r="L15" s="1" t="s">
        <v>780</v>
      </c>
      <c r="M15" s="1" t="s">
        <v>780</v>
      </c>
      <c r="N15" s="1" t="s">
        <v>780</v>
      </c>
      <c r="O15" s="1" t="s">
        <v>780</v>
      </c>
      <c r="P15" s="1" t="s">
        <v>780</v>
      </c>
      <c r="Q15" s="1" t="s">
        <v>780</v>
      </c>
      <c r="R15" s="1" t="s">
        <v>780</v>
      </c>
      <c r="S15" s="1" t="s">
        <v>780</v>
      </c>
      <c r="T15" s="1" t="s">
        <v>780</v>
      </c>
      <c r="U15" s="1" t="s">
        <v>780</v>
      </c>
      <c r="V15" s="1" t="s">
        <v>780</v>
      </c>
      <c r="W15" s="1" t="s">
        <v>780</v>
      </c>
      <c r="X15" s="1" t="s">
        <v>780</v>
      </c>
      <c r="Y15" s="1" t="s">
        <v>780</v>
      </c>
      <c r="Z15" s="1" t="s">
        <v>780</v>
      </c>
      <c r="AA15" s="1" t="s">
        <v>780</v>
      </c>
      <c r="AB15" s="1" t="s">
        <v>780</v>
      </c>
      <c r="AC15" s="1" t="s">
        <v>780</v>
      </c>
      <c r="AD15" s="1" t="s">
        <v>793</v>
      </c>
      <c r="AE15" s="1" t="s">
        <v>780</v>
      </c>
      <c r="AF15" s="1" t="s">
        <v>780</v>
      </c>
      <c r="AG15" s="1" t="s">
        <v>780</v>
      </c>
      <c r="AH15" s="1" t="s">
        <v>854</v>
      </c>
      <c r="AI15" s="502">
        <v>44412.229194178202</v>
      </c>
    </row>
    <row r="16" spans="1:35">
      <c r="A16" s="1" t="s">
        <v>328</v>
      </c>
      <c r="B16" s="285" t="s">
        <v>855</v>
      </c>
      <c r="C16" s="1" t="s">
        <v>781</v>
      </c>
      <c r="D16" s="1" t="s">
        <v>787</v>
      </c>
      <c r="E16" s="1" t="s">
        <v>780</v>
      </c>
      <c r="F16" s="1" t="s">
        <v>780</v>
      </c>
      <c r="G16" s="1" t="s">
        <v>784</v>
      </c>
      <c r="H16" s="1" t="s">
        <v>780</v>
      </c>
      <c r="I16" s="1" t="s">
        <v>840</v>
      </c>
      <c r="J16" s="1" t="s">
        <v>783</v>
      </c>
      <c r="K16" s="1" t="s">
        <v>787</v>
      </c>
      <c r="L16" s="1" t="s">
        <v>817</v>
      </c>
      <c r="M16" s="1" t="s">
        <v>817</v>
      </c>
      <c r="N16" s="1" t="s">
        <v>788</v>
      </c>
      <c r="O16" s="1" t="s">
        <v>780</v>
      </c>
      <c r="P16" s="1" t="s">
        <v>782</v>
      </c>
      <c r="Q16" s="1" t="s">
        <v>784</v>
      </c>
      <c r="R16" s="1" t="s">
        <v>782</v>
      </c>
      <c r="S16" s="1" t="s">
        <v>785</v>
      </c>
      <c r="T16" s="1" t="s">
        <v>785</v>
      </c>
      <c r="U16" s="1" t="s">
        <v>785</v>
      </c>
      <c r="V16" s="1" t="s">
        <v>780</v>
      </c>
      <c r="W16" s="1" t="s">
        <v>781</v>
      </c>
      <c r="X16" s="1" t="s">
        <v>784</v>
      </c>
      <c r="Y16" s="1" t="s">
        <v>792</v>
      </c>
      <c r="Z16" s="1" t="s">
        <v>840</v>
      </c>
      <c r="AA16" s="1" t="s">
        <v>788</v>
      </c>
      <c r="AB16" s="1" t="s">
        <v>788</v>
      </c>
      <c r="AC16" s="1" t="s">
        <v>780</v>
      </c>
      <c r="AD16" s="1" t="s">
        <v>788</v>
      </c>
      <c r="AE16" s="1" t="s">
        <v>778</v>
      </c>
      <c r="AF16" s="1" t="s">
        <v>817</v>
      </c>
      <c r="AG16" s="1" t="s">
        <v>780</v>
      </c>
      <c r="AH16" s="1" t="s">
        <v>788</v>
      </c>
      <c r="AI16" s="502">
        <v>44412.229194178202</v>
      </c>
    </row>
    <row r="17" spans="1:35">
      <c r="A17" s="1" t="s">
        <v>328</v>
      </c>
      <c r="B17" s="275" t="s">
        <v>856</v>
      </c>
      <c r="C17" s="1" t="s">
        <v>780</v>
      </c>
      <c r="D17" s="1" t="s">
        <v>780</v>
      </c>
      <c r="E17" s="1" t="s">
        <v>780</v>
      </c>
      <c r="F17" s="1" t="s">
        <v>780</v>
      </c>
      <c r="G17" s="1" t="s">
        <v>780</v>
      </c>
      <c r="H17" s="1" t="s">
        <v>780</v>
      </c>
      <c r="I17" s="1" t="s">
        <v>780</v>
      </c>
      <c r="J17" s="1" t="s">
        <v>780</v>
      </c>
      <c r="K17" s="1" t="s">
        <v>780</v>
      </c>
      <c r="L17" s="1" t="s">
        <v>780</v>
      </c>
      <c r="M17" s="1" t="s">
        <v>780</v>
      </c>
      <c r="N17" s="1" t="s">
        <v>780</v>
      </c>
      <c r="O17" s="1" t="s">
        <v>780</v>
      </c>
      <c r="P17" s="1" t="s">
        <v>780</v>
      </c>
      <c r="Q17" s="1" t="s">
        <v>780</v>
      </c>
      <c r="R17" s="1" t="s">
        <v>780</v>
      </c>
      <c r="S17" s="1" t="s">
        <v>780</v>
      </c>
      <c r="T17" s="1" t="s">
        <v>780</v>
      </c>
      <c r="U17" s="1" t="s">
        <v>780</v>
      </c>
      <c r="V17" s="1" t="s">
        <v>780</v>
      </c>
      <c r="W17" s="1" t="s">
        <v>780</v>
      </c>
      <c r="X17" s="1" t="s">
        <v>780</v>
      </c>
      <c r="Y17" s="1" t="s">
        <v>780</v>
      </c>
      <c r="Z17" s="1" t="s">
        <v>780</v>
      </c>
      <c r="AA17" s="1" t="s">
        <v>780</v>
      </c>
      <c r="AB17" s="1" t="s">
        <v>780</v>
      </c>
      <c r="AC17" s="1" t="s">
        <v>780</v>
      </c>
      <c r="AD17" s="1" t="s">
        <v>780</v>
      </c>
      <c r="AE17" s="1" t="s">
        <v>780</v>
      </c>
      <c r="AF17" s="1" t="s">
        <v>780</v>
      </c>
      <c r="AG17" s="1" t="s">
        <v>780</v>
      </c>
      <c r="AH17" s="1" t="s">
        <v>780</v>
      </c>
      <c r="AI17" s="502">
        <v>44412.229194178202</v>
      </c>
    </row>
    <row r="18" spans="1:35">
      <c r="A18" s="1" t="s">
        <v>328</v>
      </c>
      <c r="B18" s="275" t="s">
        <v>857</v>
      </c>
      <c r="C18" s="1" t="s">
        <v>780</v>
      </c>
      <c r="D18" s="1" t="s">
        <v>780</v>
      </c>
      <c r="E18" s="1" t="s">
        <v>780</v>
      </c>
      <c r="F18" s="1" t="s">
        <v>780</v>
      </c>
      <c r="G18" s="1" t="s">
        <v>780</v>
      </c>
      <c r="H18" s="1" t="s">
        <v>780</v>
      </c>
      <c r="I18" s="1" t="s">
        <v>780</v>
      </c>
      <c r="J18" s="1" t="s">
        <v>780</v>
      </c>
      <c r="K18" s="1" t="s">
        <v>780</v>
      </c>
      <c r="L18" s="1" t="s">
        <v>780</v>
      </c>
      <c r="M18" s="1" t="s">
        <v>780</v>
      </c>
      <c r="N18" s="1" t="s">
        <v>780</v>
      </c>
      <c r="O18" s="1" t="s">
        <v>780</v>
      </c>
      <c r="P18" s="1" t="s">
        <v>780</v>
      </c>
      <c r="Q18" s="1" t="s">
        <v>780</v>
      </c>
      <c r="R18" s="1" t="s">
        <v>780</v>
      </c>
      <c r="S18" s="1" t="s">
        <v>780</v>
      </c>
      <c r="T18" s="1" t="s">
        <v>780</v>
      </c>
      <c r="U18" s="1" t="s">
        <v>780</v>
      </c>
      <c r="V18" s="1" t="s">
        <v>780</v>
      </c>
      <c r="W18" s="1" t="s">
        <v>780</v>
      </c>
      <c r="X18" s="1" t="s">
        <v>780</v>
      </c>
      <c r="Y18" s="1" t="s">
        <v>780</v>
      </c>
      <c r="Z18" s="1" t="s">
        <v>780</v>
      </c>
      <c r="AA18" s="1" t="s">
        <v>780</v>
      </c>
      <c r="AB18" s="1" t="s">
        <v>780</v>
      </c>
      <c r="AC18" s="1" t="s">
        <v>780</v>
      </c>
      <c r="AD18" s="1" t="s">
        <v>780</v>
      </c>
      <c r="AE18" s="1" t="s">
        <v>780</v>
      </c>
      <c r="AF18" s="1" t="s">
        <v>780</v>
      </c>
      <c r="AG18" s="1" t="s">
        <v>780</v>
      </c>
      <c r="AH18" s="1" t="s">
        <v>780</v>
      </c>
      <c r="AI18" s="502">
        <v>44412.229194178202</v>
      </c>
    </row>
    <row r="19" spans="1:35">
      <c r="A19" s="1" t="s">
        <v>328</v>
      </c>
      <c r="B19" s="275" t="s">
        <v>858</v>
      </c>
      <c r="C19" s="1" t="s">
        <v>780</v>
      </c>
      <c r="D19" s="1" t="s">
        <v>780</v>
      </c>
      <c r="E19" s="1" t="s">
        <v>780</v>
      </c>
      <c r="F19" s="1" t="s">
        <v>780</v>
      </c>
      <c r="G19" s="1" t="s">
        <v>780</v>
      </c>
      <c r="H19" s="1" t="s">
        <v>780</v>
      </c>
      <c r="I19" s="1" t="s">
        <v>780</v>
      </c>
      <c r="J19" s="1" t="s">
        <v>780</v>
      </c>
      <c r="K19" s="1" t="s">
        <v>780</v>
      </c>
      <c r="L19" s="1" t="s">
        <v>780</v>
      </c>
      <c r="M19" s="1" t="s">
        <v>780</v>
      </c>
      <c r="N19" s="1" t="s">
        <v>780</v>
      </c>
      <c r="O19" s="1" t="s">
        <v>780</v>
      </c>
      <c r="P19" s="1" t="s">
        <v>780</v>
      </c>
      <c r="Q19" s="1" t="s">
        <v>780</v>
      </c>
      <c r="R19" s="1" t="s">
        <v>780</v>
      </c>
      <c r="S19" s="1" t="s">
        <v>780</v>
      </c>
      <c r="T19" s="1" t="s">
        <v>780</v>
      </c>
      <c r="U19" s="1" t="s">
        <v>780</v>
      </c>
      <c r="V19" s="1" t="s">
        <v>780</v>
      </c>
      <c r="W19" s="1" t="s">
        <v>780</v>
      </c>
      <c r="X19" s="1" t="s">
        <v>780</v>
      </c>
      <c r="Y19" s="1" t="s">
        <v>780</v>
      </c>
      <c r="Z19" s="1" t="s">
        <v>780</v>
      </c>
      <c r="AA19" s="1" t="s">
        <v>780</v>
      </c>
      <c r="AB19" s="1" t="s">
        <v>780</v>
      </c>
      <c r="AC19" s="1" t="s">
        <v>780</v>
      </c>
      <c r="AD19" s="1" t="s">
        <v>780</v>
      </c>
      <c r="AE19" s="1" t="s">
        <v>780</v>
      </c>
      <c r="AF19" s="1" t="s">
        <v>780</v>
      </c>
      <c r="AG19" s="1" t="s">
        <v>780</v>
      </c>
      <c r="AH19" s="1" t="s">
        <v>780</v>
      </c>
      <c r="AI19" s="502">
        <v>44412.229194178202</v>
      </c>
    </row>
    <row r="20" spans="1:35">
      <c r="A20" s="1" t="s">
        <v>328</v>
      </c>
      <c r="B20" s="275" t="s">
        <v>859</v>
      </c>
      <c r="C20" s="1" t="s">
        <v>780</v>
      </c>
      <c r="D20" s="1" t="s">
        <v>780</v>
      </c>
      <c r="E20" s="1" t="s">
        <v>780</v>
      </c>
      <c r="F20" s="1" t="s">
        <v>780</v>
      </c>
      <c r="G20" s="1" t="s">
        <v>780</v>
      </c>
      <c r="H20" s="1" t="s">
        <v>780</v>
      </c>
      <c r="I20" s="1" t="s">
        <v>780</v>
      </c>
      <c r="J20" s="1" t="s">
        <v>780</v>
      </c>
      <c r="K20" s="1" t="s">
        <v>780</v>
      </c>
      <c r="L20" s="1" t="s">
        <v>780</v>
      </c>
      <c r="M20" s="1" t="s">
        <v>780</v>
      </c>
      <c r="N20" s="1" t="s">
        <v>780</v>
      </c>
      <c r="O20" s="1" t="s">
        <v>780</v>
      </c>
      <c r="P20" s="1" t="s">
        <v>780</v>
      </c>
      <c r="Q20" s="1" t="s">
        <v>780</v>
      </c>
      <c r="R20" s="1" t="s">
        <v>780</v>
      </c>
      <c r="S20" s="1" t="s">
        <v>780</v>
      </c>
      <c r="T20" s="1" t="s">
        <v>780</v>
      </c>
      <c r="U20" s="1" t="s">
        <v>780</v>
      </c>
      <c r="V20" s="1" t="s">
        <v>780</v>
      </c>
      <c r="W20" s="1" t="s">
        <v>780</v>
      </c>
      <c r="X20" s="1" t="s">
        <v>780</v>
      </c>
      <c r="Y20" s="1" t="s">
        <v>780</v>
      </c>
      <c r="Z20" s="1" t="s">
        <v>780</v>
      </c>
      <c r="AA20" s="1" t="s">
        <v>780</v>
      </c>
      <c r="AB20" s="1" t="s">
        <v>780</v>
      </c>
      <c r="AC20" s="1" t="s">
        <v>780</v>
      </c>
      <c r="AD20" s="1" t="s">
        <v>780</v>
      </c>
      <c r="AE20" s="1" t="s">
        <v>780</v>
      </c>
      <c r="AF20" s="1" t="s">
        <v>780</v>
      </c>
      <c r="AG20" s="1" t="s">
        <v>780</v>
      </c>
      <c r="AH20" s="1" t="s">
        <v>780</v>
      </c>
      <c r="AI20" s="502">
        <v>44412.229194178202</v>
      </c>
    </row>
    <row r="21" spans="1:35">
      <c r="A21" s="1" t="s">
        <v>328</v>
      </c>
      <c r="B21" s="275" t="s">
        <v>860</v>
      </c>
      <c r="C21" s="1" t="s">
        <v>793</v>
      </c>
      <c r="D21" s="1" t="s">
        <v>793</v>
      </c>
      <c r="E21" s="1" t="s">
        <v>780</v>
      </c>
      <c r="F21" s="1" t="s">
        <v>780</v>
      </c>
      <c r="G21" s="1" t="s">
        <v>793</v>
      </c>
      <c r="H21" s="1" t="s">
        <v>780</v>
      </c>
      <c r="I21" s="1" t="s">
        <v>793</v>
      </c>
      <c r="J21" s="1" t="s">
        <v>793</v>
      </c>
      <c r="K21" s="1" t="s">
        <v>793</v>
      </c>
      <c r="L21" s="1" t="s">
        <v>793</v>
      </c>
      <c r="M21" s="1" t="s">
        <v>793</v>
      </c>
      <c r="N21" s="1" t="s">
        <v>793</v>
      </c>
      <c r="O21" s="1" t="s">
        <v>780</v>
      </c>
      <c r="P21" s="1" t="s">
        <v>793</v>
      </c>
      <c r="Q21" s="1" t="s">
        <v>793</v>
      </c>
      <c r="R21" s="1" t="s">
        <v>793</v>
      </c>
      <c r="S21" s="1" t="s">
        <v>793</v>
      </c>
      <c r="T21" s="1" t="s">
        <v>793</v>
      </c>
      <c r="U21" s="1" t="s">
        <v>793</v>
      </c>
      <c r="V21" s="1" t="s">
        <v>780</v>
      </c>
      <c r="W21" s="1" t="s">
        <v>793</v>
      </c>
      <c r="X21" s="1" t="s">
        <v>793</v>
      </c>
      <c r="Y21" s="1" t="s">
        <v>793</v>
      </c>
      <c r="Z21" s="1" t="s">
        <v>793</v>
      </c>
      <c r="AA21" s="1" t="s">
        <v>793</v>
      </c>
      <c r="AB21" s="1" t="s">
        <v>793</v>
      </c>
      <c r="AC21" s="1" t="s">
        <v>780</v>
      </c>
      <c r="AD21" s="1" t="s">
        <v>793</v>
      </c>
      <c r="AE21" s="1" t="s">
        <v>793</v>
      </c>
      <c r="AF21" s="1" t="s">
        <v>793</v>
      </c>
      <c r="AG21" s="1" t="s">
        <v>780</v>
      </c>
      <c r="AH21" s="1" t="s">
        <v>793</v>
      </c>
      <c r="AI21" s="502">
        <v>44412.229194178202</v>
      </c>
    </row>
    <row r="22" spans="1:35">
      <c r="A22" s="1" t="s">
        <v>328</v>
      </c>
      <c r="B22" s="275" t="s">
        <v>861</v>
      </c>
      <c r="C22" s="1" t="s">
        <v>780</v>
      </c>
      <c r="D22" s="1" t="s">
        <v>780</v>
      </c>
      <c r="E22" s="1" t="s">
        <v>780</v>
      </c>
      <c r="F22" s="1" t="s">
        <v>780</v>
      </c>
      <c r="G22" s="1" t="s">
        <v>780</v>
      </c>
      <c r="H22" s="1" t="s">
        <v>780</v>
      </c>
      <c r="I22" s="1" t="s">
        <v>780</v>
      </c>
      <c r="J22" s="1" t="s">
        <v>780</v>
      </c>
      <c r="K22" s="1" t="s">
        <v>780</v>
      </c>
      <c r="L22" s="1" t="s">
        <v>780</v>
      </c>
      <c r="M22" s="1" t="s">
        <v>780</v>
      </c>
      <c r="N22" s="1" t="s">
        <v>780</v>
      </c>
      <c r="O22" s="1" t="s">
        <v>780</v>
      </c>
      <c r="P22" s="1" t="s">
        <v>780</v>
      </c>
      <c r="Q22" s="1" t="s">
        <v>780</v>
      </c>
      <c r="R22" s="1" t="s">
        <v>780</v>
      </c>
      <c r="S22" s="1" t="s">
        <v>780</v>
      </c>
      <c r="T22" s="1" t="s">
        <v>780</v>
      </c>
      <c r="U22" s="1" t="s">
        <v>780</v>
      </c>
      <c r="V22" s="1" t="s">
        <v>780</v>
      </c>
      <c r="W22" s="1" t="s">
        <v>780</v>
      </c>
      <c r="X22" s="1" t="s">
        <v>780</v>
      </c>
      <c r="Y22" s="1" t="s">
        <v>780</v>
      </c>
      <c r="Z22" s="1" t="s">
        <v>780</v>
      </c>
      <c r="AA22" s="1" t="s">
        <v>780</v>
      </c>
      <c r="AB22" s="1" t="s">
        <v>780</v>
      </c>
      <c r="AC22" s="1" t="s">
        <v>780</v>
      </c>
      <c r="AD22" s="1" t="s">
        <v>780</v>
      </c>
      <c r="AE22" s="1" t="s">
        <v>780</v>
      </c>
      <c r="AF22" s="1" t="s">
        <v>780</v>
      </c>
      <c r="AG22" s="1" t="s">
        <v>780</v>
      </c>
      <c r="AH22" s="1" t="s">
        <v>780</v>
      </c>
      <c r="AI22" s="502">
        <v>44412.229194178202</v>
      </c>
    </row>
    <row r="23" spans="1:35">
      <c r="A23" s="503" t="s">
        <v>328</v>
      </c>
      <c r="B23" s="275" t="s">
        <v>862</v>
      </c>
      <c r="C23" s="503" t="s">
        <v>828</v>
      </c>
      <c r="D23" s="503" t="s">
        <v>829</v>
      </c>
      <c r="E23" s="503" t="s">
        <v>780</v>
      </c>
      <c r="F23" s="503" t="s">
        <v>780</v>
      </c>
      <c r="G23" s="503" t="s">
        <v>834</v>
      </c>
      <c r="H23" s="503" t="s">
        <v>780</v>
      </c>
      <c r="I23" s="503" t="s">
        <v>863</v>
      </c>
      <c r="J23" s="503" t="s">
        <v>850</v>
      </c>
      <c r="K23" s="503" t="s">
        <v>808</v>
      </c>
      <c r="L23" s="503" t="s">
        <v>864</v>
      </c>
      <c r="M23" s="503" t="s">
        <v>863</v>
      </c>
      <c r="N23" s="503" t="s">
        <v>865</v>
      </c>
      <c r="O23" s="503" t="s">
        <v>780</v>
      </c>
      <c r="P23" s="503" t="s">
        <v>836</v>
      </c>
      <c r="Q23" s="503" t="s">
        <v>866</v>
      </c>
      <c r="R23" s="503" t="s">
        <v>829</v>
      </c>
      <c r="S23" s="503" t="s">
        <v>863</v>
      </c>
      <c r="T23" s="503" t="s">
        <v>817</v>
      </c>
      <c r="U23" s="503" t="s">
        <v>820</v>
      </c>
      <c r="V23" s="503" t="s">
        <v>780</v>
      </c>
      <c r="W23" s="503" t="s">
        <v>867</v>
      </c>
      <c r="X23" s="503" t="s">
        <v>818</v>
      </c>
      <c r="Y23" s="503" t="s">
        <v>836</v>
      </c>
      <c r="Z23" s="503" t="s">
        <v>868</v>
      </c>
      <c r="AA23" s="503" t="s">
        <v>820</v>
      </c>
      <c r="AB23" s="503" t="s">
        <v>820</v>
      </c>
      <c r="AC23" s="503" t="s">
        <v>780</v>
      </c>
      <c r="AD23" s="503" t="s">
        <v>850</v>
      </c>
      <c r="AE23" s="503" t="s">
        <v>837</v>
      </c>
      <c r="AF23" s="503" t="s">
        <v>829</v>
      </c>
      <c r="AG23" s="503" t="s">
        <v>780</v>
      </c>
      <c r="AH23" s="503" t="s">
        <v>844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869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777</v>
      </c>
    </row>
    <row r="2" spans="1:36">
      <c r="A2" s="1" t="s">
        <v>328</v>
      </c>
      <c r="B2" s="275" t="s">
        <v>363</v>
      </c>
      <c r="C2" s="1" t="s">
        <v>236</v>
      </c>
      <c r="D2" s="1" t="s">
        <v>790</v>
      </c>
      <c r="E2" s="1" t="s">
        <v>802</v>
      </c>
      <c r="F2" s="1" t="s">
        <v>780</v>
      </c>
      <c r="G2" s="1" t="s">
        <v>780</v>
      </c>
      <c r="H2" s="1" t="s">
        <v>781</v>
      </c>
      <c r="I2" s="1" t="s">
        <v>780</v>
      </c>
      <c r="J2" s="1" t="s">
        <v>782</v>
      </c>
      <c r="K2" s="1" t="s">
        <v>782</v>
      </c>
      <c r="L2" s="1" t="s">
        <v>785</v>
      </c>
      <c r="M2" s="1" t="s">
        <v>785</v>
      </c>
      <c r="N2" s="1" t="s">
        <v>779</v>
      </c>
      <c r="O2" s="1" t="s">
        <v>791</v>
      </c>
      <c r="P2" s="1" t="s">
        <v>780</v>
      </c>
      <c r="Q2" s="1" t="s">
        <v>778</v>
      </c>
      <c r="R2" s="1" t="s">
        <v>781</v>
      </c>
      <c r="S2" s="1" t="s">
        <v>785</v>
      </c>
      <c r="T2" s="1" t="s">
        <v>784</v>
      </c>
      <c r="U2" s="1" t="s">
        <v>785</v>
      </c>
      <c r="V2" s="1" t="s">
        <v>785</v>
      </c>
      <c r="W2" s="1" t="s">
        <v>780</v>
      </c>
      <c r="X2" s="1" t="s">
        <v>778</v>
      </c>
      <c r="Y2" s="1" t="s">
        <v>779</v>
      </c>
      <c r="Z2" s="1" t="s">
        <v>781</v>
      </c>
      <c r="AA2" s="1" t="s">
        <v>784</v>
      </c>
      <c r="AB2" s="1" t="s">
        <v>779</v>
      </c>
      <c r="AC2" s="1" t="s">
        <v>791</v>
      </c>
      <c r="AD2" s="1" t="s">
        <v>780</v>
      </c>
      <c r="AE2" s="1" t="s">
        <v>779</v>
      </c>
      <c r="AF2" s="1" t="s">
        <v>783</v>
      </c>
      <c r="AG2" s="1" t="s">
        <v>790</v>
      </c>
      <c r="AH2" s="1" t="s">
        <v>780</v>
      </c>
      <c r="AI2" s="1" t="s">
        <v>778</v>
      </c>
      <c r="AJ2" s="502">
        <v>43056.229596249999</v>
      </c>
    </row>
    <row r="3" spans="1:36">
      <c r="A3" s="1" t="s">
        <v>328</v>
      </c>
      <c r="B3" s="275" t="s">
        <v>363</v>
      </c>
      <c r="C3" s="1" t="s">
        <v>237</v>
      </c>
      <c r="D3" s="1" t="s">
        <v>781</v>
      </c>
      <c r="E3" s="1" t="s">
        <v>781</v>
      </c>
      <c r="F3" s="1" t="s">
        <v>780</v>
      </c>
      <c r="G3" s="1" t="s">
        <v>780</v>
      </c>
      <c r="H3" s="1" t="s">
        <v>785</v>
      </c>
      <c r="I3" s="1" t="s">
        <v>780</v>
      </c>
      <c r="J3" s="1" t="s">
        <v>785</v>
      </c>
      <c r="K3" s="1" t="s">
        <v>778</v>
      </c>
      <c r="L3" s="1" t="s">
        <v>778</v>
      </c>
      <c r="M3" s="1" t="s">
        <v>778</v>
      </c>
      <c r="N3" s="1" t="s">
        <v>781</v>
      </c>
      <c r="O3" s="1" t="s">
        <v>781</v>
      </c>
      <c r="P3" s="1" t="s">
        <v>780</v>
      </c>
      <c r="Q3" s="1" t="s">
        <v>781</v>
      </c>
      <c r="R3" s="1" t="s">
        <v>781</v>
      </c>
      <c r="S3" s="1" t="s">
        <v>784</v>
      </c>
      <c r="T3" s="1" t="s">
        <v>783</v>
      </c>
      <c r="U3" s="1" t="s">
        <v>781</v>
      </c>
      <c r="V3" s="1" t="s">
        <v>785</v>
      </c>
      <c r="W3" s="1" t="s">
        <v>780</v>
      </c>
      <c r="X3" s="1" t="s">
        <v>790</v>
      </c>
      <c r="Y3" s="1" t="s">
        <v>789</v>
      </c>
      <c r="Z3" s="1" t="s">
        <v>778</v>
      </c>
      <c r="AA3" s="1" t="s">
        <v>779</v>
      </c>
      <c r="AB3" s="1" t="s">
        <v>790</v>
      </c>
      <c r="AC3" s="1" t="s">
        <v>791</v>
      </c>
      <c r="AD3" s="1" t="s">
        <v>780</v>
      </c>
      <c r="AE3" s="1" t="s">
        <v>802</v>
      </c>
      <c r="AF3" s="1" t="s">
        <v>790</v>
      </c>
      <c r="AG3" s="1" t="s">
        <v>784</v>
      </c>
      <c r="AH3" s="1" t="s">
        <v>780</v>
      </c>
      <c r="AI3" s="1" t="s">
        <v>778</v>
      </c>
      <c r="AJ3" s="502">
        <v>43056.229596249999</v>
      </c>
    </row>
    <row r="4" spans="1:36">
      <c r="A4" s="1" t="s">
        <v>328</v>
      </c>
      <c r="B4" s="275" t="s">
        <v>363</v>
      </c>
      <c r="C4" s="1" t="s">
        <v>870</v>
      </c>
      <c r="D4" s="1" t="s">
        <v>794</v>
      </c>
      <c r="E4" s="1" t="s">
        <v>812</v>
      </c>
      <c r="F4" s="1" t="s">
        <v>780</v>
      </c>
      <c r="G4" s="1" t="s">
        <v>780</v>
      </c>
      <c r="H4" s="1" t="s">
        <v>794</v>
      </c>
      <c r="I4" s="1" t="s">
        <v>780</v>
      </c>
      <c r="J4" s="1" t="s">
        <v>794</v>
      </c>
      <c r="K4" s="1" t="s">
        <v>810</v>
      </c>
      <c r="L4" s="1" t="s">
        <v>812</v>
      </c>
      <c r="M4" s="1" t="s">
        <v>794</v>
      </c>
      <c r="N4" s="1" t="s">
        <v>790</v>
      </c>
      <c r="O4" s="1" t="s">
        <v>794</v>
      </c>
      <c r="P4" s="1" t="s">
        <v>780</v>
      </c>
      <c r="Q4" s="1" t="s">
        <v>795</v>
      </c>
      <c r="R4" s="1" t="s">
        <v>812</v>
      </c>
      <c r="S4" s="1" t="s">
        <v>810</v>
      </c>
      <c r="T4" s="1" t="s">
        <v>810</v>
      </c>
      <c r="U4" s="1" t="s">
        <v>815</v>
      </c>
      <c r="V4" s="1" t="s">
        <v>795</v>
      </c>
      <c r="W4" s="1" t="s">
        <v>780</v>
      </c>
      <c r="X4" s="1" t="s">
        <v>815</v>
      </c>
      <c r="Y4" s="1" t="s">
        <v>785</v>
      </c>
      <c r="Z4" s="1" t="s">
        <v>814</v>
      </c>
      <c r="AA4" s="1" t="s">
        <v>791</v>
      </c>
      <c r="AB4" s="1" t="s">
        <v>810</v>
      </c>
      <c r="AC4" s="1" t="s">
        <v>812</v>
      </c>
      <c r="AD4" s="1" t="s">
        <v>780</v>
      </c>
      <c r="AE4" s="1" t="s">
        <v>779</v>
      </c>
      <c r="AF4" s="1" t="s">
        <v>794</v>
      </c>
      <c r="AG4" s="1" t="s">
        <v>778</v>
      </c>
      <c r="AH4" s="1" t="s">
        <v>780</v>
      </c>
      <c r="AI4" s="1" t="s">
        <v>810</v>
      </c>
      <c r="AJ4" s="502">
        <v>43056.229596249999</v>
      </c>
    </row>
    <row r="5" spans="1:36">
      <c r="A5" s="1" t="s">
        <v>328</v>
      </c>
      <c r="B5" s="275" t="s">
        <v>363</v>
      </c>
      <c r="C5" s="1" t="s">
        <v>871</v>
      </c>
      <c r="D5" s="1" t="s">
        <v>789</v>
      </c>
      <c r="E5" s="1" t="s">
        <v>790</v>
      </c>
      <c r="F5" s="1" t="s">
        <v>780</v>
      </c>
      <c r="G5" s="1" t="s">
        <v>780</v>
      </c>
      <c r="H5" s="1" t="s">
        <v>778</v>
      </c>
      <c r="I5" s="1" t="s">
        <v>780</v>
      </c>
      <c r="J5" s="1" t="s">
        <v>785</v>
      </c>
      <c r="K5" s="1" t="s">
        <v>785</v>
      </c>
      <c r="L5" s="1" t="s">
        <v>778</v>
      </c>
      <c r="M5" s="1" t="s">
        <v>778</v>
      </c>
      <c r="N5" s="1" t="s">
        <v>778</v>
      </c>
      <c r="O5" s="1" t="s">
        <v>789</v>
      </c>
      <c r="P5" s="1" t="s">
        <v>780</v>
      </c>
      <c r="Q5" s="1" t="s">
        <v>778</v>
      </c>
      <c r="R5" s="1" t="s">
        <v>785</v>
      </c>
      <c r="S5" s="1" t="s">
        <v>781</v>
      </c>
      <c r="T5" s="1" t="s">
        <v>782</v>
      </c>
      <c r="U5" s="1" t="s">
        <v>778</v>
      </c>
      <c r="V5" s="1" t="s">
        <v>779</v>
      </c>
      <c r="W5" s="1" t="s">
        <v>780</v>
      </c>
      <c r="X5" s="1" t="s">
        <v>790</v>
      </c>
      <c r="Y5" s="1" t="s">
        <v>779</v>
      </c>
      <c r="Z5" s="1" t="s">
        <v>778</v>
      </c>
      <c r="AA5" s="1" t="s">
        <v>785</v>
      </c>
      <c r="AB5" s="1" t="s">
        <v>790</v>
      </c>
      <c r="AC5" s="1" t="s">
        <v>802</v>
      </c>
      <c r="AD5" s="1" t="s">
        <v>780</v>
      </c>
      <c r="AE5" s="1" t="s">
        <v>790</v>
      </c>
      <c r="AF5" s="1" t="s">
        <v>778</v>
      </c>
      <c r="AG5" s="1" t="s">
        <v>778</v>
      </c>
      <c r="AH5" s="1" t="s">
        <v>780</v>
      </c>
      <c r="AI5" s="1" t="s">
        <v>778</v>
      </c>
      <c r="AJ5" s="502">
        <v>43056.229596249999</v>
      </c>
    </row>
    <row r="6" spans="1:36">
      <c r="A6" s="1" t="s">
        <v>328</v>
      </c>
      <c r="B6" s="275" t="s">
        <v>396</v>
      </c>
      <c r="C6" s="1" t="s">
        <v>871</v>
      </c>
      <c r="D6" s="1" t="s">
        <v>810</v>
      </c>
      <c r="E6" s="1" t="s">
        <v>779</v>
      </c>
      <c r="F6" s="1" t="s">
        <v>780</v>
      </c>
      <c r="G6" s="1" t="s">
        <v>780</v>
      </c>
      <c r="H6" s="1" t="s">
        <v>802</v>
      </c>
      <c r="I6" s="1" t="s">
        <v>780</v>
      </c>
      <c r="J6" s="1" t="s">
        <v>782</v>
      </c>
      <c r="K6" s="1" t="s">
        <v>789</v>
      </c>
      <c r="L6" s="1" t="s">
        <v>802</v>
      </c>
      <c r="M6" s="1" t="s">
        <v>810</v>
      </c>
      <c r="N6" s="1" t="s">
        <v>802</v>
      </c>
      <c r="O6" s="1" t="s">
        <v>790</v>
      </c>
      <c r="P6" s="1" t="s">
        <v>780</v>
      </c>
      <c r="Q6" s="1" t="s">
        <v>814</v>
      </c>
      <c r="R6" s="1" t="s">
        <v>814</v>
      </c>
      <c r="S6" s="1" t="s">
        <v>812</v>
      </c>
      <c r="T6" s="1" t="s">
        <v>810</v>
      </c>
      <c r="U6" s="1" t="s">
        <v>794</v>
      </c>
      <c r="V6" s="1" t="s">
        <v>812</v>
      </c>
      <c r="W6" s="1" t="s">
        <v>780</v>
      </c>
      <c r="X6" s="1" t="s">
        <v>790</v>
      </c>
      <c r="Y6" s="1" t="s">
        <v>790</v>
      </c>
      <c r="Z6" s="1" t="s">
        <v>791</v>
      </c>
      <c r="AA6" s="1" t="s">
        <v>791</v>
      </c>
      <c r="AB6" s="1" t="s">
        <v>814</v>
      </c>
      <c r="AC6" s="1" t="s">
        <v>810</v>
      </c>
      <c r="AD6" s="1" t="s">
        <v>780</v>
      </c>
      <c r="AE6" s="1" t="s">
        <v>790</v>
      </c>
      <c r="AF6" s="1" t="s">
        <v>810</v>
      </c>
      <c r="AG6" s="1" t="s">
        <v>790</v>
      </c>
      <c r="AH6" s="1" t="s">
        <v>780</v>
      </c>
      <c r="AI6" s="1" t="s">
        <v>802</v>
      </c>
      <c r="AJ6" s="502">
        <v>43056.229596249999</v>
      </c>
    </row>
    <row r="7" spans="1:36">
      <c r="A7" s="1" t="s">
        <v>328</v>
      </c>
      <c r="B7" s="275" t="s">
        <v>425</v>
      </c>
      <c r="C7" s="1" t="s">
        <v>871</v>
      </c>
      <c r="D7" s="1" t="s">
        <v>793</v>
      </c>
      <c r="E7" s="1" t="s">
        <v>793</v>
      </c>
      <c r="F7" s="1" t="s">
        <v>780</v>
      </c>
      <c r="G7" s="1" t="s">
        <v>780</v>
      </c>
      <c r="H7" s="1" t="s">
        <v>793</v>
      </c>
      <c r="I7" s="1" t="s">
        <v>780</v>
      </c>
      <c r="J7" s="1" t="s">
        <v>793</v>
      </c>
      <c r="K7" s="1" t="s">
        <v>793</v>
      </c>
      <c r="L7" s="1" t="s">
        <v>793</v>
      </c>
      <c r="M7" s="1" t="s">
        <v>793</v>
      </c>
      <c r="N7" s="1" t="s">
        <v>793</v>
      </c>
      <c r="O7" s="1" t="s">
        <v>794</v>
      </c>
      <c r="P7" s="1" t="s">
        <v>780</v>
      </c>
      <c r="Q7" s="1" t="s">
        <v>793</v>
      </c>
      <c r="R7" s="1" t="s">
        <v>795</v>
      </c>
      <c r="S7" s="1" t="s">
        <v>793</v>
      </c>
      <c r="T7" s="1" t="s">
        <v>793</v>
      </c>
      <c r="U7" s="1" t="s">
        <v>793</v>
      </c>
      <c r="V7" s="1" t="s">
        <v>793</v>
      </c>
      <c r="W7" s="1" t="s">
        <v>780</v>
      </c>
      <c r="X7" s="1" t="s">
        <v>793</v>
      </c>
      <c r="Y7" s="1" t="s">
        <v>793</v>
      </c>
      <c r="Z7" s="1" t="s">
        <v>795</v>
      </c>
      <c r="AA7" s="1" t="s">
        <v>795</v>
      </c>
      <c r="AB7" s="1" t="s">
        <v>793</v>
      </c>
      <c r="AC7" s="1" t="s">
        <v>793</v>
      </c>
      <c r="AD7" s="1" t="s">
        <v>780</v>
      </c>
      <c r="AE7" s="1" t="s">
        <v>793</v>
      </c>
      <c r="AF7" s="1" t="s">
        <v>793</v>
      </c>
      <c r="AG7" s="1" t="s">
        <v>793</v>
      </c>
      <c r="AH7" s="1" t="s">
        <v>780</v>
      </c>
      <c r="AI7" s="1" t="s">
        <v>813</v>
      </c>
      <c r="AJ7" s="502">
        <v>43056.229596249999</v>
      </c>
    </row>
    <row r="8" spans="1:36">
      <c r="A8" s="1" t="s">
        <v>328</v>
      </c>
      <c r="B8" s="275" t="s">
        <v>452</v>
      </c>
      <c r="C8" s="1" t="s">
        <v>871</v>
      </c>
      <c r="D8" s="1" t="s">
        <v>793</v>
      </c>
      <c r="E8" s="1" t="s">
        <v>872</v>
      </c>
      <c r="F8" s="1" t="s">
        <v>780</v>
      </c>
      <c r="G8" s="1" t="s">
        <v>780</v>
      </c>
      <c r="H8" s="1" t="s">
        <v>797</v>
      </c>
      <c r="I8" s="1" t="s">
        <v>780</v>
      </c>
      <c r="J8" s="1" t="s">
        <v>873</v>
      </c>
      <c r="K8" s="1" t="s">
        <v>805</v>
      </c>
      <c r="L8" s="1" t="s">
        <v>793</v>
      </c>
      <c r="M8" s="1" t="s">
        <v>793</v>
      </c>
      <c r="N8" s="1" t="s">
        <v>800</v>
      </c>
      <c r="O8" s="1" t="s">
        <v>801</v>
      </c>
      <c r="P8" s="1" t="s">
        <v>780</v>
      </c>
      <c r="Q8" s="1" t="s">
        <v>845</v>
      </c>
      <c r="R8" s="1" t="s">
        <v>803</v>
      </c>
      <c r="S8" s="1" t="s">
        <v>793</v>
      </c>
      <c r="T8" s="1" t="s">
        <v>805</v>
      </c>
      <c r="U8" s="1" t="s">
        <v>793</v>
      </c>
      <c r="V8" s="1" t="s">
        <v>806</v>
      </c>
      <c r="W8" s="1" t="s">
        <v>780</v>
      </c>
      <c r="X8" s="1" t="s">
        <v>793</v>
      </c>
      <c r="Y8" s="1" t="s">
        <v>793</v>
      </c>
      <c r="Z8" s="1" t="s">
        <v>807</v>
      </c>
      <c r="AA8" s="1" t="s">
        <v>793</v>
      </c>
      <c r="AB8" s="1" t="s">
        <v>793</v>
      </c>
      <c r="AC8" s="1" t="s">
        <v>793</v>
      </c>
      <c r="AD8" s="1" t="s">
        <v>780</v>
      </c>
      <c r="AE8" s="1" t="s">
        <v>793</v>
      </c>
      <c r="AF8" s="1" t="s">
        <v>806</v>
      </c>
      <c r="AG8" s="1" t="s">
        <v>807</v>
      </c>
      <c r="AH8" s="1" t="s">
        <v>780</v>
      </c>
      <c r="AI8" s="1" t="s">
        <v>874</v>
      </c>
      <c r="AJ8" s="502">
        <v>43056.229596249999</v>
      </c>
    </row>
    <row r="9" spans="1:36">
      <c r="A9" s="1" t="s">
        <v>328</v>
      </c>
      <c r="B9" s="275" t="s">
        <v>479</v>
      </c>
      <c r="C9" s="1" t="s">
        <v>871</v>
      </c>
      <c r="D9" s="1" t="s">
        <v>810</v>
      </c>
      <c r="E9" s="1" t="s">
        <v>795</v>
      </c>
      <c r="F9" s="1" t="s">
        <v>780</v>
      </c>
      <c r="G9" s="1" t="s">
        <v>780</v>
      </c>
      <c r="H9" s="1" t="s">
        <v>789</v>
      </c>
      <c r="I9" s="1" t="s">
        <v>780</v>
      </c>
      <c r="J9" s="1" t="s">
        <v>811</v>
      </c>
      <c r="K9" s="1" t="s">
        <v>787</v>
      </c>
      <c r="L9" s="1" t="s">
        <v>779</v>
      </c>
      <c r="M9" s="1" t="s">
        <v>779</v>
      </c>
      <c r="N9" s="1" t="s">
        <v>812</v>
      </c>
      <c r="O9" s="1" t="s">
        <v>793</v>
      </c>
      <c r="P9" s="1" t="s">
        <v>780</v>
      </c>
      <c r="Q9" s="1" t="s">
        <v>814</v>
      </c>
      <c r="R9" s="1" t="s">
        <v>794</v>
      </c>
      <c r="S9" s="1" t="s">
        <v>794</v>
      </c>
      <c r="T9" s="1" t="s">
        <v>810</v>
      </c>
      <c r="U9" s="1" t="s">
        <v>802</v>
      </c>
      <c r="V9" s="1" t="s">
        <v>815</v>
      </c>
      <c r="W9" s="1" t="s">
        <v>780</v>
      </c>
      <c r="X9" s="1" t="s">
        <v>794</v>
      </c>
      <c r="Y9" s="1" t="s">
        <v>810</v>
      </c>
      <c r="Z9" s="1" t="s">
        <v>778</v>
      </c>
      <c r="AA9" s="1" t="s">
        <v>792</v>
      </c>
      <c r="AB9" s="1" t="s">
        <v>810</v>
      </c>
      <c r="AC9" s="1" t="s">
        <v>793</v>
      </c>
      <c r="AD9" s="1" t="s">
        <v>780</v>
      </c>
      <c r="AE9" s="1" t="s">
        <v>813</v>
      </c>
      <c r="AF9" s="1" t="s">
        <v>795</v>
      </c>
      <c r="AG9" s="1" t="s">
        <v>812</v>
      </c>
      <c r="AH9" s="1" t="s">
        <v>780</v>
      </c>
      <c r="AI9" s="1" t="s">
        <v>814</v>
      </c>
      <c r="AJ9" s="502">
        <v>43056.229596249999</v>
      </c>
    </row>
    <row r="10" spans="1:36">
      <c r="A10" s="1" t="s">
        <v>328</v>
      </c>
      <c r="B10" s="275" t="s">
        <v>508</v>
      </c>
      <c r="C10" s="1" t="s">
        <v>871</v>
      </c>
      <c r="D10" s="1" t="s">
        <v>780</v>
      </c>
      <c r="E10" s="1" t="s">
        <v>780</v>
      </c>
      <c r="F10" s="1" t="s">
        <v>780</v>
      </c>
      <c r="G10" s="1" t="s">
        <v>780</v>
      </c>
      <c r="H10" s="1" t="s">
        <v>780</v>
      </c>
      <c r="I10" s="1" t="s">
        <v>780</v>
      </c>
      <c r="J10" s="1" t="s">
        <v>780</v>
      </c>
      <c r="K10" s="1" t="s">
        <v>780</v>
      </c>
      <c r="L10" s="1" t="s">
        <v>780</v>
      </c>
      <c r="M10" s="1" t="s">
        <v>780</v>
      </c>
      <c r="N10" s="1" t="s">
        <v>780</v>
      </c>
      <c r="O10" s="1" t="s">
        <v>780</v>
      </c>
      <c r="P10" s="1" t="s">
        <v>780</v>
      </c>
      <c r="Q10" s="1" t="s">
        <v>780</v>
      </c>
      <c r="R10" s="1" t="s">
        <v>780</v>
      </c>
      <c r="S10" s="1" t="s">
        <v>780</v>
      </c>
      <c r="T10" s="1" t="s">
        <v>780</v>
      </c>
      <c r="U10" s="1" t="s">
        <v>780</v>
      </c>
      <c r="V10" s="1" t="s">
        <v>780</v>
      </c>
      <c r="W10" s="1" t="s">
        <v>780</v>
      </c>
      <c r="X10" s="1" t="s">
        <v>780</v>
      </c>
      <c r="Y10" s="1" t="s">
        <v>780</v>
      </c>
      <c r="Z10" s="1" t="s">
        <v>780</v>
      </c>
      <c r="AA10" s="1" t="s">
        <v>780</v>
      </c>
      <c r="AB10" s="1" t="s">
        <v>780</v>
      </c>
      <c r="AC10" s="1" t="s">
        <v>780</v>
      </c>
      <c r="AD10" s="1" t="s">
        <v>780</v>
      </c>
      <c r="AE10" s="1" t="s">
        <v>780</v>
      </c>
      <c r="AF10" s="1" t="s">
        <v>780</v>
      </c>
      <c r="AG10" s="1" t="s">
        <v>780</v>
      </c>
      <c r="AH10" s="1" t="s">
        <v>780</v>
      </c>
      <c r="AI10" s="1" t="s">
        <v>780</v>
      </c>
      <c r="AJ10" s="502">
        <v>43056.229596249999</v>
      </c>
    </row>
    <row r="11" spans="1:36">
      <c r="A11" s="1" t="s">
        <v>328</v>
      </c>
      <c r="B11" s="275" t="s">
        <v>509</v>
      </c>
      <c r="C11" s="1" t="s">
        <v>871</v>
      </c>
      <c r="D11" s="1" t="s">
        <v>789</v>
      </c>
      <c r="E11" s="1" t="s">
        <v>795</v>
      </c>
      <c r="F11" s="1" t="s">
        <v>780</v>
      </c>
      <c r="G11" s="1" t="s">
        <v>780</v>
      </c>
      <c r="H11" s="1" t="s">
        <v>791</v>
      </c>
      <c r="I11" s="1" t="s">
        <v>780</v>
      </c>
      <c r="J11" s="1" t="s">
        <v>791</v>
      </c>
      <c r="K11" s="1" t="s">
        <v>812</v>
      </c>
      <c r="L11" s="1" t="s">
        <v>810</v>
      </c>
      <c r="M11" s="1" t="s">
        <v>795</v>
      </c>
      <c r="N11" s="1" t="s">
        <v>793</v>
      </c>
      <c r="O11" s="1" t="s">
        <v>795</v>
      </c>
      <c r="P11" s="1" t="s">
        <v>780</v>
      </c>
      <c r="Q11" s="1" t="s">
        <v>793</v>
      </c>
      <c r="R11" s="1" t="s">
        <v>795</v>
      </c>
      <c r="S11" s="1" t="s">
        <v>793</v>
      </c>
      <c r="T11" s="1" t="s">
        <v>795</v>
      </c>
      <c r="U11" s="1" t="s">
        <v>793</v>
      </c>
      <c r="V11" s="1" t="s">
        <v>793</v>
      </c>
      <c r="W11" s="1" t="s">
        <v>780</v>
      </c>
      <c r="X11" s="1" t="s">
        <v>795</v>
      </c>
      <c r="Y11" s="1" t="s">
        <v>816</v>
      </c>
      <c r="Z11" s="1" t="s">
        <v>779</v>
      </c>
      <c r="AA11" s="1" t="s">
        <v>817</v>
      </c>
      <c r="AB11" s="1" t="s">
        <v>783</v>
      </c>
      <c r="AC11" s="1" t="s">
        <v>790</v>
      </c>
      <c r="AD11" s="1" t="s">
        <v>780</v>
      </c>
      <c r="AE11" s="1" t="s">
        <v>818</v>
      </c>
      <c r="AF11" s="1" t="s">
        <v>819</v>
      </c>
      <c r="AG11" s="1" t="s">
        <v>818</v>
      </c>
      <c r="AH11" s="1" t="s">
        <v>780</v>
      </c>
      <c r="AI11" s="1" t="s">
        <v>789</v>
      </c>
      <c r="AJ11" s="502">
        <v>43056.229596249999</v>
      </c>
    </row>
    <row r="12" spans="1:36">
      <c r="A12" s="1" t="s">
        <v>328</v>
      </c>
      <c r="B12" s="275" t="s">
        <v>824</v>
      </c>
      <c r="C12" s="1" t="s">
        <v>871</v>
      </c>
      <c r="D12" s="1" t="s">
        <v>793</v>
      </c>
      <c r="E12" s="1" t="s">
        <v>793</v>
      </c>
      <c r="F12" s="1" t="s">
        <v>780</v>
      </c>
      <c r="G12" s="1" t="s">
        <v>780</v>
      </c>
      <c r="H12" s="1" t="s">
        <v>793</v>
      </c>
      <c r="I12" s="1" t="s">
        <v>780</v>
      </c>
      <c r="J12" s="1" t="s">
        <v>793</v>
      </c>
      <c r="K12" s="1" t="s">
        <v>793</v>
      </c>
      <c r="L12" s="1" t="s">
        <v>793</v>
      </c>
      <c r="M12" s="1" t="s">
        <v>793</v>
      </c>
      <c r="N12" s="1" t="s">
        <v>793</v>
      </c>
      <c r="O12" s="1" t="s">
        <v>793</v>
      </c>
      <c r="P12" s="1" t="s">
        <v>780</v>
      </c>
      <c r="Q12" s="1" t="s">
        <v>793</v>
      </c>
      <c r="R12" s="1" t="s">
        <v>793</v>
      </c>
      <c r="S12" s="1" t="s">
        <v>793</v>
      </c>
      <c r="T12" s="1" t="s">
        <v>793</v>
      </c>
      <c r="U12" s="1" t="s">
        <v>793</v>
      </c>
      <c r="V12" s="1" t="s">
        <v>793</v>
      </c>
      <c r="W12" s="1" t="s">
        <v>780</v>
      </c>
      <c r="X12" s="1" t="s">
        <v>793</v>
      </c>
      <c r="Y12" s="1" t="s">
        <v>793</v>
      </c>
      <c r="Z12" s="1" t="s">
        <v>793</v>
      </c>
      <c r="AA12" s="1" t="s">
        <v>793</v>
      </c>
      <c r="AB12" s="1" t="s">
        <v>793</v>
      </c>
      <c r="AC12" s="1" t="s">
        <v>793</v>
      </c>
      <c r="AD12" s="1" t="s">
        <v>780</v>
      </c>
      <c r="AE12" s="1" t="s">
        <v>793</v>
      </c>
      <c r="AF12" s="1" t="s">
        <v>793</v>
      </c>
      <c r="AG12" s="1" t="s">
        <v>793</v>
      </c>
      <c r="AH12" s="1" t="s">
        <v>780</v>
      </c>
      <c r="AI12" s="1" t="s">
        <v>793</v>
      </c>
      <c r="AJ12" s="502">
        <v>43056.229596249999</v>
      </c>
    </row>
    <row r="13" spans="1:36">
      <c r="A13" s="1" t="s">
        <v>328</v>
      </c>
      <c r="B13" s="275" t="s">
        <v>825</v>
      </c>
      <c r="C13" s="1" t="s">
        <v>871</v>
      </c>
      <c r="D13" s="1" t="s">
        <v>793</v>
      </c>
      <c r="E13" s="1" t="s">
        <v>811</v>
      </c>
      <c r="F13" s="1" t="s">
        <v>780</v>
      </c>
      <c r="G13" s="1" t="s">
        <v>780</v>
      </c>
      <c r="H13" s="1" t="s">
        <v>793</v>
      </c>
      <c r="I13" s="1" t="s">
        <v>780</v>
      </c>
      <c r="J13" s="1" t="s">
        <v>793</v>
      </c>
      <c r="K13" s="1" t="s">
        <v>793</v>
      </c>
      <c r="L13" s="1" t="s">
        <v>827</v>
      </c>
      <c r="M13" s="1" t="s">
        <v>793</v>
      </c>
      <c r="N13" s="1" t="s">
        <v>793</v>
      </c>
      <c r="O13" s="1" t="s">
        <v>793</v>
      </c>
      <c r="P13" s="1" t="s">
        <v>780</v>
      </c>
      <c r="Q13" s="1" t="s">
        <v>793</v>
      </c>
      <c r="R13" s="1" t="s">
        <v>787</v>
      </c>
      <c r="S13" s="1" t="s">
        <v>793</v>
      </c>
      <c r="T13" s="1" t="s">
        <v>786</v>
      </c>
      <c r="U13" s="1" t="s">
        <v>793</v>
      </c>
      <c r="V13" s="1" t="s">
        <v>793</v>
      </c>
      <c r="W13" s="1" t="s">
        <v>780</v>
      </c>
      <c r="X13" s="1" t="s">
        <v>793</v>
      </c>
      <c r="Y13" s="1" t="s">
        <v>829</v>
      </c>
      <c r="Z13" s="1" t="s">
        <v>793</v>
      </c>
      <c r="AA13" s="1" t="s">
        <v>835</v>
      </c>
      <c r="AB13" s="1" t="s">
        <v>793</v>
      </c>
      <c r="AC13" s="1" t="s">
        <v>793</v>
      </c>
      <c r="AD13" s="1" t="s">
        <v>780</v>
      </c>
      <c r="AE13" s="1" t="s">
        <v>793</v>
      </c>
      <c r="AF13" s="1" t="s">
        <v>793</v>
      </c>
      <c r="AG13" s="1" t="s">
        <v>792</v>
      </c>
      <c r="AH13" s="1" t="s">
        <v>780</v>
      </c>
      <c r="AI13" s="1" t="s">
        <v>789</v>
      </c>
      <c r="AJ13" s="502">
        <v>43056.229596249999</v>
      </c>
    </row>
    <row r="14" spans="1:36">
      <c r="A14" s="1" t="s">
        <v>328</v>
      </c>
      <c r="B14" s="275" t="s">
        <v>833</v>
      </c>
      <c r="C14" s="1" t="s">
        <v>871</v>
      </c>
      <c r="D14" s="1" t="s">
        <v>786</v>
      </c>
      <c r="E14" s="1" t="s">
        <v>842</v>
      </c>
      <c r="F14" s="1" t="s">
        <v>780</v>
      </c>
      <c r="G14" s="1" t="s">
        <v>780</v>
      </c>
      <c r="H14" s="1" t="s">
        <v>868</v>
      </c>
      <c r="I14" s="1" t="s">
        <v>780</v>
      </c>
      <c r="J14" s="1" t="s">
        <v>836</v>
      </c>
      <c r="K14" s="1" t="s">
        <v>791</v>
      </c>
      <c r="L14" s="1" t="s">
        <v>816</v>
      </c>
      <c r="M14" s="1" t="s">
        <v>841</v>
      </c>
      <c r="N14" s="1" t="s">
        <v>836</v>
      </c>
      <c r="O14" s="1" t="s">
        <v>840</v>
      </c>
      <c r="P14" s="1" t="s">
        <v>780</v>
      </c>
      <c r="Q14" s="1" t="s">
        <v>844</v>
      </c>
      <c r="R14" s="1" t="s">
        <v>792</v>
      </c>
      <c r="S14" s="1" t="s">
        <v>820</v>
      </c>
      <c r="T14" s="1" t="s">
        <v>834</v>
      </c>
      <c r="U14" s="1" t="s">
        <v>826</v>
      </c>
      <c r="V14" s="1" t="s">
        <v>789</v>
      </c>
      <c r="W14" s="1" t="s">
        <v>780</v>
      </c>
      <c r="X14" s="1" t="s">
        <v>781</v>
      </c>
      <c r="Y14" s="1" t="s">
        <v>843</v>
      </c>
      <c r="Z14" s="1" t="s">
        <v>830</v>
      </c>
      <c r="AA14" s="1" t="s">
        <v>875</v>
      </c>
      <c r="AB14" s="1" t="s">
        <v>792</v>
      </c>
      <c r="AC14" s="1" t="s">
        <v>868</v>
      </c>
      <c r="AD14" s="1" t="s">
        <v>780</v>
      </c>
      <c r="AE14" s="1" t="s">
        <v>826</v>
      </c>
      <c r="AF14" s="1" t="s">
        <v>784</v>
      </c>
      <c r="AG14" s="1" t="s">
        <v>782</v>
      </c>
      <c r="AH14" s="1" t="s">
        <v>780</v>
      </c>
      <c r="AI14" s="1" t="s">
        <v>842</v>
      </c>
      <c r="AJ14" s="502">
        <v>43056.229596249999</v>
      </c>
    </row>
    <row r="15" spans="1:36">
      <c r="A15" s="1" t="s">
        <v>328</v>
      </c>
      <c r="B15" s="275" t="s">
        <v>847</v>
      </c>
      <c r="C15" s="1" t="s">
        <v>871</v>
      </c>
      <c r="D15" s="1" t="s">
        <v>793</v>
      </c>
      <c r="E15" s="1" t="s">
        <v>785</v>
      </c>
      <c r="F15" s="1" t="s">
        <v>780</v>
      </c>
      <c r="G15" s="1" t="s">
        <v>780</v>
      </c>
      <c r="H15" s="1" t="s">
        <v>793</v>
      </c>
      <c r="I15" s="1" t="s">
        <v>780</v>
      </c>
      <c r="J15" s="1" t="s">
        <v>793</v>
      </c>
      <c r="K15" s="1" t="s">
        <v>793</v>
      </c>
      <c r="L15" s="1" t="s">
        <v>848</v>
      </c>
      <c r="M15" s="1" t="s">
        <v>849</v>
      </c>
      <c r="N15" s="1" t="s">
        <v>830</v>
      </c>
      <c r="O15" s="1" t="s">
        <v>793</v>
      </c>
      <c r="P15" s="1" t="s">
        <v>780</v>
      </c>
      <c r="Q15" s="1" t="s">
        <v>793</v>
      </c>
      <c r="R15" s="1" t="s">
        <v>835</v>
      </c>
      <c r="S15" s="1" t="s">
        <v>793</v>
      </c>
      <c r="T15" s="1" t="s">
        <v>808</v>
      </c>
      <c r="U15" s="1" t="s">
        <v>828</v>
      </c>
      <c r="V15" s="1" t="s">
        <v>876</v>
      </c>
      <c r="W15" s="1" t="s">
        <v>780</v>
      </c>
      <c r="X15" s="1" t="s">
        <v>827</v>
      </c>
      <c r="Y15" s="1" t="s">
        <v>851</v>
      </c>
      <c r="Z15" s="1" t="s">
        <v>852</v>
      </c>
      <c r="AA15" s="1" t="s">
        <v>793</v>
      </c>
      <c r="AB15" s="1" t="s">
        <v>842</v>
      </c>
      <c r="AC15" s="1" t="s">
        <v>827</v>
      </c>
      <c r="AD15" s="1" t="s">
        <v>780</v>
      </c>
      <c r="AE15" s="1" t="s">
        <v>783</v>
      </c>
      <c r="AF15" s="1" t="s">
        <v>785</v>
      </c>
      <c r="AG15" s="1" t="s">
        <v>783</v>
      </c>
      <c r="AH15" s="1" t="s">
        <v>780</v>
      </c>
      <c r="AI15" s="1" t="s">
        <v>846</v>
      </c>
      <c r="AJ15" s="502">
        <v>43056.229596249999</v>
      </c>
    </row>
    <row r="16" spans="1:36">
      <c r="A16" s="1" t="s">
        <v>328</v>
      </c>
      <c r="B16" s="275" t="s">
        <v>853</v>
      </c>
      <c r="C16" s="1" t="s">
        <v>871</v>
      </c>
      <c r="D16" s="1" t="s">
        <v>780</v>
      </c>
      <c r="E16" s="1" t="s">
        <v>780</v>
      </c>
      <c r="F16" s="1" t="s">
        <v>780</v>
      </c>
      <c r="G16" s="1" t="s">
        <v>780</v>
      </c>
      <c r="H16" s="1" t="s">
        <v>780</v>
      </c>
      <c r="I16" s="1" t="s">
        <v>780</v>
      </c>
      <c r="J16" s="1" t="s">
        <v>780</v>
      </c>
      <c r="K16" s="1" t="s">
        <v>780</v>
      </c>
      <c r="L16" s="1" t="s">
        <v>780</v>
      </c>
      <c r="M16" s="1" t="s">
        <v>780</v>
      </c>
      <c r="N16" s="1" t="s">
        <v>780</v>
      </c>
      <c r="O16" s="1" t="s">
        <v>780</v>
      </c>
      <c r="P16" s="1" t="s">
        <v>780</v>
      </c>
      <c r="Q16" s="1" t="s">
        <v>780</v>
      </c>
      <c r="R16" s="1" t="s">
        <v>780</v>
      </c>
      <c r="S16" s="1" t="s">
        <v>780</v>
      </c>
      <c r="T16" s="1" t="s">
        <v>780</v>
      </c>
      <c r="U16" s="1" t="s">
        <v>780</v>
      </c>
      <c r="V16" s="1" t="s">
        <v>780</v>
      </c>
      <c r="W16" s="1" t="s">
        <v>780</v>
      </c>
      <c r="X16" s="1" t="s">
        <v>780</v>
      </c>
      <c r="Y16" s="1" t="s">
        <v>780</v>
      </c>
      <c r="Z16" s="1" t="s">
        <v>780</v>
      </c>
      <c r="AA16" s="1" t="s">
        <v>780</v>
      </c>
      <c r="AB16" s="1" t="s">
        <v>780</v>
      </c>
      <c r="AC16" s="1" t="s">
        <v>780</v>
      </c>
      <c r="AD16" s="1" t="s">
        <v>780</v>
      </c>
      <c r="AE16" s="1" t="s">
        <v>780</v>
      </c>
      <c r="AF16" s="1" t="s">
        <v>780</v>
      </c>
      <c r="AG16" s="1" t="s">
        <v>780</v>
      </c>
      <c r="AH16" s="1" t="s">
        <v>780</v>
      </c>
      <c r="AI16" s="1" t="s">
        <v>780</v>
      </c>
      <c r="AJ16" s="502">
        <v>43056.229596249999</v>
      </c>
    </row>
    <row r="17" spans="1:36">
      <c r="A17" s="1" t="s">
        <v>328</v>
      </c>
      <c r="B17" s="275" t="s">
        <v>877</v>
      </c>
      <c r="C17" s="1" t="s">
        <v>871</v>
      </c>
      <c r="D17" s="1" t="s">
        <v>780</v>
      </c>
      <c r="E17" s="1" t="s">
        <v>780</v>
      </c>
      <c r="F17" s="1" t="s">
        <v>780</v>
      </c>
      <c r="G17" s="1" t="s">
        <v>780</v>
      </c>
      <c r="H17" s="1" t="s">
        <v>780</v>
      </c>
      <c r="I17" s="1" t="s">
        <v>780</v>
      </c>
      <c r="J17" s="1" t="s">
        <v>780</v>
      </c>
      <c r="K17" s="1" t="s">
        <v>780</v>
      </c>
      <c r="L17" s="1" t="s">
        <v>780</v>
      </c>
      <c r="M17" s="1" t="s">
        <v>780</v>
      </c>
      <c r="N17" s="1" t="s">
        <v>780</v>
      </c>
      <c r="O17" s="1" t="s">
        <v>780</v>
      </c>
      <c r="P17" s="1" t="s">
        <v>780</v>
      </c>
      <c r="Q17" s="1" t="s">
        <v>780</v>
      </c>
      <c r="R17" s="1" t="s">
        <v>780</v>
      </c>
      <c r="S17" s="1" t="s">
        <v>780</v>
      </c>
      <c r="T17" s="1" t="s">
        <v>780</v>
      </c>
      <c r="U17" s="1" t="s">
        <v>780</v>
      </c>
      <c r="V17" s="1" t="s">
        <v>780</v>
      </c>
      <c r="W17" s="1" t="s">
        <v>780</v>
      </c>
      <c r="X17" s="1" t="s">
        <v>780</v>
      </c>
      <c r="Y17" s="1" t="s">
        <v>780</v>
      </c>
      <c r="Z17" s="1" t="s">
        <v>780</v>
      </c>
      <c r="AA17" s="1" t="s">
        <v>780</v>
      </c>
      <c r="AB17" s="1" t="s">
        <v>780</v>
      </c>
      <c r="AC17" s="1" t="s">
        <v>780</v>
      </c>
      <c r="AD17" s="1" t="s">
        <v>780</v>
      </c>
      <c r="AE17" s="1" t="s">
        <v>780</v>
      </c>
      <c r="AF17" s="1" t="s">
        <v>780</v>
      </c>
      <c r="AG17" s="1" t="s">
        <v>780</v>
      </c>
      <c r="AH17" s="1" t="s">
        <v>780</v>
      </c>
      <c r="AI17" s="1" t="s">
        <v>780</v>
      </c>
      <c r="AJ17" s="502">
        <v>43056.229596249999</v>
      </c>
    </row>
    <row r="18" spans="1:36">
      <c r="A18" s="1" t="s">
        <v>328</v>
      </c>
      <c r="B18" s="275" t="s">
        <v>878</v>
      </c>
      <c r="C18" s="1" t="s">
        <v>871</v>
      </c>
      <c r="D18" s="1" t="s">
        <v>780</v>
      </c>
      <c r="E18" s="1" t="s">
        <v>780</v>
      </c>
      <c r="F18" s="1" t="s">
        <v>780</v>
      </c>
      <c r="G18" s="1" t="s">
        <v>780</v>
      </c>
      <c r="H18" s="1" t="s">
        <v>780</v>
      </c>
      <c r="I18" s="1" t="s">
        <v>780</v>
      </c>
      <c r="J18" s="1" t="s">
        <v>780</v>
      </c>
      <c r="K18" s="1" t="s">
        <v>780</v>
      </c>
      <c r="L18" s="1" t="s">
        <v>780</v>
      </c>
      <c r="M18" s="1" t="s">
        <v>780</v>
      </c>
      <c r="N18" s="1" t="s">
        <v>780</v>
      </c>
      <c r="O18" s="1" t="s">
        <v>780</v>
      </c>
      <c r="P18" s="1" t="s">
        <v>780</v>
      </c>
      <c r="Q18" s="1" t="s">
        <v>780</v>
      </c>
      <c r="R18" s="1" t="s">
        <v>780</v>
      </c>
      <c r="S18" s="1" t="s">
        <v>780</v>
      </c>
      <c r="T18" s="1" t="s">
        <v>780</v>
      </c>
      <c r="U18" s="1" t="s">
        <v>780</v>
      </c>
      <c r="V18" s="1" t="s">
        <v>780</v>
      </c>
      <c r="W18" s="1" t="s">
        <v>780</v>
      </c>
      <c r="X18" s="1" t="s">
        <v>780</v>
      </c>
      <c r="Y18" s="1" t="s">
        <v>780</v>
      </c>
      <c r="Z18" s="1" t="s">
        <v>780</v>
      </c>
      <c r="AA18" s="1" t="s">
        <v>780</v>
      </c>
      <c r="AB18" s="1" t="s">
        <v>780</v>
      </c>
      <c r="AC18" s="1" t="s">
        <v>780</v>
      </c>
      <c r="AD18" s="1" t="s">
        <v>780</v>
      </c>
      <c r="AE18" s="1" t="s">
        <v>780</v>
      </c>
      <c r="AF18" s="1" t="s">
        <v>780</v>
      </c>
      <c r="AG18" s="1" t="s">
        <v>780</v>
      </c>
      <c r="AH18" s="1" t="s">
        <v>780</v>
      </c>
      <c r="AI18" s="1" t="s">
        <v>780</v>
      </c>
      <c r="AJ18" s="502">
        <v>43056.229596249999</v>
      </c>
    </row>
    <row r="19" spans="1:36">
      <c r="A19" s="1" t="s">
        <v>328</v>
      </c>
      <c r="B19" s="275" t="s">
        <v>879</v>
      </c>
      <c r="C19" s="1" t="s">
        <v>871</v>
      </c>
      <c r="D19" s="1" t="s">
        <v>780</v>
      </c>
      <c r="E19" s="1" t="s">
        <v>780</v>
      </c>
      <c r="F19" s="1" t="s">
        <v>780</v>
      </c>
      <c r="G19" s="1" t="s">
        <v>780</v>
      </c>
      <c r="H19" s="1" t="s">
        <v>780</v>
      </c>
      <c r="I19" s="1" t="s">
        <v>780</v>
      </c>
      <c r="J19" s="1" t="s">
        <v>780</v>
      </c>
      <c r="K19" s="1" t="s">
        <v>780</v>
      </c>
      <c r="L19" s="1" t="s">
        <v>780</v>
      </c>
      <c r="M19" s="1" t="s">
        <v>780</v>
      </c>
      <c r="N19" s="1" t="s">
        <v>780</v>
      </c>
      <c r="O19" s="1" t="s">
        <v>780</v>
      </c>
      <c r="P19" s="1" t="s">
        <v>780</v>
      </c>
      <c r="Q19" s="1" t="s">
        <v>780</v>
      </c>
      <c r="R19" s="1" t="s">
        <v>780</v>
      </c>
      <c r="S19" s="1" t="s">
        <v>780</v>
      </c>
      <c r="T19" s="1" t="s">
        <v>780</v>
      </c>
      <c r="U19" s="1" t="s">
        <v>780</v>
      </c>
      <c r="V19" s="1" t="s">
        <v>780</v>
      </c>
      <c r="W19" s="1" t="s">
        <v>780</v>
      </c>
      <c r="X19" s="1" t="s">
        <v>780</v>
      </c>
      <c r="Y19" s="1" t="s">
        <v>780</v>
      </c>
      <c r="Z19" s="1" t="s">
        <v>780</v>
      </c>
      <c r="AA19" s="1" t="s">
        <v>780</v>
      </c>
      <c r="AB19" s="1" t="s">
        <v>780</v>
      </c>
      <c r="AC19" s="1" t="s">
        <v>780</v>
      </c>
      <c r="AD19" s="1" t="s">
        <v>780</v>
      </c>
      <c r="AE19" s="1" t="s">
        <v>780</v>
      </c>
      <c r="AF19" s="1" t="s">
        <v>780</v>
      </c>
      <c r="AG19" s="1" t="s">
        <v>780</v>
      </c>
      <c r="AH19" s="1" t="s">
        <v>780</v>
      </c>
      <c r="AI19" s="1" t="s">
        <v>780</v>
      </c>
      <c r="AJ19" s="502">
        <v>43056.229596249999</v>
      </c>
    </row>
    <row r="20" spans="1:36">
      <c r="A20" s="1" t="s">
        <v>328</v>
      </c>
      <c r="B20" s="275" t="s">
        <v>880</v>
      </c>
      <c r="C20" s="1" t="s">
        <v>871</v>
      </c>
      <c r="D20" s="1" t="s">
        <v>780</v>
      </c>
      <c r="E20" s="1" t="s">
        <v>780</v>
      </c>
      <c r="F20" s="1" t="s">
        <v>780</v>
      </c>
      <c r="G20" s="1" t="s">
        <v>780</v>
      </c>
      <c r="H20" s="1" t="s">
        <v>780</v>
      </c>
      <c r="I20" s="1" t="s">
        <v>780</v>
      </c>
      <c r="J20" s="1" t="s">
        <v>780</v>
      </c>
      <c r="K20" s="1" t="s">
        <v>780</v>
      </c>
      <c r="L20" s="1" t="s">
        <v>780</v>
      </c>
      <c r="M20" s="1" t="s">
        <v>780</v>
      </c>
      <c r="N20" s="1" t="s">
        <v>780</v>
      </c>
      <c r="O20" s="1" t="s">
        <v>780</v>
      </c>
      <c r="P20" s="1" t="s">
        <v>780</v>
      </c>
      <c r="Q20" s="1" t="s">
        <v>780</v>
      </c>
      <c r="R20" s="1" t="s">
        <v>780</v>
      </c>
      <c r="S20" s="1" t="s">
        <v>780</v>
      </c>
      <c r="T20" s="1" t="s">
        <v>780</v>
      </c>
      <c r="U20" s="1" t="s">
        <v>780</v>
      </c>
      <c r="V20" s="1" t="s">
        <v>780</v>
      </c>
      <c r="W20" s="1" t="s">
        <v>780</v>
      </c>
      <c r="X20" s="1" t="s">
        <v>780</v>
      </c>
      <c r="Y20" s="1" t="s">
        <v>780</v>
      </c>
      <c r="Z20" s="1" t="s">
        <v>780</v>
      </c>
      <c r="AA20" s="1" t="s">
        <v>780</v>
      </c>
      <c r="AB20" s="1" t="s">
        <v>780</v>
      </c>
      <c r="AC20" s="1" t="s">
        <v>780</v>
      </c>
      <c r="AD20" s="1" t="s">
        <v>780</v>
      </c>
      <c r="AE20" s="1" t="s">
        <v>780</v>
      </c>
      <c r="AF20" s="1" t="s">
        <v>780</v>
      </c>
      <c r="AG20" s="1" t="s">
        <v>780</v>
      </c>
      <c r="AH20" s="1" t="s">
        <v>780</v>
      </c>
      <c r="AI20" s="1" t="s">
        <v>780</v>
      </c>
      <c r="AJ20" s="502">
        <v>43056.229596249999</v>
      </c>
    </row>
    <row r="21" spans="1:36">
      <c r="A21" s="1" t="s">
        <v>328</v>
      </c>
      <c r="B21" s="275" t="s">
        <v>881</v>
      </c>
      <c r="C21" s="1" t="s">
        <v>871</v>
      </c>
      <c r="D21" s="1" t="s">
        <v>780</v>
      </c>
      <c r="E21" s="1" t="s">
        <v>780</v>
      </c>
      <c r="F21" s="1" t="s">
        <v>780</v>
      </c>
      <c r="G21" s="1" t="s">
        <v>780</v>
      </c>
      <c r="H21" s="1" t="s">
        <v>780</v>
      </c>
      <c r="I21" s="1" t="s">
        <v>780</v>
      </c>
      <c r="J21" s="1" t="s">
        <v>780</v>
      </c>
      <c r="K21" s="1" t="s">
        <v>780</v>
      </c>
      <c r="L21" s="1" t="s">
        <v>780</v>
      </c>
      <c r="M21" s="1" t="s">
        <v>780</v>
      </c>
      <c r="N21" s="1" t="s">
        <v>780</v>
      </c>
      <c r="O21" s="1" t="s">
        <v>780</v>
      </c>
      <c r="P21" s="1" t="s">
        <v>780</v>
      </c>
      <c r="Q21" s="1" t="s">
        <v>780</v>
      </c>
      <c r="R21" s="1" t="s">
        <v>780</v>
      </c>
      <c r="S21" s="1" t="s">
        <v>780</v>
      </c>
      <c r="T21" s="1" t="s">
        <v>780</v>
      </c>
      <c r="U21" s="1" t="s">
        <v>780</v>
      </c>
      <c r="V21" s="1" t="s">
        <v>780</v>
      </c>
      <c r="W21" s="1" t="s">
        <v>780</v>
      </c>
      <c r="X21" s="1" t="s">
        <v>780</v>
      </c>
      <c r="Y21" s="1" t="s">
        <v>780</v>
      </c>
      <c r="Z21" s="1" t="s">
        <v>780</v>
      </c>
      <c r="AA21" s="1" t="s">
        <v>780</v>
      </c>
      <c r="AB21" s="1" t="s">
        <v>780</v>
      </c>
      <c r="AC21" s="1" t="s">
        <v>780</v>
      </c>
      <c r="AD21" s="1" t="s">
        <v>780</v>
      </c>
      <c r="AE21" s="1" t="s">
        <v>780</v>
      </c>
      <c r="AF21" s="1" t="s">
        <v>780</v>
      </c>
      <c r="AG21" s="1" t="s">
        <v>780</v>
      </c>
      <c r="AH21" s="1" t="s">
        <v>780</v>
      </c>
      <c r="AI21" s="1" t="s">
        <v>780</v>
      </c>
      <c r="AJ21" s="502">
        <v>43056.229596249999</v>
      </c>
    </row>
    <row r="22" spans="1:36">
      <c r="A22" s="503" t="s">
        <v>328</v>
      </c>
      <c r="B22" s="503" t="s">
        <v>882</v>
      </c>
      <c r="C22" s="503" t="s">
        <v>871</v>
      </c>
      <c r="D22" s="503" t="s">
        <v>883</v>
      </c>
      <c r="E22" s="503" t="s">
        <v>883</v>
      </c>
      <c r="F22" s="503" t="s">
        <v>780</v>
      </c>
      <c r="G22" s="503" t="s">
        <v>780</v>
      </c>
      <c r="H22" s="503" t="s">
        <v>787</v>
      </c>
      <c r="I22" s="503" t="s">
        <v>780</v>
      </c>
      <c r="J22" s="503" t="s">
        <v>852</v>
      </c>
      <c r="K22" s="503" t="s">
        <v>837</v>
      </c>
      <c r="L22" s="503" t="s">
        <v>819</v>
      </c>
      <c r="M22" s="503" t="s">
        <v>846</v>
      </c>
      <c r="N22" s="503" t="s">
        <v>830</v>
      </c>
      <c r="O22" s="503" t="s">
        <v>820</v>
      </c>
      <c r="P22" s="503" t="s">
        <v>780</v>
      </c>
      <c r="Q22" s="503" t="s">
        <v>837</v>
      </c>
      <c r="R22" s="503" t="s">
        <v>835</v>
      </c>
      <c r="S22" s="503" t="s">
        <v>883</v>
      </c>
      <c r="T22" s="503" t="s">
        <v>819</v>
      </c>
      <c r="U22" s="503" t="s">
        <v>784</v>
      </c>
      <c r="V22" s="503" t="s">
        <v>837</v>
      </c>
      <c r="W22" s="503" t="s">
        <v>780</v>
      </c>
      <c r="X22" s="503" t="s">
        <v>868</v>
      </c>
      <c r="Y22" s="503" t="s">
        <v>786</v>
      </c>
      <c r="Z22" s="503" t="s">
        <v>835</v>
      </c>
      <c r="AA22" s="503" t="s">
        <v>817</v>
      </c>
      <c r="AB22" s="503" t="s">
        <v>840</v>
      </c>
      <c r="AC22" s="503" t="s">
        <v>840</v>
      </c>
      <c r="AD22" s="503" t="s">
        <v>780</v>
      </c>
      <c r="AE22" s="503" t="s">
        <v>826</v>
      </c>
      <c r="AF22" s="503" t="s">
        <v>843</v>
      </c>
      <c r="AG22" s="503" t="s">
        <v>816</v>
      </c>
      <c r="AH22" s="503" t="s">
        <v>780</v>
      </c>
      <c r="AI22" s="503" t="s">
        <v>868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884</v>
      </c>
    </row>
    <row r="2" spans="1:35">
      <c r="A2" s="1" t="s">
        <v>328</v>
      </c>
      <c r="B2" s="275" t="s">
        <v>363</v>
      </c>
      <c r="C2" s="1" t="s">
        <v>885</v>
      </c>
      <c r="D2" s="1" t="s">
        <v>886</v>
      </c>
      <c r="E2" s="1" t="s">
        <v>393</v>
      </c>
      <c r="F2" s="1" t="s">
        <v>393</v>
      </c>
      <c r="G2" s="1" t="s">
        <v>887</v>
      </c>
      <c r="H2" s="1" t="s">
        <v>393</v>
      </c>
      <c r="I2" s="1"/>
      <c r="J2" s="1" t="s">
        <v>888</v>
      </c>
      <c r="K2" s="1" t="s">
        <v>889</v>
      </c>
      <c r="L2" s="1" t="s">
        <v>890</v>
      </c>
      <c r="M2" s="1" t="s">
        <v>891</v>
      </c>
      <c r="N2" s="1" t="s">
        <v>892</v>
      </c>
      <c r="O2" s="1" t="s">
        <v>393</v>
      </c>
      <c r="P2" s="1" t="s">
        <v>893</v>
      </c>
      <c r="Q2" s="1" t="s">
        <v>894</v>
      </c>
      <c r="R2" s="1" t="s">
        <v>895</v>
      </c>
      <c r="S2" s="1" t="s">
        <v>896</v>
      </c>
      <c r="T2" s="1" t="s">
        <v>897</v>
      </c>
      <c r="U2" s="1" t="s">
        <v>898</v>
      </c>
      <c r="V2" s="1" t="s">
        <v>393</v>
      </c>
      <c r="W2" s="1" t="s">
        <v>899</v>
      </c>
      <c r="X2" s="1" t="s">
        <v>900</v>
      </c>
      <c r="Y2" s="1" t="s">
        <v>901</v>
      </c>
      <c r="Z2" s="1" t="s">
        <v>902</v>
      </c>
      <c r="AA2" s="1" t="s">
        <v>891</v>
      </c>
      <c r="AB2" s="1" t="s">
        <v>903</v>
      </c>
      <c r="AC2" s="1" t="s">
        <v>393</v>
      </c>
      <c r="AD2" s="1" t="s">
        <v>904</v>
      </c>
      <c r="AE2" s="1" t="s">
        <v>901</v>
      </c>
      <c r="AF2" s="1" t="s">
        <v>891</v>
      </c>
      <c r="AG2" s="1" t="s">
        <v>393</v>
      </c>
      <c r="AH2" s="1" t="s">
        <v>905</v>
      </c>
      <c r="AI2" s="502">
        <v>43056.2297915741</v>
      </c>
    </row>
    <row r="3" spans="1:35">
      <c r="A3" s="1" t="s">
        <v>328</v>
      </c>
      <c r="B3" s="275" t="s">
        <v>396</v>
      </c>
      <c r="C3" s="1" t="s">
        <v>906</v>
      </c>
      <c r="D3" s="1" t="s">
        <v>907</v>
      </c>
      <c r="E3" s="1" t="s">
        <v>393</v>
      </c>
      <c r="F3" s="1" t="s">
        <v>393</v>
      </c>
      <c r="G3" s="1" t="s">
        <v>908</v>
      </c>
      <c r="H3" s="1" t="s">
        <v>393</v>
      </c>
      <c r="I3" s="1"/>
      <c r="J3" s="1" t="s">
        <v>909</v>
      </c>
      <c r="K3" s="1" t="s">
        <v>910</v>
      </c>
      <c r="L3" s="1" t="s">
        <v>906</v>
      </c>
      <c r="M3" s="1" t="s">
        <v>911</v>
      </c>
      <c r="N3" s="1" t="s">
        <v>912</v>
      </c>
      <c r="O3" s="1" t="s">
        <v>393</v>
      </c>
      <c r="P3" s="1" t="s">
        <v>913</v>
      </c>
      <c r="Q3" s="1" t="s">
        <v>914</v>
      </c>
      <c r="R3" s="1" t="s">
        <v>915</v>
      </c>
      <c r="S3" s="1" t="s">
        <v>911</v>
      </c>
      <c r="T3" s="1" t="s">
        <v>916</v>
      </c>
      <c r="U3" s="1" t="s">
        <v>917</v>
      </c>
      <c r="V3" s="1" t="s">
        <v>393</v>
      </c>
      <c r="W3" s="1" t="s">
        <v>911</v>
      </c>
      <c r="X3" s="1" t="s">
        <v>910</v>
      </c>
      <c r="Y3" s="1" t="s">
        <v>918</v>
      </c>
      <c r="Z3" s="1" t="s">
        <v>915</v>
      </c>
      <c r="AA3" s="1" t="s">
        <v>910</v>
      </c>
      <c r="AB3" s="1" t="s">
        <v>919</v>
      </c>
      <c r="AC3" s="1" t="s">
        <v>393</v>
      </c>
      <c r="AD3" s="1" t="s">
        <v>914</v>
      </c>
      <c r="AE3" s="1" t="s">
        <v>920</v>
      </c>
      <c r="AF3" s="1" t="s">
        <v>921</v>
      </c>
      <c r="AG3" s="1" t="s">
        <v>393</v>
      </c>
      <c r="AH3" s="1" t="s">
        <v>922</v>
      </c>
      <c r="AI3" s="502">
        <v>43056.2297915741</v>
      </c>
    </row>
    <row r="4" spans="1:35">
      <c r="A4" s="1" t="s">
        <v>328</v>
      </c>
      <c r="B4" s="275" t="s">
        <v>425</v>
      </c>
      <c r="C4" s="1" t="s">
        <v>393</v>
      </c>
      <c r="D4" s="1" t="s">
        <v>393</v>
      </c>
      <c r="E4" s="1" t="s">
        <v>393</v>
      </c>
      <c r="F4" s="1" t="s">
        <v>393</v>
      </c>
      <c r="G4" s="1" t="s">
        <v>393</v>
      </c>
      <c r="H4" s="1" t="s">
        <v>393</v>
      </c>
      <c r="I4" s="1"/>
      <c r="J4" s="1" t="s">
        <v>393</v>
      </c>
      <c r="K4" s="1" t="s">
        <v>393</v>
      </c>
      <c r="L4" s="1" t="s">
        <v>393</v>
      </c>
      <c r="M4" s="1" t="s">
        <v>393</v>
      </c>
      <c r="N4" s="1" t="s">
        <v>923</v>
      </c>
      <c r="O4" s="1" t="s">
        <v>393</v>
      </c>
      <c r="P4" s="1" t="s">
        <v>393</v>
      </c>
      <c r="Q4" s="1" t="s">
        <v>924</v>
      </c>
      <c r="R4" s="1" t="s">
        <v>393</v>
      </c>
      <c r="S4" s="1" t="s">
        <v>393</v>
      </c>
      <c r="T4" s="1" t="s">
        <v>393</v>
      </c>
      <c r="U4" s="1" t="s">
        <v>393</v>
      </c>
      <c r="V4" s="1" t="s">
        <v>393</v>
      </c>
      <c r="W4" s="1" t="s">
        <v>393</v>
      </c>
      <c r="X4" s="1" t="s">
        <v>393</v>
      </c>
      <c r="Y4" s="1" t="s">
        <v>924</v>
      </c>
      <c r="Z4" s="1" t="s">
        <v>924</v>
      </c>
      <c r="AA4" s="1" t="s">
        <v>393</v>
      </c>
      <c r="AB4" s="1" t="s">
        <v>393</v>
      </c>
      <c r="AC4" s="1" t="s">
        <v>393</v>
      </c>
      <c r="AD4" s="1" t="s">
        <v>393</v>
      </c>
      <c r="AE4" s="1" t="s">
        <v>393</v>
      </c>
      <c r="AF4" s="1" t="s">
        <v>393</v>
      </c>
      <c r="AG4" s="1" t="s">
        <v>393</v>
      </c>
      <c r="AH4" s="1" t="s">
        <v>925</v>
      </c>
      <c r="AI4" s="502">
        <v>43056.2297915741</v>
      </c>
    </row>
    <row r="5" spans="1:35">
      <c r="A5" s="1" t="s">
        <v>328</v>
      </c>
      <c r="B5" s="275" t="s">
        <v>452</v>
      </c>
      <c r="C5" s="1" t="s">
        <v>393</v>
      </c>
      <c r="D5" s="1" t="s">
        <v>926</v>
      </c>
      <c r="E5" s="1" t="s">
        <v>393</v>
      </c>
      <c r="F5" s="1" t="s">
        <v>393</v>
      </c>
      <c r="G5" s="1" t="s">
        <v>927</v>
      </c>
      <c r="H5" s="1" t="s">
        <v>393</v>
      </c>
      <c r="I5" s="1"/>
      <c r="J5" s="1" t="s">
        <v>928</v>
      </c>
      <c r="K5" s="1" t="s">
        <v>393</v>
      </c>
      <c r="L5" s="1" t="s">
        <v>393</v>
      </c>
      <c r="M5" s="1" t="s">
        <v>923</v>
      </c>
      <c r="N5" s="1" t="s">
        <v>923</v>
      </c>
      <c r="O5" s="1" t="s">
        <v>393</v>
      </c>
      <c r="P5" s="1" t="s">
        <v>924</v>
      </c>
      <c r="Q5" s="1" t="s">
        <v>923</v>
      </c>
      <c r="R5" s="1" t="s">
        <v>924</v>
      </c>
      <c r="S5" s="1" t="s">
        <v>929</v>
      </c>
      <c r="T5" s="1" t="s">
        <v>393</v>
      </c>
      <c r="U5" s="1" t="s">
        <v>924</v>
      </c>
      <c r="V5" s="1" t="s">
        <v>393</v>
      </c>
      <c r="W5" s="1" t="s">
        <v>393</v>
      </c>
      <c r="X5" s="1" t="s">
        <v>924</v>
      </c>
      <c r="Y5" s="1" t="s">
        <v>924</v>
      </c>
      <c r="Z5" s="1" t="s">
        <v>393</v>
      </c>
      <c r="AA5" s="1" t="s">
        <v>393</v>
      </c>
      <c r="AB5" s="1" t="s">
        <v>393</v>
      </c>
      <c r="AC5" s="1" t="s">
        <v>393</v>
      </c>
      <c r="AD5" s="1" t="s">
        <v>923</v>
      </c>
      <c r="AE5" s="1" t="s">
        <v>924</v>
      </c>
      <c r="AF5" s="1" t="s">
        <v>923</v>
      </c>
      <c r="AG5" s="1" t="s">
        <v>393</v>
      </c>
      <c r="AH5" s="1" t="s">
        <v>930</v>
      </c>
      <c r="AI5" s="502">
        <v>43056.2297915741</v>
      </c>
    </row>
    <row r="6" spans="1:35">
      <c r="A6" s="1" t="s">
        <v>328</v>
      </c>
      <c r="B6" s="275" t="s">
        <v>479</v>
      </c>
      <c r="C6" s="1" t="s">
        <v>931</v>
      </c>
      <c r="D6" s="1" t="s">
        <v>926</v>
      </c>
      <c r="E6" s="1" t="s">
        <v>393</v>
      </c>
      <c r="F6" s="1" t="s">
        <v>393</v>
      </c>
      <c r="G6" s="1" t="s">
        <v>907</v>
      </c>
      <c r="H6" s="1" t="s">
        <v>393</v>
      </c>
      <c r="I6" s="1"/>
      <c r="J6" s="1" t="s">
        <v>932</v>
      </c>
      <c r="K6" s="1" t="s">
        <v>933</v>
      </c>
      <c r="L6" s="1" t="s">
        <v>912</v>
      </c>
      <c r="M6" s="1" t="s">
        <v>928</v>
      </c>
      <c r="N6" s="1" t="s">
        <v>924</v>
      </c>
      <c r="O6" s="1" t="s">
        <v>393</v>
      </c>
      <c r="P6" s="1" t="s">
        <v>916</v>
      </c>
      <c r="Q6" s="1" t="s">
        <v>934</v>
      </c>
      <c r="R6" s="1" t="s">
        <v>919</v>
      </c>
      <c r="S6" s="1" t="s">
        <v>934</v>
      </c>
      <c r="T6" s="1" t="s">
        <v>916</v>
      </c>
      <c r="U6" s="1" t="s">
        <v>927</v>
      </c>
      <c r="V6" s="1" t="s">
        <v>393</v>
      </c>
      <c r="W6" s="1" t="s">
        <v>919</v>
      </c>
      <c r="X6" s="1" t="s">
        <v>934</v>
      </c>
      <c r="Y6" s="1" t="s">
        <v>933</v>
      </c>
      <c r="Z6" s="1" t="s">
        <v>935</v>
      </c>
      <c r="AA6" s="1" t="s">
        <v>936</v>
      </c>
      <c r="AB6" s="1" t="s">
        <v>393</v>
      </c>
      <c r="AC6" s="1" t="s">
        <v>393</v>
      </c>
      <c r="AD6" s="1" t="s">
        <v>927</v>
      </c>
      <c r="AE6" s="1" t="s">
        <v>929</v>
      </c>
      <c r="AF6" s="1" t="s">
        <v>926</v>
      </c>
      <c r="AG6" s="1" t="s">
        <v>393</v>
      </c>
      <c r="AH6" s="1" t="s">
        <v>937</v>
      </c>
      <c r="AI6" s="502">
        <v>43056.2297915741</v>
      </c>
    </row>
    <row r="7" spans="1:35">
      <c r="A7" s="1" t="s">
        <v>328</v>
      </c>
      <c r="B7" s="275" t="s">
        <v>508</v>
      </c>
      <c r="C7" s="1" t="s">
        <v>393</v>
      </c>
      <c r="D7" s="1" t="s">
        <v>393</v>
      </c>
      <c r="E7" s="1" t="s">
        <v>393</v>
      </c>
      <c r="F7" s="1" t="s">
        <v>393</v>
      </c>
      <c r="G7" s="1" t="s">
        <v>393</v>
      </c>
      <c r="H7" s="1" t="s">
        <v>393</v>
      </c>
      <c r="I7" s="1"/>
      <c r="J7" s="1" t="s">
        <v>393</v>
      </c>
      <c r="K7" s="1" t="s">
        <v>393</v>
      </c>
      <c r="L7" s="1" t="s">
        <v>393</v>
      </c>
      <c r="M7" s="1" t="s">
        <v>393</v>
      </c>
      <c r="N7" s="1" t="s">
        <v>393</v>
      </c>
      <c r="O7" s="1" t="s">
        <v>393</v>
      </c>
      <c r="P7" s="1" t="s">
        <v>393</v>
      </c>
      <c r="Q7" s="1" t="s">
        <v>393</v>
      </c>
      <c r="R7" s="1" t="s">
        <v>393</v>
      </c>
      <c r="S7" s="1" t="s">
        <v>393</v>
      </c>
      <c r="T7" s="1" t="s">
        <v>393</v>
      </c>
      <c r="U7" s="1" t="s">
        <v>393</v>
      </c>
      <c r="V7" s="1" t="s">
        <v>393</v>
      </c>
      <c r="W7" s="1" t="s">
        <v>393</v>
      </c>
      <c r="X7" s="1" t="s">
        <v>393</v>
      </c>
      <c r="Y7" s="1" t="s">
        <v>393</v>
      </c>
      <c r="Z7" s="1" t="s">
        <v>393</v>
      </c>
      <c r="AA7" s="1" t="s">
        <v>393</v>
      </c>
      <c r="AB7" s="1" t="s">
        <v>393</v>
      </c>
      <c r="AC7" s="1" t="s">
        <v>393</v>
      </c>
      <c r="AD7" s="1" t="s">
        <v>393</v>
      </c>
      <c r="AE7" s="1" t="s">
        <v>393</v>
      </c>
      <c r="AF7" s="1" t="s">
        <v>393</v>
      </c>
      <c r="AG7" s="1" t="s">
        <v>393</v>
      </c>
      <c r="AH7" s="1" t="s">
        <v>780</v>
      </c>
      <c r="AI7" s="502">
        <v>43056.2297915741</v>
      </c>
    </row>
    <row r="8" spans="1:35">
      <c r="A8" s="1" t="s">
        <v>328</v>
      </c>
      <c r="B8" s="275" t="s">
        <v>509</v>
      </c>
      <c r="C8" s="1" t="s">
        <v>927</v>
      </c>
      <c r="D8" s="1" t="s">
        <v>924</v>
      </c>
      <c r="E8" s="1" t="s">
        <v>393</v>
      </c>
      <c r="F8" s="1" t="s">
        <v>393</v>
      </c>
      <c r="G8" s="1" t="s">
        <v>929</v>
      </c>
      <c r="H8" s="1" t="s">
        <v>393</v>
      </c>
      <c r="I8" s="1"/>
      <c r="J8" s="1" t="s">
        <v>924</v>
      </c>
      <c r="K8" s="1" t="s">
        <v>923</v>
      </c>
      <c r="L8" s="1" t="s">
        <v>924</v>
      </c>
      <c r="M8" s="1" t="s">
        <v>393</v>
      </c>
      <c r="N8" s="1" t="s">
        <v>924</v>
      </c>
      <c r="O8" s="1" t="s">
        <v>393</v>
      </c>
      <c r="P8" s="1" t="s">
        <v>393</v>
      </c>
      <c r="Q8" s="1" t="s">
        <v>923</v>
      </c>
      <c r="R8" s="1" t="s">
        <v>393</v>
      </c>
      <c r="S8" s="1" t="s">
        <v>924</v>
      </c>
      <c r="T8" s="1" t="s">
        <v>924</v>
      </c>
      <c r="U8" s="1" t="s">
        <v>393</v>
      </c>
      <c r="V8" s="1" t="s">
        <v>393</v>
      </c>
      <c r="W8" s="1" t="s">
        <v>924</v>
      </c>
      <c r="X8" s="1" t="s">
        <v>936</v>
      </c>
      <c r="Y8" s="1" t="s">
        <v>938</v>
      </c>
      <c r="Z8" s="1" t="s">
        <v>936</v>
      </c>
      <c r="AA8" s="1" t="s">
        <v>938</v>
      </c>
      <c r="AB8" s="1" t="s">
        <v>929</v>
      </c>
      <c r="AC8" s="1" t="s">
        <v>393</v>
      </c>
      <c r="AD8" s="1" t="s">
        <v>920</v>
      </c>
      <c r="AE8" s="1" t="s">
        <v>908</v>
      </c>
      <c r="AF8" s="1" t="s">
        <v>939</v>
      </c>
      <c r="AG8" s="1" t="s">
        <v>393</v>
      </c>
      <c r="AH8" s="1" t="s">
        <v>940</v>
      </c>
      <c r="AI8" s="502">
        <v>43056.2297915741</v>
      </c>
    </row>
    <row r="9" spans="1:35">
      <c r="A9" s="1" t="s">
        <v>328</v>
      </c>
      <c r="B9" s="275" t="s">
        <v>821</v>
      </c>
      <c r="C9" s="1" t="s">
        <v>393</v>
      </c>
      <c r="D9" s="1" t="s">
        <v>393</v>
      </c>
      <c r="E9" s="1" t="s">
        <v>393</v>
      </c>
      <c r="F9" s="1" t="s">
        <v>393</v>
      </c>
      <c r="G9" s="1" t="s">
        <v>924</v>
      </c>
      <c r="H9" s="1" t="s">
        <v>393</v>
      </c>
      <c r="I9" s="1"/>
      <c r="J9" s="1" t="s">
        <v>393</v>
      </c>
      <c r="K9" s="1" t="s">
        <v>393</v>
      </c>
      <c r="L9" s="1" t="s">
        <v>393</v>
      </c>
      <c r="M9" s="1" t="s">
        <v>393</v>
      </c>
      <c r="N9" s="1" t="s">
        <v>393</v>
      </c>
      <c r="O9" s="1" t="s">
        <v>393</v>
      </c>
      <c r="P9" s="1" t="s">
        <v>393</v>
      </c>
      <c r="Q9" s="1" t="s">
        <v>393</v>
      </c>
      <c r="R9" s="1" t="s">
        <v>393</v>
      </c>
      <c r="S9" s="1" t="s">
        <v>393</v>
      </c>
      <c r="T9" s="1" t="s">
        <v>393</v>
      </c>
      <c r="U9" s="1" t="s">
        <v>393</v>
      </c>
      <c r="V9" s="1" t="s">
        <v>393</v>
      </c>
      <c r="W9" s="1" t="s">
        <v>393</v>
      </c>
      <c r="X9" s="1" t="s">
        <v>393</v>
      </c>
      <c r="Y9" s="1" t="s">
        <v>393</v>
      </c>
      <c r="Z9" s="1" t="s">
        <v>393</v>
      </c>
      <c r="AA9" s="1" t="s">
        <v>393</v>
      </c>
      <c r="AB9" s="1" t="s">
        <v>393</v>
      </c>
      <c r="AC9" s="1" t="s">
        <v>393</v>
      </c>
      <c r="AD9" s="1" t="s">
        <v>393</v>
      </c>
      <c r="AE9" s="1" t="s">
        <v>393</v>
      </c>
      <c r="AF9" s="1" t="s">
        <v>393</v>
      </c>
      <c r="AG9" s="1" t="s">
        <v>393</v>
      </c>
      <c r="AH9" s="1" t="s">
        <v>236</v>
      </c>
      <c r="AI9" s="502">
        <v>43056.2297915741</v>
      </c>
    </row>
    <row r="10" spans="1:35">
      <c r="A10" s="1" t="s">
        <v>328</v>
      </c>
      <c r="B10" s="275" t="s">
        <v>824</v>
      </c>
      <c r="C10" s="1" t="s">
        <v>393</v>
      </c>
      <c r="D10" s="1" t="s">
        <v>393</v>
      </c>
      <c r="E10" s="1" t="s">
        <v>393</v>
      </c>
      <c r="F10" s="1" t="s">
        <v>393</v>
      </c>
      <c r="G10" s="1" t="s">
        <v>393</v>
      </c>
      <c r="H10" s="1" t="s">
        <v>393</v>
      </c>
      <c r="I10" s="1"/>
      <c r="J10" s="1" t="s">
        <v>393</v>
      </c>
      <c r="K10" s="1" t="s">
        <v>393</v>
      </c>
      <c r="L10" s="1" t="s">
        <v>393</v>
      </c>
      <c r="M10" s="1" t="s">
        <v>393</v>
      </c>
      <c r="N10" s="1" t="s">
        <v>393</v>
      </c>
      <c r="O10" s="1" t="s">
        <v>393</v>
      </c>
      <c r="P10" s="1" t="s">
        <v>393</v>
      </c>
      <c r="Q10" s="1" t="s">
        <v>393</v>
      </c>
      <c r="R10" s="1" t="s">
        <v>393</v>
      </c>
      <c r="S10" s="1" t="s">
        <v>393</v>
      </c>
      <c r="T10" s="1" t="s">
        <v>393</v>
      </c>
      <c r="U10" s="1" t="s">
        <v>393</v>
      </c>
      <c r="V10" s="1" t="s">
        <v>393</v>
      </c>
      <c r="W10" s="1" t="s">
        <v>393</v>
      </c>
      <c r="X10" s="1" t="s">
        <v>393</v>
      </c>
      <c r="Y10" s="1" t="s">
        <v>393</v>
      </c>
      <c r="Z10" s="1" t="s">
        <v>393</v>
      </c>
      <c r="AA10" s="1" t="s">
        <v>393</v>
      </c>
      <c r="AB10" s="1" t="s">
        <v>393</v>
      </c>
      <c r="AC10" s="1" t="s">
        <v>393</v>
      </c>
      <c r="AD10" s="1" t="s">
        <v>393</v>
      </c>
      <c r="AE10" s="1" t="s">
        <v>393</v>
      </c>
      <c r="AF10" s="1" t="s">
        <v>393</v>
      </c>
      <c r="AG10" s="1" t="s">
        <v>393</v>
      </c>
      <c r="AH10" s="1" t="s">
        <v>780</v>
      </c>
      <c r="AI10" s="502">
        <v>43056.2297915741</v>
      </c>
    </row>
    <row r="11" spans="1:35">
      <c r="A11" s="1" t="s">
        <v>328</v>
      </c>
      <c r="B11" s="275" t="s">
        <v>825</v>
      </c>
      <c r="C11" s="1" t="s">
        <v>393</v>
      </c>
      <c r="D11" s="1" t="s">
        <v>924</v>
      </c>
      <c r="E11" s="1" t="s">
        <v>393</v>
      </c>
      <c r="F11" s="1" t="s">
        <v>393</v>
      </c>
      <c r="G11" s="1" t="s">
        <v>393</v>
      </c>
      <c r="H11" s="1" t="s">
        <v>393</v>
      </c>
      <c r="I11" s="1"/>
      <c r="J11" s="1" t="s">
        <v>924</v>
      </c>
      <c r="K11" s="1" t="s">
        <v>929</v>
      </c>
      <c r="L11" s="1" t="s">
        <v>393</v>
      </c>
      <c r="M11" s="1" t="s">
        <v>923</v>
      </c>
      <c r="N11" s="1" t="s">
        <v>393</v>
      </c>
      <c r="O11" s="1" t="s">
        <v>393</v>
      </c>
      <c r="P11" s="1" t="s">
        <v>393</v>
      </c>
      <c r="Q11" s="1" t="s">
        <v>924</v>
      </c>
      <c r="R11" s="1" t="s">
        <v>393</v>
      </c>
      <c r="S11" s="1" t="s">
        <v>924</v>
      </c>
      <c r="T11" s="1" t="s">
        <v>393</v>
      </c>
      <c r="U11" s="1" t="s">
        <v>393</v>
      </c>
      <c r="V11" s="1" t="s">
        <v>393</v>
      </c>
      <c r="W11" s="1" t="s">
        <v>393</v>
      </c>
      <c r="X11" s="1" t="s">
        <v>923</v>
      </c>
      <c r="Y11" s="1" t="s">
        <v>923</v>
      </c>
      <c r="Z11" s="1" t="s">
        <v>926</v>
      </c>
      <c r="AA11" s="1" t="s">
        <v>924</v>
      </c>
      <c r="AB11" s="1" t="s">
        <v>393</v>
      </c>
      <c r="AC11" s="1" t="s">
        <v>393</v>
      </c>
      <c r="AD11" s="1" t="s">
        <v>393</v>
      </c>
      <c r="AE11" s="1" t="s">
        <v>927</v>
      </c>
      <c r="AF11" s="1" t="s">
        <v>924</v>
      </c>
      <c r="AG11" s="1" t="s">
        <v>393</v>
      </c>
      <c r="AH11" s="1" t="s">
        <v>941</v>
      </c>
      <c r="AI11" s="502">
        <v>43056.2297915741</v>
      </c>
    </row>
    <row r="12" spans="1:35">
      <c r="A12" s="1" t="s">
        <v>328</v>
      </c>
      <c r="B12" s="275" t="s">
        <v>833</v>
      </c>
      <c r="C12" s="1" t="s">
        <v>917</v>
      </c>
      <c r="D12" s="1" t="s">
        <v>942</v>
      </c>
      <c r="E12" s="1" t="s">
        <v>393</v>
      </c>
      <c r="F12" s="1" t="s">
        <v>393</v>
      </c>
      <c r="G12" s="1" t="s">
        <v>936</v>
      </c>
      <c r="H12" s="1" t="s">
        <v>393</v>
      </c>
      <c r="I12" s="1"/>
      <c r="J12" s="1" t="s">
        <v>927</v>
      </c>
      <c r="K12" s="1" t="s">
        <v>934</v>
      </c>
      <c r="L12" s="1" t="s">
        <v>933</v>
      </c>
      <c r="M12" s="1" t="s">
        <v>912</v>
      </c>
      <c r="N12" s="1" t="s">
        <v>926</v>
      </c>
      <c r="O12" s="1" t="s">
        <v>393</v>
      </c>
      <c r="P12" s="1" t="s">
        <v>920</v>
      </c>
      <c r="Q12" s="1" t="s">
        <v>936</v>
      </c>
      <c r="R12" s="1" t="s">
        <v>917</v>
      </c>
      <c r="S12" s="1" t="s">
        <v>919</v>
      </c>
      <c r="T12" s="1" t="s">
        <v>919</v>
      </c>
      <c r="U12" s="1" t="s">
        <v>938</v>
      </c>
      <c r="V12" s="1" t="s">
        <v>393</v>
      </c>
      <c r="W12" s="1" t="s">
        <v>928</v>
      </c>
      <c r="X12" s="1" t="s">
        <v>934</v>
      </c>
      <c r="Y12" s="1" t="s">
        <v>916</v>
      </c>
      <c r="Z12" s="1" t="s">
        <v>933</v>
      </c>
      <c r="AA12" s="1" t="s">
        <v>926</v>
      </c>
      <c r="AB12" s="1" t="s">
        <v>917</v>
      </c>
      <c r="AC12" s="1" t="s">
        <v>393</v>
      </c>
      <c r="AD12" s="1" t="s">
        <v>926</v>
      </c>
      <c r="AE12" s="1" t="s">
        <v>936</v>
      </c>
      <c r="AF12" s="1" t="s">
        <v>938</v>
      </c>
      <c r="AG12" s="1" t="s">
        <v>393</v>
      </c>
      <c r="AH12" s="1" t="s">
        <v>943</v>
      </c>
      <c r="AI12" s="502">
        <v>43056.2297915741</v>
      </c>
    </row>
    <row r="13" spans="1:35">
      <c r="A13" s="1" t="s">
        <v>328</v>
      </c>
      <c r="B13" s="275" t="s">
        <v>847</v>
      </c>
      <c r="C13" s="1" t="s">
        <v>393</v>
      </c>
      <c r="D13" s="1" t="s">
        <v>924</v>
      </c>
      <c r="E13" s="1" t="s">
        <v>393</v>
      </c>
      <c r="F13" s="1" t="s">
        <v>393</v>
      </c>
      <c r="G13" s="1" t="s">
        <v>393</v>
      </c>
      <c r="H13" s="1" t="s">
        <v>393</v>
      </c>
      <c r="I13" s="1"/>
      <c r="J13" s="1" t="s">
        <v>393</v>
      </c>
      <c r="K13" s="1" t="s">
        <v>928</v>
      </c>
      <c r="L13" s="1" t="s">
        <v>936</v>
      </c>
      <c r="M13" s="1" t="s">
        <v>923</v>
      </c>
      <c r="N13" s="1" t="s">
        <v>393</v>
      </c>
      <c r="O13" s="1" t="s">
        <v>393</v>
      </c>
      <c r="P13" s="1" t="s">
        <v>393</v>
      </c>
      <c r="Q13" s="1" t="s">
        <v>927</v>
      </c>
      <c r="R13" s="1" t="s">
        <v>393</v>
      </c>
      <c r="S13" s="1" t="s">
        <v>927</v>
      </c>
      <c r="T13" s="1" t="s">
        <v>927</v>
      </c>
      <c r="U13" s="1" t="s">
        <v>927</v>
      </c>
      <c r="V13" s="1" t="s">
        <v>393</v>
      </c>
      <c r="W13" s="1" t="s">
        <v>929</v>
      </c>
      <c r="X13" s="1" t="s">
        <v>927</v>
      </c>
      <c r="Y13" s="1" t="s">
        <v>927</v>
      </c>
      <c r="Z13" s="1" t="s">
        <v>393</v>
      </c>
      <c r="AA13" s="1" t="s">
        <v>923</v>
      </c>
      <c r="AB13" s="1" t="s">
        <v>929</v>
      </c>
      <c r="AC13" s="1" t="s">
        <v>393</v>
      </c>
      <c r="AD13" s="1" t="s">
        <v>924</v>
      </c>
      <c r="AE13" s="1" t="s">
        <v>924</v>
      </c>
      <c r="AF13" s="1" t="s">
        <v>924</v>
      </c>
      <c r="AG13" s="1" t="s">
        <v>393</v>
      </c>
      <c r="AH13" s="1" t="s">
        <v>944</v>
      </c>
      <c r="AI13" s="502">
        <v>43056.2297915741</v>
      </c>
    </row>
    <row r="14" spans="1:35">
      <c r="A14" s="1" t="s">
        <v>328</v>
      </c>
      <c r="B14" s="275" t="s">
        <v>853</v>
      </c>
      <c r="C14" s="1" t="s">
        <v>393</v>
      </c>
      <c r="D14" s="1" t="s">
        <v>393</v>
      </c>
      <c r="E14" s="1" t="s">
        <v>393</v>
      </c>
      <c r="F14" s="1" t="s">
        <v>393</v>
      </c>
      <c r="G14" s="1" t="s">
        <v>393</v>
      </c>
      <c r="H14" s="1" t="s">
        <v>393</v>
      </c>
      <c r="I14" s="1"/>
      <c r="J14" s="1" t="s">
        <v>924</v>
      </c>
      <c r="K14" s="1" t="s">
        <v>393</v>
      </c>
      <c r="L14" s="1" t="s">
        <v>393</v>
      </c>
      <c r="M14" s="1" t="s">
        <v>393</v>
      </c>
      <c r="N14" s="1" t="s">
        <v>393</v>
      </c>
      <c r="O14" s="1" t="s">
        <v>393</v>
      </c>
      <c r="P14" s="1" t="s">
        <v>393</v>
      </c>
      <c r="Q14" s="1" t="s">
        <v>393</v>
      </c>
      <c r="R14" s="1" t="s">
        <v>393</v>
      </c>
      <c r="S14" s="1" t="s">
        <v>393</v>
      </c>
      <c r="T14" s="1" t="s">
        <v>393</v>
      </c>
      <c r="U14" s="1" t="s">
        <v>393</v>
      </c>
      <c r="V14" s="1" t="s">
        <v>393</v>
      </c>
      <c r="W14" s="1" t="s">
        <v>393</v>
      </c>
      <c r="X14" s="1" t="s">
        <v>393</v>
      </c>
      <c r="Y14" s="1" t="s">
        <v>393</v>
      </c>
      <c r="Z14" s="1" t="s">
        <v>393</v>
      </c>
      <c r="AA14" s="1" t="s">
        <v>393</v>
      </c>
      <c r="AB14" s="1" t="s">
        <v>393</v>
      </c>
      <c r="AC14" s="1" t="s">
        <v>393</v>
      </c>
      <c r="AD14" s="1" t="s">
        <v>393</v>
      </c>
      <c r="AE14" s="1" t="s">
        <v>393</v>
      </c>
      <c r="AF14" s="1" t="s">
        <v>393</v>
      </c>
      <c r="AG14" s="1" t="s">
        <v>393</v>
      </c>
      <c r="AH14" s="1" t="s">
        <v>236</v>
      </c>
      <c r="AI14" s="502">
        <v>43056.2297915741</v>
      </c>
    </row>
    <row r="15" spans="1:35">
      <c r="A15" s="1" t="s">
        <v>328</v>
      </c>
      <c r="B15" s="275" t="s">
        <v>877</v>
      </c>
      <c r="C15" s="1" t="s">
        <v>393</v>
      </c>
      <c r="D15" s="1" t="s">
        <v>393</v>
      </c>
      <c r="E15" s="1" t="s">
        <v>393</v>
      </c>
      <c r="F15" s="1" t="s">
        <v>393</v>
      </c>
      <c r="G15" s="1" t="s">
        <v>393</v>
      </c>
      <c r="H15" s="1" t="s">
        <v>393</v>
      </c>
      <c r="I15" s="1"/>
      <c r="J15" s="1" t="s">
        <v>393</v>
      </c>
      <c r="K15" s="1" t="s">
        <v>393</v>
      </c>
      <c r="L15" s="1" t="s">
        <v>393</v>
      </c>
      <c r="M15" s="1" t="s">
        <v>393</v>
      </c>
      <c r="N15" s="1" t="s">
        <v>393</v>
      </c>
      <c r="O15" s="1" t="s">
        <v>393</v>
      </c>
      <c r="P15" s="1" t="s">
        <v>393</v>
      </c>
      <c r="Q15" s="1" t="s">
        <v>393</v>
      </c>
      <c r="R15" s="1" t="s">
        <v>393</v>
      </c>
      <c r="S15" s="1" t="s">
        <v>393</v>
      </c>
      <c r="T15" s="1" t="s">
        <v>393</v>
      </c>
      <c r="U15" s="1" t="s">
        <v>393</v>
      </c>
      <c r="V15" s="1" t="s">
        <v>393</v>
      </c>
      <c r="W15" s="1" t="s">
        <v>393</v>
      </c>
      <c r="X15" s="1" t="s">
        <v>393</v>
      </c>
      <c r="Y15" s="1" t="s">
        <v>393</v>
      </c>
      <c r="Z15" s="1" t="s">
        <v>393</v>
      </c>
      <c r="AA15" s="1" t="s">
        <v>393</v>
      </c>
      <c r="AB15" s="1" t="s">
        <v>393</v>
      </c>
      <c r="AC15" s="1" t="s">
        <v>393</v>
      </c>
      <c r="AD15" s="1" t="s">
        <v>393</v>
      </c>
      <c r="AE15" s="1" t="s">
        <v>393</v>
      </c>
      <c r="AF15" s="1" t="s">
        <v>393</v>
      </c>
      <c r="AG15" s="1" t="s">
        <v>393</v>
      </c>
      <c r="AH15" s="1" t="s">
        <v>780</v>
      </c>
      <c r="AI15" s="502">
        <v>43056.2297915741</v>
      </c>
    </row>
    <row r="16" spans="1:35">
      <c r="A16" s="1" t="s">
        <v>328</v>
      </c>
      <c r="B16" s="275" t="s">
        <v>878</v>
      </c>
      <c r="C16" s="1" t="s">
        <v>393</v>
      </c>
      <c r="D16" s="1" t="s">
        <v>393</v>
      </c>
      <c r="E16" s="1" t="s">
        <v>393</v>
      </c>
      <c r="F16" s="1" t="s">
        <v>393</v>
      </c>
      <c r="G16" s="1" t="s">
        <v>393</v>
      </c>
      <c r="H16" s="1" t="s">
        <v>393</v>
      </c>
      <c r="I16" s="1"/>
      <c r="J16" s="1" t="s">
        <v>393</v>
      </c>
      <c r="K16" s="1" t="s">
        <v>393</v>
      </c>
      <c r="L16" s="1" t="s">
        <v>393</v>
      </c>
      <c r="M16" s="1" t="s">
        <v>393</v>
      </c>
      <c r="N16" s="1" t="s">
        <v>393</v>
      </c>
      <c r="O16" s="1" t="s">
        <v>393</v>
      </c>
      <c r="P16" s="1" t="s">
        <v>393</v>
      </c>
      <c r="Q16" s="1" t="s">
        <v>393</v>
      </c>
      <c r="R16" s="1" t="s">
        <v>393</v>
      </c>
      <c r="S16" s="1" t="s">
        <v>393</v>
      </c>
      <c r="T16" s="1" t="s">
        <v>393</v>
      </c>
      <c r="U16" s="1" t="s">
        <v>393</v>
      </c>
      <c r="V16" s="1" t="s">
        <v>393</v>
      </c>
      <c r="W16" s="1" t="s">
        <v>393</v>
      </c>
      <c r="X16" s="1" t="s">
        <v>393</v>
      </c>
      <c r="Y16" s="1" t="s">
        <v>393</v>
      </c>
      <c r="Z16" s="1" t="s">
        <v>393</v>
      </c>
      <c r="AA16" s="1" t="s">
        <v>393</v>
      </c>
      <c r="AB16" s="1" t="s">
        <v>393</v>
      </c>
      <c r="AC16" s="1" t="s">
        <v>393</v>
      </c>
      <c r="AD16" s="1" t="s">
        <v>393</v>
      </c>
      <c r="AE16" s="1" t="s">
        <v>393</v>
      </c>
      <c r="AF16" s="1" t="s">
        <v>393</v>
      </c>
      <c r="AG16" s="1" t="s">
        <v>393</v>
      </c>
      <c r="AH16" s="1" t="s">
        <v>780</v>
      </c>
      <c r="AI16" s="502">
        <v>43056.2297915741</v>
      </c>
    </row>
    <row r="17" spans="1:35">
      <c r="A17" s="1" t="s">
        <v>328</v>
      </c>
      <c r="B17" s="275" t="s">
        <v>879</v>
      </c>
      <c r="C17" s="1" t="s">
        <v>393</v>
      </c>
      <c r="D17" s="1" t="s">
        <v>393</v>
      </c>
      <c r="E17" s="1" t="s">
        <v>393</v>
      </c>
      <c r="F17" s="1" t="s">
        <v>393</v>
      </c>
      <c r="G17" s="1" t="s">
        <v>393</v>
      </c>
      <c r="H17" s="1" t="s">
        <v>393</v>
      </c>
      <c r="I17" s="1"/>
      <c r="J17" s="1" t="s">
        <v>393</v>
      </c>
      <c r="K17" s="1" t="s">
        <v>393</v>
      </c>
      <c r="L17" s="1" t="s">
        <v>393</v>
      </c>
      <c r="M17" s="1" t="s">
        <v>393</v>
      </c>
      <c r="N17" s="1" t="s">
        <v>393</v>
      </c>
      <c r="O17" s="1" t="s">
        <v>393</v>
      </c>
      <c r="P17" s="1" t="s">
        <v>393</v>
      </c>
      <c r="Q17" s="1" t="s">
        <v>393</v>
      </c>
      <c r="R17" s="1" t="s">
        <v>393</v>
      </c>
      <c r="S17" s="1" t="s">
        <v>393</v>
      </c>
      <c r="T17" s="1" t="s">
        <v>393</v>
      </c>
      <c r="U17" s="1" t="s">
        <v>393</v>
      </c>
      <c r="V17" s="1" t="s">
        <v>393</v>
      </c>
      <c r="W17" s="1" t="s">
        <v>393</v>
      </c>
      <c r="X17" s="1" t="s">
        <v>393</v>
      </c>
      <c r="Y17" s="1" t="s">
        <v>393</v>
      </c>
      <c r="Z17" s="1" t="s">
        <v>393</v>
      </c>
      <c r="AA17" s="1" t="s">
        <v>393</v>
      </c>
      <c r="AB17" s="1" t="s">
        <v>393</v>
      </c>
      <c r="AC17" s="1" t="s">
        <v>393</v>
      </c>
      <c r="AD17" s="1" t="s">
        <v>393</v>
      </c>
      <c r="AE17" s="1" t="s">
        <v>393</v>
      </c>
      <c r="AF17" s="1" t="s">
        <v>393</v>
      </c>
      <c r="AG17" s="1" t="s">
        <v>393</v>
      </c>
      <c r="AH17" s="1" t="s">
        <v>780</v>
      </c>
      <c r="AI17" s="502">
        <v>43056.2297915741</v>
      </c>
    </row>
    <row r="18" spans="1:35">
      <c r="A18" s="1" t="s">
        <v>328</v>
      </c>
      <c r="B18" s="275" t="s">
        <v>880</v>
      </c>
      <c r="C18" s="1" t="s">
        <v>393</v>
      </c>
      <c r="D18" s="1" t="s">
        <v>393</v>
      </c>
      <c r="E18" s="1" t="s">
        <v>393</v>
      </c>
      <c r="F18" s="1" t="s">
        <v>393</v>
      </c>
      <c r="G18" s="1" t="s">
        <v>393</v>
      </c>
      <c r="H18" s="1" t="s">
        <v>393</v>
      </c>
      <c r="I18" s="1"/>
      <c r="J18" s="1" t="s">
        <v>393</v>
      </c>
      <c r="K18" s="1" t="s">
        <v>393</v>
      </c>
      <c r="L18" s="1" t="s">
        <v>393</v>
      </c>
      <c r="M18" s="1" t="s">
        <v>393</v>
      </c>
      <c r="N18" s="1" t="s">
        <v>393</v>
      </c>
      <c r="O18" s="1" t="s">
        <v>393</v>
      </c>
      <c r="P18" s="1" t="s">
        <v>393</v>
      </c>
      <c r="Q18" s="1" t="s">
        <v>393</v>
      </c>
      <c r="R18" s="1" t="s">
        <v>393</v>
      </c>
      <c r="S18" s="1" t="s">
        <v>393</v>
      </c>
      <c r="T18" s="1" t="s">
        <v>393</v>
      </c>
      <c r="U18" s="1" t="s">
        <v>393</v>
      </c>
      <c r="V18" s="1" t="s">
        <v>393</v>
      </c>
      <c r="W18" s="1" t="s">
        <v>393</v>
      </c>
      <c r="X18" s="1" t="s">
        <v>393</v>
      </c>
      <c r="Y18" s="1" t="s">
        <v>393</v>
      </c>
      <c r="Z18" s="1" t="s">
        <v>393</v>
      </c>
      <c r="AA18" s="1" t="s">
        <v>393</v>
      </c>
      <c r="AB18" s="1" t="s">
        <v>393</v>
      </c>
      <c r="AC18" s="1" t="s">
        <v>393</v>
      </c>
      <c r="AD18" s="1" t="s">
        <v>393</v>
      </c>
      <c r="AE18" s="1" t="s">
        <v>393</v>
      </c>
      <c r="AF18" s="1" t="s">
        <v>393</v>
      </c>
      <c r="AG18" s="1" t="s">
        <v>393</v>
      </c>
      <c r="AH18" s="1" t="s">
        <v>780</v>
      </c>
      <c r="AI18" s="502">
        <v>43056.2297915741</v>
      </c>
    </row>
    <row r="19" spans="1:35">
      <c r="A19" s="1" t="s">
        <v>328</v>
      </c>
      <c r="B19" s="275" t="s">
        <v>881</v>
      </c>
      <c r="C19" s="1" t="s">
        <v>393</v>
      </c>
      <c r="D19" s="1" t="s">
        <v>393</v>
      </c>
      <c r="E19" s="1" t="s">
        <v>393</v>
      </c>
      <c r="F19" s="1" t="s">
        <v>393</v>
      </c>
      <c r="G19" s="1" t="s">
        <v>393</v>
      </c>
      <c r="H19" s="1" t="s">
        <v>393</v>
      </c>
      <c r="I19" s="1"/>
      <c r="J19" s="1" t="s">
        <v>393</v>
      </c>
      <c r="K19" s="1" t="s">
        <v>393</v>
      </c>
      <c r="L19" s="1" t="s">
        <v>393</v>
      </c>
      <c r="M19" s="1" t="s">
        <v>393</v>
      </c>
      <c r="N19" s="1" t="s">
        <v>393</v>
      </c>
      <c r="O19" s="1" t="s">
        <v>393</v>
      </c>
      <c r="P19" s="1" t="s">
        <v>393</v>
      </c>
      <c r="Q19" s="1" t="s">
        <v>393</v>
      </c>
      <c r="R19" s="1" t="s">
        <v>393</v>
      </c>
      <c r="S19" s="1" t="s">
        <v>393</v>
      </c>
      <c r="T19" s="1" t="s">
        <v>393</v>
      </c>
      <c r="U19" s="1" t="s">
        <v>393</v>
      </c>
      <c r="V19" s="1" t="s">
        <v>393</v>
      </c>
      <c r="W19" s="1" t="s">
        <v>393</v>
      </c>
      <c r="X19" s="1" t="s">
        <v>393</v>
      </c>
      <c r="Y19" s="1" t="s">
        <v>393</v>
      </c>
      <c r="Z19" s="1" t="s">
        <v>393</v>
      </c>
      <c r="AA19" s="1" t="s">
        <v>393</v>
      </c>
      <c r="AB19" s="1" t="s">
        <v>393</v>
      </c>
      <c r="AC19" s="1" t="s">
        <v>393</v>
      </c>
      <c r="AD19" s="1" t="s">
        <v>393</v>
      </c>
      <c r="AE19" s="1" t="s">
        <v>393</v>
      </c>
      <c r="AF19" s="1" t="s">
        <v>393</v>
      </c>
      <c r="AG19" s="1" t="s">
        <v>393</v>
      </c>
      <c r="AH19" s="1" t="s">
        <v>780</v>
      </c>
      <c r="AI19" s="502">
        <v>43056.2297915741</v>
      </c>
    </row>
    <row r="20" spans="1:35">
      <c r="A20" s="503" t="s">
        <v>328</v>
      </c>
      <c r="B20" s="275" t="s">
        <v>882</v>
      </c>
      <c r="C20" s="503" t="s">
        <v>945</v>
      </c>
      <c r="D20" s="503" t="s">
        <v>906</v>
      </c>
      <c r="E20" s="503" t="s">
        <v>393</v>
      </c>
      <c r="F20" s="503" t="s">
        <v>393</v>
      </c>
      <c r="G20" s="503" t="s">
        <v>942</v>
      </c>
      <c r="H20" s="503" t="s">
        <v>393</v>
      </c>
      <c r="I20" s="503"/>
      <c r="J20" s="503" t="s">
        <v>912</v>
      </c>
      <c r="K20" s="503" t="s">
        <v>945</v>
      </c>
      <c r="L20" s="503" t="s">
        <v>912</v>
      </c>
      <c r="M20" s="503" t="s">
        <v>911</v>
      </c>
      <c r="N20" s="503" t="s">
        <v>915</v>
      </c>
      <c r="O20" s="503" t="s">
        <v>393</v>
      </c>
      <c r="P20" s="503" t="s">
        <v>906</v>
      </c>
      <c r="Q20" s="503" t="s">
        <v>913</v>
      </c>
      <c r="R20" s="503" t="s">
        <v>939</v>
      </c>
      <c r="S20" s="503" t="s">
        <v>911</v>
      </c>
      <c r="T20" s="503" t="s">
        <v>934</v>
      </c>
      <c r="U20" s="503" t="s">
        <v>920</v>
      </c>
      <c r="V20" s="503" t="s">
        <v>393</v>
      </c>
      <c r="W20" s="503" t="s">
        <v>912</v>
      </c>
      <c r="X20" s="503" t="s">
        <v>931</v>
      </c>
      <c r="Y20" s="503" t="s">
        <v>912</v>
      </c>
      <c r="Z20" s="503" t="s">
        <v>916</v>
      </c>
      <c r="AA20" s="503" t="s">
        <v>939</v>
      </c>
      <c r="AB20" s="503" t="s">
        <v>920</v>
      </c>
      <c r="AC20" s="503" t="s">
        <v>393</v>
      </c>
      <c r="AD20" s="503" t="s">
        <v>907</v>
      </c>
      <c r="AE20" s="503" t="s">
        <v>908</v>
      </c>
      <c r="AF20" s="503" t="s">
        <v>908</v>
      </c>
      <c r="AG20" s="503" t="s">
        <v>393</v>
      </c>
      <c r="AH20" s="503" t="s">
        <v>946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869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</row>
    <row r="2" spans="1:35">
      <c r="A2" s="1" t="s">
        <v>328</v>
      </c>
      <c r="B2" s="1" t="s">
        <v>236</v>
      </c>
      <c r="C2" s="1" t="s">
        <v>947</v>
      </c>
      <c r="D2" s="1" t="s">
        <v>948</v>
      </c>
      <c r="E2" s="1" t="s">
        <v>949</v>
      </c>
      <c r="F2" s="1" t="s">
        <v>949</v>
      </c>
      <c r="G2" s="1" t="s">
        <v>950</v>
      </c>
      <c r="H2" s="1" t="s">
        <v>951</v>
      </c>
      <c r="I2" s="1" t="s">
        <v>952</v>
      </c>
      <c r="J2" s="1" t="s">
        <v>953</v>
      </c>
      <c r="K2" s="1" t="s">
        <v>954</v>
      </c>
      <c r="L2" s="1" t="s">
        <v>955</v>
      </c>
      <c r="M2" s="1" t="s">
        <v>956</v>
      </c>
      <c r="N2" s="1" t="s">
        <v>957</v>
      </c>
      <c r="O2" s="1" t="s">
        <v>958</v>
      </c>
      <c r="P2" s="1" t="s">
        <v>959</v>
      </c>
      <c r="Q2" s="1" t="s">
        <v>960</v>
      </c>
      <c r="R2" s="1" t="s">
        <v>961</v>
      </c>
      <c r="S2" s="1" t="s">
        <v>962</v>
      </c>
      <c r="T2" s="1" t="s">
        <v>963</v>
      </c>
      <c r="U2" s="1" t="s">
        <v>964</v>
      </c>
      <c r="V2" s="1" t="s">
        <v>965</v>
      </c>
      <c r="W2" s="1" t="s">
        <v>966</v>
      </c>
      <c r="X2" s="1" t="s">
        <v>967</v>
      </c>
      <c r="Y2" s="1" t="s">
        <v>968</v>
      </c>
      <c r="Z2" s="1" t="s">
        <v>969</v>
      </c>
      <c r="AA2" s="1" t="s">
        <v>970</v>
      </c>
      <c r="AB2" s="1" t="s">
        <v>971</v>
      </c>
      <c r="AC2" s="1" t="s">
        <v>971</v>
      </c>
      <c r="AD2" s="1" t="s">
        <v>972</v>
      </c>
      <c r="AE2" s="1" t="s">
        <v>973</v>
      </c>
      <c r="AF2" s="1" t="s">
        <v>974</v>
      </c>
      <c r="AG2" s="1" t="s">
        <v>393</v>
      </c>
      <c r="AH2" s="1" t="s">
        <v>975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976</v>
      </c>
      <c r="D3" s="1" t="s">
        <v>977</v>
      </c>
      <c r="E3" s="1" t="s">
        <v>978</v>
      </c>
      <c r="F3" s="1" t="s">
        <v>978</v>
      </c>
      <c r="G3" s="1" t="s">
        <v>979</v>
      </c>
      <c r="H3" s="1" t="s">
        <v>980</v>
      </c>
      <c r="I3" s="1" t="s">
        <v>981</v>
      </c>
      <c r="J3" s="1" t="s">
        <v>982</v>
      </c>
      <c r="K3" s="1" t="s">
        <v>983</v>
      </c>
      <c r="L3" s="1" t="s">
        <v>984</v>
      </c>
      <c r="M3" s="1" t="s">
        <v>985</v>
      </c>
      <c r="N3" s="1" t="s">
        <v>986</v>
      </c>
      <c r="O3" s="1" t="s">
        <v>987</v>
      </c>
      <c r="P3" s="1" t="s">
        <v>988</v>
      </c>
      <c r="Q3" s="1" t="s">
        <v>989</v>
      </c>
      <c r="R3" s="1" t="s">
        <v>990</v>
      </c>
      <c r="S3" s="1" t="s">
        <v>991</v>
      </c>
      <c r="T3" s="1" t="s">
        <v>992</v>
      </c>
      <c r="U3" s="1" t="s">
        <v>993</v>
      </c>
      <c r="V3" s="1" t="s">
        <v>994</v>
      </c>
      <c r="W3" s="1" t="s">
        <v>995</v>
      </c>
      <c r="X3" s="1" t="s">
        <v>996</v>
      </c>
      <c r="Y3" s="1" t="s">
        <v>997</v>
      </c>
      <c r="Z3" s="1" t="s">
        <v>998</v>
      </c>
      <c r="AA3" s="1" t="s">
        <v>999</v>
      </c>
      <c r="AB3" s="1" t="s">
        <v>1000</v>
      </c>
      <c r="AC3" s="1" t="s">
        <v>1001</v>
      </c>
      <c r="AD3" s="1" t="s">
        <v>1002</v>
      </c>
      <c r="AE3" s="1" t="s">
        <v>1003</v>
      </c>
      <c r="AF3" s="1" t="s">
        <v>1004</v>
      </c>
      <c r="AG3" s="1" t="s">
        <v>393</v>
      </c>
      <c r="AH3" s="1" t="s">
        <v>1005</v>
      </c>
      <c r="AI3" s="502">
        <v>43056.229888680602</v>
      </c>
    </row>
    <row r="4" spans="1:35">
      <c r="A4" s="1" t="s">
        <v>328</v>
      </c>
      <c r="B4" s="1" t="s">
        <v>870</v>
      </c>
      <c r="C4" s="1" t="s">
        <v>1006</v>
      </c>
      <c r="D4" s="1" t="s">
        <v>1007</v>
      </c>
      <c r="E4" s="1" t="s">
        <v>1007</v>
      </c>
      <c r="F4" s="1" t="s">
        <v>1007</v>
      </c>
      <c r="G4" s="1" t="s">
        <v>1008</v>
      </c>
      <c r="H4" s="1" t="s">
        <v>1008</v>
      </c>
      <c r="I4" s="1" t="s">
        <v>1009</v>
      </c>
      <c r="J4" s="1" t="s">
        <v>1010</v>
      </c>
      <c r="K4" s="1" t="s">
        <v>1011</v>
      </c>
      <c r="L4" s="1" t="s">
        <v>1012</v>
      </c>
      <c r="M4" s="1" t="s">
        <v>1013</v>
      </c>
      <c r="N4" s="1" t="s">
        <v>1014</v>
      </c>
      <c r="O4" s="1" t="s">
        <v>1014</v>
      </c>
      <c r="P4" s="1" t="s">
        <v>1015</v>
      </c>
      <c r="Q4" s="1" t="s">
        <v>1016</v>
      </c>
      <c r="R4" s="1" t="s">
        <v>1017</v>
      </c>
      <c r="S4" s="1" t="s">
        <v>1018</v>
      </c>
      <c r="T4" s="1" t="s">
        <v>1019</v>
      </c>
      <c r="U4" s="1" t="s">
        <v>1020</v>
      </c>
      <c r="V4" s="1" t="s">
        <v>1020</v>
      </c>
      <c r="W4" s="1" t="s">
        <v>1021</v>
      </c>
      <c r="X4" s="1" t="s">
        <v>1022</v>
      </c>
      <c r="Y4" s="1" t="s">
        <v>1023</v>
      </c>
      <c r="Z4" s="1" t="s">
        <v>1024</v>
      </c>
      <c r="AA4" s="306" t="s">
        <v>1025</v>
      </c>
      <c r="AB4" s="1" t="s">
        <v>1026</v>
      </c>
      <c r="AC4" s="1" t="s">
        <v>1026</v>
      </c>
      <c r="AD4" s="1" t="s">
        <v>1027</v>
      </c>
      <c r="AE4" s="1" t="s">
        <v>1028</v>
      </c>
      <c r="AF4" s="1" t="s">
        <v>1029</v>
      </c>
      <c r="AG4" s="1" t="s">
        <v>393</v>
      </c>
      <c r="AH4" s="1" t="s">
        <v>1030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869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362</v>
      </c>
    </row>
    <row r="2" spans="1:36">
      <c r="A2" s="1" t="s">
        <v>328</v>
      </c>
      <c r="B2" s="1" t="s">
        <v>72</v>
      </c>
      <c r="C2" s="1" t="s">
        <v>236</v>
      </c>
      <c r="D2" s="1" t="s">
        <v>1031</v>
      </c>
      <c r="E2" s="1" t="s">
        <v>1032</v>
      </c>
      <c r="F2" s="1" t="s">
        <v>1032</v>
      </c>
      <c r="G2" s="1" t="s">
        <v>1032</v>
      </c>
      <c r="H2" s="1" t="s">
        <v>1033</v>
      </c>
      <c r="I2" s="1" t="s">
        <v>1034</v>
      </c>
      <c r="J2" s="1" t="s">
        <v>1035</v>
      </c>
      <c r="K2" s="1" t="s">
        <v>1036</v>
      </c>
      <c r="L2" s="1" t="s">
        <v>1037</v>
      </c>
      <c r="M2" s="1" t="s">
        <v>1038</v>
      </c>
      <c r="N2" s="1" t="s">
        <v>1039</v>
      </c>
      <c r="O2" s="1" t="s">
        <v>1040</v>
      </c>
      <c r="P2" s="1" t="s">
        <v>1040</v>
      </c>
      <c r="Q2" s="1" t="s">
        <v>1041</v>
      </c>
      <c r="R2" s="1" t="s">
        <v>1042</v>
      </c>
      <c r="S2" s="1" t="s">
        <v>1043</v>
      </c>
      <c r="T2" s="1" t="s">
        <v>1044</v>
      </c>
      <c r="U2" s="1" t="s">
        <v>1045</v>
      </c>
      <c r="V2" s="1" t="s">
        <v>1046</v>
      </c>
      <c r="W2" s="1" t="s">
        <v>1046</v>
      </c>
      <c r="X2" s="1" t="s">
        <v>1047</v>
      </c>
      <c r="Y2" s="1" t="s">
        <v>1048</v>
      </c>
      <c r="Z2" s="1" t="s">
        <v>1049</v>
      </c>
      <c r="AA2" s="1" t="s">
        <v>1050</v>
      </c>
      <c r="AB2" s="1" t="s">
        <v>1051</v>
      </c>
      <c r="AC2" s="1" t="s">
        <v>1052</v>
      </c>
      <c r="AD2" s="1" t="s">
        <v>1052</v>
      </c>
      <c r="AE2" s="1" t="s">
        <v>1053</v>
      </c>
      <c r="AF2" s="1" t="s">
        <v>1054</v>
      </c>
      <c r="AG2" s="1" t="s">
        <v>1055</v>
      </c>
      <c r="AH2" s="1" t="s">
        <v>393</v>
      </c>
      <c r="AI2" s="1" t="s">
        <v>1056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1057</v>
      </c>
      <c r="E3" s="1" t="s">
        <v>1058</v>
      </c>
      <c r="F3" s="1" t="s">
        <v>1058</v>
      </c>
      <c r="G3" s="1" t="s">
        <v>1058</v>
      </c>
      <c r="H3" s="1" t="s">
        <v>1058</v>
      </c>
      <c r="I3" s="1" t="s">
        <v>1058</v>
      </c>
      <c r="J3" s="1" t="s">
        <v>1059</v>
      </c>
      <c r="K3" s="1" t="s">
        <v>1060</v>
      </c>
      <c r="L3" s="1" t="s">
        <v>1061</v>
      </c>
      <c r="M3" s="1" t="s">
        <v>1062</v>
      </c>
      <c r="N3" s="1" t="s">
        <v>1063</v>
      </c>
      <c r="O3" s="1" t="s">
        <v>1064</v>
      </c>
      <c r="P3" s="1" t="s">
        <v>1064</v>
      </c>
      <c r="Q3" s="1" t="s">
        <v>1065</v>
      </c>
      <c r="R3" s="1" t="s">
        <v>1066</v>
      </c>
      <c r="S3" s="1" t="s">
        <v>1067</v>
      </c>
      <c r="T3" s="1" t="s">
        <v>1068</v>
      </c>
      <c r="U3" s="1" t="s">
        <v>1069</v>
      </c>
      <c r="V3" s="1" t="s">
        <v>1070</v>
      </c>
      <c r="W3" s="1" t="s">
        <v>1070</v>
      </c>
      <c r="X3" s="1" t="s">
        <v>1071</v>
      </c>
      <c r="Y3" s="1" t="s">
        <v>1072</v>
      </c>
      <c r="Z3" s="1" t="s">
        <v>1073</v>
      </c>
      <c r="AA3" s="1" t="s">
        <v>1074</v>
      </c>
      <c r="AB3" s="1" t="s">
        <v>1075</v>
      </c>
      <c r="AC3" s="1" t="s">
        <v>1076</v>
      </c>
      <c r="AD3" s="1" t="s">
        <v>1076</v>
      </c>
      <c r="AE3" s="1" t="s">
        <v>1077</v>
      </c>
      <c r="AF3" s="1" t="s">
        <v>1078</v>
      </c>
      <c r="AG3" s="1" t="s">
        <v>1079</v>
      </c>
      <c r="AH3" s="1" t="s">
        <v>393</v>
      </c>
      <c r="AI3" s="1" t="s">
        <v>1080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870</v>
      </c>
      <c r="D4" s="1" t="s">
        <v>1081</v>
      </c>
      <c r="E4" s="1" t="s">
        <v>1082</v>
      </c>
      <c r="F4" s="1" t="s">
        <v>1082</v>
      </c>
      <c r="G4" s="1" t="s">
        <v>1082</v>
      </c>
      <c r="H4" s="1" t="s">
        <v>1082</v>
      </c>
      <c r="I4" s="1" t="s">
        <v>1082</v>
      </c>
      <c r="J4" s="1" t="s">
        <v>1083</v>
      </c>
      <c r="K4" s="1" t="s">
        <v>1084</v>
      </c>
      <c r="L4" s="1" t="s">
        <v>1085</v>
      </c>
      <c r="M4" s="1" t="s">
        <v>1086</v>
      </c>
      <c r="N4" s="1" t="s">
        <v>1087</v>
      </c>
      <c r="O4" s="1" t="s">
        <v>1088</v>
      </c>
      <c r="P4" s="1" t="s">
        <v>1088</v>
      </c>
      <c r="Q4" s="1" t="s">
        <v>1089</v>
      </c>
      <c r="R4" s="1" t="s">
        <v>1090</v>
      </c>
      <c r="S4" s="1" t="s">
        <v>1091</v>
      </c>
      <c r="T4" s="1" t="s">
        <v>1092</v>
      </c>
      <c r="U4" s="1" t="s">
        <v>1093</v>
      </c>
      <c r="V4" s="1" t="s">
        <v>1093</v>
      </c>
      <c r="W4" s="1" t="s">
        <v>1093</v>
      </c>
      <c r="X4" s="1" t="s">
        <v>1094</v>
      </c>
      <c r="Y4" s="1" t="s">
        <v>1095</v>
      </c>
      <c r="Z4" s="1" t="s">
        <v>1096</v>
      </c>
      <c r="AA4" s="1" t="s">
        <v>1097</v>
      </c>
      <c r="AB4" s="1" t="s">
        <v>1098</v>
      </c>
      <c r="AC4" s="1" t="s">
        <v>1099</v>
      </c>
      <c r="AD4" s="1" t="s">
        <v>1099</v>
      </c>
      <c r="AE4" s="1" t="s">
        <v>1100</v>
      </c>
      <c r="AF4" s="1" t="s">
        <v>1101</v>
      </c>
      <c r="AG4" s="1" t="s">
        <v>1102</v>
      </c>
      <c r="AH4" s="1" t="s">
        <v>393</v>
      </c>
      <c r="AI4" s="1" t="s">
        <v>1103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393</v>
      </c>
      <c r="E5" s="1" t="s">
        <v>393</v>
      </c>
      <c r="F5" s="1" t="s">
        <v>393</v>
      </c>
      <c r="G5" s="1" t="s">
        <v>393</v>
      </c>
      <c r="H5" s="1" t="s">
        <v>393</v>
      </c>
      <c r="I5" s="1" t="s">
        <v>393</v>
      </c>
      <c r="J5" s="1" t="s">
        <v>393</v>
      </c>
      <c r="K5" s="1" t="s">
        <v>393</v>
      </c>
      <c r="L5" s="1" t="s">
        <v>393</v>
      </c>
      <c r="M5" s="1" t="s">
        <v>393</v>
      </c>
      <c r="N5" s="1" t="s">
        <v>393</v>
      </c>
      <c r="O5" s="1" t="s">
        <v>393</v>
      </c>
      <c r="P5" s="1" t="s">
        <v>393</v>
      </c>
      <c r="Q5" s="1" t="s">
        <v>393</v>
      </c>
      <c r="R5" s="1" t="s">
        <v>393</v>
      </c>
      <c r="S5" s="1" t="s">
        <v>393</v>
      </c>
      <c r="T5" s="1" t="s">
        <v>393</v>
      </c>
      <c r="U5" s="1" t="s">
        <v>393</v>
      </c>
      <c r="V5" s="1" t="s">
        <v>393</v>
      </c>
      <c r="W5" s="1" t="s">
        <v>393</v>
      </c>
      <c r="X5" s="1" t="s">
        <v>393</v>
      </c>
      <c r="Y5" s="1" t="s">
        <v>393</v>
      </c>
      <c r="Z5" s="1" t="s">
        <v>393</v>
      </c>
      <c r="AA5" s="1" t="s">
        <v>393</v>
      </c>
      <c r="AB5" s="1" t="s">
        <v>393</v>
      </c>
      <c r="AC5" s="1" t="s">
        <v>393</v>
      </c>
      <c r="AD5" s="1" t="s">
        <v>393</v>
      </c>
      <c r="AE5" s="1" t="s">
        <v>393</v>
      </c>
      <c r="AF5" s="1" t="s">
        <v>393</v>
      </c>
      <c r="AG5" s="1" t="s">
        <v>393</v>
      </c>
      <c r="AH5" s="1" t="s">
        <v>393</v>
      </c>
      <c r="AI5" s="1" t="s">
        <v>393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393</v>
      </c>
      <c r="E6" s="1" t="s">
        <v>393</v>
      </c>
      <c r="F6" s="1" t="s">
        <v>393</v>
      </c>
      <c r="G6" s="1" t="s">
        <v>393</v>
      </c>
      <c r="H6" s="1" t="s">
        <v>393</v>
      </c>
      <c r="I6" s="1" t="s">
        <v>393</v>
      </c>
      <c r="J6" s="1" t="s">
        <v>393</v>
      </c>
      <c r="K6" s="1" t="s">
        <v>393</v>
      </c>
      <c r="L6" s="1" t="s">
        <v>393</v>
      </c>
      <c r="M6" s="1" t="s">
        <v>393</v>
      </c>
      <c r="N6" s="1" t="s">
        <v>393</v>
      </c>
      <c r="O6" s="1" t="s">
        <v>393</v>
      </c>
      <c r="P6" s="1" t="s">
        <v>393</v>
      </c>
      <c r="Q6" s="1" t="s">
        <v>393</v>
      </c>
      <c r="R6" s="1" t="s">
        <v>393</v>
      </c>
      <c r="S6" s="1" t="s">
        <v>393</v>
      </c>
      <c r="T6" s="1" t="s">
        <v>393</v>
      </c>
      <c r="U6" s="1" t="s">
        <v>393</v>
      </c>
      <c r="V6" s="1" t="s">
        <v>393</v>
      </c>
      <c r="W6" s="1" t="s">
        <v>393</v>
      </c>
      <c r="X6" s="1" t="s">
        <v>393</v>
      </c>
      <c r="Y6" s="1" t="s">
        <v>393</v>
      </c>
      <c r="Z6" s="1" t="s">
        <v>393</v>
      </c>
      <c r="AA6" s="1" t="s">
        <v>393</v>
      </c>
      <c r="AB6" s="1" t="s">
        <v>393</v>
      </c>
      <c r="AC6" s="1" t="s">
        <v>393</v>
      </c>
      <c r="AD6" s="1" t="s">
        <v>393</v>
      </c>
      <c r="AE6" s="1" t="s">
        <v>393</v>
      </c>
      <c r="AF6" s="1" t="s">
        <v>393</v>
      </c>
      <c r="AG6" s="1" t="s">
        <v>393</v>
      </c>
      <c r="AH6" s="1" t="s">
        <v>393</v>
      </c>
      <c r="AI6" s="1" t="s">
        <v>393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1104</v>
      </c>
      <c r="E7" s="1" t="s">
        <v>1105</v>
      </c>
      <c r="F7" s="1" t="s">
        <v>1105</v>
      </c>
      <c r="G7" s="1" t="s">
        <v>1105</v>
      </c>
      <c r="H7" s="1" t="s">
        <v>1105</v>
      </c>
      <c r="I7" s="1" t="s">
        <v>1105</v>
      </c>
      <c r="J7" s="1" t="s">
        <v>1106</v>
      </c>
      <c r="K7" s="1" t="s">
        <v>1107</v>
      </c>
      <c r="L7" s="1" t="s">
        <v>1108</v>
      </c>
      <c r="M7" s="1" t="s">
        <v>1109</v>
      </c>
      <c r="N7" s="1" t="s">
        <v>1110</v>
      </c>
      <c r="O7" s="1" t="s">
        <v>1111</v>
      </c>
      <c r="P7" s="1" t="s">
        <v>1111</v>
      </c>
      <c r="Q7" s="1" t="s">
        <v>1112</v>
      </c>
      <c r="R7" s="1" t="s">
        <v>1113</v>
      </c>
      <c r="S7" s="1" t="s">
        <v>1114</v>
      </c>
      <c r="T7" s="1" t="s">
        <v>1115</v>
      </c>
      <c r="U7" s="1" t="s">
        <v>1116</v>
      </c>
      <c r="V7" s="1" t="s">
        <v>1117</v>
      </c>
      <c r="W7" s="1" t="s">
        <v>1117</v>
      </c>
      <c r="X7" s="1" t="s">
        <v>1118</v>
      </c>
      <c r="Y7" s="1" t="s">
        <v>1119</v>
      </c>
      <c r="Z7" s="1" t="s">
        <v>1120</v>
      </c>
      <c r="AA7" s="1" t="s">
        <v>1121</v>
      </c>
      <c r="AB7" s="1" t="s">
        <v>1122</v>
      </c>
      <c r="AC7" s="1" t="s">
        <v>1123</v>
      </c>
      <c r="AD7" s="1" t="s">
        <v>1123</v>
      </c>
      <c r="AE7" s="1" t="s">
        <v>1124</v>
      </c>
      <c r="AF7" s="1" t="s">
        <v>1125</v>
      </c>
      <c r="AG7" s="1" t="s">
        <v>1126</v>
      </c>
      <c r="AH7" s="1" t="s">
        <v>393</v>
      </c>
      <c r="AI7" s="1" t="s">
        <v>1127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393</v>
      </c>
      <c r="E8" s="1" t="s">
        <v>393</v>
      </c>
      <c r="F8" s="1" t="s">
        <v>393</v>
      </c>
      <c r="G8" s="1" t="s">
        <v>393</v>
      </c>
      <c r="H8" s="1" t="s">
        <v>393</v>
      </c>
      <c r="I8" s="1" t="s">
        <v>393</v>
      </c>
      <c r="J8" s="1" t="s">
        <v>393</v>
      </c>
      <c r="K8" s="1" t="s">
        <v>393</v>
      </c>
      <c r="L8" s="1" t="s">
        <v>393</v>
      </c>
      <c r="M8" s="1" t="s">
        <v>393</v>
      </c>
      <c r="N8" s="1" t="s">
        <v>393</v>
      </c>
      <c r="O8" s="1" t="s">
        <v>393</v>
      </c>
      <c r="P8" s="1" t="s">
        <v>393</v>
      </c>
      <c r="Q8" s="1" t="s">
        <v>393</v>
      </c>
      <c r="R8" s="1" t="s">
        <v>393</v>
      </c>
      <c r="S8" s="1" t="s">
        <v>393</v>
      </c>
      <c r="T8" s="1" t="s">
        <v>393</v>
      </c>
      <c r="U8" s="1" t="s">
        <v>393</v>
      </c>
      <c r="V8" s="1" t="s">
        <v>393</v>
      </c>
      <c r="W8" s="1" t="s">
        <v>393</v>
      </c>
      <c r="X8" s="1" t="s">
        <v>393</v>
      </c>
      <c r="Y8" s="1" t="s">
        <v>393</v>
      </c>
      <c r="Z8" s="1" t="s">
        <v>393</v>
      </c>
      <c r="AA8" s="1" t="s">
        <v>393</v>
      </c>
      <c r="AB8" s="1" t="s">
        <v>393</v>
      </c>
      <c r="AC8" s="1" t="s">
        <v>393</v>
      </c>
      <c r="AD8" s="1" t="s">
        <v>393</v>
      </c>
      <c r="AE8" s="1" t="s">
        <v>393</v>
      </c>
      <c r="AF8" s="1" t="s">
        <v>393</v>
      </c>
      <c r="AG8" s="1" t="s">
        <v>393</v>
      </c>
      <c r="AH8" s="1" t="s">
        <v>393</v>
      </c>
      <c r="AI8" s="1" t="s">
        <v>393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393</v>
      </c>
      <c r="E9" s="1" t="s">
        <v>393</v>
      </c>
      <c r="F9" s="1" t="s">
        <v>393</v>
      </c>
      <c r="G9" s="1" t="s">
        <v>393</v>
      </c>
      <c r="H9" s="1" t="s">
        <v>393</v>
      </c>
      <c r="I9" s="1" t="s">
        <v>393</v>
      </c>
      <c r="J9" s="1" t="s">
        <v>393</v>
      </c>
      <c r="K9" s="1" t="s">
        <v>393</v>
      </c>
      <c r="L9" s="1" t="s">
        <v>393</v>
      </c>
      <c r="M9" s="1" t="s">
        <v>393</v>
      </c>
      <c r="N9" s="1" t="s">
        <v>393</v>
      </c>
      <c r="O9" s="1" t="s">
        <v>393</v>
      </c>
      <c r="P9" s="1" t="s">
        <v>393</v>
      </c>
      <c r="Q9" s="1" t="s">
        <v>393</v>
      </c>
      <c r="R9" s="1" t="s">
        <v>393</v>
      </c>
      <c r="S9" s="1" t="s">
        <v>393</v>
      </c>
      <c r="T9" s="1" t="s">
        <v>393</v>
      </c>
      <c r="U9" s="1" t="s">
        <v>393</v>
      </c>
      <c r="V9" s="1" t="s">
        <v>393</v>
      </c>
      <c r="W9" s="1" t="s">
        <v>393</v>
      </c>
      <c r="X9" s="1" t="s">
        <v>393</v>
      </c>
      <c r="Y9" s="1" t="s">
        <v>393</v>
      </c>
      <c r="Z9" s="1" t="s">
        <v>393</v>
      </c>
      <c r="AA9" s="1" t="s">
        <v>393</v>
      </c>
      <c r="AB9" s="1" t="s">
        <v>393</v>
      </c>
      <c r="AC9" s="1" t="s">
        <v>393</v>
      </c>
      <c r="AD9" s="1" t="s">
        <v>393</v>
      </c>
      <c r="AE9" s="1" t="s">
        <v>393</v>
      </c>
      <c r="AF9" s="1" t="s">
        <v>393</v>
      </c>
      <c r="AG9" s="1" t="s">
        <v>393</v>
      </c>
      <c r="AH9" s="1" t="s">
        <v>393</v>
      </c>
      <c r="AI9" s="1" t="s">
        <v>393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393</v>
      </c>
      <c r="E10" s="1" t="s">
        <v>393</v>
      </c>
      <c r="F10" s="1" t="s">
        <v>393</v>
      </c>
      <c r="G10" s="1" t="s">
        <v>393</v>
      </c>
      <c r="H10" s="1" t="s">
        <v>393</v>
      </c>
      <c r="I10" s="1" t="s">
        <v>393</v>
      </c>
      <c r="J10" s="1" t="s">
        <v>393</v>
      </c>
      <c r="K10" s="1" t="s">
        <v>393</v>
      </c>
      <c r="L10" s="1" t="s">
        <v>393</v>
      </c>
      <c r="M10" s="1" t="s">
        <v>393</v>
      </c>
      <c r="N10" s="1" t="s">
        <v>393</v>
      </c>
      <c r="O10" s="1" t="s">
        <v>393</v>
      </c>
      <c r="P10" s="1" t="s">
        <v>393</v>
      </c>
      <c r="Q10" s="1" t="s">
        <v>393</v>
      </c>
      <c r="R10" s="1" t="s">
        <v>393</v>
      </c>
      <c r="S10" s="1" t="s">
        <v>393</v>
      </c>
      <c r="T10" s="1" t="s">
        <v>393</v>
      </c>
      <c r="U10" s="1" t="s">
        <v>393</v>
      </c>
      <c r="V10" s="1" t="s">
        <v>393</v>
      </c>
      <c r="W10" s="1" t="s">
        <v>393</v>
      </c>
      <c r="X10" s="1" t="s">
        <v>393</v>
      </c>
      <c r="Y10" s="1" t="s">
        <v>393</v>
      </c>
      <c r="Z10" s="1" t="s">
        <v>393</v>
      </c>
      <c r="AA10" s="1" t="s">
        <v>393</v>
      </c>
      <c r="AB10" s="1" t="s">
        <v>393</v>
      </c>
      <c r="AC10" s="1" t="s">
        <v>393</v>
      </c>
      <c r="AD10" s="1" t="s">
        <v>393</v>
      </c>
      <c r="AE10" s="1" t="s">
        <v>393</v>
      </c>
      <c r="AF10" s="1" t="s">
        <v>393</v>
      </c>
      <c r="AG10" s="1" t="s">
        <v>393</v>
      </c>
      <c r="AH10" s="1" t="s">
        <v>393</v>
      </c>
      <c r="AI10" s="1" t="s">
        <v>393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393</v>
      </c>
      <c r="E11" s="1" t="s">
        <v>393</v>
      </c>
      <c r="F11" s="1" t="s">
        <v>393</v>
      </c>
      <c r="G11" s="1" t="s">
        <v>393</v>
      </c>
      <c r="H11" s="1" t="s">
        <v>393</v>
      </c>
      <c r="I11" s="1" t="s">
        <v>393</v>
      </c>
      <c r="J11" s="1" t="s">
        <v>393</v>
      </c>
      <c r="K11" s="1" t="s">
        <v>393</v>
      </c>
      <c r="L11" s="1" t="s">
        <v>393</v>
      </c>
      <c r="M11" s="1" t="s">
        <v>393</v>
      </c>
      <c r="N11" s="1" t="s">
        <v>393</v>
      </c>
      <c r="O11" s="1" t="s">
        <v>393</v>
      </c>
      <c r="P11" s="1" t="s">
        <v>393</v>
      </c>
      <c r="Q11" s="1" t="s">
        <v>393</v>
      </c>
      <c r="R11" s="1" t="s">
        <v>393</v>
      </c>
      <c r="S11" s="1" t="s">
        <v>393</v>
      </c>
      <c r="T11" s="1" t="s">
        <v>393</v>
      </c>
      <c r="U11" s="1" t="s">
        <v>393</v>
      </c>
      <c r="V11" s="1" t="s">
        <v>393</v>
      </c>
      <c r="W11" s="1" t="s">
        <v>393</v>
      </c>
      <c r="X11" s="1" t="s">
        <v>393</v>
      </c>
      <c r="Y11" s="1" t="s">
        <v>393</v>
      </c>
      <c r="Z11" s="1" t="s">
        <v>393</v>
      </c>
      <c r="AA11" s="1" t="s">
        <v>393</v>
      </c>
      <c r="AB11" s="1" t="s">
        <v>393</v>
      </c>
      <c r="AC11" s="1" t="s">
        <v>393</v>
      </c>
      <c r="AD11" s="1" t="s">
        <v>393</v>
      </c>
      <c r="AE11" s="1" t="s">
        <v>393</v>
      </c>
      <c r="AF11" s="1" t="s">
        <v>393</v>
      </c>
      <c r="AG11" s="1" t="s">
        <v>393</v>
      </c>
      <c r="AH11" s="1" t="s">
        <v>393</v>
      </c>
      <c r="AI11" s="1" t="s">
        <v>393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393</v>
      </c>
      <c r="E12" s="1" t="s">
        <v>393</v>
      </c>
      <c r="F12" s="1" t="s">
        <v>393</v>
      </c>
      <c r="G12" s="1" t="s">
        <v>393</v>
      </c>
      <c r="H12" s="1" t="s">
        <v>393</v>
      </c>
      <c r="I12" s="1" t="s">
        <v>393</v>
      </c>
      <c r="J12" s="1" t="s">
        <v>393</v>
      </c>
      <c r="K12" s="1" t="s">
        <v>393</v>
      </c>
      <c r="L12" s="1" t="s">
        <v>393</v>
      </c>
      <c r="M12" s="1" t="s">
        <v>393</v>
      </c>
      <c r="N12" s="1" t="s">
        <v>393</v>
      </c>
      <c r="O12" s="1" t="s">
        <v>393</v>
      </c>
      <c r="P12" s="1" t="s">
        <v>393</v>
      </c>
      <c r="Q12" s="1" t="s">
        <v>393</v>
      </c>
      <c r="R12" s="1" t="s">
        <v>393</v>
      </c>
      <c r="S12" s="1" t="s">
        <v>393</v>
      </c>
      <c r="T12" s="1" t="s">
        <v>393</v>
      </c>
      <c r="U12" s="1" t="s">
        <v>393</v>
      </c>
      <c r="V12" s="1" t="s">
        <v>393</v>
      </c>
      <c r="W12" s="1" t="s">
        <v>393</v>
      </c>
      <c r="X12" s="1" t="s">
        <v>393</v>
      </c>
      <c r="Y12" s="1" t="s">
        <v>393</v>
      </c>
      <c r="Z12" s="1" t="s">
        <v>393</v>
      </c>
      <c r="AA12" s="1" t="s">
        <v>393</v>
      </c>
      <c r="AB12" s="1" t="s">
        <v>393</v>
      </c>
      <c r="AC12" s="1" t="s">
        <v>393</v>
      </c>
      <c r="AD12" s="1" t="s">
        <v>393</v>
      </c>
      <c r="AE12" s="1" t="s">
        <v>393</v>
      </c>
      <c r="AF12" s="1" t="s">
        <v>393</v>
      </c>
      <c r="AG12" s="1" t="s">
        <v>393</v>
      </c>
      <c r="AH12" s="1" t="s">
        <v>393</v>
      </c>
      <c r="AI12" s="1" t="s">
        <v>393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393</v>
      </c>
      <c r="E13" s="1" t="s">
        <v>393</v>
      </c>
      <c r="F13" s="1" t="s">
        <v>393</v>
      </c>
      <c r="G13" s="1" t="s">
        <v>393</v>
      </c>
      <c r="H13" s="1" t="s">
        <v>393</v>
      </c>
      <c r="I13" s="1" t="s">
        <v>393</v>
      </c>
      <c r="J13" s="1" t="s">
        <v>393</v>
      </c>
      <c r="K13" s="1" t="s">
        <v>393</v>
      </c>
      <c r="L13" s="1" t="s">
        <v>393</v>
      </c>
      <c r="M13" s="1" t="s">
        <v>393</v>
      </c>
      <c r="N13" s="1" t="s">
        <v>393</v>
      </c>
      <c r="O13" s="1" t="s">
        <v>393</v>
      </c>
      <c r="P13" s="1" t="s">
        <v>393</v>
      </c>
      <c r="Q13" s="1" t="s">
        <v>393</v>
      </c>
      <c r="R13" s="1" t="s">
        <v>393</v>
      </c>
      <c r="S13" s="1" t="s">
        <v>393</v>
      </c>
      <c r="T13" s="1" t="s">
        <v>393</v>
      </c>
      <c r="U13" s="1" t="s">
        <v>393</v>
      </c>
      <c r="V13" s="1" t="s">
        <v>393</v>
      </c>
      <c r="W13" s="1" t="s">
        <v>393</v>
      </c>
      <c r="X13" s="1" t="s">
        <v>393</v>
      </c>
      <c r="Y13" s="1" t="s">
        <v>393</v>
      </c>
      <c r="Z13" s="1" t="s">
        <v>393</v>
      </c>
      <c r="AA13" s="1" t="s">
        <v>393</v>
      </c>
      <c r="AB13" s="1" t="s">
        <v>393</v>
      </c>
      <c r="AC13" s="1" t="s">
        <v>393</v>
      </c>
      <c r="AD13" s="1" t="s">
        <v>393</v>
      </c>
      <c r="AE13" s="1" t="s">
        <v>393</v>
      </c>
      <c r="AF13" s="1" t="s">
        <v>393</v>
      </c>
      <c r="AG13" s="1" t="s">
        <v>393</v>
      </c>
      <c r="AH13" s="1" t="s">
        <v>393</v>
      </c>
      <c r="AI13" s="1" t="s">
        <v>393</v>
      </c>
      <c r="AJ13" s="502">
        <v>43056.229889050897</v>
      </c>
    </row>
    <row r="14" spans="1:36">
      <c r="A14" s="1" t="s">
        <v>328</v>
      </c>
      <c r="B14" s="1" t="s">
        <v>1128</v>
      </c>
      <c r="C14" s="1" t="s">
        <v>237</v>
      </c>
      <c r="D14" s="1" t="s">
        <v>393</v>
      </c>
      <c r="E14" s="1" t="s">
        <v>393</v>
      </c>
      <c r="F14" s="1" t="s">
        <v>393</v>
      </c>
      <c r="G14" s="1" t="s">
        <v>393</v>
      </c>
      <c r="H14" s="1" t="s">
        <v>393</v>
      </c>
      <c r="I14" s="1" t="s">
        <v>393</v>
      </c>
      <c r="J14" s="1" t="s">
        <v>393</v>
      </c>
      <c r="K14" s="1" t="s">
        <v>393</v>
      </c>
      <c r="L14" s="1" t="s">
        <v>393</v>
      </c>
      <c r="M14" s="1" t="s">
        <v>393</v>
      </c>
      <c r="N14" s="1" t="s">
        <v>393</v>
      </c>
      <c r="O14" s="1" t="s">
        <v>393</v>
      </c>
      <c r="P14" s="1" t="s">
        <v>393</v>
      </c>
      <c r="Q14" s="1" t="s">
        <v>393</v>
      </c>
      <c r="R14" s="1" t="s">
        <v>393</v>
      </c>
      <c r="S14" s="1" t="s">
        <v>393</v>
      </c>
      <c r="T14" s="1" t="s">
        <v>393</v>
      </c>
      <c r="U14" s="1" t="s">
        <v>393</v>
      </c>
      <c r="V14" s="1" t="s">
        <v>393</v>
      </c>
      <c r="W14" s="1" t="s">
        <v>393</v>
      </c>
      <c r="X14" s="1" t="s">
        <v>393</v>
      </c>
      <c r="Y14" s="1" t="s">
        <v>393</v>
      </c>
      <c r="Z14" s="1" t="s">
        <v>393</v>
      </c>
      <c r="AA14" s="1" t="s">
        <v>393</v>
      </c>
      <c r="AB14" s="1" t="s">
        <v>393</v>
      </c>
      <c r="AC14" s="1" t="s">
        <v>393</v>
      </c>
      <c r="AD14" s="1" t="s">
        <v>393</v>
      </c>
      <c r="AE14" s="1" t="s">
        <v>393</v>
      </c>
      <c r="AF14" s="1" t="s">
        <v>393</v>
      </c>
      <c r="AG14" s="1" t="s">
        <v>393</v>
      </c>
      <c r="AH14" s="1" t="s">
        <v>393</v>
      </c>
      <c r="AI14" s="1" t="s">
        <v>393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1129</v>
      </c>
      <c r="E15" s="1" t="s">
        <v>1130</v>
      </c>
      <c r="F15" s="1" t="s">
        <v>1130</v>
      </c>
      <c r="G15" s="1" t="s">
        <v>1130</v>
      </c>
      <c r="H15" s="1" t="s">
        <v>1130</v>
      </c>
      <c r="I15" s="1" t="s">
        <v>1130</v>
      </c>
      <c r="J15" s="1" t="s">
        <v>1130</v>
      </c>
      <c r="K15" s="1" t="s">
        <v>1130</v>
      </c>
      <c r="L15" s="1" t="s">
        <v>1131</v>
      </c>
      <c r="M15" s="1" t="s">
        <v>1132</v>
      </c>
      <c r="N15" s="1" t="s">
        <v>1133</v>
      </c>
      <c r="O15" s="1" t="s">
        <v>1133</v>
      </c>
      <c r="P15" s="1" t="s">
        <v>1133</v>
      </c>
      <c r="Q15" s="1" t="s">
        <v>1133</v>
      </c>
      <c r="R15" s="1" t="s">
        <v>1134</v>
      </c>
      <c r="S15" s="1" t="s">
        <v>1134</v>
      </c>
      <c r="T15" s="1" t="s">
        <v>1135</v>
      </c>
      <c r="U15" s="1" t="s">
        <v>1135</v>
      </c>
      <c r="V15" s="1" t="s">
        <v>1135</v>
      </c>
      <c r="W15" s="1" t="s">
        <v>1135</v>
      </c>
      <c r="X15" s="1" t="s">
        <v>1135</v>
      </c>
      <c r="Y15" s="1" t="s">
        <v>1135</v>
      </c>
      <c r="Z15" s="1" t="s">
        <v>1135</v>
      </c>
      <c r="AA15" s="1" t="s">
        <v>1136</v>
      </c>
      <c r="AB15" s="1" t="s">
        <v>1136</v>
      </c>
      <c r="AC15" s="1" t="s">
        <v>1136</v>
      </c>
      <c r="AD15" s="1" t="s">
        <v>1136</v>
      </c>
      <c r="AE15" s="1" t="s">
        <v>1136</v>
      </c>
      <c r="AF15" s="1" t="s">
        <v>1137</v>
      </c>
      <c r="AG15" s="1" t="s">
        <v>1137</v>
      </c>
      <c r="AH15" s="1" t="s">
        <v>393</v>
      </c>
      <c r="AI15" s="1" t="s">
        <v>1138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393</v>
      </c>
      <c r="E16" s="1" t="s">
        <v>393</v>
      </c>
      <c r="F16" s="1" t="s">
        <v>393</v>
      </c>
      <c r="G16" s="1" t="s">
        <v>393</v>
      </c>
      <c r="H16" s="1" t="s">
        <v>393</v>
      </c>
      <c r="I16" s="1" t="s">
        <v>393</v>
      </c>
      <c r="J16" s="1" t="s">
        <v>393</v>
      </c>
      <c r="K16" s="1" t="s">
        <v>393</v>
      </c>
      <c r="L16" s="1" t="s">
        <v>393</v>
      </c>
      <c r="M16" s="1" t="s">
        <v>393</v>
      </c>
      <c r="N16" s="1" t="s">
        <v>393</v>
      </c>
      <c r="O16" s="1" t="s">
        <v>393</v>
      </c>
      <c r="P16" s="1" t="s">
        <v>393</v>
      </c>
      <c r="Q16" s="1" t="s">
        <v>393</v>
      </c>
      <c r="R16" s="1" t="s">
        <v>393</v>
      </c>
      <c r="S16" s="1" t="s">
        <v>393</v>
      </c>
      <c r="T16" s="1" t="s">
        <v>393</v>
      </c>
      <c r="U16" s="1" t="s">
        <v>393</v>
      </c>
      <c r="V16" s="1" t="s">
        <v>393</v>
      </c>
      <c r="W16" s="1" t="s">
        <v>393</v>
      </c>
      <c r="X16" s="1" t="s">
        <v>393</v>
      </c>
      <c r="Y16" s="1" t="s">
        <v>393</v>
      </c>
      <c r="Z16" s="1" t="s">
        <v>393</v>
      </c>
      <c r="AA16" s="1" t="s">
        <v>393</v>
      </c>
      <c r="AB16" s="1" t="s">
        <v>393</v>
      </c>
      <c r="AC16" s="1" t="s">
        <v>393</v>
      </c>
      <c r="AD16" s="1" t="s">
        <v>393</v>
      </c>
      <c r="AE16" s="1" t="s">
        <v>393</v>
      </c>
      <c r="AF16" s="1" t="s">
        <v>393</v>
      </c>
      <c r="AG16" s="1" t="s">
        <v>393</v>
      </c>
      <c r="AH16" s="1" t="s">
        <v>393</v>
      </c>
      <c r="AI16" s="1" t="s">
        <v>393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393</v>
      </c>
      <c r="E17" s="1" t="s">
        <v>393</v>
      </c>
      <c r="F17" s="1" t="s">
        <v>393</v>
      </c>
      <c r="G17" s="1" t="s">
        <v>393</v>
      </c>
      <c r="H17" s="1" t="s">
        <v>393</v>
      </c>
      <c r="I17" s="1" t="s">
        <v>393</v>
      </c>
      <c r="J17" s="1" t="s">
        <v>393</v>
      </c>
      <c r="K17" s="1" t="s">
        <v>393</v>
      </c>
      <c r="L17" s="1" t="s">
        <v>393</v>
      </c>
      <c r="M17" s="1" t="s">
        <v>393</v>
      </c>
      <c r="N17" s="1" t="s">
        <v>393</v>
      </c>
      <c r="O17" s="1" t="s">
        <v>393</v>
      </c>
      <c r="P17" s="1" t="s">
        <v>393</v>
      </c>
      <c r="Q17" s="1" t="s">
        <v>393</v>
      </c>
      <c r="R17" s="1" t="s">
        <v>393</v>
      </c>
      <c r="S17" s="1" t="s">
        <v>393</v>
      </c>
      <c r="T17" s="1" t="s">
        <v>393</v>
      </c>
      <c r="U17" s="1" t="s">
        <v>393</v>
      </c>
      <c r="V17" s="1" t="s">
        <v>393</v>
      </c>
      <c r="W17" s="1" t="s">
        <v>393</v>
      </c>
      <c r="X17" s="1" t="s">
        <v>393</v>
      </c>
      <c r="Y17" s="1" t="s">
        <v>393</v>
      </c>
      <c r="Z17" s="1" t="s">
        <v>393</v>
      </c>
      <c r="AA17" s="1" t="s">
        <v>393</v>
      </c>
      <c r="AB17" s="1" t="s">
        <v>393</v>
      </c>
      <c r="AC17" s="1" t="s">
        <v>393</v>
      </c>
      <c r="AD17" s="1" t="s">
        <v>393</v>
      </c>
      <c r="AE17" s="1" t="s">
        <v>393</v>
      </c>
      <c r="AF17" s="1" t="s">
        <v>393</v>
      </c>
      <c r="AG17" s="1" t="s">
        <v>393</v>
      </c>
      <c r="AH17" s="1" t="s">
        <v>393</v>
      </c>
      <c r="AI17" s="1" t="s">
        <v>393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393</v>
      </c>
      <c r="E18" s="1" t="s">
        <v>393</v>
      </c>
      <c r="F18" s="1" t="s">
        <v>393</v>
      </c>
      <c r="G18" s="1" t="s">
        <v>393</v>
      </c>
      <c r="H18" s="1" t="s">
        <v>393</v>
      </c>
      <c r="I18" s="1" t="s">
        <v>393</v>
      </c>
      <c r="J18" s="1" t="s">
        <v>393</v>
      </c>
      <c r="K18" s="1" t="s">
        <v>393</v>
      </c>
      <c r="L18" s="1" t="s">
        <v>393</v>
      </c>
      <c r="M18" s="1" t="s">
        <v>393</v>
      </c>
      <c r="N18" s="1" t="s">
        <v>393</v>
      </c>
      <c r="O18" s="1" t="s">
        <v>393</v>
      </c>
      <c r="P18" s="1" t="s">
        <v>393</v>
      </c>
      <c r="Q18" s="1" t="s">
        <v>393</v>
      </c>
      <c r="R18" s="1" t="s">
        <v>393</v>
      </c>
      <c r="S18" s="1" t="s">
        <v>393</v>
      </c>
      <c r="T18" s="1" t="s">
        <v>393</v>
      </c>
      <c r="U18" s="1" t="s">
        <v>393</v>
      </c>
      <c r="V18" s="1" t="s">
        <v>393</v>
      </c>
      <c r="W18" s="1" t="s">
        <v>393</v>
      </c>
      <c r="X18" s="1" t="s">
        <v>393</v>
      </c>
      <c r="Y18" s="1" t="s">
        <v>393</v>
      </c>
      <c r="Z18" s="1" t="s">
        <v>393</v>
      </c>
      <c r="AA18" s="1" t="s">
        <v>393</v>
      </c>
      <c r="AB18" s="1" t="s">
        <v>393</v>
      </c>
      <c r="AC18" s="1" t="s">
        <v>393</v>
      </c>
      <c r="AD18" s="1" t="s">
        <v>393</v>
      </c>
      <c r="AE18" s="1" t="s">
        <v>393</v>
      </c>
      <c r="AF18" s="1" t="s">
        <v>393</v>
      </c>
      <c r="AG18" s="1" t="s">
        <v>393</v>
      </c>
      <c r="AH18" s="1" t="s">
        <v>393</v>
      </c>
      <c r="AI18" s="1" t="s">
        <v>393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393</v>
      </c>
      <c r="E19" s="1" t="s">
        <v>393</v>
      </c>
      <c r="F19" s="1" t="s">
        <v>393</v>
      </c>
      <c r="G19" s="1" t="s">
        <v>393</v>
      </c>
      <c r="H19" s="1" t="s">
        <v>393</v>
      </c>
      <c r="I19" s="1" t="s">
        <v>393</v>
      </c>
      <c r="J19" s="1" t="s">
        <v>393</v>
      </c>
      <c r="K19" s="1" t="s">
        <v>393</v>
      </c>
      <c r="L19" s="1" t="s">
        <v>393</v>
      </c>
      <c r="M19" s="1" t="s">
        <v>393</v>
      </c>
      <c r="N19" s="1" t="s">
        <v>393</v>
      </c>
      <c r="O19" s="1" t="s">
        <v>393</v>
      </c>
      <c r="P19" s="1" t="s">
        <v>393</v>
      </c>
      <c r="Q19" s="1" t="s">
        <v>393</v>
      </c>
      <c r="R19" s="1" t="s">
        <v>393</v>
      </c>
      <c r="S19" s="1" t="s">
        <v>393</v>
      </c>
      <c r="T19" s="1" t="s">
        <v>393</v>
      </c>
      <c r="U19" s="1" t="s">
        <v>393</v>
      </c>
      <c r="V19" s="1" t="s">
        <v>393</v>
      </c>
      <c r="W19" s="1" t="s">
        <v>393</v>
      </c>
      <c r="X19" s="1" t="s">
        <v>393</v>
      </c>
      <c r="Y19" s="1" t="s">
        <v>393</v>
      </c>
      <c r="Z19" s="1" t="s">
        <v>393</v>
      </c>
      <c r="AA19" s="1" t="s">
        <v>393</v>
      </c>
      <c r="AB19" s="1" t="s">
        <v>393</v>
      </c>
      <c r="AC19" s="1" t="s">
        <v>393</v>
      </c>
      <c r="AD19" s="1" t="s">
        <v>393</v>
      </c>
      <c r="AE19" s="1" t="s">
        <v>393</v>
      </c>
      <c r="AF19" s="1" t="s">
        <v>393</v>
      </c>
      <c r="AG19" s="1" t="s">
        <v>393</v>
      </c>
      <c r="AH19" s="1" t="s">
        <v>393</v>
      </c>
      <c r="AI19" s="1" t="s">
        <v>393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393</v>
      </c>
      <c r="E20" s="1" t="s">
        <v>393</v>
      </c>
      <c r="F20" s="1" t="s">
        <v>393</v>
      </c>
      <c r="G20" s="1" t="s">
        <v>393</v>
      </c>
      <c r="H20" s="1" t="s">
        <v>393</v>
      </c>
      <c r="I20" s="1" t="s">
        <v>393</v>
      </c>
      <c r="J20" s="1" t="s">
        <v>393</v>
      </c>
      <c r="K20" s="1" t="s">
        <v>393</v>
      </c>
      <c r="L20" s="1" t="s">
        <v>393</v>
      </c>
      <c r="M20" s="1" t="s">
        <v>393</v>
      </c>
      <c r="N20" s="1" t="s">
        <v>393</v>
      </c>
      <c r="O20" s="1" t="s">
        <v>393</v>
      </c>
      <c r="P20" s="1" t="s">
        <v>393</v>
      </c>
      <c r="Q20" s="1" t="s">
        <v>393</v>
      </c>
      <c r="R20" s="1" t="s">
        <v>393</v>
      </c>
      <c r="S20" s="1" t="s">
        <v>393</v>
      </c>
      <c r="T20" s="1" t="s">
        <v>393</v>
      </c>
      <c r="U20" s="1" t="s">
        <v>393</v>
      </c>
      <c r="V20" s="1" t="s">
        <v>393</v>
      </c>
      <c r="W20" s="1" t="s">
        <v>393</v>
      </c>
      <c r="X20" s="1" t="s">
        <v>393</v>
      </c>
      <c r="Y20" s="1" t="s">
        <v>393</v>
      </c>
      <c r="Z20" s="1" t="s">
        <v>393</v>
      </c>
      <c r="AA20" s="1" t="s">
        <v>393</v>
      </c>
      <c r="AB20" s="1" t="s">
        <v>393</v>
      </c>
      <c r="AC20" s="1" t="s">
        <v>393</v>
      </c>
      <c r="AD20" s="1" t="s">
        <v>393</v>
      </c>
      <c r="AE20" s="1" t="s">
        <v>393</v>
      </c>
      <c r="AF20" s="1" t="s">
        <v>393</v>
      </c>
      <c r="AG20" s="1" t="s">
        <v>393</v>
      </c>
      <c r="AH20" s="1" t="s">
        <v>393</v>
      </c>
      <c r="AI20" s="1" t="s">
        <v>393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393</v>
      </c>
      <c r="E21" s="1" t="s">
        <v>393</v>
      </c>
      <c r="F21" s="1" t="s">
        <v>393</v>
      </c>
      <c r="G21" s="1" t="s">
        <v>393</v>
      </c>
      <c r="H21" s="1" t="s">
        <v>393</v>
      </c>
      <c r="I21" s="1" t="s">
        <v>393</v>
      </c>
      <c r="J21" s="1" t="s">
        <v>393</v>
      </c>
      <c r="K21" s="1" t="s">
        <v>393</v>
      </c>
      <c r="L21" s="1" t="s">
        <v>393</v>
      </c>
      <c r="M21" s="1" t="s">
        <v>393</v>
      </c>
      <c r="N21" s="1" t="s">
        <v>393</v>
      </c>
      <c r="O21" s="1" t="s">
        <v>393</v>
      </c>
      <c r="P21" s="1" t="s">
        <v>393</v>
      </c>
      <c r="Q21" s="1" t="s">
        <v>393</v>
      </c>
      <c r="R21" s="1" t="s">
        <v>393</v>
      </c>
      <c r="S21" s="1" t="s">
        <v>393</v>
      </c>
      <c r="T21" s="1" t="s">
        <v>393</v>
      </c>
      <c r="U21" s="1" t="s">
        <v>393</v>
      </c>
      <c r="V21" s="1" t="s">
        <v>393</v>
      </c>
      <c r="W21" s="1" t="s">
        <v>393</v>
      </c>
      <c r="X21" s="1" t="s">
        <v>393</v>
      </c>
      <c r="Y21" s="1" t="s">
        <v>393</v>
      </c>
      <c r="Z21" s="1" t="s">
        <v>393</v>
      </c>
      <c r="AA21" s="1" t="s">
        <v>393</v>
      </c>
      <c r="AB21" s="1" t="s">
        <v>393</v>
      </c>
      <c r="AC21" s="1" t="s">
        <v>393</v>
      </c>
      <c r="AD21" s="1" t="s">
        <v>393</v>
      </c>
      <c r="AE21" s="1" t="s">
        <v>393</v>
      </c>
      <c r="AF21" s="1" t="s">
        <v>1139</v>
      </c>
      <c r="AG21" s="1" t="s">
        <v>1139</v>
      </c>
      <c r="AH21" s="1" t="s">
        <v>393</v>
      </c>
      <c r="AI21" s="1" t="s">
        <v>1140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1141</v>
      </c>
      <c r="B1" s="1" t="s">
        <v>360</v>
      </c>
      <c r="C1" s="1" t="s">
        <v>1142</v>
      </c>
      <c r="D1" s="1" t="s">
        <v>1143</v>
      </c>
      <c r="E1" s="1" t="s">
        <v>1144</v>
      </c>
      <c r="F1" s="1" t="s">
        <v>1145</v>
      </c>
      <c r="G1" s="1" t="s">
        <v>1146</v>
      </c>
      <c r="H1" s="1" t="s">
        <v>1147</v>
      </c>
      <c r="I1" s="1" t="s">
        <v>1148</v>
      </c>
      <c r="J1" s="1" t="s">
        <v>1149</v>
      </c>
      <c r="K1" s="1" t="s">
        <v>1150</v>
      </c>
      <c r="L1" s="1" t="s">
        <v>1151</v>
      </c>
      <c r="M1" s="1" t="s">
        <v>1152</v>
      </c>
      <c r="N1" s="1" t="s">
        <v>1153</v>
      </c>
      <c r="O1" s="1" t="s">
        <v>362</v>
      </c>
      <c r="P1" s="1" t="s">
        <v>1154</v>
      </c>
      <c r="Q1" s="1" t="s">
        <v>1155</v>
      </c>
      <c r="R1" s="1" t="s">
        <v>1156</v>
      </c>
      <c r="S1" s="1" t="s">
        <v>1157</v>
      </c>
      <c r="T1" s="1" t="s">
        <v>1158</v>
      </c>
      <c r="U1" s="1" t="s">
        <v>1159</v>
      </c>
      <c r="V1" s="1" t="s">
        <v>1160</v>
      </c>
      <c r="W1" s="1" t="s">
        <v>1161</v>
      </c>
      <c r="X1" s="1" t="s">
        <v>1162</v>
      </c>
      <c r="Y1" s="1" t="s">
        <v>1163</v>
      </c>
      <c r="Z1" s="1" t="s">
        <v>1164</v>
      </c>
      <c r="AA1" s="1" t="s">
        <v>1165</v>
      </c>
      <c r="AB1" s="1" t="s">
        <v>1166</v>
      </c>
    </row>
    <row r="2" spans="1:29">
      <c r="A2" s="1" t="s">
        <v>1167</v>
      </c>
      <c r="B2" s="1" t="s">
        <v>363</v>
      </c>
      <c r="C2" s="1" t="s">
        <v>1168</v>
      </c>
      <c r="D2" s="1" t="s">
        <v>1169</v>
      </c>
      <c r="E2" s="1" t="s">
        <v>1170</v>
      </c>
      <c r="F2" s="1" t="s">
        <v>393</v>
      </c>
      <c r="G2" s="1" t="s">
        <v>393</v>
      </c>
      <c r="H2" s="1" t="s">
        <v>393</v>
      </c>
      <c r="I2" s="1" t="s">
        <v>393</v>
      </c>
      <c r="J2" s="1" t="s">
        <v>393</v>
      </c>
      <c r="K2" s="1" t="s">
        <v>393</v>
      </c>
      <c r="L2" s="1" t="s">
        <v>393</v>
      </c>
      <c r="M2" s="1" t="s">
        <v>393</v>
      </c>
      <c r="N2" s="1" t="s">
        <v>393</v>
      </c>
      <c r="O2" s="1" t="s">
        <v>1171</v>
      </c>
      <c r="P2" s="1" t="s">
        <v>1172</v>
      </c>
      <c r="Q2" s="1" t="s">
        <v>1173</v>
      </c>
      <c r="R2" s="1" t="s">
        <v>1174</v>
      </c>
      <c r="S2" s="1" t="s">
        <v>393</v>
      </c>
      <c r="T2" s="1" t="s">
        <v>393</v>
      </c>
      <c r="U2" s="1" t="s">
        <v>393</v>
      </c>
      <c r="V2" s="1" t="s">
        <v>393</v>
      </c>
      <c r="W2" s="1" t="s">
        <v>393</v>
      </c>
      <c r="X2" s="1" t="s">
        <v>393</v>
      </c>
      <c r="Y2" s="1" t="s">
        <v>393</v>
      </c>
      <c r="Z2" s="1" t="s">
        <v>393</v>
      </c>
      <c r="AA2" s="1" t="s">
        <v>393</v>
      </c>
      <c r="AB2" s="1" t="s">
        <v>1175</v>
      </c>
      <c r="AC2" s="502">
        <v>43045.229882731503</v>
      </c>
    </row>
    <row r="3" spans="1:29">
      <c r="A3" s="1" t="s">
        <v>1167</v>
      </c>
      <c r="B3" s="1" t="s">
        <v>396</v>
      </c>
      <c r="C3" s="1" t="s">
        <v>1176</v>
      </c>
      <c r="D3" s="1" t="s">
        <v>1177</v>
      </c>
      <c r="E3" s="1" t="s">
        <v>1178</v>
      </c>
      <c r="F3" s="1" t="s">
        <v>393</v>
      </c>
      <c r="G3" s="1" t="s">
        <v>393</v>
      </c>
      <c r="H3" s="1" t="s">
        <v>393</v>
      </c>
      <c r="I3" s="1" t="s">
        <v>393</v>
      </c>
      <c r="J3" s="1" t="s">
        <v>393</v>
      </c>
      <c r="K3" s="1" t="s">
        <v>393</v>
      </c>
      <c r="L3" s="1" t="s">
        <v>393</v>
      </c>
      <c r="M3" s="1" t="s">
        <v>393</v>
      </c>
      <c r="N3" s="1" t="s">
        <v>393</v>
      </c>
      <c r="O3" s="1" t="s">
        <v>1179</v>
      </c>
      <c r="P3" s="1" t="s">
        <v>1180</v>
      </c>
      <c r="Q3" s="1" t="s">
        <v>1181</v>
      </c>
      <c r="R3" s="1" t="s">
        <v>1182</v>
      </c>
      <c r="S3" s="1" t="s">
        <v>393</v>
      </c>
      <c r="T3" s="1" t="s">
        <v>393</v>
      </c>
      <c r="U3" s="1" t="s">
        <v>393</v>
      </c>
      <c r="V3" s="1" t="s">
        <v>393</v>
      </c>
      <c r="W3" s="1" t="s">
        <v>393</v>
      </c>
      <c r="X3" s="1" t="s">
        <v>393</v>
      </c>
      <c r="Y3" s="1" t="s">
        <v>393</v>
      </c>
      <c r="Z3" s="1" t="s">
        <v>393</v>
      </c>
      <c r="AA3" s="1" t="s">
        <v>393</v>
      </c>
      <c r="AB3" s="1" t="s">
        <v>1183</v>
      </c>
      <c r="AC3" s="502">
        <v>43045.229882731503</v>
      </c>
    </row>
    <row r="4" spans="1:29">
      <c r="A4" s="1" t="s">
        <v>1167</v>
      </c>
      <c r="B4" s="1" t="s">
        <v>425</v>
      </c>
      <c r="C4" s="1" t="s">
        <v>1184</v>
      </c>
      <c r="D4" s="1" t="s">
        <v>1185</v>
      </c>
      <c r="E4" s="1" t="s">
        <v>1186</v>
      </c>
      <c r="F4" s="1" t="s">
        <v>393</v>
      </c>
      <c r="G4" s="1" t="s">
        <v>393</v>
      </c>
      <c r="H4" s="1" t="s">
        <v>393</v>
      </c>
      <c r="I4" s="1" t="s">
        <v>393</v>
      </c>
      <c r="J4" s="1" t="s">
        <v>393</v>
      </c>
      <c r="K4" s="1" t="s">
        <v>393</v>
      </c>
      <c r="L4" s="1" t="s">
        <v>393</v>
      </c>
      <c r="M4" s="1" t="s">
        <v>393</v>
      </c>
      <c r="N4" s="1" t="s">
        <v>393</v>
      </c>
      <c r="O4" s="1" t="s">
        <v>1187</v>
      </c>
      <c r="P4" s="1" t="s">
        <v>1188</v>
      </c>
      <c r="Q4" s="1" t="s">
        <v>1189</v>
      </c>
      <c r="R4" s="1" t="s">
        <v>1190</v>
      </c>
      <c r="S4" s="1" t="s">
        <v>393</v>
      </c>
      <c r="T4" s="1" t="s">
        <v>393</v>
      </c>
      <c r="U4" s="1" t="s">
        <v>393</v>
      </c>
      <c r="V4" s="1" t="s">
        <v>393</v>
      </c>
      <c r="W4" s="1" t="s">
        <v>393</v>
      </c>
      <c r="X4" s="1" t="s">
        <v>393</v>
      </c>
      <c r="Y4" s="1" t="s">
        <v>393</v>
      </c>
      <c r="Z4" s="1" t="s">
        <v>393</v>
      </c>
      <c r="AA4" s="1" t="s">
        <v>393</v>
      </c>
      <c r="AB4" s="1" t="s">
        <v>1191</v>
      </c>
      <c r="AC4" s="502">
        <v>43045.229882731503</v>
      </c>
    </row>
    <row r="5" spans="1:29">
      <c r="A5" s="1" t="s">
        <v>1167</v>
      </c>
      <c r="B5" s="1" t="s">
        <v>452</v>
      </c>
      <c r="C5" s="1" t="s">
        <v>1192</v>
      </c>
      <c r="D5" s="1" t="s">
        <v>1193</v>
      </c>
      <c r="E5" s="1" t="s">
        <v>1194</v>
      </c>
      <c r="F5" s="1" t="s">
        <v>393</v>
      </c>
      <c r="G5" s="1" t="s">
        <v>393</v>
      </c>
      <c r="H5" s="1" t="s">
        <v>393</v>
      </c>
      <c r="I5" s="1" t="s">
        <v>393</v>
      </c>
      <c r="J5" s="1" t="s">
        <v>393</v>
      </c>
      <c r="K5" s="1" t="s">
        <v>393</v>
      </c>
      <c r="L5" s="1" t="s">
        <v>393</v>
      </c>
      <c r="M5" s="1" t="s">
        <v>393</v>
      </c>
      <c r="N5" s="1" t="s">
        <v>393</v>
      </c>
      <c r="O5" s="1" t="s">
        <v>1195</v>
      </c>
      <c r="P5" s="1" t="s">
        <v>1196</v>
      </c>
      <c r="Q5" s="1" t="s">
        <v>1197</v>
      </c>
      <c r="R5" s="1" t="s">
        <v>1198</v>
      </c>
      <c r="S5" s="1" t="s">
        <v>393</v>
      </c>
      <c r="T5" s="1" t="s">
        <v>393</v>
      </c>
      <c r="U5" s="1" t="s">
        <v>393</v>
      </c>
      <c r="V5" s="1" t="s">
        <v>393</v>
      </c>
      <c r="W5" s="1" t="s">
        <v>393</v>
      </c>
      <c r="X5" s="1" t="s">
        <v>393</v>
      </c>
      <c r="Y5" s="1" t="s">
        <v>393</v>
      </c>
      <c r="Z5" s="1" t="s">
        <v>393</v>
      </c>
      <c r="AA5" s="1" t="s">
        <v>393</v>
      </c>
      <c r="AB5" s="1" t="s">
        <v>1199</v>
      </c>
      <c r="AC5" s="502">
        <v>43045.229882731503</v>
      </c>
    </row>
    <row r="6" spans="1:29">
      <c r="A6" s="1" t="s">
        <v>1167</v>
      </c>
      <c r="B6" s="1" t="s">
        <v>479</v>
      </c>
      <c r="C6" s="1" t="s">
        <v>1200</v>
      </c>
      <c r="D6" s="1" t="s">
        <v>1201</v>
      </c>
      <c r="E6" s="1" t="s">
        <v>1202</v>
      </c>
      <c r="F6" s="1" t="s">
        <v>393</v>
      </c>
      <c r="G6" s="1" t="s">
        <v>393</v>
      </c>
      <c r="H6" s="1" t="s">
        <v>393</v>
      </c>
      <c r="I6" s="1" t="s">
        <v>393</v>
      </c>
      <c r="J6" s="1" t="s">
        <v>393</v>
      </c>
      <c r="K6" s="1" t="s">
        <v>393</v>
      </c>
      <c r="L6" s="1" t="s">
        <v>393</v>
      </c>
      <c r="M6" s="1" t="s">
        <v>393</v>
      </c>
      <c r="N6" s="1" t="s">
        <v>393</v>
      </c>
      <c r="O6" s="1" t="s">
        <v>1203</v>
      </c>
      <c r="P6" s="1" t="s">
        <v>1204</v>
      </c>
      <c r="Q6" s="1" t="s">
        <v>1205</v>
      </c>
      <c r="R6" s="1" t="s">
        <v>1206</v>
      </c>
      <c r="S6" s="1" t="s">
        <v>393</v>
      </c>
      <c r="T6" s="1" t="s">
        <v>393</v>
      </c>
      <c r="U6" s="1" t="s">
        <v>393</v>
      </c>
      <c r="V6" s="1" t="s">
        <v>393</v>
      </c>
      <c r="W6" s="1" t="s">
        <v>393</v>
      </c>
      <c r="X6" s="1" t="s">
        <v>393</v>
      </c>
      <c r="Y6" s="1" t="s">
        <v>393</v>
      </c>
      <c r="Z6" s="1" t="s">
        <v>393</v>
      </c>
      <c r="AA6" s="1" t="s">
        <v>393</v>
      </c>
      <c r="AB6" s="1" t="s">
        <v>1207</v>
      </c>
      <c r="AC6" s="502">
        <v>43045.229882731503</v>
      </c>
    </row>
    <row r="7" spans="1:29">
      <c r="A7" s="1" t="s">
        <v>1167</v>
      </c>
      <c r="B7" s="1" t="s">
        <v>508</v>
      </c>
      <c r="C7" s="1" t="s">
        <v>393</v>
      </c>
      <c r="D7" s="1" t="s">
        <v>393</v>
      </c>
      <c r="E7" s="1" t="s">
        <v>393</v>
      </c>
      <c r="F7" s="1" t="s">
        <v>393</v>
      </c>
      <c r="G7" s="1" t="s">
        <v>393</v>
      </c>
      <c r="H7" s="1" t="s">
        <v>393</v>
      </c>
      <c r="I7" s="1" t="s">
        <v>393</v>
      </c>
      <c r="J7" s="1" t="s">
        <v>393</v>
      </c>
      <c r="K7" s="1" t="s">
        <v>393</v>
      </c>
      <c r="L7" s="1" t="s">
        <v>393</v>
      </c>
      <c r="M7" s="1" t="s">
        <v>393</v>
      </c>
      <c r="N7" s="1" t="s">
        <v>393</v>
      </c>
      <c r="O7" s="1" t="s">
        <v>393</v>
      </c>
      <c r="P7" s="1" t="s">
        <v>393</v>
      </c>
      <c r="Q7" s="1" t="s">
        <v>393</v>
      </c>
      <c r="R7" s="1" t="s">
        <v>393</v>
      </c>
      <c r="S7" s="1" t="s">
        <v>393</v>
      </c>
      <c r="T7" s="1" t="s">
        <v>393</v>
      </c>
      <c r="U7" s="1" t="s">
        <v>393</v>
      </c>
      <c r="V7" s="1" t="s">
        <v>393</v>
      </c>
      <c r="W7" s="1" t="s">
        <v>393</v>
      </c>
      <c r="X7" s="1" t="s">
        <v>393</v>
      </c>
      <c r="Y7" s="1" t="s">
        <v>393</v>
      </c>
      <c r="Z7" s="1" t="s">
        <v>393</v>
      </c>
      <c r="AA7" s="1" t="s">
        <v>393</v>
      </c>
      <c r="AB7" s="1" t="s">
        <v>393</v>
      </c>
      <c r="AC7" s="502">
        <v>43045.229882731503</v>
      </c>
    </row>
    <row r="8" spans="1:29">
      <c r="A8" s="1" t="s">
        <v>1167</v>
      </c>
      <c r="B8" s="1" t="s">
        <v>509</v>
      </c>
      <c r="C8" s="1" t="s">
        <v>1208</v>
      </c>
      <c r="D8" s="1" t="s">
        <v>1209</v>
      </c>
      <c r="E8" s="1" t="s">
        <v>1210</v>
      </c>
      <c r="F8" s="1" t="s">
        <v>393</v>
      </c>
      <c r="G8" s="1" t="s">
        <v>393</v>
      </c>
      <c r="H8" s="1" t="s">
        <v>393</v>
      </c>
      <c r="I8" s="1" t="s">
        <v>393</v>
      </c>
      <c r="J8" s="1" t="s">
        <v>393</v>
      </c>
      <c r="K8" s="1" t="s">
        <v>393</v>
      </c>
      <c r="L8" s="1" t="s">
        <v>393</v>
      </c>
      <c r="M8" s="1" t="s">
        <v>393</v>
      </c>
      <c r="N8" s="1" t="s">
        <v>393</v>
      </c>
      <c r="O8" s="1" t="s">
        <v>1211</v>
      </c>
      <c r="P8" s="1" t="s">
        <v>1212</v>
      </c>
      <c r="Q8" s="1" t="s">
        <v>1213</v>
      </c>
      <c r="R8" s="1" t="s">
        <v>1214</v>
      </c>
      <c r="S8" s="1" t="s">
        <v>393</v>
      </c>
      <c r="T8" s="1" t="s">
        <v>393</v>
      </c>
      <c r="U8" s="1" t="s">
        <v>393</v>
      </c>
      <c r="V8" s="1" t="s">
        <v>393</v>
      </c>
      <c r="W8" s="1" t="s">
        <v>393</v>
      </c>
      <c r="X8" s="1" t="s">
        <v>393</v>
      </c>
      <c r="Y8" s="1" t="s">
        <v>393</v>
      </c>
      <c r="Z8" s="1" t="s">
        <v>393</v>
      </c>
      <c r="AA8" s="1" t="s">
        <v>393</v>
      </c>
      <c r="AB8" s="1" t="s">
        <v>1215</v>
      </c>
      <c r="AC8" s="502">
        <v>43045.229882731503</v>
      </c>
    </row>
    <row r="9" spans="1:29">
      <c r="A9" s="1" t="s">
        <v>1167</v>
      </c>
      <c r="B9" s="1" t="s">
        <v>536</v>
      </c>
      <c r="C9" s="1" t="s">
        <v>393</v>
      </c>
      <c r="D9" s="1" t="s">
        <v>393</v>
      </c>
      <c r="E9" s="1" t="s">
        <v>393</v>
      </c>
      <c r="F9" s="1" t="s">
        <v>393</v>
      </c>
      <c r="G9" s="1" t="s">
        <v>393</v>
      </c>
      <c r="H9" s="1" t="s">
        <v>393</v>
      </c>
      <c r="I9" s="1" t="s">
        <v>393</v>
      </c>
      <c r="J9" s="1" t="s">
        <v>393</v>
      </c>
      <c r="K9" s="1" t="s">
        <v>393</v>
      </c>
      <c r="L9" s="1" t="s">
        <v>393</v>
      </c>
      <c r="M9" s="1" t="s">
        <v>393</v>
      </c>
      <c r="N9" s="1" t="s">
        <v>393</v>
      </c>
      <c r="O9" s="1" t="s">
        <v>393</v>
      </c>
      <c r="P9" s="1" t="s">
        <v>393</v>
      </c>
      <c r="Q9" s="1" t="s">
        <v>393</v>
      </c>
      <c r="R9" s="1" t="s">
        <v>393</v>
      </c>
      <c r="S9" s="1" t="s">
        <v>393</v>
      </c>
      <c r="T9" s="1" t="s">
        <v>393</v>
      </c>
      <c r="U9" s="1" t="s">
        <v>393</v>
      </c>
      <c r="V9" s="1" t="s">
        <v>393</v>
      </c>
      <c r="W9" s="1" t="s">
        <v>393</v>
      </c>
      <c r="X9" s="1" t="s">
        <v>393</v>
      </c>
      <c r="Y9" s="1" t="s">
        <v>393</v>
      </c>
      <c r="Z9" s="1" t="s">
        <v>393</v>
      </c>
      <c r="AA9" s="1" t="s">
        <v>393</v>
      </c>
      <c r="AB9" s="1" t="s">
        <v>393</v>
      </c>
      <c r="AC9" s="502">
        <v>43045.229882731503</v>
      </c>
    </row>
    <row r="10" spans="1:29">
      <c r="A10" s="1" t="s">
        <v>1167</v>
      </c>
      <c r="B10" s="1" t="s">
        <v>537</v>
      </c>
      <c r="C10" s="1" t="s">
        <v>1216</v>
      </c>
      <c r="D10" s="1" t="s">
        <v>1217</v>
      </c>
      <c r="E10" s="1" t="s">
        <v>1218</v>
      </c>
      <c r="F10" s="1" t="s">
        <v>393</v>
      </c>
      <c r="G10" s="1" t="s">
        <v>393</v>
      </c>
      <c r="H10" s="1" t="s">
        <v>393</v>
      </c>
      <c r="I10" s="1" t="s">
        <v>393</v>
      </c>
      <c r="J10" s="1" t="s">
        <v>393</v>
      </c>
      <c r="K10" s="1" t="s">
        <v>393</v>
      </c>
      <c r="L10" s="1" t="s">
        <v>393</v>
      </c>
      <c r="M10" s="1" t="s">
        <v>393</v>
      </c>
      <c r="N10" s="1" t="s">
        <v>393</v>
      </c>
      <c r="O10" s="1" t="s">
        <v>1219</v>
      </c>
      <c r="P10" s="1" t="s">
        <v>1220</v>
      </c>
      <c r="Q10" s="1" t="s">
        <v>1221</v>
      </c>
      <c r="R10" s="1" t="s">
        <v>1222</v>
      </c>
      <c r="S10" s="1" t="s">
        <v>393</v>
      </c>
      <c r="T10" s="1" t="s">
        <v>393</v>
      </c>
      <c r="U10" s="1" t="s">
        <v>393</v>
      </c>
      <c r="V10" s="1" t="s">
        <v>393</v>
      </c>
      <c r="W10" s="1" t="s">
        <v>393</v>
      </c>
      <c r="X10" s="1" t="s">
        <v>393</v>
      </c>
      <c r="Y10" s="1" t="s">
        <v>393</v>
      </c>
      <c r="Z10" s="1" t="s">
        <v>393</v>
      </c>
      <c r="AA10" s="1" t="s">
        <v>393</v>
      </c>
      <c r="AB10" s="1" t="s">
        <v>1223</v>
      </c>
      <c r="AC10" s="502">
        <v>43045.229882731503</v>
      </c>
    </row>
    <row r="11" spans="1:29">
      <c r="A11" s="1" t="s">
        <v>1167</v>
      </c>
      <c r="B11" s="1" t="s">
        <v>564</v>
      </c>
      <c r="C11" s="1" t="s">
        <v>566</v>
      </c>
      <c r="D11" s="1" t="s">
        <v>566</v>
      </c>
      <c r="E11" s="1" t="s">
        <v>1224</v>
      </c>
      <c r="F11" s="1" t="s">
        <v>393</v>
      </c>
      <c r="G11" s="1" t="s">
        <v>393</v>
      </c>
      <c r="H11" s="1" t="s">
        <v>393</v>
      </c>
      <c r="I11" s="1" t="s">
        <v>393</v>
      </c>
      <c r="J11" s="1" t="s">
        <v>393</v>
      </c>
      <c r="K11" s="1" t="s">
        <v>393</v>
      </c>
      <c r="L11" s="1" t="s">
        <v>393</v>
      </c>
      <c r="M11" s="1" t="s">
        <v>393</v>
      </c>
      <c r="N11" s="1" t="s">
        <v>393</v>
      </c>
      <c r="O11" s="1" t="s">
        <v>1225</v>
      </c>
      <c r="P11" s="1" t="s">
        <v>566</v>
      </c>
      <c r="Q11" s="1" t="s">
        <v>566</v>
      </c>
      <c r="R11" s="1" t="s">
        <v>565</v>
      </c>
      <c r="S11" s="1" t="s">
        <v>393</v>
      </c>
      <c r="T11" s="1" t="s">
        <v>393</v>
      </c>
      <c r="U11" s="1" t="s">
        <v>393</v>
      </c>
      <c r="V11" s="1" t="s">
        <v>393</v>
      </c>
      <c r="W11" s="1" t="s">
        <v>393</v>
      </c>
      <c r="X11" s="1" t="s">
        <v>393</v>
      </c>
      <c r="Y11" s="1" t="s">
        <v>393</v>
      </c>
      <c r="Z11" s="1" t="s">
        <v>393</v>
      </c>
      <c r="AA11" s="1" t="s">
        <v>393</v>
      </c>
      <c r="AB11" s="1" t="s">
        <v>1226</v>
      </c>
      <c r="AC11" s="502">
        <v>43045.229882731503</v>
      </c>
    </row>
    <row r="12" spans="1:29">
      <c r="A12" s="1" t="s">
        <v>1167</v>
      </c>
      <c r="B12" s="1" t="s">
        <v>569</v>
      </c>
      <c r="C12" s="1" t="s">
        <v>393</v>
      </c>
      <c r="D12" s="1" t="s">
        <v>393</v>
      </c>
      <c r="E12" s="1" t="s">
        <v>393</v>
      </c>
      <c r="F12" s="1" t="s">
        <v>393</v>
      </c>
      <c r="G12" s="1" t="s">
        <v>393</v>
      </c>
      <c r="H12" s="1" t="s">
        <v>393</v>
      </c>
      <c r="I12" s="1" t="s">
        <v>393</v>
      </c>
      <c r="J12" s="1" t="s">
        <v>393</v>
      </c>
      <c r="K12" s="1" t="s">
        <v>393</v>
      </c>
      <c r="L12" s="1" t="s">
        <v>393</v>
      </c>
      <c r="M12" s="1" t="s">
        <v>393</v>
      </c>
      <c r="N12" s="1" t="s">
        <v>393</v>
      </c>
      <c r="O12" s="1" t="s">
        <v>393</v>
      </c>
      <c r="P12" s="1" t="s">
        <v>393</v>
      </c>
      <c r="Q12" s="1" t="s">
        <v>393</v>
      </c>
      <c r="R12" s="1" t="s">
        <v>393</v>
      </c>
      <c r="S12" s="1" t="s">
        <v>393</v>
      </c>
      <c r="T12" s="1" t="s">
        <v>393</v>
      </c>
      <c r="U12" s="1" t="s">
        <v>393</v>
      </c>
      <c r="V12" s="1" t="s">
        <v>393</v>
      </c>
      <c r="W12" s="1" t="s">
        <v>393</v>
      </c>
      <c r="X12" s="1" t="s">
        <v>393</v>
      </c>
      <c r="Y12" s="1" t="s">
        <v>393</v>
      </c>
      <c r="Z12" s="1" t="s">
        <v>393</v>
      </c>
      <c r="AA12" s="1" t="s">
        <v>393</v>
      </c>
      <c r="AB12" s="1" t="s">
        <v>393</v>
      </c>
      <c r="AC12" s="502">
        <v>43045.229882731503</v>
      </c>
    </row>
    <row r="13" spans="1:29">
      <c r="A13" s="1" t="s">
        <v>1167</v>
      </c>
      <c r="B13" s="1" t="s">
        <v>570</v>
      </c>
      <c r="C13" s="1" t="s">
        <v>1227</v>
      </c>
      <c r="D13" s="1" t="s">
        <v>1228</v>
      </c>
      <c r="E13" s="1" t="s">
        <v>1229</v>
      </c>
      <c r="F13" s="1" t="s">
        <v>393</v>
      </c>
      <c r="G13" s="1" t="s">
        <v>393</v>
      </c>
      <c r="H13" s="1" t="s">
        <v>393</v>
      </c>
      <c r="I13" s="1" t="s">
        <v>393</v>
      </c>
      <c r="J13" s="1" t="s">
        <v>393</v>
      </c>
      <c r="K13" s="1" t="s">
        <v>393</v>
      </c>
      <c r="L13" s="1" t="s">
        <v>393</v>
      </c>
      <c r="M13" s="1" t="s">
        <v>393</v>
      </c>
      <c r="N13" s="1" t="s">
        <v>393</v>
      </c>
      <c r="O13" s="1" t="s">
        <v>1230</v>
      </c>
      <c r="P13" s="1" t="s">
        <v>1231</v>
      </c>
      <c r="Q13" s="1" t="s">
        <v>1232</v>
      </c>
      <c r="R13" s="1" t="s">
        <v>1233</v>
      </c>
      <c r="S13" s="1" t="s">
        <v>393</v>
      </c>
      <c r="T13" s="1" t="s">
        <v>393</v>
      </c>
      <c r="U13" s="1" t="s">
        <v>393</v>
      </c>
      <c r="V13" s="1" t="s">
        <v>393</v>
      </c>
      <c r="W13" s="1" t="s">
        <v>393</v>
      </c>
      <c r="X13" s="1" t="s">
        <v>393</v>
      </c>
      <c r="Y13" s="1" t="s">
        <v>393</v>
      </c>
      <c r="Z13" s="1" t="s">
        <v>393</v>
      </c>
      <c r="AA13" s="1" t="s">
        <v>393</v>
      </c>
      <c r="AB13" s="1" t="s">
        <v>1234</v>
      </c>
      <c r="AC13" s="502">
        <v>43045.229882731503</v>
      </c>
    </row>
    <row r="14" spans="1:29">
      <c r="A14" s="1" t="s">
        <v>1167</v>
      </c>
      <c r="B14" s="1" t="s">
        <v>597</v>
      </c>
      <c r="C14" s="1" t="s">
        <v>1235</v>
      </c>
      <c r="D14" s="1" t="s">
        <v>1236</v>
      </c>
      <c r="E14" s="1" t="s">
        <v>1237</v>
      </c>
      <c r="F14" s="1" t="s">
        <v>393</v>
      </c>
      <c r="G14" s="1" t="s">
        <v>393</v>
      </c>
      <c r="H14" s="1" t="s">
        <v>393</v>
      </c>
      <c r="I14" s="1" t="s">
        <v>393</v>
      </c>
      <c r="J14" s="1" t="s">
        <v>393</v>
      </c>
      <c r="K14" s="1" t="s">
        <v>393</v>
      </c>
      <c r="L14" s="1" t="s">
        <v>393</v>
      </c>
      <c r="M14" s="1" t="s">
        <v>393</v>
      </c>
      <c r="N14" s="1" t="s">
        <v>393</v>
      </c>
      <c r="O14" s="1" t="s">
        <v>1238</v>
      </c>
      <c r="P14" s="1" t="s">
        <v>1239</v>
      </c>
      <c r="Q14" s="1" t="s">
        <v>1240</v>
      </c>
      <c r="R14" s="1" t="s">
        <v>1241</v>
      </c>
      <c r="S14" s="1" t="s">
        <v>393</v>
      </c>
      <c r="T14" s="1" t="s">
        <v>393</v>
      </c>
      <c r="U14" s="1" t="s">
        <v>393</v>
      </c>
      <c r="V14" s="1" t="s">
        <v>393</v>
      </c>
      <c r="W14" s="1" t="s">
        <v>393</v>
      </c>
      <c r="X14" s="1" t="s">
        <v>393</v>
      </c>
      <c r="Y14" s="1" t="s">
        <v>393</v>
      </c>
      <c r="Z14" s="1" t="s">
        <v>393</v>
      </c>
      <c r="AA14" s="1" t="s">
        <v>393</v>
      </c>
      <c r="AB14" s="1" t="s">
        <v>1242</v>
      </c>
      <c r="AC14" s="502">
        <v>43045.229882731503</v>
      </c>
    </row>
    <row r="15" spans="1:29">
      <c r="A15" s="1" t="s">
        <v>1167</v>
      </c>
      <c r="B15" s="1" t="s">
        <v>621</v>
      </c>
      <c r="C15" s="1" t="s">
        <v>1243</v>
      </c>
      <c r="D15" s="1" t="s">
        <v>1244</v>
      </c>
      <c r="E15" s="1" t="s">
        <v>1245</v>
      </c>
      <c r="F15" s="1" t="s">
        <v>393</v>
      </c>
      <c r="G15" s="1" t="s">
        <v>393</v>
      </c>
      <c r="H15" s="1" t="s">
        <v>393</v>
      </c>
      <c r="I15" s="1" t="s">
        <v>393</v>
      </c>
      <c r="J15" s="1" t="s">
        <v>393</v>
      </c>
      <c r="K15" s="1" t="s">
        <v>393</v>
      </c>
      <c r="L15" s="1" t="s">
        <v>393</v>
      </c>
      <c r="M15" s="1" t="s">
        <v>393</v>
      </c>
      <c r="N15" s="1" t="s">
        <v>393</v>
      </c>
      <c r="O15" s="1" t="s">
        <v>1246</v>
      </c>
      <c r="P15" s="1" t="s">
        <v>622</v>
      </c>
      <c r="Q15" s="1" t="s">
        <v>1247</v>
      </c>
      <c r="R15" s="1" t="s">
        <v>622</v>
      </c>
      <c r="S15" s="1" t="s">
        <v>393</v>
      </c>
      <c r="T15" s="1" t="s">
        <v>393</v>
      </c>
      <c r="U15" s="1" t="s">
        <v>393</v>
      </c>
      <c r="V15" s="1" t="s">
        <v>393</v>
      </c>
      <c r="W15" s="1" t="s">
        <v>393</v>
      </c>
      <c r="X15" s="1" t="s">
        <v>393</v>
      </c>
      <c r="Y15" s="1" t="s">
        <v>393</v>
      </c>
      <c r="Z15" s="1" t="s">
        <v>393</v>
      </c>
      <c r="AA15" s="1" t="s">
        <v>393</v>
      </c>
      <c r="AB15" s="1" t="s">
        <v>1248</v>
      </c>
      <c r="AC15" s="502">
        <v>43045.229882731503</v>
      </c>
    </row>
    <row r="16" spans="1:29">
      <c r="A16" s="1" t="s">
        <v>1167</v>
      </c>
      <c r="B16" s="1" t="s">
        <v>1249</v>
      </c>
      <c r="C16" s="1" t="s">
        <v>393</v>
      </c>
      <c r="D16" s="1" t="s">
        <v>393</v>
      </c>
      <c r="E16" s="1" t="s">
        <v>393</v>
      </c>
      <c r="F16" s="1" t="s">
        <v>393</v>
      </c>
      <c r="G16" s="1" t="s">
        <v>393</v>
      </c>
      <c r="H16" s="1" t="s">
        <v>393</v>
      </c>
      <c r="I16" s="1" t="s">
        <v>393</v>
      </c>
      <c r="J16" s="1" t="s">
        <v>393</v>
      </c>
      <c r="K16" s="1" t="s">
        <v>393</v>
      </c>
      <c r="L16" s="1" t="s">
        <v>393</v>
      </c>
      <c r="M16" s="1" t="s">
        <v>393</v>
      </c>
      <c r="N16" s="1" t="s">
        <v>393</v>
      </c>
      <c r="O16" s="1" t="s">
        <v>393</v>
      </c>
      <c r="P16" s="1" t="s">
        <v>393</v>
      </c>
      <c r="Q16" s="1" t="s">
        <v>393</v>
      </c>
      <c r="R16" s="1" t="s">
        <v>393</v>
      </c>
      <c r="S16" s="1" t="s">
        <v>393</v>
      </c>
      <c r="T16" s="1" t="s">
        <v>393</v>
      </c>
      <c r="U16" s="1" t="s">
        <v>393</v>
      </c>
      <c r="V16" s="1" t="s">
        <v>393</v>
      </c>
      <c r="W16" s="1" t="s">
        <v>393</v>
      </c>
      <c r="X16" s="1" t="s">
        <v>393</v>
      </c>
      <c r="Y16" s="1" t="s">
        <v>393</v>
      </c>
      <c r="Z16" s="1" t="s">
        <v>393</v>
      </c>
      <c r="AA16" s="1" t="s">
        <v>393</v>
      </c>
      <c r="AB16" s="1" t="s">
        <v>393</v>
      </c>
      <c r="AC16" s="502">
        <v>43045.229882731503</v>
      </c>
    </row>
    <row r="17" spans="1:29">
      <c r="A17" s="1" t="s">
        <v>1167</v>
      </c>
      <c r="B17" s="1" t="s">
        <v>629</v>
      </c>
      <c r="C17" s="1" t="s">
        <v>1250</v>
      </c>
      <c r="D17" s="1" t="s">
        <v>1251</v>
      </c>
      <c r="E17" s="1" t="s">
        <v>1252</v>
      </c>
      <c r="F17" s="1" t="s">
        <v>393</v>
      </c>
      <c r="G17" s="1" t="s">
        <v>393</v>
      </c>
      <c r="H17" s="1" t="s">
        <v>393</v>
      </c>
      <c r="I17" s="1" t="s">
        <v>393</v>
      </c>
      <c r="J17" s="1" t="s">
        <v>393</v>
      </c>
      <c r="K17" s="1" t="s">
        <v>393</v>
      </c>
      <c r="L17" s="1" t="s">
        <v>393</v>
      </c>
      <c r="M17" s="1" t="s">
        <v>393</v>
      </c>
      <c r="N17" s="1" t="s">
        <v>393</v>
      </c>
      <c r="O17" s="1" t="s">
        <v>1253</v>
      </c>
      <c r="P17" s="1" t="s">
        <v>1254</v>
      </c>
      <c r="Q17" s="1" t="s">
        <v>1255</v>
      </c>
      <c r="R17" s="1" t="s">
        <v>1256</v>
      </c>
      <c r="S17" s="1" t="s">
        <v>393</v>
      </c>
      <c r="T17" s="1" t="s">
        <v>393</v>
      </c>
      <c r="U17" s="1" t="s">
        <v>393</v>
      </c>
      <c r="V17" s="1" t="s">
        <v>393</v>
      </c>
      <c r="W17" s="1" t="s">
        <v>393</v>
      </c>
      <c r="X17" s="1" t="s">
        <v>393</v>
      </c>
      <c r="Y17" s="1" t="s">
        <v>393</v>
      </c>
      <c r="Z17" s="1" t="s">
        <v>393</v>
      </c>
      <c r="AA17" s="1" t="s">
        <v>393</v>
      </c>
      <c r="AB17" s="1" t="s">
        <v>1257</v>
      </c>
      <c r="AC17" s="502">
        <v>43045.229882731503</v>
      </c>
    </row>
    <row r="18" spans="1:29">
      <c r="A18" s="1" t="s">
        <v>1167</v>
      </c>
      <c r="B18" s="501" t="s">
        <v>656</v>
      </c>
      <c r="C18" s="1" t="s">
        <v>1258</v>
      </c>
      <c r="D18" s="1" t="s">
        <v>1259</v>
      </c>
      <c r="E18" s="1" t="s">
        <v>1260</v>
      </c>
      <c r="F18" s="1" t="s">
        <v>393</v>
      </c>
      <c r="G18" s="1" t="s">
        <v>393</v>
      </c>
      <c r="H18" s="1" t="s">
        <v>393</v>
      </c>
      <c r="I18" s="1" t="s">
        <v>393</v>
      </c>
      <c r="J18" s="1" t="s">
        <v>393</v>
      </c>
      <c r="K18" s="1" t="s">
        <v>393</v>
      </c>
      <c r="L18" s="1" t="s">
        <v>393</v>
      </c>
      <c r="M18" s="1" t="s">
        <v>393</v>
      </c>
      <c r="N18" s="1" t="s">
        <v>393</v>
      </c>
      <c r="O18" s="1" t="s">
        <v>1261</v>
      </c>
      <c r="P18" s="1" t="s">
        <v>1262</v>
      </c>
      <c r="Q18" s="1" t="s">
        <v>1263</v>
      </c>
      <c r="R18" s="1" t="s">
        <v>1264</v>
      </c>
      <c r="S18" s="1" t="s">
        <v>393</v>
      </c>
      <c r="T18" s="1" t="s">
        <v>393</v>
      </c>
      <c r="U18" s="1" t="s">
        <v>393</v>
      </c>
      <c r="V18" s="1" t="s">
        <v>393</v>
      </c>
      <c r="W18" s="1" t="s">
        <v>393</v>
      </c>
      <c r="X18" s="1" t="s">
        <v>393</v>
      </c>
      <c r="Y18" s="1" t="s">
        <v>393</v>
      </c>
      <c r="Z18" s="1" t="s">
        <v>393</v>
      </c>
      <c r="AA18" s="1" t="s">
        <v>393</v>
      </c>
      <c r="AB18" s="1" t="s">
        <v>1265</v>
      </c>
      <c r="AC18" s="502">
        <v>43045.229882731503</v>
      </c>
    </row>
    <row r="19" spans="1:29">
      <c r="A19" s="1" t="s">
        <v>1167</v>
      </c>
      <c r="B19" s="1" t="s">
        <v>683</v>
      </c>
      <c r="C19" s="1" t="s">
        <v>1266</v>
      </c>
      <c r="D19" s="1" t="s">
        <v>1267</v>
      </c>
      <c r="E19" s="1" t="s">
        <v>1268</v>
      </c>
      <c r="F19" s="1" t="s">
        <v>393</v>
      </c>
      <c r="G19" s="1" t="s">
        <v>393</v>
      </c>
      <c r="H19" s="1" t="s">
        <v>393</v>
      </c>
      <c r="I19" s="1" t="s">
        <v>393</v>
      </c>
      <c r="J19" s="1" t="s">
        <v>393</v>
      </c>
      <c r="K19" s="1" t="s">
        <v>393</v>
      </c>
      <c r="L19" s="1" t="s">
        <v>393</v>
      </c>
      <c r="M19" s="1" t="s">
        <v>393</v>
      </c>
      <c r="N19" s="1" t="s">
        <v>393</v>
      </c>
      <c r="O19" s="1" t="s">
        <v>1269</v>
      </c>
      <c r="P19" s="1" t="s">
        <v>1270</v>
      </c>
      <c r="Q19" s="1" t="s">
        <v>1271</v>
      </c>
      <c r="R19" s="1" t="s">
        <v>1272</v>
      </c>
      <c r="S19" s="1" t="s">
        <v>393</v>
      </c>
      <c r="T19" s="1" t="s">
        <v>393</v>
      </c>
      <c r="U19" s="1" t="s">
        <v>393</v>
      </c>
      <c r="V19" s="1" t="s">
        <v>393</v>
      </c>
      <c r="W19" s="1" t="s">
        <v>393</v>
      </c>
      <c r="X19" s="1" t="s">
        <v>393</v>
      </c>
      <c r="Y19" s="1" t="s">
        <v>393</v>
      </c>
      <c r="Z19" s="1" t="s">
        <v>393</v>
      </c>
      <c r="AA19" s="1" t="s">
        <v>393</v>
      </c>
      <c r="AB19" s="1" t="s">
        <v>1273</v>
      </c>
      <c r="AC19" s="502">
        <v>43045.229882731503</v>
      </c>
    </row>
    <row r="20" spans="1:29">
      <c r="A20" s="1" t="s">
        <v>1167</v>
      </c>
      <c r="B20" s="1" t="s">
        <v>710</v>
      </c>
      <c r="C20" s="1" t="s">
        <v>711</v>
      </c>
      <c r="D20" s="1" t="s">
        <v>711</v>
      </c>
      <c r="E20" s="1" t="s">
        <v>711</v>
      </c>
      <c r="F20" s="1" t="s">
        <v>393</v>
      </c>
      <c r="G20" s="1" t="s">
        <v>393</v>
      </c>
      <c r="H20" s="1" t="s">
        <v>393</v>
      </c>
      <c r="I20" s="1" t="s">
        <v>393</v>
      </c>
      <c r="J20" s="1" t="s">
        <v>393</v>
      </c>
      <c r="K20" s="1" t="s">
        <v>393</v>
      </c>
      <c r="L20" s="1" t="s">
        <v>393</v>
      </c>
      <c r="M20" s="1" t="s">
        <v>393</v>
      </c>
      <c r="N20" s="1" t="s">
        <v>393</v>
      </c>
      <c r="O20" s="1" t="s">
        <v>711</v>
      </c>
      <c r="P20" s="1" t="s">
        <v>711</v>
      </c>
      <c r="Q20" s="1" t="s">
        <v>711</v>
      </c>
      <c r="R20" s="1" t="s">
        <v>711</v>
      </c>
      <c r="S20" s="1" t="s">
        <v>393</v>
      </c>
      <c r="T20" s="1" t="s">
        <v>393</v>
      </c>
      <c r="U20" s="1" t="s">
        <v>393</v>
      </c>
      <c r="V20" s="1" t="s">
        <v>393</v>
      </c>
      <c r="W20" s="1" t="s">
        <v>393</v>
      </c>
      <c r="X20" s="1" t="s">
        <v>393</v>
      </c>
      <c r="Y20" s="1" t="s">
        <v>393</v>
      </c>
      <c r="Z20" s="1" t="s">
        <v>393</v>
      </c>
      <c r="AA20" s="1" t="s">
        <v>393</v>
      </c>
      <c r="AB20" s="1" t="s">
        <v>711</v>
      </c>
      <c r="AC20" s="502">
        <v>43045.229882731503</v>
      </c>
    </row>
    <row r="21" spans="1:29">
      <c r="A21" s="1" t="s">
        <v>1167</v>
      </c>
      <c r="B21" s="1" t="s">
        <v>712</v>
      </c>
      <c r="C21" s="1" t="s">
        <v>713</v>
      </c>
      <c r="D21" s="1" t="s">
        <v>713</v>
      </c>
      <c r="E21" s="1" t="s">
        <v>713</v>
      </c>
      <c r="F21" s="1" t="s">
        <v>393</v>
      </c>
      <c r="G21" s="1" t="s">
        <v>393</v>
      </c>
      <c r="H21" s="1" t="s">
        <v>393</v>
      </c>
      <c r="I21" s="1" t="s">
        <v>393</v>
      </c>
      <c r="J21" s="1" t="s">
        <v>393</v>
      </c>
      <c r="K21" s="1" t="s">
        <v>393</v>
      </c>
      <c r="L21" s="1" t="s">
        <v>393</v>
      </c>
      <c r="M21" s="1" t="s">
        <v>393</v>
      </c>
      <c r="N21" s="1" t="s">
        <v>393</v>
      </c>
      <c r="O21" s="1" t="s">
        <v>713</v>
      </c>
      <c r="P21" s="1" t="s">
        <v>713</v>
      </c>
      <c r="Q21" s="1" t="s">
        <v>713</v>
      </c>
      <c r="R21" s="1" t="s">
        <v>713</v>
      </c>
      <c r="S21" s="1" t="s">
        <v>393</v>
      </c>
      <c r="T21" s="1" t="s">
        <v>393</v>
      </c>
      <c r="U21" s="1" t="s">
        <v>393</v>
      </c>
      <c r="V21" s="1" t="s">
        <v>393</v>
      </c>
      <c r="W21" s="1" t="s">
        <v>393</v>
      </c>
      <c r="X21" s="1" t="s">
        <v>393</v>
      </c>
      <c r="Y21" s="1" t="s">
        <v>393</v>
      </c>
      <c r="Z21" s="1" t="s">
        <v>393</v>
      </c>
      <c r="AA21" s="1" t="s">
        <v>393</v>
      </c>
      <c r="AB21" s="1" t="s">
        <v>713</v>
      </c>
      <c r="AC21" s="502">
        <v>43045.229882731503</v>
      </c>
    </row>
    <row r="22" spans="1:29">
      <c r="A22" s="1" t="s">
        <v>1167</v>
      </c>
      <c r="B22" s="1" t="s">
        <v>714</v>
      </c>
      <c r="C22" s="1" t="s">
        <v>1274</v>
      </c>
      <c r="D22" s="1" t="s">
        <v>1275</v>
      </c>
      <c r="E22" s="1" t="s">
        <v>1276</v>
      </c>
      <c r="F22" s="1" t="s">
        <v>393</v>
      </c>
      <c r="G22" s="1" t="s">
        <v>393</v>
      </c>
      <c r="H22" s="1" t="s">
        <v>393</v>
      </c>
      <c r="I22" s="1" t="s">
        <v>393</v>
      </c>
      <c r="J22" s="1" t="s">
        <v>393</v>
      </c>
      <c r="K22" s="1" t="s">
        <v>393</v>
      </c>
      <c r="L22" s="1" t="s">
        <v>393</v>
      </c>
      <c r="M22" s="1" t="s">
        <v>393</v>
      </c>
      <c r="N22" s="1" t="s">
        <v>393</v>
      </c>
      <c r="O22" s="1" t="s">
        <v>1277</v>
      </c>
      <c r="P22" s="1" t="s">
        <v>1274</v>
      </c>
      <c r="Q22" s="1" t="s">
        <v>1278</v>
      </c>
      <c r="R22" s="1" t="s">
        <v>715</v>
      </c>
      <c r="S22" s="1" t="s">
        <v>393</v>
      </c>
      <c r="T22" s="1" t="s">
        <v>393</v>
      </c>
      <c r="U22" s="1" t="s">
        <v>393</v>
      </c>
      <c r="V22" s="1" t="s">
        <v>393</v>
      </c>
      <c r="W22" s="1" t="s">
        <v>393</v>
      </c>
      <c r="X22" s="1" t="s">
        <v>393</v>
      </c>
      <c r="Y22" s="1" t="s">
        <v>393</v>
      </c>
      <c r="Z22" s="1" t="s">
        <v>393</v>
      </c>
      <c r="AA22" s="1" t="s">
        <v>393</v>
      </c>
      <c r="AB22" s="1" t="s">
        <v>1279</v>
      </c>
      <c r="AC22" s="502">
        <v>43045.229882731503</v>
      </c>
    </row>
    <row r="23" spans="1:29">
      <c r="A23" s="1" t="s">
        <v>1167</v>
      </c>
      <c r="B23" s="501" t="s">
        <v>721</v>
      </c>
      <c r="C23" s="1" t="s">
        <v>393</v>
      </c>
      <c r="D23" s="1" t="s">
        <v>393</v>
      </c>
      <c r="E23" s="1" t="s">
        <v>393</v>
      </c>
      <c r="F23" s="1" t="s">
        <v>393</v>
      </c>
      <c r="G23" s="1" t="s">
        <v>393</v>
      </c>
      <c r="H23" s="1" t="s">
        <v>393</v>
      </c>
      <c r="I23" s="1" t="s">
        <v>393</v>
      </c>
      <c r="J23" s="1" t="s">
        <v>393</v>
      </c>
      <c r="K23" s="1" t="s">
        <v>393</v>
      </c>
      <c r="L23" s="1" t="s">
        <v>393</v>
      </c>
      <c r="M23" s="1" t="s">
        <v>393</v>
      </c>
      <c r="N23" s="1" t="s">
        <v>393</v>
      </c>
      <c r="O23" s="1" t="s">
        <v>393</v>
      </c>
      <c r="P23" s="1" t="s">
        <v>393</v>
      </c>
      <c r="Q23" s="1" t="s">
        <v>393</v>
      </c>
      <c r="R23" s="1" t="s">
        <v>393</v>
      </c>
      <c r="S23" s="1" t="s">
        <v>393</v>
      </c>
      <c r="T23" s="1" t="s">
        <v>393</v>
      </c>
      <c r="U23" s="1" t="s">
        <v>393</v>
      </c>
      <c r="V23" s="1" t="s">
        <v>393</v>
      </c>
      <c r="W23" s="1" t="s">
        <v>393</v>
      </c>
      <c r="X23" s="1" t="s">
        <v>393</v>
      </c>
      <c r="Y23" s="1" t="s">
        <v>393</v>
      </c>
      <c r="Z23" s="1" t="s">
        <v>393</v>
      </c>
      <c r="AA23" s="1" t="s">
        <v>393</v>
      </c>
      <c r="AB23" s="1" t="s">
        <v>393</v>
      </c>
      <c r="AC23" s="502">
        <v>43045.229882731503</v>
      </c>
    </row>
    <row r="24" spans="1:29">
      <c r="A24" s="1" t="s">
        <v>1167</v>
      </c>
      <c r="B24" s="501" t="s">
        <v>722</v>
      </c>
      <c r="C24" s="1" t="s">
        <v>393</v>
      </c>
      <c r="D24" s="1" t="s">
        <v>393</v>
      </c>
      <c r="E24" s="1" t="s">
        <v>393</v>
      </c>
      <c r="F24" s="1" t="s">
        <v>393</v>
      </c>
      <c r="G24" s="1" t="s">
        <v>393</v>
      </c>
      <c r="H24" s="1" t="s">
        <v>393</v>
      </c>
      <c r="I24" s="1" t="s">
        <v>393</v>
      </c>
      <c r="J24" s="1" t="s">
        <v>393</v>
      </c>
      <c r="K24" s="1" t="s">
        <v>393</v>
      </c>
      <c r="L24" s="1" t="s">
        <v>393</v>
      </c>
      <c r="M24" s="1" t="s">
        <v>393</v>
      </c>
      <c r="N24" s="1" t="s">
        <v>393</v>
      </c>
      <c r="O24" s="1" t="s">
        <v>393</v>
      </c>
      <c r="P24" s="1" t="s">
        <v>393</v>
      </c>
      <c r="Q24" s="1" t="s">
        <v>393</v>
      </c>
      <c r="R24" s="1" t="s">
        <v>393</v>
      </c>
      <c r="S24" s="1" t="s">
        <v>393</v>
      </c>
      <c r="T24" s="1" t="s">
        <v>393</v>
      </c>
      <c r="U24" s="1" t="s">
        <v>393</v>
      </c>
      <c r="V24" s="1" t="s">
        <v>393</v>
      </c>
      <c r="W24" s="1" t="s">
        <v>393</v>
      </c>
      <c r="X24" s="1" t="s">
        <v>393</v>
      </c>
      <c r="Y24" s="1" t="s">
        <v>393</v>
      </c>
      <c r="Z24" s="1" t="s">
        <v>393</v>
      </c>
      <c r="AA24" s="1" t="s">
        <v>393</v>
      </c>
      <c r="AB24" s="1" t="s">
        <v>393</v>
      </c>
      <c r="AC24" s="502">
        <v>43045.229882731503</v>
      </c>
    </row>
    <row r="25" spans="1:29">
      <c r="A25" s="1" t="s">
        <v>1167</v>
      </c>
      <c r="B25" s="501" t="s">
        <v>723</v>
      </c>
      <c r="C25" s="1" t="s">
        <v>1280</v>
      </c>
      <c r="D25" s="1" t="s">
        <v>1281</v>
      </c>
      <c r="E25" s="1" t="s">
        <v>1282</v>
      </c>
      <c r="F25" s="1" t="s">
        <v>393</v>
      </c>
      <c r="G25" s="1" t="s">
        <v>393</v>
      </c>
      <c r="H25" s="1" t="s">
        <v>393</v>
      </c>
      <c r="I25" s="1" t="s">
        <v>393</v>
      </c>
      <c r="J25" s="1" t="s">
        <v>393</v>
      </c>
      <c r="K25" s="1" t="s">
        <v>393</v>
      </c>
      <c r="L25" s="1" t="s">
        <v>393</v>
      </c>
      <c r="M25" s="1" t="s">
        <v>393</v>
      </c>
      <c r="N25" s="1" t="s">
        <v>393</v>
      </c>
      <c r="O25" s="1" t="s">
        <v>1283</v>
      </c>
      <c r="P25" s="1" t="s">
        <v>1284</v>
      </c>
      <c r="Q25" s="1" t="s">
        <v>1285</v>
      </c>
      <c r="R25" s="1" t="s">
        <v>1286</v>
      </c>
      <c r="S25" s="1" t="s">
        <v>393</v>
      </c>
      <c r="T25" s="1" t="s">
        <v>393</v>
      </c>
      <c r="U25" s="1" t="s">
        <v>393</v>
      </c>
      <c r="V25" s="1" t="s">
        <v>393</v>
      </c>
      <c r="W25" s="1" t="s">
        <v>393</v>
      </c>
      <c r="X25" s="1" t="s">
        <v>393</v>
      </c>
      <c r="Y25" s="1" t="s">
        <v>393</v>
      </c>
      <c r="Z25" s="1" t="s">
        <v>393</v>
      </c>
      <c r="AA25" s="1" t="s">
        <v>393</v>
      </c>
      <c r="AB25" s="1" t="s">
        <v>1287</v>
      </c>
      <c r="AC25" s="502">
        <v>43045.229882731503</v>
      </c>
    </row>
    <row r="26" spans="1:29">
      <c r="A26" s="1" t="s">
        <v>1167</v>
      </c>
      <c r="B26" s="501" t="s">
        <v>750</v>
      </c>
      <c r="C26" s="1" t="s">
        <v>1288</v>
      </c>
      <c r="D26" s="1" t="s">
        <v>1289</v>
      </c>
      <c r="E26" s="1" t="s">
        <v>1290</v>
      </c>
      <c r="F26" s="1" t="s">
        <v>393</v>
      </c>
      <c r="G26" s="1" t="s">
        <v>393</v>
      </c>
      <c r="H26" s="1" t="s">
        <v>393</v>
      </c>
      <c r="I26" s="1" t="s">
        <v>393</v>
      </c>
      <c r="J26" s="1" t="s">
        <v>393</v>
      </c>
      <c r="K26" s="1" t="s">
        <v>393</v>
      </c>
      <c r="L26" s="1" t="s">
        <v>393</v>
      </c>
      <c r="M26" s="1" t="s">
        <v>393</v>
      </c>
      <c r="N26" s="1" t="s">
        <v>393</v>
      </c>
      <c r="O26" s="1" t="s">
        <v>1291</v>
      </c>
      <c r="P26" s="1" t="s">
        <v>1292</v>
      </c>
      <c r="Q26" s="1" t="s">
        <v>1293</v>
      </c>
      <c r="R26" s="1" t="s">
        <v>1294</v>
      </c>
      <c r="S26" s="1" t="s">
        <v>393</v>
      </c>
      <c r="T26" s="1" t="s">
        <v>393</v>
      </c>
      <c r="U26" s="1" t="s">
        <v>393</v>
      </c>
      <c r="V26" s="1" t="s">
        <v>393</v>
      </c>
      <c r="W26" s="1" t="s">
        <v>393</v>
      </c>
      <c r="X26" s="1" t="s">
        <v>393</v>
      </c>
      <c r="Y26" s="1" t="s">
        <v>393</v>
      </c>
      <c r="Z26" s="1" t="s">
        <v>393</v>
      </c>
      <c r="AA26" s="1" t="s">
        <v>393</v>
      </c>
      <c r="AB26" s="1" t="s">
        <v>1295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1141</v>
      </c>
      <c r="B1" s="1" t="s">
        <v>360</v>
      </c>
      <c r="C1" s="1" t="s">
        <v>1142</v>
      </c>
      <c r="D1" s="1" t="s">
        <v>1143</v>
      </c>
      <c r="E1" s="1" t="s">
        <v>1144</v>
      </c>
      <c r="F1" s="1" t="s">
        <v>1145</v>
      </c>
      <c r="G1" s="1" t="s">
        <v>1146</v>
      </c>
      <c r="H1" s="1" t="s">
        <v>1147</v>
      </c>
      <c r="I1" s="1" t="s">
        <v>1148</v>
      </c>
      <c r="J1" s="1" t="s">
        <v>1149</v>
      </c>
      <c r="K1" s="1" t="s">
        <v>1150</v>
      </c>
      <c r="L1" s="1" t="s">
        <v>1151</v>
      </c>
      <c r="M1" s="1" t="s">
        <v>1152</v>
      </c>
      <c r="N1" s="1" t="s">
        <v>1153</v>
      </c>
      <c r="O1" s="1" t="s">
        <v>777</v>
      </c>
    </row>
    <row r="2" spans="1:17">
      <c r="A2" s="1" t="s">
        <v>1167</v>
      </c>
      <c r="B2" s="275" t="s">
        <v>363</v>
      </c>
      <c r="C2" s="1" t="s">
        <v>788</v>
      </c>
      <c r="D2" s="1" t="s">
        <v>787</v>
      </c>
      <c r="E2" s="1" t="s">
        <v>781</v>
      </c>
      <c r="F2" s="1" t="s">
        <v>780</v>
      </c>
      <c r="G2" s="1" t="s">
        <v>780</v>
      </c>
      <c r="H2" s="1" t="s">
        <v>780</v>
      </c>
      <c r="I2" s="1" t="s">
        <v>780</v>
      </c>
      <c r="J2" s="1" t="s">
        <v>780</v>
      </c>
      <c r="K2" s="1" t="s">
        <v>780</v>
      </c>
      <c r="L2" s="1" t="s">
        <v>780</v>
      </c>
      <c r="M2" s="1" t="s">
        <v>780</v>
      </c>
      <c r="N2" s="1" t="s">
        <v>780</v>
      </c>
      <c r="O2" s="1" t="s">
        <v>788</v>
      </c>
      <c r="P2" s="502"/>
      <c r="Q2" s="502"/>
    </row>
    <row r="3" spans="1:17">
      <c r="A3" s="1" t="s">
        <v>1167</v>
      </c>
      <c r="B3" s="275" t="s">
        <v>396</v>
      </c>
      <c r="C3" s="1" t="s">
        <v>786</v>
      </c>
      <c r="D3" s="1" t="s">
        <v>783</v>
      </c>
      <c r="E3" s="1" t="s">
        <v>782</v>
      </c>
      <c r="F3" s="1" t="s">
        <v>780</v>
      </c>
      <c r="G3" s="1" t="s">
        <v>780</v>
      </c>
      <c r="H3" s="1" t="s">
        <v>780</v>
      </c>
      <c r="I3" s="1" t="s">
        <v>780</v>
      </c>
      <c r="J3" s="1" t="s">
        <v>780</v>
      </c>
      <c r="K3" s="1" t="s">
        <v>780</v>
      </c>
      <c r="L3" s="1" t="s">
        <v>780</v>
      </c>
      <c r="M3" s="1" t="s">
        <v>780</v>
      </c>
      <c r="N3" s="1" t="s">
        <v>780</v>
      </c>
      <c r="O3" s="1" t="s">
        <v>787</v>
      </c>
      <c r="P3" s="502"/>
      <c r="Q3" s="502"/>
    </row>
    <row r="4" spans="1:17">
      <c r="A4" s="1" t="s">
        <v>1167</v>
      </c>
      <c r="B4" s="275" t="s">
        <v>425</v>
      </c>
      <c r="C4" s="1" t="s">
        <v>791</v>
      </c>
      <c r="D4" s="1" t="s">
        <v>813</v>
      </c>
      <c r="E4" s="1" t="s">
        <v>793</v>
      </c>
      <c r="F4" s="1" t="s">
        <v>780</v>
      </c>
      <c r="G4" s="1" t="s">
        <v>780</v>
      </c>
      <c r="H4" s="1" t="s">
        <v>780</v>
      </c>
      <c r="I4" s="1" t="s">
        <v>780</v>
      </c>
      <c r="J4" s="1" t="s">
        <v>780</v>
      </c>
      <c r="K4" s="1" t="s">
        <v>780</v>
      </c>
      <c r="L4" s="1" t="s">
        <v>780</v>
      </c>
      <c r="M4" s="1" t="s">
        <v>780</v>
      </c>
      <c r="N4" s="1" t="s">
        <v>780</v>
      </c>
      <c r="O4" s="1" t="s">
        <v>812</v>
      </c>
      <c r="P4" s="502"/>
      <c r="Q4" s="502"/>
    </row>
    <row r="5" spans="1:17">
      <c r="A5" s="1" t="s">
        <v>1167</v>
      </c>
      <c r="B5" s="275" t="s">
        <v>452</v>
      </c>
      <c r="C5" s="1" t="s">
        <v>1296</v>
      </c>
      <c r="D5" s="1" t="s">
        <v>1297</v>
      </c>
      <c r="E5" s="1" t="s">
        <v>817</v>
      </c>
      <c r="F5" s="1" t="s">
        <v>780</v>
      </c>
      <c r="G5" s="1" t="s">
        <v>780</v>
      </c>
      <c r="H5" s="1" t="s">
        <v>780</v>
      </c>
      <c r="I5" s="1" t="s">
        <v>780</v>
      </c>
      <c r="J5" s="1" t="s">
        <v>780</v>
      </c>
      <c r="K5" s="1" t="s">
        <v>780</v>
      </c>
      <c r="L5" s="1" t="s">
        <v>780</v>
      </c>
      <c r="M5" s="1" t="s">
        <v>780</v>
      </c>
      <c r="N5" s="1" t="s">
        <v>780</v>
      </c>
      <c r="O5" s="1" t="s">
        <v>1298</v>
      </c>
      <c r="P5" s="502"/>
      <c r="Q5" s="502"/>
    </row>
    <row r="6" spans="1:17">
      <c r="A6" s="1" t="s">
        <v>1167</v>
      </c>
      <c r="B6" s="275" t="s">
        <v>479</v>
      </c>
      <c r="C6" s="1" t="s">
        <v>795</v>
      </c>
      <c r="D6" s="1" t="s">
        <v>802</v>
      </c>
      <c r="E6" s="1" t="s">
        <v>794</v>
      </c>
      <c r="F6" s="1" t="s">
        <v>780</v>
      </c>
      <c r="G6" s="1" t="s">
        <v>780</v>
      </c>
      <c r="H6" s="1" t="s">
        <v>780</v>
      </c>
      <c r="I6" s="1" t="s">
        <v>780</v>
      </c>
      <c r="J6" s="1" t="s">
        <v>780</v>
      </c>
      <c r="K6" s="1" t="s">
        <v>780</v>
      </c>
      <c r="L6" s="1" t="s">
        <v>780</v>
      </c>
      <c r="M6" s="1" t="s">
        <v>780</v>
      </c>
      <c r="N6" s="1" t="s">
        <v>780</v>
      </c>
      <c r="O6" s="1" t="s">
        <v>810</v>
      </c>
      <c r="P6" s="502"/>
      <c r="Q6" s="502"/>
    </row>
    <row r="7" spans="1:17">
      <c r="A7" s="1" t="s">
        <v>1167</v>
      </c>
      <c r="B7" s="275" t="s">
        <v>508</v>
      </c>
      <c r="C7" s="1" t="s">
        <v>780</v>
      </c>
      <c r="D7" s="1" t="s">
        <v>780</v>
      </c>
      <c r="E7" s="1" t="s">
        <v>780</v>
      </c>
      <c r="F7" s="1" t="s">
        <v>780</v>
      </c>
      <c r="G7" s="1" t="s">
        <v>780</v>
      </c>
      <c r="H7" s="1" t="s">
        <v>780</v>
      </c>
      <c r="I7" s="1" t="s">
        <v>780</v>
      </c>
      <c r="J7" s="1" t="s">
        <v>780</v>
      </c>
      <c r="K7" s="1" t="s">
        <v>780</v>
      </c>
      <c r="L7" s="1" t="s">
        <v>780</v>
      </c>
      <c r="M7" s="1" t="s">
        <v>780</v>
      </c>
      <c r="N7" s="1" t="s">
        <v>780</v>
      </c>
      <c r="O7" s="1" t="s">
        <v>780</v>
      </c>
      <c r="P7" s="502"/>
      <c r="Q7" s="502"/>
    </row>
    <row r="8" spans="1:17">
      <c r="A8" s="1" t="s">
        <v>1167</v>
      </c>
      <c r="B8" s="275" t="s">
        <v>509</v>
      </c>
      <c r="C8" s="1" t="s">
        <v>787</v>
      </c>
      <c r="D8" s="1" t="s">
        <v>781</v>
      </c>
      <c r="E8" s="1" t="s">
        <v>779</v>
      </c>
      <c r="F8" s="1" t="s">
        <v>780</v>
      </c>
      <c r="G8" s="1" t="s">
        <v>780</v>
      </c>
      <c r="H8" s="1" t="s">
        <v>780</v>
      </c>
      <c r="I8" s="1" t="s">
        <v>780</v>
      </c>
      <c r="J8" s="1" t="s">
        <v>780</v>
      </c>
      <c r="K8" s="1" t="s">
        <v>780</v>
      </c>
      <c r="L8" s="1" t="s">
        <v>780</v>
      </c>
      <c r="M8" s="1" t="s">
        <v>780</v>
      </c>
      <c r="N8" s="1" t="s">
        <v>780</v>
      </c>
      <c r="O8" s="1" t="s">
        <v>782</v>
      </c>
      <c r="P8" s="502"/>
      <c r="Q8" s="502"/>
    </row>
    <row r="9" spans="1:17">
      <c r="A9" s="1" t="s">
        <v>1167</v>
      </c>
      <c r="B9" s="275" t="s">
        <v>821</v>
      </c>
      <c r="C9" s="1" t="s">
        <v>785</v>
      </c>
      <c r="D9" s="1" t="s">
        <v>841</v>
      </c>
      <c r="E9" s="1" t="s">
        <v>848</v>
      </c>
      <c r="F9" s="1" t="s">
        <v>780</v>
      </c>
      <c r="G9" s="1" t="s">
        <v>780</v>
      </c>
      <c r="H9" s="1" t="s">
        <v>780</v>
      </c>
      <c r="I9" s="1" t="s">
        <v>780</v>
      </c>
      <c r="J9" s="1" t="s">
        <v>780</v>
      </c>
      <c r="K9" s="1" t="s">
        <v>780</v>
      </c>
      <c r="L9" s="1" t="s">
        <v>780</v>
      </c>
      <c r="M9" s="1" t="s">
        <v>780</v>
      </c>
      <c r="N9" s="1" t="s">
        <v>780</v>
      </c>
      <c r="O9" s="1" t="s">
        <v>850</v>
      </c>
      <c r="P9" s="502"/>
      <c r="Q9" s="502"/>
    </row>
    <row r="10" spans="1:17">
      <c r="A10" s="1" t="s">
        <v>1167</v>
      </c>
      <c r="B10" s="275" t="s">
        <v>823</v>
      </c>
      <c r="C10" s="1" t="s">
        <v>784</v>
      </c>
      <c r="D10" s="1" t="s">
        <v>783</v>
      </c>
      <c r="E10" s="1" t="s">
        <v>781</v>
      </c>
      <c r="F10" s="1" t="s">
        <v>780</v>
      </c>
      <c r="G10" s="1" t="s">
        <v>780</v>
      </c>
      <c r="H10" s="1" t="s">
        <v>780</v>
      </c>
      <c r="I10" s="1" t="s">
        <v>780</v>
      </c>
      <c r="J10" s="1" t="s">
        <v>780</v>
      </c>
      <c r="K10" s="1" t="s">
        <v>780</v>
      </c>
      <c r="L10" s="1" t="s">
        <v>780</v>
      </c>
      <c r="M10" s="1" t="s">
        <v>780</v>
      </c>
      <c r="N10" s="1" t="s">
        <v>780</v>
      </c>
      <c r="O10" s="1" t="s">
        <v>784</v>
      </c>
      <c r="P10" s="502"/>
      <c r="Q10" s="502"/>
    </row>
    <row r="11" spans="1:17">
      <c r="A11" s="1" t="s">
        <v>1167</v>
      </c>
      <c r="B11" s="275" t="s">
        <v>824</v>
      </c>
      <c r="C11" s="1" t="s">
        <v>829</v>
      </c>
      <c r="D11" s="1" t="s">
        <v>812</v>
      </c>
      <c r="E11" s="1" t="s">
        <v>793</v>
      </c>
      <c r="F11" s="1" t="s">
        <v>780</v>
      </c>
      <c r="G11" s="1" t="s">
        <v>780</v>
      </c>
      <c r="H11" s="1" t="s">
        <v>780</v>
      </c>
      <c r="I11" s="1" t="s">
        <v>780</v>
      </c>
      <c r="J11" s="1" t="s">
        <v>780</v>
      </c>
      <c r="K11" s="1" t="s">
        <v>780</v>
      </c>
      <c r="L11" s="1" t="s">
        <v>780</v>
      </c>
      <c r="M11" s="1" t="s">
        <v>780</v>
      </c>
      <c r="N11" s="1" t="s">
        <v>780</v>
      </c>
      <c r="O11" s="1" t="s">
        <v>781</v>
      </c>
      <c r="P11" s="502"/>
      <c r="Q11" s="502"/>
    </row>
    <row r="12" spans="1:17">
      <c r="A12" s="1" t="s">
        <v>1167</v>
      </c>
      <c r="B12" s="275" t="s">
        <v>825</v>
      </c>
      <c r="C12" s="1" t="s">
        <v>863</v>
      </c>
      <c r="D12" s="1" t="s">
        <v>829</v>
      </c>
      <c r="E12" s="1" t="s">
        <v>818</v>
      </c>
      <c r="F12" s="1" t="s">
        <v>780</v>
      </c>
      <c r="G12" s="1" t="s">
        <v>780</v>
      </c>
      <c r="H12" s="1" t="s">
        <v>780</v>
      </c>
      <c r="I12" s="1" t="s">
        <v>780</v>
      </c>
      <c r="J12" s="1" t="s">
        <v>780</v>
      </c>
      <c r="K12" s="1" t="s">
        <v>780</v>
      </c>
      <c r="L12" s="1" t="s">
        <v>780</v>
      </c>
      <c r="M12" s="1" t="s">
        <v>780</v>
      </c>
      <c r="N12" s="1" t="s">
        <v>780</v>
      </c>
      <c r="O12" s="1" t="s">
        <v>867</v>
      </c>
      <c r="P12" s="502"/>
      <c r="Q12" s="502"/>
    </row>
    <row r="13" spans="1:17">
      <c r="A13" s="1" t="s">
        <v>1167</v>
      </c>
      <c r="B13" s="275" t="s">
        <v>833</v>
      </c>
      <c r="C13" s="1" t="s">
        <v>868</v>
      </c>
      <c r="D13" s="1" t="s">
        <v>836</v>
      </c>
      <c r="E13" s="1" t="s">
        <v>866</v>
      </c>
      <c r="F13" s="1" t="s">
        <v>780</v>
      </c>
      <c r="G13" s="1" t="s">
        <v>780</v>
      </c>
      <c r="H13" s="1" t="s">
        <v>780</v>
      </c>
      <c r="I13" s="1" t="s">
        <v>780</v>
      </c>
      <c r="J13" s="1" t="s">
        <v>780</v>
      </c>
      <c r="K13" s="1" t="s">
        <v>780</v>
      </c>
      <c r="L13" s="1" t="s">
        <v>780</v>
      </c>
      <c r="M13" s="1" t="s">
        <v>780</v>
      </c>
      <c r="N13" s="1" t="s">
        <v>780</v>
      </c>
      <c r="O13" s="1" t="s">
        <v>844</v>
      </c>
      <c r="P13" s="502"/>
      <c r="Q13" s="502"/>
    </row>
    <row r="14" spans="1:17">
      <c r="A14" s="1" t="s">
        <v>1167</v>
      </c>
      <c r="B14" s="275" t="s">
        <v>847</v>
      </c>
      <c r="C14" s="1" t="s">
        <v>1299</v>
      </c>
      <c r="D14" s="1" t="s">
        <v>1300</v>
      </c>
      <c r="E14" s="1" t="s">
        <v>839</v>
      </c>
      <c r="F14" s="1" t="s">
        <v>780</v>
      </c>
      <c r="G14" s="1" t="s">
        <v>780</v>
      </c>
      <c r="H14" s="1" t="s">
        <v>780</v>
      </c>
      <c r="I14" s="1" t="s">
        <v>780</v>
      </c>
      <c r="J14" s="1" t="s">
        <v>780</v>
      </c>
      <c r="K14" s="1" t="s">
        <v>780</v>
      </c>
      <c r="L14" s="1" t="s">
        <v>780</v>
      </c>
      <c r="M14" s="1" t="s">
        <v>780</v>
      </c>
      <c r="N14" s="1" t="s">
        <v>780</v>
      </c>
      <c r="O14" s="1" t="s">
        <v>1301</v>
      </c>
      <c r="P14" s="502"/>
      <c r="Q14" s="502"/>
    </row>
    <row r="15" spans="1:17">
      <c r="A15" s="1" t="s">
        <v>1167</v>
      </c>
      <c r="B15" s="275" t="s">
        <v>853</v>
      </c>
      <c r="C15" s="1" t="s">
        <v>780</v>
      </c>
      <c r="D15" s="1" t="s">
        <v>780</v>
      </c>
      <c r="E15" s="1" t="s">
        <v>793</v>
      </c>
      <c r="F15" s="1" t="s">
        <v>780</v>
      </c>
      <c r="G15" s="1" t="s">
        <v>780</v>
      </c>
      <c r="H15" s="1" t="s">
        <v>780</v>
      </c>
      <c r="I15" s="1" t="s">
        <v>780</v>
      </c>
      <c r="J15" s="1" t="s">
        <v>780</v>
      </c>
      <c r="K15" s="1" t="s">
        <v>780</v>
      </c>
      <c r="L15" s="1" t="s">
        <v>780</v>
      </c>
      <c r="M15" s="1" t="s">
        <v>780</v>
      </c>
      <c r="N15" s="1" t="s">
        <v>780</v>
      </c>
      <c r="O15" s="1" t="s">
        <v>1302</v>
      </c>
      <c r="P15" s="502"/>
      <c r="Q15" s="502"/>
    </row>
    <row r="16" spans="1:17">
      <c r="A16" s="1" t="s">
        <v>1167</v>
      </c>
      <c r="B16" s="275" t="s">
        <v>855</v>
      </c>
      <c r="C16" s="1" t="s">
        <v>868</v>
      </c>
      <c r="D16" s="1" t="s">
        <v>834</v>
      </c>
      <c r="E16" s="1" t="s">
        <v>786</v>
      </c>
      <c r="F16" s="1" t="s">
        <v>780</v>
      </c>
      <c r="G16" s="1" t="s">
        <v>780</v>
      </c>
      <c r="H16" s="1" t="s">
        <v>780</v>
      </c>
      <c r="I16" s="1" t="s">
        <v>780</v>
      </c>
      <c r="J16" s="1" t="s">
        <v>780</v>
      </c>
      <c r="K16" s="1" t="s">
        <v>780</v>
      </c>
      <c r="L16" s="1" t="s">
        <v>780</v>
      </c>
      <c r="M16" s="1" t="s">
        <v>780</v>
      </c>
      <c r="N16" s="1" t="s">
        <v>780</v>
      </c>
      <c r="O16" s="1" t="s">
        <v>834</v>
      </c>
      <c r="P16" s="502"/>
      <c r="Q16" s="502"/>
    </row>
    <row r="17" spans="1:17">
      <c r="A17" s="1" t="s">
        <v>1167</v>
      </c>
      <c r="B17" s="275" t="s">
        <v>856</v>
      </c>
      <c r="C17" s="1" t="s">
        <v>780</v>
      </c>
      <c r="D17" s="1" t="s">
        <v>780</v>
      </c>
      <c r="E17" s="1" t="s">
        <v>780</v>
      </c>
      <c r="F17" s="1" t="s">
        <v>780</v>
      </c>
      <c r="G17" s="1" t="s">
        <v>780</v>
      </c>
      <c r="H17" s="1" t="s">
        <v>780</v>
      </c>
      <c r="I17" s="1" t="s">
        <v>780</v>
      </c>
      <c r="J17" s="1" t="s">
        <v>780</v>
      </c>
      <c r="K17" s="1" t="s">
        <v>780</v>
      </c>
      <c r="L17" s="1" t="s">
        <v>780</v>
      </c>
      <c r="M17" s="1" t="s">
        <v>780</v>
      </c>
      <c r="N17" s="1" t="s">
        <v>780</v>
      </c>
      <c r="O17" s="1" t="s">
        <v>780</v>
      </c>
      <c r="P17" s="502"/>
      <c r="Q17" s="502"/>
    </row>
    <row r="18" spans="1:17">
      <c r="A18" s="1" t="s">
        <v>1167</v>
      </c>
      <c r="B18" s="275" t="s">
        <v>857</v>
      </c>
      <c r="C18" s="1" t="s">
        <v>780</v>
      </c>
      <c r="D18" s="1" t="s">
        <v>780</v>
      </c>
      <c r="E18" s="1" t="s">
        <v>780</v>
      </c>
      <c r="F18" s="1" t="s">
        <v>780</v>
      </c>
      <c r="G18" s="1" t="s">
        <v>780</v>
      </c>
      <c r="H18" s="1" t="s">
        <v>780</v>
      </c>
      <c r="I18" s="1" t="s">
        <v>780</v>
      </c>
      <c r="J18" s="1" t="s">
        <v>780</v>
      </c>
      <c r="K18" s="1" t="s">
        <v>780</v>
      </c>
      <c r="L18" s="1" t="s">
        <v>780</v>
      </c>
      <c r="M18" s="1" t="s">
        <v>780</v>
      </c>
      <c r="N18" s="1" t="s">
        <v>780</v>
      </c>
      <c r="O18" s="1" t="s">
        <v>780</v>
      </c>
      <c r="P18" s="502"/>
      <c r="Q18" s="502"/>
    </row>
    <row r="19" spans="1:17">
      <c r="A19" s="1" t="s">
        <v>1167</v>
      </c>
      <c r="B19" s="275" t="s">
        <v>858</v>
      </c>
      <c r="C19" s="1" t="s">
        <v>780</v>
      </c>
      <c r="D19" s="1" t="s">
        <v>780</v>
      </c>
      <c r="E19" s="1" t="s">
        <v>780</v>
      </c>
      <c r="F19" s="1" t="s">
        <v>780</v>
      </c>
      <c r="G19" s="1" t="s">
        <v>780</v>
      </c>
      <c r="H19" s="1" t="s">
        <v>780</v>
      </c>
      <c r="I19" s="1" t="s">
        <v>780</v>
      </c>
      <c r="J19" s="1" t="s">
        <v>780</v>
      </c>
      <c r="K19" s="1" t="s">
        <v>780</v>
      </c>
      <c r="L19" s="1" t="s">
        <v>780</v>
      </c>
      <c r="M19" s="1" t="s">
        <v>780</v>
      </c>
      <c r="N19" s="1" t="s">
        <v>780</v>
      </c>
      <c r="O19" s="1" t="s">
        <v>780</v>
      </c>
      <c r="P19" s="502"/>
      <c r="Q19" s="502"/>
    </row>
    <row r="20" spans="1:17">
      <c r="A20" s="1" t="s">
        <v>1167</v>
      </c>
      <c r="B20" s="275" t="s">
        <v>859</v>
      </c>
      <c r="C20" s="1" t="s">
        <v>780</v>
      </c>
      <c r="D20" s="1" t="s">
        <v>780</v>
      </c>
      <c r="E20" s="1" t="s">
        <v>780</v>
      </c>
      <c r="F20" s="1" t="s">
        <v>780</v>
      </c>
      <c r="G20" s="1" t="s">
        <v>780</v>
      </c>
      <c r="H20" s="1" t="s">
        <v>780</v>
      </c>
      <c r="I20" s="1" t="s">
        <v>780</v>
      </c>
      <c r="J20" s="1" t="s">
        <v>780</v>
      </c>
      <c r="K20" s="1" t="s">
        <v>780</v>
      </c>
      <c r="L20" s="1" t="s">
        <v>780</v>
      </c>
      <c r="M20" s="1" t="s">
        <v>780</v>
      </c>
      <c r="N20" s="1" t="s">
        <v>780</v>
      </c>
      <c r="O20" s="1" t="s">
        <v>780</v>
      </c>
      <c r="P20" s="502"/>
      <c r="Q20" s="502"/>
    </row>
    <row r="21" spans="1:17">
      <c r="A21" s="1" t="s">
        <v>1167</v>
      </c>
      <c r="B21" s="275" t="s">
        <v>860</v>
      </c>
      <c r="C21" s="1" t="s">
        <v>1303</v>
      </c>
      <c r="D21" s="1" t="s">
        <v>1304</v>
      </c>
      <c r="E21" s="1" t="s">
        <v>1305</v>
      </c>
      <c r="F21" s="1" t="s">
        <v>780</v>
      </c>
      <c r="G21" s="1" t="s">
        <v>780</v>
      </c>
      <c r="H21" s="1" t="s">
        <v>780</v>
      </c>
      <c r="I21" s="1" t="s">
        <v>780</v>
      </c>
      <c r="J21" s="1" t="s">
        <v>780</v>
      </c>
      <c r="K21" s="1" t="s">
        <v>780</v>
      </c>
      <c r="L21" s="1" t="s">
        <v>780</v>
      </c>
      <c r="M21" s="1" t="s">
        <v>780</v>
      </c>
      <c r="N21" s="1" t="s">
        <v>780</v>
      </c>
      <c r="O21" s="1" t="s">
        <v>1306</v>
      </c>
      <c r="P21" s="502"/>
      <c r="Q21" s="502"/>
    </row>
    <row r="22" spans="1:17">
      <c r="A22" s="1" t="s">
        <v>1167</v>
      </c>
      <c r="B22" s="275" t="s">
        <v>861</v>
      </c>
      <c r="C22" s="1" t="s">
        <v>780</v>
      </c>
      <c r="D22" s="1" t="s">
        <v>780</v>
      </c>
      <c r="E22" s="1" t="s">
        <v>780</v>
      </c>
      <c r="F22" s="1" t="s">
        <v>780</v>
      </c>
      <c r="G22" s="1" t="s">
        <v>780</v>
      </c>
      <c r="H22" s="1" t="s">
        <v>780</v>
      </c>
      <c r="I22" s="1" t="s">
        <v>780</v>
      </c>
      <c r="J22" s="1" t="s">
        <v>780</v>
      </c>
      <c r="K22" s="1" t="s">
        <v>780</v>
      </c>
      <c r="L22" s="1" t="s">
        <v>780</v>
      </c>
      <c r="M22" s="1" t="s">
        <v>780</v>
      </c>
      <c r="N22" s="1" t="s">
        <v>780</v>
      </c>
      <c r="O22" s="1" t="s">
        <v>780</v>
      </c>
      <c r="P22" s="502"/>
    </row>
    <row r="23" spans="1:17">
      <c r="A23" s="1" t="s">
        <v>1167</v>
      </c>
      <c r="B23" s="275" t="s">
        <v>862</v>
      </c>
      <c r="C23" s="1" t="s">
        <v>841</v>
      </c>
      <c r="D23" s="1" t="s">
        <v>841</v>
      </c>
      <c r="E23" s="1" t="s">
        <v>808</v>
      </c>
      <c r="F23" s="1" t="s">
        <v>780</v>
      </c>
      <c r="G23" s="1" t="s">
        <v>780</v>
      </c>
      <c r="H23" s="1" t="s">
        <v>780</v>
      </c>
      <c r="I23" s="1" t="s">
        <v>780</v>
      </c>
      <c r="J23" s="1" t="s">
        <v>780</v>
      </c>
      <c r="K23" s="1" t="s">
        <v>780</v>
      </c>
      <c r="L23" s="1" t="s">
        <v>780</v>
      </c>
      <c r="M23" s="1" t="s">
        <v>780</v>
      </c>
      <c r="N23" s="1" t="s">
        <v>780</v>
      </c>
      <c r="O23" s="1" t="s">
        <v>1307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1141</v>
      </c>
      <c r="B1" s="1" t="s">
        <v>360</v>
      </c>
      <c r="C1" s="1" t="s">
        <v>869</v>
      </c>
      <c r="D1" s="1" t="s">
        <v>1142</v>
      </c>
      <c r="E1" s="1" t="s">
        <v>1143</v>
      </c>
      <c r="F1" s="1" t="s">
        <v>1144</v>
      </c>
      <c r="G1" s="1" t="s">
        <v>1145</v>
      </c>
      <c r="H1" s="1" t="s">
        <v>1146</v>
      </c>
      <c r="I1" s="1" t="s">
        <v>1147</v>
      </c>
      <c r="J1" s="1" t="s">
        <v>1148</v>
      </c>
      <c r="K1" s="1" t="s">
        <v>1149</v>
      </c>
      <c r="L1" s="1" t="s">
        <v>1150</v>
      </c>
      <c r="M1" s="1" t="s">
        <v>1151</v>
      </c>
      <c r="N1" s="1" t="s">
        <v>1152</v>
      </c>
      <c r="O1" s="1" t="s">
        <v>1153</v>
      </c>
      <c r="P1" s="1" t="s">
        <v>777</v>
      </c>
    </row>
    <row r="2" spans="1:17">
      <c r="A2" s="1" t="s">
        <v>1167</v>
      </c>
      <c r="B2" s="275" t="s">
        <v>363</v>
      </c>
      <c r="C2" s="1" t="s">
        <v>236</v>
      </c>
      <c r="D2" s="1" t="s">
        <v>783</v>
      </c>
      <c r="E2" s="1" t="s">
        <v>792</v>
      </c>
      <c r="F2" s="1" t="s">
        <v>785</v>
      </c>
      <c r="G2" s="1" t="s">
        <v>780</v>
      </c>
      <c r="H2" s="1" t="s">
        <v>780</v>
      </c>
      <c r="I2" s="1" t="s">
        <v>780</v>
      </c>
      <c r="J2" s="1" t="s">
        <v>780</v>
      </c>
      <c r="K2" s="1" t="s">
        <v>780</v>
      </c>
      <c r="L2" s="1" t="s">
        <v>780</v>
      </c>
      <c r="M2" s="1" t="s">
        <v>780</v>
      </c>
      <c r="N2" s="1" t="s">
        <v>780</v>
      </c>
      <c r="O2" s="1" t="s">
        <v>780</v>
      </c>
      <c r="P2" s="1" t="s">
        <v>788</v>
      </c>
      <c r="Q2" s="502">
        <v>43045.229883090302</v>
      </c>
    </row>
    <row r="3" spans="1:17">
      <c r="A3" s="1" t="s">
        <v>1167</v>
      </c>
      <c r="B3" s="275" t="s">
        <v>363</v>
      </c>
      <c r="C3" s="1" t="s">
        <v>237</v>
      </c>
      <c r="D3" s="1" t="s">
        <v>782</v>
      </c>
      <c r="E3" s="1" t="s">
        <v>782</v>
      </c>
      <c r="F3" s="1" t="s">
        <v>785</v>
      </c>
      <c r="G3" s="1" t="s">
        <v>780</v>
      </c>
      <c r="H3" s="1" t="s">
        <v>780</v>
      </c>
      <c r="I3" s="1" t="s">
        <v>780</v>
      </c>
      <c r="J3" s="1" t="s">
        <v>780</v>
      </c>
      <c r="K3" s="1" t="s">
        <v>780</v>
      </c>
      <c r="L3" s="1" t="s">
        <v>780</v>
      </c>
      <c r="M3" s="1" t="s">
        <v>780</v>
      </c>
      <c r="N3" s="1" t="s">
        <v>780</v>
      </c>
      <c r="O3" s="1" t="s">
        <v>780</v>
      </c>
      <c r="P3" s="1" t="s">
        <v>781</v>
      </c>
      <c r="Q3" s="502">
        <v>43045.229883090302</v>
      </c>
    </row>
    <row r="4" spans="1:17">
      <c r="A4" s="1" t="s">
        <v>1167</v>
      </c>
      <c r="B4" s="275" t="s">
        <v>363</v>
      </c>
      <c r="C4" s="1" t="s">
        <v>870</v>
      </c>
      <c r="D4" s="1" t="s">
        <v>814</v>
      </c>
      <c r="E4" s="1" t="s">
        <v>814</v>
      </c>
      <c r="F4" s="1" t="s">
        <v>810</v>
      </c>
      <c r="G4" s="1" t="s">
        <v>780</v>
      </c>
      <c r="H4" s="1" t="s">
        <v>780</v>
      </c>
      <c r="I4" s="1" t="s">
        <v>780</v>
      </c>
      <c r="J4" s="1" t="s">
        <v>780</v>
      </c>
      <c r="K4" s="1" t="s">
        <v>780</v>
      </c>
      <c r="L4" s="1" t="s">
        <v>780</v>
      </c>
      <c r="M4" s="1" t="s">
        <v>780</v>
      </c>
      <c r="N4" s="1" t="s">
        <v>780</v>
      </c>
      <c r="O4" s="1" t="s">
        <v>780</v>
      </c>
      <c r="P4" s="1" t="s">
        <v>814</v>
      </c>
      <c r="Q4" s="502">
        <v>43045.229883090302</v>
      </c>
    </row>
    <row r="5" spans="1:17">
      <c r="A5" s="1" t="s">
        <v>1167</v>
      </c>
      <c r="B5" s="275" t="s">
        <v>363</v>
      </c>
      <c r="C5" s="1" t="s">
        <v>871</v>
      </c>
      <c r="D5" s="1" t="s">
        <v>784</v>
      </c>
      <c r="E5" s="1" t="s">
        <v>788</v>
      </c>
      <c r="F5" s="1" t="s">
        <v>778</v>
      </c>
      <c r="G5" s="1" t="s">
        <v>780</v>
      </c>
      <c r="H5" s="1" t="s">
        <v>780</v>
      </c>
      <c r="I5" s="1" t="s">
        <v>780</v>
      </c>
      <c r="J5" s="1" t="s">
        <v>780</v>
      </c>
      <c r="K5" s="1" t="s">
        <v>780</v>
      </c>
      <c r="L5" s="1" t="s">
        <v>780</v>
      </c>
      <c r="M5" s="1" t="s">
        <v>780</v>
      </c>
      <c r="N5" s="1" t="s">
        <v>780</v>
      </c>
      <c r="O5" s="1" t="s">
        <v>780</v>
      </c>
      <c r="P5" s="1" t="s">
        <v>782</v>
      </c>
      <c r="Q5" s="502">
        <v>43045.229883090302</v>
      </c>
    </row>
    <row r="6" spans="1:17">
      <c r="A6" s="1" t="s">
        <v>1167</v>
      </c>
      <c r="B6" s="275" t="s">
        <v>396</v>
      </c>
      <c r="C6" s="1" t="s">
        <v>871</v>
      </c>
      <c r="D6" s="1" t="s">
        <v>788</v>
      </c>
      <c r="E6" s="1" t="s">
        <v>778</v>
      </c>
      <c r="F6" s="1" t="s">
        <v>790</v>
      </c>
      <c r="G6" s="1" t="s">
        <v>780</v>
      </c>
      <c r="H6" s="1" t="s">
        <v>780</v>
      </c>
      <c r="I6" s="1" t="s">
        <v>780</v>
      </c>
      <c r="J6" s="1" t="s">
        <v>780</v>
      </c>
      <c r="K6" s="1" t="s">
        <v>780</v>
      </c>
      <c r="L6" s="1" t="s">
        <v>780</v>
      </c>
      <c r="M6" s="1" t="s">
        <v>780</v>
      </c>
      <c r="N6" s="1" t="s">
        <v>780</v>
      </c>
      <c r="O6" s="1" t="s">
        <v>780</v>
      </c>
      <c r="P6" s="1" t="s">
        <v>785</v>
      </c>
      <c r="Q6" s="502">
        <v>43045.229883090302</v>
      </c>
    </row>
    <row r="7" spans="1:17">
      <c r="A7" s="1" t="s">
        <v>1167</v>
      </c>
      <c r="B7" s="275" t="s">
        <v>425</v>
      </c>
      <c r="C7" s="1" t="s">
        <v>871</v>
      </c>
      <c r="D7" s="1" t="s">
        <v>802</v>
      </c>
      <c r="E7" s="1" t="s">
        <v>813</v>
      </c>
      <c r="F7" s="1" t="s">
        <v>813</v>
      </c>
      <c r="G7" s="1" t="s">
        <v>780</v>
      </c>
      <c r="H7" s="1" t="s">
        <v>780</v>
      </c>
      <c r="I7" s="1" t="s">
        <v>780</v>
      </c>
      <c r="J7" s="1" t="s">
        <v>780</v>
      </c>
      <c r="K7" s="1" t="s">
        <v>780</v>
      </c>
      <c r="L7" s="1" t="s">
        <v>780</v>
      </c>
      <c r="M7" s="1" t="s">
        <v>780</v>
      </c>
      <c r="N7" s="1" t="s">
        <v>780</v>
      </c>
      <c r="O7" s="1" t="s">
        <v>780</v>
      </c>
      <c r="P7" s="1" t="s">
        <v>795</v>
      </c>
      <c r="Q7" s="502">
        <v>43045.229883090302</v>
      </c>
    </row>
    <row r="8" spans="1:17">
      <c r="A8" s="1" t="s">
        <v>1167</v>
      </c>
      <c r="B8" s="275" t="s">
        <v>452</v>
      </c>
      <c r="C8" s="1" t="s">
        <v>871</v>
      </c>
      <c r="D8" s="1" t="s">
        <v>1308</v>
      </c>
      <c r="E8" s="1" t="s">
        <v>875</v>
      </c>
      <c r="F8" s="1" t="s">
        <v>1298</v>
      </c>
      <c r="G8" s="1" t="s">
        <v>780</v>
      </c>
      <c r="H8" s="1" t="s">
        <v>780</v>
      </c>
      <c r="I8" s="1" t="s">
        <v>780</v>
      </c>
      <c r="J8" s="1" t="s">
        <v>780</v>
      </c>
      <c r="K8" s="1" t="s">
        <v>780</v>
      </c>
      <c r="L8" s="1" t="s">
        <v>780</v>
      </c>
      <c r="M8" s="1" t="s">
        <v>780</v>
      </c>
      <c r="N8" s="1" t="s">
        <v>780</v>
      </c>
      <c r="O8" s="1" t="s">
        <v>780</v>
      </c>
      <c r="P8" s="1" t="s">
        <v>1309</v>
      </c>
      <c r="Q8" s="502">
        <v>43045.229883090302</v>
      </c>
    </row>
    <row r="9" spans="1:17">
      <c r="A9" s="1" t="s">
        <v>1167</v>
      </c>
      <c r="B9" s="275" t="s">
        <v>479</v>
      </c>
      <c r="C9" s="1" t="s">
        <v>871</v>
      </c>
      <c r="D9" s="1" t="s">
        <v>795</v>
      </c>
      <c r="E9" s="1" t="s">
        <v>802</v>
      </c>
      <c r="F9" s="1" t="s">
        <v>794</v>
      </c>
      <c r="G9" s="1" t="s">
        <v>780</v>
      </c>
      <c r="H9" s="1" t="s">
        <v>780</v>
      </c>
      <c r="I9" s="1" t="s">
        <v>780</v>
      </c>
      <c r="J9" s="1" t="s">
        <v>780</v>
      </c>
      <c r="K9" s="1" t="s">
        <v>780</v>
      </c>
      <c r="L9" s="1" t="s">
        <v>780</v>
      </c>
      <c r="M9" s="1" t="s">
        <v>780</v>
      </c>
      <c r="N9" s="1" t="s">
        <v>780</v>
      </c>
      <c r="O9" s="1" t="s">
        <v>780</v>
      </c>
      <c r="P9" s="1" t="s">
        <v>794</v>
      </c>
      <c r="Q9" s="502">
        <v>43045.229883090302</v>
      </c>
    </row>
    <row r="10" spans="1:17">
      <c r="A10" s="1" t="s">
        <v>1167</v>
      </c>
      <c r="B10" s="275" t="s">
        <v>508</v>
      </c>
      <c r="C10" s="1" t="s">
        <v>871</v>
      </c>
      <c r="D10" s="1" t="s">
        <v>780</v>
      </c>
      <c r="E10" s="1" t="s">
        <v>780</v>
      </c>
      <c r="F10" s="1" t="s">
        <v>780</v>
      </c>
      <c r="G10" s="1" t="s">
        <v>780</v>
      </c>
      <c r="H10" s="1" t="s">
        <v>780</v>
      </c>
      <c r="I10" s="1" t="s">
        <v>780</v>
      </c>
      <c r="J10" s="1" t="s">
        <v>780</v>
      </c>
      <c r="K10" s="1" t="s">
        <v>780</v>
      </c>
      <c r="L10" s="1" t="s">
        <v>780</v>
      </c>
      <c r="M10" s="1" t="s">
        <v>780</v>
      </c>
      <c r="N10" s="1" t="s">
        <v>780</v>
      </c>
      <c r="O10" s="1" t="s">
        <v>780</v>
      </c>
      <c r="P10" s="1" t="s">
        <v>780</v>
      </c>
      <c r="Q10" s="502">
        <v>43045.229883090302</v>
      </c>
    </row>
    <row r="11" spans="1:17">
      <c r="A11" s="1" t="s">
        <v>1167</v>
      </c>
      <c r="B11" s="275" t="s">
        <v>509</v>
      </c>
      <c r="C11" s="1" t="s">
        <v>871</v>
      </c>
      <c r="D11" s="1" t="s">
        <v>787</v>
      </c>
      <c r="E11" s="1" t="s">
        <v>781</v>
      </c>
      <c r="F11" s="1" t="s">
        <v>779</v>
      </c>
      <c r="G11" s="1" t="s">
        <v>780</v>
      </c>
      <c r="H11" s="1" t="s">
        <v>780</v>
      </c>
      <c r="I11" s="1" t="s">
        <v>780</v>
      </c>
      <c r="J11" s="1" t="s">
        <v>780</v>
      </c>
      <c r="K11" s="1" t="s">
        <v>780</v>
      </c>
      <c r="L11" s="1" t="s">
        <v>780</v>
      </c>
      <c r="M11" s="1" t="s">
        <v>780</v>
      </c>
      <c r="N11" s="1" t="s">
        <v>780</v>
      </c>
      <c r="O11" s="1" t="s">
        <v>780</v>
      </c>
      <c r="P11" s="1" t="s">
        <v>782</v>
      </c>
      <c r="Q11" s="502">
        <v>43045.229883090302</v>
      </c>
    </row>
    <row r="12" spans="1:17">
      <c r="A12" s="1" t="s">
        <v>1167</v>
      </c>
      <c r="B12" s="275" t="s">
        <v>824</v>
      </c>
      <c r="C12" s="1" t="s">
        <v>871</v>
      </c>
      <c r="D12" s="1" t="s">
        <v>844</v>
      </c>
      <c r="E12" s="1" t="s">
        <v>794</v>
      </c>
      <c r="F12" s="1" t="s">
        <v>793</v>
      </c>
      <c r="G12" s="1" t="s">
        <v>780</v>
      </c>
      <c r="H12" s="1" t="s">
        <v>780</v>
      </c>
      <c r="I12" s="1" t="s">
        <v>780</v>
      </c>
      <c r="J12" s="1" t="s">
        <v>780</v>
      </c>
      <c r="K12" s="1" t="s">
        <v>780</v>
      </c>
      <c r="L12" s="1" t="s">
        <v>780</v>
      </c>
      <c r="M12" s="1" t="s">
        <v>780</v>
      </c>
      <c r="N12" s="1" t="s">
        <v>780</v>
      </c>
      <c r="O12" s="1" t="s">
        <v>780</v>
      </c>
      <c r="P12" s="1" t="s">
        <v>781</v>
      </c>
      <c r="Q12" s="502">
        <v>43045.229883090302</v>
      </c>
    </row>
    <row r="13" spans="1:17">
      <c r="A13" s="1" t="s">
        <v>1167</v>
      </c>
      <c r="B13" s="275" t="s">
        <v>825</v>
      </c>
      <c r="C13" s="1" t="s">
        <v>871</v>
      </c>
      <c r="D13" s="1" t="s">
        <v>852</v>
      </c>
      <c r="E13" s="1" t="s">
        <v>1310</v>
      </c>
      <c r="F13" s="1" t="s">
        <v>842</v>
      </c>
      <c r="G13" s="1" t="s">
        <v>780</v>
      </c>
      <c r="H13" s="1" t="s">
        <v>780</v>
      </c>
      <c r="I13" s="1" t="s">
        <v>780</v>
      </c>
      <c r="J13" s="1" t="s">
        <v>780</v>
      </c>
      <c r="K13" s="1" t="s">
        <v>780</v>
      </c>
      <c r="L13" s="1" t="s">
        <v>780</v>
      </c>
      <c r="M13" s="1" t="s">
        <v>780</v>
      </c>
      <c r="N13" s="1" t="s">
        <v>780</v>
      </c>
      <c r="O13" s="1" t="s">
        <v>780</v>
      </c>
      <c r="P13" s="1" t="s">
        <v>832</v>
      </c>
      <c r="Q13" s="502">
        <v>43045.229883090302</v>
      </c>
    </row>
    <row r="14" spans="1:17">
      <c r="A14" s="1" t="s">
        <v>1167</v>
      </c>
      <c r="B14" s="275" t="s">
        <v>833</v>
      </c>
      <c r="C14" s="1" t="s">
        <v>871</v>
      </c>
      <c r="D14" s="1" t="s">
        <v>826</v>
      </c>
      <c r="E14" s="1" t="s">
        <v>867</v>
      </c>
      <c r="F14" s="1" t="s">
        <v>867</v>
      </c>
      <c r="G14" s="1" t="s">
        <v>780</v>
      </c>
      <c r="H14" s="1" t="s">
        <v>780</v>
      </c>
      <c r="I14" s="1" t="s">
        <v>780</v>
      </c>
      <c r="J14" s="1" t="s">
        <v>780</v>
      </c>
      <c r="K14" s="1" t="s">
        <v>780</v>
      </c>
      <c r="L14" s="1" t="s">
        <v>780</v>
      </c>
      <c r="M14" s="1" t="s">
        <v>780</v>
      </c>
      <c r="N14" s="1" t="s">
        <v>780</v>
      </c>
      <c r="O14" s="1" t="s">
        <v>780</v>
      </c>
      <c r="P14" s="1" t="s">
        <v>820</v>
      </c>
      <c r="Q14" s="502">
        <v>43045.229883090302</v>
      </c>
    </row>
    <row r="15" spans="1:17">
      <c r="A15" s="1" t="s">
        <v>1167</v>
      </c>
      <c r="B15" s="275" t="s">
        <v>847</v>
      </c>
      <c r="C15" s="1" t="s">
        <v>871</v>
      </c>
      <c r="D15" s="1" t="s">
        <v>1311</v>
      </c>
      <c r="E15" s="1" t="s">
        <v>1301</v>
      </c>
      <c r="F15" s="1" t="s">
        <v>839</v>
      </c>
      <c r="G15" s="1" t="s">
        <v>780</v>
      </c>
      <c r="H15" s="1" t="s">
        <v>780</v>
      </c>
      <c r="I15" s="1" t="s">
        <v>780</v>
      </c>
      <c r="J15" s="1" t="s">
        <v>780</v>
      </c>
      <c r="K15" s="1" t="s">
        <v>780</v>
      </c>
      <c r="L15" s="1" t="s">
        <v>780</v>
      </c>
      <c r="M15" s="1" t="s">
        <v>780</v>
      </c>
      <c r="N15" s="1" t="s">
        <v>780</v>
      </c>
      <c r="O15" s="1" t="s">
        <v>780</v>
      </c>
      <c r="P15" s="1" t="s">
        <v>1312</v>
      </c>
      <c r="Q15" s="502">
        <v>43045.229883090302</v>
      </c>
    </row>
    <row r="16" spans="1:17">
      <c r="A16" s="1" t="s">
        <v>1167</v>
      </c>
      <c r="B16" s="275" t="s">
        <v>853</v>
      </c>
      <c r="C16" s="1" t="s">
        <v>871</v>
      </c>
      <c r="D16" s="1" t="s">
        <v>780</v>
      </c>
      <c r="E16" s="1" t="s">
        <v>780</v>
      </c>
      <c r="F16" s="1" t="s">
        <v>780</v>
      </c>
      <c r="G16" s="1" t="s">
        <v>780</v>
      </c>
      <c r="H16" s="1" t="s">
        <v>780</v>
      </c>
      <c r="I16" s="1" t="s">
        <v>780</v>
      </c>
      <c r="J16" s="1" t="s">
        <v>780</v>
      </c>
      <c r="K16" s="1" t="s">
        <v>780</v>
      </c>
      <c r="L16" s="1" t="s">
        <v>780</v>
      </c>
      <c r="M16" s="1" t="s">
        <v>780</v>
      </c>
      <c r="N16" s="1" t="s">
        <v>780</v>
      </c>
      <c r="O16" s="1" t="s">
        <v>780</v>
      </c>
      <c r="P16" s="1" t="s">
        <v>780</v>
      </c>
      <c r="Q16" s="502">
        <v>43045.229883090302</v>
      </c>
    </row>
    <row r="17" spans="1:17">
      <c r="A17" s="1" t="s">
        <v>1167</v>
      </c>
      <c r="B17" s="275" t="s">
        <v>877</v>
      </c>
      <c r="C17" s="1" t="s">
        <v>871</v>
      </c>
      <c r="D17" s="1" t="s">
        <v>780</v>
      </c>
      <c r="E17" s="1" t="s">
        <v>780</v>
      </c>
      <c r="F17" s="1" t="s">
        <v>780</v>
      </c>
      <c r="G17" s="1" t="s">
        <v>780</v>
      </c>
      <c r="H17" s="1" t="s">
        <v>780</v>
      </c>
      <c r="I17" s="1" t="s">
        <v>780</v>
      </c>
      <c r="J17" s="1" t="s">
        <v>780</v>
      </c>
      <c r="K17" s="1" t="s">
        <v>780</v>
      </c>
      <c r="L17" s="1" t="s">
        <v>780</v>
      </c>
      <c r="M17" s="1" t="s">
        <v>780</v>
      </c>
      <c r="N17" s="1" t="s">
        <v>780</v>
      </c>
      <c r="O17" s="1" t="s">
        <v>780</v>
      </c>
      <c r="P17" s="1" t="s">
        <v>780</v>
      </c>
      <c r="Q17" s="502">
        <v>43045.229883090302</v>
      </c>
    </row>
    <row r="18" spans="1:17">
      <c r="A18" s="1" t="s">
        <v>1167</v>
      </c>
      <c r="B18" s="275" t="s">
        <v>878</v>
      </c>
      <c r="C18" s="1" t="s">
        <v>871</v>
      </c>
      <c r="D18" s="1" t="s">
        <v>780</v>
      </c>
      <c r="E18" s="1" t="s">
        <v>780</v>
      </c>
      <c r="F18" s="1" t="s">
        <v>780</v>
      </c>
      <c r="G18" s="1" t="s">
        <v>780</v>
      </c>
      <c r="H18" s="1" t="s">
        <v>780</v>
      </c>
      <c r="I18" s="1" t="s">
        <v>780</v>
      </c>
      <c r="J18" s="1" t="s">
        <v>780</v>
      </c>
      <c r="K18" s="1" t="s">
        <v>780</v>
      </c>
      <c r="L18" s="1" t="s">
        <v>780</v>
      </c>
      <c r="M18" s="1" t="s">
        <v>780</v>
      </c>
      <c r="N18" s="1" t="s">
        <v>780</v>
      </c>
      <c r="O18" s="1" t="s">
        <v>780</v>
      </c>
      <c r="P18" s="1" t="s">
        <v>780</v>
      </c>
      <c r="Q18" s="502">
        <v>43045.229883090302</v>
      </c>
    </row>
    <row r="19" spans="1:17">
      <c r="A19" s="1" t="s">
        <v>1167</v>
      </c>
      <c r="B19" s="275" t="s">
        <v>879</v>
      </c>
      <c r="C19" s="1" t="s">
        <v>871</v>
      </c>
      <c r="D19" s="1" t="s">
        <v>780</v>
      </c>
      <c r="E19" s="1" t="s">
        <v>780</v>
      </c>
      <c r="F19" s="1" t="s">
        <v>780</v>
      </c>
      <c r="G19" s="1" t="s">
        <v>780</v>
      </c>
      <c r="H19" s="1" t="s">
        <v>780</v>
      </c>
      <c r="I19" s="1" t="s">
        <v>780</v>
      </c>
      <c r="J19" s="1" t="s">
        <v>780</v>
      </c>
      <c r="K19" s="1" t="s">
        <v>780</v>
      </c>
      <c r="L19" s="1" t="s">
        <v>780</v>
      </c>
      <c r="M19" s="1" t="s">
        <v>780</v>
      </c>
      <c r="N19" s="1" t="s">
        <v>780</v>
      </c>
      <c r="O19" s="1" t="s">
        <v>780</v>
      </c>
      <c r="P19" s="1" t="s">
        <v>780</v>
      </c>
      <c r="Q19" s="502">
        <v>43045.229883090302</v>
      </c>
    </row>
    <row r="20" spans="1:17">
      <c r="A20" s="1" t="s">
        <v>1167</v>
      </c>
      <c r="B20" s="275" t="s">
        <v>880</v>
      </c>
      <c r="C20" s="1" t="s">
        <v>871</v>
      </c>
      <c r="D20" s="1" t="s">
        <v>780</v>
      </c>
      <c r="E20" s="1" t="s">
        <v>780</v>
      </c>
      <c r="F20" s="1" t="s">
        <v>780</v>
      </c>
      <c r="G20" s="1" t="s">
        <v>780</v>
      </c>
      <c r="H20" s="1" t="s">
        <v>780</v>
      </c>
      <c r="I20" s="1" t="s">
        <v>780</v>
      </c>
      <c r="J20" s="1" t="s">
        <v>780</v>
      </c>
      <c r="K20" s="1" t="s">
        <v>780</v>
      </c>
      <c r="L20" s="1" t="s">
        <v>780</v>
      </c>
      <c r="M20" s="1" t="s">
        <v>780</v>
      </c>
      <c r="N20" s="1" t="s">
        <v>780</v>
      </c>
      <c r="O20" s="1" t="s">
        <v>780</v>
      </c>
      <c r="P20" s="1" t="s">
        <v>780</v>
      </c>
      <c r="Q20" s="502">
        <v>43045.229883090302</v>
      </c>
    </row>
    <row r="21" spans="1:17">
      <c r="A21" s="1" t="s">
        <v>1167</v>
      </c>
      <c r="B21" s="275" t="s">
        <v>881</v>
      </c>
      <c r="C21" s="1" t="s">
        <v>871</v>
      </c>
      <c r="D21" s="1" t="s">
        <v>780</v>
      </c>
      <c r="E21" s="1" t="s">
        <v>780</v>
      </c>
      <c r="F21" s="1" t="s">
        <v>780</v>
      </c>
      <c r="G21" s="1" t="s">
        <v>780</v>
      </c>
      <c r="H21" s="1" t="s">
        <v>780</v>
      </c>
      <c r="I21" s="1" t="s">
        <v>780</v>
      </c>
      <c r="J21" s="1" t="s">
        <v>780</v>
      </c>
      <c r="K21" s="1" t="s">
        <v>780</v>
      </c>
      <c r="L21" s="1" t="s">
        <v>780</v>
      </c>
      <c r="M21" s="1" t="s">
        <v>780</v>
      </c>
      <c r="N21" s="1" t="s">
        <v>780</v>
      </c>
      <c r="O21" s="1" t="s">
        <v>780</v>
      </c>
      <c r="P21" s="1" t="s">
        <v>780</v>
      </c>
      <c r="Q21" s="502">
        <v>43045.229883090302</v>
      </c>
    </row>
    <row r="22" spans="1:17">
      <c r="A22" s="1" t="s">
        <v>1167</v>
      </c>
      <c r="B22" s="275" t="s">
        <v>882</v>
      </c>
      <c r="C22" s="1" t="s">
        <v>871</v>
      </c>
      <c r="D22" s="1" t="s">
        <v>829</v>
      </c>
      <c r="E22" s="1" t="s">
        <v>830</v>
      </c>
      <c r="F22" s="1" t="s">
        <v>867</v>
      </c>
      <c r="G22" s="1" t="s">
        <v>780</v>
      </c>
      <c r="H22" s="1" t="s">
        <v>780</v>
      </c>
      <c r="I22" s="1" t="s">
        <v>780</v>
      </c>
      <c r="J22" s="1" t="s">
        <v>780</v>
      </c>
      <c r="K22" s="1" t="s">
        <v>780</v>
      </c>
      <c r="L22" s="1" t="s">
        <v>780</v>
      </c>
      <c r="M22" s="1" t="s">
        <v>780</v>
      </c>
      <c r="N22" s="1" t="s">
        <v>780</v>
      </c>
      <c r="O22" s="1" t="s">
        <v>780</v>
      </c>
      <c r="P22" s="1" t="s">
        <v>829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1141</v>
      </c>
      <c r="B1" s="503" t="s">
        <v>360</v>
      </c>
      <c r="C1" s="503" t="s">
        <v>1142</v>
      </c>
      <c r="D1" s="503" t="s">
        <v>1143</v>
      </c>
      <c r="E1" s="503" t="s">
        <v>1144</v>
      </c>
      <c r="F1" s="503" t="s">
        <v>1145</v>
      </c>
      <c r="G1" s="503" t="s">
        <v>1146</v>
      </c>
      <c r="H1" s="503" t="s">
        <v>1147</v>
      </c>
      <c r="I1" s="503" t="s">
        <v>1148</v>
      </c>
      <c r="J1" s="503" t="s">
        <v>1149</v>
      </c>
      <c r="K1" s="503" t="s">
        <v>1150</v>
      </c>
      <c r="L1" s="503" t="s">
        <v>1151</v>
      </c>
      <c r="M1" s="503" t="s">
        <v>1152</v>
      </c>
      <c r="N1" s="503" t="s">
        <v>1153</v>
      </c>
      <c r="O1" s="503" t="s">
        <v>1313</v>
      </c>
    </row>
    <row r="2" spans="1:15">
      <c r="A2" s="503" t="s">
        <v>1167</v>
      </c>
      <c r="B2" s="503" t="s">
        <v>363</v>
      </c>
      <c r="C2" s="503" t="s">
        <v>1314</v>
      </c>
      <c r="D2" s="503" t="s">
        <v>1315</v>
      </c>
      <c r="E2" s="503" t="s">
        <v>1316</v>
      </c>
      <c r="F2" s="503" t="s">
        <v>780</v>
      </c>
      <c r="G2" s="503" t="s">
        <v>780</v>
      </c>
      <c r="H2" s="503" t="s">
        <v>780</v>
      </c>
      <c r="I2" s="503" t="s">
        <v>780</v>
      </c>
      <c r="J2" s="503" t="s">
        <v>780</v>
      </c>
      <c r="K2" s="503" t="s">
        <v>780</v>
      </c>
      <c r="L2" s="503" t="s">
        <v>780</v>
      </c>
      <c r="M2" s="503" t="s">
        <v>780</v>
      </c>
      <c r="N2" s="503" t="s">
        <v>780</v>
      </c>
      <c r="O2" s="503" t="s">
        <v>1317</v>
      </c>
    </row>
    <row r="3" spans="1:15">
      <c r="A3" s="503" t="s">
        <v>1167</v>
      </c>
      <c r="B3" s="503" t="s">
        <v>396</v>
      </c>
      <c r="C3" s="503" t="s">
        <v>1318</v>
      </c>
      <c r="D3" s="503" t="s">
        <v>1319</v>
      </c>
      <c r="E3" s="503" t="s">
        <v>1320</v>
      </c>
      <c r="F3" s="503" t="s">
        <v>780</v>
      </c>
      <c r="G3" s="503" t="s">
        <v>780</v>
      </c>
      <c r="H3" s="503" t="s">
        <v>780</v>
      </c>
      <c r="I3" s="503" t="s">
        <v>780</v>
      </c>
      <c r="J3" s="503" t="s">
        <v>780</v>
      </c>
      <c r="K3" s="503" t="s">
        <v>780</v>
      </c>
      <c r="L3" s="503" t="s">
        <v>780</v>
      </c>
      <c r="M3" s="503" t="s">
        <v>780</v>
      </c>
      <c r="N3" s="503" t="s">
        <v>780</v>
      </c>
      <c r="O3" s="503" t="s">
        <v>1321</v>
      </c>
    </row>
    <row r="4" spans="1:15">
      <c r="A4" s="503" t="s">
        <v>1167</v>
      </c>
      <c r="B4" s="503" t="s">
        <v>425</v>
      </c>
      <c r="C4" s="503" t="s">
        <v>940</v>
      </c>
      <c r="D4" s="503" t="s">
        <v>925</v>
      </c>
      <c r="E4" s="503" t="s">
        <v>237</v>
      </c>
      <c r="F4" s="503" t="s">
        <v>780</v>
      </c>
      <c r="G4" s="503" t="s">
        <v>780</v>
      </c>
      <c r="H4" s="503" t="s">
        <v>780</v>
      </c>
      <c r="I4" s="503" t="s">
        <v>780</v>
      </c>
      <c r="J4" s="503" t="s">
        <v>780</v>
      </c>
      <c r="K4" s="503" t="s">
        <v>780</v>
      </c>
      <c r="L4" s="503" t="s">
        <v>780</v>
      </c>
      <c r="M4" s="503" t="s">
        <v>780</v>
      </c>
      <c r="N4" s="503" t="s">
        <v>780</v>
      </c>
      <c r="O4" s="503" t="s">
        <v>1322</v>
      </c>
    </row>
    <row r="5" spans="1:15">
      <c r="A5" s="503" t="s">
        <v>1167</v>
      </c>
      <c r="B5" s="503" t="s">
        <v>452</v>
      </c>
      <c r="C5" s="503" t="s">
        <v>1323</v>
      </c>
      <c r="D5" s="503" t="s">
        <v>1324</v>
      </c>
      <c r="E5" s="503" t="s">
        <v>1325</v>
      </c>
      <c r="F5" s="503" t="s">
        <v>780</v>
      </c>
      <c r="G5" s="503" t="s">
        <v>780</v>
      </c>
      <c r="H5" s="503" t="s">
        <v>780</v>
      </c>
      <c r="I5" s="503" t="s">
        <v>780</v>
      </c>
      <c r="J5" s="503" t="s">
        <v>780</v>
      </c>
      <c r="K5" s="503" t="s">
        <v>780</v>
      </c>
      <c r="L5" s="503" t="s">
        <v>780</v>
      </c>
      <c r="M5" s="503" t="s">
        <v>780</v>
      </c>
      <c r="N5" s="503" t="s">
        <v>780</v>
      </c>
      <c r="O5" s="503" t="s">
        <v>941</v>
      </c>
    </row>
    <row r="6" spans="1:15">
      <c r="A6" s="503" t="s">
        <v>1167</v>
      </c>
      <c r="B6" s="503" t="s">
        <v>479</v>
      </c>
      <c r="C6" s="503" t="s">
        <v>1326</v>
      </c>
      <c r="D6" s="503" t="s">
        <v>1327</v>
      </c>
      <c r="E6" s="503" t="s">
        <v>1328</v>
      </c>
      <c r="F6" s="503" t="s">
        <v>780</v>
      </c>
      <c r="G6" s="503" t="s">
        <v>780</v>
      </c>
      <c r="H6" s="503" t="s">
        <v>780</v>
      </c>
      <c r="I6" s="503" t="s">
        <v>780</v>
      </c>
      <c r="J6" s="503" t="s">
        <v>780</v>
      </c>
      <c r="K6" s="503" t="s">
        <v>780</v>
      </c>
      <c r="L6" s="503" t="s">
        <v>780</v>
      </c>
      <c r="M6" s="503" t="s">
        <v>780</v>
      </c>
      <c r="N6" s="503" t="s">
        <v>780</v>
      </c>
      <c r="O6" s="503" t="s">
        <v>1329</v>
      </c>
    </row>
    <row r="7" spans="1:15">
      <c r="A7" s="503" t="s">
        <v>1167</v>
      </c>
      <c r="B7" s="503" t="s">
        <v>508</v>
      </c>
      <c r="C7" s="503" t="s">
        <v>780</v>
      </c>
      <c r="D7" s="503" t="s">
        <v>780</v>
      </c>
      <c r="E7" s="503" t="s">
        <v>780</v>
      </c>
      <c r="F7" s="503" t="s">
        <v>780</v>
      </c>
      <c r="G7" s="503" t="s">
        <v>780</v>
      </c>
      <c r="H7" s="503" t="s">
        <v>780</v>
      </c>
      <c r="I7" s="503" t="s">
        <v>780</v>
      </c>
      <c r="J7" s="503" t="s">
        <v>780</v>
      </c>
      <c r="K7" s="503" t="s">
        <v>780</v>
      </c>
      <c r="L7" s="503" t="s">
        <v>780</v>
      </c>
      <c r="M7" s="503" t="s">
        <v>780</v>
      </c>
      <c r="N7" s="503" t="s">
        <v>780</v>
      </c>
      <c r="O7" s="503" t="s">
        <v>780</v>
      </c>
    </row>
    <row r="8" spans="1:15">
      <c r="A8" s="503" t="s">
        <v>1167</v>
      </c>
      <c r="B8" s="503" t="s">
        <v>509</v>
      </c>
      <c r="C8" s="503" t="s">
        <v>1328</v>
      </c>
      <c r="D8" s="503" t="s">
        <v>1330</v>
      </c>
      <c r="E8" s="503" t="s">
        <v>1331</v>
      </c>
      <c r="F8" s="503" t="s">
        <v>780</v>
      </c>
      <c r="G8" s="503" t="s">
        <v>780</v>
      </c>
      <c r="H8" s="503" t="s">
        <v>780</v>
      </c>
      <c r="I8" s="503" t="s">
        <v>780</v>
      </c>
      <c r="J8" s="503" t="s">
        <v>780</v>
      </c>
      <c r="K8" s="503" t="s">
        <v>780</v>
      </c>
      <c r="L8" s="503" t="s">
        <v>780</v>
      </c>
      <c r="M8" s="503" t="s">
        <v>780</v>
      </c>
      <c r="N8" s="503" t="s">
        <v>780</v>
      </c>
      <c r="O8" s="503" t="s">
        <v>1332</v>
      </c>
    </row>
    <row r="9" spans="1:15">
      <c r="A9" s="503" t="s">
        <v>1167</v>
      </c>
      <c r="B9" s="503" t="s">
        <v>821</v>
      </c>
      <c r="C9" s="503" t="s">
        <v>359</v>
      </c>
      <c r="D9" s="503" t="s">
        <v>1333</v>
      </c>
      <c r="E9" s="503" t="s">
        <v>1334</v>
      </c>
      <c r="F9" s="503" t="s">
        <v>780</v>
      </c>
      <c r="G9" s="503" t="s">
        <v>780</v>
      </c>
      <c r="H9" s="503" t="s">
        <v>780</v>
      </c>
      <c r="I9" s="503" t="s">
        <v>780</v>
      </c>
      <c r="J9" s="503" t="s">
        <v>780</v>
      </c>
      <c r="K9" s="503" t="s">
        <v>780</v>
      </c>
      <c r="L9" s="503" t="s">
        <v>780</v>
      </c>
      <c r="M9" s="503" t="s">
        <v>780</v>
      </c>
      <c r="N9" s="503" t="s">
        <v>780</v>
      </c>
      <c r="O9" s="503" t="s">
        <v>1335</v>
      </c>
    </row>
    <row r="10" spans="1:15">
      <c r="A10" s="503" t="s">
        <v>1167</v>
      </c>
      <c r="B10" s="503" t="s">
        <v>824</v>
      </c>
      <c r="C10" s="503" t="s">
        <v>1334</v>
      </c>
      <c r="D10" s="503" t="s">
        <v>359</v>
      </c>
      <c r="E10" s="503" t="s">
        <v>780</v>
      </c>
      <c r="F10" s="503" t="s">
        <v>780</v>
      </c>
      <c r="G10" s="503" t="s">
        <v>780</v>
      </c>
      <c r="H10" s="503" t="s">
        <v>780</v>
      </c>
      <c r="I10" s="503" t="s">
        <v>780</v>
      </c>
      <c r="J10" s="503" t="s">
        <v>780</v>
      </c>
      <c r="K10" s="503" t="s">
        <v>780</v>
      </c>
      <c r="L10" s="503" t="s">
        <v>780</v>
      </c>
      <c r="M10" s="503" t="s">
        <v>780</v>
      </c>
      <c r="N10" s="503" t="s">
        <v>780</v>
      </c>
      <c r="O10" s="503" t="s">
        <v>1333</v>
      </c>
    </row>
    <row r="11" spans="1:15">
      <c r="A11" s="503" t="s">
        <v>1167</v>
      </c>
      <c r="B11" s="503" t="s">
        <v>825</v>
      </c>
      <c r="C11" s="503" t="s">
        <v>1336</v>
      </c>
      <c r="D11" s="503" t="s">
        <v>1337</v>
      </c>
      <c r="E11" s="503" t="s">
        <v>1338</v>
      </c>
      <c r="F11" s="503" t="s">
        <v>780</v>
      </c>
      <c r="G11" s="503" t="s">
        <v>780</v>
      </c>
      <c r="H11" s="503" t="s">
        <v>780</v>
      </c>
      <c r="I11" s="503" t="s">
        <v>780</v>
      </c>
      <c r="J11" s="503" t="s">
        <v>780</v>
      </c>
      <c r="K11" s="503" t="s">
        <v>780</v>
      </c>
      <c r="L11" s="503" t="s">
        <v>780</v>
      </c>
      <c r="M11" s="503" t="s">
        <v>780</v>
      </c>
      <c r="N11" s="503" t="s">
        <v>780</v>
      </c>
      <c r="O11" s="503" t="s">
        <v>1339</v>
      </c>
    </row>
    <row r="12" spans="1:15">
      <c r="A12" s="503" t="s">
        <v>1167</v>
      </c>
      <c r="B12" s="503" t="s">
        <v>833</v>
      </c>
      <c r="C12" s="503" t="s">
        <v>1340</v>
      </c>
      <c r="D12" s="503" t="s">
        <v>1341</v>
      </c>
      <c r="E12" s="503" t="s">
        <v>1342</v>
      </c>
      <c r="F12" s="503" t="s">
        <v>780</v>
      </c>
      <c r="G12" s="503" t="s">
        <v>780</v>
      </c>
      <c r="H12" s="503" t="s">
        <v>780</v>
      </c>
      <c r="I12" s="503" t="s">
        <v>780</v>
      </c>
      <c r="J12" s="503" t="s">
        <v>780</v>
      </c>
      <c r="K12" s="503" t="s">
        <v>780</v>
      </c>
      <c r="L12" s="503" t="s">
        <v>780</v>
      </c>
      <c r="M12" s="503" t="s">
        <v>780</v>
      </c>
      <c r="N12" s="503" t="s">
        <v>780</v>
      </c>
      <c r="O12" s="503" t="s">
        <v>1343</v>
      </c>
    </row>
    <row r="13" spans="1:15">
      <c r="A13" s="503" t="s">
        <v>1167</v>
      </c>
      <c r="B13" s="503" t="s">
        <v>847</v>
      </c>
      <c r="C13" s="503" t="s">
        <v>1344</v>
      </c>
      <c r="D13" s="503" t="s">
        <v>1345</v>
      </c>
      <c r="E13" s="503" t="s">
        <v>1346</v>
      </c>
      <c r="F13" s="503" t="s">
        <v>780</v>
      </c>
      <c r="G13" s="503" t="s">
        <v>780</v>
      </c>
      <c r="H13" s="503" t="s">
        <v>780</v>
      </c>
      <c r="I13" s="503" t="s">
        <v>780</v>
      </c>
      <c r="J13" s="503" t="s">
        <v>780</v>
      </c>
      <c r="K13" s="503" t="s">
        <v>780</v>
      </c>
      <c r="L13" s="503" t="s">
        <v>780</v>
      </c>
      <c r="M13" s="503" t="s">
        <v>780</v>
      </c>
      <c r="N13" s="503" t="s">
        <v>780</v>
      </c>
      <c r="O13" s="503" t="s">
        <v>1347</v>
      </c>
    </row>
    <row r="14" spans="1:15">
      <c r="A14" s="503" t="s">
        <v>1167</v>
      </c>
      <c r="B14" s="503" t="s">
        <v>853</v>
      </c>
      <c r="C14" s="503" t="s">
        <v>780</v>
      </c>
      <c r="D14" s="503" t="s">
        <v>237</v>
      </c>
      <c r="E14" s="503" t="s">
        <v>780</v>
      </c>
      <c r="F14" s="503" t="s">
        <v>780</v>
      </c>
      <c r="G14" s="503" t="s">
        <v>780</v>
      </c>
      <c r="H14" s="503" t="s">
        <v>780</v>
      </c>
      <c r="I14" s="503" t="s">
        <v>780</v>
      </c>
      <c r="J14" s="503" t="s">
        <v>780</v>
      </c>
      <c r="K14" s="503" t="s">
        <v>780</v>
      </c>
      <c r="L14" s="503" t="s">
        <v>780</v>
      </c>
      <c r="M14" s="503" t="s">
        <v>780</v>
      </c>
      <c r="N14" s="503" t="s">
        <v>780</v>
      </c>
      <c r="O14" s="503" t="s">
        <v>236</v>
      </c>
    </row>
    <row r="15" spans="1:15">
      <c r="A15" s="503" t="s">
        <v>1167</v>
      </c>
      <c r="B15" s="503" t="s">
        <v>877</v>
      </c>
      <c r="C15" s="503" t="s">
        <v>780</v>
      </c>
      <c r="D15" s="503" t="s">
        <v>780</v>
      </c>
      <c r="E15" s="503" t="s">
        <v>780</v>
      </c>
      <c r="F15" s="503" t="s">
        <v>780</v>
      </c>
      <c r="G15" s="503" t="s">
        <v>780</v>
      </c>
      <c r="H15" s="503" t="s">
        <v>780</v>
      </c>
      <c r="I15" s="503" t="s">
        <v>780</v>
      </c>
      <c r="J15" s="503" t="s">
        <v>780</v>
      </c>
      <c r="K15" s="503" t="s">
        <v>780</v>
      </c>
      <c r="L15" s="503" t="s">
        <v>780</v>
      </c>
      <c r="M15" s="503" t="s">
        <v>780</v>
      </c>
      <c r="N15" s="503" t="s">
        <v>780</v>
      </c>
      <c r="O15" s="503" t="s">
        <v>780</v>
      </c>
    </row>
    <row r="16" spans="1:15">
      <c r="A16" s="503" t="s">
        <v>1167</v>
      </c>
      <c r="B16" s="503" t="s">
        <v>878</v>
      </c>
      <c r="C16" s="503" t="s">
        <v>780</v>
      </c>
      <c r="D16" s="503" t="s">
        <v>780</v>
      </c>
      <c r="E16" s="503" t="s">
        <v>780</v>
      </c>
      <c r="F16" s="503" t="s">
        <v>780</v>
      </c>
      <c r="G16" s="503" t="s">
        <v>780</v>
      </c>
      <c r="H16" s="503" t="s">
        <v>780</v>
      </c>
      <c r="I16" s="503" t="s">
        <v>780</v>
      </c>
      <c r="J16" s="503" t="s">
        <v>780</v>
      </c>
      <c r="K16" s="503" t="s">
        <v>780</v>
      </c>
      <c r="L16" s="503" t="s">
        <v>780</v>
      </c>
      <c r="M16" s="503" t="s">
        <v>780</v>
      </c>
      <c r="N16" s="503" t="s">
        <v>780</v>
      </c>
      <c r="O16" s="503" t="s">
        <v>780</v>
      </c>
    </row>
    <row r="17" spans="1:15">
      <c r="A17" s="503" t="s">
        <v>1167</v>
      </c>
      <c r="B17" s="503" t="s">
        <v>879</v>
      </c>
      <c r="C17" s="503" t="s">
        <v>780</v>
      </c>
      <c r="D17" s="503" t="s">
        <v>780</v>
      </c>
      <c r="E17" s="503" t="s">
        <v>780</v>
      </c>
      <c r="F17" s="503" t="s">
        <v>780</v>
      </c>
      <c r="G17" s="503" t="s">
        <v>780</v>
      </c>
      <c r="H17" s="503" t="s">
        <v>780</v>
      </c>
      <c r="I17" s="503" t="s">
        <v>780</v>
      </c>
      <c r="J17" s="503" t="s">
        <v>780</v>
      </c>
      <c r="K17" s="503" t="s">
        <v>780</v>
      </c>
      <c r="L17" s="503" t="s">
        <v>780</v>
      </c>
      <c r="M17" s="503" t="s">
        <v>780</v>
      </c>
      <c r="N17" s="503" t="s">
        <v>780</v>
      </c>
      <c r="O17" s="503" t="s">
        <v>780</v>
      </c>
    </row>
    <row r="18" spans="1:15">
      <c r="A18" s="503" t="s">
        <v>1167</v>
      </c>
      <c r="B18" s="503" t="s">
        <v>880</v>
      </c>
      <c r="C18" s="503" t="s">
        <v>780</v>
      </c>
      <c r="D18" s="503" t="s">
        <v>780</v>
      </c>
      <c r="E18" s="503" t="s">
        <v>780</v>
      </c>
      <c r="F18" s="503" t="s">
        <v>780</v>
      </c>
      <c r="G18" s="503" t="s">
        <v>780</v>
      </c>
      <c r="H18" s="503" t="s">
        <v>780</v>
      </c>
      <c r="I18" s="503" t="s">
        <v>780</v>
      </c>
      <c r="J18" s="503" t="s">
        <v>780</v>
      </c>
      <c r="K18" s="503" t="s">
        <v>780</v>
      </c>
      <c r="L18" s="503" t="s">
        <v>780</v>
      </c>
      <c r="M18" s="503" t="s">
        <v>780</v>
      </c>
      <c r="N18" s="503" t="s">
        <v>780</v>
      </c>
      <c r="O18" s="503" t="s">
        <v>780</v>
      </c>
    </row>
    <row r="19" spans="1:15">
      <c r="A19" s="503" t="s">
        <v>1167</v>
      </c>
      <c r="B19" s="503" t="s">
        <v>881</v>
      </c>
      <c r="C19" s="503" t="s">
        <v>780</v>
      </c>
      <c r="D19" s="503" t="s">
        <v>780</v>
      </c>
      <c r="E19" s="503" t="s">
        <v>780</v>
      </c>
      <c r="F19" s="503" t="s">
        <v>780</v>
      </c>
      <c r="G19" s="503" t="s">
        <v>780</v>
      </c>
      <c r="H19" s="503" t="s">
        <v>780</v>
      </c>
      <c r="I19" s="503" t="s">
        <v>780</v>
      </c>
      <c r="J19" s="503" t="s">
        <v>780</v>
      </c>
      <c r="K19" s="503" t="s">
        <v>780</v>
      </c>
      <c r="L19" s="503" t="s">
        <v>780</v>
      </c>
      <c r="M19" s="503" t="s">
        <v>780</v>
      </c>
      <c r="N19" s="503" t="s">
        <v>780</v>
      </c>
      <c r="O19" s="503" t="s">
        <v>780</v>
      </c>
    </row>
    <row r="20" spans="1:15">
      <c r="A20" s="503" t="s">
        <v>1167</v>
      </c>
      <c r="B20" s="503" t="s">
        <v>882</v>
      </c>
      <c r="C20" s="503" t="s">
        <v>1348</v>
      </c>
      <c r="D20" s="503" t="s">
        <v>1349</v>
      </c>
      <c r="E20" s="503" t="s">
        <v>1350</v>
      </c>
      <c r="F20" s="503" t="s">
        <v>780</v>
      </c>
      <c r="G20" s="503" t="s">
        <v>780</v>
      </c>
      <c r="H20" s="503" t="s">
        <v>780</v>
      </c>
      <c r="I20" s="503" t="s">
        <v>780</v>
      </c>
      <c r="J20" s="503" t="s">
        <v>780</v>
      </c>
      <c r="K20" s="503" t="s">
        <v>780</v>
      </c>
      <c r="L20" s="503" t="s">
        <v>780</v>
      </c>
      <c r="M20" s="503" t="s">
        <v>780</v>
      </c>
      <c r="N20" s="503" t="s">
        <v>780</v>
      </c>
      <c r="O20" s="503" t="s">
        <v>1351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Props1.xml><?xml version="1.0" encoding="utf-8"?>
<ds:datastoreItem xmlns:ds="http://schemas.openxmlformats.org/officeDocument/2006/customXml" ds:itemID="{3FFB7D54-D8DD-40F6-AADE-44BF7F1FE3BF}"/>
</file>

<file path=customXml/itemProps2.xml><?xml version="1.0" encoding="utf-8"?>
<ds:datastoreItem xmlns:ds="http://schemas.openxmlformats.org/officeDocument/2006/customXml" ds:itemID="{EC39957D-8F25-4C5A-A3A8-28652AEF8862}"/>
</file>

<file path=customXml/itemProps3.xml><?xml version="1.0" encoding="utf-8"?>
<ds:datastoreItem xmlns:ds="http://schemas.openxmlformats.org/officeDocument/2006/customXml" ds:itemID="{7F37239D-59F0-4EEF-ACF2-57D62CF26E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徐得凱</cp:lastModifiedBy>
  <cp:revision/>
  <dcterms:created xsi:type="dcterms:W3CDTF">2010-08-05T03:30:00Z</dcterms:created>
  <dcterms:modified xsi:type="dcterms:W3CDTF">2025-06-10T08:43:44Z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2025-05-01T23:56:25Z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d50786da-48ca-4a87-a031-ddf485a8f1a0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