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2" documentId="13_ncr:1_{30BF410C-24C1-488C-A89A-D93491F82DFC}" xr6:coauthVersionLast="47" xr6:coauthVersionMax="47" xr10:uidLastSave="{B28E6A03-5A57-46C3-AE00-824A09AEE655}"/>
  <bookViews>
    <workbookView xWindow="28680" yWindow="-120" windowWidth="29040" windowHeight="15720" tabRatio="908" firstSheet="2" activeTab="2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2" l="1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O3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F6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<sst xmlns="http://schemas.openxmlformats.org/spreadsheetml/2006/main" count="7071" uniqueCount="1385">
  <si>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</si>
  <si>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</si>
  <si>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</si>
  <si>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</si>
  <si>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</si>
  <si>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</si>
  <si>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</si>
  <si>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</si>
  <si>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</si>
  <si>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</si>
  <si>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</si>
  <si>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</si>
  <si>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</si>
  <si>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</si>
  <si>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</si>
  <si>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</si>
  <si>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</si>
  <si>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</si>
  <si>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</si>
  <si>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</si>
  <si>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</si>
  <si>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</si>
  <si>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</si>
  <si>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</si>
  <si>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</si>
  <si>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</si>
  <si>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</si>
  <si>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</si>
  <si>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</si>
  <si>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</si>
  <si>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</si>
  <si>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</si>
  <si>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</si>
  <si>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</si>
  <si>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</si>
  <si>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</si>
  <si>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</si>
  <si>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</si>
  <si>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</si>
  <si>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</si>
  <si>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</si>
  <si>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</si>
  <si>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</si>
  <si>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</si>
  <si>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</si>
  <si>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</si>
  <si>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</si>
  <si>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</si>
  <si>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</si>
  <si>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</si>
  <si>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</si>
  <si>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</si>
  <si>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</si>
  <si>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</si>
  <si>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</si>
  <si>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</si>
  <si>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</si>
  <si>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</si>
  <si>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</si>
  <si>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</si>
  <si>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</si>
  <si>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</si>
  <si>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</si>
  <si>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</si>
  <si>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</si>
  <si>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</si>
  <si>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</si>
  <si>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</si>
  <si>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</si>
  <si>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</si>
  <si>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</si>
  <si>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</si>
  <si>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</si>
  <si>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</si>
  <si>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</si>
  <si>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</si>
  <si>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</si>
  <si>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</si>
  <si>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</si>
  <si>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</si>
  <si>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</si>
  <si>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</si>
  <si>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</si>
  <si>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</si>
  <si>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</si>
  <si>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</si>
  <si>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</si>
  <si>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</si>
  <si>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</si>
  <si>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</si>
  <si>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</si>
  <si>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</si>
  <si>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</si>
  <si>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</si>
  <si>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</si>
  <si>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</si>
  <si>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</si>
  <si>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</si>
  <si>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</si>
  <si>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</si>
  <si>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</si>
  <si>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</si>
  <si>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</si>
  <si>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</si>
  <si>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</si>
  <si>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</si>
  <si>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</si>
  <si>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</si>
  <si>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</si>
  <si>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</si>
  <si>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</si>
  <si>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</si>
  <si>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</si>
  <si>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</si>
  <si>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</si>
  <si>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</si>
  <si>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</si>
  <si>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</si>
  <si>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</si>
  <si>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</si>
  <si>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</si>
  <si>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</si>
  <si>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</si>
  <si>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</si>
  <si>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</si>
  <si>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</si>
  <si>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</si>
  <si>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</si>
  <si>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</si>
  <si>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</si>
  <si>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</si>
  <si>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</si>
  <si>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</si>
  <si>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</si>
  <si>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</si>
  <si>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</si>
  <si>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</si>
  <si>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</si>
  <si>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</si>
  <si>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</si>
  <si>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</si>
  <si>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</si>
  <si>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</si>
  <si>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</si>
  <si>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</si>
  <si>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</si>
  <si>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</si>
  <si>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</si>
  <si>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</si>
  <si>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</si>
  <si>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</si>
  <si>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</si>
  <si>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</si>
  <si>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</si>
  <si>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</si>
  <si>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</si>
  <si>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</si>
  <si>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</si>
  <si>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</si>
  <si>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</si>
  <si>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</si>
  <si>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</si>
  <si>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</si>
  <si>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</si>
  <si>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</si>
  <si>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</si>
  <si>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</si>
  <si>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</si>
  <si>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</si>
  <si>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</si>
  <si>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</si>
  <si>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</si>
  <si>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</si>
  <si>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</si>
  <si>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</si>
  <si>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</si>
  <si>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</si>
  <si>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</si>
  <si>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</si>
  <si>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</si>
  <si>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</si>
  <si>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</si>
  <si>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</si>
  <si>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</si>
  <si>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</si>
  <si>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</si>
  <si>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</si>
  <si>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</si>
  <si>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</si>
  <si>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</si>
  <si>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</si>
  <si>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</si>
  <si>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</si>
  <si>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</si>
  <si>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</si>
  <si>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</si>
  <si>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</si>
  <si>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</si>
  <si>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</si>
  <si>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</si>
  <si>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</si>
  <si>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</si>
  <si>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</si>
  <si>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</si>
  <si>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</si>
  <si>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</si>
  <si>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</si>
  <si>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</si>
  <si>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</si>
  <si>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</si>
  <si>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</si>
  <si>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</si>
  <si>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</si>
  <si>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</si>
  <si>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</si>
  <si>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</si>
  <si>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</si>
  <si>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</si>
  <si>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</si>
  <si>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</si>
  <si>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</si>
  <si>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</si>
  <si>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</si>
  <si>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</si>
  <si>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</si>
  <si>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</si>
  <si>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</si>
  <si>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</si>
  <si>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</si>
  <si>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</si>
  <si>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</si>
  <si>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</si>
  <si>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</si>
  <si>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</si>
  <si>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</si>
  <si>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</si>
  <si>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</si>
  <si>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</si>
  <si>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</si>
  <si>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</si>
  <si>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</si>
  <si>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</si>
  <si>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</si>
  <si>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</si>
  <si>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</si>
  <si>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</si>
  <si>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</si>
  <si>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</si>
  <si>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</si>
  <si>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</si>
  <si>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</si>
  <si>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</si>
  <si>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</si>
  <si>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</si>
  <si>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</si>
  <si>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</si>
  <si>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</si>
  <si>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</si>
  <si>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</si>
  <si>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</si>
  <si>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</si>
  <si>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</si>
  <si>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</si>
  <si>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</si>
  <si>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</si>
  <si>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</si>
  <si>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</si>
  <si>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</si>
  <si>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</si>
  <si>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</si>
  <si>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</si>
  <si>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</si>
  <si>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</si>
  <si>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</si>
  <si>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</si>
  <si>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</si>
  <si>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</si>
  <si>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</si>
  <si>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</si>
  <si>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</si>
  <si>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</si>
  <si>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</si>
  <si>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</si>
  <si>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</si>
  <si>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</si>
  <si>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</si>
  <si>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</si>
  <si>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</si>
  <si>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</si>
  <si>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</si>
  <si>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</si>
  <si>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</si>
  <si>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</si>
  <si>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</si>
  <si>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</si>
  <si>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</si>
  <si>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</si>
  <si>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</si>
  <si>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</si>
  <si>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</si>
  <si>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</si>
  <si>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</si>
  <si>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</si>
  <si>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</si>
  <si>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</si>
  <si>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</si>
  <si>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</si>
  <si>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</si>
  <si>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</si>
  <si>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</si>
  <si>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</si>
  <si>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</si>
  <si>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</si>
  <si>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</si>
  <si>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</si>
  <si>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</si>
  <si>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</si>
  <si>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</si>
  <si>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</si>
  <si>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</si>
  <si>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</si>
  <si>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</si>
  <si>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</si>
  <si>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</si>
  <si>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</si>
  <si>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</si>
  <si>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</si>
  <si>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</si>
  <si>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202503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</si>
  <si>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</si>
  <si>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</si>
  <si>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</si>
  <si>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</si>
  <si>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</si>
  <si>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</si>
  <si>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</si>
  <si>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</si>
  <si>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</si>
  <si>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</si>
  <si>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</si>
  <si>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</si>
  <si>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</si>
  <si>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</si>
  <si>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</si>
  <si>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</si>
  <si>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</si>
  <si>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</si>
  <si>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</si>
  <si>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</si>
  <si>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</si>
  <si>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</si>
  <si>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</si>
  <si>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</si>
  <si>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</si>
  <si>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</si>
  <si>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</si>
  <si>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</si>
  <si>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</si>
  <si>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</si>
  <si>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</si>
  <si>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</t>
  </si>
  <si>
    <t>FRCD</t>
  </si>
  <si>
    <t>DIFFAMT</t>
  </si>
  <si>
    <t>AVGAMT</t>
  </si>
  <si>
    <t>01-A</t>
  </si>
  <si>
    <t>304825366.00</t>
  </si>
  <si>
    <t>304811182.00</t>
  </si>
  <si>
    <t>304854044.00</t>
  </si>
  <si>
    <t>306000495.00</t>
  </si>
  <si>
    <t>303927856.00</t>
  </si>
  <si>
    <t>303275522.00</t>
  </si>
  <si>
    <t>307308759.00</t>
  </si>
  <si>
    <t>300269492.00</t>
  </si>
  <si>
    <t>300244238.00</t>
  </si>
  <si>
    <t>303591406.00</t>
  </si>
  <si>
    <t>303613028.00</t>
  </si>
  <si>
    <t>304110628.00</t>
  </si>
  <si>
    <t>305244069.00</t>
  </si>
  <si>
    <t>305647300.00</t>
  </si>
  <si>
    <t>299140284.00</t>
  </si>
  <si>
    <t>299138844.00</t>
  </si>
  <si>
    <t>298466789.00</t>
  </si>
  <si>
    <t>295010728.00</t>
  </si>
  <si>
    <t>302597072.00</t>
  </si>
  <si>
    <t>304667994.00</t>
  </si>
  <si>
    <t>308800948.00</t>
  </si>
  <si>
    <t>301661567.00</t>
  </si>
  <si>
    <t>301629650.00</t>
  </si>
  <si>
    <t>302482599.00</t>
  </si>
  <si>
    <t>299836873.00</t>
  </si>
  <si>
    <t>304138499.00</t>
  </si>
  <si>
    <t>306743210.00</t>
  </si>
  <si>
    <t>311095622.00</t>
  </si>
  <si>
    <t>304518293.00</t>
  </si>
  <si>
    <t>304503589.00</t>
  </si>
  <si>
    <t>307804297.00</t>
  </si>
  <si>
    <t>3300708.00</t>
  </si>
  <si>
    <t>303547104.61</t>
  </si>
  <si>
    <t>02-D</t>
  </si>
  <si>
    <t>227271624.00</t>
  </si>
  <si>
    <t>227271096.00</t>
  </si>
  <si>
    <t>226481563.00</t>
  </si>
  <si>
    <t>225653820.00</t>
  </si>
  <si>
    <t>224711977.00</t>
  </si>
  <si>
    <t>226080926.00</t>
  </si>
  <si>
    <t>227655817.00</t>
  </si>
  <si>
    <t>225993390.00</t>
  </si>
  <si>
    <t>226249967.00</t>
  </si>
  <si>
    <t>226833944.00</t>
  </si>
  <si>
    <t>227331011.00</t>
  </si>
  <si>
    <t>228024882.00</t>
  </si>
  <si>
    <t>232128401.00</t>
  </si>
  <si>
    <t>230664239.00</t>
  </si>
  <si>
    <t>231718758.00</t>
  </si>
  <si>
    <t>232184667.00</t>
  </si>
  <si>
    <t>233014173.00</t>
  </si>
  <si>
    <t>234302857.00</t>
  </si>
  <si>
    <t>235745948.00</t>
  </si>
  <si>
    <t>233807842.00</t>
  </si>
  <si>
    <t>236308234.00</t>
  </si>
  <si>
    <t>236018637.00</t>
  </si>
  <si>
    <t>236396058.00</t>
  </si>
  <si>
    <t>234688826.00</t>
  </si>
  <si>
    <t>234671977.00</t>
  </si>
  <si>
    <t>233292941.00</t>
  </si>
  <si>
    <t>234536820.00</t>
  </si>
  <si>
    <t>1243879.00</t>
  </si>
  <si>
    <t>230735445.39</t>
  </si>
  <si>
    <t>03-J</t>
  </si>
  <si>
    <t>4361958.00</t>
  </si>
  <si>
    <t>4509398.00</t>
  </si>
  <si>
    <t>4581832.00</t>
  </si>
  <si>
    <t>4895230.00</t>
  </si>
  <si>
    <t>5724042.00</t>
  </si>
  <si>
    <t>6812992.00</t>
  </si>
  <si>
    <t>5431560.00</t>
  </si>
  <si>
    <t>4996908.00</t>
  </si>
  <si>
    <t>4571933.00</t>
  </si>
  <si>
    <t>5948870.00</t>
  </si>
  <si>
    <t>5688255.00</t>
  </si>
  <si>
    <t>7389576.00</t>
  </si>
  <si>
    <t>6012121.00</t>
  </si>
  <si>
    <t>4439009.00</t>
  </si>
  <si>
    <t>5944268.00</t>
  </si>
  <si>
    <t>5719071.00</t>
  </si>
  <si>
    <t>5914828.00</t>
  </si>
  <si>
    <t>7846349.00</t>
  </si>
  <si>
    <t>6196737.00</t>
  </si>
  <si>
    <t>4758431.00</t>
  </si>
  <si>
    <t>6139109.00</t>
  </si>
  <si>
    <t>8297705.00</t>
  </si>
  <si>
    <t>8462294.00</t>
  </si>
  <si>
    <t>8700160.00</t>
  </si>
  <si>
    <t>6701627.00</t>
  </si>
  <si>
    <t>7953023.00</t>
  </si>
  <si>
    <t>1251396.00</t>
  </si>
  <si>
    <t>6022622.23</t>
  </si>
  <si>
    <t>04-O</t>
  </si>
  <si>
    <t>10953567.00</t>
  </si>
  <si>
    <t>10831725.00</t>
  </si>
  <si>
    <t>10986790.00</t>
  </si>
  <si>
    <t>10942626.00</t>
  </si>
  <si>
    <t>10880971.00</t>
  </si>
  <si>
    <t>10921096.00</t>
  </si>
  <si>
    <t>10912302.00</t>
  </si>
  <si>
    <t>10607524.00</t>
  </si>
  <si>
    <t>10715882.00</t>
  </si>
  <si>
    <t>6536072.00</t>
  </si>
  <si>
    <t>6379046.00</t>
  </si>
  <si>
    <t>6355627.00</t>
  </si>
  <si>
    <t>6350281.00</t>
  </si>
  <si>
    <t>6318497.00</t>
  </si>
  <si>
    <t>6298803.00</t>
  </si>
  <si>
    <t>6415910.00</t>
  </si>
  <si>
    <t>6257929.00</t>
  </si>
  <si>
    <t>6256196.00</t>
  </si>
  <si>
    <t>6242141.00</t>
  </si>
  <si>
    <t>6213451.00</t>
  </si>
  <si>
    <t>6338140.00</t>
  </si>
  <si>
    <t>6341724.00</t>
  </si>
  <si>
    <t>6313274.00</t>
  </si>
  <si>
    <t>6282603.00</t>
  </si>
  <si>
    <t>6204426.00</t>
  </si>
  <si>
    <t>6604155.00</t>
  </si>
  <si>
    <t>399729.00</t>
  </si>
  <si>
    <t>7939466.94</t>
  </si>
  <si>
    <t>05-N</t>
  </si>
  <si>
    <t>20474705.00</t>
  </si>
  <si>
    <t>20472706.00</t>
  </si>
  <si>
    <t>20793184.00</t>
  </si>
  <si>
    <t>20403853.00</t>
  </si>
  <si>
    <t>19781990.00</t>
  </si>
  <si>
    <t>20221404.00</t>
  </si>
  <si>
    <t>21002093.00</t>
  </si>
  <si>
    <t>18765880.00</t>
  </si>
  <si>
    <t>18765575.00</t>
  </si>
  <si>
    <t>18477813.00</t>
  </si>
  <si>
    <t>18820173.00</t>
  </si>
  <si>
    <t>19410225.00</t>
  </si>
  <si>
    <t>19250950.00</t>
  </si>
  <si>
    <t>21649250.00</t>
  </si>
  <si>
    <t>19511547.00</t>
  </si>
  <si>
    <t>19515069.00</t>
  </si>
  <si>
    <t>20097912.00</t>
  </si>
  <si>
    <t>18893671.00</t>
  </si>
  <si>
    <t>19573334.00</t>
  </si>
  <si>
    <t>20203818.00</t>
  </si>
  <si>
    <t>21022071.00</t>
  </si>
  <si>
    <t>18851432.00</t>
  </si>
  <si>
    <t>18848990.00</t>
  </si>
  <si>
    <t>18017965.00</t>
  </si>
  <si>
    <t>17550525.00</t>
  </si>
  <si>
    <t>18540026.00</t>
  </si>
  <si>
    <t>20184295.00</t>
  </si>
  <si>
    <t>21321667.00</t>
  </si>
  <si>
    <t>19162590.00</t>
  </si>
  <si>
    <t>19162285.00</t>
  </si>
  <si>
    <t>21071693.00</t>
  </si>
  <si>
    <t>1909408.00</t>
  </si>
  <si>
    <t>19671570.68</t>
  </si>
  <si>
    <t>06-C</t>
  </si>
  <si>
    <t>.00</t>
  </si>
  <si>
    <t>07-H</t>
  </si>
  <si>
    <t>14942415.00</t>
  </si>
  <si>
    <t>11786626.00</t>
  </si>
  <si>
    <t>12501270.00</t>
  </si>
  <si>
    <t>13141540.00</t>
  </si>
  <si>
    <t>12716056.00</t>
  </si>
  <si>
    <t>12321485.00</t>
  </si>
  <si>
    <t>8513968.00</t>
  </si>
  <si>
    <t>7626807.00</t>
  </si>
  <si>
    <t>9097579.00</t>
  </si>
  <si>
    <t>11607131.00</t>
  </si>
  <si>
    <t>11446793.00</t>
  </si>
  <si>
    <t>13392996.00</t>
  </si>
  <si>
    <t>9833362.00</t>
  </si>
  <si>
    <t>8580258.00</t>
  </si>
  <si>
    <t>9597601.00</t>
  </si>
  <si>
    <t>11092815.00</t>
  </si>
  <si>
    <t>11693685.00</t>
  </si>
  <si>
    <t>12856179.00</t>
  </si>
  <si>
    <t>9449913.00</t>
  </si>
  <si>
    <t>9460510.00</t>
  </si>
  <si>
    <t>9965865.00</t>
  </si>
  <si>
    <t>11281460.00</t>
  </si>
  <si>
    <t>13093973.00</t>
  </si>
  <si>
    <t>15261358.00</t>
  </si>
  <si>
    <t>11995084.00</t>
  </si>
  <si>
    <t>13631227.00</t>
  </si>
  <si>
    <t>1636143.00</t>
  </si>
  <si>
    <t>11342667.68</t>
  </si>
  <si>
    <t>08-E</t>
  </si>
  <si>
    <t>09-F</t>
  </si>
  <si>
    <t>1586711.00</t>
  </si>
  <si>
    <t>1476161.00</t>
  </si>
  <si>
    <t>1357321.00</t>
  </si>
  <si>
    <t>1268491.00</t>
  </si>
  <si>
    <t>1193076.00</t>
  </si>
  <si>
    <t>1168091.00</t>
  </si>
  <si>
    <t>1159901.00</t>
  </si>
  <si>
    <t>1064081.00</t>
  </si>
  <si>
    <t>1019476.00</t>
  </si>
  <si>
    <t>1414481.00</t>
  </si>
  <si>
    <t>1446831.00</t>
  </si>
  <si>
    <t>1360371.00</t>
  </si>
  <si>
    <t>1298436.00</t>
  </si>
  <si>
    <t>1269421.00</t>
  </si>
  <si>
    <t>1238986.00</t>
  </si>
  <si>
    <t>1219836.00</t>
  </si>
  <si>
    <t>1530446.00</t>
  </si>
  <si>
    <t>1493776.00</t>
  </si>
  <si>
    <t>1448611.00</t>
  </si>
  <si>
    <t>1318701.00</t>
  </si>
  <si>
    <t>1225070.00</t>
  </si>
  <si>
    <t>1143196.00</t>
  </si>
  <si>
    <t>1705091.00</t>
  </si>
  <si>
    <t>1572311.00</t>
  </si>
  <si>
    <t>1513506.00</t>
  </si>
  <si>
    <t>1480486.00</t>
  </si>
  <si>
    <t>-33020.00</t>
  </si>
  <si>
    <t>1354194.52</t>
  </si>
  <si>
    <t>10-P</t>
  </si>
  <si>
    <t>106839.00</t>
  </si>
  <si>
    <t>93089.00</t>
  </si>
  <si>
    <t>97968.03</t>
  </si>
  <si>
    <t>11-G</t>
  </si>
  <si>
    <t>12-M</t>
  </si>
  <si>
    <t>1908853.00</t>
  </si>
  <si>
    <t>1915899.00</t>
  </si>
  <si>
    <t>1873273.00</t>
  </si>
  <si>
    <t>1325465.00</t>
  </si>
  <si>
    <t>1699047.00</t>
  </si>
  <si>
    <t>2063281.00</t>
  </si>
  <si>
    <t>1704795.00</t>
  </si>
  <si>
    <t>1859799.00</t>
  </si>
  <si>
    <t>1979096.00</t>
  </si>
  <si>
    <t>2169101.00</t>
  </si>
  <si>
    <t>1702936.00</t>
  </si>
  <si>
    <t>1979994.00</t>
  </si>
  <si>
    <t>1329466.00</t>
  </si>
  <si>
    <t>2008809.00</t>
  </si>
  <si>
    <t>1892460.00</t>
  </si>
  <si>
    <t>1706904.00</t>
  </si>
  <si>
    <t>1237892.00</t>
  </si>
  <si>
    <t>2234651.00</t>
  </si>
  <si>
    <t>1885707.00</t>
  </si>
  <si>
    <t>1770966.00</t>
  </si>
  <si>
    <t>1537317.00</t>
  </si>
  <si>
    <t>2033329.00</t>
  </si>
  <si>
    <t>1806756.00</t>
  </si>
  <si>
    <t>2347681.00</t>
  </si>
  <si>
    <t>2218574.00</t>
  </si>
  <si>
    <t>2572318.00</t>
  </si>
  <si>
    <t>353744.00</t>
  </si>
  <si>
    <t>1864895.61</t>
  </si>
  <si>
    <t>13-U</t>
  </si>
  <si>
    <t>350698.00</t>
  </si>
  <si>
    <t>339498.00</t>
  </si>
  <si>
    <t>336178.00</t>
  </si>
  <si>
    <t>330848.00</t>
  </si>
  <si>
    <t>326368.00</t>
  </si>
  <si>
    <t>325288.00</t>
  </si>
  <si>
    <t>322048.00</t>
  </si>
  <si>
    <t>321508.00</t>
  </si>
  <si>
    <t>317648.00</t>
  </si>
  <si>
    <t>317108.00</t>
  </si>
  <si>
    <t>316568.00</t>
  </si>
  <si>
    <t>315488.00</t>
  </si>
  <si>
    <t>310468.00</t>
  </si>
  <si>
    <t>297488.00</t>
  </si>
  <si>
    <t>296408.00</t>
  </si>
  <si>
    <t>285208.00</t>
  </si>
  <si>
    <t>281348.00</t>
  </si>
  <si>
    <t>280808.00</t>
  </si>
  <si>
    <t>277568.00</t>
  </si>
  <si>
    <t>277028.00</t>
  </si>
  <si>
    <t>275948.00</t>
  </si>
  <si>
    <t>274558.00</t>
  </si>
  <si>
    <t>274018.00</t>
  </si>
  <si>
    <t>272318.00</t>
  </si>
  <si>
    <t>271778.00</t>
  </si>
  <si>
    <t>-540.00</t>
  </si>
  <si>
    <t>306112.52</t>
  </si>
  <si>
    <t>14-L</t>
  </si>
  <si>
    <t>1609870.00</t>
  </si>
  <si>
    <t>1618458.00</t>
  </si>
  <si>
    <t>1610064.00</t>
  </si>
  <si>
    <t>1610147.00</t>
  </si>
  <si>
    <t>1605674.00</t>
  </si>
  <si>
    <t>1617259.00</t>
  </si>
  <si>
    <t>1608277.81</t>
  </si>
  <si>
    <t>18-T</t>
  </si>
  <si>
    <t>8112092.00</t>
  </si>
  <si>
    <t>7661675.00</t>
  </si>
  <si>
    <t>7366291.00</t>
  </si>
  <si>
    <t>6999629.00</t>
  </si>
  <si>
    <t>6936110.00</t>
  </si>
  <si>
    <t>6828202.00</t>
  </si>
  <si>
    <t>6075454.00</t>
  </si>
  <si>
    <t>5947804.00</t>
  </si>
  <si>
    <t>5970789.00</t>
  </si>
  <si>
    <t>5814406.00</t>
  </si>
  <si>
    <t>6099598.00</t>
  </si>
  <si>
    <t>6536906.00</t>
  </si>
  <si>
    <t>5954385.00</t>
  </si>
  <si>
    <t>5516282.00</t>
  </si>
  <si>
    <t>5784076.00</t>
  </si>
  <si>
    <t>5528524.00</t>
  </si>
  <si>
    <t>5564014.00</t>
  </si>
  <si>
    <t>6059921.00</t>
  </si>
  <si>
    <t>5421588.00</t>
  </si>
  <si>
    <t>5379460.00</t>
  </si>
  <si>
    <t>6206251.00</t>
  </si>
  <si>
    <t>6592195.00</t>
  </si>
  <si>
    <t>7021662.00</t>
  </si>
  <si>
    <t>8497809.00</t>
  </si>
  <si>
    <t>7941873.00</t>
  </si>
  <si>
    <t>8317135.00</t>
  </si>
  <si>
    <t>375262.00</t>
  </si>
  <si>
    <t>6569016.87</t>
  </si>
  <si>
    <t>19-V</t>
  </si>
  <si>
    <t>11527394.00</t>
  </si>
  <si>
    <t>12253201.00</t>
  </si>
  <si>
    <t>11409772.00</t>
  </si>
  <si>
    <t>11610082.00</t>
  </si>
  <si>
    <t>12925188.00</t>
  </si>
  <si>
    <t>13153404.00</t>
  </si>
  <si>
    <t>12392534.00</t>
  </si>
  <si>
    <t>12983603.00</t>
  </si>
  <si>
    <t>12578081.00</t>
  </si>
  <si>
    <t>12065479.00</t>
  </si>
  <si>
    <t>12207579.00</t>
  </si>
  <si>
    <t>13366585.00</t>
  </si>
  <si>
    <t>12567706.00</t>
  </si>
  <si>
    <t>12138952.00</t>
  </si>
  <si>
    <t>11461300.00</t>
  </si>
  <si>
    <t>11526891.00</t>
  </si>
  <si>
    <t>11577030.00</t>
  </si>
  <si>
    <t>11573188.00</t>
  </si>
  <si>
    <t>10982766.00</t>
  </si>
  <si>
    <t>10997898.00</t>
  </si>
  <si>
    <t>10603991.00</t>
  </si>
  <si>
    <t>10660626.00</t>
  </si>
  <si>
    <t>10862740.00</t>
  </si>
  <si>
    <t>11440308.00</t>
  </si>
  <si>
    <t>10702522.00</t>
  </si>
  <si>
    <t>10840157.00</t>
  </si>
  <si>
    <t>137635.00</t>
  </si>
  <si>
    <t>11760706.42</t>
  </si>
  <si>
    <t>20-S</t>
  </si>
  <si>
    <t>21376354.00</t>
  </si>
  <si>
    <t>21549236.00</t>
  </si>
  <si>
    <t>22379759.00</t>
  </si>
  <si>
    <t>23915645.00</t>
  </si>
  <si>
    <t>23889097.00</t>
  </si>
  <si>
    <t>24572647.00</t>
  </si>
  <si>
    <t>24520421.00</t>
  </si>
  <si>
    <t>24465597.00</t>
  </si>
  <si>
    <t>24362009.00</t>
  </si>
  <si>
    <t>24206508.00</t>
  </si>
  <si>
    <t>24207710.00</t>
  </si>
  <si>
    <t>24632564.00</t>
  </si>
  <si>
    <t>24609595.00</t>
  </si>
  <si>
    <t>24708078.00</t>
  </si>
  <si>
    <t>24920752.00</t>
  </si>
  <si>
    <t>25116151.00</t>
  </si>
  <si>
    <t>25187829.00</t>
  </si>
  <si>
    <t>25429111.00</t>
  </si>
  <si>
    <t>25385645.00</t>
  </si>
  <si>
    <t>25321197.00</t>
  </si>
  <si>
    <t>25255461.00</t>
  </si>
  <si>
    <t>25290731.00</t>
  </si>
  <si>
    <t>25191836.00</t>
  </si>
  <si>
    <t>25066192.00</t>
  </si>
  <si>
    <t>24990741.00</t>
  </si>
  <si>
    <t>25013368.00</t>
  </si>
  <si>
    <t>22627.00</t>
  </si>
  <si>
    <t>24401515.81</t>
  </si>
  <si>
    <t>21-Q</t>
  </si>
  <si>
    <t>162800.00</t>
  </si>
  <si>
    <t>22-2</t>
  </si>
  <si>
    <t>161176.00</t>
  </si>
  <si>
    <t>23-3</t>
  </si>
  <si>
    <t>201634.00</t>
  </si>
  <si>
    <t>186514.00</t>
  </si>
  <si>
    <t>179314.00</t>
  </si>
  <si>
    <t>188859.81</t>
  </si>
  <si>
    <t>24-4</t>
  </si>
  <si>
    <t>25-5</t>
  </si>
  <si>
    <t>26-6</t>
  </si>
  <si>
    <t>9168594.00</t>
  </si>
  <si>
    <t>8451646.00</t>
  </si>
  <si>
    <t>7378403.00</t>
  </si>
  <si>
    <t>9623808.00</t>
  </si>
  <si>
    <t>8834747.00</t>
  </si>
  <si>
    <t>10472520.00</t>
  </si>
  <si>
    <t>8948928.00</t>
  </si>
  <si>
    <t>7785739.00</t>
  </si>
  <si>
    <t>9944279.00</t>
  </si>
  <si>
    <t>10258120.00</t>
  </si>
  <si>
    <t>9342724.00</t>
  </si>
  <si>
    <t>11656002.00</t>
  </si>
  <si>
    <t>10059389.00</t>
  </si>
  <si>
    <t>8620761.00</t>
  </si>
  <si>
    <t>8108537.00</t>
  </si>
  <si>
    <t>9798655.00</t>
  </si>
  <si>
    <t>8951376.00</t>
  </si>
  <si>
    <t>9475515.00</t>
  </si>
  <si>
    <t>8183357.00</t>
  </si>
  <si>
    <t>7600611.00</t>
  </si>
  <si>
    <t>10160319.00</t>
  </si>
  <si>
    <t>9550491.00</t>
  </si>
  <si>
    <t>8580243.00</t>
  </si>
  <si>
    <t>12486254.00</t>
  </si>
  <si>
    <t>11002963.00</t>
  </si>
  <si>
    <t>9016362.00</t>
  </si>
  <si>
    <t>-1986601.00</t>
  </si>
  <si>
    <t>9381405.61</t>
  </si>
  <si>
    <t>27-7</t>
  </si>
  <si>
    <t>5284662.00</t>
  </si>
  <si>
    <t>5507062.00</t>
  </si>
  <si>
    <t>5099126.00</t>
  </si>
  <si>
    <t>5031526.00</t>
  </si>
  <si>
    <t>5051926.00</t>
  </si>
  <si>
    <t>5953642.00</t>
  </si>
  <si>
    <t>5844442.00</t>
  </si>
  <si>
    <t>5828362.00</t>
  </si>
  <si>
    <t>5035987.00</t>
  </si>
  <si>
    <t>5049107.00</t>
  </si>
  <si>
    <t>6043891.00</t>
  </si>
  <si>
    <t>6228035.00</t>
  </si>
  <si>
    <t>6149235.00</t>
  </si>
  <si>
    <t>6856293.00</t>
  </si>
  <si>
    <t>5866351.00</t>
  </si>
  <si>
    <t>5777207.00</t>
  </si>
  <si>
    <t>6554410.00</t>
  </si>
  <si>
    <t>6477210.00</t>
  </si>
  <si>
    <t>6352410.00</t>
  </si>
  <si>
    <t>6268010.00</t>
  </si>
  <si>
    <t>6116742.00</t>
  </si>
  <si>
    <t>6040342.00</t>
  </si>
  <si>
    <t>6228902.00</t>
  </si>
  <si>
    <t>6382062.00</t>
  </si>
  <si>
    <t>6297262.00</t>
  </si>
  <si>
    <t>6546163.00</t>
  </si>
  <si>
    <t>248901.00</t>
  </si>
  <si>
    <t>5928979.93</t>
  </si>
  <si>
    <t>AVGSR</t>
  </si>
  <si>
    <t>98.4</t>
  </si>
  <si>
    <t>0</t>
  </si>
  <si>
    <t>98.2</t>
  </si>
  <si>
    <t>98.5</t>
  </si>
  <si>
    <t>98.3</t>
  </si>
  <si>
    <t>98.1</t>
  </si>
  <si>
    <t>98.8</t>
  </si>
  <si>
    <t>98</t>
  </si>
  <si>
    <t>98.6</t>
  </si>
  <si>
    <t>98.7</t>
  </si>
  <si>
    <t>98.9</t>
  </si>
  <si>
    <t>97.8</t>
  </si>
  <si>
    <t>97.9</t>
  </si>
  <si>
    <t>97.3</t>
  </si>
  <si>
    <t>97.6</t>
  </si>
  <si>
    <t>97.5</t>
  </si>
  <si>
    <t>97.7</t>
  </si>
  <si>
    <t>99.1</t>
  </si>
  <si>
    <t>100</t>
  </si>
  <si>
    <t>99.8</t>
  </si>
  <si>
    <t>99.5</t>
  </si>
  <si>
    <t>87.5</t>
  </si>
  <si>
    <t>55.5</t>
  </si>
  <si>
    <t>75</t>
  </si>
  <si>
    <t>85.7</t>
  </si>
  <si>
    <t>80</t>
  </si>
  <si>
    <t>88.8</t>
  </si>
  <si>
    <t>99.6</t>
  </si>
  <si>
    <t>99.4</t>
  </si>
  <si>
    <t>99.7</t>
  </si>
  <si>
    <t>99</t>
  </si>
  <si>
    <t>99.2</t>
  </si>
  <si>
    <t>95.8</t>
  </si>
  <si>
    <t>96.3</t>
  </si>
  <si>
    <t>96.9</t>
  </si>
  <si>
    <t>97.2</t>
  </si>
  <si>
    <t>08-Z</t>
  </si>
  <si>
    <t>85</t>
  </si>
  <si>
    <t>70</t>
  </si>
  <si>
    <t>92.3</t>
  </si>
  <si>
    <t>60</t>
  </si>
  <si>
    <t>93.7</t>
  </si>
  <si>
    <t>77.7</t>
  </si>
  <si>
    <t>93.3</t>
  </si>
  <si>
    <t>91.2</t>
  </si>
  <si>
    <t>09-@</t>
  </si>
  <si>
    <t>10-M</t>
  </si>
  <si>
    <t>11-S</t>
  </si>
  <si>
    <t>96.6</t>
  </si>
  <si>
    <t>93.5</t>
  </si>
  <si>
    <t>95.6</t>
  </si>
  <si>
    <t>93.4</t>
  </si>
  <si>
    <t>94.5</t>
  </si>
  <si>
    <t>92</t>
  </si>
  <si>
    <t>93.8</t>
  </si>
  <si>
    <t>93</t>
  </si>
  <si>
    <t>95.4</t>
  </si>
  <si>
    <t>95.3</t>
  </si>
  <si>
    <t>96.5</t>
  </si>
  <si>
    <t>12-V</t>
  </si>
  <si>
    <t>94.1</t>
  </si>
  <si>
    <t>95.7</t>
  </si>
  <si>
    <t>94.7</t>
  </si>
  <si>
    <t>96.7</t>
  </si>
  <si>
    <t>96.2</t>
  </si>
  <si>
    <t>96</t>
  </si>
  <si>
    <t>91.4</t>
  </si>
  <si>
    <t>94.6</t>
  </si>
  <si>
    <t>95.5</t>
  </si>
  <si>
    <t>13-T</t>
  </si>
  <si>
    <t>94.2</t>
  </si>
  <si>
    <t>85.9</t>
  </si>
  <si>
    <t>94.3</t>
  </si>
  <si>
    <t>86.5</t>
  </si>
  <si>
    <t>89.1</t>
  </si>
  <si>
    <t>90.9</t>
  </si>
  <si>
    <t>96.4</t>
  </si>
  <si>
    <t>91.8</t>
  </si>
  <si>
    <t>92.5</t>
  </si>
  <si>
    <t>87.8</t>
  </si>
  <si>
    <t>14-P</t>
  </si>
  <si>
    <t>16-#</t>
  </si>
  <si>
    <t>97.4</t>
  </si>
  <si>
    <t>97</t>
  </si>
  <si>
    <t>96.8</t>
  </si>
  <si>
    <t>97.1</t>
  </si>
  <si>
    <t>17-2</t>
  </si>
  <si>
    <t>18-3</t>
  </si>
  <si>
    <t>19-4</t>
  </si>
  <si>
    <t>20-5</t>
  </si>
  <si>
    <t>21-$</t>
  </si>
  <si>
    <t>90.3</t>
  </si>
  <si>
    <t>5.5</t>
  </si>
  <si>
    <t>16.6</t>
  </si>
  <si>
    <t>53.3</t>
  </si>
  <si>
    <t>90.7</t>
  </si>
  <si>
    <t>22-7</t>
  </si>
  <si>
    <t>23-6</t>
  </si>
  <si>
    <t>95.2</t>
  </si>
  <si>
    <t>94.8</t>
  </si>
  <si>
    <t>93.6</t>
  </si>
  <si>
    <t>90.4</t>
  </si>
  <si>
    <t>88.6</t>
  </si>
  <si>
    <t>92.1</t>
  </si>
  <si>
    <t>93.1</t>
  </si>
  <si>
    <t>91.5</t>
  </si>
  <si>
    <t>95.9</t>
  </si>
  <si>
    <t>94.4</t>
  </si>
  <si>
    <t>IMPCD</t>
  </si>
  <si>
    <t>99.3</t>
  </si>
  <si>
    <t>4</t>
  </si>
  <si>
    <t>99.9</t>
  </si>
  <si>
    <t>ALL</t>
  </si>
  <si>
    <t>62.5</t>
  </si>
  <si>
    <t>71.4</t>
  </si>
  <si>
    <t>95.1</t>
  </si>
  <si>
    <t>86.1</t>
  </si>
  <si>
    <t>91.9</t>
  </si>
  <si>
    <t>16-2</t>
  </si>
  <si>
    <t>17-3</t>
  </si>
  <si>
    <t>18-4</t>
  </si>
  <si>
    <t>19-5</t>
  </si>
  <si>
    <t>20-7</t>
  </si>
  <si>
    <t>21-6</t>
  </si>
  <si>
    <t>92.4</t>
  </si>
  <si>
    <t>91.6</t>
  </si>
  <si>
    <t>93.2</t>
  </si>
  <si>
    <t>SUMITEMS</t>
  </si>
  <si>
    <t>133.00</t>
  </si>
  <si>
    <t>242.00</t>
  </si>
  <si>
    <t>197.00</t>
  </si>
  <si>
    <t>202.00</t>
  </si>
  <si>
    <t>170.00</t>
  </si>
  <si>
    <t>156.00</t>
  </si>
  <si>
    <t>214.00</t>
  </si>
  <si>
    <t>220.00</t>
  </si>
  <si>
    <t>183.00</t>
  </si>
  <si>
    <t>172.00</t>
  </si>
  <si>
    <t>116.00</t>
  </si>
  <si>
    <t>140.00</t>
  </si>
  <si>
    <t>191.00</t>
  </si>
  <si>
    <t>167.00</t>
  </si>
  <si>
    <t>152.00</t>
  </si>
  <si>
    <t>93.00</t>
  </si>
  <si>
    <t>145.00</t>
  </si>
  <si>
    <t>176.00</t>
  </si>
  <si>
    <t>151.00</t>
  </si>
  <si>
    <t>155.00</t>
  </si>
  <si>
    <t>97.00</t>
  </si>
  <si>
    <t>121.00</t>
  </si>
  <si>
    <t>4253</t>
  </si>
  <si>
    <t>26.00</t>
  </si>
  <si>
    <t>41.00</t>
  </si>
  <si>
    <t>49.00</t>
  </si>
  <si>
    <t>54.00</t>
  </si>
  <si>
    <t>25.00</t>
  </si>
  <si>
    <t>23.00</t>
  </si>
  <si>
    <t>44.00</t>
  </si>
  <si>
    <t>30.00</t>
  </si>
  <si>
    <t>22.00</t>
  </si>
  <si>
    <t>42.00</t>
  </si>
  <si>
    <t>32.00</t>
  </si>
  <si>
    <t>14.00</t>
  </si>
  <si>
    <t>20.00</t>
  </si>
  <si>
    <t>21.00</t>
  </si>
  <si>
    <t>27.00</t>
  </si>
  <si>
    <t>13.00</t>
  </si>
  <si>
    <t>29.00</t>
  </si>
  <si>
    <t>34.00</t>
  </si>
  <si>
    <t>18.00</t>
  </si>
  <si>
    <t>727</t>
  </si>
  <si>
    <t>1.00</t>
  </si>
  <si>
    <t>2.00</t>
  </si>
  <si>
    <t>4.00</t>
  </si>
  <si>
    <t>18</t>
  </si>
  <si>
    <t>6.00</t>
  </si>
  <si>
    <t>8.00</t>
  </si>
  <si>
    <t>9.00</t>
  </si>
  <si>
    <t>5.00</t>
  </si>
  <si>
    <t>7.00</t>
  </si>
  <si>
    <t>24.00</t>
  </si>
  <si>
    <t>10.00</t>
  </si>
  <si>
    <t>17.00</t>
  </si>
  <si>
    <t>239</t>
  </si>
  <si>
    <t>3.00</t>
  </si>
  <si>
    <t>11.00</t>
  </si>
  <si>
    <t>12.00</t>
  </si>
  <si>
    <t>15.00</t>
  </si>
  <si>
    <t>140</t>
  </si>
  <si>
    <t>26</t>
  </si>
  <si>
    <t>30</t>
  </si>
  <si>
    <t>16.00</t>
  </si>
  <si>
    <t>53.00</t>
  </si>
  <si>
    <t>394</t>
  </si>
  <si>
    <t>94</t>
  </si>
  <si>
    <t>31.00</t>
  </si>
  <si>
    <t>38.00</t>
  </si>
  <si>
    <t>40.00</t>
  </si>
  <si>
    <t>52.00</t>
  </si>
  <si>
    <t>37.00</t>
  </si>
  <si>
    <t>28.00</t>
  </si>
  <si>
    <t>35.00</t>
  </si>
  <si>
    <t>19.00</t>
  </si>
  <si>
    <t>665</t>
  </si>
  <si>
    <t>147317718.00</t>
  </si>
  <si>
    <t>147317425.00</t>
  </si>
  <si>
    <t>147149140.00</t>
  </si>
  <si>
    <t>147216219.00</t>
  </si>
  <si>
    <t>146086855.00</t>
  </si>
  <si>
    <t>145171650.00</t>
  </si>
  <si>
    <t>146419562.00</t>
  </si>
  <si>
    <t>143417931.00</t>
  </si>
  <si>
    <t>143399932.00</t>
  </si>
  <si>
    <t>146251058.00</t>
  </si>
  <si>
    <t>146287657.00</t>
  </si>
  <si>
    <t>147765961.00</t>
  </si>
  <si>
    <t>147198012.00</t>
  </si>
  <si>
    <t>147974078.00</t>
  </si>
  <si>
    <t>145189881.00</t>
  </si>
  <si>
    <t>145188441.00</t>
  </si>
  <si>
    <t>145302688.00</t>
  </si>
  <si>
    <t>143309207.00</t>
  </si>
  <si>
    <t>144955985.00</t>
  </si>
  <si>
    <t>146807279.00</t>
  </si>
  <si>
    <t>147722294.00</t>
  </si>
  <si>
    <t>144377549.00</t>
  </si>
  <si>
    <t>144351754.00</t>
  </si>
  <si>
    <t>145667111.00</t>
  </si>
  <si>
    <t>144898081.00</t>
  </si>
  <si>
    <t>144641659.00</t>
  </si>
  <si>
    <t>146905255.00</t>
  </si>
  <si>
    <t>146556374.00</t>
  </si>
  <si>
    <t>143388497.00</t>
  </si>
  <si>
    <t>143383355.00</t>
  </si>
  <si>
    <t>145184358.00</t>
  </si>
  <si>
    <t>145703321.48</t>
  </si>
  <si>
    <t>119502334.00</t>
  </si>
  <si>
    <t>119489147.00</t>
  </si>
  <si>
    <t>120217034.00</t>
  </si>
  <si>
    <t>118957476.00</t>
  </si>
  <si>
    <t>117901330.00</t>
  </si>
  <si>
    <t>118266209.00</t>
  </si>
  <si>
    <t>118541741.00</t>
  </si>
  <si>
    <t>115611868.00</t>
  </si>
  <si>
    <t>115604613.00</t>
  </si>
  <si>
    <t>117490022.00</t>
  </si>
  <si>
    <t>117540306.00</t>
  </si>
  <si>
    <t>117633768.00</t>
  </si>
  <si>
    <t>118097118.00</t>
  </si>
  <si>
    <t>118616587.00</t>
  </si>
  <si>
    <t>115832954.00</t>
  </si>
  <si>
    <t>115985449.00</t>
  </si>
  <si>
    <t>115634834.00</t>
  </si>
  <si>
    <t>116688822.00</t>
  </si>
  <si>
    <t>116763253.00</t>
  </si>
  <si>
    <t>117257996.00</t>
  </si>
  <si>
    <t>114537635.00</t>
  </si>
  <si>
    <t>114531513.00</t>
  </si>
  <si>
    <t>115260540.00</t>
  </si>
  <si>
    <t>114154629.00</t>
  </si>
  <si>
    <t>116377007.00</t>
  </si>
  <si>
    <t>115911343.00</t>
  </si>
  <si>
    <t>118034815.00</t>
  </si>
  <si>
    <t>115476601.00</t>
  </si>
  <si>
    <t>115469761.00</t>
  </si>
  <si>
    <t>116340417.00</t>
  </si>
  <si>
    <t>116889034.71</t>
  </si>
  <si>
    <t>38005314.00</t>
  </si>
  <si>
    <t>38004610.00</t>
  </si>
  <si>
    <t>37487870.00</t>
  </si>
  <si>
    <t>39826800.00</t>
  </si>
  <si>
    <t>39939671.00</t>
  </si>
  <si>
    <t>39837663.00</t>
  </si>
  <si>
    <t>42347456.00</t>
  </si>
  <si>
    <t>41239693.00</t>
  </si>
  <si>
    <t>39850326.00</t>
  </si>
  <si>
    <t>39785065.00</t>
  </si>
  <si>
    <t>38710899.00</t>
  </si>
  <si>
    <t>39948939.00</t>
  </si>
  <si>
    <t>39056635.00</t>
  </si>
  <si>
    <t>38117449.00</t>
  </si>
  <si>
    <t>37178652.00</t>
  </si>
  <si>
    <t>36066687.00</t>
  </si>
  <si>
    <t>40952265.00</t>
  </si>
  <si>
    <t>41097462.00</t>
  </si>
  <si>
    <t>43820658.00</t>
  </si>
  <si>
    <t>42746383.00</t>
  </si>
  <si>
    <t>41554948.00</t>
  </si>
  <si>
    <t>40784163.00</t>
  </si>
  <si>
    <t>43119833.00</t>
  </si>
  <si>
    <t>43926612.00</t>
  </si>
  <si>
    <t>46504433.00</t>
  </si>
  <si>
    <t>45653195.00</t>
  </si>
  <si>
    <t>45650473.00</t>
  </si>
  <si>
    <t>46279522.00</t>
  </si>
  <si>
    <t>40954748.42</t>
  </si>
  <si>
    <t>8645555.00</t>
  </si>
  <si>
    <t>8660841.00</t>
  </si>
  <si>
    <t>8716871.00</t>
  </si>
  <si>
    <t>9175479.00</t>
  </si>
  <si>
    <t>10322318.00</t>
  </si>
  <si>
    <t>9878086.00</t>
  </si>
  <si>
    <t>9877055.00</t>
  </si>
  <si>
    <t>9986031.00</t>
  </si>
  <si>
    <t>10798278.00</t>
  </si>
  <si>
    <t>11498144.00</t>
  </si>
  <si>
    <t>12164575.00</t>
  </si>
  <si>
    <t>14148182.00</t>
  </si>
  <si>
    <t>14148554.00</t>
  </si>
  <si>
    <t>14113478.00</t>
  </si>
  <si>
    <t>15404995.00</t>
  </si>
  <si>
    <t>14840684.00</t>
  </si>
  <si>
    <t>14497513.00</t>
  </si>
  <si>
    <t>15935488.00</t>
  </si>
  <si>
    <t>16063754.00</t>
  </si>
  <si>
    <t>15124534.00</t>
  </si>
  <si>
    <t>14274102.00</t>
  </si>
  <si>
    <t>14914122.00</t>
  </si>
  <si>
    <t>12254445.00</t>
  </si>
  <si>
    <t>13126992.00</t>
  </si>
  <si>
    <t>13578650.00</t>
  </si>
  <si>
    <t>12523316.00</t>
  </si>
  <si>
    <t>12483406.77</t>
  </si>
  <si>
    <t>6155760.00</t>
  </si>
  <si>
    <t>7621451.00</t>
  </si>
  <si>
    <t>7985624.00</t>
  </si>
  <si>
    <t>7978146.00</t>
  </si>
  <si>
    <t>7972449.00</t>
  </si>
  <si>
    <t>8065992.00</t>
  </si>
  <si>
    <t>8067127.00</t>
  </si>
  <si>
    <t>8648645.00</t>
  </si>
  <si>
    <t>8690408.00</t>
  </si>
  <si>
    <t>8414843.00</t>
  </si>
  <si>
    <t>8476323.00</t>
  </si>
  <si>
    <t>8280051.00</t>
  </si>
  <si>
    <t>8255110.00</t>
  </si>
  <si>
    <t>8038425.00</t>
  </si>
  <si>
    <t>8081574.00</t>
  </si>
  <si>
    <t>8406294.00</t>
  </si>
  <si>
    <t>8319994.00</t>
  </si>
  <si>
    <t>8258118.00</t>
  </si>
  <si>
    <t>8195755.00</t>
  </si>
  <si>
    <t>7975420.00</t>
  </si>
  <si>
    <t>7921182.00</t>
  </si>
  <si>
    <t>7920558.00</t>
  </si>
  <si>
    <t>7923583.00</t>
  </si>
  <si>
    <t>6518485.00</t>
  </si>
  <si>
    <t>7984447.65</t>
  </si>
  <si>
    <t>5898201.00</t>
  </si>
  <si>
    <t>5771374.00</t>
  </si>
  <si>
    <t>5686786.00</t>
  </si>
  <si>
    <t>5638056.00</t>
  </si>
  <si>
    <t>5638957.00</t>
  </si>
  <si>
    <t>5642772.00</t>
  </si>
  <si>
    <t>5548207.00</t>
  </si>
  <si>
    <t>5534542.00</t>
  </si>
  <si>
    <t>5316120.00</t>
  </si>
  <si>
    <t>5264030.00</t>
  </si>
  <si>
    <t>5264785.00</t>
  </si>
  <si>
    <t>4909579.00</t>
  </si>
  <si>
    <t>4900197.00</t>
  </si>
  <si>
    <t>4927202.00</t>
  </si>
  <si>
    <t>4808426.00</t>
  </si>
  <si>
    <t>4816454.00</t>
  </si>
  <si>
    <t>4801149.00</t>
  </si>
  <si>
    <t>4689835.00</t>
  </si>
  <si>
    <t>4548269.00</t>
  </si>
  <si>
    <t>4522196.00</t>
  </si>
  <si>
    <t>4526077.00</t>
  </si>
  <si>
    <t>5156783.32</t>
  </si>
  <si>
    <t>2606405.00</t>
  </si>
  <si>
    <t>2615460.00</t>
  </si>
  <si>
    <t>2620059.00</t>
  </si>
  <si>
    <t>2610427.00</t>
  </si>
  <si>
    <t>2612427.00</t>
  </si>
  <si>
    <t>2619404.00</t>
  </si>
  <si>
    <t>2624338.00</t>
  </si>
  <si>
    <t>2623937.00</t>
  </si>
  <si>
    <t>2628541.00</t>
  </si>
  <si>
    <t>2629506.00</t>
  </si>
  <si>
    <t>2631863.00</t>
  </si>
  <si>
    <t>2632074.00</t>
  </si>
  <si>
    <t>2634597.00</t>
  </si>
  <si>
    <t>2561780.00</t>
  </si>
  <si>
    <t>2536580.00</t>
  </si>
  <si>
    <t>2543897.00</t>
  </si>
  <si>
    <t>2539164.00</t>
  </si>
  <si>
    <t>2544836.00</t>
  </si>
  <si>
    <t>2551986.00</t>
  </si>
  <si>
    <t>1481695.00</t>
  </si>
  <si>
    <t>1476649.00</t>
  </si>
  <si>
    <t>1478127.00</t>
  </si>
  <si>
    <t>1478259.00</t>
  </si>
  <si>
    <t>1472009.00</t>
  </si>
  <si>
    <t>2380254.65</t>
  </si>
  <si>
    <t>21000.00</t>
  </si>
  <si>
    <t>4741.94</t>
  </si>
  <si>
    <t>M</t>
  </si>
  <si>
    <t>51518.00</t>
  </si>
  <si>
    <t>54118.00</t>
  </si>
  <si>
    <t>51718.00</t>
  </si>
  <si>
    <t>57018.00</t>
  </si>
  <si>
    <t>54418.00</t>
  </si>
  <si>
    <t>56858.00</t>
  </si>
  <si>
    <t>26055.00</t>
  </si>
  <si>
    <t>17231.00</t>
  </si>
  <si>
    <t>51067.81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</si>
  <si>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</si>
  <si>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</si>
  <si>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</si>
  <si>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</si>
  <si>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</si>
  <si>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</si>
  <si>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</si>
  <si>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</si>
  <si>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</si>
  <si>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</si>
  <si>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</si>
  <si>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</si>
  <si>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</si>
  <si>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</si>
  <si>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</si>
  <si>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</si>
  <si>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</si>
  <si>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</si>
  <si>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</si>
  <si>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</si>
  <si>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</si>
  <si>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</si>
  <si>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</si>
  <si>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</si>
  <si>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</si>
  <si>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</si>
  <si>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</si>
  <si>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292895572.45</t>
  </si>
  <si>
    <t>294277850.14</t>
  </si>
  <si>
    <t>293586711.00</t>
  </si>
  <si>
    <t>301522048.00</t>
  </si>
  <si>
    <t>312011790.00</t>
  </si>
  <si>
    <t>306766919.00</t>
  </si>
  <si>
    <t>213813987.06</t>
  </si>
  <si>
    <t>216421676.39</t>
  </si>
  <si>
    <t>215117832.00</t>
  </si>
  <si>
    <t>217348722.00</t>
  </si>
  <si>
    <t>229286452.00</t>
  </si>
  <si>
    <t>223317587.00</t>
  </si>
  <si>
    <t>6894022.48</t>
  </si>
  <si>
    <t>7273219.50</t>
  </si>
  <si>
    <t>7083621.00</t>
  </si>
  <si>
    <t>11731801.00</t>
  </si>
  <si>
    <t>6677578.00</t>
  </si>
  <si>
    <t>9204690.00</t>
  </si>
  <si>
    <t>11103888.48</t>
  </si>
  <si>
    <t>10717600.11</t>
  </si>
  <si>
    <t>10910744.00</t>
  </si>
  <si>
    <t>11043043.00</t>
  </si>
  <si>
    <t>11016551.00</t>
  </si>
  <si>
    <t>11029797.00</t>
  </si>
  <si>
    <t>21593172.87</t>
  </si>
  <si>
    <t>19382073.82</t>
  </si>
  <si>
    <t>20487624.00</t>
  </si>
  <si>
    <t>18962815.00</t>
  </si>
  <si>
    <t>23106428.00</t>
  </si>
  <si>
    <t>21034622.00</t>
  </si>
  <si>
    <t>9729574.06</t>
  </si>
  <si>
    <t>13250904.71</t>
  </si>
  <si>
    <t>11490240.00</t>
  </si>
  <si>
    <t>11220240.00</t>
  </si>
  <si>
    <t>19113676.00</t>
  </si>
  <si>
    <t>15166958.00</t>
  </si>
  <si>
    <t>1710555.94</t>
  </si>
  <si>
    <t>1534112.82</t>
  </si>
  <si>
    <t>1622335.00</t>
  </si>
  <si>
    <t>1745249.00</t>
  </si>
  <si>
    <t>1677636.00</t>
  </si>
  <si>
    <t>1711443.00</t>
  </si>
  <si>
    <t>2731882.90</t>
  </si>
  <si>
    <t>2401477.71</t>
  </si>
  <si>
    <t>2566681.00</t>
  </si>
  <si>
    <t>4434328.00</t>
  </si>
  <si>
    <t>2190434.00</t>
  </si>
  <si>
    <t>3312381.00</t>
  </si>
  <si>
    <t>279829.61</t>
  </si>
  <si>
    <t>312786.57</t>
  </si>
  <si>
    <t>296309.00</t>
  </si>
  <si>
    <t>295438.00</t>
  </si>
  <si>
    <t>352938.00</t>
  </si>
  <si>
    <t>324188.00</t>
  </si>
  <si>
    <t>1636322.68</t>
  </si>
  <si>
    <t>1606880.50</t>
  </si>
  <si>
    <t>1621602.00</t>
  </si>
  <si>
    <t>1607772.00</t>
  </si>
  <si>
    <t>17-8</t>
  </si>
  <si>
    <t>4738534.16</t>
  </si>
  <si>
    <t>6616871.43</t>
  </si>
  <si>
    <t>5677703.00</t>
  </si>
  <si>
    <t>5742313.00</t>
  </si>
  <si>
    <t>8972166.00</t>
  </si>
  <si>
    <t>7357240.00</t>
  </si>
  <si>
    <t>12592603.32</t>
  </si>
  <si>
    <t>10668231.32</t>
  </si>
  <si>
    <t>11630417.00</t>
  </si>
  <si>
    <t>11062673.00</t>
  </si>
  <si>
    <t>12466503.00</t>
  </si>
  <si>
    <t>11764588.00</t>
  </si>
  <si>
    <t>8170824.77</t>
  </si>
  <si>
    <t>16891475.68</t>
  </si>
  <si>
    <t>12531151.00</t>
  </si>
  <si>
    <t>8141268.00</t>
  </si>
  <si>
    <t>21387425.00</t>
  </si>
  <si>
    <t>14764347.00</t>
  </si>
  <si>
    <t>138994.00</t>
  </si>
  <si>
    <t>159046.00</t>
  </si>
  <si>
    <t>149020.00</t>
  </si>
  <si>
    <t>170314.00</t>
  </si>
  <si>
    <t>9106516.68</t>
  </si>
  <si>
    <t>9492109.11</t>
  </si>
  <si>
    <t>9299313.00</t>
  </si>
  <si>
    <t>7670141.00</t>
  </si>
  <si>
    <t>10611816.00</t>
  </si>
  <si>
    <t>9140979.00</t>
  </si>
  <si>
    <t>4444644.09</t>
  </si>
  <si>
    <t>5507793.46</t>
  </si>
  <si>
    <t>4976219.00</t>
  </si>
  <si>
    <t>4802566.00</t>
  </si>
  <si>
    <t>5405462.00</t>
  </si>
  <si>
    <t>5104014.00</t>
  </si>
  <si>
    <t>87.1</t>
  </si>
  <si>
    <t>91.1</t>
  </si>
  <si>
    <t>95</t>
  </si>
  <si>
    <t>96.1</t>
  </si>
  <si>
    <t>83</t>
  </si>
  <si>
    <t>87.4</t>
  </si>
  <si>
    <t>85.2</t>
  </si>
  <si>
    <t>85.5</t>
  </si>
  <si>
    <t>80.7</t>
  </si>
  <si>
    <t>83.1</t>
  </si>
  <si>
    <t>84.5</t>
  </si>
  <si>
    <t>93.9</t>
  </si>
  <si>
    <t>89.2</t>
  </si>
  <si>
    <t>92.6</t>
  </si>
  <si>
    <t>82.9</t>
  </si>
  <si>
    <t>88.2</t>
  </si>
  <si>
    <t>85.6</t>
  </si>
  <si>
    <t>AVGITEMS</t>
  </si>
  <si>
    <t>4435</t>
  </si>
  <si>
    <t>5186</t>
  </si>
  <si>
    <t>4811</t>
  </si>
  <si>
    <t>884</t>
  </si>
  <si>
    <t>782</t>
  </si>
  <si>
    <t>833</t>
  </si>
  <si>
    <t>101</t>
  </si>
  <si>
    <t>5</t>
  </si>
  <si>
    <t>53</t>
  </si>
  <si>
    <t>44</t>
  </si>
  <si>
    <t>20</t>
  </si>
  <si>
    <t>32</t>
  </si>
  <si>
    <t>143</t>
  </si>
  <si>
    <t>330</t>
  </si>
  <si>
    <t>237</t>
  </si>
  <si>
    <t>127</t>
  </si>
  <si>
    <t>183</t>
  </si>
  <si>
    <t>9</t>
  </si>
  <si>
    <t>6</t>
  </si>
  <si>
    <t>14</t>
  </si>
  <si>
    <t>21</t>
  </si>
  <si>
    <t>17</t>
  </si>
  <si>
    <t>19</t>
  </si>
  <si>
    <t>260</t>
  </si>
  <si>
    <t>350</t>
  </si>
  <si>
    <t>305</t>
  </si>
  <si>
    <t>230</t>
  </si>
  <si>
    <t>153</t>
  </si>
  <si>
    <t>192</t>
  </si>
  <si>
    <t>570</t>
  </si>
  <si>
    <t>546</t>
  </si>
  <si>
    <t>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</si>
</sst>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90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14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zoomScale="55" zoomScaleNormal="55" workbookViewId="0">
      <pane xSplit="5" ySplit="4" topLeftCell="F35" activePane="bottomRight" state="frozen"/>
      <selection pane="bottomRight" activeCell="E43" sqref="E43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1"/>
      <c r="E2" s="512"/>
      <c r="F2" s="511"/>
      <c r="G2" s="513"/>
      <c r="H2" s="5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41" t="s">
        <v>1</v>
      </c>
      <c r="B3" s="642"/>
      <c r="C3" s="643"/>
      <c r="D3" s="509" t="str">
        <f>YEAR(日期!C2)-1&amp;"/"&amp;MONTH(日期!C2)</f>
        <v>2024/3</v>
      </c>
      <c r="E3" s="509" t="str">
        <f>YEAR(日期!C2)&amp;"/"&amp;MONTH(日期!C2)</f>
        <v>2025/3</v>
      </c>
      <c r="F3" s="510">
        <f>YEAR(日期!C2)</f>
        <v>2025</v>
      </c>
      <c r="G3" s="510">
        <f>YEAR(日期!C2)</f>
        <v>2025</v>
      </c>
      <c r="H3" s="510">
        <f>YEAR(日期!C2)</f>
        <v>2025</v>
      </c>
      <c r="I3" s="527" t="str">
        <f>日期!C2</f>
        <v>2025/03/01</v>
      </c>
      <c r="J3" s="527" t="str">
        <f>日期!D2</f>
        <v>2025/03/02</v>
      </c>
      <c r="K3" s="527" t="str">
        <f>日期!E2</f>
        <v>2025/03/03</v>
      </c>
      <c r="L3" s="527" t="str">
        <f>日期!F2</f>
        <v>2025/03/04</v>
      </c>
      <c r="M3" s="527" t="str">
        <f>日期!G2</f>
        <v>2025/03/05</v>
      </c>
      <c r="N3" s="527" t="str">
        <f>日期!H2</f>
        <v>2025/03/06</v>
      </c>
      <c r="O3" s="527" t="str">
        <f>日期!I2</f>
        <v>2025/03/07</v>
      </c>
      <c r="P3" s="527" t="str">
        <f>日期!J2</f>
        <v>2025/03/08</v>
      </c>
      <c r="Q3" s="527" t="str">
        <f>日期!K2</f>
        <v>2025/03/09</v>
      </c>
      <c r="R3" s="527" t="str">
        <f>日期!L2</f>
        <v>2025/03/10</v>
      </c>
      <c r="S3" s="527" t="str">
        <f>日期!M2</f>
        <v>2025/03/11</v>
      </c>
      <c r="T3" s="527" t="str">
        <f>日期!N2</f>
        <v>2025/03/12</v>
      </c>
      <c r="U3" s="527" t="str">
        <f>日期!O2</f>
        <v>2025/03/13</v>
      </c>
      <c r="V3" s="527" t="str">
        <f>日期!P2</f>
        <v>2025/03/14</v>
      </c>
      <c r="W3" s="527" t="str">
        <f>日期!Q2</f>
        <v>2025/03/15</v>
      </c>
      <c r="X3" s="527" t="str">
        <f>日期!R2</f>
        <v>2025/03/16</v>
      </c>
      <c r="Y3" s="527" t="str">
        <f>日期!S2</f>
        <v>2025/03/17</v>
      </c>
      <c r="Z3" s="527" t="str">
        <f>日期!T2</f>
        <v>2025/03/18</v>
      </c>
      <c r="AA3" s="527" t="str">
        <f>日期!U2</f>
        <v>2025/03/19</v>
      </c>
      <c r="AB3" s="527" t="str">
        <f>日期!V2</f>
        <v>2025/03/20</v>
      </c>
      <c r="AC3" s="527" t="str">
        <f>日期!W2</f>
        <v>2025/03/21</v>
      </c>
      <c r="AD3" s="527" t="str">
        <f>日期!X2</f>
        <v>2025/03/22</v>
      </c>
      <c r="AE3" s="527" t="str">
        <f>日期!Y2</f>
        <v>2025/03/23</v>
      </c>
      <c r="AF3" s="527" t="str">
        <f>日期!Z2</f>
        <v>2025/03/24</v>
      </c>
      <c r="AG3" s="527" t="str">
        <f>日期!AA2</f>
        <v>2025/03/25</v>
      </c>
      <c r="AH3" s="527" t="str">
        <f>日期!AB2</f>
        <v>2025/03/26</v>
      </c>
      <c r="AI3" s="527" t="str">
        <f>日期!AC2</f>
        <v>2025/03/27</v>
      </c>
      <c r="AJ3" s="527" t="str">
        <f>日期!AD2</f>
        <v>2025/03/28</v>
      </c>
      <c r="AK3" s="527" t="str">
        <f>日期!AE2</f>
        <v>2025/03/29</v>
      </c>
      <c r="AL3" s="527" t="str">
        <f>日期!AF2</f>
        <v>2025/03/30</v>
      </c>
      <c r="AM3" s="527" t="str">
        <f>日期!AG2</f>
        <v>2025/03/31</v>
      </c>
      <c r="AN3" s="597" t="s">
        <v>2</v>
      </c>
      <c r="AO3" s="639" t="s">
        <v>3</v>
      </c>
    </row>
    <row r="4" spans="1:44" s="14" customFormat="1" ht="21.4" customHeight="1" thickBot="1">
      <c r="A4" s="644"/>
      <c r="B4" s="645"/>
      <c r="C4" s="646"/>
      <c r="D4" s="505" t="s">
        <v>4</v>
      </c>
      <c r="E4" s="505" t="s">
        <v>5</v>
      </c>
      <c r="F4" s="515" t="s">
        <v>6</v>
      </c>
      <c r="G4" s="515" t="s">
        <v>7</v>
      </c>
      <c r="H4" s="515" t="s">
        <v>8</v>
      </c>
      <c r="I4" s="12" t="str">
        <f>日期!C3</f>
        <v>Sat</v>
      </c>
      <c r="J4" s="12" t="str">
        <f>日期!D3</f>
        <v>Sun</v>
      </c>
      <c r="K4" s="12" t="str">
        <f>日期!E3</f>
        <v>Mon</v>
      </c>
      <c r="L4" s="12" t="str">
        <f>日期!F3</f>
        <v>Tue</v>
      </c>
      <c r="M4" s="12" t="str">
        <f>日期!G3</f>
        <v>Wed</v>
      </c>
      <c r="N4" s="12" t="str">
        <f>日期!H3</f>
        <v>Thu</v>
      </c>
      <c r="O4" s="12" t="str">
        <f>日期!I3</f>
        <v>Fri</v>
      </c>
      <c r="P4" s="12" t="str">
        <f>日期!J3</f>
        <v>Sat</v>
      </c>
      <c r="Q4" s="12" t="str">
        <f>日期!K3</f>
        <v>Sun</v>
      </c>
      <c r="R4" s="12" t="str">
        <f>日期!L3</f>
        <v>Mon</v>
      </c>
      <c r="S4" s="12" t="str">
        <f>日期!M3</f>
        <v>Tue</v>
      </c>
      <c r="T4" s="12" t="str">
        <f>日期!N3</f>
        <v>Wed</v>
      </c>
      <c r="U4" s="12" t="str">
        <f>日期!O3</f>
        <v>Thu</v>
      </c>
      <c r="V4" s="12" t="str">
        <f>日期!P3</f>
        <v>Fri</v>
      </c>
      <c r="W4" s="12" t="str">
        <f>日期!Q3</f>
        <v>Sat</v>
      </c>
      <c r="X4" s="12" t="str">
        <f>日期!R3</f>
        <v>Sun</v>
      </c>
      <c r="Y4" s="12" t="str">
        <f>日期!S3</f>
        <v>Mon</v>
      </c>
      <c r="Z4" s="12" t="str">
        <f>日期!T3</f>
        <v>Tue</v>
      </c>
      <c r="AA4" s="12" t="str">
        <f>日期!U3</f>
        <v>Wed</v>
      </c>
      <c r="AB4" s="12" t="str">
        <f>日期!V3</f>
        <v>Thu</v>
      </c>
      <c r="AC4" s="12" t="str">
        <f>日期!W3</f>
        <v>Fri</v>
      </c>
      <c r="AD4" s="12" t="str">
        <f>日期!X3</f>
        <v>Sat</v>
      </c>
      <c r="AE4" s="12" t="str">
        <f>日期!Y3</f>
        <v>Sun</v>
      </c>
      <c r="AF4" s="12" t="str">
        <f>日期!Z3</f>
        <v>Mon</v>
      </c>
      <c r="AG4" s="12" t="str">
        <f>日期!AA3</f>
        <v>Tue</v>
      </c>
      <c r="AH4" s="12" t="str">
        <f>日期!AB3</f>
        <v>Wed</v>
      </c>
      <c r="AI4" s="12" t="str">
        <f>日期!AC3</f>
        <v>Thu</v>
      </c>
      <c r="AJ4" s="12" t="str">
        <f>日期!AD3</f>
        <v>Fri</v>
      </c>
      <c r="AK4" s="12" t="str">
        <f>日期!AE3</f>
        <v>Sat</v>
      </c>
      <c r="AL4" s="12" t="str">
        <f>日期!AF3</f>
        <v>Sun</v>
      </c>
      <c r="AM4" s="12" t="str">
        <f>日期!AG3</f>
        <v>Mon</v>
      </c>
      <c r="AN4" s="632"/>
      <c r="AO4" s="640"/>
      <c r="AP4" s="13"/>
      <c r="AQ4" s="13"/>
    </row>
    <row r="5" spans="1:44" s="18" customFormat="1" ht="21.95" customHeight="1">
      <c r="A5" s="647" t="s">
        <v>9</v>
      </c>
      <c r="B5" s="648"/>
      <c r="C5" s="649"/>
      <c r="D5" s="301">
        <f>D6+D13+D18+D26</f>
        <v>546287904.83741498</v>
      </c>
      <c r="E5" s="301">
        <f>E6+E13+E18+E26</f>
        <v>641301061.38525248</v>
      </c>
      <c r="F5" s="301">
        <f>F6+F13+F18+F26</f>
        <v>645531676.52726853</v>
      </c>
      <c r="G5" s="15">
        <f>G6+G13+G18+G26</f>
        <v>590548615</v>
      </c>
      <c r="H5" s="15">
        <f>H6+H13+H18+H26</f>
        <v>621479054</v>
      </c>
      <c r="I5" s="15">
        <f t="shared" ref="I5:AM5" si="0">I6+I13+I18+I26</f>
        <v>642777442</v>
      </c>
      <c r="J5" s="15">
        <f t="shared" si="0"/>
        <v>642760731</v>
      </c>
      <c r="K5" s="15">
        <f t="shared" si="0"/>
        <v>639054567</v>
      </c>
      <c r="L5" s="15">
        <f t="shared" si="0"/>
        <v>637963952</v>
      </c>
      <c r="M5" s="15">
        <f t="shared" si="0"/>
        <v>638144492</v>
      </c>
      <c r="N5" s="15">
        <f t="shared" si="0"/>
        <v>640391409</v>
      </c>
      <c r="O5" s="15">
        <f t="shared" si="0"/>
        <v>651192846</v>
      </c>
      <c r="P5" s="15">
        <f t="shared" si="0"/>
        <v>631490804</v>
      </c>
      <c r="Q5" s="15">
        <f t="shared" si="0"/>
        <v>631465245</v>
      </c>
      <c r="R5" s="15">
        <f t="shared" si="0"/>
        <v>632439907</v>
      </c>
      <c r="S5" s="15">
        <f t="shared" si="0"/>
        <v>635496213</v>
      </c>
      <c r="T5" s="15">
        <f t="shared" si="0"/>
        <v>636842366</v>
      </c>
      <c r="U5" s="15">
        <f t="shared" si="0"/>
        <v>638005951</v>
      </c>
      <c r="V5" s="15">
        <f t="shared" si="0"/>
        <v>653243754</v>
      </c>
      <c r="W5" s="15">
        <f t="shared" si="0"/>
        <v>634399113</v>
      </c>
      <c r="X5" s="15">
        <f t="shared" si="0"/>
        <v>634401195</v>
      </c>
      <c r="Y5" s="15">
        <f t="shared" si="0"/>
        <v>631653866</v>
      </c>
      <c r="Z5" s="15">
        <f t="shared" si="0"/>
        <v>628103267</v>
      </c>
      <c r="AA5" s="15">
        <f t="shared" si="0"/>
        <v>639979330</v>
      </c>
      <c r="AB5" s="15">
        <f t="shared" si="0"/>
        <v>644525695</v>
      </c>
      <c r="AC5" s="15">
        <f t="shared" si="0"/>
        <v>656148790</v>
      </c>
      <c r="AD5" s="15">
        <f t="shared" si="0"/>
        <v>636746903</v>
      </c>
      <c r="AE5" s="15">
        <f t="shared" si="0"/>
        <v>636712544</v>
      </c>
      <c r="AF5" s="15">
        <f t="shared" si="0"/>
        <v>636771980</v>
      </c>
      <c r="AG5" s="15">
        <f t="shared" si="0"/>
        <v>637827707</v>
      </c>
      <c r="AH5" s="15">
        <f t="shared" si="0"/>
        <v>647178709</v>
      </c>
      <c r="AI5" s="15">
        <f t="shared" si="0"/>
        <v>651754039</v>
      </c>
      <c r="AJ5" s="15">
        <f t="shared" si="0"/>
        <v>665996401</v>
      </c>
      <c r="AK5" s="15">
        <f t="shared" si="0"/>
        <v>647411099</v>
      </c>
      <c r="AL5" s="15">
        <f t="shared" si="0"/>
        <v>647396090</v>
      </c>
      <c r="AM5" s="15">
        <f t="shared" si="0"/>
        <v>656255361</v>
      </c>
      <c r="AN5" s="524">
        <f>AN6+AN13+AN18+AN26</f>
        <v>8859271</v>
      </c>
      <c r="AO5" s="238">
        <f>AO6+AO13+AO18+AO26</f>
        <v>641436508.66000009</v>
      </c>
      <c r="AP5" s="16">
        <f t="shared" ref="AP5:AP13" si="1">AJ5/10000</f>
        <v>66599.640100000004</v>
      </c>
      <c r="AQ5" s="17">
        <f t="shared" ref="AQ5:AQ13" si="2">AO5/10000</f>
        <v>64143.650866000011</v>
      </c>
    </row>
    <row r="6" spans="1:44" s="14" customFormat="1" ht="21.95" customHeight="1">
      <c r="A6" s="19"/>
      <c r="B6" s="650" t="s">
        <v>10</v>
      </c>
      <c r="C6" s="651"/>
      <c r="D6" s="287">
        <f t="shared" ref="D6:I6" si="3">SUM(D7:D12)</f>
        <v>327509209.99999994</v>
      </c>
      <c r="E6" s="287">
        <f t="shared" si="3"/>
        <v>347000823.10997212</v>
      </c>
      <c r="F6" s="287">
        <f t="shared" si="3"/>
        <v>349550116.46508455</v>
      </c>
      <c r="G6" s="20">
        <f>SUM(G7:G12)</f>
        <v>343558940</v>
      </c>
      <c r="H6" s="20">
        <f t="shared" si="3"/>
        <v>363202986</v>
      </c>
      <c r="I6" s="20">
        <f t="shared" si="3"/>
        <v>355558011</v>
      </c>
      <c r="J6" s="20">
        <f>SUM(J7:J12)</f>
        <v>355541828</v>
      </c>
      <c r="K6" s="20">
        <f>SUM(K7:K12)</f>
        <v>352774977</v>
      </c>
      <c r="L6" s="20">
        <f t="shared" ref="L6:AO6" si="4">SUM(L7:L12)</f>
        <v>354474240</v>
      </c>
      <c r="M6" s="20">
        <f t="shared" si="4"/>
        <v>352689242</v>
      </c>
      <c r="N6" s="20">
        <f t="shared" si="4"/>
        <v>352817995</v>
      </c>
      <c r="O6" s="20">
        <f t="shared" si="4"/>
        <v>358366425</v>
      </c>
      <c r="P6" s="20">
        <f t="shared" si="4"/>
        <v>343893202</v>
      </c>
      <c r="Q6" s="20">
        <f t="shared" si="4"/>
        <v>343867643</v>
      </c>
      <c r="R6" s="20">
        <f t="shared" si="4"/>
        <v>345300458</v>
      </c>
      <c r="S6" s="20">
        <f t="shared" si="4"/>
        <v>346818595</v>
      </c>
      <c r="T6" s="20">
        <f t="shared" si="4"/>
        <v>347612926</v>
      </c>
      <c r="U6" s="20">
        <f t="shared" si="4"/>
        <v>348009113</v>
      </c>
      <c r="V6" s="20">
        <f t="shared" si="4"/>
        <v>354434749</v>
      </c>
      <c r="W6" s="20">
        <f t="shared" si="4"/>
        <v>340847595</v>
      </c>
      <c r="X6" s="20">
        <f t="shared" si="4"/>
        <v>340849677</v>
      </c>
      <c r="Y6" s="20">
        <f t="shared" si="4"/>
        <v>337902465</v>
      </c>
      <c r="Z6" s="20">
        <f t="shared" si="4"/>
        <v>335745071</v>
      </c>
      <c r="AA6" s="20">
        <f t="shared" si="4"/>
        <v>345398202</v>
      </c>
      <c r="AB6" s="20">
        <f t="shared" si="4"/>
        <v>348738254</v>
      </c>
      <c r="AC6" s="20">
        <f t="shared" si="4"/>
        <v>356781743</v>
      </c>
      <c r="AD6" s="20">
        <f t="shared" si="4"/>
        <v>342401790</v>
      </c>
      <c r="AE6" s="20">
        <f t="shared" si="4"/>
        <v>342367431</v>
      </c>
      <c r="AF6" s="20">
        <f t="shared" si="4"/>
        <v>340932956</v>
      </c>
      <c r="AG6" s="20">
        <f t="shared" si="4"/>
        <v>339830512</v>
      </c>
      <c r="AH6" s="20">
        <f t="shared" si="4"/>
        <v>348599414</v>
      </c>
      <c r="AI6" s="20">
        <f t="shared" si="4"/>
        <v>354797046</v>
      </c>
      <c r="AJ6" s="20">
        <f t="shared" si="4"/>
        <v>362661410</v>
      </c>
      <c r="AK6" s="20">
        <f t="shared" si="4"/>
        <v>348582020</v>
      </c>
      <c r="AL6" s="20">
        <f t="shared" si="4"/>
        <v>348567011</v>
      </c>
      <c r="AM6" s="20">
        <f t="shared" si="4"/>
        <v>357064395</v>
      </c>
      <c r="AN6" s="525">
        <f t="shared" si="4"/>
        <v>8497384</v>
      </c>
      <c r="AO6" s="21">
        <f t="shared" si="4"/>
        <v>348523432.14000005</v>
      </c>
      <c r="AP6" s="16">
        <f t="shared" si="1"/>
        <v>36266.141000000003</v>
      </c>
      <c r="AQ6" s="17">
        <f t="shared" si="2"/>
        <v>34852.343214000008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288458012.44999999</v>
      </c>
      <c r="E7" s="309">
        <f>HLOOKUP(MONTH(日期!$C$2),當年目標設定!$D$1:$O$33,5,TRUE)</f>
        <v>300729897.64127737</v>
      </c>
      <c r="F7" s="308">
        <f>HLOOKUP(MONTH(日期!$C$2),當年目標設定!$R$1:$AC$33,5,TRUE)</f>
        <v>301660634.65471268</v>
      </c>
      <c r="G7" s="308">
        <f>當年月推移!P5</f>
        <v>293586711</v>
      </c>
      <c r="H7" s="308">
        <f>當年月推移!P39</f>
        <v>306766919</v>
      </c>
      <c r="I7" s="27">
        <f>VALUE(庫存金額!C2)</f>
        <v>304825366</v>
      </c>
      <c r="J7" s="27">
        <f>VALUE(庫存金額!D2)</f>
        <v>304811182</v>
      </c>
      <c r="K7" s="27">
        <f>VALUE(庫存金額!E2)</f>
        <v>304854044</v>
      </c>
      <c r="L7" s="27">
        <f>VALUE(庫存金額!F2)</f>
        <v>306000495</v>
      </c>
      <c r="M7" s="27">
        <f>VALUE(庫存金額!G2)</f>
        <v>303927856</v>
      </c>
      <c r="N7" s="27">
        <f>VALUE(庫存金額!H2)</f>
        <v>303275522</v>
      </c>
      <c r="O7" s="27">
        <f>VALUE(庫存金額!I2)</f>
        <v>307308759</v>
      </c>
      <c r="P7" s="27">
        <f>VALUE(庫存金額!J2)</f>
        <v>300269492</v>
      </c>
      <c r="Q7" s="27">
        <f>VALUE(庫存金額!K2)</f>
        <v>300244238</v>
      </c>
      <c r="R7" s="27">
        <f>VALUE(庫存金額!L2)</f>
        <v>303591406</v>
      </c>
      <c r="S7" s="27">
        <f>VALUE(庫存金額!M2)</f>
        <v>303613028</v>
      </c>
      <c r="T7" s="27">
        <f>VALUE(庫存金額!N2)</f>
        <v>304110628</v>
      </c>
      <c r="U7" s="27">
        <f>VALUE(庫存金額!O2)</f>
        <v>305244069</v>
      </c>
      <c r="V7" s="27">
        <f>VALUE(庫存金額!P2)</f>
        <v>305647300</v>
      </c>
      <c r="W7" s="27">
        <f>VALUE(庫存金額!Q2)</f>
        <v>299140284</v>
      </c>
      <c r="X7" s="27">
        <f>VALUE(庫存金額!R2)</f>
        <v>299138844</v>
      </c>
      <c r="Y7" s="27">
        <f>VALUE(庫存金額!S2)</f>
        <v>298466789</v>
      </c>
      <c r="Z7" s="27">
        <f>VALUE(庫存金額!T2)</f>
        <v>295010728</v>
      </c>
      <c r="AA7" s="27">
        <f>VALUE(庫存金額!U2)</f>
        <v>302597072</v>
      </c>
      <c r="AB7" s="27">
        <f>VALUE(庫存金額!V2)</f>
        <v>304667994</v>
      </c>
      <c r="AC7" s="27">
        <f>VALUE(庫存金額!W2)</f>
        <v>308800948</v>
      </c>
      <c r="AD7" s="27">
        <f>VALUE(庫存金額!X2)</f>
        <v>301661567</v>
      </c>
      <c r="AE7" s="27">
        <f>VALUE(庫存金額!Y2)</f>
        <v>301629650</v>
      </c>
      <c r="AF7" s="27">
        <f>VALUE(庫存金額!Z2)</f>
        <v>302482599</v>
      </c>
      <c r="AG7" s="27">
        <f>VALUE(庫存金額!AA2)</f>
        <v>299836873</v>
      </c>
      <c r="AH7" s="27">
        <f>VALUE(庫存金額!AB2)</f>
        <v>304138499</v>
      </c>
      <c r="AI7" s="27">
        <f>VALUE(庫存金額!AC2)</f>
        <v>306743210</v>
      </c>
      <c r="AJ7" s="27">
        <f>VALUE(庫存金額!AD2)</f>
        <v>311095622</v>
      </c>
      <c r="AK7" s="27">
        <f>VALUE(庫存金額!AE2)</f>
        <v>304518293</v>
      </c>
      <c r="AL7" s="27">
        <f>VALUE(庫存金額!AF2)</f>
        <v>304503589</v>
      </c>
      <c r="AM7" s="27">
        <f>VALUE(庫存金額!AG2)</f>
        <v>307804297</v>
      </c>
      <c r="AN7" s="27">
        <f>VALUE(庫存金額!AH2)</f>
        <v>3300708</v>
      </c>
      <c r="AO7" s="27">
        <f>VALUE(庫存金額!AI2)</f>
        <v>303547104.61000001</v>
      </c>
      <c r="AP7" s="16">
        <f t="shared" si="1"/>
        <v>31109.5622</v>
      </c>
      <c r="AQ7" s="17">
        <f t="shared" si="2"/>
        <v>30354.710461000002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6315696.9400000004</v>
      </c>
      <c r="E8" s="309">
        <f>HLOOKUP(MONTH(日期!$C$2),當年目標設定!$D$1:$O$33,6,TRUE)</f>
        <v>6814102.1975432504</v>
      </c>
      <c r="F8" s="308">
        <f>HLOOKUP(MONTH(日期!$C$2),當年目標設定!$R$1:$AC$33,6,TRUE)</f>
        <v>6920988.6373431254</v>
      </c>
      <c r="G8" s="308">
        <f>當年月推移!$P6</f>
        <v>7083621</v>
      </c>
      <c r="H8" s="308">
        <f>當年月推移!P40</f>
        <v>9204690</v>
      </c>
      <c r="I8" s="27">
        <f>VALUE(庫存金額!C4)</f>
        <v>4361958</v>
      </c>
      <c r="J8" s="27">
        <f>VALUE(庫存金額!D4)</f>
        <v>4361958</v>
      </c>
      <c r="K8" s="27">
        <f>VALUE(庫存金額!E4)</f>
        <v>4509398</v>
      </c>
      <c r="L8" s="27">
        <f>VALUE(庫存金額!F4)</f>
        <v>4581832</v>
      </c>
      <c r="M8" s="27">
        <f>VALUE(庫存金額!G4)</f>
        <v>4895230</v>
      </c>
      <c r="N8" s="27">
        <f>VALUE(庫存金額!H4)</f>
        <v>5724042</v>
      </c>
      <c r="O8" s="27">
        <f>VALUE(庫存金額!I4)</f>
        <v>6812992</v>
      </c>
      <c r="P8" s="27">
        <f>VALUE(庫存金額!J4)</f>
        <v>5431560</v>
      </c>
      <c r="Q8" s="27">
        <f>VALUE(庫存金額!K4)</f>
        <v>5431560</v>
      </c>
      <c r="R8" s="27">
        <f>VALUE(庫存金額!L4)</f>
        <v>4996908</v>
      </c>
      <c r="S8" s="27">
        <f>VALUE(庫存金額!M4)</f>
        <v>4571933</v>
      </c>
      <c r="T8" s="27">
        <f>VALUE(庫存金額!N4)</f>
        <v>5948870</v>
      </c>
      <c r="U8" s="27">
        <f>VALUE(庫存金額!O4)</f>
        <v>5688255</v>
      </c>
      <c r="V8" s="27">
        <f>VALUE(庫存金額!P4)</f>
        <v>7389576</v>
      </c>
      <c r="W8" s="27">
        <f>VALUE(庫存金額!Q4)</f>
        <v>6012121</v>
      </c>
      <c r="X8" s="27">
        <f>VALUE(庫存金額!R4)</f>
        <v>6012121</v>
      </c>
      <c r="Y8" s="27">
        <f>VALUE(庫存金額!S4)</f>
        <v>4439009</v>
      </c>
      <c r="Z8" s="27">
        <f>VALUE(庫存金額!T4)</f>
        <v>5944268</v>
      </c>
      <c r="AA8" s="27">
        <f>VALUE(庫存金額!U4)</f>
        <v>5719071</v>
      </c>
      <c r="AB8" s="27">
        <f>VALUE(庫存金額!V4)</f>
        <v>5914828</v>
      </c>
      <c r="AC8" s="27">
        <f>VALUE(庫存金額!W4)</f>
        <v>7846349</v>
      </c>
      <c r="AD8" s="27">
        <f>VALUE(庫存金額!X4)</f>
        <v>6196737</v>
      </c>
      <c r="AE8" s="27">
        <f>VALUE(庫存金額!Y4)</f>
        <v>6196737</v>
      </c>
      <c r="AF8" s="27">
        <f>VALUE(庫存金額!Z4)</f>
        <v>4758431</v>
      </c>
      <c r="AG8" s="27">
        <f>VALUE(庫存金額!AA4)</f>
        <v>6139109</v>
      </c>
      <c r="AH8" s="27">
        <f>VALUE(庫存金額!AB4)</f>
        <v>8297705</v>
      </c>
      <c r="AI8" s="27">
        <f>VALUE(庫存金額!AC4)</f>
        <v>8462294</v>
      </c>
      <c r="AJ8" s="27">
        <f>VALUE(庫存金額!AD4)</f>
        <v>8700160</v>
      </c>
      <c r="AK8" s="27">
        <f>VALUE(庫存金額!AE4)</f>
        <v>6701627</v>
      </c>
      <c r="AL8" s="27">
        <f>VALUE(庫存金額!AF4)</f>
        <v>6701627</v>
      </c>
      <c r="AM8" s="27">
        <f>VALUE(庫存金額!AG4)</f>
        <v>7953023</v>
      </c>
      <c r="AN8" s="27">
        <f>VALUE(庫存金額!AH4)</f>
        <v>1251396</v>
      </c>
      <c r="AO8" s="27">
        <f>VALUE(庫存金額!AI4)</f>
        <v>6022622.2300000004</v>
      </c>
      <c r="AP8" s="16">
        <f t="shared" si="1"/>
        <v>870.01599999999996</v>
      </c>
      <c r="AQ8" s="17">
        <f t="shared" si="2"/>
        <v>602.26222300000006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1637628.1900000013</v>
      </c>
      <c r="E9" s="309">
        <f>HLOOKUP(MONTH(日期!$C$2),當年目標設定!$D$1:$O$33,7,TRUE)</f>
        <v>8978744.759009501</v>
      </c>
      <c r="F9" s="308">
        <f>HLOOKUP(MONTH(日期!$C$2),當年目標設定!$R$1:$AC$33,7,TRUE)</f>
        <v>9985947.5772847496</v>
      </c>
      <c r="G9" s="308">
        <f>當年月推移!$P7</f>
        <v>10910744</v>
      </c>
      <c r="H9" s="308">
        <f>當年月推移!P41</f>
        <v>11029797</v>
      </c>
      <c r="I9" s="27">
        <f>VALUE(庫存金額!C5)</f>
        <v>10953567</v>
      </c>
      <c r="J9" s="27">
        <f>VALUE(庫存金額!D5)</f>
        <v>10953567</v>
      </c>
      <c r="K9" s="27">
        <f>VALUE(庫存金額!E5)</f>
        <v>10831725</v>
      </c>
      <c r="L9" s="27">
        <f>VALUE(庫存金額!F5)</f>
        <v>10986790</v>
      </c>
      <c r="M9" s="27">
        <f>VALUE(庫存金額!G5)</f>
        <v>10942626</v>
      </c>
      <c r="N9" s="27">
        <f>VALUE(庫存金額!H5)</f>
        <v>10880971</v>
      </c>
      <c r="O9" s="27">
        <f>VALUE(庫存金額!I5)</f>
        <v>10921096</v>
      </c>
      <c r="P9" s="27">
        <f>VALUE(庫存金額!J5)</f>
        <v>10912302</v>
      </c>
      <c r="Q9" s="27">
        <f>VALUE(庫存金額!K5)</f>
        <v>10912302</v>
      </c>
      <c r="R9" s="27">
        <f>VALUE(庫存金額!L5)</f>
        <v>10607524</v>
      </c>
      <c r="S9" s="27">
        <f>VALUE(庫存金額!M5)</f>
        <v>10715882</v>
      </c>
      <c r="T9" s="27">
        <f>VALUE(庫存金額!N5)</f>
        <v>6536072</v>
      </c>
      <c r="U9" s="27">
        <f>VALUE(庫存金額!O5)</f>
        <v>6379046</v>
      </c>
      <c r="V9" s="27">
        <f>VALUE(庫存金額!P5)</f>
        <v>6355627</v>
      </c>
      <c r="W9" s="27">
        <f>VALUE(庫存金額!Q5)</f>
        <v>6350281</v>
      </c>
      <c r="X9" s="27">
        <f>VALUE(庫存金額!R5)</f>
        <v>6350281</v>
      </c>
      <c r="Y9" s="27">
        <f>VALUE(庫存金額!S5)</f>
        <v>6318497</v>
      </c>
      <c r="Z9" s="27">
        <f>VALUE(庫存金額!T5)</f>
        <v>6298803</v>
      </c>
      <c r="AA9" s="27">
        <f>VALUE(庫存金額!U5)</f>
        <v>6415910</v>
      </c>
      <c r="AB9" s="27">
        <f>VALUE(庫存金額!V5)</f>
        <v>6257929</v>
      </c>
      <c r="AC9" s="27">
        <f>VALUE(庫存金額!W5)</f>
        <v>6256196</v>
      </c>
      <c r="AD9" s="27">
        <f>VALUE(庫存金額!X5)</f>
        <v>6242141</v>
      </c>
      <c r="AE9" s="27">
        <f>VALUE(庫存金額!Y5)</f>
        <v>6242141</v>
      </c>
      <c r="AF9" s="27">
        <f>VALUE(庫存金額!Z5)</f>
        <v>6213451</v>
      </c>
      <c r="AG9" s="27">
        <f>VALUE(庫存金額!AA5)</f>
        <v>6338140</v>
      </c>
      <c r="AH9" s="27">
        <f>VALUE(庫存金額!AB5)</f>
        <v>6341724</v>
      </c>
      <c r="AI9" s="27">
        <f>VALUE(庫存金額!AC5)</f>
        <v>6313274</v>
      </c>
      <c r="AJ9" s="27">
        <f>VALUE(庫存金額!AD5)</f>
        <v>6282603</v>
      </c>
      <c r="AK9" s="27">
        <f>VALUE(庫存金額!AE5)</f>
        <v>6204426</v>
      </c>
      <c r="AL9" s="27">
        <f>VALUE(庫存金額!AF5)</f>
        <v>6204426</v>
      </c>
      <c r="AM9" s="27">
        <f>VALUE(庫存金額!AG5)</f>
        <v>6604155</v>
      </c>
      <c r="AN9" s="27">
        <f>VALUE(庫存金額!AH5)</f>
        <v>399729</v>
      </c>
      <c r="AO9" s="27">
        <f>VALUE(庫存金額!AI5)</f>
        <v>7939466.9400000004</v>
      </c>
      <c r="AP9" s="16">
        <f t="shared" si="1"/>
        <v>628.26030000000003</v>
      </c>
      <c r="AQ9" s="17">
        <f t="shared" si="2"/>
        <v>793.94669400000009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19997371.899999999</v>
      </c>
      <c r="E10" s="309">
        <f>HLOOKUP(MONTH(日期!$C$2),當年目標設定!$D$1:$O$33,8,TRUE)</f>
        <v>18429650.139608249</v>
      </c>
      <c r="F10" s="308">
        <f>HLOOKUP(MONTH(日期!$C$2),當年目標設定!$R$1:$AC$33,8,TRUE)</f>
        <v>18971266.29731575</v>
      </c>
      <c r="G10" s="308">
        <f>當年月推移!$P8</f>
        <v>20487624</v>
      </c>
      <c r="H10" s="308">
        <f>當年月推移!P42</f>
        <v>21034622</v>
      </c>
      <c r="I10" s="27">
        <f>VALUE(庫存金額!C6)</f>
        <v>20474705</v>
      </c>
      <c r="J10" s="27">
        <f>VALUE(庫存金額!D6)</f>
        <v>20472706</v>
      </c>
      <c r="K10" s="27">
        <f>VALUE(庫存金額!E6)</f>
        <v>20793184</v>
      </c>
      <c r="L10" s="27">
        <f>VALUE(庫存金額!F6)</f>
        <v>20403853</v>
      </c>
      <c r="M10" s="27">
        <f>VALUE(庫存金額!G6)</f>
        <v>19781990</v>
      </c>
      <c r="N10" s="27">
        <f>VALUE(庫存金額!H6)</f>
        <v>20221404</v>
      </c>
      <c r="O10" s="27">
        <f>VALUE(庫存金額!I6)</f>
        <v>21002093</v>
      </c>
      <c r="P10" s="27">
        <f>VALUE(庫存金額!J6)</f>
        <v>18765880</v>
      </c>
      <c r="Q10" s="27">
        <f>VALUE(庫存金額!K6)</f>
        <v>18765575</v>
      </c>
      <c r="R10" s="27">
        <f>VALUE(庫存金額!L6)</f>
        <v>18477813</v>
      </c>
      <c r="S10" s="27">
        <f>VALUE(庫存金額!M6)</f>
        <v>18820173</v>
      </c>
      <c r="T10" s="27">
        <f>VALUE(庫存金額!N6)</f>
        <v>19410225</v>
      </c>
      <c r="U10" s="27">
        <f>VALUE(庫存金額!O6)</f>
        <v>19250950</v>
      </c>
      <c r="V10" s="27">
        <f>VALUE(庫存金額!P6)</f>
        <v>21649250</v>
      </c>
      <c r="W10" s="27">
        <f>VALUE(庫存金額!Q6)</f>
        <v>19511547</v>
      </c>
      <c r="X10" s="27">
        <f>VALUE(庫存金額!R6)</f>
        <v>19515069</v>
      </c>
      <c r="Y10" s="27">
        <f>VALUE(庫存金額!S6)</f>
        <v>20097912</v>
      </c>
      <c r="Z10" s="27">
        <f>VALUE(庫存金額!T6)</f>
        <v>18893671</v>
      </c>
      <c r="AA10" s="27">
        <f>VALUE(庫存金額!U6)</f>
        <v>19573334</v>
      </c>
      <c r="AB10" s="27">
        <f>VALUE(庫存金額!V6)</f>
        <v>20203818</v>
      </c>
      <c r="AC10" s="27">
        <f>VALUE(庫存金額!W6)</f>
        <v>21022071</v>
      </c>
      <c r="AD10" s="27">
        <f>VALUE(庫存金額!X6)</f>
        <v>18851432</v>
      </c>
      <c r="AE10" s="27">
        <f>VALUE(庫存金額!Y6)</f>
        <v>18848990</v>
      </c>
      <c r="AF10" s="27">
        <f>VALUE(庫存金額!Z6)</f>
        <v>18017965</v>
      </c>
      <c r="AG10" s="27">
        <f>VALUE(庫存金額!AA6)</f>
        <v>17550525</v>
      </c>
      <c r="AH10" s="27">
        <f>VALUE(庫存金額!AB6)</f>
        <v>18540026</v>
      </c>
      <c r="AI10" s="27">
        <f>VALUE(庫存金額!AC6)</f>
        <v>20184295</v>
      </c>
      <c r="AJ10" s="27">
        <f>VALUE(庫存金額!AD6)</f>
        <v>21321667</v>
      </c>
      <c r="AK10" s="27">
        <f>VALUE(庫存金額!AE6)</f>
        <v>19162590</v>
      </c>
      <c r="AL10" s="27">
        <f>VALUE(庫存金額!AF6)</f>
        <v>19162285</v>
      </c>
      <c r="AM10" s="27">
        <f>VALUE(庫存金額!AG6)</f>
        <v>21071693</v>
      </c>
      <c r="AN10" s="27">
        <f>VALUE(庫存金額!AH6)</f>
        <v>1909408</v>
      </c>
      <c r="AO10" s="27">
        <f>VALUE(庫存金額!AI6)</f>
        <v>19671570.68</v>
      </c>
      <c r="AP10" s="16">
        <f t="shared" si="1"/>
        <v>2132.1667000000002</v>
      </c>
      <c r="AQ10" s="17">
        <f t="shared" si="2"/>
        <v>1967.157068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11100500.52</v>
      </c>
      <c r="E12" s="309">
        <f>HLOOKUP(MONTH(日期!$C$2),當年目標設定!$D$1:$O$33,10,TRUE)</f>
        <v>12048428.37253375</v>
      </c>
      <c r="F12" s="308">
        <f>HLOOKUP(MONTH(日期!$C$2),當年目標設定!$R$1:$AC$33,10,TRUE)</f>
        <v>12011279.298428249</v>
      </c>
      <c r="G12" s="308">
        <f>當年月推移!$P10</f>
        <v>11490240</v>
      </c>
      <c r="H12" s="308">
        <f>當年月推移!P44</f>
        <v>15166958</v>
      </c>
      <c r="I12" s="27">
        <f>VALUE(庫存金額!C8)</f>
        <v>14942415</v>
      </c>
      <c r="J12" s="27">
        <f>VALUE(庫存金額!D8)</f>
        <v>14942415</v>
      </c>
      <c r="K12" s="27">
        <f>VALUE(庫存金額!E8)</f>
        <v>11786626</v>
      </c>
      <c r="L12" s="27">
        <f>VALUE(庫存金額!F8)</f>
        <v>12501270</v>
      </c>
      <c r="M12" s="27">
        <f>VALUE(庫存金額!G8)</f>
        <v>13141540</v>
      </c>
      <c r="N12" s="27">
        <f>VALUE(庫存金額!H8)</f>
        <v>12716056</v>
      </c>
      <c r="O12" s="27">
        <f>VALUE(庫存金額!I8)</f>
        <v>12321485</v>
      </c>
      <c r="P12" s="27">
        <f>VALUE(庫存金額!J8)</f>
        <v>8513968</v>
      </c>
      <c r="Q12" s="27">
        <f>VALUE(庫存金額!K8)</f>
        <v>8513968</v>
      </c>
      <c r="R12" s="27">
        <f>VALUE(庫存金額!L8)</f>
        <v>7626807</v>
      </c>
      <c r="S12" s="27">
        <f>VALUE(庫存金額!M8)</f>
        <v>9097579</v>
      </c>
      <c r="T12" s="27">
        <f>VALUE(庫存金額!N8)</f>
        <v>11607131</v>
      </c>
      <c r="U12" s="27">
        <f>VALUE(庫存金額!O8)</f>
        <v>11446793</v>
      </c>
      <c r="V12" s="27">
        <f>VALUE(庫存金額!P8)</f>
        <v>13392996</v>
      </c>
      <c r="W12" s="27">
        <f>VALUE(庫存金額!Q8)</f>
        <v>9833362</v>
      </c>
      <c r="X12" s="27">
        <f>VALUE(庫存金額!R8)</f>
        <v>9833362</v>
      </c>
      <c r="Y12" s="27">
        <f>VALUE(庫存金額!S8)</f>
        <v>8580258</v>
      </c>
      <c r="Z12" s="27">
        <f>VALUE(庫存金額!T8)</f>
        <v>9597601</v>
      </c>
      <c r="AA12" s="27">
        <f>VALUE(庫存金額!U8)</f>
        <v>11092815</v>
      </c>
      <c r="AB12" s="27">
        <f>VALUE(庫存金額!V8)</f>
        <v>11693685</v>
      </c>
      <c r="AC12" s="27">
        <f>VALUE(庫存金額!W8)</f>
        <v>12856179</v>
      </c>
      <c r="AD12" s="27">
        <f>VALUE(庫存金額!X8)</f>
        <v>9449913</v>
      </c>
      <c r="AE12" s="27">
        <f>VALUE(庫存金額!Y8)</f>
        <v>9449913</v>
      </c>
      <c r="AF12" s="27">
        <f>VALUE(庫存金額!Z8)</f>
        <v>9460510</v>
      </c>
      <c r="AG12" s="27">
        <f>VALUE(庫存金額!AA8)</f>
        <v>9965865</v>
      </c>
      <c r="AH12" s="27">
        <f>VALUE(庫存金額!AB8)</f>
        <v>11281460</v>
      </c>
      <c r="AI12" s="27">
        <f>VALUE(庫存金額!AC8)</f>
        <v>13093973</v>
      </c>
      <c r="AJ12" s="27">
        <f>VALUE(庫存金額!AD8)</f>
        <v>15261358</v>
      </c>
      <c r="AK12" s="27">
        <f>VALUE(庫存金額!AE8)</f>
        <v>11995084</v>
      </c>
      <c r="AL12" s="27">
        <f>VALUE(庫存金額!AF8)</f>
        <v>11995084</v>
      </c>
      <c r="AM12" s="27">
        <f>VALUE(庫存金額!AG8)</f>
        <v>13631227</v>
      </c>
      <c r="AN12" s="27">
        <f>VALUE(庫存金額!AH8)</f>
        <v>1636143</v>
      </c>
      <c r="AO12" s="27">
        <f>VALUE(庫存金額!AI8)</f>
        <v>11342667.68</v>
      </c>
      <c r="AP12" s="16">
        <f t="shared" si="1"/>
        <v>1526.1358</v>
      </c>
      <c r="AQ12" s="17">
        <f t="shared" si="2"/>
        <v>1134.266768</v>
      </c>
      <c r="AR12" s="22"/>
    </row>
    <row r="13" spans="1:44" s="14" customFormat="1" ht="21.95" customHeight="1">
      <c r="A13" s="23"/>
      <c r="B13" s="652" t="s">
        <v>17</v>
      </c>
      <c r="C13" s="653"/>
      <c r="D13" s="323">
        <f t="shared" ref="D13:I13" si="5">SUM(D14:D17)</f>
        <v>10249530.16</v>
      </c>
      <c r="E13" s="323">
        <f t="shared" si="5"/>
        <v>10672398.097245749</v>
      </c>
      <c r="F13" s="323">
        <f t="shared" si="5"/>
        <v>11095358.143328873</v>
      </c>
      <c r="G13" s="323">
        <f t="shared" si="5"/>
        <v>1918644</v>
      </c>
      <c r="H13" s="323">
        <f t="shared" si="5"/>
        <v>2035631</v>
      </c>
      <c r="I13" s="20">
        <f t="shared" si="5"/>
        <v>11106003</v>
      </c>
      <c r="J13" s="20">
        <f t="shared" ref="J13:AO13" si="6">SUM(J14:J17)</f>
        <v>11106003</v>
      </c>
      <c r="K13" s="20">
        <f t="shared" si="6"/>
        <v>10278505</v>
      </c>
      <c r="L13" s="20">
        <f t="shared" si="6"/>
        <v>9075222</v>
      </c>
      <c r="M13" s="20">
        <f t="shared" si="6"/>
        <v>11228477</v>
      </c>
      <c r="N13" s="20">
        <f t="shared" si="6"/>
        <v>10358671</v>
      </c>
      <c r="O13" s="20">
        <f t="shared" si="6"/>
        <v>11966979</v>
      </c>
      <c r="P13" s="20">
        <f t="shared" si="6"/>
        <v>10434117</v>
      </c>
      <c r="Q13" s="20">
        <f t="shared" si="6"/>
        <v>10434117</v>
      </c>
      <c r="R13" s="20">
        <f t="shared" si="6"/>
        <v>9171868</v>
      </c>
      <c r="S13" s="20">
        <f t="shared" si="6"/>
        <v>11285263</v>
      </c>
      <c r="T13" s="20">
        <f t="shared" si="6"/>
        <v>11990249</v>
      </c>
      <c r="U13" s="20">
        <f t="shared" si="6"/>
        <v>11106663</v>
      </c>
      <c r="V13" s="20">
        <f t="shared" si="6"/>
        <v>13332941</v>
      </c>
      <c r="W13" s="20">
        <f t="shared" si="6"/>
        <v>11673313</v>
      </c>
      <c r="X13" s="20">
        <f t="shared" si="6"/>
        <v>11673313</v>
      </c>
      <c r="Y13" s="20">
        <f t="shared" si="6"/>
        <v>10200650</v>
      </c>
      <c r="Z13" s="20">
        <f t="shared" si="6"/>
        <v>9645011</v>
      </c>
      <c r="AA13" s="20">
        <f t="shared" si="6"/>
        <v>11314899</v>
      </c>
      <c r="AB13" s="20">
        <f t="shared" si="6"/>
        <v>10767030</v>
      </c>
      <c r="AC13" s="20">
        <f t="shared" si="6"/>
        <v>11250639</v>
      </c>
      <c r="AD13" s="20">
        <f t="shared" si="6"/>
        <v>9912776</v>
      </c>
      <c r="AE13" s="20">
        <f t="shared" si="6"/>
        <v>9912776</v>
      </c>
      <c r="AF13" s="20">
        <f t="shared" si="6"/>
        <v>9196880</v>
      </c>
      <c r="AG13" s="20">
        <f t="shared" si="6"/>
        <v>11662417</v>
      </c>
      <c r="AH13" s="20">
        <f t="shared" si="6"/>
        <v>10969635</v>
      </c>
      <c r="AI13" s="20">
        <f t="shared" si="6"/>
        <v>10559892</v>
      </c>
      <c r="AJ13" s="20">
        <f t="shared" si="6"/>
        <v>14332583</v>
      </c>
      <c r="AK13" s="20">
        <f t="shared" si="6"/>
        <v>12788787</v>
      </c>
      <c r="AL13" s="20">
        <f t="shared" si="6"/>
        <v>12788787</v>
      </c>
      <c r="AM13" s="20">
        <f t="shared" si="6"/>
        <v>10768626</v>
      </c>
      <c r="AN13" s="20">
        <f t="shared" si="6"/>
        <v>-2020161</v>
      </c>
      <c r="AO13" s="20">
        <f t="shared" si="6"/>
        <v>11041712.649999999</v>
      </c>
      <c r="AP13" s="16">
        <f t="shared" si="1"/>
        <v>1433.2583</v>
      </c>
      <c r="AQ13" s="17">
        <f t="shared" si="2"/>
        <v>1104.1712649999999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1551223.65</v>
      </c>
      <c r="E15" s="309">
        <f>HLOOKUP(MONTH(日期!$C$2),當年目標設定!$D$1:$O$33,13,TRUE)</f>
        <v>1571119.2701610001</v>
      </c>
      <c r="F15" s="308">
        <f>HLOOKUP(MONTH(日期!$C$2),當年目標設定!$R$1:$AC$33,13,TRUE)</f>
        <v>1430722.33842725</v>
      </c>
      <c r="G15" s="308">
        <f>當年月推移!P13</f>
        <v>1622335</v>
      </c>
      <c r="H15" s="308">
        <f>當年月推移!P47</f>
        <v>1711443</v>
      </c>
      <c r="I15" s="27">
        <f>VALUE(庫存金額!C10)</f>
        <v>1586711</v>
      </c>
      <c r="J15" s="27">
        <f>VALUE(庫存金額!D10)</f>
        <v>1586711</v>
      </c>
      <c r="K15" s="27">
        <f>VALUE(庫存金額!E10)</f>
        <v>1476161</v>
      </c>
      <c r="L15" s="27">
        <f>VALUE(庫存金額!F10)</f>
        <v>1357321</v>
      </c>
      <c r="M15" s="27">
        <f>VALUE(庫存金額!G10)</f>
        <v>1268491</v>
      </c>
      <c r="N15" s="27">
        <f>VALUE(庫存金額!H10)</f>
        <v>1193076</v>
      </c>
      <c r="O15" s="27">
        <f>VALUE(庫存金額!I10)</f>
        <v>1168091</v>
      </c>
      <c r="P15" s="27">
        <f>VALUE(庫存金額!J10)</f>
        <v>1159901</v>
      </c>
      <c r="Q15" s="27">
        <f>VALUE(庫存金額!K10)</f>
        <v>1159901</v>
      </c>
      <c r="R15" s="27">
        <f>VALUE(庫存金額!L10)</f>
        <v>1064081</v>
      </c>
      <c r="S15" s="27">
        <f>VALUE(庫存金額!M10)</f>
        <v>1019476</v>
      </c>
      <c r="T15" s="27">
        <f>VALUE(庫存金額!N10)</f>
        <v>1414481</v>
      </c>
      <c r="U15" s="27">
        <f>VALUE(庫存金額!O10)</f>
        <v>1446831</v>
      </c>
      <c r="V15" s="27">
        <f>VALUE(庫存金額!P10)</f>
        <v>1360371</v>
      </c>
      <c r="W15" s="27">
        <f>VALUE(庫存金額!Q10)</f>
        <v>1298436</v>
      </c>
      <c r="X15" s="27">
        <f>VALUE(庫存金額!R10)</f>
        <v>1298436</v>
      </c>
      <c r="Y15" s="27">
        <f>VALUE(庫存金額!S10)</f>
        <v>1269421</v>
      </c>
      <c r="Z15" s="27">
        <f>VALUE(庫存金額!T10)</f>
        <v>1238986</v>
      </c>
      <c r="AA15" s="27">
        <f>VALUE(庫存金額!U10)</f>
        <v>1219836</v>
      </c>
      <c r="AB15" s="27">
        <f>VALUE(庫存金額!V10)</f>
        <v>1530446</v>
      </c>
      <c r="AC15" s="27">
        <f>VALUE(庫存金額!W10)</f>
        <v>1493776</v>
      </c>
      <c r="AD15" s="27">
        <f>VALUE(庫存金額!X10)</f>
        <v>1448611</v>
      </c>
      <c r="AE15" s="27">
        <f>VALUE(庫存金額!Y10)</f>
        <v>1448611</v>
      </c>
      <c r="AF15" s="27">
        <f>VALUE(庫存金額!Z10)</f>
        <v>1318701</v>
      </c>
      <c r="AG15" s="27">
        <f>VALUE(庫存金額!AA10)</f>
        <v>1225070</v>
      </c>
      <c r="AH15" s="27">
        <f>VALUE(庫存金額!AB10)</f>
        <v>1143196</v>
      </c>
      <c r="AI15" s="27">
        <f>VALUE(庫存金額!AC10)</f>
        <v>1705091</v>
      </c>
      <c r="AJ15" s="27">
        <f>VALUE(庫存金額!AD10)</f>
        <v>1572311</v>
      </c>
      <c r="AK15" s="27">
        <f>VALUE(庫存金額!AE10)</f>
        <v>1513506</v>
      </c>
      <c r="AL15" s="27">
        <f>VALUE(庫存金額!AF10)</f>
        <v>1513506</v>
      </c>
      <c r="AM15" s="27">
        <f>VALUE(庫存金額!AG10)</f>
        <v>1480486</v>
      </c>
      <c r="AN15" s="27">
        <f>VALUE(庫存金額!AH10)</f>
        <v>-33020</v>
      </c>
      <c r="AO15" s="27">
        <f>VALUE(庫存金額!AI10)</f>
        <v>1354194.52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254428.03</v>
      </c>
      <c r="E16" s="309">
        <f>HLOOKUP(MONTH(日期!$C$2),當年目標設定!$D$1:$O$33,14,TRUE)</f>
        <v>343787.93882049999</v>
      </c>
      <c r="F16" s="308">
        <f>HLOOKUP(MONTH(日期!$C$2),當年目標設定!$R$1:$AC$33,14,TRUE)</f>
        <v>348551.30752537498</v>
      </c>
      <c r="G16" s="308">
        <f>當年月推移!P15</f>
        <v>296309</v>
      </c>
      <c r="H16" s="308">
        <f>當年月推移!P49</f>
        <v>324188</v>
      </c>
      <c r="I16" s="232">
        <f>VALUE(庫存金額!C14)</f>
        <v>350698</v>
      </c>
      <c r="J16" s="232">
        <f>VALUE(庫存金額!D14)</f>
        <v>350698</v>
      </c>
      <c r="K16" s="232">
        <f>VALUE(庫存金額!E14)</f>
        <v>350698</v>
      </c>
      <c r="L16" s="232">
        <f>VALUE(庫存金額!F14)</f>
        <v>339498</v>
      </c>
      <c r="M16" s="232">
        <f>VALUE(庫存金額!G14)</f>
        <v>336178</v>
      </c>
      <c r="N16" s="232">
        <f>VALUE(庫存金額!H14)</f>
        <v>330848</v>
      </c>
      <c r="O16" s="232">
        <f>VALUE(庫存金額!I14)</f>
        <v>326368</v>
      </c>
      <c r="P16" s="232">
        <f>VALUE(庫存金額!J14)</f>
        <v>325288</v>
      </c>
      <c r="Q16" s="232">
        <f>VALUE(庫存金額!K14)</f>
        <v>325288</v>
      </c>
      <c r="R16" s="232">
        <f>VALUE(庫存金額!L14)</f>
        <v>322048</v>
      </c>
      <c r="S16" s="232">
        <f>VALUE(庫存金額!M14)</f>
        <v>321508</v>
      </c>
      <c r="T16" s="232">
        <f>VALUE(庫存金額!N14)</f>
        <v>317648</v>
      </c>
      <c r="U16" s="232">
        <f>VALUE(庫存金額!O14)</f>
        <v>317108</v>
      </c>
      <c r="V16" s="232">
        <f>VALUE(庫存金額!P14)</f>
        <v>316568</v>
      </c>
      <c r="W16" s="232">
        <f>VALUE(庫存金額!Q14)</f>
        <v>315488</v>
      </c>
      <c r="X16" s="232">
        <f>VALUE(庫存金額!R14)</f>
        <v>315488</v>
      </c>
      <c r="Y16" s="232">
        <f>VALUE(庫存金額!S14)</f>
        <v>310468</v>
      </c>
      <c r="Z16" s="232">
        <f>VALUE(庫存金額!T14)</f>
        <v>297488</v>
      </c>
      <c r="AA16" s="232">
        <f>VALUE(庫存金額!U14)</f>
        <v>296408</v>
      </c>
      <c r="AB16" s="232">
        <f>VALUE(庫存金額!V14)</f>
        <v>285208</v>
      </c>
      <c r="AC16" s="232">
        <f>VALUE(庫存金額!W14)</f>
        <v>281348</v>
      </c>
      <c r="AD16" s="232">
        <f>VALUE(庫存金額!X14)</f>
        <v>280808</v>
      </c>
      <c r="AE16" s="232">
        <f>VALUE(庫存金額!Y14)</f>
        <v>280808</v>
      </c>
      <c r="AF16" s="232">
        <f>VALUE(庫存金額!Z14)</f>
        <v>277568</v>
      </c>
      <c r="AG16" s="232">
        <f>VALUE(庫存金額!AA14)</f>
        <v>277028</v>
      </c>
      <c r="AH16" s="232">
        <f>VALUE(庫存金額!AB14)</f>
        <v>275948</v>
      </c>
      <c r="AI16" s="232">
        <f>VALUE(庫存金額!AC14)</f>
        <v>274558</v>
      </c>
      <c r="AJ16" s="232">
        <f>VALUE(庫存金額!AD14)</f>
        <v>274018</v>
      </c>
      <c r="AK16" s="232">
        <f>VALUE(庫存金額!AE14)</f>
        <v>272318</v>
      </c>
      <c r="AL16" s="232">
        <f>VALUE(庫存金額!AF14)</f>
        <v>272318</v>
      </c>
      <c r="AM16" s="232">
        <f>VALUE(庫存金額!AG14)</f>
        <v>271778</v>
      </c>
      <c r="AN16" s="232">
        <f>VALUE(庫存金額!AH14)</f>
        <v>-540</v>
      </c>
      <c r="AO16" s="232">
        <f>VALUE(庫存金額!AI14)</f>
        <v>306112.52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8443878.4800000004</v>
      </c>
      <c r="E17" s="309">
        <f>HLOOKUP(MONTH(日期!$C$2),當年目標設定!$D$1:$O$33,15,TRUE)</f>
        <v>8757490.88826425</v>
      </c>
      <c r="F17" s="308">
        <f>HLOOKUP(MONTH(日期!$C$2),當年目標設定!$R$1:$AC$33,15,TRUE)</f>
        <v>9316084.4973762482</v>
      </c>
      <c r="G17" s="308">
        <f>當年月推移!P33</f>
        <v>0</v>
      </c>
      <c r="H17" s="308">
        <f>當年月推移!P67</f>
        <v>0</v>
      </c>
      <c r="I17" s="232">
        <f>VALUE(庫存金額!C24)</f>
        <v>9168594</v>
      </c>
      <c r="J17" s="232">
        <f>VALUE(庫存金額!D24)</f>
        <v>9168594</v>
      </c>
      <c r="K17" s="232">
        <f>VALUE(庫存金額!E24)</f>
        <v>8451646</v>
      </c>
      <c r="L17" s="232">
        <f>VALUE(庫存金額!F24)</f>
        <v>7378403</v>
      </c>
      <c r="M17" s="232">
        <f>VALUE(庫存金額!G24)</f>
        <v>9623808</v>
      </c>
      <c r="N17" s="232">
        <f>VALUE(庫存金額!H24)</f>
        <v>8834747</v>
      </c>
      <c r="O17" s="232">
        <f>VALUE(庫存金額!I24)</f>
        <v>10472520</v>
      </c>
      <c r="P17" s="232">
        <f>VALUE(庫存金額!J24)</f>
        <v>8948928</v>
      </c>
      <c r="Q17" s="232">
        <f>VALUE(庫存金額!K24)</f>
        <v>8948928</v>
      </c>
      <c r="R17" s="232">
        <f>VALUE(庫存金額!L24)</f>
        <v>7785739</v>
      </c>
      <c r="S17" s="232">
        <f>VALUE(庫存金額!M24)</f>
        <v>9944279</v>
      </c>
      <c r="T17" s="232">
        <f>VALUE(庫存金額!N24)</f>
        <v>10258120</v>
      </c>
      <c r="U17" s="232">
        <f>VALUE(庫存金額!O24)</f>
        <v>9342724</v>
      </c>
      <c r="V17" s="232">
        <f>VALUE(庫存金額!P24)</f>
        <v>11656002</v>
      </c>
      <c r="W17" s="232">
        <f>VALUE(庫存金額!Q24)</f>
        <v>10059389</v>
      </c>
      <c r="X17" s="232">
        <f>VALUE(庫存金額!R24)</f>
        <v>10059389</v>
      </c>
      <c r="Y17" s="232">
        <f>VALUE(庫存金額!S24)</f>
        <v>8620761</v>
      </c>
      <c r="Z17" s="232">
        <f>VALUE(庫存金額!T24)</f>
        <v>8108537</v>
      </c>
      <c r="AA17" s="232">
        <f>VALUE(庫存金額!U24)</f>
        <v>9798655</v>
      </c>
      <c r="AB17" s="232">
        <f>VALUE(庫存金額!V24)</f>
        <v>8951376</v>
      </c>
      <c r="AC17" s="232">
        <f>VALUE(庫存金額!W24)</f>
        <v>9475515</v>
      </c>
      <c r="AD17" s="232">
        <f>VALUE(庫存金額!X24)</f>
        <v>8183357</v>
      </c>
      <c r="AE17" s="232">
        <f>VALUE(庫存金額!Y24)</f>
        <v>8183357</v>
      </c>
      <c r="AF17" s="232">
        <f>VALUE(庫存金額!Z24)</f>
        <v>7600611</v>
      </c>
      <c r="AG17" s="232">
        <f>VALUE(庫存金額!AA24)</f>
        <v>10160319</v>
      </c>
      <c r="AH17" s="232">
        <f>VALUE(庫存金額!AB24)</f>
        <v>9550491</v>
      </c>
      <c r="AI17" s="232">
        <f>VALUE(庫存金額!AC24)</f>
        <v>8580243</v>
      </c>
      <c r="AJ17" s="232">
        <f>VALUE(庫存金額!AD24)</f>
        <v>12486254</v>
      </c>
      <c r="AK17" s="232">
        <f>VALUE(庫存金額!AE24)</f>
        <v>11002963</v>
      </c>
      <c r="AL17" s="232">
        <f>VALUE(庫存金額!AF24)</f>
        <v>11002963</v>
      </c>
      <c r="AM17" s="232">
        <f>VALUE(庫存金額!AG24)</f>
        <v>9016362</v>
      </c>
      <c r="AN17" s="232">
        <f>VALUE(庫存金額!AH24)</f>
        <v>-1986601</v>
      </c>
      <c r="AO17" s="232">
        <f>VALUE(庫存金額!AI24)</f>
        <v>9381405.6099999994</v>
      </c>
    </row>
    <row r="18" spans="1:44" s="14" customFormat="1" ht="21.95" customHeight="1">
      <c r="A18" s="23"/>
      <c r="B18" s="660" t="s">
        <v>22</v>
      </c>
      <c r="C18" s="661"/>
      <c r="D18" s="324">
        <f t="shared" ref="D18:I18" si="7">SUM(D19:D25)</f>
        <v>207085091.03225502</v>
      </c>
      <c r="E18" s="554">
        <f t="shared" si="7"/>
        <v>283627840.17803454</v>
      </c>
      <c r="F18" s="324">
        <f t="shared" si="7"/>
        <v>284886201.91885513</v>
      </c>
      <c r="G18" s="317">
        <f t="shared" si="7"/>
        <v>230795499</v>
      </c>
      <c r="H18" s="317">
        <f t="shared" si="7"/>
        <v>241995444</v>
      </c>
      <c r="I18" s="237">
        <f t="shared" si="7"/>
        <v>270465956</v>
      </c>
      <c r="J18" s="237">
        <f t="shared" ref="J18:AO18" si="8">SUM(J19:J25)</f>
        <v>270465428</v>
      </c>
      <c r="K18" s="237">
        <f t="shared" si="8"/>
        <v>270131213</v>
      </c>
      <c r="L18" s="237">
        <f t="shared" si="8"/>
        <v>268952554</v>
      </c>
      <c r="M18" s="237">
        <f t="shared" si="8"/>
        <v>268832437</v>
      </c>
      <c r="N18" s="237">
        <f t="shared" si="8"/>
        <v>271800007</v>
      </c>
      <c r="O18" s="237">
        <f t="shared" si="8"/>
        <v>274542990</v>
      </c>
      <c r="P18" s="237">
        <f t="shared" si="8"/>
        <v>270956233</v>
      </c>
      <c r="Q18" s="237">
        <f t="shared" si="8"/>
        <v>270956233</v>
      </c>
      <c r="R18" s="237">
        <f t="shared" si="8"/>
        <v>271776409</v>
      </c>
      <c r="S18" s="237">
        <f t="shared" si="8"/>
        <v>271993558</v>
      </c>
      <c r="T18" s="237">
        <f t="shared" si="8"/>
        <v>271842394</v>
      </c>
      <c r="U18" s="237">
        <f t="shared" si="8"/>
        <v>272498594</v>
      </c>
      <c r="V18" s="237">
        <f t="shared" si="8"/>
        <v>278900339</v>
      </c>
      <c r="W18" s="237">
        <f t="shared" si="8"/>
        <v>275381280</v>
      </c>
      <c r="X18" s="237">
        <f t="shared" si="8"/>
        <v>275381280</v>
      </c>
      <c r="Y18" s="237">
        <f t="shared" si="8"/>
        <v>276346768</v>
      </c>
      <c r="Z18" s="237">
        <f t="shared" si="8"/>
        <v>276499144</v>
      </c>
      <c r="AA18" s="237">
        <f t="shared" si="8"/>
        <v>277148532</v>
      </c>
      <c r="AB18" s="237">
        <f t="shared" si="8"/>
        <v>278125511</v>
      </c>
      <c r="AC18" s="237">
        <f t="shared" si="8"/>
        <v>281298708</v>
      </c>
      <c r="AD18" s="237">
        <f t="shared" si="8"/>
        <v>277739437</v>
      </c>
      <c r="AE18" s="237">
        <f t="shared" si="8"/>
        <v>277739437</v>
      </c>
      <c r="AF18" s="237">
        <f t="shared" si="8"/>
        <v>280033644</v>
      </c>
      <c r="AG18" s="237">
        <f t="shared" si="8"/>
        <v>279877546</v>
      </c>
      <c r="AH18" s="237">
        <f t="shared" si="8"/>
        <v>281228828</v>
      </c>
      <c r="AI18" s="237">
        <f t="shared" si="8"/>
        <v>279827709</v>
      </c>
      <c r="AJ18" s="237">
        <f t="shared" si="8"/>
        <v>282279856</v>
      </c>
      <c r="AK18" s="237">
        <f t="shared" si="8"/>
        <v>279402540</v>
      </c>
      <c r="AL18" s="237">
        <f t="shared" si="8"/>
        <v>279402540</v>
      </c>
      <c r="AM18" s="237">
        <f t="shared" si="8"/>
        <v>281535687</v>
      </c>
      <c r="AN18" s="237">
        <f t="shared" si="8"/>
        <v>2133147</v>
      </c>
      <c r="AO18" s="237">
        <f t="shared" si="8"/>
        <v>275592348.13</v>
      </c>
      <c r="AP18" s="16">
        <f>AJ18/10000</f>
        <v>28227.9856</v>
      </c>
      <c r="AQ18" s="17">
        <f>AO18/10000</f>
        <v>27559.234812999999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181533989.32258001</v>
      </c>
      <c r="E19" s="555">
        <f>HLOOKUP(MONTH(日期!$C$2),當年目標設定!$D$1:$O$33,17,TRUE)</f>
        <v>259486724.47462422</v>
      </c>
      <c r="F19" s="309">
        <f>HLOOKUP(MONTH(日期!$C$2),當年目標設定!$R$1:$AC$33,17,TRUE)</f>
        <v>258290968.73511803</v>
      </c>
      <c r="G19" s="308">
        <f>當年月推移!P17</f>
        <v>215117832</v>
      </c>
      <c r="H19" s="308">
        <f>當年月推移!P51</f>
        <v>223317587</v>
      </c>
      <c r="I19" s="27">
        <f>VALUE(庫存金額!C3)</f>
        <v>227271624</v>
      </c>
      <c r="J19" s="27">
        <f>VALUE(庫存金額!D3)</f>
        <v>227271096</v>
      </c>
      <c r="K19" s="27">
        <f>VALUE(庫存金額!E3)</f>
        <v>226481563</v>
      </c>
      <c r="L19" s="27">
        <f>VALUE(庫存金額!F3)</f>
        <v>225653820</v>
      </c>
      <c r="M19" s="27">
        <f>VALUE(庫存金額!G3)</f>
        <v>224711977</v>
      </c>
      <c r="N19" s="27">
        <f>VALUE(庫存金額!H3)</f>
        <v>226080926</v>
      </c>
      <c r="O19" s="27">
        <f>VALUE(庫存金額!I3)</f>
        <v>227655817</v>
      </c>
      <c r="P19" s="27">
        <f>VALUE(庫存金額!J3)</f>
        <v>225993390</v>
      </c>
      <c r="Q19" s="27">
        <f>VALUE(庫存金額!K3)</f>
        <v>225993390</v>
      </c>
      <c r="R19" s="27">
        <f>VALUE(庫存金額!L3)</f>
        <v>226249967</v>
      </c>
      <c r="S19" s="27">
        <f>VALUE(庫存金額!M3)</f>
        <v>226833944</v>
      </c>
      <c r="T19" s="27">
        <f>VALUE(庫存金額!N3)</f>
        <v>227331011</v>
      </c>
      <c r="U19" s="27">
        <f>VALUE(庫存金額!O3)</f>
        <v>228024882</v>
      </c>
      <c r="V19" s="27">
        <f>VALUE(庫存金額!P3)</f>
        <v>232128401</v>
      </c>
      <c r="W19" s="27">
        <f>VALUE(庫存金額!Q3)</f>
        <v>230664239</v>
      </c>
      <c r="X19" s="27">
        <f>VALUE(庫存金額!R3)</f>
        <v>230664239</v>
      </c>
      <c r="Y19" s="27">
        <f>VALUE(庫存金額!S3)</f>
        <v>231718758</v>
      </c>
      <c r="Z19" s="27">
        <f>VALUE(庫存金額!T3)</f>
        <v>232184667</v>
      </c>
      <c r="AA19" s="27">
        <f>VALUE(庫存金額!U3)</f>
        <v>233014173</v>
      </c>
      <c r="AB19" s="27">
        <f>VALUE(庫存金額!V3)</f>
        <v>234302857</v>
      </c>
      <c r="AC19" s="27">
        <f>VALUE(庫存金額!W3)</f>
        <v>235745948</v>
      </c>
      <c r="AD19" s="27">
        <f>VALUE(庫存金額!X3)</f>
        <v>233807842</v>
      </c>
      <c r="AE19" s="27">
        <f>VALUE(庫存金額!Y3)</f>
        <v>233807842</v>
      </c>
      <c r="AF19" s="27">
        <f>VALUE(庫存金額!Z3)</f>
        <v>236308234</v>
      </c>
      <c r="AG19" s="27">
        <f>VALUE(庫存金額!AA3)</f>
        <v>236018637</v>
      </c>
      <c r="AH19" s="27">
        <f>VALUE(庫存金額!AB3)</f>
        <v>236396058</v>
      </c>
      <c r="AI19" s="27">
        <f>VALUE(庫存金額!AC3)</f>
        <v>234688826</v>
      </c>
      <c r="AJ19" s="27">
        <f>VALUE(庫存金額!AD3)</f>
        <v>234671977</v>
      </c>
      <c r="AK19" s="27">
        <f>VALUE(庫存金額!AE3)</f>
        <v>233292941</v>
      </c>
      <c r="AL19" s="27">
        <f>VALUE(庫存金額!AF3)</f>
        <v>233292941</v>
      </c>
      <c r="AM19" s="27">
        <f>VALUE(庫存金額!AG3)</f>
        <v>234536820</v>
      </c>
      <c r="AN19" s="27">
        <f>VALUE(庫存金額!AH3)</f>
        <v>1243879</v>
      </c>
      <c r="AO19" s="27">
        <f>VALUE(庫存金額!AI3)</f>
        <v>230735445.38999999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2115375.967741</v>
      </c>
      <c r="E20" s="555">
        <f>HLOOKUP(MONTH(日期!$C$2),當年目標設定!$D$1:$O$33,18,TRUE)</f>
        <v>2050247.9230848721</v>
      </c>
      <c r="F20" s="309">
        <f>HLOOKUP(MONTH(日期!$C$2),當年目標設定!$R$1:$AC$33,18,TRUE)</f>
        <v>1998335.1780568506</v>
      </c>
      <c r="G20" s="308">
        <f>當年月推移!P18</f>
        <v>2566681</v>
      </c>
      <c r="H20" s="308">
        <f>當年月推移!P52</f>
        <v>3312381</v>
      </c>
      <c r="I20" s="232">
        <f>VALUE(庫存金額!C13)</f>
        <v>1908853</v>
      </c>
      <c r="J20" s="232">
        <f>VALUE(庫存金額!D13)</f>
        <v>1908853</v>
      </c>
      <c r="K20" s="232">
        <f>VALUE(庫存金額!E13)</f>
        <v>1915899</v>
      </c>
      <c r="L20" s="232">
        <f>VALUE(庫存金額!F13)</f>
        <v>1873273</v>
      </c>
      <c r="M20" s="232">
        <f>VALUE(庫存金額!G13)</f>
        <v>1325465</v>
      </c>
      <c r="N20" s="232">
        <f>VALUE(庫存金額!H13)</f>
        <v>1699047</v>
      </c>
      <c r="O20" s="232">
        <f>VALUE(庫存金額!I13)</f>
        <v>2063281</v>
      </c>
      <c r="P20" s="232">
        <f>VALUE(庫存金額!J13)</f>
        <v>1704795</v>
      </c>
      <c r="Q20" s="232">
        <f>VALUE(庫存金額!K13)</f>
        <v>1704795</v>
      </c>
      <c r="R20" s="232">
        <f>VALUE(庫存金額!L13)</f>
        <v>1859799</v>
      </c>
      <c r="S20" s="232">
        <f>VALUE(庫存金額!M13)</f>
        <v>1979096</v>
      </c>
      <c r="T20" s="232">
        <f>VALUE(庫存金額!N13)</f>
        <v>2169101</v>
      </c>
      <c r="U20" s="232">
        <f>VALUE(庫存金額!O13)</f>
        <v>1702936</v>
      </c>
      <c r="V20" s="232">
        <f>VALUE(庫存金額!P13)</f>
        <v>1979994</v>
      </c>
      <c r="W20" s="232">
        <f>VALUE(庫存金額!Q13)</f>
        <v>1329466</v>
      </c>
      <c r="X20" s="232">
        <f>VALUE(庫存金額!R13)</f>
        <v>1329466</v>
      </c>
      <c r="Y20" s="232">
        <f>VALUE(庫存金額!S13)</f>
        <v>2008809</v>
      </c>
      <c r="Z20" s="232">
        <f>VALUE(庫存金額!T13)</f>
        <v>1892460</v>
      </c>
      <c r="AA20" s="232">
        <f>VALUE(庫存金額!U13)</f>
        <v>1706904</v>
      </c>
      <c r="AB20" s="232">
        <f>VALUE(庫存金額!V13)</f>
        <v>1237892</v>
      </c>
      <c r="AC20" s="232">
        <f>VALUE(庫存金額!W13)</f>
        <v>2234651</v>
      </c>
      <c r="AD20" s="232">
        <f>VALUE(庫存金額!X13)</f>
        <v>1885707</v>
      </c>
      <c r="AE20" s="232">
        <f>VALUE(庫存金額!Y13)</f>
        <v>1885707</v>
      </c>
      <c r="AF20" s="232">
        <f>VALUE(庫存金額!Z13)</f>
        <v>1770966</v>
      </c>
      <c r="AG20" s="232">
        <f>VALUE(庫存金額!AA13)</f>
        <v>1537317</v>
      </c>
      <c r="AH20" s="232">
        <f>VALUE(庫存金額!AB13)</f>
        <v>2033329</v>
      </c>
      <c r="AI20" s="232">
        <f>VALUE(庫存金額!AC13)</f>
        <v>1806756</v>
      </c>
      <c r="AJ20" s="232">
        <f>VALUE(庫存金額!AD13)</f>
        <v>2347681</v>
      </c>
      <c r="AK20" s="232">
        <f>VALUE(庫存金額!AE13)</f>
        <v>2218574</v>
      </c>
      <c r="AL20" s="232">
        <f>VALUE(庫存金額!AF13)</f>
        <v>2218574</v>
      </c>
      <c r="AM20" s="232">
        <f>VALUE(庫存金額!AG13)</f>
        <v>2572318</v>
      </c>
      <c r="AN20" s="232">
        <f>VALUE(庫存金額!AH13)</f>
        <v>353744</v>
      </c>
      <c r="AO20" s="232">
        <f>VALUE(庫存金額!AI13)</f>
        <v>1864895.61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6875000.6451610001</v>
      </c>
      <c r="E21" s="555">
        <f>HLOOKUP(MONTH(日期!$C$2),當年目標設定!$D$1:$O$33,19,TRUE)</f>
        <v>5688526.9044024255</v>
      </c>
      <c r="F21" s="309">
        <f>HLOOKUP(MONTH(日期!$C$2),當年目標設定!$R$1:$AC$33,19,TRUE)</f>
        <v>7641999.4500766909</v>
      </c>
      <c r="G21" s="308">
        <f>當年月推移!P19</f>
        <v>161176</v>
      </c>
      <c r="H21" s="308">
        <f>當年月推移!P53</f>
        <v>161176</v>
      </c>
      <c r="I21" s="232">
        <f>VALUE(庫存金額!C18)</f>
        <v>21376354</v>
      </c>
      <c r="J21" s="232">
        <f>VALUE(庫存金額!D18)</f>
        <v>21376354</v>
      </c>
      <c r="K21" s="232">
        <f>VALUE(庫存金額!E18)</f>
        <v>21549236</v>
      </c>
      <c r="L21" s="232">
        <f>VALUE(庫存金額!F18)</f>
        <v>22379759</v>
      </c>
      <c r="M21" s="232">
        <f>VALUE(庫存金額!G18)</f>
        <v>23915645</v>
      </c>
      <c r="N21" s="232">
        <f>VALUE(庫存金額!H18)</f>
        <v>23889097</v>
      </c>
      <c r="O21" s="232">
        <f>VALUE(庫存金額!I18)</f>
        <v>24572647</v>
      </c>
      <c r="P21" s="232">
        <f>VALUE(庫存金額!J18)</f>
        <v>24520421</v>
      </c>
      <c r="Q21" s="232">
        <f>VALUE(庫存金額!K18)</f>
        <v>24520421</v>
      </c>
      <c r="R21" s="232">
        <f>VALUE(庫存金額!L18)</f>
        <v>24465597</v>
      </c>
      <c r="S21" s="232">
        <f>VALUE(庫存金額!M18)</f>
        <v>24362009</v>
      </c>
      <c r="T21" s="232">
        <f>VALUE(庫存金額!N18)</f>
        <v>24206508</v>
      </c>
      <c r="U21" s="232">
        <f>VALUE(庫存金額!O18)</f>
        <v>24207710</v>
      </c>
      <c r="V21" s="232">
        <f>VALUE(庫存金額!P18)</f>
        <v>24632564</v>
      </c>
      <c r="W21" s="232">
        <f>VALUE(庫存金額!Q18)</f>
        <v>24609595</v>
      </c>
      <c r="X21" s="232">
        <f>VALUE(庫存金額!R18)</f>
        <v>24609595</v>
      </c>
      <c r="Y21" s="232">
        <f>VALUE(庫存金額!S18)</f>
        <v>24708078</v>
      </c>
      <c r="Z21" s="232">
        <f>VALUE(庫存金額!T18)</f>
        <v>24920752</v>
      </c>
      <c r="AA21" s="232">
        <f>VALUE(庫存金額!U18)</f>
        <v>25116151</v>
      </c>
      <c r="AB21" s="232">
        <f>VALUE(庫存金額!V18)</f>
        <v>25187829</v>
      </c>
      <c r="AC21" s="232">
        <f>VALUE(庫存金額!W18)</f>
        <v>25429111</v>
      </c>
      <c r="AD21" s="232">
        <f>VALUE(庫存金額!X18)</f>
        <v>25385645</v>
      </c>
      <c r="AE21" s="232">
        <f>VALUE(庫存金額!Y18)</f>
        <v>25385645</v>
      </c>
      <c r="AF21" s="232">
        <f>VALUE(庫存金額!Z18)</f>
        <v>25321197</v>
      </c>
      <c r="AG21" s="232">
        <f>VALUE(庫存金額!AA18)</f>
        <v>25255461</v>
      </c>
      <c r="AH21" s="232">
        <f>VALUE(庫存金額!AB18)</f>
        <v>25290731</v>
      </c>
      <c r="AI21" s="232">
        <f>VALUE(庫存金額!AC18)</f>
        <v>25191836</v>
      </c>
      <c r="AJ21" s="232">
        <f>VALUE(庫存金額!AD18)</f>
        <v>25066192</v>
      </c>
      <c r="AK21" s="232">
        <f>VALUE(庫存金額!AE18)</f>
        <v>24990741</v>
      </c>
      <c r="AL21" s="232">
        <f>VALUE(庫存金額!AF18)</f>
        <v>24990741</v>
      </c>
      <c r="AM21" s="232">
        <f>VALUE(庫存金額!AG18)</f>
        <v>25013368</v>
      </c>
      <c r="AN21" s="232">
        <f>VALUE(庫存金額!AH18)</f>
        <v>22627</v>
      </c>
      <c r="AO21" s="232">
        <f>VALUE(庫存金額!AI18)</f>
        <v>24401515.809999999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11802339.387096001</v>
      </c>
      <c r="E22" s="555">
        <f>HLOOKUP(MONTH(日期!$C$2),當年目標設定!$D$1:$O$33,20,TRUE)</f>
        <v>10103022.82975268</v>
      </c>
      <c r="F22" s="309">
        <f>HLOOKUP(MONTH(日期!$C$2),當年目標設定!$R$1:$AC$33,20,TRUE)</f>
        <v>10556965.369671363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11527394</v>
      </c>
      <c r="J22" s="232">
        <f>VALUE(庫存金額!D17)</f>
        <v>11527394</v>
      </c>
      <c r="K22" s="232">
        <f>VALUE(庫存金額!E17)</f>
        <v>12253201</v>
      </c>
      <c r="L22" s="232">
        <f>VALUE(庫存金額!F17)</f>
        <v>11409772</v>
      </c>
      <c r="M22" s="232">
        <f>VALUE(庫存金額!G17)</f>
        <v>11610082</v>
      </c>
      <c r="N22" s="232">
        <f>VALUE(庫存金額!H17)</f>
        <v>12925188</v>
      </c>
      <c r="O22" s="232">
        <f>VALUE(庫存金額!I17)</f>
        <v>13153404</v>
      </c>
      <c r="P22" s="232">
        <f>VALUE(庫存金額!J17)</f>
        <v>12392534</v>
      </c>
      <c r="Q22" s="232">
        <f>VALUE(庫存金額!K17)</f>
        <v>12392534</v>
      </c>
      <c r="R22" s="232">
        <f>VALUE(庫存金額!L17)</f>
        <v>12983603</v>
      </c>
      <c r="S22" s="232">
        <f>VALUE(庫存金額!M17)</f>
        <v>12578081</v>
      </c>
      <c r="T22" s="232">
        <f>VALUE(庫存金額!N17)</f>
        <v>12065479</v>
      </c>
      <c r="U22" s="232">
        <f>VALUE(庫存金額!O17)</f>
        <v>12207579</v>
      </c>
      <c r="V22" s="232">
        <f>VALUE(庫存金額!P17)</f>
        <v>13366585</v>
      </c>
      <c r="W22" s="232">
        <f>VALUE(庫存金額!Q17)</f>
        <v>12567706</v>
      </c>
      <c r="X22" s="232">
        <f>VALUE(庫存金額!R17)</f>
        <v>12567706</v>
      </c>
      <c r="Y22" s="232">
        <f>VALUE(庫存金額!S17)</f>
        <v>12138952</v>
      </c>
      <c r="Z22" s="232">
        <f>VALUE(庫存金額!T17)</f>
        <v>11461300</v>
      </c>
      <c r="AA22" s="232">
        <f>VALUE(庫存金額!U17)</f>
        <v>11526891</v>
      </c>
      <c r="AB22" s="232">
        <f>VALUE(庫存金額!V17)</f>
        <v>11577030</v>
      </c>
      <c r="AC22" s="232">
        <f>VALUE(庫存金額!W17)</f>
        <v>11573188</v>
      </c>
      <c r="AD22" s="232">
        <f>VALUE(庫存金額!X17)</f>
        <v>10982766</v>
      </c>
      <c r="AE22" s="232">
        <f>VALUE(庫存金額!Y17)</f>
        <v>10982766</v>
      </c>
      <c r="AF22" s="232">
        <f>VALUE(庫存金額!Z17)</f>
        <v>10997898</v>
      </c>
      <c r="AG22" s="232">
        <f>VALUE(庫存金額!AA17)</f>
        <v>10603991</v>
      </c>
      <c r="AH22" s="232">
        <f>VALUE(庫存金額!AB17)</f>
        <v>10660626</v>
      </c>
      <c r="AI22" s="232">
        <f>VALUE(庫存金額!AC17)</f>
        <v>10862740</v>
      </c>
      <c r="AJ22" s="232">
        <f>VALUE(庫存金額!AD17)</f>
        <v>11440308</v>
      </c>
      <c r="AK22" s="232">
        <f>VALUE(庫存金額!AE17)</f>
        <v>10702522</v>
      </c>
      <c r="AL22" s="232">
        <f>VALUE(庫存金額!AF17)</f>
        <v>10702522</v>
      </c>
      <c r="AM22" s="232">
        <f>VALUE(庫存金額!AG17)</f>
        <v>10840157</v>
      </c>
      <c r="AN22" s="232">
        <f>VALUE(庫存金額!AH17)</f>
        <v>137635</v>
      </c>
      <c r="AO22" s="232">
        <f>VALUE(庫存金額!AI17)</f>
        <v>11760706.42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4459637.0322580002</v>
      </c>
      <c r="E23" s="555">
        <f>HLOOKUP(MONTH(日期!$C$2),當年目標設定!$D$1:$O$33,21,TRUE)</f>
        <v>6119618.1744797276</v>
      </c>
      <c r="F23" s="309">
        <f>HLOOKUP(MONTH(日期!$C$2),當年目標設定!$R$1:$AC$33,21,TRUE)</f>
        <v>6217925.3827787871</v>
      </c>
      <c r="G23" s="308">
        <f>當年月推移!P21</f>
        <v>12531151</v>
      </c>
      <c r="H23" s="308">
        <f>當年月推移!P55</f>
        <v>14764347</v>
      </c>
      <c r="I23" s="232">
        <f>VALUE(庫存金額!C16)</f>
        <v>8112092</v>
      </c>
      <c r="J23" s="232">
        <f>VALUE(庫存金額!D16)</f>
        <v>8112092</v>
      </c>
      <c r="K23" s="232">
        <f>VALUE(庫存金額!E16)</f>
        <v>7661675</v>
      </c>
      <c r="L23" s="232">
        <f>VALUE(庫存金額!F16)</f>
        <v>7366291</v>
      </c>
      <c r="M23" s="232">
        <f>VALUE(庫存金額!G16)</f>
        <v>6999629</v>
      </c>
      <c r="N23" s="232">
        <f>VALUE(庫存金額!H16)</f>
        <v>6936110</v>
      </c>
      <c r="O23" s="232">
        <f>VALUE(庫存金額!I16)</f>
        <v>6828202</v>
      </c>
      <c r="P23" s="232">
        <f>VALUE(庫存金額!J16)</f>
        <v>6075454</v>
      </c>
      <c r="Q23" s="232">
        <f>VALUE(庫存金額!K16)</f>
        <v>6075454</v>
      </c>
      <c r="R23" s="232">
        <f>VALUE(庫存金額!L16)</f>
        <v>5947804</v>
      </c>
      <c r="S23" s="232">
        <f>VALUE(庫存金額!M16)</f>
        <v>5970789</v>
      </c>
      <c r="T23" s="232">
        <f>VALUE(庫存金額!N16)</f>
        <v>5814406</v>
      </c>
      <c r="U23" s="232">
        <f>VALUE(庫存金額!O16)</f>
        <v>6099598</v>
      </c>
      <c r="V23" s="232">
        <f>VALUE(庫存金額!P16)</f>
        <v>6536906</v>
      </c>
      <c r="W23" s="232">
        <f>VALUE(庫存金額!Q16)</f>
        <v>5954385</v>
      </c>
      <c r="X23" s="232">
        <f>VALUE(庫存金額!R16)</f>
        <v>5954385</v>
      </c>
      <c r="Y23" s="232">
        <f>VALUE(庫存金額!S16)</f>
        <v>5516282</v>
      </c>
      <c r="Z23" s="232">
        <f>VALUE(庫存金額!T16)</f>
        <v>5784076</v>
      </c>
      <c r="AA23" s="232">
        <f>VALUE(庫存金額!U16)</f>
        <v>5528524</v>
      </c>
      <c r="AB23" s="232">
        <f>VALUE(庫存金額!V16)</f>
        <v>5564014</v>
      </c>
      <c r="AC23" s="232">
        <f>VALUE(庫存金額!W16)</f>
        <v>6059921</v>
      </c>
      <c r="AD23" s="232">
        <f>VALUE(庫存金額!X16)</f>
        <v>5421588</v>
      </c>
      <c r="AE23" s="232">
        <f>VALUE(庫存金額!Y16)</f>
        <v>5421588</v>
      </c>
      <c r="AF23" s="232">
        <f>VALUE(庫存金額!Z16)</f>
        <v>5379460</v>
      </c>
      <c r="AG23" s="232">
        <f>VALUE(庫存金額!AA16)</f>
        <v>6206251</v>
      </c>
      <c r="AH23" s="232">
        <f>VALUE(庫存金額!AB16)</f>
        <v>6592195</v>
      </c>
      <c r="AI23" s="232">
        <f>VALUE(庫存金額!AC16)</f>
        <v>7021662</v>
      </c>
      <c r="AJ23" s="232">
        <f>VALUE(庫存金額!AD16)</f>
        <v>8497809</v>
      </c>
      <c r="AK23" s="232">
        <f>VALUE(庫存金額!AE16)</f>
        <v>7941873</v>
      </c>
      <c r="AL23" s="232">
        <f>VALUE(庫存金額!AF16)</f>
        <v>7941873</v>
      </c>
      <c r="AM23" s="232">
        <f>VALUE(庫存金額!AG16)</f>
        <v>8317135</v>
      </c>
      <c r="AN23" s="232">
        <f>VALUE(庫存金額!AH16)</f>
        <v>375262</v>
      </c>
      <c r="AO23" s="232">
        <f>VALUE(庫存金額!AI16)</f>
        <v>6569016.8700000001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135948.67741900001</v>
      </c>
      <c r="E24" s="555">
        <f>HLOOKUP(MONTH(日期!$C$2),當年目標設定!$D$1:$O$33,22,TRUE)</f>
        <v>179699.87169065716</v>
      </c>
      <c r="F24" s="309">
        <f>HLOOKUP(MONTH(日期!$C$2),當年目標設定!$R$1:$AC$33,22,TRUE)</f>
        <v>180007.8031534802</v>
      </c>
      <c r="G24" s="308">
        <f>當年月推移!P22</f>
        <v>106839</v>
      </c>
      <c r="H24" s="308">
        <f>當年月推移!P56</f>
        <v>106839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93089</v>
      </c>
      <c r="U24" s="232">
        <f>VALUE(庫存金額!O11)</f>
        <v>93089</v>
      </c>
      <c r="V24" s="232">
        <f>VALUE(庫存金額!P11)</f>
        <v>93089</v>
      </c>
      <c r="W24" s="232">
        <f>VALUE(庫存金額!Q11)</f>
        <v>93089</v>
      </c>
      <c r="X24" s="232">
        <f>VALUE(庫存金額!R11)</f>
        <v>93089</v>
      </c>
      <c r="Y24" s="232">
        <f>VALUE(庫存金額!S11)</f>
        <v>93089</v>
      </c>
      <c r="Z24" s="232">
        <f>VALUE(庫存金額!T11)</f>
        <v>93089</v>
      </c>
      <c r="AA24" s="232">
        <f>VALUE(庫存金額!U11)</f>
        <v>93089</v>
      </c>
      <c r="AB24" s="232">
        <f>VALUE(庫存金額!V11)</f>
        <v>93089</v>
      </c>
      <c r="AC24" s="232">
        <f>VALUE(庫存金額!W11)</f>
        <v>93089</v>
      </c>
      <c r="AD24" s="232">
        <f>VALUE(庫存金額!X11)</f>
        <v>93089</v>
      </c>
      <c r="AE24" s="232">
        <f>VALUE(庫存金額!Y11)</f>
        <v>93089</v>
      </c>
      <c r="AF24" s="232">
        <f>VALUE(庫存金額!Z11)</f>
        <v>93089</v>
      </c>
      <c r="AG24" s="232">
        <f>VALUE(庫存金額!AA11)</f>
        <v>93089</v>
      </c>
      <c r="AH24" s="232">
        <f>VALUE(庫存金額!AB11)</f>
        <v>93089</v>
      </c>
      <c r="AI24" s="232">
        <f>VALUE(庫存金額!AC11)</f>
        <v>93089</v>
      </c>
      <c r="AJ24" s="232">
        <f>VALUE(庫存金額!AD11)</f>
        <v>93089</v>
      </c>
      <c r="AK24" s="232">
        <f>VALUE(庫存金額!AE11)</f>
        <v>93089</v>
      </c>
      <c r="AL24" s="232">
        <f>VALUE(庫存金額!AF11)</f>
        <v>93089</v>
      </c>
      <c r="AM24" s="232">
        <f>VALUE(庫存金額!AG11)</f>
        <v>93089</v>
      </c>
      <c r="AN24" s="232">
        <f>VALUE(庫存金額!AH11)</f>
        <v>0</v>
      </c>
      <c r="AO24" s="232">
        <f>VALUE(庫存金額!AI11)</f>
        <v>97968.03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5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149020</v>
      </c>
      <c r="H25" s="308">
        <f>當年月推移!P57</f>
        <v>170314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1444073.6451599998</v>
      </c>
      <c r="E26" s="325">
        <f t="shared" si="9"/>
        <v>0</v>
      </c>
      <c r="F26" s="318">
        <f t="shared" si="9"/>
        <v>0</v>
      </c>
      <c r="G26" s="318">
        <f t="shared" si="9"/>
        <v>14275532</v>
      </c>
      <c r="H26" s="318">
        <f t="shared" si="9"/>
        <v>14244993</v>
      </c>
      <c r="I26" s="237">
        <f t="shared" si="9"/>
        <v>5647472</v>
      </c>
      <c r="J26" s="237">
        <f t="shared" ref="J26:AO26" si="10">SUM(J27:J31)</f>
        <v>5647472</v>
      </c>
      <c r="K26" s="237">
        <f t="shared" si="10"/>
        <v>5869872</v>
      </c>
      <c r="L26" s="237">
        <f t="shared" si="10"/>
        <v>5461936</v>
      </c>
      <c r="M26" s="237">
        <f t="shared" si="10"/>
        <v>5394336</v>
      </c>
      <c r="N26" s="237">
        <f t="shared" si="10"/>
        <v>5414736</v>
      </c>
      <c r="O26" s="237">
        <f t="shared" si="10"/>
        <v>6316452</v>
      </c>
      <c r="P26" s="237">
        <f t="shared" si="10"/>
        <v>6207252</v>
      </c>
      <c r="Q26" s="237">
        <f t="shared" si="10"/>
        <v>6207252</v>
      </c>
      <c r="R26" s="237">
        <f t="shared" si="10"/>
        <v>6191172</v>
      </c>
      <c r="S26" s="237">
        <f t="shared" si="10"/>
        <v>5398797</v>
      </c>
      <c r="T26" s="237">
        <f t="shared" si="10"/>
        <v>5396797</v>
      </c>
      <c r="U26" s="237">
        <f t="shared" si="10"/>
        <v>6391581</v>
      </c>
      <c r="V26" s="237">
        <f t="shared" si="10"/>
        <v>6575725</v>
      </c>
      <c r="W26" s="237">
        <f t="shared" si="10"/>
        <v>6496925</v>
      </c>
      <c r="X26" s="237">
        <f t="shared" si="10"/>
        <v>6496925</v>
      </c>
      <c r="Y26" s="237">
        <f t="shared" si="10"/>
        <v>7203983</v>
      </c>
      <c r="Z26" s="237">
        <f t="shared" si="10"/>
        <v>6214041</v>
      </c>
      <c r="AA26" s="237">
        <f t="shared" si="10"/>
        <v>6117697</v>
      </c>
      <c r="AB26" s="237">
        <f t="shared" si="10"/>
        <v>6894900</v>
      </c>
      <c r="AC26" s="237">
        <f t="shared" si="10"/>
        <v>6817700</v>
      </c>
      <c r="AD26" s="237">
        <f t="shared" si="10"/>
        <v>6692900</v>
      </c>
      <c r="AE26" s="237">
        <f t="shared" si="10"/>
        <v>6692900</v>
      </c>
      <c r="AF26" s="237">
        <f t="shared" si="10"/>
        <v>6608500</v>
      </c>
      <c r="AG26" s="237">
        <f t="shared" si="10"/>
        <v>6457232</v>
      </c>
      <c r="AH26" s="237">
        <f t="shared" si="10"/>
        <v>6380832</v>
      </c>
      <c r="AI26" s="237">
        <f t="shared" si="10"/>
        <v>6569392</v>
      </c>
      <c r="AJ26" s="237">
        <f t="shared" si="10"/>
        <v>6722552</v>
      </c>
      <c r="AK26" s="237">
        <f t="shared" si="10"/>
        <v>6637752</v>
      </c>
      <c r="AL26" s="237">
        <f t="shared" si="10"/>
        <v>6637752</v>
      </c>
      <c r="AM26" s="237">
        <f t="shared" si="10"/>
        <v>6886653</v>
      </c>
      <c r="AN26" s="237">
        <f t="shared" si="10"/>
        <v>248901</v>
      </c>
      <c r="AO26" s="237">
        <f t="shared" si="10"/>
        <v>6279015.7399999993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161176</v>
      </c>
      <c r="J27" s="27">
        <f>VALUE(庫存金額!D20)</f>
        <v>161176</v>
      </c>
      <c r="K27" s="27">
        <f>VALUE(庫存金額!E20)</f>
        <v>161176</v>
      </c>
      <c r="L27" s="27">
        <f>VALUE(庫存金額!F20)</f>
        <v>161176</v>
      </c>
      <c r="M27" s="27">
        <f>VALUE(庫存金額!G20)</f>
        <v>161176</v>
      </c>
      <c r="N27" s="27">
        <f>VALUE(庫存金額!H20)</f>
        <v>161176</v>
      </c>
      <c r="O27" s="27">
        <f>VALUE(庫存金額!I20)</f>
        <v>161176</v>
      </c>
      <c r="P27" s="27">
        <f>VALUE(庫存金額!J20)</f>
        <v>161176</v>
      </c>
      <c r="Q27" s="27">
        <f>VALUE(庫存金額!K20)</f>
        <v>161176</v>
      </c>
      <c r="R27" s="27">
        <f>VALUE(庫存金額!L20)</f>
        <v>161176</v>
      </c>
      <c r="S27" s="27">
        <f>VALUE(庫存金額!M20)</f>
        <v>161176</v>
      </c>
      <c r="T27" s="27">
        <f>VALUE(庫存金額!N20)</f>
        <v>161176</v>
      </c>
      <c r="U27" s="27">
        <f>VALUE(庫存金額!O20)</f>
        <v>161176</v>
      </c>
      <c r="V27" s="27">
        <f>VALUE(庫存金額!P20)</f>
        <v>161176</v>
      </c>
      <c r="W27" s="27">
        <f>VALUE(庫存金額!Q20)</f>
        <v>161176</v>
      </c>
      <c r="X27" s="27">
        <f>VALUE(庫存金額!R20)</f>
        <v>161176</v>
      </c>
      <c r="Y27" s="27">
        <f>VALUE(庫存金額!S20)</f>
        <v>161176</v>
      </c>
      <c r="Z27" s="27">
        <f>VALUE(庫存金額!T20)</f>
        <v>161176</v>
      </c>
      <c r="AA27" s="27">
        <f>VALUE(庫存金額!U20)</f>
        <v>161176</v>
      </c>
      <c r="AB27" s="27">
        <f>VALUE(庫存金額!V20)</f>
        <v>161176</v>
      </c>
      <c r="AC27" s="27">
        <f>VALUE(庫存金額!W20)</f>
        <v>161176</v>
      </c>
      <c r="AD27" s="27">
        <f>VALUE(庫存金額!X20)</f>
        <v>161176</v>
      </c>
      <c r="AE27" s="27">
        <f>VALUE(庫存金額!Y20)</f>
        <v>161176</v>
      </c>
      <c r="AF27" s="27">
        <f>VALUE(庫存金額!Z20)</f>
        <v>161176</v>
      </c>
      <c r="AG27" s="27">
        <f>VALUE(庫存金額!AA20)</f>
        <v>161176</v>
      </c>
      <c r="AH27" s="27">
        <f>VALUE(庫存金額!AB20)</f>
        <v>161176</v>
      </c>
      <c r="AI27" s="27">
        <f>VALUE(庫存金額!AC20)</f>
        <v>161176</v>
      </c>
      <c r="AJ27" s="27">
        <f>VALUE(庫存金額!AD20)</f>
        <v>161176</v>
      </c>
      <c r="AK27" s="27">
        <f>VALUE(庫存金額!AE20)</f>
        <v>161176</v>
      </c>
      <c r="AL27" s="27">
        <f>VALUE(庫存金額!AF20)</f>
        <v>161176</v>
      </c>
      <c r="AM27" s="27">
        <f>VALUE(庫存金額!AG20)</f>
        <v>161176</v>
      </c>
      <c r="AN27" s="27">
        <f>VALUE(庫存金額!AH20)</f>
        <v>0</v>
      </c>
      <c r="AO27" s="27">
        <f>VALUE(庫存金額!AI20)</f>
        <v>161176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135205.48387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201634</v>
      </c>
      <c r="J28" s="27">
        <f>VALUE(庫存金額!D21)</f>
        <v>201634</v>
      </c>
      <c r="K28" s="27">
        <f>VALUE(庫存金額!E21)</f>
        <v>201634</v>
      </c>
      <c r="L28" s="27">
        <f>VALUE(庫存金額!F21)</f>
        <v>201634</v>
      </c>
      <c r="M28" s="27">
        <f>VALUE(庫存金額!G21)</f>
        <v>201634</v>
      </c>
      <c r="N28" s="27">
        <f>VALUE(庫存金額!H21)</f>
        <v>201634</v>
      </c>
      <c r="O28" s="27">
        <f>VALUE(庫存金額!I21)</f>
        <v>201634</v>
      </c>
      <c r="P28" s="27">
        <f>VALUE(庫存金額!J21)</f>
        <v>201634</v>
      </c>
      <c r="Q28" s="27">
        <f>VALUE(庫存金額!K21)</f>
        <v>201634</v>
      </c>
      <c r="R28" s="27">
        <f>VALUE(庫存金額!L21)</f>
        <v>201634</v>
      </c>
      <c r="S28" s="27">
        <f>VALUE(庫存金額!M21)</f>
        <v>201634</v>
      </c>
      <c r="T28" s="27">
        <f>VALUE(庫存金額!N21)</f>
        <v>186514</v>
      </c>
      <c r="U28" s="27">
        <f>VALUE(庫存金額!O21)</f>
        <v>186514</v>
      </c>
      <c r="V28" s="27">
        <f>VALUE(庫存金額!P21)</f>
        <v>186514</v>
      </c>
      <c r="W28" s="27">
        <f>VALUE(庫存金額!Q21)</f>
        <v>186514</v>
      </c>
      <c r="X28" s="27">
        <f>VALUE(庫存金額!R21)</f>
        <v>186514</v>
      </c>
      <c r="Y28" s="27">
        <f>VALUE(庫存金額!S21)</f>
        <v>186514</v>
      </c>
      <c r="Z28" s="27">
        <f>VALUE(庫存金額!T21)</f>
        <v>186514</v>
      </c>
      <c r="AA28" s="27">
        <f>VALUE(庫存金額!U21)</f>
        <v>179314</v>
      </c>
      <c r="AB28" s="27">
        <f>VALUE(庫存金額!V21)</f>
        <v>179314</v>
      </c>
      <c r="AC28" s="27">
        <f>VALUE(庫存金額!W21)</f>
        <v>179314</v>
      </c>
      <c r="AD28" s="27">
        <f>VALUE(庫存金額!X21)</f>
        <v>179314</v>
      </c>
      <c r="AE28" s="27">
        <f>VALUE(庫存金額!Y21)</f>
        <v>179314</v>
      </c>
      <c r="AF28" s="27">
        <f>VALUE(庫存金額!Z21)</f>
        <v>179314</v>
      </c>
      <c r="AG28" s="27">
        <f>VALUE(庫存金額!AA21)</f>
        <v>179314</v>
      </c>
      <c r="AH28" s="27">
        <f>VALUE(庫存金額!AB21)</f>
        <v>179314</v>
      </c>
      <c r="AI28" s="27">
        <f>VALUE(庫存金額!AC21)</f>
        <v>179314</v>
      </c>
      <c r="AJ28" s="27">
        <f>VALUE(庫存金額!AD21)</f>
        <v>179314</v>
      </c>
      <c r="AK28" s="27">
        <f>VALUE(庫存金額!AE21)</f>
        <v>179314</v>
      </c>
      <c r="AL28" s="27">
        <f>VALUE(庫存金額!AF21)</f>
        <v>179314</v>
      </c>
      <c r="AM28" s="27">
        <f>VALUE(庫存金額!AG21)</f>
        <v>179314</v>
      </c>
      <c r="AN28" s="27">
        <f>VALUE(庫存金額!AH21)</f>
        <v>0</v>
      </c>
      <c r="AO28" s="27">
        <f>VALUE(庫存金額!AI21)</f>
        <v>188859.81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9299313</v>
      </c>
      <c r="H29" s="308">
        <f>當年月推移!P61</f>
        <v>9140979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4976219</v>
      </c>
      <c r="H30" s="308">
        <f>當年月推移!P62</f>
        <v>5104014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1147692.16129</v>
      </c>
      <c r="E31" s="326">
        <f>HLOOKUP(MONTH(日期!$C$2),當年目標設定!$D$1:$O$33,29,TRUE)</f>
        <v>0</v>
      </c>
      <c r="F31" s="507">
        <f>HLOOKUP(MONTH(日期!$C$2),當年目標設定!$R$1:$AC$33,29,TRUE)</f>
        <v>0</v>
      </c>
      <c r="G31" s="507">
        <f>當年月推移!P34</f>
        <v>0</v>
      </c>
      <c r="H31" s="507">
        <f>當年月推移!P68</f>
        <v>0</v>
      </c>
      <c r="I31" s="111">
        <f>VALUE(庫存金額!C25)</f>
        <v>5284662</v>
      </c>
      <c r="J31" s="111">
        <f>VALUE(庫存金額!D25)</f>
        <v>5284662</v>
      </c>
      <c r="K31" s="111">
        <f>VALUE(庫存金額!E25)</f>
        <v>5507062</v>
      </c>
      <c r="L31" s="111">
        <f>VALUE(庫存金額!F25)</f>
        <v>5099126</v>
      </c>
      <c r="M31" s="111">
        <f>VALUE(庫存金額!G25)</f>
        <v>5031526</v>
      </c>
      <c r="N31" s="111">
        <f>VALUE(庫存金額!H25)</f>
        <v>5051926</v>
      </c>
      <c r="O31" s="111">
        <f>VALUE(庫存金額!I25)</f>
        <v>5953642</v>
      </c>
      <c r="P31" s="111">
        <f>VALUE(庫存金額!J25)</f>
        <v>5844442</v>
      </c>
      <c r="Q31" s="111">
        <f>VALUE(庫存金額!K25)</f>
        <v>5844442</v>
      </c>
      <c r="R31" s="111">
        <f>VALUE(庫存金額!L25)</f>
        <v>5828362</v>
      </c>
      <c r="S31" s="111">
        <f>VALUE(庫存金額!M25)</f>
        <v>5035987</v>
      </c>
      <c r="T31" s="111">
        <f>VALUE(庫存金額!N25)</f>
        <v>5049107</v>
      </c>
      <c r="U31" s="111">
        <f>VALUE(庫存金額!O25)</f>
        <v>6043891</v>
      </c>
      <c r="V31" s="111">
        <f>VALUE(庫存金額!P25)</f>
        <v>6228035</v>
      </c>
      <c r="W31" s="111">
        <f>VALUE(庫存金額!Q25)</f>
        <v>6149235</v>
      </c>
      <c r="X31" s="111">
        <f>VALUE(庫存金額!R25)</f>
        <v>6149235</v>
      </c>
      <c r="Y31" s="111">
        <f>VALUE(庫存金額!S25)</f>
        <v>6856293</v>
      </c>
      <c r="Z31" s="111">
        <f>VALUE(庫存金額!T25)</f>
        <v>5866351</v>
      </c>
      <c r="AA31" s="111">
        <f>VALUE(庫存金額!U25)</f>
        <v>5777207</v>
      </c>
      <c r="AB31" s="111">
        <f>VALUE(庫存金額!V25)</f>
        <v>6554410</v>
      </c>
      <c r="AC31" s="111">
        <f>VALUE(庫存金額!W25)</f>
        <v>6477210</v>
      </c>
      <c r="AD31" s="111">
        <f>VALUE(庫存金額!X25)</f>
        <v>6352410</v>
      </c>
      <c r="AE31" s="111">
        <f>VALUE(庫存金額!Y25)</f>
        <v>6352410</v>
      </c>
      <c r="AF31" s="111">
        <f>VALUE(庫存金額!Z25)</f>
        <v>6268010</v>
      </c>
      <c r="AG31" s="111">
        <f>VALUE(庫存金額!AA25)</f>
        <v>6116742</v>
      </c>
      <c r="AH31" s="111">
        <f>VALUE(庫存金額!AB25)</f>
        <v>6040342</v>
      </c>
      <c r="AI31" s="111">
        <f>VALUE(庫存金額!AC25)</f>
        <v>6228902</v>
      </c>
      <c r="AJ31" s="111">
        <f>VALUE(庫存金額!AD25)</f>
        <v>6382062</v>
      </c>
      <c r="AK31" s="111">
        <f>VALUE(庫存金額!AE25)</f>
        <v>6297262</v>
      </c>
      <c r="AL31" s="111">
        <f>VALUE(庫存金額!AF25)</f>
        <v>6297262</v>
      </c>
      <c r="AM31" s="111">
        <f>VALUE(庫存金額!AG25)</f>
        <v>6546163</v>
      </c>
      <c r="AN31" s="111">
        <f>VALUE(庫存金額!AH25)</f>
        <v>248901</v>
      </c>
      <c r="AO31" s="111">
        <f>VALUE(庫存金額!AI25)</f>
        <v>5928979.9299999997</v>
      </c>
    </row>
    <row r="32" spans="1:44" s="32" customFormat="1" ht="21.95" customHeight="1">
      <c r="A32" s="654" t="s">
        <v>36</v>
      </c>
      <c r="B32" s="655"/>
      <c r="C32" s="31" t="s">
        <v>37</v>
      </c>
      <c r="D32" s="327">
        <f>HLOOKUP(MONTH(日期!$C$2),去年月推移!$D$1:$O$33,30,TRUE)</f>
        <v>2900210.064516129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1621602</v>
      </c>
      <c r="H32" s="328">
        <f>當年月推移!P63</f>
        <v>1607772</v>
      </c>
      <c r="I32" s="110">
        <f>VALUE(庫存金額!C15)</f>
        <v>1609870</v>
      </c>
      <c r="J32" s="110">
        <f>VALUE(庫存金額!D15)</f>
        <v>1609870</v>
      </c>
      <c r="K32" s="110">
        <f>VALUE(庫存金額!E15)</f>
        <v>1609870</v>
      </c>
      <c r="L32" s="110">
        <f>VALUE(庫存金額!F15)</f>
        <v>1609870</v>
      </c>
      <c r="M32" s="110">
        <f>VALUE(庫存金額!G15)</f>
        <v>1609870</v>
      </c>
      <c r="N32" s="110">
        <f>VALUE(庫存金額!H15)</f>
        <v>1618458</v>
      </c>
      <c r="O32" s="110">
        <f>VALUE(庫存金額!I15)</f>
        <v>1610064</v>
      </c>
      <c r="P32" s="110">
        <f>VALUE(庫存金額!J15)</f>
        <v>1610064</v>
      </c>
      <c r="Q32" s="110">
        <f>VALUE(庫存金額!K15)</f>
        <v>1610064</v>
      </c>
      <c r="R32" s="110">
        <f>VALUE(庫存金額!L15)</f>
        <v>1610064</v>
      </c>
      <c r="S32" s="110">
        <f>VALUE(庫存金額!M15)</f>
        <v>1610064</v>
      </c>
      <c r="T32" s="110">
        <f>VALUE(庫存金額!N15)</f>
        <v>1610147</v>
      </c>
      <c r="U32" s="110">
        <f>VALUE(庫存金額!O15)</f>
        <v>1610147</v>
      </c>
      <c r="V32" s="110">
        <f>VALUE(庫存金額!P15)</f>
        <v>1610147</v>
      </c>
      <c r="W32" s="110">
        <f>VALUE(庫存金額!Q15)</f>
        <v>1605674</v>
      </c>
      <c r="X32" s="110">
        <f>VALUE(庫存金額!R15)</f>
        <v>1605674</v>
      </c>
      <c r="Y32" s="110">
        <f>VALUE(庫存金額!S15)</f>
        <v>1605674</v>
      </c>
      <c r="Z32" s="110">
        <f>VALUE(庫存金額!T15)</f>
        <v>1605674</v>
      </c>
      <c r="AA32" s="110">
        <f>VALUE(庫存金額!U15)</f>
        <v>1605674</v>
      </c>
      <c r="AB32" s="110">
        <f>VALUE(庫存金額!V15)</f>
        <v>1605674</v>
      </c>
      <c r="AC32" s="110">
        <f>VALUE(庫存金額!W15)</f>
        <v>1617259</v>
      </c>
      <c r="AD32" s="110">
        <f>VALUE(庫存金額!X15)</f>
        <v>1605674</v>
      </c>
      <c r="AE32" s="110">
        <f>VALUE(庫存金額!Y15)</f>
        <v>1605674</v>
      </c>
      <c r="AF32" s="110">
        <f>VALUE(庫存金額!Z15)</f>
        <v>1605674</v>
      </c>
      <c r="AG32" s="110">
        <f>VALUE(庫存金額!AA15)</f>
        <v>1605674</v>
      </c>
      <c r="AH32" s="110">
        <f>VALUE(庫存金額!AB15)</f>
        <v>1605674</v>
      </c>
      <c r="AI32" s="110">
        <f>VALUE(庫存金額!AC15)</f>
        <v>1605674</v>
      </c>
      <c r="AJ32" s="110">
        <f>VALUE(庫存金額!AD15)</f>
        <v>1605674</v>
      </c>
      <c r="AK32" s="110">
        <f>VALUE(庫存金額!AE15)</f>
        <v>1605674</v>
      </c>
      <c r="AL32" s="110">
        <f>VALUE(庫存金額!AF15)</f>
        <v>1605674</v>
      </c>
      <c r="AM32" s="110">
        <f>VALUE(庫存金額!AG15)</f>
        <v>1605674</v>
      </c>
      <c r="AN32" s="110">
        <f>VALUE(庫存金額!AH15)</f>
        <v>0</v>
      </c>
      <c r="AO32" s="110">
        <f>VALUE(庫存金額!AI15)</f>
        <v>1608277.81</v>
      </c>
    </row>
    <row r="33" spans="1:41" s="32" customFormat="1" ht="21.95" customHeight="1">
      <c r="A33" s="656"/>
      <c r="B33" s="657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56"/>
      <c r="B34" s="657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5677703</v>
      </c>
      <c r="H34" s="328">
        <f>當年月推移!P65</f>
        <v>7357240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58"/>
      <c r="B35" s="659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8">
        <f>HLOOKUP(MONTH(日期!$C$2),當年目標設定!$R$1:$AC$33,33,TRUE)</f>
        <v>0</v>
      </c>
      <c r="G35" s="508">
        <f>當年月推移!P32</f>
        <v>11630417</v>
      </c>
      <c r="H35" s="508">
        <f>當年月推移!P66</f>
        <v>11764588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6"/>
      <c r="H37" s="50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96" t="s">
        <v>1</v>
      </c>
      <c r="B38" s="597"/>
      <c r="C38" s="597"/>
      <c r="D38" s="600" t="str">
        <f>D3</f>
        <v>2024/3</v>
      </c>
      <c r="E38" s="633" t="str">
        <f>E3</f>
        <v>2025/3</v>
      </c>
      <c r="F38" s="332"/>
      <c r="G38" s="662">
        <f>YEAR(日期!C2)</f>
        <v>2025</v>
      </c>
      <c r="H38" s="663"/>
      <c r="I38" s="527" t="str">
        <f>日期!C2</f>
        <v>2025/03/01</v>
      </c>
      <c r="J38" s="527" t="str">
        <f>日期!D2</f>
        <v>2025/03/02</v>
      </c>
      <c r="K38" s="527" t="str">
        <f>日期!E2</f>
        <v>2025/03/03</v>
      </c>
      <c r="L38" s="527" t="str">
        <f>日期!F2</f>
        <v>2025/03/04</v>
      </c>
      <c r="M38" s="527" t="str">
        <f>日期!G2</f>
        <v>2025/03/05</v>
      </c>
      <c r="N38" s="527" t="str">
        <f>日期!H2</f>
        <v>2025/03/06</v>
      </c>
      <c r="O38" s="527" t="str">
        <f>日期!I2</f>
        <v>2025/03/07</v>
      </c>
      <c r="P38" s="527" t="str">
        <f>日期!J2</f>
        <v>2025/03/08</v>
      </c>
      <c r="Q38" s="527" t="str">
        <f>日期!K2</f>
        <v>2025/03/09</v>
      </c>
      <c r="R38" s="527" t="str">
        <f>日期!L2</f>
        <v>2025/03/10</v>
      </c>
      <c r="S38" s="527" t="str">
        <f>日期!M2</f>
        <v>2025/03/11</v>
      </c>
      <c r="T38" s="527" t="str">
        <f>日期!N2</f>
        <v>2025/03/12</v>
      </c>
      <c r="U38" s="527" t="str">
        <f>日期!O2</f>
        <v>2025/03/13</v>
      </c>
      <c r="V38" s="527" t="str">
        <f>日期!P2</f>
        <v>2025/03/14</v>
      </c>
      <c r="W38" s="527" t="str">
        <f>日期!Q2</f>
        <v>2025/03/15</v>
      </c>
      <c r="X38" s="527" t="str">
        <f>日期!R2</f>
        <v>2025/03/16</v>
      </c>
      <c r="Y38" s="527" t="str">
        <f>日期!S2</f>
        <v>2025/03/17</v>
      </c>
      <c r="Z38" s="527" t="str">
        <f>日期!T2</f>
        <v>2025/03/18</v>
      </c>
      <c r="AA38" s="527" t="str">
        <f>日期!U2</f>
        <v>2025/03/19</v>
      </c>
      <c r="AB38" s="527" t="str">
        <f>日期!V2</f>
        <v>2025/03/20</v>
      </c>
      <c r="AC38" s="527" t="str">
        <f>日期!W2</f>
        <v>2025/03/21</v>
      </c>
      <c r="AD38" s="527" t="str">
        <f>日期!X2</f>
        <v>2025/03/22</v>
      </c>
      <c r="AE38" s="527" t="str">
        <f>日期!Y2</f>
        <v>2025/03/23</v>
      </c>
      <c r="AF38" s="527" t="str">
        <f>日期!Z2</f>
        <v>2025/03/24</v>
      </c>
      <c r="AG38" s="527" t="str">
        <f>日期!AA2</f>
        <v>2025/03/25</v>
      </c>
      <c r="AH38" s="527" t="str">
        <f>日期!AB2</f>
        <v>2025/03/26</v>
      </c>
      <c r="AI38" s="527" t="str">
        <f>日期!AC2</f>
        <v>2025/03/27</v>
      </c>
      <c r="AJ38" s="527" t="str">
        <f>日期!AD2</f>
        <v>2025/03/28</v>
      </c>
      <c r="AK38" s="527" t="str">
        <f>日期!AE2</f>
        <v>2025/03/29</v>
      </c>
      <c r="AL38" s="527" t="str">
        <f>日期!AF2</f>
        <v>2025/03/30</v>
      </c>
      <c r="AM38" s="527" t="str">
        <f>日期!AG2</f>
        <v>2025/03/31</v>
      </c>
      <c r="AN38" s="592" t="s">
        <v>42</v>
      </c>
    </row>
    <row r="39" spans="1:41" s="14" customFormat="1" ht="24" customHeight="1" thickBot="1">
      <c r="A39" s="631"/>
      <c r="B39" s="632"/>
      <c r="C39" s="632"/>
      <c r="D39" s="601"/>
      <c r="E39" s="634"/>
      <c r="F39" s="333"/>
      <c r="G39" s="664" t="s">
        <v>43</v>
      </c>
      <c r="H39" s="665"/>
      <c r="I39" s="12" t="str">
        <f>日期!C3</f>
        <v>Sat</v>
      </c>
      <c r="J39" s="12" t="str">
        <f>日期!D3</f>
        <v>Sun</v>
      </c>
      <c r="K39" s="12" t="str">
        <f>日期!E3</f>
        <v>Mon</v>
      </c>
      <c r="L39" s="12" t="str">
        <f>日期!F3</f>
        <v>Tue</v>
      </c>
      <c r="M39" s="12" t="str">
        <f>日期!G3</f>
        <v>Wed</v>
      </c>
      <c r="N39" s="12" t="str">
        <f>日期!H3</f>
        <v>Thu</v>
      </c>
      <c r="O39" s="12" t="str">
        <f>日期!I3</f>
        <v>Fri</v>
      </c>
      <c r="P39" s="12" t="str">
        <f>日期!J3</f>
        <v>Sat</v>
      </c>
      <c r="Q39" s="12" t="str">
        <f>日期!K3</f>
        <v>Sun</v>
      </c>
      <c r="R39" s="12" t="str">
        <f>日期!L3</f>
        <v>Mon</v>
      </c>
      <c r="S39" s="12" t="str">
        <f>日期!M3</f>
        <v>Tue</v>
      </c>
      <c r="T39" s="12" t="str">
        <f>日期!N3</f>
        <v>Wed</v>
      </c>
      <c r="U39" s="12" t="str">
        <f>日期!O3</f>
        <v>Thu</v>
      </c>
      <c r="V39" s="12" t="str">
        <f>日期!P3</f>
        <v>Fri</v>
      </c>
      <c r="W39" s="12" t="str">
        <f>日期!Q3</f>
        <v>Sat</v>
      </c>
      <c r="X39" s="12" t="str">
        <f>日期!R3</f>
        <v>Sun</v>
      </c>
      <c r="Y39" s="12" t="str">
        <f>日期!S3</f>
        <v>Mon</v>
      </c>
      <c r="Z39" s="12" t="str">
        <f>日期!T3</f>
        <v>Tue</v>
      </c>
      <c r="AA39" s="12" t="str">
        <f>日期!U3</f>
        <v>Wed</v>
      </c>
      <c r="AB39" s="12" t="str">
        <f>日期!V3</f>
        <v>Thu</v>
      </c>
      <c r="AC39" s="12" t="str">
        <f>日期!W3</f>
        <v>Fri</v>
      </c>
      <c r="AD39" s="12" t="str">
        <f>日期!X3</f>
        <v>Sat</v>
      </c>
      <c r="AE39" s="12" t="str">
        <f>日期!Y3</f>
        <v>Sun</v>
      </c>
      <c r="AF39" s="12" t="str">
        <f>日期!Z3</f>
        <v>Mon</v>
      </c>
      <c r="AG39" s="12" t="str">
        <f>日期!AA3</f>
        <v>Tue</v>
      </c>
      <c r="AH39" s="12" t="str">
        <f>日期!AB3</f>
        <v>Wed</v>
      </c>
      <c r="AI39" s="12" t="str">
        <f>日期!AC3</f>
        <v>Thu</v>
      </c>
      <c r="AJ39" s="12" t="str">
        <f>日期!AD3</f>
        <v>Fri</v>
      </c>
      <c r="AK39" s="12" t="str">
        <f>日期!AE3</f>
        <v>Sat</v>
      </c>
      <c r="AL39" s="12" t="str">
        <f>日期!AF3</f>
        <v>Sun</v>
      </c>
      <c r="AM39" s="12" t="str">
        <f>日期!AG3</f>
        <v>Mon</v>
      </c>
      <c r="AN39" s="593"/>
    </row>
    <row r="40" spans="1:41" s="14" customFormat="1" ht="21.95" customHeight="1">
      <c r="A40" s="666" t="s">
        <v>44</v>
      </c>
      <c r="B40" s="667"/>
      <c r="C40" s="667"/>
      <c r="D40" s="272">
        <f>HLOOKUP(MONTH(日期!$C$2),去年月推移!$D$1:$O$200,98,TRUE)</f>
        <v>98.441522000000006</v>
      </c>
      <c r="E40" s="45">
        <v>97.8</v>
      </c>
      <c r="F40" s="46" t="s">
        <v>45</v>
      </c>
      <c r="G40" s="621">
        <f>ROUND(當年月推移!P99,1)</f>
        <v>98.1</v>
      </c>
      <c r="H40" s="622"/>
      <c r="I40" s="245">
        <f>ROUND(供應率ALL!C2,1)</f>
        <v>98.4</v>
      </c>
      <c r="J40" s="245">
        <f>ROUND(供應率ALL!D2,1)</f>
        <v>0</v>
      </c>
      <c r="K40" s="245">
        <f>ROUND(供應率ALL!E2,1)</f>
        <v>98.2</v>
      </c>
      <c r="L40" s="245">
        <f>ROUND(供應率ALL!F2,1)</f>
        <v>98.5</v>
      </c>
      <c r="M40" s="245">
        <f>ROUND(供應率ALL!G2,1)</f>
        <v>98.3</v>
      </c>
      <c r="N40" s="245">
        <f>ROUND(供應率ALL!H2,1)</f>
        <v>98.4</v>
      </c>
      <c r="O40" s="245">
        <f>ROUND(供應率ALL!I2,1)</f>
        <v>98.4</v>
      </c>
      <c r="P40" s="245">
        <f>ROUND(供應率ALL!J2,1)</f>
        <v>98.1</v>
      </c>
      <c r="Q40" s="245">
        <f>ROUND(供應率ALL!K2,1)</f>
        <v>0</v>
      </c>
      <c r="R40" s="245">
        <f>ROUND(供應率ALL!L2,1)</f>
        <v>98.2</v>
      </c>
      <c r="S40" s="245">
        <f>ROUND(供應率ALL!M2,1)</f>
        <v>98.2</v>
      </c>
      <c r="T40" s="245">
        <f>ROUND(供應率ALL!N2,1)</f>
        <v>98.4</v>
      </c>
      <c r="U40" s="245">
        <f>ROUND(供應率ALL!O2,1)</f>
        <v>98.3</v>
      </c>
      <c r="V40" s="245">
        <f>ROUND(供應率ALL!P2,1)</f>
        <v>98.8</v>
      </c>
      <c r="W40" s="245">
        <f>ROUND(供應率ALL!Q2,1)</f>
        <v>98.2</v>
      </c>
      <c r="X40" s="245">
        <f>ROUND(供應率ALL!R2,1)</f>
        <v>0</v>
      </c>
      <c r="Y40" s="245">
        <f>ROUND(供應率ALL!S2,1)</f>
        <v>98.4</v>
      </c>
      <c r="Z40" s="245">
        <f>ROUND(供應率ALL!T2,1)</f>
        <v>98.5</v>
      </c>
      <c r="AA40" s="245">
        <f>ROUND(供應率ALL!U2,1)</f>
        <v>98.5</v>
      </c>
      <c r="AB40" s="245">
        <f>ROUND(供應率ALL!V2,1)</f>
        <v>98</v>
      </c>
      <c r="AC40" s="245">
        <f>ROUND(供應率ALL!W2,1)</f>
        <v>98.5</v>
      </c>
      <c r="AD40" s="245">
        <f>ROUND(供應率ALL!X2,1)</f>
        <v>98.8</v>
      </c>
      <c r="AE40" s="245">
        <f>ROUND(供應率ALL!Y2,1)</f>
        <v>0</v>
      </c>
      <c r="AF40" s="245">
        <f>ROUND(供應率ALL!Z2,1)</f>
        <v>98.6</v>
      </c>
      <c r="AG40" s="245">
        <f>ROUND(供應率ALL!AA2,1)</f>
        <v>98.8</v>
      </c>
      <c r="AH40" s="245">
        <f>ROUND(供應率ALL!AB2,1)</f>
        <v>98.3</v>
      </c>
      <c r="AI40" s="245">
        <f>ROUND(供應率ALL!AC2,1)</f>
        <v>98.5</v>
      </c>
      <c r="AJ40" s="245">
        <f>ROUND(供應率ALL!AD2,1)</f>
        <v>98.4</v>
      </c>
      <c r="AK40" s="245">
        <f>ROUND(供應率ALL!AE2,1)</f>
        <v>98.7</v>
      </c>
      <c r="AL40" s="245">
        <f>ROUND(供應率ALL!AF2,1)</f>
        <v>0</v>
      </c>
      <c r="AM40" s="245">
        <f>ROUND(供應率ALL!AG2,1)</f>
        <v>98.9</v>
      </c>
      <c r="AN40" s="213">
        <f>ROUND(供應率ALL!AH2,1)</f>
        <v>98.5</v>
      </c>
      <c r="AO40" s="48"/>
    </row>
    <row r="41" spans="1:41" s="14" customFormat="1" ht="21.95" customHeight="1">
      <c r="A41" s="668" t="s">
        <v>46</v>
      </c>
      <c r="B41" s="669"/>
      <c r="C41" s="669"/>
      <c r="D41" s="44">
        <f>HLOOKUP(MONTH(日期!$C$2),去年月推移!$D$1:$O$200,99,TRUE)</f>
        <v>100</v>
      </c>
      <c r="E41" s="50">
        <v>99</v>
      </c>
      <c r="F41" s="51" t="s">
        <v>45</v>
      </c>
      <c r="G41" s="590">
        <f>ROUND(當年月推移!P100,1)</f>
        <v>99.5</v>
      </c>
      <c r="H41" s="591"/>
      <c r="I41" s="47">
        <f>ROUND(供應率ALL!C4,1)</f>
        <v>100</v>
      </c>
      <c r="J41" s="47">
        <f>ROUND(供應率ALL!D4,1)</f>
        <v>0</v>
      </c>
      <c r="K41" s="47">
        <f>ROUND(供應率ALL!E4,1)</f>
        <v>99.8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0</v>
      </c>
      <c r="R41" s="47">
        <f>ROUND(供應率ALL!L4,1)</f>
        <v>100</v>
      </c>
      <c r="S41" s="47">
        <f>ROUND(供應率ALL!M4,1)</f>
        <v>100</v>
      </c>
      <c r="T41" s="47">
        <f>ROUND(供應率ALL!N4,1)</f>
        <v>100</v>
      </c>
      <c r="U41" s="47">
        <f>ROUND(供應率ALL!O4,1)</f>
        <v>100</v>
      </c>
      <c r="V41" s="47">
        <f>ROUND(供應率ALL!P4,1)</f>
        <v>100</v>
      </c>
      <c r="W41" s="47">
        <f>ROUND(供應率ALL!Q4,1)</f>
        <v>100</v>
      </c>
      <c r="X41" s="47">
        <f>ROUND(供應率ALL!R4,1)</f>
        <v>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99.5</v>
      </c>
      <c r="AB41" s="47">
        <f>ROUND(供應率ALL!V4,1)</f>
        <v>100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0</v>
      </c>
      <c r="AF41" s="47">
        <f>ROUND(供應率ALL!Z4,1)</f>
        <v>100</v>
      </c>
      <c r="AG41" s="47">
        <f>ROUND(供應率ALL!AA4,1)</f>
        <v>100</v>
      </c>
      <c r="AH41" s="47">
        <f>ROUND(供應率ALL!AB4,1)</f>
        <v>100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0</v>
      </c>
      <c r="AM41" s="47">
        <f>ROUND(供應率ALL!AG4,1)</f>
        <v>100</v>
      </c>
      <c r="AN41" s="214">
        <f>ROUND(供應率ALL!AH4,1)</f>
        <v>100</v>
      </c>
      <c r="AO41" s="48"/>
    </row>
    <row r="42" spans="1:41" s="14" customFormat="1" ht="21.95" customHeight="1">
      <c r="A42" s="668" t="s">
        <v>13</v>
      </c>
      <c r="B42" s="669"/>
      <c r="C42" s="669"/>
      <c r="D42" s="44">
        <f>HLOOKUP(MONTH(日期!$C$2),去年月推移!$D$1:$O$200,100,TRUE)</f>
        <v>49.071925</v>
      </c>
      <c r="E42" s="50">
        <v>75</v>
      </c>
      <c r="F42" s="51" t="s">
        <v>45</v>
      </c>
      <c r="G42" s="590">
        <f>ROUND(當年月推移!P101,1)</f>
        <v>89.1</v>
      </c>
      <c r="H42" s="591"/>
      <c r="I42" s="47">
        <f>ROUND(供應率ALL!C5,1)</f>
        <v>100</v>
      </c>
      <c r="J42" s="47">
        <f>ROUND(供應率ALL!D5,1)</f>
        <v>0</v>
      </c>
      <c r="K42" s="47">
        <f>ROUND(供應率ALL!E5,1)</f>
        <v>100</v>
      </c>
      <c r="L42" s="47">
        <f>ROUND(供應率ALL!F5,1)</f>
        <v>100</v>
      </c>
      <c r="M42" s="47">
        <f>ROUND(供應率ALL!G5,1)</f>
        <v>87.5</v>
      </c>
      <c r="N42" s="47">
        <f>ROUND(供應率ALL!H5,1)</f>
        <v>100</v>
      </c>
      <c r="O42" s="47">
        <f>ROUND(供應率ALL!I5,1)</f>
        <v>100</v>
      </c>
      <c r="P42" s="47">
        <f>ROUND(供應率ALL!J5,1)</f>
        <v>55.5</v>
      </c>
      <c r="Q42" s="47">
        <f>ROUND(供應率ALL!K5,1)</f>
        <v>0</v>
      </c>
      <c r="R42" s="47">
        <f>ROUND(供應率ALL!L5,1)</f>
        <v>98.2</v>
      </c>
      <c r="S42" s="47">
        <f>ROUND(供應率ALL!M5,1)</f>
        <v>100</v>
      </c>
      <c r="T42" s="47">
        <f>ROUND(供應率ALL!N5,1)</f>
        <v>100</v>
      </c>
      <c r="U42" s="47">
        <f>ROUND(供應率ALL!O5,1)</f>
        <v>75</v>
      </c>
      <c r="V42" s="47">
        <f>ROUND(供應率ALL!P5,1)</f>
        <v>85.7</v>
      </c>
      <c r="W42" s="47">
        <f>ROUND(供應率ALL!Q5,1)</f>
        <v>100</v>
      </c>
      <c r="X42" s="47">
        <f>ROUND(供應率ALL!R5,1)</f>
        <v>0</v>
      </c>
      <c r="Y42" s="47">
        <f>ROUND(供應率ALL!S5,1)</f>
        <v>80</v>
      </c>
      <c r="Z42" s="47">
        <f>ROUND(供應率ALL!T5,1)</f>
        <v>100</v>
      </c>
      <c r="AA42" s="47">
        <f>ROUND(供應率ALL!U5,1)</f>
        <v>100</v>
      </c>
      <c r="AB42" s="47">
        <f>ROUND(供應率ALL!V5,1)</f>
        <v>100</v>
      </c>
      <c r="AC42" s="47">
        <f>ROUND(供應率ALL!W5,1)</f>
        <v>85.7</v>
      </c>
      <c r="AD42" s="47">
        <f>ROUND(供應率ALL!X5,1)</f>
        <v>100</v>
      </c>
      <c r="AE42" s="47">
        <f>ROUND(供應率ALL!Y5,1)</f>
        <v>0</v>
      </c>
      <c r="AF42" s="47">
        <f>ROUND(供應率ALL!Z5,1)</f>
        <v>100</v>
      </c>
      <c r="AG42" s="47">
        <f>ROUND(供應率ALL!AA5,1)</f>
        <v>75</v>
      </c>
      <c r="AH42" s="47">
        <f>ROUND(供應率ALL!AB5,1)</f>
        <v>88.8</v>
      </c>
      <c r="AI42" s="47">
        <f>ROUND(供應率ALL!AC5,1)</f>
        <v>98.4</v>
      </c>
      <c r="AJ42" s="47">
        <f>ROUND(供應率ALL!AD5,1)</f>
        <v>100</v>
      </c>
      <c r="AK42" s="47">
        <f>ROUND(供應率ALL!AE5,1)</f>
        <v>100</v>
      </c>
      <c r="AL42" s="47">
        <f>ROUND(供應率ALL!AF5,1)</f>
        <v>0</v>
      </c>
      <c r="AM42" s="47">
        <f>ROUND(供應率ALL!AG5,1)</f>
        <v>75</v>
      </c>
      <c r="AN42" s="214">
        <f>ROUND(供應率ALL!AH5,1)</f>
        <v>97.9</v>
      </c>
      <c r="AO42" s="48"/>
    </row>
    <row r="43" spans="1:41" s="14" customFormat="1" ht="21.95" customHeight="1">
      <c r="A43" s="668" t="s">
        <v>14</v>
      </c>
      <c r="B43" s="669"/>
      <c r="C43" s="669"/>
      <c r="D43" s="44">
        <f>HLOOKUP(MONTH(日期!$C$2),去年月推移!$D$1:$O$200,101,TRUE)</f>
        <v>99.472970000000004</v>
      </c>
      <c r="E43" s="50">
        <v>99</v>
      </c>
      <c r="F43" s="51" t="s">
        <v>45</v>
      </c>
      <c r="G43" s="590">
        <f>ROUND(當年月推移!P102,1)</f>
        <v>99.4</v>
      </c>
      <c r="H43" s="591"/>
      <c r="I43" s="47">
        <f>ROUND(供應率ALL!C6,1)</f>
        <v>100</v>
      </c>
      <c r="J43" s="47">
        <f>ROUND(供應率ALL!D6,1)</f>
        <v>0</v>
      </c>
      <c r="K43" s="47">
        <f>ROUND(供應率ALL!E6,1)</f>
        <v>99.8</v>
      </c>
      <c r="L43" s="47">
        <f>ROUND(供應率ALL!F6,1)</f>
        <v>99.6</v>
      </c>
      <c r="M43" s="47">
        <f>ROUND(供應率ALL!G6,1)</f>
        <v>99.5</v>
      </c>
      <c r="N43" s="47">
        <f>ROUND(供應率ALL!H6,1)</f>
        <v>99.4</v>
      </c>
      <c r="O43" s="47">
        <f>ROUND(供應率ALL!I6,1)</f>
        <v>99.5</v>
      </c>
      <c r="P43" s="47">
        <f>ROUND(供應率ALL!J6,1)</f>
        <v>99.7</v>
      </c>
      <c r="Q43" s="47">
        <f>ROUND(供應率ALL!K6,1)</f>
        <v>0</v>
      </c>
      <c r="R43" s="47">
        <f>ROUND(供應率ALL!L6,1)</f>
        <v>99.7</v>
      </c>
      <c r="S43" s="47">
        <f>ROUND(供應率ALL!M6,1)</f>
        <v>99</v>
      </c>
      <c r="T43" s="47">
        <f>ROUND(供應率ALL!N6,1)</f>
        <v>99.6</v>
      </c>
      <c r="U43" s="47">
        <f>ROUND(供應率ALL!O6,1)</f>
        <v>99.7</v>
      </c>
      <c r="V43" s="47">
        <f>ROUND(供應率ALL!P6,1)</f>
        <v>99.6</v>
      </c>
      <c r="W43" s="47">
        <f>ROUND(供應率ALL!Q6,1)</f>
        <v>99.6</v>
      </c>
      <c r="X43" s="47">
        <f>ROUND(供應率ALL!R6,1)</f>
        <v>0</v>
      </c>
      <c r="Y43" s="47">
        <f>ROUND(供應率ALL!S6,1)</f>
        <v>98.8</v>
      </c>
      <c r="Z43" s="47">
        <f>ROUND(供應率ALL!T6,1)</f>
        <v>99.4</v>
      </c>
      <c r="AA43" s="47">
        <f>ROUND(供應率ALL!U6,1)</f>
        <v>99</v>
      </c>
      <c r="AB43" s="47">
        <f>ROUND(供應率ALL!V6,1)</f>
        <v>99.5</v>
      </c>
      <c r="AC43" s="47">
        <f>ROUND(供應率ALL!W6,1)</f>
        <v>99.8</v>
      </c>
      <c r="AD43" s="47">
        <f>ROUND(供應率ALL!X6,1)</f>
        <v>99.7</v>
      </c>
      <c r="AE43" s="47">
        <f>ROUND(供應率ALL!Y6,1)</f>
        <v>0</v>
      </c>
      <c r="AF43" s="47">
        <f>ROUND(供應率ALL!Z6,1)</f>
        <v>99.1</v>
      </c>
      <c r="AG43" s="47">
        <f>ROUND(供應率ALL!AA6,1)</f>
        <v>99.5</v>
      </c>
      <c r="AH43" s="47">
        <f>ROUND(供應率ALL!AB6,1)</f>
        <v>99</v>
      </c>
      <c r="AI43" s="47">
        <f>ROUND(供應率ALL!AC6,1)</f>
        <v>99.2</v>
      </c>
      <c r="AJ43" s="47">
        <f>ROUND(供應率ALL!AD6,1)</f>
        <v>99.4</v>
      </c>
      <c r="AK43" s="47">
        <f>ROUND(供應率ALL!AE6,1)</f>
        <v>99.4</v>
      </c>
      <c r="AL43" s="47">
        <f>ROUND(供應率ALL!AF6,1)</f>
        <v>0</v>
      </c>
      <c r="AM43" s="47">
        <f>ROUND(供應率ALL!AG6,1)</f>
        <v>99.5</v>
      </c>
      <c r="AN43" s="214">
        <f>ROUND(供應率ALL!AH6,1)</f>
        <v>99.5</v>
      </c>
      <c r="AO43" s="48"/>
    </row>
    <row r="44" spans="1:41" s="14" customFormat="1" ht="21.95" customHeight="1">
      <c r="A44" s="668" t="s">
        <v>47</v>
      </c>
      <c r="B44" s="669"/>
      <c r="C44" s="669"/>
      <c r="D44" s="44">
        <f>HLOOKUP(MONTH(日期!$C$2),去年月推移!$D$1:$O$200,102,TRUE)</f>
        <v>92.018929</v>
      </c>
      <c r="E44" s="50">
        <v>92</v>
      </c>
      <c r="F44" s="51" t="s">
        <v>45</v>
      </c>
      <c r="G44" s="590">
        <f>ROUND(當年月推移!P103,1)</f>
        <v>94.7</v>
      </c>
      <c r="H44" s="591"/>
      <c r="I44" s="47">
        <f>ROUND(供應率ALL!C23,1)</f>
        <v>96.5</v>
      </c>
      <c r="J44" s="47">
        <f>ROUND(供應率ALL!D23,1)</f>
        <v>0</v>
      </c>
      <c r="K44" s="47">
        <f>ROUND(供應率ALL!E23,1)</f>
        <v>93</v>
      </c>
      <c r="L44" s="47">
        <f>ROUND(供應率ALL!F23,1)</f>
        <v>94.5</v>
      </c>
      <c r="M44" s="47">
        <f>ROUND(供應率ALL!G23,1)</f>
        <v>94.2</v>
      </c>
      <c r="N44" s="47">
        <f>ROUND(供應率ALL!H23,1)</f>
        <v>95.6</v>
      </c>
      <c r="O44" s="47">
        <f>ROUND(供應率ALL!I23,1)</f>
        <v>95.2</v>
      </c>
      <c r="P44" s="47">
        <f>ROUND(供應率ALL!J23,1)</f>
        <v>94.8</v>
      </c>
      <c r="Q44" s="47">
        <f>ROUND(供應率ALL!K23,1)</f>
        <v>0</v>
      </c>
      <c r="R44" s="47">
        <f>ROUND(供應率ALL!L23,1)</f>
        <v>93.6</v>
      </c>
      <c r="S44" s="47">
        <f>ROUND(供應率ALL!M23,1)</f>
        <v>91.2</v>
      </c>
      <c r="T44" s="47">
        <f>ROUND(供應率ALL!N23,1)</f>
        <v>90.4</v>
      </c>
      <c r="U44" s="47">
        <f>ROUND(供應率ALL!O23,1)</f>
        <v>88.6</v>
      </c>
      <c r="V44" s="47">
        <f>ROUND(供應率ALL!P23,1)</f>
        <v>92.1</v>
      </c>
      <c r="W44" s="47">
        <f>ROUND(供應率ALL!Q23,1)</f>
        <v>93.1</v>
      </c>
      <c r="X44" s="47">
        <f>ROUND(供應率ALL!R23,1)</f>
        <v>0</v>
      </c>
      <c r="Y44" s="47">
        <f>ROUND(供應率ALL!S23,1)</f>
        <v>94.2</v>
      </c>
      <c r="Z44" s="47">
        <f>ROUND(供應率ALL!T23,1)</f>
        <v>91.5</v>
      </c>
      <c r="AA44" s="47">
        <f>ROUND(供應率ALL!U23,1)</f>
        <v>95.6</v>
      </c>
      <c r="AB44" s="47">
        <f>ROUND(供應率ALL!V23,1)</f>
        <v>95.9</v>
      </c>
      <c r="AC44" s="47">
        <f>ROUND(供應率ALL!W23,1)</f>
        <v>94.1</v>
      </c>
      <c r="AD44" s="47">
        <f>ROUND(供應率ALL!X23,1)</f>
        <v>95.5</v>
      </c>
      <c r="AE44" s="47">
        <f>ROUND(供應率ALL!Y23,1)</f>
        <v>0</v>
      </c>
      <c r="AF44" s="47">
        <f>ROUND(供應率ALL!Z23,1)</f>
        <v>96.2</v>
      </c>
      <c r="AG44" s="47">
        <f>ROUND(供應率ALL!AA23,1)</f>
        <v>93.7</v>
      </c>
      <c r="AH44" s="47">
        <f>ROUND(供應率ALL!AB23,1)</f>
        <v>97.8</v>
      </c>
      <c r="AI44" s="47">
        <f>ROUND(供應率ALL!AC23,1)</f>
        <v>94.7</v>
      </c>
      <c r="AJ44" s="47">
        <f>ROUND(供應率ALL!AD23,1)</f>
        <v>96.9</v>
      </c>
      <c r="AK44" s="47">
        <f>ROUND(供應率ALL!AE23,1)</f>
        <v>97</v>
      </c>
      <c r="AL44" s="47">
        <f>ROUND(供應率ALL!AF23,1)</f>
        <v>0</v>
      </c>
      <c r="AM44" s="47">
        <f>ROUND(供應率ALL!AG23,1)</f>
        <v>96</v>
      </c>
      <c r="AN44" s="214">
        <f>ROUND(供應率ALL!AH23,1)</f>
        <v>94.4</v>
      </c>
      <c r="AO44" s="48"/>
    </row>
    <row r="45" spans="1:41" s="14" customFormat="1" ht="21.95" customHeight="1">
      <c r="A45" s="668" t="s">
        <v>48</v>
      </c>
      <c r="B45" s="669"/>
      <c r="C45" s="669"/>
      <c r="D45" s="44">
        <f>HLOOKUP(MONTH(日期!$C$2),去年月推移!$D$1:$O$200,103,TRUE)</f>
        <v>99.378435999999994</v>
      </c>
      <c r="E45" s="50">
        <v>95</v>
      </c>
      <c r="F45" s="51" t="s">
        <v>45</v>
      </c>
      <c r="G45" s="590">
        <f>ROUND(當年月推移!P104,1)</f>
        <v>98.2</v>
      </c>
      <c r="H45" s="591"/>
      <c r="I45" s="47">
        <f>ROUND(供應率ALL!C8,1)</f>
        <v>99.5</v>
      </c>
      <c r="J45" s="47">
        <f>ROUND(供應率ALL!D8,1)</f>
        <v>0</v>
      </c>
      <c r="K45" s="47">
        <f>ROUND(供應率ALL!E8,1)</f>
        <v>99.7</v>
      </c>
      <c r="L45" s="47">
        <f>ROUND(供應率ALL!F8,1)</f>
        <v>98.6</v>
      </c>
      <c r="M45" s="47">
        <f>ROUND(供應率ALL!G8,1)</f>
        <v>99.1</v>
      </c>
      <c r="N45" s="47">
        <f>ROUND(供應率ALL!H8,1)</f>
        <v>99.7</v>
      </c>
      <c r="O45" s="47">
        <f>ROUND(供應率ALL!I8,1)</f>
        <v>99.2</v>
      </c>
      <c r="P45" s="47">
        <f>ROUND(供應率ALL!J8,1)</f>
        <v>97.6</v>
      </c>
      <c r="Q45" s="47">
        <f>ROUND(供應率ALL!K8,1)</f>
        <v>0</v>
      </c>
      <c r="R45" s="47">
        <f>ROUND(供應率ALL!L8,1)</f>
        <v>97.6</v>
      </c>
      <c r="S45" s="47">
        <f>ROUND(供應率ALL!M8,1)</f>
        <v>95.8</v>
      </c>
      <c r="T45" s="47">
        <f>ROUND(供應率ALL!N8,1)</f>
        <v>99.5</v>
      </c>
      <c r="U45" s="47">
        <f>ROUND(供應率ALL!O8,1)</f>
        <v>99.7</v>
      </c>
      <c r="V45" s="47">
        <f>ROUND(供應率ALL!P8,1)</f>
        <v>96.3</v>
      </c>
      <c r="W45" s="47">
        <f>ROUND(供應率ALL!Q8,1)</f>
        <v>96.9</v>
      </c>
      <c r="X45" s="47">
        <f>ROUND(供應率ALL!R8,1)</f>
        <v>0</v>
      </c>
      <c r="Y45" s="47">
        <f>ROUND(供應率ALL!S8,1)</f>
        <v>98.7</v>
      </c>
      <c r="Z45" s="47">
        <f>ROUND(供應率ALL!T8,1)</f>
        <v>98.2</v>
      </c>
      <c r="AA45" s="47">
        <f>ROUND(供應率ALL!U8,1)</f>
        <v>97.2</v>
      </c>
      <c r="AB45" s="47">
        <f>ROUND(供應率ALL!V8,1)</f>
        <v>100</v>
      </c>
      <c r="AC45" s="47">
        <f>ROUND(供應率ALL!W8,1)</f>
        <v>99.7</v>
      </c>
      <c r="AD45" s="47">
        <f>ROUND(供應率ALL!X8,1)</f>
        <v>99.7</v>
      </c>
      <c r="AE45" s="47">
        <f>ROUND(供應率ALL!Y8,1)</f>
        <v>0</v>
      </c>
      <c r="AF45" s="47">
        <f>ROUND(供應率ALL!Z8,1)</f>
        <v>98.9</v>
      </c>
      <c r="AG45" s="47">
        <f>ROUND(供應率ALL!AA8,1)</f>
        <v>99.2</v>
      </c>
      <c r="AH45" s="47">
        <f>ROUND(供應率ALL!AB8,1)</f>
        <v>99.7</v>
      </c>
      <c r="AI45" s="47">
        <f>ROUND(供應率ALL!AC8,1)</f>
        <v>99.4</v>
      </c>
      <c r="AJ45" s="47">
        <f>ROUND(供應率ALL!AD8,1)</f>
        <v>98.7</v>
      </c>
      <c r="AK45" s="47">
        <f>ROUND(供應率ALL!AE8,1)</f>
        <v>99.7</v>
      </c>
      <c r="AL45" s="47">
        <f>ROUND(供應率ALL!AF8,1)</f>
        <v>0</v>
      </c>
      <c r="AM45" s="47">
        <f>ROUND(供應率ALL!AG8,1)</f>
        <v>99.1</v>
      </c>
      <c r="AN45" s="214">
        <f>ROUND(供應率ALL!AH8,1)</f>
        <v>98.8</v>
      </c>
      <c r="AO45" s="48"/>
    </row>
    <row r="46" spans="1:41" s="14" customFormat="1" ht="21.95" customHeight="1">
      <c r="A46" s="668" t="s">
        <v>17</v>
      </c>
      <c r="B46" s="669"/>
      <c r="C46" s="669"/>
      <c r="D46" s="44">
        <f>HLOOKUP(MONTH(日期!$C$2),去年月推移!$D$1:$O$200,104,TRUE)</f>
        <v>97.667637999999997</v>
      </c>
      <c r="E46" s="50">
        <v>95</v>
      </c>
      <c r="F46" s="51" t="s">
        <v>45</v>
      </c>
      <c r="G46" s="590">
        <f>ROUND(當年月推移!P105,1)</f>
        <v>96.6</v>
      </c>
      <c r="H46" s="591"/>
      <c r="I46" s="47">
        <f>ROUND(供應率ALL!C9,1)</f>
        <v>100</v>
      </c>
      <c r="J46" s="47">
        <f>ROUND(供應率ALL!D9,1)</f>
        <v>0</v>
      </c>
      <c r="K46" s="47">
        <f>ROUND(供應率ALL!E9,1)</f>
        <v>100</v>
      </c>
      <c r="L46" s="47">
        <f>ROUND(供應率ALL!F9,1)</f>
        <v>88.8</v>
      </c>
      <c r="M46" s="47">
        <f>ROUND(供應率ALL!G9,1)</f>
        <v>100</v>
      </c>
      <c r="N46" s="47">
        <f>ROUND(供應率ALL!H9,1)</f>
        <v>85.7</v>
      </c>
      <c r="O46" s="47">
        <f>ROUND(供應率ALL!I9,1)</f>
        <v>85.7</v>
      </c>
      <c r="P46" s="47">
        <f>ROUND(供應率ALL!J9,1)</f>
        <v>100</v>
      </c>
      <c r="Q46" s="47">
        <f>ROUND(供應率ALL!K9,1)</f>
        <v>0</v>
      </c>
      <c r="R46" s="47">
        <f>ROUND(供應率ALL!L9,1)</f>
        <v>85</v>
      </c>
      <c r="S46" s="47">
        <f>ROUND(供應率ALL!M9,1)</f>
        <v>70</v>
      </c>
      <c r="T46" s="47">
        <f>ROUND(供應率ALL!N9,1)</f>
        <v>85.7</v>
      </c>
      <c r="U46" s="47">
        <f>ROUND(供應率ALL!O9,1)</f>
        <v>92.3</v>
      </c>
      <c r="V46" s="47">
        <f>ROUND(供應率ALL!P9,1)</f>
        <v>88.8</v>
      </c>
      <c r="W46" s="47">
        <f>ROUND(供應率ALL!Q9,1)</f>
        <v>100</v>
      </c>
      <c r="X46" s="47">
        <f>ROUND(供應率ALL!R9,1)</f>
        <v>0</v>
      </c>
      <c r="Y46" s="47">
        <f>ROUND(供應率ALL!S9,1)</f>
        <v>100</v>
      </c>
      <c r="Z46" s="47">
        <f>ROUND(供應率ALL!T9,1)</f>
        <v>75</v>
      </c>
      <c r="AA46" s="47">
        <f>ROUND(供應率ALL!U9,1)</f>
        <v>60</v>
      </c>
      <c r="AB46" s="47">
        <f>ROUND(供應率ALL!V9,1)</f>
        <v>100</v>
      </c>
      <c r="AC46" s="47">
        <f>ROUND(供應率ALL!W9,1)</f>
        <v>87.5</v>
      </c>
      <c r="AD46" s="47">
        <f>ROUND(供應率ALL!X9,1)</f>
        <v>100</v>
      </c>
      <c r="AE46" s="47">
        <f>ROUND(供應率ALL!Y9,1)</f>
        <v>0</v>
      </c>
      <c r="AF46" s="47">
        <f>ROUND(供應率ALL!Z9,1)</f>
        <v>93.7</v>
      </c>
      <c r="AG46" s="47">
        <f>ROUND(供應率ALL!AA9,1)</f>
        <v>77.7</v>
      </c>
      <c r="AH46" s="47">
        <f>ROUND(供應率ALL!AB9,1)</f>
        <v>93.3</v>
      </c>
      <c r="AI46" s="47">
        <f>ROUND(供應率ALL!AC9,1)</f>
        <v>93.3</v>
      </c>
      <c r="AJ46" s="47">
        <f>ROUND(供應率ALL!AD9,1)</f>
        <v>100</v>
      </c>
      <c r="AK46" s="47">
        <f>ROUND(供應率ALL!AE9,1)</f>
        <v>100</v>
      </c>
      <c r="AL46" s="47">
        <f>ROUND(供應率ALL!AF9,1)</f>
        <v>0</v>
      </c>
      <c r="AM46" s="47">
        <f>ROUND(供應率ALL!AG9,1)</f>
        <v>100</v>
      </c>
      <c r="AN46" s="214">
        <f>ROUND(供應率ALL!AH9,1)</f>
        <v>91.2</v>
      </c>
      <c r="AO46" s="48"/>
    </row>
    <row r="47" spans="1:41" s="14" customFormat="1" ht="21.95" customHeight="1" thickBot="1">
      <c r="A47" s="557" t="s">
        <v>49</v>
      </c>
      <c r="B47" s="558"/>
      <c r="C47" s="559"/>
      <c r="D47" s="231">
        <f>HLOOKUP(MONTH(日期!$C$2),去年月推移!$D$1:$O$200,105,TRUE)</f>
        <v>98.338605999999999</v>
      </c>
      <c r="E47" s="52">
        <v>97.8</v>
      </c>
      <c r="F47" s="53"/>
      <c r="G47" s="629">
        <f>ROUND(當年月推移!P106,1)</f>
        <v>98.2</v>
      </c>
      <c r="H47" s="630"/>
      <c r="I47" s="242">
        <f>ROUND(供應率ALL!C10,1)</f>
        <v>98.7</v>
      </c>
      <c r="J47" s="242">
        <f>ROUND(供應率ALL!D10,1)</f>
        <v>0</v>
      </c>
      <c r="K47" s="242">
        <f>ROUND(供應率ALL!E10,1)</f>
        <v>98.3</v>
      </c>
      <c r="L47" s="242">
        <f>ROUND(供應率ALL!F10,1)</f>
        <v>98.5</v>
      </c>
      <c r="M47" s="242">
        <f>ROUND(供應率ALL!G10,1)</f>
        <v>98.4</v>
      </c>
      <c r="N47" s="242">
        <f>ROUND(供應率ALL!H10,1)</f>
        <v>98.5</v>
      </c>
      <c r="O47" s="242">
        <f>ROUND(供應率ALL!I10,1)</f>
        <v>98.5</v>
      </c>
      <c r="P47" s="242">
        <f>ROUND(供應率ALL!J10,1)</f>
        <v>98.2</v>
      </c>
      <c r="Q47" s="242">
        <f>ROUND(供應率ALL!K10,1)</f>
        <v>0</v>
      </c>
      <c r="R47" s="242">
        <f>ROUND(供應率ALL!L10,1)</f>
        <v>98.3</v>
      </c>
      <c r="S47" s="242">
        <f>ROUND(供應率ALL!M10,1)</f>
        <v>98.1</v>
      </c>
      <c r="T47" s="242">
        <f>ROUND(供應率ALL!N10,1)</f>
        <v>98.4</v>
      </c>
      <c r="U47" s="242">
        <f>ROUND(供應率ALL!O10,1)</f>
        <v>98.3</v>
      </c>
      <c r="V47" s="242">
        <f>ROUND(供應率ALL!P10,1)</f>
        <v>98.6</v>
      </c>
      <c r="W47" s="242">
        <f>ROUND(供應率ALL!Q10,1)</f>
        <v>98.2</v>
      </c>
      <c r="X47" s="242">
        <f>ROUND(供應率ALL!R10,1)</f>
        <v>0</v>
      </c>
      <c r="Y47" s="242">
        <f>ROUND(供應率ALL!S10,1)</f>
        <v>98.4</v>
      </c>
      <c r="Z47" s="242">
        <f>ROUND(供應率ALL!T10,1)</f>
        <v>98.5</v>
      </c>
      <c r="AA47" s="242">
        <f>ROUND(供應率ALL!U10,1)</f>
        <v>98.4</v>
      </c>
      <c r="AB47" s="242">
        <f>ROUND(供應率ALL!V10,1)</f>
        <v>98.3</v>
      </c>
      <c r="AC47" s="242">
        <f>ROUND(供應率ALL!W10,1)</f>
        <v>98.6</v>
      </c>
      <c r="AD47" s="242">
        <f>ROUND(供應率ALL!X10,1)</f>
        <v>98.8</v>
      </c>
      <c r="AE47" s="242">
        <f>ROUND(供應率ALL!Y10,1)</f>
        <v>0</v>
      </c>
      <c r="AF47" s="242">
        <f>ROUND(供應率ALL!Z10,1)</f>
        <v>98.7</v>
      </c>
      <c r="AG47" s="242">
        <f>ROUND(供應率ALL!AA10,1)</f>
        <v>98.7</v>
      </c>
      <c r="AH47" s="242">
        <f>ROUND(供應率ALL!AB10,1)</f>
        <v>98.5</v>
      </c>
      <c r="AI47" s="242">
        <f>ROUND(供應率ALL!AC10,1)</f>
        <v>98.5</v>
      </c>
      <c r="AJ47" s="242">
        <f>ROUND(供應率ALL!AD10,1)</f>
        <v>98.5</v>
      </c>
      <c r="AK47" s="242">
        <f>ROUND(供應率ALL!AE10,1)</f>
        <v>98.8</v>
      </c>
      <c r="AL47" s="242">
        <f>ROUND(供應率ALL!AF10,1)</f>
        <v>0</v>
      </c>
      <c r="AM47" s="242">
        <f>ROUND(供應率ALL!AG10,1)</f>
        <v>98.9</v>
      </c>
      <c r="AN47" s="271">
        <f>ROUND(供應率ALL!AH10,1)</f>
        <v>98.5</v>
      </c>
      <c r="AO47" s="48"/>
    </row>
    <row r="48" spans="1:41" s="14" customFormat="1" ht="21.95" customHeight="1">
      <c r="A48" s="670" t="s">
        <v>23</v>
      </c>
      <c r="B48" s="671"/>
      <c r="C48" s="671"/>
      <c r="D48" s="44">
        <f>HLOOKUP(MONTH(日期!$C$2),去年月推移!$D$1:$O$200,106,TRUE)</f>
        <v>97.880985999999993</v>
      </c>
      <c r="E48" s="269">
        <v>97.8</v>
      </c>
      <c r="F48" s="270" t="s">
        <v>45</v>
      </c>
      <c r="G48" s="590">
        <f>ROUND(當年月推移!P107,1)</f>
        <v>97.9</v>
      </c>
      <c r="H48" s="591"/>
      <c r="I48" s="47">
        <f>ROUND(供應率ALL!C3,1)</f>
        <v>97.8</v>
      </c>
      <c r="J48" s="47">
        <f>ROUND(供應率ALL!D3,1)</f>
        <v>0</v>
      </c>
      <c r="K48" s="47">
        <f>ROUND(供應率ALL!E3,1)</f>
        <v>98</v>
      </c>
      <c r="L48" s="47">
        <f>ROUND(供應率ALL!F3,1)</f>
        <v>97.9</v>
      </c>
      <c r="M48" s="47">
        <f>ROUND(供應率ALL!G3,1)</f>
        <v>97.3</v>
      </c>
      <c r="N48" s="47">
        <f>ROUND(供應率ALL!H3,1)</f>
        <v>98.5</v>
      </c>
      <c r="O48" s="47">
        <f>ROUND(供應率ALL!I3,1)</f>
        <v>97.9</v>
      </c>
      <c r="P48" s="47">
        <f>ROUND(供應率ALL!J3,1)</f>
        <v>98</v>
      </c>
      <c r="Q48" s="47">
        <f>ROUND(供應率ALL!K3,1)</f>
        <v>0</v>
      </c>
      <c r="R48" s="47">
        <f>ROUND(供應率ALL!L3,1)</f>
        <v>97.6</v>
      </c>
      <c r="S48" s="47">
        <f>ROUND(供應率ALL!M3,1)</f>
        <v>98.5</v>
      </c>
      <c r="T48" s="47">
        <f>ROUND(供應率ALL!N3,1)</f>
        <v>98.8</v>
      </c>
      <c r="U48" s="47">
        <f>ROUND(供應率ALL!O3,1)</f>
        <v>97.5</v>
      </c>
      <c r="V48" s="47">
        <f>ROUND(供應率ALL!P3,1)</f>
        <v>97.7</v>
      </c>
      <c r="W48" s="47">
        <f>ROUND(供應率ALL!Q3,1)</f>
        <v>98.6</v>
      </c>
      <c r="X48" s="47">
        <f>ROUND(供應率ALL!R3,1)</f>
        <v>0</v>
      </c>
      <c r="Y48" s="47">
        <f>ROUND(供應率ALL!S3,1)</f>
        <v>98.7</v>
      </c>
      <c r="Z48" s="47">
        <f>ROUND(供應率ALL!T3,1)</f>
        <v>98.7</v>
      </c>
      <c r="AA48" s="47">
        <f>ROUND(供應率ALL!U3,1)</f>
        <v>98.8</v>
      </c>
      <c r="AB48" s="47">
        <f>ROUND(供應率ALL!V3,1)</f>
        <v>98.5</v>
      </c>
      <c r="AC48" s="47">
        <f>ROUND(供應率ALL!W3,1)</f>
        <v>98.3</v>
      </c>
      <c r="AD48" s="47">
        <f>ROUND(供應率ALL!X3,1)</f>
        <v>98.8</v>
      </c>
      <c r="AE48" s="47">
        <f>ROUND(供應率ALL!Y3,1)</f>
        <v>0</v>
      </c>
      <c r="AF48" s="47">
        <f>ROUND(供應率ALL!Z3,1)</f>
        <v>98.2</v>
      </c>
      <c r="AG48" s="47">
        <f>ROUND(供應率ALL!AA3,1)</f>
        <v>98.3</v>
      </c>
      <c r="AH48" s="47">
        <f>ROUND(供應率ALL!AB3,1)</f>
        <v>99.1</v>
      </c>
      <c r="AI48" s="47">
        <f>ROUND(供應率ALL!AC3,1)</f>
        <v>98.7</v>
      </c>
      <c r="AJ48" s="47">
        <f>ROUND(供應率ALL!AD3,1)</f>
        <v>98.5</v>
      </c>
      <c r="AK48" s="47">
        <f>ROUND(供應率ALL!AE3,1)</f>
        <v>98.6</v>
      </c>
      <c r="AL48" s="47">
        <f>ROUND(供應率ALL!AF3,1)</f>
        <v>0</v>
      </c>
      <c r="AM48" s="47">
        <f>ROUND(供應率ALL!AG3,1)</f>
        <v>98.6</v>
      </c>
      <c r="AN48" s="214">
        <f>ROUND(供應率ALL!AH3,1)</f>
        <v>98.4</v>
      </c>
      <c r="AO48" s="48"/>
    </row>
    <row r="49" spans="1:41" s="14" customFormat="1" ht="21.95" customHeight="1">
      <c r="A49" s="626" t="s">
        <v>24</v>
      </c>
      <c r="B49" s="627"/>
      <c r="C49" s="628"/>
      <c r="D49" s="44">
        <f>HLOOKUP(MONTH(日期!$C$2),去年月推移!$D$1:$O$200,107,TRUE)</f>
        <v>100</v>
      </c>
      <c r="E49" s="50">
        <v>99</v>
      </c>
      <c r="F49" s="51"/>
      <c r="G49" s="637">
        <f>ROUND(當年月推移!P108,1)</f>
        <v>97.8</v>
      </c>
      <c r="H49" s="638"/>
      <c r="I49" s="47">
        <f>ROUND(供應率ALL!C11,1)</f>
        <v>100</v>
      </c>
      <c r="J49" s="47">
        <f>ROUND(供應率ALL!D11,1)</f>
        <v>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0</v>
      </c>
      <c r="AM49" s="47">
        <f>ROUND(供應率ALL!AG11,1)</f>
        <v>100</v>
      </c>
      <c r="AN49" s="214">
        <f>ROUND(供應率ALL!AH11,1)</f>
        <v>100</v>
      </c>
      <c r="AO49" s="48"/>
    </row>
    <row r="50" spans="1:41" s="14" customFormat="1" ht="21.95" customHeight="1">
      <c r="A50" s="626" t="s">
        <v>25</v>
      </c>
      <c r="B50" s="627"/>
      <c r="C50" s="628"/>
      <c r="D50" s="44">
        <f>HLOOKUP(MONTH(日期!$C$2),去年月推移!$D$1:$O$200,108,TRUE)</f>
        <v>88.179669000000004</v>
      </c>
      <c r="E50" s="50">
        <v>75</v>
      </c>
      <c r="F50" s="51"/>
      <c r="G50" s="637">
        <f>ROUND(當年月推移!P109,1)</f>
        <v>95.5</v>
      </c>
      <c r="H50" s="638"/>
      <c r="I50" s="47">
        <f>ROUND(供應率ALL!C12,1)</f>
        <v>100</v>
      </c>
      <c r="J50" s="47">
        <f>ROUND(供應率ALL!D12,1)</f>
        <v>0</v>
      </c>
      <c r="K50" s="47">
        <f>ROUND(供應率ALL!E12,1)</f>
        <v>75</v>
      </c>
      <c r="L50" s="47">
        <f>ROUND(供應率ALL!F12,1)</f>
        <v>92.3</v>
      </c>
      <c r="M50" s="47">
        <f>ROUND(供應率ALL!G12,1)</f>
        <v>96.6</v>
      </c>
      <c r="N50" s="47">
        <f>ROUND(供應率ALL!H12,1)</f>
        <v>100</v>
      </c>
      <c r="O50" s="47">
        <f>ROUND(供應率ALL!I12,1)</f>
        <v>93.5</v>
      </c>
      <c r="P50" s="47">
        <f>ROUND(供應率ALL!J12,1)</f>
        <v>95.6</v>
      </c>
      <c r="Q50" s="47">
        <f>ROUND(供應率ALL!K12,1)</f>
        <v>0</v>
      </c>
      <c r="R50" s="47">
        <f>ROUND(供應率ALL!L12,1)</f>
        <v>100</v>
      </c>
      <c r="S50" s="47">
        <f>ROUND(供應率ALL!M12,1)</f>
        <v>97.6</v>
      </c>
      <c r="T50" s="47">
        <f>ROUND(供應率ALL!N12,1)</f>
        <v>93.4</v>
      </c>
      <c r="U50" s="47">
        <f>ROUND(供應率ALL!O12,1)</f>
        <v>94.5</v>
      </c>
      <c r="V50" s="47">
        <f>ROUND(供應率ALL!P12,1)</f>
        <v>100</v>
      </c>
      <c r="W50" s="47">
        <f>ROUND(供應率ALL!Q12,1)</f>
        <v>100</v>
      </c>
      <c r="X50" s="47">
        <f>ROUND(供應率ALL!R12,1)</f>
        <v>0</v>
      </c>
      <c r="Y50" s="47">
        <f>ROUND(供應率ALL!S12,1)</f>
        <v>92</v>
      </c>
      <c r="Z50" s="47">
        <f>ROUND(供應率ALL!T12,1)</f>
        <v>93.8</v>
      </c>
      <c r="AA50" s="47">
        <f>ROUND(供應率ALL!U12,1)</f>
        <v>100</v>
      </c>
      <c r="AB50" s="47">
        <f>ROUND(供應率ALL!V12,1)</f>
        <v>93</v>
      </c>
      <c r="AC50" s="47">
        <f>ROUND(供應率ALL!W12,1)</f>
        <v>95.4</v>
      </c>
      <c r="AD50" s="47">
        <f>ROUND(供應率ALL!X12,1)</f>
        <v>100</v>
      </c>
      <c r="AE50" s="47">
        <f>ROUND(供應率ALL!Y12,1)</f>
        <v>0</v>
      </c>
      <c r="AF50" s="47">
        <f>ROUND(供應率ALL!Z12,1)</f>
        <v>92.3</v>
      </c>
      <c r="AG50" s="47">
        <f>ROUND(供應率ALL!AA12,1)</f>
        <v>97.2</v>
      </c>
      <c r="AH50" s="47">
        <f>ROUND(供應率ALL!AB12,1)</f>
        <v>95.3</v>
      </c>
      <c r="AI50" s="47">
        <f>ROUND(供應率ALL!AC12,1)</f>
        <v>100</v>
      </c>
      <c r="AJ50" s="47">
        <f>ROUND(供應率ALL!AD12,1)</f>
        <v>100</v>
      </c>
      <c r="AK50" s="47">
        <f>ROUND(供應率ALL!AE12,1)</f>
        <v>100</v>
      </c>
      <c r="AL50" s="47">
        <f>ROUND(供應率ALL!AF12,1)</f>
        <v>0</v>
      </c>
      <c r="AM50" s="47">
        <f>ROUND(供應率ALL!AG12,1)</f>
        <v>93.3</v>
      </c>
      <c r="AN50" s="214">
        <f>ROUND(供應率ALL!AH12,1)</f>
        <v>96.5</v>
      </c>
      <c r="AO50" s="48"/>
    </row>
    <row r="51" spans="1:41" s="14" customFormat="1" ht="21.95" customHeight="1">
      <c r="A51" s="626" t="s">
        <v>26</v>
      </c>
      <c r="B51" s="627"/>
      <c r="C51" s="628"/>
      <c r="D51" s="44">
        <f>HLOOKUP(MONTH(日期!$C$2),去年月推移!$D$1:$O$200,109,TRUE)</f>
        <v>97.554963999999998</v>
      </c>
      <c r="E51" s="50">
        <v>98.7</v>
      </c>
      <c r="F51" s="51"/>
      <c r="G51" s="637">
        <f>ROUND(當年月推移!P110,1)</f>
        <v>96.1</v>
      </c>
      <c r="H51" s="638"/>
      <c r="I51" s="47">
        <f>ROUND(供應率ALL!C13,1)</f>
        <v>95.6</v>
      </c>
      <c r="J51" s="47">
        <f>ROUND(供應率ALL!D13,1)</f>
        <v>0</v>
      </c>
      <c r="K51" s="47">
        <f>ROUND(供應率ALL!E13,1)</f>
        <v>94.1</v>
      </c>
      <c r="L51" s="47">
        <f>ROUND(供應率ALL!F13,1)</f>
        <v>93.4</v>
      </c>
      <c r="M51" s="47">
        <f>ROUND(供應率ALL!G13,1)</f>
        <v>95.7</v>
      </c>
      <c r="N51" s="47">
        <f>ROUND(供應率ALL!H13,1)</f>
        <v>93.8</v>
      </c>
      <c r="O51" s="47">
        <f>ROUND(供應率ALL!I13,1)</f>
        <v>93</v>
      </c>
      <c r="P51" s="47">
        <f>ROUND(供應率ALL!J13,1)</f>
        <v>94.7</v>
      </c>
      <c r="Q51" s="47">
        <f>ROUND(供應率ALL!K13,1)</f>
        <v>0</v>
      </c>
      <c r="R51" s="47">
        <f>ROUND(供應率ALL!L13,1)</f>
        <v>96.3</v>
      </c>
      <c r="S51" s="47">
        <f>ROUND(供應率ALL!M13,1)</f>
        <v>96.3</v>
      </c>
      <c r="T51" s="47">
        <f>ROUND(供應率ALL!N13,1)</f>
        <v>96.7</v>
      </c>
      <c r="U51" s="47">
        <f>ROUND(供應率ALL!O13,1)</f>
        <v>95.7</v>
      </c>
      <c r="V51" s="47">
        <f>ROUND(供應率ALL!P13,1)</f>
        <v>98.1</v>
      </c>
      <c r="W51" s="47">
        <f>ROUND(供應率ALL!Q13,1)</f>
        <v>97.3</v>
      </c>
      <c r="X51" s="47">
        <f>ROUND(供應率ALL!R13,1)</f>
        <v>0</v>
      </c>
      <c r="Y51" s="47">
        <f>ROUND(供應率ALL!S13,1)</f>
        <v>96.2</v>
      </c>
      <c r="Z51" s="47">
        <f>ROUND(供應率ALL!T13,1)</f>
        <v>95.4</v>
      </c>
      <c r="AA51" s="47">
        <f>ROUND(供應率ALL!U13,1)</f>
        <v>96</v>
      </c>
      <c r="AB51" s="47">
        <f>ROUND(供應率ALL!V13,1)</f>
        <v>85.7</v>
      </c>
      <c r="AC51" s="47">
        <f>ROUND(供應率ALL!W13,1)</f>
        <v>91.4</v>
      </c>
      <c r="AD51" s="47">
        <f>ROUND(供應率ALL!X13,1)</f>
        <v>94.6</v>
      </c>
      <c r="AE51" s="47">
        <f>ROUND(供應率ALL!Y13,1)</f>
        <v>0</v>
      </c>
      <c r="AF51" s="47">
        <f>ROUND(供應率ALL!Z13,1)</f>
        <v>96.3</v>
      </c>
      <c r="AG51" s="47">
        <f>ROUND(供應率ALL!AA13,1)</f>
        <v>98</v>
      </c>
      <c r="AH51" s="47">
        <f>ROUND(供應率ALL!AB13,1)</f>
        <v>97.5</v>
      </c>
      <c r="AI51" s="47">
        <f>ROUND(供應率ALL!AC13,1)</f>
        <v>97.8</v>
      </c>
      <c r="AJ51" s="47">
        <f>ROUND(供應率ALL!AD13,1)</f>
        <v>97.7</v>
      </c>
      <c r="AK51" s="47">
        <f>ROUND(供應率ALL!AE13,1)</f>
        <v>98.9</v>
      </c>
      <c r="AL51" s="47">
        <f>ROUND(供應率ALL!AF13,1)</f>
        <v>0</v>
      </c>
      <c r="AM51" s="47">
        <f>ROUND(供應率ALL!AG13,1)</f>
        <v>97.6</v>
      </c>
      <c r="AN51" s="214">
        <f>ROUND(供應率ALL!AH13,1)</f>
        <v>95.5</v>
      </c>
      <c r="AO51" s="48"/>
    </row>
    <row r="52" spans="1:41" s="14" customFormat="1" ht="21.95" customHeight="1">
      <c r="A52" s="626" t="s">
        <v>27</v>
      </c>
      <c r="B52" s="627"/>
      <c r="C52" s="628"/>
      <c r="D52" s="44">
        <f>HLOOKUP(MONTH(日期!$C$2),去年月推移!$D$1:$O$200,110,TRUE)</f>
        <v>97.923075999999995</v>
      </c>
      <c r="E52" s="50">
        <v>95</v>
      </c>
      <c r="F52" s="51"/>
      <c r="G52" s="637">
        <f>ROUND(當年月推移!P111,1)</f>
        <v>85.2</v>
      </c>
      <c r="H52" s="638"/>
      <c r="I52" s="47">
        <f>ROUND(供應率ALL!C14,1)</f>
        <v>98.6</v>
      </c>
      <c r="J52" s="47">
        <f>ROUND(供應率ALL!D14,1)</f>
        <v>0</v>
      </c>
      <c r="K52" s="47">
        <f>ROUND(供應率ALL!E14,1)</f>
        <v>92</v>
      </c>
      <c r="L52" s="47">
        <f>ROUND(供應率ALL!F14,1)</f>
        <v>98.3</v>
      </c>
      <c r="M52" s="47">
        <f>ROUND(供應率ALL!G14,1)</f>
        <v>94.2</v>
      </c>
      <c r="N52" s="47">
        <f>ROUND(供應率ALL!H14,1)</f>
        <v>85.9</v>
      </c>
      <c r="O52" s="47">
        <f>ROUND(供應率ALL!I14,1)</f>
        <v>93.3</v>
      </c>
      <c r="P52" s="47">
        <f>ROUND(供應率ALL!J14,1)</f>
        <v>94.3</v>
      </c>
      <c r="Q52" s="47">
        <f>ROUND(供應率ALL!K14,1)</f>
        <v>0</v>
      </c>
      <c r="R52" s="47">
        <f>ROUND(供應率ALL!L14,1)</f>
        <v>98.4</v>
      </c>
      <c r="S52" s="47">
        <f>ROUND(供應率ALL!M14,1)</f>
        <v>86.5</v>
      </c>
      <c r="T52" s="47">
        <f>ROUND(供應率ALL!N14,1)</f>
        <v>94.3</v>
      </c>
      <c r="U52" s="47">
        <f>ROUND(供應率ALL!O14,1)</f>
        <v>95.4</v>
      </c>
      <c r="V52" s="47">
        <f>ROUND(供應率ALL!P14,1)</f>
        <v>98</v>
      </c>
      <c r="W52" s="47">
        <f>ROUND(供應率ALL!Q14,1)</f>
        <v>100</v>
      </c>
      <c r="X52" s="47">
        <f>ROUND(供應率ALL!R14,1)</f>
        <v>0</v>
      </c>
      <c r="Y52" s="47">
        <f>ROUND(供應率ALL!S14,1)</f>
        <v>89.1</v>
      </c>
      <c r="Z52" s="47">
        <f>ROUND(供應率ALL!T14,1)</f>
        <v>90.9</v>
      </c>
      <c r="AA52" s="47">
        <f>ROUND(供應率ALL!U14,1)</f>
        <v>97.2</v>
      </c>
      <c r="AB52" s="47">
        <f>ROUND(供應率ALL!V14,1)</f>
        <v>96.4</v>
      </c>
      <c r="AC52" s="47">
        <f>ROUND(供應率ALL!W14,1)</f>
        <v>97.2</v>
      </c>
      <c r="AD52" s="47">
        <f>ROUND(供應率ALL!X14,1)</f>
        <v>91.8</v>
      </c>
      <c r="AE52" s="47">
        <f>ROUND(供應率ALL!Y14,1)</f>
        <v>0</v>
      </c>
      <c r="AF52" s="47">
        <f>ROUND(供應率ALL!Z14,1)</f>
        <v>91.4</v>
      </c>
      <c r="AG52" s="47">
        <f>ROUND(供應率ALL!AA14,1)</f>
        <v>92.5</v>
      </c>
      <c r="AH52" s="47">
        <f>ROUND(供應率ALL!AB14,1)</f>
        <v>87.8</v>
      </c>
      <c r="AI52" s="47">
        <f>ROUND(供應率ALL!AC14,1)</f>
        <v>88.8</v>
      </c>
      <c r="AJ52" s="47">
        <f>ROUND(供應率ALL!AD14,1)</f>
        <v>96.4</v>
      </c>
      <c r="AK52" s="47">
        <f>ROUND(供應率ALL!AE14,1)</f>
        <v>100</v>
      </c>
      <c r="AL52" s="47">
        <f>ROUND(供應率ALL!AF14,1)</f>
        <v>0</v>
      </c>
      <c r="AM52" s="47">
        <f>ROUND(供應率ALL!AG14,1)</f>
        <v>98.7</v>
      </c>
      <c r="AN52" s="214">
        <f>ROUND(供應率ALL!AH14,1)</f>
        <v>94.2</v>
      </c>
      <c r="AO52" s="48"/>
    </row>
    <row r="53" spans="1:41" s="14" customFormat="1" ht="21.95" customHeight="1">
      <c r="A53" s="626" t="s">
        <v>28</v>
      </c>
      <c r="B53" s="627"/>
      <c r="C53" s="628"/>
      <c r="D53" s="44">
        <f>HLOOKUP(MONTH(日期!$C$2),去年月推移!$D$1:$O$200,111,TRUE)</f>
        <v>0</v>
      </c>
      <c r="E53" s="50"/>
      <c r="F53" s="51"/>
      <c r="G53" s="637">
        <f>ROUND(當年月推移!P112,1)</f>
        <v>0</v>
      </c>
      <c r="H53" s="638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100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100</v>
      </c>
      <c r="AO53" s="48"/>
    </row>
    <row r="54" spans="1:41" s="42" customFormat="1" ht="21.95" customHeight="1" thickBot="1">
      <c r="A54" s="579" t="s">
        <v>50</v>
      </c>
      <c r="B54" s="580"/>
      <c r="C54" s="580"/>
      <c r="D54" s="231">
        <f>HLOOKUP(MONTH(日期!$C$2),去年月推移!$D$1:$O$200,112,TRUE)</f>
        <v>97.630964000000006</v>
      </c>
      <c r="E54" s="52"/>
      <c r="F54" s="53" t="s">
        <v>45</v>
      </c>
      <c r="G54" s="629">
        <f>ROUND(當年月推移!P113,1)</f>
        <v>97</v>
      </c>
      <c r="H54" s="630"/>
      <c r="I54" s="242">
        <f>ROUND(供應率ALL!C16,1)</f>
        <v>97.5</v>
      </c>
      <c r="J54" s="242">
        <f>ROUND(供應率ALL!D16,1)</f>
        <v>0</v>
      </c>
      <c r="K54" s="242">
        <f>ROUND(供應率ALL!E16,1)</f>
        <v>97.3</v>
      </c>
      <c r="L54" s="242">
        <f>ROUND(供應率ALL!F16,1)</f>
        <v>97.4</v>
      </c>
      <c r="M54" s="242">
        <f>ROUND(供應率ALL!G16,1)</f>
        <v>97</v>
      </c>
      <c r="N54" s="242">
        <f>ROUND(供應率ALL!H16,1)</f>
        <v>96.8</v>
      </c>
      <c r="O54" s="242">
        <f>ROUND(供應率ALL!I16,1)</f>
        <v>95.3</v>
      </c>
      <c r="P54" s="242">
        <f>ROUND(供應率ALL!J16,1)</f>
        <v>97.2</v>
      </c>
      <c r="Q54" s="242">
        <f>ROUND(供應率ALL!K16,1)</f>
        <v>0</v>
      </c>
      <c r="R54" s="242">
        <f>ROUND(供應率ALL!L16,1)</f>
        <v>97.3</v>
      </c>
      <c r="S54" s="242">
        <f>ROUND(供應率ALL!M16,1)</f>
        <v>97.9</v>
      </c>
      <c r="T54" s="242">
        <f>ROUND(供應率ALL!N16,1)</f>
        <v>98.3</v>
      </c>
      <c r="U54" s="242">
        <f>ROUND(供應率ALL!O16,1)</f>
        <v>97.1</v>
      </c>
      <c r="V54" s="242">
        <f>ROUND(供應率ALL!P16,1)</f>
        <v>97.9</v>
      </c>
      <c r="W54" s="242">
        <f>ROUND(供應率ALL!Q16,1)</f>
        <v>98.5</v>
      </c>
      <c r="X54" s="242">
        <f>ROUND(供應率ALL!R16,1)</f>
        <v>0</v>
      </c>
      <c r="Y54" s="242">
        <f>ROUND(供應率ALL!S16,1)</f>
        <v>97.9</v>
      </c>
      <c r="Z54" s="242">
        <f>ROUND(供應率ALL!T16,1)</f>
        <v>98</v>
      </c>
      <c r="AA54" s="242">
        <f>ROUND(供應率ALL!U16,1)</f>
        <v>98.3</v>
      </c>
      <c r="AB54" s="242">
        <f>ROUND(供應率ALL!V16,1)</f>
        <v>95.7</v>
      </c>
      <c r="AC54" s="242">
        <f>ROUND(供應率ALL!W16,1)</f>
        <v>97</v>
      </c>
      <c r="AD54" s="242">
        <f>ROUND(供應率ALL!X16,1)</f>
        <v>97.8</v>
      </c>
      <c r="AE54" s="242">
        <f>ROUND(供應率ALL!Y16,1)</f>
        <v>0</v>
      </c>
      <c r="AF54" s="242">
        <f>ROUND(供應率ALL!Z16,1)</f>
        <v>97.6</v>
      </c>
      <c r="AG54" s="242">
        <f>ROUND(供應率ALL!AA16,1)</f>
        <v>98.2</v>
      </c>
      <c r="AH54" s="242">
        <f>ROUND(供應率ALL!AB16,1)</f>
        <v>98.6</v>
      </c>
      <c r="AI54" s="242">
        <f>ROUND(供應率ALL!AC16,1)</f>
        <v>98.4</v>
      </c>
      <c r="AJ54" s="242">
        <f>ROUND(供應率ALL!AD16,1)</f>
        <v>98.4</v>
      </c>
      <c r="AK54" s="242">
        <f>ROUND(供應率ALL!AE16,1)</f>
        <v>98.8</v>
      </c>
      <c r="AL54" s="242">
        <f>ROUND(供應率ALL!AF16,1)</f>
        <v>0</v>
      </c>
      <c r="AM54" s="242">
        <f>ROUND(供應率ALL!AG16,1)</f>
        <v>98.4</v>
      </c>
      <c r="AN54" s="215">
        <f>ROUND(供應率ALL!AH16,1)</f>
        <v>97.7</v>
      </c>
      <c r="AO54" s="54"/>
    </row>
    <row r="55" spans="1:41" s="42" customFormat="1" ht="21.95" customHeight="1">
      <c r="A55" s="623" t="s">
        <v>31</v>
      </c>
      <c r="B55" s="624"/>
      <c r="C55" s="625"/>
      <c r="D55" s="272">
        <f>HLOOKUP(MONTH(日期!$C$2),去年月推移!$D$1:$O$200,113,TRUE)</f>
        <v>0</v>
      </c>
      <c r="E55" s="267"/>
      <c r="F55" s="267"/>
      <c r="G55" s="590">
        <f>ROUND(當年月推移!P114,1)</f>
        <v>0</v>
      </c>
      <c r="H55" s="591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626" t="s">
        <v>32</v>
      </c>
      <c r="B56" s="627"/>
      <c r="C56" s="628"/>
      <c r="D56" s="49">
        <f>HLOOKUP(MONTH(日期!$C$2),去年月推移!$D$1:$O$200,114,TRUE)</f>
        <v>0</v>
      </c>
      <c r="E56" s="268"/>
      <c r="F56" s="268"/>
      <c r="G56" s="590">
        <f>ROUND(當年月推移!P115,1)</f>
        <v>0</v>
      </c>
      <c r="H56" s="591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626" t="s">
        <v>33</v>
      </c>
      <c r="B57" s="627"/>
      <c r="C57" s="628"/>
      <c r="D57" s="49">
        <f>HLOOKUP(MONTH(日期!$C$2),去年月推移!$D$1:$O$200,115,TRUE)</f>
        <v>0</v>
      </c>
      <c r="E57" s="268"/>
      <c r="F57" s="268"/>
      <c r="G57" s="590">
        <f>ROUND(當年月推移!P116,1)</f>
        <v>0</v>
      </c>
      <c r="H57" s="591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626" t="s">
        <v>34</v>
      </c>
      <c r="B58" s="627"/>
      <c r="C58" s="628"/>
      <c r="D58" s="49">
        <f>HLOOKUP(MONTH(日期!$C$2),去年月推移!$D$1:$O$200,116,TRUE)</f>
        <v>0</v>
      </c>
      <c r="E58" s="268"/>
      <c r="F58" s="268"/>
      <c r="G58" s="590">
        <f>ROUND(當年月推移!P117,1)</f>
        <v>0</v>
      </c>
      <c r="H58" s="591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626" t="s">
        <v>35</v>
      </c>
      <c r="B59" s="627"/>
      <c r="C59" s="628"/>
      <c r="D59" s="243">
        <f>HLOOKUP(MONTH(日期!$C$2),去年月推移!$D$1:$O$200,117,TRUE)</f>
        <v>0</v>
      </c>
      <c r="E59" s="297"/>
      <c r="F59" s="297"/>
      <c r="G59" s="590">
        <f>ROUND(當年月推移!P118,1)</f>
        <v>0</v>
      </c>
      <c r="H59" s="591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57" t="s">
        <v>30</v>
      </c>
      <c r="B60" s="558"/>
      <c r="C60" s="559"/>
      <c r="D60" s="523">
        <f>HLOOKUP(MONTH(日期!$C$2),去年月推移!$D$1:$O$200,118,TRUE)</f>
        <v>0</v>
      </c>
      <c r="E60" s="231"/>
      <c r="F60" s="231"/>
      <c r="G60" s="629">
        <f>ROUND(當年月推移!P119,1)</f>
        <v>83.1</v>
      </c>
      <c r="H60" s="630"/>
      <c r="I60" s="242">
        <f>ROUND(供應率ALL!C21,1)</f>
        <v>100</v>
      </c>
      <c r="J60" s="242">
        <f>ROUND(供應率ALL!D21,1)</f>
        <v>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90.3</v>
      </c>
      <c r="N60" s="242">
        <f>ROUND(供應率ALL!H21,1)</f>
        <v>5.5</v>
      </c>
      <c r="O60" s="242">
        <f>ROUND(供應率ALL!I21,1)</f>
        <v>16.600000000000001</v>
      </c>
      <c r="P60" s="242">
        <f>ROUND(供應率ALL!J21,1)</f>
        <v>100</v>
      </c>
      <c r="Q60" s="242">
        <f>ROUND(供應率ALL!K21,1)</f>
        <v>0</v>
      </c>
      <c r="R60" s="242">
        <f>ROUND(供應率ALL!L21,1)</f>
        <v>88.8</v>
      </c>
      <c r="S60" s="242">
        <f>ROUND(供應率ALL!M21,1)</f>
        <v>96.2</v>
      </c>
      <c r="T60" s="242">
        <f>ROUND(供應率ALL!N21,1)</f>
        <v>96.7</v>
      </c>
      <c r="U60" s="242">
        <f>ROUND(供應率ALL!O21,1)</f>
        <v>92.5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53.3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0</v>
      </c>
      <c r="AM60" s="242">
        <f>ROUND(供應率ALL!AG21,1)</f>
        <v>100</v>
      </c>
      <c r="AN60" s="271">
        <f>ROUND(供應率ALL!AH21,1)</f>
        <v>90.7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6"/>
      <c r="H62" s="50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96" t="s">
        <v>1</v>
      </c>
      <c r="B63" s="597"/>
      <c r="C63" s="597"/>
      <c r="D63" s="600" t="str">
        <f>D3</f>
        <v>2024/3</v>
      </c>
      <c r="E63" s="633" t="str">
        <f>E3</f>
        <v>2025/3</v>
      </c>
      <c r="F63" s="635"/>
      <c r="G63" s="662">
        <f>YEAR(日期!C2)</f>
        <v>2025</v>
      </c>
      <c r="H63" s="663"/>
      <c r="I63" s="527" t="str">
        <f>日期!C2</f>
        <v>2025/03/01</v>
      </c>
      <c r="J63" s="527" t="str">
        <f>日期!D2</f>
        <v>2025/03/02</v>
      </c>
      <c r="K63" s="527" t="str">
        <f>日期!E2</f>
        <v>2025/03/03</v>
      </c>
      <c r="L63" s="527" t="str">
        <f>日期!F2</f>
        <v>2025/03/04</v>
      </c>
      <c r="M63" s="527" t="str">
        <f>日期!G2</f>
        <v>2025/03/05</v>
      </c>
      <c r="N63" s="527" t="str">
        <f>日期!H2</f>
        <v>2025/03/06</v>
      </c>
      <c r="O63" s="527" t="str">
        <f>日期!I2</f>
        <v>2025/03/07</v>
      </c>
      <c r="P63" s="527" t="str">
        <f>日期!J2</f>
        <v>2025/03/08</v>
      </c>
      <c r="Q63" s="527" t="str">
        <f>日期!K2</f>
        <v>2025/03/09</v>
      </c>
      <c r="R63" s="527" t="str">
        <f>日期!L2</f>
        <v>2025/03/10</v>
      </c>
      <c r="S63" s="527" t="str">
        <f>日期!M2</f>
        <v>2025/03/11</v>
      </c>
      <c r="T63" s="527" t="str">
        <f>日期!N2</f>
        <v>2025/03/12</v>
      </c>
      <c r="U63" s="527" t="str">
        <f>日期!O2</f>
        <v>2025/03/13</v>
      </c>
      <c r="V63" s="527" t="str">
        <f>日期!P2</f>
        <v>2025/03/14</v>
      </c>
      <c r="W63" s="527" t="str">
        <f>日期!Q2</f>
        <v>2025/03/15</v>
      </c>
      <c r="X63" s="527" t="str">
        <f>日期!R2</f>
        <v>2025/03/16</v>
      </c>
      <c r="Y63" s="527" t="str">
        <f>日期!S2</f>
        <v>2025/03/17</v>
      </c>
      <c r="Z63" s="527" t="str">
        <f>日期!T2</f>
        <v>2025/03/18</v>
      </c>
      <c r="AA63" s="527" t="str">
        <f>日期!U2</f>
        <v>2025/03/19</v>
      </c>
      <c r="AB63" s="527" t="str">
        <f>日期!V2</f>
        <v>2025/03/20</v>
      </c>
      <c r="AC63" s="527" t="str">
        <f>日期!W2</f>
        <v>2025/03/21</v>
      </c>
      <c r="AD63" s="527" t="str">
        <f>日期!X2</f>
        <v>2025/03/22</v>
      </c>
      <c r="AE63" s="527" t="str">
        <f>日期!Y2</f>
        <v>2025/03/23</v>
      </c>
      <c r="AF63" s="527" t="str">
        <f>日期!Z2</f>
        <v>2025/03/24</v>
      </c>
      <c r="AG63" s="527" t="str">
        <f>日期!AA2</f>
        <v>2025/03/25</v>
      </c>
      <c r="AH63" s="527" t="str">
        <f>日期!AB2</f>
        <v>2025/03/26</v>
      </c>
      <c r="AI63" s="527" t="str">
        <f>日期!AC2</f>
        <v>2025/03/27</v>
      </c>
      <c r="AJ63" s="527" t="str">
        <f>日期!AD2</f>
        <v>2025/03/28</v>
      </c>
      <c r="AK63" s="527" t="str">
        <f>日期!AE2</f>
        <v>2025/03/29</v>
      </c>
      <c r="AL63" s="527" t="str">
        <f>日期!AF2</f>
        <v>2025/03/30</v>
      </c>
      <c r="AM63" s="527" t="str">
        <f>日期!AG2</f>
        <v>2025/03/31</v>
      </c>
      <c r="AN63" s="592" t="s">
        <v>42</v>
      </c>
    </row>
    <row r="64" spans="1:41" s="14" customFormat="1" ht="22.7" customHeight="1" thickBot="1">
      <c r="A64" s="631"/>
      <c r="B64" s="632"/>
      <c r="C64" s="632"/>
      <c r="D64" s="601"/>
      <c r="E64" s="634"/>
      <c r="F64" s="636"/>
      <c r="G64" s="664" t="s">
        <v>43</v>
      </c>
      <c r="H64" s="665"/>
      <c r="I64" s="12" t="str">
        <f>日期!C3</f>
        <v>Sat</v>
      </c>
      <c r="J64" s="12" t="str">
        <f>日期!D3</f>
        <v>Sun</v>
      </c>
      <c r="K64" s="12" t="str">
        <f>日期!E3</f>
        <v>Mon</v>
      </c>
      <c r="L64" s="12" t="str">
        <f>日期!F3</f>
        <v>Tue</v>
      </c>
      <c r="M64" s="12" t="str">
        <f>日期!G3</f>
        <v>Wed</v>
      </c>
      <c r="N64" s="12" t="str">
        <f>日期!H3</f>
        <v>Thu</v>
      </c>
      <c r="O64" s="12" t="str">
        <f>日期!I3</f>
        <v>Fri</v>
      </c>
      <c r="P64" s="12" t="str">
        <f>日期!J3</f>
        <v>Sat</v>
      </c>
      <c r="Q64" s="12" t="str">
        <f>日期!K3</f>
        <v>Sun</v>
      </c>
      <c r="R64" s="12" t="str">
        <f>日期!L3</f>
        <v>Mon</v>
      </c>
      <c r="S64" s="12" t="str">
        <f>日期!M3</f>
        <v>Tue</v>
      </c>
      <c r="T64" s="12" t="str">
        <f>日期!N3</f>
        <v>Wed</v>
      </c>
      <c r="U64" s="12" t="str">
        <f>日期!O3</f>
        <v>Thu</v>
      </c>
      <c r="V64" s="12" t="str">
        <f>日期!P3</f>
        <v>Fri</v>
      </c>
      <c r="W64" s="12" t="str">
        <f>日期!Q3</f>
        <v>Sat</v>
      </c>
      <c r="X64" s="12" t="str">
        <f>日期!R3</f>
        <v>Sun</v>
      </c>
      <c r="Y64" s="12" t="str">
        <f>日期!S3</f>
        <v>Mon</v>
      </c>
      <c r="Z64" s="12" t="str">
        <f>日期!T3</f>
        <v>Tue</v>
      </c>
      <c r="AA64" s="12" t="str">
        <f>日期!U3</f>
        <v>Wed</v>
      </c>
      <c r="AB64" s="12" t="str">
        <f>日期!V3</f>
        <v>Thu</v>
      </c>
      <c r="AC64" s="12" t="str">
        <f>日期!W3</f>
        <v>Fri</v>
      </c>
      <c r="AD64" s="12" t="str">
        <f>日期!X3</f>
        <v>Sat</v>
      </c>
      <c r="AE64" s="12" t="str">
        <f>日期!Y3</f>
        <v>Sun</v>
      </c>
      <c r="AF64" s="12" t="str">
        <f>日期!Z3</f>
        <v>Mon</v>
      </c>
      <c r="AG64" s="12" t="str">
        <f>日期!AA3</f>
        <v>Tue</v>
      </c>
      <c r="AH64" s="12" t="str">
        <f>日期!AB3</f>
        <v>Wed</v>
      </c>
      <c r="AI64" s="12" t="str">
        <f>日期!AC3</f>
        <v>Thu</v>
      </c>
      <c r="AJ64" s="12" t="str">
        <f>日期!AD3</f>
        <v>Fri</v>
      </c>
      <c r="AK64" s="12" t="str">
        <f>日期!AE3</f>
        <v>Sat</v>
      </c>
      <c r="AL64" s="12" t="str">
        <f>日期!AF3</f>
        <v>Sun</v>
      </c>
      <c r="AM64" s="12" t="str">
        <f>日期!AG3</f>
        <v>Mon</v>
      </c>
      <c r="AN64" s="593"/>
    </row>
    <row r="65" spans="1:41" s="11" customFormat="1" ht="21.95" customHeight="1">
      <c r="A65" s="619" t="s">
        <v>52</v>
      </c>
      <c r="B65" s="620"/>
      <c r="C65" s="620"/>
      <c r="D65" s="313">
        <f>HLOOKUP(MONTH(日期!$C$2),去年月推移!$D$1:$O$200,122,TRUE)</f>
        <v>98.774314000000004</v>
      </c>
      <c r="E65" s="272">
        <v>98</v>
      </c>
      <c r="F65" s="272" t="s">
        <v>45</v>
      </c>
      <c r="G65" s="621">
        <f>ROUND(當年月推移!P124,1)</f>
        <v>97.9</v>
      </c>
      <c r="H65" s="622"/>
      <c r="I65" s="245">
        <f>ROUND(供應率!D2,1)</f>
        <v>98.8</v>
      </c>
      <c r="J65" s="245">
        <f>ROUND(供應率!E2,1)</f>
        <v>0</v>
      </c>
      <c r="K65" s="245">
        <f>ROUND(供應率!F2,1)</f>
        <v>98.4</v>
      </c>
      <c r="L65" s="245">
        <f>ROUND(供應率!G2,1)</f>
        <v>98.5</v>
      </c>
      <c r="M65" s="245">
        <f>ROUND(供應率!H2,1)</f>
        <v>98.3</v>
      </c>
      <c r="N65" s="245">
        <f>ROUND(供應率!I2,1)</f>
        <v>98.3</v>
      </c>
      <c r="O65" s="245">
        <f>ROUND(供應率!J2,1)</f>
        <v>98.8</v>
      </c>
      <c r="P65" s="245">
        <f>ROUND(供應率!K2,1)</f>
        <v>98.2</v>
      </c>
      <c r="Q65" s="245">
        <f>ROUND(供應率!L2,1)</f>
        <v>0</v>
      </c>
      <c r="R65" s="245">
        <f>ROUND(供應率!M2,1)</f>
        <v>98.2</v>
      </c>
      <c r="S65" s="245">
        <f>ROUND(供應率!N2,1)</f>
        <v>98.1</v>
      </c>
      <c r="T65" s="245">
        <f>ROUND(供應率!O2,1)</f>
        <v>98.6</v>
      </c>
      <c r="U65" s="245">
        <f>ROUND(供應率!P2,1)</f>
        <v>98.4</v>
      </c>
      <c r="V65" s="245">
        <f>ROUND(供應率!Q2,1)</f>
        <v>98.7</v>
      </c>
      <c r="W65" s="245">
        <f>ROUND(供應率!R2,1)</f>
        <v>98.2</v>
      </c>
      <c r="X65" s="245">
        <f>ROUND(供應率!S2,1)</f>
        <v>0</v>
      </c>
      <c r="Y65" s="245">
        <f>ROUND(供應率!T2,1)</f>
        <v>98.5</v>
      </c>
      <c r="Z65" s="245">
        <f>ROUND(供應率!U2,1)</f>
        <v>98.7</v>
      </c>
      <c r="AA65" s="245">
        <f>ROUND(供應率!V2,1)</f>
        <v>98.6</v>
      </c>
      <c r="AB65" s="245">
        <f>ROUND(供應率!W2,1)</f>
        <v>98.3</v>
      </c>
      <c r="AC65" s="245">
        <f>ROUND(供應率!X2,1)</f>
        <v>99</v>
      </c>
      <c r="AD65" s="245">
        <f>ROUND(供應率!Y2,1)</f>
        <v>99.2</v>
      </c>
      <c r="AE65" s="245">
        <f>ROUND(供應率!Z2,1)</f>
        <v>0</v>
      </c>
      <c r="AF65" s="245">
        <f>ROUND(供應率!AA2,1)</f>
        <v>98.7</v>
      </c>
      <c r="AG65" s="245">
        <f>ROUND(供應率!AB2,1)</f>
        <v>99.2</v>
      </c>
      <c r="AH65" s="245">
        <f>ROUND(供應率!AC2,1)</f>
        <v>98.6</v>
      </c>
      <c r="AI65" s="245">
        <f>ROUND(供應率!AD2,1)</f>
        <v>98.7</v>
      </c>
      <c r="AJ65" s="245">
        <f>ROUND(供應率!AE2,1)</f>
        <v>98.6</v>
      </c>
      <c r="AK65" s="245">
        <f>ROUND(供應率!AF2,1)</f>
        <v>99.1</v>
      </c>
      <c r="AL65" s="245">
        <f>ROUND(供應率!AG2,1)</f>
        <v>0</v>
      </c>
      <c r="AM65" s="245">
        <f>ROUND(供應率!AH2,1)</f>
        <v>99.3</v>
      </c>
      <c r="AN65" s="213">
        <f>ROUND(供應率!AI2,1)</f>
        <v>98.6</v>
      </c>
      <c r="AO65" s="55"/>
    </row>
    <row r="66" spans="1:41" s="11" customFormat="1" ht="21.95" customHeight="1">
      <c r="A66" s="572" t="s">
        <v>53</v>
      </c>
      <c r="B66" s="573"/>
      <c r="C66" s="573"/>
      <c r="D66" s="311">
        <f>HLOOKUP(MONTH(日期!$C$2),去年月推移!$D$1:$O$200,123,TRUE)</f>
        <v>98.546333000000004</v>
      </c>
      <c r="E66" s="49">
        <v>98</v>
      </c>
      <c r="F66" s="49" t="s">
        <v>45</v>
      </c>
      <c r="G66" s="590">
        <f>ROUND(當年月推移!P125,1)</f>
        <v>98.4</v>
      </c>
      <c r="H66" s="591"/>
      <c r="I66" s="47">
        <f>ROUND(供應率!D3,1)</f>
        <v>98.5</v>
      </c>
      <c r="J66" s="47">
        <f>ROUND(供應率!E3,1)</f>
        <v>0</v>
      </c>
      <c r="K66" s="47">
        <f>ROUND(供應率!F3,1)</f>
        <v>98.3</v>
      </c>
      <c r="L66" s="47">
        <f>ROUND(供應率!G3,1)</f>
        <v>98.7</v>
      </c>
      <c r="M66" s="47">
        <f>ROUND(供應率!H3,1)</f>
        <v>98.5</v>
      </c>
      <c r="N66" s="47">
        <f>ROUND(供應率!I3,1)</f>
        <v>98.7</v>
      </c>
      <c r="O66" s="47">
        <f>ROUND(供應率!J3,1)</f>
        <v>98.4</v>
      </c>
      <c r="P66" s="47">
        <f>ROUND(供應率!K3,1)</f>
        <v>98.4</v>
      </c>
      <c r="Q66" s="47">
        <f>ROUND(供應率!L3,1)</f>
        <v>0</v>
      </c>
      <c r="R66" s="47">
        <f>ROUND(供應率!M3,1)</f>
        <v>98.3</v>
      </c>
      <c r="S66" s="47">
        <f>ROUND(供應率!N3,1)</f>
        <v>98.7</v>
      </c>
      <c r="T66" s="47">
        <f>ROUND(供應率!O3,1)</f>
        <v>98.6</v>
      </c>
      <c r="U66" s="47">
        <f>ROUND(供應率!P3,1)</f>
        <v>98.8</v>
      </c>
      <c r="V66" s="47">
        <f>ROUND(供應率!Q3,1)</f>
        <v>99.2</v>
      </c>
      <c r="W66" s="47">
        <f>ROUND(供應率!R3,1)</f>
        <v>98.2</v>
      </c>
      <c r="X66" s="47">
        <f>ROUND(供應率!S3,1)</f>
        <v>0</v>
      </c>
      <c r="Y66" s="47">
        <f>ROUND(供應率!T3,1)</f>
        <v>98.6</v>
      </c>
      <c r="Z66" s="47">
        <f>ROUND(供應率!U3,1)</f>
        <v>98.8</v>
      </c>
      <c r="AA66" s="47">
        <f>ROUND(供應率!V3,1)</f>
        <v>98.5</v>
      </c>
      <c r="AB66" s="47">
        <f>ROUND(供應率!W3,1)</f>
        <v>98.7</v>
      </c>
      <c r="AC66" s="47">
        <f>ROUND(供應率!X3,1)</f>
        <v>98.6</v>
      </c>
      <c r="AD66" s="47">
        <f>ROUND(供應率!Y3,1)</f>
        <v>98.7</v>
      </c>
      <c r="AE66" s="47">
        <f>ROUND(供應率!Z3,1)</f>
        <v>0</v>
      </c>
      <c r="AF66" s="47">
        <f>ROUND(供應率!AA3,1)</f>
        <v>99</v>
      </c>
      <c r="AG66" s="47">
        <f>ROUND(供應率!AB3,1)</f>
        <v>98.9</v>
      </c>
      <c r="AH66" s="47">
        <f>ROUND(供應率!AC3,1)</f>
        <v>98.5</v>
      </c>
      <c r="AI66" s="47">
        <f>ROUND(供應率!AD3,1)</f>
        <v>98.6</v>
      </c>
      <c r="AJ66" s="47">
        <f>ROUND(供應率!AE3,1)</f>
        <v>98.6</v>
      </c>
      <c r="AK66" s="47">
        <f>ROUND(供應率!AF3,1)</f>
        <v>98.4</v>
      </c>
      <c r="AL66" s="47">
        <f>ROUND(供應率!AG3,1)</f>
        <v>0</v>
      </c>
      <c r="AM66" s="47">
        <f>ROUND(供應率!AH3,1)</f>
        <v>98.8</v>
      </c>
      <c r="AN66" s="214">
        <f>ROUND(供應率!AI3,1)</f>
        <v>98.6</v>
      </c>
      <c r="AO66" s="55"/>
    </row>
    <row r="67" spans="1:41" s="11" customFormat="1" ht="21.95" customHeight="1">
      <c r="A67" s="572" t="s">
        <v>54</v>
      </c>
      <c r="B67" s="573"/>
      <c r="C67" s="573"/>
      <c r="D67" s="311">
        <f>HLOOKUP(MONTH(日期!$C$2),去年月推移!$D$1:$O$200,124,TRUE)</f>
        <v>99.290978999999993</v>
      </c>
      <c r="E67" s="49">
        <v>99.2</v>
      </c>
      <c r="F67" s="49" t="s">
        <v>45</v>
      </c>
      <c r="G67" s="590">
        <f>ROUND(當年月推移!P126,1)</f>
        <v>99.3</v>
      </c>
      <c r="H67" s="591"/>
      <c r="I67" s="47">
        <f>ROUND(供應率!D4,1)</f>
        <v>98.6</v>
      </c>
      <c r="J67" s="47">
        <f>ROUND(供應率!E4,1)</f>
        <v>0</v>
      </c>
      <c r="K67" s="47">
        <f>ROUND(供應率!F4,1)</f>
        <v>98.7</v>
      </c>
      <c r="L67" s="47">
        <f>ROUND(供應率!G4,1)</f>
        <v>99.2</v>
      </c>
      <c r="M67" s="47">
        <f>ROUND(供應率!H4,1)</f>
        <v>99.2</v>
      </c>
      <c r="N67" s="47">
        <f>ROUND(供應率!I4,1)</f>
        <v>99.3</v>
      </c>
      <c r="O67" s="47">
        <f>ROUND(供應率!J4,1)</f>
        <v>99.1</v>
      </c>
      <c r="P67" s="47">
        <f>ROUND(供應率!K4,1)</f>
        <v>100</v>
      </c>
      <c r="Q67" s="47">
        <f>ROUND(供應率!L4,1)</f>
        <v>0</v>
      </c>
      <c r="R67" s="47">
        <f>ROUND(供應率!M4,1)</f>
        <v>99.6</v>
      </c>
      <c r="S67" s="47">
        <f>ROUND(供應率!N4,1)</f>
        <v>99.6</v>
      </c>
      <c r="T67" s="47">
        <f>ROUND(供應率!O4,1)</f>
        <v>99.3</v>
      </c>
      <c r="U67" s="47">
        <f>ROUND(供應率!P4,1)</f>
        <v>99.9</v>
      </c>
      <c r="V67" s="47">
        <f>ROUND(供應率!Q4,1)</f>
        <v>99.5</v>
      </c>
      <c r="W67" s="47">
        <f>ROUND(供應率!R4,1)</f>
        <v>99.7</v>
      </c>
      <c r="X67" s="47">
        <f>ROUND(供應率!S4,1)</f>
        <v>0</v>
      </c>
      <c r="Y67" s="47">
        <f>ROUND(供應率!T4,1)</f>
        <v>99.4</v>
      </c>
      <c r="Z67" s="47">
        <f>ROUND(供應率!U4,1)</f>
        <v>99.5</v>
      </c>
      <c r="AA67" s="47">
        <f>ROUND(供應率!V4,1)</f>
        <v>99.2</v>
      </c>
      <c r="AB67" s="47">
        <f>ROUND(供應率!W4,1)</f>
        <v>99</v>
      </c>
      <c r="AC67" s="47">
        <f>ROUND(供應率!X4,1)</f>
        <v>99.1</v>
      </c>
      <c r="AD67" s="47">
        <f>ROUND(供應率!Y4,1)</f>
        <v>99.9</v>
      </c>
      <c r="AE67" s="47">
        <f>ROUND(供應率!Z4,1)</f>
        <v>0</v>
      </c>
      <c r="AF67" s="47">
        <f>ROUND(供應率!AA4,1)</f>
        <v>99.4</v>
      </c>
      <c r="AG67" s="47">
        <f>ROUND(供應率!AB4,1)</f>
        <v>98.8</v>
      </c>
      <c r="AH67" s="47">
        <f>ROUND(供應率!AC4,1)</f>
        <v>99.4</v>
      </c>
      <c r="AI67" s="47">
        <f>ROUND(供應率!AD4,1)</f>
        <v>99.8</v>
      </c>
      <c r="AJ67" s="47">
        <f>ROUND(供應率!AE4,1)</f>
        <v>99.6</v>
      </c>
      <c r="AK67" s="47">
        <f>ROUND(供應率!AF4,1)</f>
        <v>99.8</v>
      </c>
      <c r="AL67" s="47">
        <f>ROUND(供應率!AG4,1)</f>
        <v>0</v>
      </c>
      <c r="AM67" s="47">
        <f>ROUND(供應率!AH4,1)</f>
        <v>99.2</v>
      </c>
      <c r="AN67" s="214">
        <f>ROUND(供應率!AI4,1)</f>
        <v>99.4</v>
      </c>
      <c r="AO67" s="55"/>
    </row>
    <row r="68" spans="1:41" s="11" customFormat="1" ht="21.95" customHeight="1">
      <c r="A68" s="607" t="s">
        <v>55</v>
      </c>
      <c r="B68" s="608"/>
      <c r="C68" s="609"/>
      <c r="D68" s="319">
        <f>HLOOKUP(MONTH(日期!$C$2),去年月推移!$D$1:$O$200,125,TRUE)</f>
        <v>98.713871999999995</v>
      </c>
      <c r="E68" s="56">
        <v>98.1</v>
      </c>
      <c r="F68" s="56" t="s">
        <v>45</v>
      </c>
      <c r="G68" s="610">
        <f>ROUND(當年月推移!P127,1)</f>
        <v>98.3</v>
      </c>
      <c r="H68" s="611"/>
      <c r="I68" s="57">
        <f>ROUND(供應率!D5,1)</f>
        <v>98.7</v>
      </c>
      <c r="J68" s="57">
        <f>ROUND(供應率!E5,1)</f>
        <v>0</v>
      </c>
      <c r="K68" s="57">
        <f>ROUND(供應率!F5,1)</f>
        <v>98.4</v>
      </c>
      <c r="L68" s="57">
        <f>ROUND(供應率!G5,1)</f>
        <v>98.7</v>
      </c>
      <c r="M68" s="57">
        <f>ROUND(供應率!H5,1)</f>
        <v>98.5</v>
      </c>
      <c r="N68" s="57">
        <f>ROUND(供應率!I5,1)</f>
        <v>98.6</v>
      </c>
      <c r="O68" s="57">
        <f>ROUND(供應率!J5,1)</f>
        <v>98.7</v>
      </c>
      <c r="P68" s="57">
        <f>ROUND(供應率!K5,1)</f>
        <v>98.5</v>
      </c>
      <c r="Q68" s="57">
        <f>ROUND(供應率!L5,1)</f>
        <v>0</v>
      </c>
      <c r="R68" s="57">
        <f>ROUND(供應率!M5,1)</f>
        <v>98.4</v>
      </c>
      <c r="S68" s="57">
        <f>ROUND(供應率!N5,1)</f>
        <v>98.5</v>
      </c>
      <c r="T68" s="57">
        <f>ROUND(供應率!O5,1)</f>
        <v>98.7</v>
      </c>
      <c r="U68" s="57">
        <f>ROUND(供應率!P5,1)</f>
        <v>98.7</v>
      </c>
      <c r="V68" s="57">
        <f>ROUND(供應率!Q5,1)</f>
        <v>99</v>
      </c>
      <c r="W68" s="57">
        <f>ROUND(供應率!R5,1)</f>
        <v>98.4</v>
      </c>
      <c r="X68" s="57">
        <f>ROUND(供應率!S5,1)</f>
        <v>0</v>
      </c>
      <c r="Y68" s="57">
        <f>ROUND(供應率!T5,1)</f>
        <v>98.6</v>
      </c>
      <c r="Z68" s="57">
        <f>ROUND(供應率!U5,1)</f>
        <v>98.8</v>
      </c>
      <c r="AA68" s="57">
        <f>ROUND(供應率!V5,1)</f>
        <v>98.6</v>
      </c>
      <c r="AB68" s="57">
        <f>ROUND(供應率!W5,1)</f>
        <v>98.6</v>
      </c>
      <c r="AC68" s="57">
        <f>ROUND(供應率!X5,1)</f>
        <v>98.8</v>
      </c>
      <c r="AD68" s="57">
        <f>ROUND(供應率!Y5,1)</f>
        <v>99.1</v>
      </c>
      <c r="AE68" s="57">
        <f>ROUND(供應率!Z5,1)</f>
        <v>0</v>
      </c>
      <c r="AF68" s="57">
        <f>ROUND(供應率!AA5,1)</f>
        <v>98.9</v>
      </c>
      <c r="AG68" s="57">
        <f>ROUND(供應率!AB5,1)</f>
        <v>99</v>
      </c>
      <c r="AH68" s="57">
        <f>ROUND(供應率!AC5,1)</f>
        <v>98.7</v>
      </c>
      <c r="AI68" s="57">
        <f>ROUND(供應率!AD5,1)</f>
        <v>98.8</v>
      </c>
      <c r="AJ68" s="57">
        <f>ROUND(供應率!AE5,1)</f>
        <v>98.7</v>
      </c>
      <c r="AK68" s="57">
        <f>ROUND(供應率!AF5,1)</f>
        <v>98.9</v>
      </c>
      <c r="AL68" s="57">
        <f>ROUND(供應率!AG5,1)</f>
        <v>0</v>
      </c>
      <c r="AM68" s="57">
        <f>ROUND(供應率!AH5,1)</f>
        <v>99.1</v>
      </c>
      <c r="AN68" s="216">
        <f>ROUND(供應率!AI5,1)</f>
        <v>98.7</v>
      </c>
      <c r="AO68" s="55"/>
    </row>
    <row r="69" spans="1:41" s="11" customFormat="1" ht="21.95" customHeight="1">
      <c r="A69" s="572" t="s">
        <v>12</v>
      </c>
      <c r="B69" s="573"/>
      <c r="C69" s="573"/>
      <c r="D69" s="311">
        <f>HLOOKUP(MONTH(日期!$C$2),去年月推移!$D$1:$O$200,126,TRUE)</f>
        <v>100</v>
      </c>
      <c r="E69" s="49">
        <v>99</v>
      </c>
      <c r="F69" s="49" t="s">
        <v>45</v>
      </c>
      <c r="G69" s="590">
        <f>ROUND(當年月推移!P128,1)</f>
        <v>99.5</v>
      </c>
      <c r="H69" s="591"/>
      <c r="I69" s="47">
        <f>ROUND(供應率!D7,1)</f>
        <v>100</v>
      </c>
      <c r="J69" s="47">
        <f>ROUND(供應率!E7,1)</f>
        <v>0</v>
      </c>
      <c r="K69" s="47">
        <f>ROUND(供應率!F7,1)</f>
        <v>99.8</v>
      </c>
      <c r="L69" s="47">
        <f>ROUND(供應率!G7,1)</f>
        <v>100</v>
      </c>
      <c r="M69" s="47">
        <f>ROUND(供應率!H7,1)</f>
        <v>100</v>
      </c>
      <c r="N69" s="47">
        <f>ROUND(供應率!I7,1)</f>
        <v>100</v>
      </c>
      <c r="O69" s="47">
        <f>ROUND(供應率!J7,1)</f>
        <v>100</v>
      </c>
      <c r="P69" s="47">
        <f>ROUND(供應率!K7,1)</f>
        <v>100</v>
      </c>
      <c r="Q69" s="47">
        <f>ROUND(供應率!L7,1)</f>
        <v>0</v>
      </c>
      <c r="R69" s="47">
        <f>ROUND(供應率!M7,1)</f>
        <v>100</v>
      </c>
      <c r="S69" s="47">
        <f>ROUND(供應率!N7,1)</f>
        <v>100</v>
      </c>
      <c r="T69" s="47">
        <f>ROUND(供應率!O7,1)</f>
        <v>100</v>
      </c>
      <c r="U69" s="47">
        <f>ROUND(供應率!P7,1)</f>
        <v>100</v>
      </c>
      <c r="V69" s="47">
        <f>ROUND(供應率!Q7,1)</f>
        <v>100</v>
      </c>
      <c r="W69" s="47">
        <f>ROUND(供應率!R7,1)</f>
        <v>100</v>
      </c>
      <c r="X69" s="47">
        <f>ROUND(供應率!S7,1)</f>
        <v>0</v>
      </c>
      <c r="Y69" s="47">
        <f>ROUND(供應率!T7,1)</f>
        <v>100</v>
      </c>
      <c r="Z69" s="47">
        <f>ROUND(供應率!U7,1)</f>
        <v>100</v>
      </c>
      <c r="AA69" s="47">
        <f>ROUND(供應率!V7,1)</f>
        <v>99.5</v>
      </c>
      <c r="AB69" s="47">
        <f>ROUND(供應率!W7,1)</f>
        <v>100</v>
      </c>
      <c r="AC69" s="47">
        <f>ROUND(供應率!X7,1)</f>
        <v>100</v>
      </c>
      <c r="AD69" s="47">
        <f>ROUND(供應率!Y7,1)</f>
        <v>100</v>
      </c>
      <c r="AE69" s="47">
        <f>ROUND(供應率!Z7,1)</f>
        <v>0</v>
      </c>
      <c r="AF69" s="47">
        <f>ROUND(供應率!AA7,1)</f>
        <v>100</v>
      </c>
      <c r="AG69" s="47">
        <f>ROUND(供應率!AB7,1)</f>
        <v>100</v>
      </c>
      <c r="AH69" s="47">
        <f>ROUND(供應率!AC7,1)</f>
        <v>100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0</v>
      </c>
      <c r="AM69" s="47">
        <f>ROUND(供應率!AH7,1)</f>
        <v>100</v>
      </c>
      <c r="AN69" s="214">
        <f>ROUND(供應率!AI7,1)</f>
        <v>99.9</v>
      </c>
      <c r="AO69" s="55"/>
    </row>
    <row r="70" spans="1:41" s="11" customFormat="1" ht="21.95" customHeight="1">
      <c r="A70" s="572" t="s">
        <v>13</v>
      </c>
      <c r="B70" s="573"/>
      <c r="C70" s="573"/>
      <c r="D70" s="311">
        <f>HLOOKUP(MONTH(日期!$C$2),去年月推移!$D$1:$O$200,127,TRUE)</f>
        <v>49.001175000000003</v>
      </c>
      <c r="E70" s="49">
        <v>70</v>
      </c>
      <c r="F70" s="49" t="s">
        <v>45</v>
      </c>
      <c r="G70" s="590">
        <f>ROUND(當年月推移!P129,1)</f>
        <v>89.2</v>
      </c>
      <c r="H70" s="591"/>
      <c r="I70" s="47">
        <f>ROUND(供應率!D8,1)</f>
        <v>100</v>
      </c>
      <c r="J70" s="47">
        <f>ROUND(供應率!E8,1)</f>
        <v>0</v>
      </c>
      <c r="K70" s="47">
        <f>ROUND(供應率!F8,1)</f>
        <v>100</v>
      </c>
      <c r="L70" s="47">
        <f>ROUND(供應率!G8,1)</f>
        <v>100</v>
      </c>
      <c r="M70" s="47">
        <f>ROUND(供應率!H8,1)</f>
        <v>87.5</v>
      </c>
      <c r="N70" s="47">
        <f>ROUND(供應率!I8,1)</f>
        <v>100</v>
      </c>
      <c r="O70" s="47">
        <f>ROUND(供應率!J8,1)</f>
        <v>100</v>
      </c>
      <c r="P70" s="47">
        <f>ROUND(供應率!K8,1)</f>
        <v>62.5</v>
      </c>
      <c r="Q70" s="47">
        <f>ROUND(供應率!L8,1)</f>
        <v>0</v>
      </c>
      <c r="R70" s="47">
        <f>ROUND(供應率!M8,1)</f>
        <v>71.400000000000006</v>
      </c>
      <c r="S70" s="47">
        <f>ROUND(供應率!N8,1)</f>
        <v>100</v>
      </c>
      <c r="T70" s="47">
        <f>ROUND(供應率!O8,1)</f>
        <v>100</v>
      </c>
      <c r="U70" s="47">
        <f>ROUND(供應率!P8,1)</f>
        <v>75</v>
      </c>
      <c r="V70" s="47">
        <f>ROUND(供應率!Q8,1)</f>
        <v>85.7</v>
      </c>
      <c r="W70" s="47">
        <f>ROUND(供應率!R8,1)</f>
        <v>100</v>
      </c>
      <c r="X70" s="47">
        <f>ROUND(供應率!S8,1)</f>
        <v>0</v>
      </c>
      <c r="Y70" s="47">
        <f>ROUND(供應率!T8,1)</f>
        <v>100</v>
      </c>
      <c r="Z70" s="47">
        <f>ROUND(供應率!U8,1)</f>
        <v>100</v>
      </c>
      <c r="AA70" s="47">
        <f>ROUND(供應率!V8,1)</f>
        <v>100</v>
      </c>
      <c r="AB70" s="47">
        <f>ROUND(供應率!W8,1)</f>
        <v>100</v>
      </c>
      <c r="AC70" s="47">
        <f>ROUND(供應率!X8,1)</f>
        <v>85.7</v>
      </c>
      <c r="AD70" s="47">
        <f>ROUND(供應率!Y8,1)</f>
        <v>100</v>
      </c>
      <c r="AE70" s="47">
        <f>ROUND(供應率!Z8,1)</f>
        <v>0</v>
      </c>
      <c r="AF70" s="47">
        <f>ROUND(供應率!AA8,1)</f>
        <v>100</v>
      </c>
      <c r="AG70" s="47">
        <f>ROUND(供應率!AB8,1)</f>
        <v>85.7</v>
      </c>
      <c r="AH70" s="47">
        <f>ROUND(供應率!AC8,1)</f>
        <v>88.8</v>
      </c>
      <c r="AI70" s="47">
        <f>ROUND(供應率!AD8,1)</f>
        <v>90.9</v>
      </c>
      <c r="AJ70" s="47">
        <f>ROUND(供應率!AE8,1)</f>
        <v>100</v>
      </c>
      <c r="AK70" s="47">
        <f>ROUND(供應率!AF8,1)</f>
        <v>100</v>
      </c>
      <c r="AL70" s="47">
        <f>ROUND(供應率!AG8,1)</f>
        <v>0</v>
      </c>
      <c r="AM70" s="47">
        <f>ROUND(供應率!AH8,1)</f>
        <v>75</v>
      </c>
      <c r="AN70" s="214">
        <f>ROUND(供應率!AI8,1)</f>
        <v>92</v>
      </c>
      <c r="AO70" s="55"/>
    </row>
    <row r="71" spans="1:41" s="11" customFormat="1" ht="21.75" customHeight="1">
      <c r="A71" s="572" t="s">
        <v>14</v>
      </c>
      <c r="B71" s="573"/>
      <c r="C71" s="573"/>
      <c r="D71" s="311">
        <f>HLOOKUP(MONTH(日期!$C$2),去年月推移!$D$1:$O$200,128,TRUE)</f>
        <v>99.502840000000006</v>
      </c>
      <c r="E71" s="49">
        <v>99.1</v>
      </c>
      <c r="F71" s="49" t="s">
        <v>45</v>
      </c>
      <c r="G71" s="590">
        <f>ROUND(當年月推移!P130,1)</f>
        <v>99.4</v>
      </c>
      <c r="H71" s="591"/>
      <c r="I71" s="47">
        <f>ROUND(供應率!D9,1)</f>
        <v>100</v>
      </c>
      <c r="J71" s="47">
        <f>ROUND(供應率!E9,1)</f>
        <v>0</v>
      </c>
      <c r="K71" s="47">
        <f>ROUND(供應率!F9,1)</f>
        <v>99.8</v>
      </c>
      <c r="L71" s="47">
        <f>ROUND(供應率!G9,1)</f>
        <v>99.7</v>
      </c>
      <c r="M71" s="47">
        <f>ROUND(供應率!H9,1)</f>
        <v>99.6</v>
      </c>
      <c r="N71" s="47">
        <f>ROUND(供應率!I9,1)</f>
        <v>99.5</v>
      </c>
      <c r="O71" s="47">
        <f>ROUND(供應率!J9,1)</f>
        <v>99.6</v>
      </c>
      <c r="P71" s="47">
        <f>ROUND(供應率!K9,1)</f>
        <v>99.7</v>
      </c>
      <c r="Q71" s="47">
        <f>ROUND(供應率!L9,1)</f>
        <v>0</v>
      </c>
      <c r="R71" s="47">
        <f>ROUND(供應率!M9,1)</f>
        <v>99.7</v>
      </c>
      <c r="S71" s="47">
        <f>ROUND(供應率!N9,1)</f>
        <v>99</v>
      </c>
      <c r="T71" s="47">
        <f>ROUND(供應率!O9,1)</f>
        <v>99.6</v>
      </c>
      <c r="U71" s="47">
        <f>ROUND(供應率!P9,1)</f>
        <v>99.7</v>
      </c>
      <c r="V71" s="47">
        <f>ROUND(供應率!Q9,1)</f>
        <v>99.6</v>
      </c>
      <c r="W71" s="47">
        <f>ROUND(供應率!R9,1)</f>
        <v>99.6</v>
      </c>
      <c r="X71" s="47">
        <f>ROUND(供應率!S9,1)</f>
        <v>0</v>
      </c>
      <c r="Y71" s="47">
        <f>ROUND(供應率!T9,1)</f>
        <v>98.8</v>
      </c>
      <c r="Z71" s="47">
        <f>ROUND(供應率!U9,1)</f>
        <v>99.5</v>
      </c>
      <c r="AA71" s="47">
        <f>ROUND(供應率!V9,1)</f>
        <v>99</v>
      </c>
      <c r="AB71" s="47">
        <f>ROUND(供應率!W9,1)</f>
        <v>99.5</v>
      </c>
      <c r="AC71" s="47">
        <f>ROUND(供應率!X9,1)</f>
        <v>100</v>
      </c>
      <c r="AD71" s="47">
        <f>ROUND(供應率!Y9,1)</f>
        <v>99.7</v>
      </c>
      <c r="AE71" s="47">
        <f>ROUND(供應率!Z9,1)</f>
        <v>0</v>
      </c>
      <c r="AF71" s="47">
        <f>ROUND(供應率!AA9,1)</f>
        <v>99.1</v>
      </c>
      <c r="AG71" s="47">
        <f>ROUND(供應率!AB9,1)</f>
        <v>99.6</v>
      </c>
      <c r="AH71" s="47">
        <f>ROUND(供應率!AC9,1)</f>
        <v>99</v>
      </c>
      <c r="AI71" s="47">
        <f>ROUND(供應率!AD9,1)</f>
        <v>99.2</v>
      </c>
      <c r="AJ71" s="47">
        <f>ROUND(供應率!AE9,1)</f>
        <v>99.4</v>
      </c>
      <c r="AK71" s="47">
        <f>ROUND(供應率!AF9,1)</f>
        <v>99.6</v>
      </c>
      <c r="AL71" s="47">
        <f>ROUND(供應率!AG9,1)</f>
        <v>0</v>
      </c>
      <c r="AM71" s="47">
        <f>ROUND(供應率!AH9,1)</f>
        <v>99.5</v>
      </c>
      <c r="AN71" s="214">
        <f>ROUND(供應率!AI9,1)</f>
        <v>99.5</v>
      </c>
      <c r="AO71" s="55"/>
    </row>
    <row r="72" spans="1:41" s="11" customFormat="1" ht="21.95" customHeight="1">
      <c r="A72" s="572" t="s">
        <v>56</v>
      </c>
      <c r="B72" s="573"/>
      <c r="C72" s="573"/>
      <c r="D72" s="311">
        <f>HLOOKUP(MONTH(日期!$C$2),[2]去年月推移!$D$1:$O$200,129,TRUE)</f>
        <v>0</v>
      </c>
      <c r="E72" s="49">
        <v>92.3</v>
      </c>
      <c r="F72" s="49" t="s">
        <v>45</v>
      </c>
      <c r="G72" s="590">
        <f>ROUND(當年月推移!P131,1)</f>
        <v>96.1</v>
      </c>
      <c r="H72" s="591"/>
      <c r="I72" s="47">
        <f>ROUND(供應率!D22,1)</f>
        <v>96.7</v>
      </c>
      <c r="J72" s="47">
        <f>ROUND(供應率!E22,1)</f>
        <v>0</v>
      </c>
      <c r="K72" s="47">
        <f>ROUND(供應率!F22,1)</f>
        <v>95.8</v>
      </c>
      <c r="L72" s="47">
        <f>ROUND(供應率!G22,1)</f>
        <v>97.5</v>
      </c>
      <c r="M72" s="47">
        <f>ROUND(供應率!H22,1)</f>
        <v>96</v>
      </c>
      <c r="N72" s="47">
        <f>ROUND(供應率!I22,1)</f>
        <v>97.2</v>
      </c>
      <c r="O72" s="47">
        <f>ROUND(供應率!J22,1)</f>
        <v>97.6</v>
      </c>
      <c r="P72" s="47">
        <f>ROUND(供應率!K22,1)</f>
        <v>95.3</v>
      </c>
      <c r="Q72" s="47">
        <f>ROUND(供應率!L22,1)</f>
        <v>0</v>
      </c>
      <c r="R72" s="47">
        <f>ROUND(供應率!M22,1)</f>
        <v>94.7</v>
      </c>
      <c r="S72" s="47">
        <f>ROUND(供應率!N22,1)</f>
        <v>92.4</v>
      </c>
      <c r="T72" s="47">
        <f>ROUND(供應率!O22,1)</f>
        <v>91.5</v>
      </c>
      <c r="U72" s="47">
        <f>ROUND(供應率!P22,1)</f>
        <v>91.6</v>
      </c>
      <c r="V72" s="47">
        <f>ROUND(供應率!Q22,1)</f>
        <v>93.5</v>
      </c>
      <c r="W72" s="47">
        <f>ROUND(供應率!R22,1)</f>
        <v>93.7</v>
      </c>
      <c r="X72" s="47">
        <f>ROUND(供應率!S22,1)</f>
        <v>0</v>
      </c>
      <c r="Y72" s="47">
        <f>ROUND(供應率!T22,1)</f>
        <v>95.6</v>
      </c>
      <c r="Z72" s="47">
        <f>ROUND(供應率!U22,1)</f>
        <v>93.2</v>
      </c>
      <c r="AA72" s="47">
        <f>ROUND(供應率!V22,1)</f>
        <v>96.9</v>
      </c>
      <c r="AB72" s="47">
        <f>ROUND(供應率!W22,1)</f>
        <v>97</v>
      </c>
      <c r="AC72" s="47">
        <f>ROUND(供應率!X22,1)</f>
        <v>95.8</v>
      </c>
      <c r="AD72" s="47">
        <f>ROUND(供應率!Y22,1)</f>
        <v>96.3</v>
      </c>
      <c r="AE72" s="47">
        <f>ROUND(供應率!Z22,1)</f>
        <v>0</v>
      </c>
      <c r="AF72" s="47">
        <f>ROUND(供應率!AA22,1)</f>
        <v>97.6</v>
      </c>
      <c r="AG72" s="47">
        <f>ROUND(供應率!AB22,1)</f>
        <v>95.8</v>
      </c>
      <c r="AH72" s="47">
        <f>ROUND(供應率!AC22,1)</f>
        <v>98.7</v>
      </c>
      <c r="AI72" s="47">
        <f>ROUND(供應率!AD22,1)</f>
        <v>97.2</v>
      </c>
      <c r="AJ72" s="47">
        <f>ROUND(供應率!AE22,1)</f>
        <v>97.6</v>
      </c>
      <c r="AK72" s="47">
        <f>ROUND(供應率!AF22,1)</f>
        <v>97.6</v>
      </c>
      <c r="AL72" s="47">
        <f>ROUND(供應率!AG22,1)</f>
        <v>0</v>
      </c>
      <c r="AM72" s="47">
        <f>ROUND(供應率!AH22,1)</f>
        <v>97.6</v>
      </c>
      <c r="AN72" s="214">
        <f>ROUND(供應率!AI22,1)</f>
        <v>95.8</v>
      </c>
      <c r="AO72" s="55"/>
    </row>
    <row r="73" spans="1:41" s="11" customFormat="1" ht="21.95" customHeight="1" thickBot="1">
      <c r="A73" s="617" t="s">
        <v>16</v>
      </c>
      <c r="B73" s="618"/>
      <c r="C73" s="618"/>
      <c r="D73" s="320">
        <f>HLOOKUP(MONTH(日期!$C$2),去年月推移!$D$1:$O$200,130,TRUE)</f>
        <v>99.409887999999995</v>
      </c>
      <c r="E73" s="58">
        <v>95</v>
      </c>
      <c r="F73" s="58" t="s">
        <v>45</v>
      </c>
      <c r="G73" s="586">
        <f>ROUND(當年月推移!P132,1)</f>
        <v>98.3</v>
      </c>
      <c r="H73" s="587"/>
      <c r="I73" s="59">
        <f>ROUND(供應率!D11,1)</f>
        <v>99.5</v>
      </c>
      <c r="J73" s="59">
        <f>ROUND(供應率!E11,1)</f>
        <v>0</v>
      </c>
      <c r="K73" s="59">
        <f>ROUND(供應率!F11,1)</f>
        <v>99.7</v>
      </c>
      <c r="L73" s="59">
        <f>ROUND(供應率!G11,1)</f>
        <v>98.6</v>
      </c>
      <c r="M73" s="59">
        <f>ROUND(供應率!H11,1)</f>
        <v>99.1</v>
      </c>
      <c r="N73" s="59">
        <f>ROUND(供應率!I11,1)</f>
        <v>99.7</v>
      </c>
      <c r="O73" s="59">
        <f>ROUND(供應率!J11,1)</f>
        <v>99.2</v>
      </c>
      <c r="P73" s="59">
        <f>ROUND(供應率!K11,1)</f>
        <v>97.6</v>
      </c>
      <c r="Q73" s="59">
        <f>ROUND(供應率!L11,1)</f>
        <v>0</v>
      </c>
      <c r="R73" s="59">
        <f>ROUND(供應率!M11,1)</f>
        <v>97.6</v>
      </c>
      <c r="S73" s="59">
        <f>ROUND(供應率!N11,1)</f>
        <v>95.8</v>
      </c>
      <c r="T73" s="59">
        <f>ROUND(供應率!O11,1)</f>
        <v>99.5</v>
      </c>
      <c r="U73" s="59">
        <f>ROUND(供應率!P11,1)</f>
        <v>99.7</v>
      </c>
      <c r="V73" s="59">
        <f>ROUND(供應率!Q11,1)</f>
        <v>96.6</v>
      </c>
      <c r="W73" s="59">
        <f>ROUND(供應率!R11,1)</f>
        <v>97.1</v>
      </c>
      <c r="X73" s="59">
        <f>ROUND(供應率!S11,1)</f>
        <v>0</v>
      </c>
      <c r="Y73" s="59">
        <f>ROUND(供應率!T11,1)</f>
        <v>98.7</v>
      </c>
      <c r="Z73" s="59">
        <f>ROUND(供應率!U11,1)</f>
        <v>98.2</v>
      </c>
      <c r="AA73" s="59">
        <f>ROUND(供應率!V11,1)</f>
        <v>97.2</v>
      </c>
      <c r="AB73" s="59">
        <f>ROUND(供應率!W11,1)</f>
        <v>100</v>
      </c>
      <c r="AC73" s="59">
        <f>ROUND(供應率!X11,1)</f>
        <v>99.7</v>
      </c>
      <c r="AD73" s="59">
        <f>ROUND(供應率!Y11,1)</f>
        <v>99.7</v>
      </c>
      <c r="AE73" s="59">
        <f>ROUND(供應率!Z11,1)</f>
        <v>0</v>
      </c>
      <c r="AF73" s="59">
        <f>ROUND(供應率!AA11,1)</f>
        <v>98.9</v>
      </c>
      <c r="AG73" s="59">
        <f>ROUND(供應率!AB11,1)</f>
        <v>99.2</v>
      </c>
      <c r="AH73" s="59">
        <f>ROUND(供應率!AC11,1)</f>
        <v>99.7</v>
      </c>
      <c r="AI73" s="59">
        <f>ROUND(供應率!AD11,1)</f>
        <v>99.7</v>
      </c>
      <c r="AJ73" s="59">
        <f>ROUND(供應率!AE11,1)</f>
        <v>98.7</v>
      </c>
      <c r="AK73" s="59">
        <f>ROUND(供應率!AF11,1)</f>
        <v>99.7</v>
      </c>
      <c r="AL73" s="59">
        <f>ROUND(供應率!AG11,1)</f>
        <v>0</v>
      </c>
      <c r="AM73" s="59">
        <f>ROUND(供應率!AH11,1)</f>
        <v>99.1</v>
      </c>
      <c r="AN73" s="217">
        <f>ROUND(供應率!AI11,1)</f>
        <v>98.8</v>
      </c>
      <c r="AO73" s="55"/>
    </row>
    <row r="74" spans="1:41" s="11" customFormat="1" ht="21.95" customHeight="1">
      <c r="A74" s="572" t="s">
        <v>23</v>
      </c>
      <c r="B74" s="573"/>
      <c r="C74" s="573"/>
      <c r="D74" s="313">
        <f>HLOOKUP(MONTH(日期!$C$2),去年月推移!$D$1:$O$200,131,TRUE)</f>
        <v>98.458228000000005</v>
      </c>
      <c r="E74" s="49">
        <v>98.559727106188546</v>
      </c>
      <c r="F74" s="49" t="s">
        <v>45</v>
      </c>
      <c r="G74" s="590">
        <f>ROUND(當年月推移!P133,1)</f>
        <v>98.5</v>
      </c>
      <c r="H74" s="591"/>
      <c r="I74" s="47">
        <f>ROUND(供應率!D6,1)</f>
        <v>98.4</v>
      </c>
      <c r="J74" s="47">
        <f>ROUND(供應率!E6,1)</f>
        <v>0</v>
      </c>
      <c r="K74" s="47">
        <f>ROUND(供應率!F6,1)</f>
        <v>98.7</v>
      </c>
      <c r="L74" s="47">
        <f>ROUND(供應率!G6,1)</f>
        <v>99</v>
      </c>
      <c r="M74" s="47">
        <f>ROUND(供應率!H6,1)</f>
        <v>98.4</v>
      </c>
      <c r="N74" s="47">
        <f>ROUND(供應率!I6,1)</f>
        <v>99</v>
      </c>
      <c r="O74" s="47">
        <f>ROUND(供應率!J6,1)</f>
        <v>98.5</v>
      </c>
      <c r="P74" s="47">
        <f>ROUND(供應率!K6,1)</f>
        <v>98.9</v>
      </c>
      <c r="Q74" s="47">
        <f>ROUND(供應率!L6,1)</f>
        <v>0</v>
      </c>
      <c r="R74" s="47">
        <f>ROUND(供應率!M6,1)</f>
        <v>98.3</v>
      </c>
      <c r="S74" s="47">
        <f>ROUND(供應率!N6,1)</f>
        <v>98.8</v>
      </c>
      <c r="T74" s="47">
        <f>ROUND(供應率!O6,1)</f>
        <v>99.2</v>
      </c>
      <c r="U74" s="47">
        <f>ROUND(供應率!P6,1)</f>
        <v>98.3</v>
      </c>
      <c r="V74" s="47">
        <f>ROUND(供應率!Q6,1)</f>
        <v>98.5</v>
      </c>
      <c r="W74" s="47">
        <f>ROUND(供應率!R6,1)</f>
        <v>99.1</v>
      </c>
      <c r="X74" s="47">
        <f>ROUND(供應率!S6,1)</f>
        <v>0</v>
      </c>
      <c r="Y74" s="47">
        <f>ROUND(供應率!T6,1)</f>
        <v>99.2</v>
      </c>
      <c r="Z74" s="47">
        <f>ROUND(供應率!U6,1)</f>
        <v>99.2</v>
      </c>
      <c r="AA74" s="47">
        <f>ROUND(供應率!V6,1)</f>
        <v>99.4</v>
      </c>
      <c r="AB74" s="47">
        <f>ROUND(供應率!W6,1)</f>
        <v>99</v>
      </c>
      <c r="AC74" s="47">
        <f>ROUND(供應率!X6,1)</f>
        <v>99</v>
      </c>
      <c r="AD74" s="47">
        <f>ROUND(供應率!Y6,1)</f>
        <v>99.6</v>
      </c>
      <c r="AE74" s="47">
        <f>ROUND(供應率!Z6,1)</f>
        <v>0</v>
      </c>
      <c r="AF74" s="47">
        <f>ROUND(供應率!AA6,1)</f>
        <v>99.2</v>
      </c>
      <c r="AG74" s="47">
        <f>ROUND(供應率!AB6,1)</f>
        <v>99.2</v>
      </c>
      <c r="AH74" s="47">
        <f>ROUND(供應率!AC6,1)</f>
        <v>99.4</v>
      </c>
      <c r="AI74" s="47">
        <f>ROUND(供應率!AD6,1)</f>
        <v>99.3</v>
      </c>
      <c r="AJ74" s="47">
        <f>ROUND(供應率!AE6,1)</f>
        <v>99.2</v>
      </c>
      <c r="AK74" s="47">
        <f>ROUND(供應率!AF6,1)</f>
        <v>99.2</v>
      </c>
      <c r="AL74" s="47">
        <f>ROUND(供應率!AG6,1)</f>
        <v>0</v>
      </c>
      <c r="AM74" s="47">
        <f>ROUND(供應率!AH6,1)</f>
        <v>99</v>
      </c>
      <c r="AN74" s="214">
        <f>ROUND(供應率!AI6,1)</f>
        <v>99</v>
      </c>
      <c r="AO74" s="55"/>
    </row>
    <row r="75" spans="1:41" s="11" customFormat="1" ht="21.95" customHeight="1">
      <c r="A75" s="574" t="s">
        <v>24</v>
      </c>
      <c r="B75" s="575"/>
      <c r="C75" s="576"/>
      <c r="D75" s="310">
        <f>HLOOKUP(MONTH(日期!$C$2),去年月推移!$D$1:$O$200,132,TRUE)</f>
        <v>100</v>
      </c>
      <c r="E75" s="243"/>
      <c r="F75" s="243"/>
      <c r="G75" s="590">
        <f>ROUND(當年月推移!P134,1)</f>
        <v>97.7</v>
      </c>
      <c r="H75" s="591"/>
      <c r="I75" s="244">
        <f>ROUND(供應率!D12,1)</f>
        <v>100</v>
      </c>
      <c r="J75" s="244">
        <f>ROUND(供應率!E12,1)</f>
        <v>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100</v>
      </c>
      <c r="P75" s="244">
        <f>ROUND(供應率!K12,1)</f>
        <v>100</v>
      </c>
      <c r="Q75" s="244">
        <f>ROUND(供應率!L12,1)</f>
        <v>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0</v>
      </c>
      <c r="AM75" s="244">
        <f>ROUND(供應率!AH12,1)</f>
        <v>100</v>
      </c>
      <c r="AN75" s="246">
        <f>ROUND(供應率!AI12,1)</f>
        <v>100</v>
      </c>
      <c r="AO75" s="55"/>
    </row>
    <row r="76" spans="1:41" s="11" customFormat="1" ht="21.95" customHeight="1">
      <c r="A76" s="574" t="s">
        <v>25</v>
      </c>
      <c r="B76" s="575"/>
      <c r="C76" s="576"/>
      <c r="D76" s="310">
        <f>HLOOKUP(MONTH(日期!$C$2),去年月推移!$D$1:$O$200,133,TRUE)</f>
        <v>90.460251</v>
      </c>
      <c r="E76" s="243"/>
      <c r="F76" s="243"/>
      <c r="G76" s="590">
        <f>ROUND(當年月推移!P135,1)</f>
        <v>93.9</v>
      </c>
      <c r="H76" s="591"/>
      <c r="I76" s="244">
        <f>ROUND(供應率!D13,1)</f>
        <v>100</v>
      </c>
      <c r="J76" s="244">
        <f>ROUND(供應率!E13,1)</f>
        <v>0</v>
      </c>
      <c r="K76" s="244">
        <f>ROUND(供應率!F13,1)</f>
        <v>75</v>
      </c>
      <c r="L76" s="244">
        <f>ROUND(供應率!G13,1)</f>
        <v>100</v>
      </c>
      <c r="M76" s="244">
        <f>ROUND(供應率!H13,1)</f>
        <v>96.6</v>
      </c>
      <c r="N76" s="244">
        <f>ROUND(供應率!I13,1)</f>
        <v>100</v>
      </c>
      <c r="O76" s="244">
        <f>ROUND(供應率!J13,1)</f>
        <v>93.5</v>
      </c>
      <c r="P76" s="244">
        <f>ROUND(供應率!K13,1)</f>
        <v>95.6</v>
      </c>
      <c r="Q76" s="244">
        <f>ROUND(供應率!L13,1)</f>
        <v>0</v>
      </c>
      <c r="R76" s="244">
        <f>ROUND(供應率!M13,1)</f>
        <v>100</v>
      </c>
      <c r="S76" s="244">
        <f>ROUND(供應率!N13,1)</f>
        <v>100</v>
      </c>
      <c r="T76" s="244">
        <f>ROUND(供應率!O13,1)</f>
        <v>93.1</v>
      </c>
      <c r="U76" s="244">
        <f>ROUND(供應率!P13,1)</f>
        <v>94.2</v>
      </c>
      <c r="V76" s="244">
        <f>ROUND(供應率!Q13,1)</f>
        <v>100</v>
      </c>
      <c r="W76" s="244">
        <f>ROUND(供應率!R13,1)</f>
        <v>100</v>
      </c>
      <c r="X76" s="244">
        <f>ROUND(供應率!S13,1)</f>
        <v>0</v>
      </c>
      <c r="Y76" s="244">
        <f>ROUND(供應率!T13,1)</f>
        <v>92</v>
      </c>
      <c r="Z76" s="244">
        <f>ROUND(供應率!U13,1)</f>
        <v>95.8</v>
      </c>
      <c r="AA76" s="244">
        <f>ROUND(供應率!V13,1)</f>
        <v>100</v>
      </c>
      <c r="AB76" s="244">
        <f>ROUND(供應率!W13,1)</f>
        <v>93</v>
      </c>
      <c r="AC76" s="244">
        <f>ROUND(供應率!X13,1)</f>
        <v>95.4</v>
      </c>
      <c r="AD76" s="244">
        <f>ROUND(供應率!Y13,1)</f>
        <v>100</v>
      </c>
      <c r="AE76" s="244">
        <f>ROUND(供應率!Z13,1)</f>
        <v>0</v>
      </c>
      <c r="AF76" s="244">
        <f>ROUND(供應率!AA13,1)</f>
        <v>94.5</v>
      </c>
      <c r="AG76" s="244">
        <f>ROUND(供應率!AB13,1)</f>
        <v>97.2</v>
      </c>
      <c r="AH76" s="244">
        <f>ROUND(供應率!AC13,1)</f>
        <v>95.3</v>
      </c>
      <c r="AI76" s="244">
        <f>ROUND(供應率!AD13,1)</f>
        <v>100</v>
      </c>
      <c r="AJ76" s="244">
        <f>ROUND(供應率!AE13,1)</f>
        <v>100</v>
      </c>
      <c r="AK76" s="244">
        <f>ROUND(供應率!AF13,1)</f>
        <v>100</v>
      </c>
      <c r="AL76" s="244">
        <f>ROUND(供應率!AG13,1)</f>
        <v>0</v>
      </c>
      <c r="AM76" s="244">
        <f>ROUND(供應率!AH13,1)</f>
        <v>100</v>
      </c>
      <c r="AN76" s="246">
        <f>ROUND(供應率!AI13,1)</f>
        <v>97</v>
      </c>
      <c r="AO76" s="55"/>
    </row>
    <row r="77" spans="1:41" s="11" customFormat="1" ht="21.95" customHeight="1">
      <c r="A77" s="574" t="s">
        <v>26</v>
      </c>
      <c r="B77" s="575"/>
      <c r="C77" s="576"/>
      <c r="D77" s="310">
        <f>HLOOKUP(MONTH(日期!$C$2),去年月推移!$D$1:$O$200,134,TRUE)</f>
        <v>97.9</v>
      </c>
      <c r="E77" s="243"/>
      <c r="F77" s="243"/>
      <c r="G77" s="590">
        <f>ROUND(當年月推移!P136,1)</f>
        <v>96.6</v>
      </c>
      <c r="H77" s="591"/>
      <c r="I77" s="244">
        <f>ROUND(供應率!D14,1)</f>
        <v>95.9</v>
      </c>
      <c r="J77" s="244">
        <f>ROUND(供應率!E14,1)</f>
        <v>0</v>
      </c>
      <c r="K77" s="244">
        <f>ROUND(供應率!F14,1)</f>
        <v>95.1</v>
      </c>
      <c r="L77" s="244">
        <f>ROUND(供應率!G14,1)</f>
        <v>94.5</v>
      </c>
      <c r="M77" s="244">
        <f>ROUND(供應率!H14,1)</f>
        <v>95.7</v>
      </c>
      <c r="N77" s="244">
        <f>ROUND(供應率!I14,1)</f>
        <v>93.8</v>
      </c>
      <c r="O77" s="244">
        <f>ROUND(供應率!J14,1)</f>
        <v>93</v>
      </c>
      <c r="P77" s="244">
        <f>ROUND(供應率!K14,1)</f>
        <v>95.5</v>
      </c>
      <c r="Q77" s="244">
        <f>ROUND(供應率!L14,1)</f>
        <v>0</v>
      </c>
      <c r="R77" s="244">
        <f>ROUND(供應率!M14,1)</f>
        <v>96.3</v>
      </c>
      <c r="S77" s="244">
        <f>ROUND(供應率!N14,1)</f>
        <v>96.3</v>
      </c>
      <c r="T77" s="244">
        <f>ROUND(供應率!O14,1)</f>
        <v>96.7</v>
      </c>
      <c r="U77" s="244">
        <f>ROUND(供應率!P14,1)</f>
        <v>95.7</v>
      </c>
      <c r="V77" s="244">
        <f>ROUND(供應率!Q14,1)</f>
        <v>98.7</v>
      </c>
      <c r="W77" s="244">
        <f>ROUND(供應率!R14,1)</f>
        <v>97.6</v>
      </c>
      <c r="X77" s="244">
        <f>ROUND(供應率!S14,1)</f>
        <v>0</v>
      </c>
      <c r="Y77" s="244">
        <f>ROUND(供應率!T14,1)</f>
        <v>96.7</v>
      </c>
      <c r="Z77" s="244">
        <f>ROUND(供應率!U14,1)</f>
        <v>96.2</v>
      </c>
      <c r="AA77" s="244">
        <f>ROUND(供應率!V14,1)</f>
        <v>96.2</v>
      </c>
      <c r="AB77" s="244">
        <f>ROUND(供應率!W14,1)</f>
        <v>86.1</v>
      </c>
      <c r="AC77" s="244">
        <f>ROUND(供應率!X14,1)</f>
        <v>91.9</v>
      </c>
      <c r="AD77" s="244">
        <f>ROUND(供應率!Y14,1)</f>
        <v>94.5</v>
      </c>
      <c r="AE77" s="244">
        <f>ROUND(供應率!Z14,1)</f>
        <v>0</v>
      </c>
      <c r="AF77" s="244">
        <f>ROUND(供應率!AA14,1)</f>
        <v>96.6</v>
      </c>
      <c r="AG77" s="244">
        <f>ROUND(供應率!AB14,1)</f>
        <v>98</v>
      </c>
      <c r="AH77" s="244">
        <f>ROUND(供應率!AC14,1)</f>
        <v>97.8</v>
      </c>
      <c r="AI77" s="244">
        <f>ROUND(供應率!AD14,1)</f>
        <v>98.4</v>
      </c>
      <c r="AJ77" s="244">
        <f>ROUND(供應率!AE14,1)</f>
        <v>98.3</v>
      </c>
      <c r="AK77" s="244">
        <f>ROUND(供應率!AF14,1)</f>
        <v>98.9</v>
      </c>
      <c r="AL77" s="244">
        <f>ROUND(供應率!AG14,1)</f>
        <v>0</v>
      </c>
      <c r="AM77" s="244">
        <f>ROUND(供應率!AH14,1)</f>
        <v>97.6</v>
      </c>
      <c r="AN77" s="246">
        <f>ROUND(供應率!AI14,1)</f>
        <v>95.8</v>
      </c>
      <c r="AO77" s="55"/>
    </row>
    <row r="78" spans="1:41" s="11" customFormat="1" ht="21.95" customHeight="1">
      <c r="A78" s="574" t="s">
        <v>27</v>
      </c>
      <c r="B78" s="575"/>
      <c r="C78" s="576"/>
      <c r="D78" s="310">
        <f>HLOOKUP(MONTH(日期!$C$2),去年月推移!$D$1:$O$200,135,TRUE)</f>
        <v>97.916666000000006</v>
      </c>
      <c r="E78" s="243"/>
      <c r="F78" s="243"/>
      <c r="G78" s="590">
        <f>ROUND(當年月推移!P137,1)</f>
        <v>85.6</v>
      </c>
      <c r="H78" s="591"/>
      <c r="I78" s="244">
        <f>ROUND(供應率!D15,1)</f>
        <v>98.6</v>
      </c>
      <c r="J78" s="244">
        <f>ROUND(供應率!E15,1)</f>
        <v>0</v>
      </c>
      <c r="K78" s="244">
        <f>ROUND(供應率!F15,1)</f>
        <v>92</v>
      </c>
      <c r="L78" s="244">
        <f>ROUND(供應率!G15,1)</f>
        <v>98.3</v>
      </c>
      <c r="M78" s="244">
        <f>ROUND(供應率!H15,1)</f>
        <v>94.2</v>
      </c>
      <c r="N78" s="244">
        <f>ROUND(供應率!I15,1)</f>
        <v>85.9</v>
      </c>
      <c r="O78" s="244">
        <f>ROUND(供應率!J15,1)</f>
        <v>93.3</v>
      </c>
      <c r="P78" s="244">
        <f>ROUND(供應率!K15,1)</f>
        <v>94.3</v>
      </c>
      <c r="Q78" s="244">
        <f>ROUND(供應率!L15,1)</f>
        <v>0</v>
      </c>
      <c r="R78" s="244">
        <f>ROUND(供應率!M15,1)</f>
        <v>98.4</v>
      </c>
      <c r="S78" s="244">
        <f>ROUND(供應率!N15,1)</f>
        <v>86.5</v>
      </c>
      <c r="T78" s="244">
        <f>ROUND(供應率!O15,1)</f>
        <v>94.3</v>
      </c>
      <c r="U78" s="244">
        <f>ROUND(供應率!P15,1)</f>
        <v>95.4</v>
      </c>
      <c r="V78" s="244">
        <f>ROUND(供應率!Q15,1)</f>
        <v>98</v>
      </c>
      <c r="W78" s="244">
        <f>ROUND(供應率!R15,1)</f>
        <v>100</v>
      </c>
      <c r="X78" s="244">
        <f>ROUND(供應率!S15,1)</f>
        <v>0</v>
      </c>
      <c r="Y78" s="244">
        <f>ROUND(供應率!T15,1)</f>
        <v>89.1</v>
      </c>
      <c r="Z78" s="244">
        <f>ROUND(供應率!U15,1)</f>
        <v>90.9</v>
      </c>
      <c r="AA78" s="244">
        <f>ROUND(供應率!V15,1)</f>
        <v>97.2</v>
      </c>
      <c r="AB78" s="244">
        <f>ROUND(供應率!W15,1)</f>
        <v>96.4</v>
      </c>
      <c r="AC78" s="244">
        <f>ROUND(供應率!X15,1)</f>
        <v>98.6</v>
      </c>
      <c r="AD78" s="244">
        <f>ROUND(供應率!Y15,1)</f>
        <v>91.8</v>
      </c>
      <c r="AE78" s="244">
        <f>ROUND(供應率!Z15,1)</f>
        <v>0</v>
      </c>
      <c r="AF78" s="244">
        <f>ROUND(供應率!AA15,1)</f>
        <v>91.4</v>
      </c>
      <c r="AG78" s="244">
        <f>ROUND(供應率!AB15,1)</f>
        <v>92.5</v>
      </c>
      <c r="AH78" s="244">
        <f>ROUND(供應率!AC15,1)</f>
        <v>87.8</v>
      </c>
      <c r="AI78" s="244">
        <f>ROUND(供應率!AD15,1)</f>
        <v>88.8</v>
      </c>
      <c r="AJ78" s="244">
        <f>ROUND(供應率!AE15,1)</f>
        <v>96.4</v>
      </c>
      <c r="AK78" s="244">
        <f>ROUND(供應率!AF15,1)</f>
        <v>100</v>
      </c>
      <c r="AL78" s="244">
        <f>ROUND(供應率!AG15,1)</f>
        <v>0</v>
      </c>
      <c r="AM78" s="244">
        <f>ROUND(供應率!AH15,1)</f>
        <v>98.7</v>
      </c>
      <c r="AN78" s="246">
        <f>ROUND(供應率!AI15,1)</f>
        <v>94.2</v>
      </c>
      <c r="AO78" s="55"/>
    </row>
    <row r="79" spans="1:41" s="11" customFormat="1" ht="21.95" customHeight="1" thickBot="1">
      <c r="A79" s="612" t="s">
        <v>28</v>
      </c>
      <c r="B79" s="613"/>
      <c r="C79" s="614"/>
      <c r="D79" s="320">
        <f>HLOOKUP(MONTH(日期!$C$2),去年月推移!$D$1:$O$200,136,TRUE)</f>
        <v>0</v>
      </c>
      <c r="E79" s="243"/>
      <c r="F79" s="243"/>
      <c r="G79" s="586">
        <f>ROUND(當年月推移!P138,1)</f>
        <v>0</v>
      </c>
      <c r="H79" s="587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05" t="s">
        <v>31</v>
      </c>
      <c r="B80" s="606"/>
      <c r="C80" s="606"/>
      <c r="D80" s="313">
        <f>HLOOKUP(MONTH(日期!$C$2),去年月推移!$D$1:$O$200,137,TRUE)</f>
        <v>0</v>
      </c>
      <c r="E80" s="272"/>
      <c r="F80" s="272"/>
      <c r="G80" s="590">
        <f>ROUND(當年月推移!P139,1)</f>
        <v>0</v>
      </c>
      <c r="H80" s="591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81" t="s">
        <v>32</v>
      </c>
      <c r="B81" s="582"/>
      <c r="C81" s="582"/>
      <c r="D81" s="310">
        <f>HLOOKUP(MONTH(日期!$C$2),去年月推移!$D$1:$O$200,138,TRUE)</f>
        <v>0</v>
      </c>
      <c r="E81" s="49"/>
      <c r="F81" s="49"/>
      <c r="G81" s="590">
        <f>ROUND(當年月推移!P140,1)</f>
        <v>0</v>
      </c>
      <c r="H81" s="591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81" t="s">
        <v>33</v>
      </c>
      <c r="B82" s="582"/>
      <c r="C82" s="582"/>
      <c r="D82" s="310">
        <f>HLOOKUP(MONTH(日期!$C$2),去年月推移!$D$1:$O$200,139,TRUE)</f>
        <v>0</v>
      </c>
      <c r="E82" s="49"/>
      <c r="F82" s="49"/>
      <c r="G82" s="590">
        <f>ROUND(當年月推移!P141,1)</f>
        <v>0</v>
      </c>
      <c r="H82" s="591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81" t="s">
        <v>34</v>
      </c>
      <c r="B83" s="582"/>
      <c r="C83" s="582"/>
      <c r="D83" s="310">
        <f>HLOOKUP(MONTH(日期!$C$2),去年月推移!$D$1:$O$200,140,TRUE)</f>
        <v>0</v>
      </c>
      <c r="E83" s="49"/>
      <c r="F83" s="49"/>
      <c r="G83" s="590">
        <f>ROUND(當年月推移!P142,1)</f>
        <v>0</v>
      </c>
      <c r="H83" s="591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88" t="s">
        <v>35</v>
      </c>
      <c r="B84" s="589"/>
      <c r="C84" s="589"/>
      <c r="D84" s="312">
        <f>HLOOKUP(MONTH(日期!$C$2),去年月推移!$D$1:$O$200,141,TRUE)</f>
        <v>0</v>
      </c>
      <c r="E84" s="58"/>
      <c r="F84" s="58"/>
      <c r="G84" s="586">
        <f>ROUND(當年月推移!P143,1)</f>
        <v>0</v>
      </c>
      <c r="H84" s="587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96" t="s">
        <v>1</v>
      </c>
      <c r="B87" s="597"/>
      <c r="C87" s="597"/>
      <c r="D87" s="600" t="str">
        <f>D3</f>
        <v>2024/3</v>
      </c>
      <c r="E87" s="600" t="str">
        <f>E3</f>
        <v>2025/3</v>
      </c>
      <c r="F87" s="335">
        <f>YEAR(日期!C2)-1</f>
        <v>2024</v>
      </c>
      <c r="G87" s="615">
        <f>YEAR(日期!C2)</f>
        <v>2025</v>
      </c>
      <c r="H87" s="616"/>
      <c r="I87" s="527" t="str">
        <f>日期!C2</f>
        <v>2025/03/01</v>
      </c>
      <c r="J87" s="527" t="str">
        <f>日期!D2</f>
        <v>2025/03/02</v>
      </c>
      <c r="K87" s="527" t="str">
        <f>日期!E2</f>
        <v>2025/03/03</v>
      </c>
      <c r="L87" s="527" t="str">
        <f>日期!F2</f>
        <v>2025/03/04</v>
      </c>
      <c r="M87" s="527" t="str">
        <f>日期!G2</f>
        <v>2025/03/05</v>
      </c>
      <c r="N87" s="527" t="str">
        <f>日期!H2</f>
        <v>2025/03/06</v>
      </c>
      <c r="O87" s="527" t="str">
        <f>日期!I2</f>
        <v>2025/03/07</v>
      </c>
      <c r="P87" s="527" t="str">
        <f>日期!J2</f>
        <v>2025/03/08</v>
      </c>
      <c r="Q87" s="527" t="str">
        <f>日期!K2</f>
        <v>2025/03/09</v>
      </c>
      <c r="R87" s="527" t="str">
        <f>日期!L2</f>
        <v>2025/03/10</v>
      </c>
      <c r="S87" s="527" t="str">
        <f>日期!M2</f>
        <v>2025/03/11</v>
      </c>
      <c r="T87" s="527" t="str">
        <f>日期!N2</f>
        <v>2025/03/12</v>
      </c>
      <c r="U87" s="527" t="str">
        <f>日期!O2</f>
        <v>2025/03/13</v>
      </c>
      <c r="V87" s="527" t="str">
        <f>日期!P2</f>
        <v>2025/03/14</v>
      </c>
      <c r="W87" s="527" t="str">
        <f>日期!Q2</f>
        <v>2025/03/15</v>
      </c>
      <c r="X87" s="527" t="str">
        <f>日期!R2</f>
        <v>2025/03/16</v>
      </c>
      <c r="Y87" s="527" t="str">
        <f>日期!S2</f>
        <v>2025/03/17</v>
      </c>
      <c r="Z87" s="527" t="str">
        <f>日期!T2</f>
        <v>2025/03/18</v>
      </c>
      <c r="AA87" s="527" t="str">
        <f>日期!U2</f>
        <v>2025/03/19</v>
      </c>
      <c r="AB87" s="527" t="str">
        <f>日期!V2</f>
        <v>2025/03/20</v>
      </c>
      <c r="AC87" s="527" t="str">
        <f>日期!W2</f>
        <v>2025/03/21</v>
      </c>
      <c r="AD87" s="527" t="str">
        <f>日期!X2</f>
        <v>2025/03/22</v>
      </c>
      <c r="AE87" s="527" t="str">
        <f>日期!Y2</f>
        <v>2025/03/23</v>
      </c>
      <c r="AF87" s="527" t="str">
        <f>日期!Z2</f>
        <v>2025/03/24</v>
      </c>
      <c r="AG87" s="527" t="str">
        <f>日期!AA2</f>
        <v>2025/03/25</v>
      </c>
      <c r="AH87" s="527" t="str">
        <f>日期!AB2</f>
        <v>2025/03/26</v>
      </c>
      <c r="AI87" s="527" t="str">
        <f>日期!AC2</f>
        <v>2025/03/27</v>
      </c>
      <c r="AJ87" s="527" t="str">
        <f>日期!AD2</f>
        <v>2025/03/28</v>
      </c>
      <c r="AK87" s="527" t="str">
        <f>日期!AE2</f>
        <v>2025/03/29</v>
      </c>
      <c r="AL87" s="527" t="str">
        <f>日期!AF2</f>
        <v>2025/03/30</v>
      </c>
      <c r="AM87" s="527" t="str">
        <f>日期!AG2</f>
        <v>2025/03/31</v>
      </c>
      <c r="AN87" s="592" t="s">
        <v>42</v>
      </c>
    </row>
    <row r="88" spans="1:41" s="35" customFormat="1" ht="24" customHeight="1" thickBot="1">
      <c r="A88" s="598"/>
      <c r="B88" s="599"/>
      <c r="C88" s="599"/>
      <c r="D88" s="601"/>
      <c r="E88" s="602"/>
      <c r="F88" s="334" t="s">
        <v>58</v>
      </c>
      <c r="G88" s="603" t="s">
        <v>59</v>
      </c>
      <c r="H88" s="604"/>
      <c r="I88" s="12" t="str">
        <f>日期!C3</f>
        <v>Sat</v>
      </c>
      <c r="J88" s="12" t="str">
        <f>日期!D3</f>
        <v>Sun</v>
      </c>
      <c r="K88" s="12" t="str">
        <f>日期!E3</f>
        <v>Mon</v>
      </c>
      <c r="L88" s="12" t="str">
        <f>日期!F3</f>
        <v>Tue</v>
      </c>
      <c r="M88" s="12" t="str">
        <f>日期!G3</f>
        <v>Wed</v>
      </c>
      <c r="N88" s="12" t="str">
        <f>日期!H3</f>
        <v>Thu</v>
      </c>
      <c r="O88" s="12" t="str">
        <f>日期!I3</f>
        <v>Fri</v>
      </c>
      <c r="P88" s="12" t="str">
        <f>日期!J3</f>
        <v>Sat</v>
      </c>
      <c r="Q88" s="12" t="str">
        <f>日期!K3</f>
        <v>Sun</v>
      </c>
      <c r="R88" s="12" t="str">
        <f>日期!L3</f>
        <v>Mon</v>
      </c>
      <c r="S88" s="12" t="str">
        <f>日期!M3</f>
        <v>Tue</v>
      </c>
      <c r="T88" s="12" t="str">
        <f>日期!N3</f>
        <v>Wed</v>
      </c>
      <c r="U88" s="12" t="str">
        <f>日期!O3</f>
        <v>Thu</v>
      </c>
      <c r="V88" s="12" t="str">
        <f>日期!P3</f>
        <v>Fri</v>
      </c>
      <c r="W88" s="12" t="str">
        <f>日期!Q3</f>
        <v>Sat</v>
      </c>
      <c r="X88" s="12" t="str">
        <f>日期!R3</f>
        <v>Sun</v>
      </c>
      <c r="Y88" s="12" t="str">
        <f>日期!S3</f>
        <v>Mon</v>
      </c>
      <c r="Z88" s="12" t="str">
        <f>日期!T3</f>
        <v>Tue</v>
      </c>
      <c r="AA88" s="12" t="str">
        <f>日期!U3</f>
        <v>Wed</v>
      </c>
      <c r="AB88" s="12" t="str">
        <f>日期!V3</f>
        <v>Thu</v>
      </c>
      <c r="AC88" s="12" t="str">
        <f>日期!W3</f>
        <v>Fri</v>
      </c>
      <c r="AD88" s="12" t="str">
        <f>日期!X3</f>
        <v>Sat</v>
      </c>
      <c r="AE88" s="12" t="str">
        <f>日期!Y3</f>
        <v>Sun</v>
      </c>
      <c r="AF88" s="12" t="str">
        <f>日期!Z3</f>
        <v>Mon</v>
      </c>
      <c r="AG88" s="12" t="str">
        <f>日期!AA3</f>
        <v>Tue</v>
      </c>
      <c r="AH88" s="12" t="str">
        <f>日期!AB3</f>
        <v>Wed</v>
      </c>
      <c r="AI88" s="12" t="str">
        <f>日期!AC3</f>
        <v>Thu</v>
      </c>
      <c r="AJ88" s="12" t="str">
        <f>日期!AD3</f>
        <v>Fri</v>
      </c>
      <c r="AK88" s="12" t="str">
        <f>日期!AE3</f>
        <v>Sat</v>
      </c>
      <c r="AL88" s="12" t="str">
        <f>日期!AF3</f>
        <v>Sun</v>
      </c>
      <c r="AM88" s="12" t="str">
        <f>日期!AG3</f>
        <v>Mon</v>
      </c>
      <c r="AN88" s="593"/>
    </row>
    <row r="89" spans="1:41" s="35" customFormat="1" ht="21.95" customHeight="1">
      <c r="A89" s="594" t="s">
        <v>11</v>
      </c>
      <c r="B89" s="595"/>
      <c r="C89" s="595"/>
      <c r="D89" s="314">
        <f>HLOOKUP(MONTH(日期!$C$2),去年月推移!$D$1:$O$200,145,TRUE)</f>
        <v>4866</v>
      </c>
      <c r="E89" s="62" t="s">
        <v>45</v>
      </c>
      <c r="F89" s="62" t="s">
        <v>45</v>
      </c>
      <c r="G89" s="560">
        <f>當年月推移!P147</f>
        <v>4811</v>
      </c>
      <c r="H89" s="561"/>
      <c r="I89" s="63">
        <f>VALUE(點數BO!C2)</f>
        <v>133</v>
      </c>
      <c r="J89" s="63">
        <f>VALUE(點數BO!D2)</f>
        <v>0</v>
      </c>
      <c r="K89" s="63">
        <f>VALUE(點數BO!E2)</f>
        <v>242</v>
      </c>
      <c r="L89" s="63">
        <f>VALUE(點數BO!F2)</f>
        <v>197</v>
      </c>
      <c r="M89" s="63">
        <f>VALUE(點數BO!G2)</f>
        <v>202</v>
      </c>
      <c r="N89" s="63">
        <f>VALUE(點數BO!H2)</f>
        <v>170</v>
      </c>
      <c r="O89" s="63">
        <f>VALUE(點數BO!I2)</f>
        <v>0</v>
      </c>
      <c r="P89" s="63">
        <f>VALUE(點數BO!J2)</f>
        <v>156</v>
      </c>
      <c r="Q89" s="63">
        <f>VALUE(點數BO!K2)</f>
        <v>0</v>
      </c>
      <c r="R89" s="63">
        <f>VALUE(點數BO!L2)</f>
        <v>214</v>
      </c>
      <c r="S89" s="63">
        <f>VALUE(點數BO!M2)</f>
        <v>220</v>
      </c>
      <c r="T89" s="63">
        <f>VALUE(點數BO!N2)</f>
        <v>183</v>
      </c>
      <c r="U89" s="63">
        <f>VALUE(點數BO!O2)</f>
        <v>172</v>
      </c>
      <c r="V89" s="63">
        <f>VALUE(點數BO!P2)</f>
        <v>116</v>
      </c>
      <c r="W89" s="63">
        <f>VALUE(點數BO!Q2)</f>
        <v>140</v>
      </c>
      <c r="X89" s="63">
        <f>VALUE(點數BO!R2)</f>
        <v>0</v>
      </c>
      <c r="Y89" s="63">
        <f>VALUE(點數BO!S2)</f>
        <v>191</v>
      </c>
      <c r="Z89" s="63">
        <f>VALUE(點數BO!T2)</f>
        <v>167</v>
      </c>
      <c r="AA89" s="63">
        <f>VALUE(點數BO!U2)</f>
        <v>152</v>
      </c>
      <c r="AB89" s="63">
        <f>VALUE(點數BO!V2)</f>
        <v>202</v>
      </c>
      <c r="AC89" s="63">
        <f>VALUE(點數BO!W2)</f>
        <v>140</v>
      </c>
      <c r="AD89" s="63">
        <f>VALUE(點數BO!X2)</f>
        <v>93</v>
      </c>
      <c r="AE89" s="63">
        <f>VALUE(點數BO!Y2)</f>
        <v>0</v>
      </c>
      <c r="AF89" s="63">
        <f>VALUE(點數BO!Z2)</f>
        <v>156</v>
      </c>
      <c r="AG89" s="63">
        <f>VALUE(點數BO!AA2)</f>
        <v>145</v>
      </c>
      <c r="AH89" s="63">
        <f>VALUE(點數BO!AB2)</f>
        <v>176</v>
      </c>
      <c r="AI89" s="63">
        <f>VALUE(點數BO!AC2)</f>
        <v>151</v>
      </c>
      <c r="AJ89" s="63">
        <f>VALUE(點數BO!AD2)</f>
        <v>155</v>
      </c>
      <c r="AK89" s="63">
        <f>VALUE(點數BO!AE2)</f>
        <v>97</v>
      </c>
      <c r="AL89" s="63">
        <f>VALUE(點數BO!AF2)</f>
        <v>0</v>
      </c>
      <c r="AM89" s="63">
        <f>VALUE(點數BO!AG2)</f>
        <v>121</v>
      </c>
      <c r="AN89" s="516">
        <f>VALUE(點數BO!AH2)</f>
        <v>4253</v>
      </c>
    </row>
    <row r="90" spans="1:41" s="35" customFormat="1" ht="21.95" customHeight="1">
      <c r="A90" s="572" t="s">
        <v>12</v>
      </c>
      <c r="B90" s="573"/>
      <c r="C90" s="573"/>
      <c r="D90" s="314">
        <f>HLOOKUP(MONTH(日期!$C$2),去年月推移!$D$1:$O$200,146,TRUE)</f>
        <v>96</v>
      </c>
      <c r="E90" s="64" t="s">
        <v>45</v>
      </c>
      <c r="F90" s="64" t="s">
        <v>45</v>
      </c>
      <c r="G90" s="562">
        <f>當年月推移!P148</f>
        <v>53</v>
      </c>
      <c r="H90" s="563"/>
      <c r="I90" s="63">
        <f>VALUE(點數BO!C4)</f>
        <v>0</v>
      </c>
      <c r="J90" s="63">
        <f>VALUE(點數BO!D4)</f>
        <v>0</v>
      </c>
      <c r="K90" s="63">
        <f>VALUE(點數BO!E4)</f>
        <v>1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2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517">
        <f>VALUE(點數BO!AH4)</f>
        <v>3</v>
      </c>
    </row>
    <row r="91" spans="1:41" s="35" customFormat="1" ht="21.95" customHeight="1">
      <c r="A91" s="572" t="s">
        <v>13</v>
      </c>
      <c r="B91" s="573"/>
      <c r="C91" s="573"/>
      <c r="D91" s="314">
        <f>HLOOKUP(MONTH(日期!$C$2),去年月推移!$D$1:$O$200,147,TRUE)</f>
        <v>439</v>
      </c>
      <c r="E91" s="64" t="s">
        <v>45</v>
      </c>
      <c r="F91" s="64" t="s">
        <v>45</v>
      </c>
      <c r="G91" s="562">
        <f>當年月推移!P149</f>
        <v>32</v>
      </c>
      <c r="H91" s="563"/>
      <c r="I91" s="63">
        <f>VALUE(點數BO!C5)</f>
        <v>0</v>
      </c>
      <c r="J91" s="63">
        <f>VALUE(點數BO!D5)</f>
        <v>0</v>
      </c>
      <c r="K91" s="63">
        <f>VALUE(點數BO!E5)</f>
        <v>0</v>
      </c>
      <c r="L91" s="63">
        <f>VALUE(點數BO!F5)</f>
        <v>0</v>
      </c>
      <c r="M91" s="63">
        <f>VALUE(點數BO!G5)</f>
        <v>1</v>
      </c>
      <c r="N91" s="63">
        <f>VALUE(點數BO!H5)</f>
        <v>0</v>
      </c>
      <c r="O91" s="63">
        <f>VALUE(點數BO!I5)</f>
        <v>0</v>
      </c>
      <c r="P91" s="63">
        <f>VALUE(點數BO!J5)</f>
        <v>4</v>
      </c>
      <c r="Q91" s="63">
        <f>VALUE(點數BO!K5)</f>
        <v>0</v>
      </c>
      <c r="R91" s="63">
        <f>VALUE(點數BO!L5)</f>
        <v>2</v>
      </c>
      <c r="S91" s="63">
        <f>VALUE(點數BO!M5)</f>
        <v>0</v>
      </c>
      <c r="T91" s="63">
        <f>VALUE(點數BO!N5)</f>
        <v>0</v>
      </c>
      <c r="U91" s="63">
        <f>VALUE(點數BO!O5)</f>
        <v>1</v>
      </c>
      <c r="V91" s="63">
        <f>VALUE(點數BO!P5)</f>
        <v>1</v>
      </c>
      <c r="W91" s="63">
        <f>VALUE(點數BO!Q5)</f>
        <v>0</v>
      </c>
      <c r="X91" s="63">
        <f>VALUE(點數BO!R5)</f>
        <v>0</v>
      </c>
      <c r="Y91" s="63">
        <f>VALUE(點數BO!S5)</f>
        <v>1</v>
      </c>
      <c r="Z91" s="63">
        <f>VALUE(點數BO!T5)</f>
        <v>0</v>
      </c>
      <c r="AA91" s="63">
        <f>VALUE(點數BO!U5)</f>
        <v>0</v>
      </c>
      <c r="AB91" s="63">
        <f>VALUE(點數BO!V5)</f>
        <v>0</v>
      </c>
      <c r="AC91" s="63">
        <f>VALUE(點數BO!W5)</f>
        <v>1</v>
      </c>
      <c r="AD91" s="63">
        <f>VALUE(點數BO!X5)</f>
        <v>0</v>
      </c>
      <c r="AE91" s="63">
        <f>VALUE(點數BO!Y5)</f>
        <v>0</v>
      </c>
      <c r="AF91" s="63">
        <f>VALUE(點數BO!Z5)</f>
        <v>0</v>
      </c>
      <c r="AG91" s="63">
        <f>VALUE(點數BO!AA5)</f>
        <v>2</v>
      </c>
      <c r="AH91" s="63">
        <f>VALUE(點數BO!AB5)</f>
        <v>1</v>
      </c>
      <c r="AI91" s="63">
        <f>VALUE(點數BO!AC5)</f>
        <v>2</v>
      </c>
      <c r="AJ91" s="63">
        <f>VALUE(點數BO!AD5)</f>
        <v>0</v>
      </c>
      <c r="AK91" s="63">
        <f>VALUE(點數BO!AE5)</f>
        <v>0</v>
      </c>
      <c r="AL91" s="63">
        <f>VALUE(點數BO!AF5)</f>
        <v>0</v>
      </c>
      <c r="AM91" s="63">
        <f>VALUE(點數BO!AG5)</f>
        <v>2</v>
      </c>
      <c r="AN91" s="517">
        <f>VALUE(點數BO!AH5)</f>
        <v>18</v>
      </c>
    </row>
    <row r="92" spans="1:41" s="35" customFormat="1" ht="21.95" customHeight="1">
      <c r="A92" s="572" t="s">
        <v>14</v>
      </c>
      <c r="B92" s="573"/>
      <c r="C92" s="573"/>
      <c r="D92" s="314">
        <f>HLOOKUP(MONTH(日期!$C$2),去年月推移!$D$1:$O$200,148,TRUE)</f>
        <v>274</v>
      </c>
      <c r="E92" s="64" t="s">
        <v>45</v>
      </c>
      <c r="F92" s="64" t="s">
        <v>45</v>
      </c>
      <c r="G92" s="562">
        <f>當年月推移!P150</f>
        <v>237</v>
      </c>
      <c r="H92" s="563"/>
      <c r="I92" s="63">
        <f>VALUE(點數BO!C6)</f>
        <v>0</v>
      </c>
      <c r="J92" s="63">
        <f>VALUE(點數BO!D6)</f>
        <v>0</v>
      </c>
      <c r="K92" s="63">
        <f>VALUE(點數BO!E6)</f>
        <v>4</v>
      </c>
      <c r="L92" s="63">
        <f>VALUE(點數BO!F6)</f>
        <v>6</v>
      </c>
      <c r="M92" s="63">
        <f>VALUE(點數BO!G6)</f>
        <v>8</v>
      </c>
      <c r="N92" s="63">
        <f>VALUE(點數BO!H6)</f>
        <v>9</v>
      </c>
      <c r="O92" s="63">
        <f>VALUE(點數BO!I6)</f>
        <v>0</v>
      </c>
      <c r="P92" s="63">
        <f>VALUE(點數BO!J6)</f>
        <v>4</v>
      </c>
      <c r="Q92" s="63">
        <f>VALUE(點數BO!K6)</f>
        <v>0</v>
      </c>
      <c r="R92" s="63">
        <f>VALUE(點數BO!L6)</f>
        <v>5</v>
      </c>
      <c r="S92" s="63">
        <f>VALUE(點數BO!M6)</f>
        <v>18</v>
      </c>
      <c r="T92" s="63">
        <f>VALUE(點數BO!N6)</f>
        <v>7</v>
      </c>
      <c r="U92" s="63">
        <f>VALUE(點數BO!O6)</f>
        <v>4</v>
      </c>
      <c r="V92" s="63">
        <f>VALUE(點數BO!P6)</f>
        <v>6</v>
      </c>
      <c r="W92" s="63">
        <f>VALUE(點數BO!Q6)</f>
        <v>6</v>
      </c>
      <c r="X92" s="63">
        <f>VALUE(點數BO!R6)</f>
        <v>0</v>
      </c>
      <c r="Y92" s="63">
        <f>VALUE(點數BO!S6)</f>
        <v>24</v>
      </c>
      <c r="Z92" s="63">
        <f>VALUE(點數BO!T6)</f>
        <v>10</v>
      </c>
      <c r="AA92" s="63">
        <f>VALUE(點數BO!U6)</f>
        <v>17</v>
      </c>
      <c r="AB92" s="63">
        <f>VALUE(點數BO!V6)</f>
        <v>8</v>
      </c>
      <c r="AC92" s="63">
        <f>VALUE(點數BO!W6)</f>
        <v>2</v>
      </c>
      <c r="AD92" s="63">
        <f>VALUE(點數BO!X6)</f>
        <v>5</v>
      </c>
      <c r="AE92" s="63">
        <f>VALUE(點數BO!Y6)</f>
        <v>0</v>
      </c>
      <c r="AF92" s="63">
        <f>VALUE(點數BO!Z6)</f>
        <v>18</v>
      </c>
      <c r="AG92" s="63">
        <f>VALUE(點數BO!AA6)</f>
        <v>8</v>
      </c>
      <c r="AH92" s="63">
        <f>VALUE(點數BO!AB6)</f>
        <v>17</v>
      </c>
      <c r="AI92" s="63">
        <f>VALUE(點數BO!AC6)</f>
        <v>13</v>
      </c>
      <c r="AJ92" s="63">
        <f>VALUE(點數BO!AD6)</f>
        <v>10</v>
      </c>
      <c r="AK92" s="63">
        <f>VALUE(點數BO!AE6)</f>
        <v>10</v>
      </c>
      <c r="AL92" s="63">
        <f>VALUE(點數BO!AF6)</f>
        <v>0</v>
      </c>
      <c r="AM92" s="63">
        <f>VALUE(點數BO!AG6)</f>
        <v>13</v>
      </c>
      <c r="AN92" s="517">
        <f>VALUE(點數BO!AH6)</f>
        <v>239</v>
      </c>
    </row>
    <row r="93" spans="1:41" s="35" customFormat="1" ht="21.95" customHeight="1">
      <c r="A93" s="572" t="s">
        <v>56</v>
      </c>
      <c r="B93" s="573"/>
      <c r="C93" s="573"/>
      <c r="D93" s="314">
        <f>HLOOKUP(MONTH(日期!$C$2),去年月推移!$D$1:$O$200,149,TRUE)</f>
        <v>992</v>
      </c>
      <c r="E93" s="64" t="s">
        <v>45</v>
      </c>
      <c r="F93" s="64" t="s">
        <v>45</v>
      </c>
      <c r="G93" s="562">
        <f>當年月推移!P151</f>
        <v>558</v>
      </c>
      <c r="H93" s="563"/>
      <c r="I93" s="63">
        <f>VALUE(點數BO!C20)</f>
        <v>15</v>
      </c>
      <c r="J93" s="63">
        <f>VALUE(點數BO!D20)</f>
        <v>0</v>
      </c>
      <c r="K93" s="63">
        <f>VALUE(點數BO!E20)</f>
        <v>31</v>
      </c>
      <c r="L93" s="63">
        <f>VALUE(點數BO!F20)</f>
        <v>21</v>
      </c>
      <c r="M93" s="63">
        <f>VALUE(點數BO!G20)</f>
        <v>21</v>
      </c>
      <c r="N93" s="63">
        <f>VALUE(點數BO!H20)</f>
        <v>16</v>
      </c>
      <c r="O93" s="63">
        <f>VALUE(點數BO!I20)</f>
        <v>0</v>
      </c>
      <c r="P93" s="63">
        <f>VALUE(點數BO!J20)</f>
        <v>27</v>
      </c>
      <c r="Q93" s="63">
        <f>VALUE(點數BO!K20)</f>
        <v>0</v>
      </c>
      <c r="R93" s="63">
        <f>VALUE(點數BO!L20)</f>
        <v>38</v>
      </c>
      <c r="S93" s="63">
        <f>VALUE(點數BO!M20)</f>
        <v>40</v>
      </c>
      <c r="T93" s="63">
        <f>VALUE(點數BO!N20)</f>
        <v>41</v>
      </c>
      <c r="U93" s="63">
        <f>VALUE(點數BO!O20)</f>
        <v>52</v>
      </c>
      <c r="V93" s="63">
        <f>VALUE(點數BO!P20)</f>
        <v>37</v>
      </c>
      <c r="W93" s="63">
        <f>VALUE(點數BO!Q20)</f>
        <v>32</v>
      </c>
      <c r="X93" s="63">
        <f>VALUE(點數BO!R20)</f>
        <v>0</v>
      </c>
      <c r="Y93" s="63">
        <f>VALUE(點數BO!S20)</f>
        <v>28</v>
      </c>
      <c r="Z93" s="63">
        <f>VALUE(點數BO!T20)</f>
        <v>35</v>
      </c>
      <c r="AA93" s="63">
        <f>VALUE(點數BO!U20)</f>
        <v>19</v>
      </c>
      <c r="AB93" s="63">
        <f>VALUE(點數BO!V20)</f>
        <v>18</v>
      </c>
      <c r="AC93" s="63">
        <f>VALUE(點數BO!W20)</f>
        <v>26</v>
      </c>
      <c r="AD93" s="63">
        <f>VALUE(點數BO!X20)</f>
        <v>22</v>
      </c>
      <c r="AE93" s="63">
        <f>VALUE(點數BO!Y20)</f>
        <v>0</v>
      </c>
      <c r="AF93" s="63">
        <f>VALUE(點數BO!Z20)</f>
        <v>18</v>
      </c>
      <c r="AG93" s="63">
        <f>VALUE(點數BO!AA20)</f>
        <v>26</v>
      </c>
      <c r="AH93" s="63">
        <f>VALUE(點數BO!AB20)</f>
        <v>9</v>
      </c>
      <c r="AI93" s="63">
        <f>VALUE(點數BO!AC20)</f>
        <v>22</v>
      </c>
      <c r="AJ93" s="63">
        <f>VALUE(點數BO!AD20)</f>
        <v>13</v>
      </c>
      <c r="AK93" s="63">
        <f>VALUE(點數BO!AE20)</f>
        <v>14</v>
      </c>
      <c r="AL93" s="63">
        <f>VALUE(點數BO!AF20)</f>
        <v>0</v>
      </c>
      <c r="AM93" s="63">
        <f>VALUE(點數BO!AG20)</f>
        <v>22</v>
      </c>
      <c r="AN93" s="517">
        <f>VALUE(點數BO!AH20)</f>
        <v>665</v>
      </c>
    </row>
    <row r="94" spans="1:41" s="35" customFormat="1" ht="21.95" customHeight="1">
      <c r="A94" s="572" t="s">
        <v>16</v>
      </c>
      <c r="B94" s="573"/>
      <c r="C94" s="573"/>
      <c r="D94" s="314">
        <f>HLOOKUP(MONTH(日期!$C$2),去年月推移!$D$1:$O$200,150,TRUE)</f>
        <v>78</v>
      </c>
      <c r="E94" s="64" t="s">
        <v>45</v>
      </c>
      <c r="F94" s="64" t="s">
        <v>45</v>
      </c>
      <c r="G94" s="562">
        <f>當年月推移!P152</f>
        <v>183</v>
      </c>
      <c r="H94" s="563"/>
      <c r="I94" s="63">
        <f>VALUE(點數BO!C8)</f>
        <v>2</v>
      </c>
      <c r="J94" s="63">
        <f>VALUE(點數BO!D8)</f>
        <v>0</v>
      </c>
      <c r="K94" s="63">
        <f>VALUE(點數BO!E8)</f>
        <v>1</v>
      </c>
      <c r="L94" s="63">
        <f>VALUE(點數BO!F8)</f>
        <v>4</v>
      </c>
      <c r="M94" s="63">
        <f>VALUE(點數BO!G8)</f>
        <v>3</v>
      </c>
      <c r="N94" s="63">
        <f>VALUE(點數BO!H8)</f>
        <v>1</v>
      </c>
      <c r="O94" s="63">
        <f>VALUE(點數BO!I8)</f>
        <v>0</v>
      </c>
      <c r="P94" s="63">
        <f>VALUE(點數BO!J8)</f>
        <v>11</v>
      </c>
      <c r="Q94" s="63">
        <f>VALUE(點數BO!K8)</f>
        <v>0</v>
      </c>
      <c r="R94" s="63">
        <f>VALUE(點數BO!L8)</f>
        <v>12</v>
      </c>
      <c r="S94" s="63">
        <f>VALUE(點數BO!M8)</f>
        <v>15</v>
      </c>
      <c r="T94" s="63">
        <f>VALUE(點數BO!N8)</f>
        <v>2</v>
      </c>
      <c r="U94" s="63">
        <f>VALUE(點數BO!O8)</f>
        <v>1</v>
      </c>
      <c r="V94" s="63">
        <f>VALUE(點數BO!P8)</f>
        <v>13</v>
      </c>
      <c r="W94" s="63">
        <f>VALUE(點數BO!Q8)</f>
        <v>13</v>
      </c>
      <c r="X94" s="63">
        <f>VALUE(點數BO!R8)</f>
        <v>0</v>
      </c>
      <c r="Y94" s="63">
        <f>VALUE(點數BO!S8)</f>
        <v>6</v>
      </c>
      <c r="Z94" s="63">
        <f>VALUE(點數BO!T8)</f>
        <v>8</v>
      </c>
      <c r="AA94" s="63">
        <f>VALUE(點數BO!U8)</f>
        <v>12</v>
      </c>
      <c r="AB94" s="63">
        <f>VALUE(點數BO!V8)</f>
        <v>0</v>
      </c>
      <c r="AC94" s="63">
        <f>VALUE(點數BO!W8)</f>
        <v>1</v>
      </c>
      <c r="AD94" s="63">
        <f>VALUE(點數BO!X8)</f>
        <v>1</v>
      </c>
      <c r="AE94" s="63">
        <f>VALUE(點數BO!Y8)</f>
        <v>0</v>
      </c>
      <c r="AF94" s="63">
        <f>VALUE(點數BO!Z8)</f>
        <v>5</v>
      </c>
      <c r="AG94" s="63">
        <f>VALUE(點數BO!AA8)</f>
        <v>3</v>
      </c>
      <c r="AH94" s="63">
        <f>VALUE(點數BO!AB8)</f>
        <v>1</v>
      </c>
      <c r="AI94" s="63">
        <f>VALUE(點數BO!AC8)</f>
        <v>2</v>
      </c>
      <c r="AJ94" s="63">
        <f>VALUE(點數BO!AD8)</f>
        <v>5</v>
      </c>
      <c r="AK94" s="63">
        <f>VALUE(點數BO!AE8)</f>
        <v>1</v>
      </c>
      <c r="AL94" s="63">
        <f>VALUE(點數BO!AF8)</f>
        <v>0</v>
      </c>
      <c r="AM94" s="63">
        <f>VALUE(點數BO!AG8)</f>
        <v>14</v>
      </c>
      <c r="AN94" s="517">
        <f>VALUE(點數BO!AH8)</f>
        <v>140</v>
      </c>
    </row>
    <row r="95" spans="1:41" s="35" customFormat="1" ht="21.95" customHeight="1">
      <c r="A95" s="581" t="s">
        <v>17</v>
      </c>
      <c r="B95" s="582"/>
      <c r="C95" s="582"/>
      <c r="D95" s="314">
        <f>HLOOKUP(MONTH(日期!$C$2),去年月推移!$D$1:$O$200,151,TRUE)</f>
        <v>8</v>
      </c>
      <c r="E95" s="65" t="s">
        <v>45</v>
      </c>
      <c r="F95" s="65" t="s">
        <v>45</v>
      </c>
      <c r="G95" s="562">
        <f>當年月推移!P153</f>
        <v>6</v>
      </c>
      <c r="H95" s="563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2</v>
      </c>
      <c r="M95" s="63">
        <f>VALUE(點數BO!G9)</f>
        <v>0</v>
      </c>
      <c r="N95" s="63">
        <f>VALUE(點數BO!H9)</f>
        <v>2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3</v>
      </c>
      <c r="S95" s="63">
        <f>VALUE(點數BO!M9)</f>
        <v>3</v>
      </c>
      <c r="T95" s="63">
        <f>VALUE(點數BO!N9)</f>
        <v>2</v>
      </c>
      <c r="U95" s="63">
        <f>VALUE(點數BO!O9)</f>
        <v>1</v>
      </c>
      <c r="V95" s="63">
        <f>VALUE(點數BO!P9)</f>
        <v>1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2</v>
      </c>
      <c r="AA95" s="63">
        <f>VALUE(點數BO!U9)</f>
        <v>2</v>
      </c>
      <c r="AB95" s="63">
        <f>VALUE(點數BO!V9)</f>
        <v>0</v>
      </c>
      <c r="AC95" s="63">
        <f>VALUE(點數BO!W9)</f>
        <v>2</v>
      </c>
      <c r="AD95" s="63">
        <f>VALUE(點數BO!X9)</f>
        <v>0</v>
      </c>
      <c r="AE95" s="63">
        <f>VALUE(點數BO!Y9)</f>
        <v>0</v>
      </c>
      <c r="AF95" s="63">
        <f>VALUE(點數BO!Z9)</f>
        <v>1</v>
      </c>
      <c r="AG95" s="63">
        <f>VALUE(點數BO!AA9)</f>
        <v>2</v>
      </c>
      <c r="AH95" s="63">
        <f>VALUE(點數BO!AB9)</f>
        <v>1</v>
      </c>
      <c r="AI95" s="63">
        <f>VALUE(點數BO!AC9)</f>
        <v>1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517">
        <f>VALUE(點數BO!AH9)</f>
        <v>26</v>
      </c>
    </row>
    <row r="96" spans="1:41" s="35" customFormat="1" ht="21.95" customHeight="1">
      <c r="A96" s="583" t="s">
        <v>49</v>
      </c>
      <c r="B96" s="584"/>
      <c r="C96" s="585"/>
      <c r="D96" s="321">
        <f>HLOOKUP(MONTH(日期!$C$2),去年月推移!$D$1:$O$200,152,TRUE)</f>
        <v>6753</v>
      </c>
      <c r="E96" s="248"/>
      <c r="F96" s="248"/>
      <c r="G96" s="577">
        <f>當年月推移!P154</f>
        <v>5880</v>
      </c>
      <c r="H96" s="578"/>
      <c r="I96" s="249">
        <f>SUM(I89:I95)</f>
        <v>150</v>
      </c>
      <c r="J96" s="249">
        <f>SUM(J89:J95)</f>
        <v>0</v>
      </c>
      <c r="K96" s="249">
        <f>SUM(K89:K95)</f>
        <v>279</v>
      </c>
      <c r="L96" s="249">
        <f t="shared" ref="L96:AN96" si="11">SUM(L89:L95)</f>
        <v>230</v>
      </c>
      <c r="M96" s="249">
        <f t="shared" si="11"/>
        <v>235</v>
      </c>
      <c r="N96" s="249">
        <f t="shared" si="11"/>
        <v>198</v>
      </c>
      <c r="O96" s="249">
        <f t="shared" si="11"/>
        <v>0</v>
      </c>
      <c r="P96" s="249">
        <f t="shared" si="11"/>
        <v>202</v>
      </c>
      <c r="Q96" s="249">
        <f t="shared" si="11"/>
        <v>0</v>
      </c>
      <c r="R96" s="249">
        <f t="shared" si="11"/>
        <v>274</v>
      </c>
      <c r="S96" s="249">
        <f t="shared" si="11"/>
        <v>296</v>
      </c>
      <c r="T96" s="249">
        <f t="shared" si="11"/>
        <v>235</v>
      </c>
      <c r="U96" s="249">
        <f t="shared" si="11"/>
        <v>231</v>
      </c>
      <c r="V96" s="249">
        <f t="shared" si="11"/>
        <v>174</v>
      </c>
      <c r="W96" s="249">
        <f t="shared" si="11"/>
        <v>191</v>
      </c>
      <c r="X96" s="249">
        <f t="shared" si="11"/>
        <v>0</v>
      </c>
      <c r="Y96" s="249">
        <f t="shared" si="11"/>
        <v>250</v>
      </c>
      <c r="Z96" s="249">
        <f t="shared" si="11"/>
        <v>222</v>
      </c>
      <c r="AA96" s="249">
        <f t="shared" si="11"/>
        <v>204</v>
      </c>
      <c r="AB96" s="249">
        <f t="shared" si="11"/>
        <v>228</v>
      </c>
      <c r="AC96" s="249">
        <f t="shared" si="11"/>
        <v>172</v>
      </c>
      <c r="AD96" s="249">
        <f t="shared" si="11"/>
        <v>121</v>
      </c>
      <c r="AE96" s="249">
        <f t="shared" si="11"/>
        <v>0</v>
      </c>
      <c r="AF96" s="249">
        <f t="shared" si="11"/>
        <v>198</v>
      </c>
      <c r="AG96" s="249">
        <f t="shared" si="11"/>
        <v>186</v>
      </c>
      <c r="AH96" s="249">
        <f t="shared" si="11"/>
        <v>205</v>
      </c>
      <c r="AI96" s="249">
        <f t="shared" si="11"/>
        <v>191</v>
      </c>
      <c r="AJ96" s="249">
        <f t="shared" si="11"/>
        <v>183</v>
      </c>
      <c r="AK96" s="249">
        <f t="shared" si="11"/>
        <v>122</v>
      </c>
      <c r="AL96" s="249">
        <f t="shared" si="11"/>
        <v>0</v>
      </c>
      <c r="AM96" s="249">
        <f t="shared" si="11"/>
        <v>172</v>
      </c>
      <c r="AN96" s="250">
        <f t="shared" si="11"/>
        <v>5344</v>
      </c>
    </row>
    <row r="97" spans="1:41" s="35" customFormat="1" ht="21.95" customHeight="1">
      <c r="A97" s="572" t="s">
        <v>23</v>
      </c>
      <c r="B97" s="573"/>
      <c r="C97" s="573"/>
      <c r="D97" s="316">
        <f>HLOOKUP(MONTH(日期!$C$2),去年月推移!$D$1:$O$200,153,TRUE)</f>
        <v>923</v>
      </c>
      <c r="E97" s="64" t="s">
        <v>45</v>
      </c>
      <c r="F97" s="64" t="s">
        <v>45</v>
      </c>
      <c r="G97" s="562">
        <f>當年月推移!P155</f>
        <v>833</v>
      </c>
      <c r="H97" s="563"/>
      <c r="I97" s="63">
        <f>VALUE(點數BO!C3)</f>
        <v>26</v>
      </c>
      <c r="J97" s="63">
        <f>VALUE(點數BO!D3)</f>
        <v>0</v>
      </c>
      <c r="K97" s="63">
        <f>VALUE(點數BO!E3)</f>
        <v>41</v>
      </c>
      <c r="L97" s="63">
        <f>VALUE(點數BO!F3)</f>
        <v>49</v>
      </c>
      <c r="M97" s="63">
        <f>VALUE(點數BO!G3)</f>
        <v>54</v>
      </c>
      <c r="N97" s="63">
        <f>VALUE(點數BO!H3)</f>
        <v>25</v>
      </c>
      <c r="O97" s="63">
        <f>VALUE(點數BO!I3)</f>
        <v>0</v>
      </c>
      <c r="P97" s="63">
        <f>VALUE(點數BO!J3)</f>
        <v>23</v>
      </c>
      <c r="Q97" s="63">
        <f>VALUE(點數BO!K3)</f>
        <v>0</v>
      </c>
      <c r="R97" s="63">
        <f>VALUE(點數BO!L3)</f>
        <v>44</v>
      </c>
      <c r="S97" s="63">
        <f>VALUE(點數BO!M3)</f>
        <v>30</v>
      </c>
      <c r="T97" s="63">
        <f>VALUE(點數BO!N3)</f>
        <v>22</v>
      </c>
      <c r="U97" s="63">
        <f>VALUE(點數BO!O3)</f>
        <v>42</v>
      </c>
      <c r="V97" s="63">
        <f>VALUE(點數BO!P3)</f>
        <v>32</v>
      </c>
      <c r="W97" s="63">
        <f>VALUE(點數BO!Q3)</f>
        <v>14</v>
      </c>
      <c r="X97" s="63">
        <f>VALUE(點數BO!R3)</f>
        <v>0</v>
      </c>
      <c r="Y97" s="63">
        <f>VALUE(點數BO!S3)</f>
        <v>20</v>
      </c>
      <c r="Z97" s="63">
        <f>VALUE(點數BO!T3)</f>
        <v>26</v>
      </c>
      <c r="AA97" s="63">
        <f>VALUE(點數BO!U3)</f>
        <v>21</v>
      </c>
      <c r="AB97" s="63">
        <f>VALUE(點數BO!V3)</f>
        <v>27</v>
      </c>
      <c r="AC97" s="63">
        <f>VALUE(點數BO!W3)</f>
        <v>23</v>
      </c>
      <c r="AD97" s="63">
        <f>VALUE(點數BO!X3)</f>
        <v>13</v>
      </c>
      <c r="AE97" s="63">
        <f>VALUE(點數BO!Y3)</f>
        <v>0</v>
      </c>
      <c r="AF97" s="63">
        <f>VALUE(點數BO!Z3)</f>
        <v>29</v>
      </c>
      <c r="AG97" s="63">
        <f>VALUE(點數BO!AA3)</f>
        <v>34</v>
      </c>
      <c r="AH97" s="63">
        <f>VALUE(點數BO!AB3)</f>
        <v>18</v>
      </c>
      <c r="AI97" s="63">
        <f>VALUE(點數BO!AC3)</f>
        <v>22</v>
      </c>
      <c r="AJ97" s="63">
        <f>VALUE(點數BO!AD3)</f>
        <v>26</v>
      </c>
      <c r="AK97" s="63">
        <f>VALUE(點數BO!AE3)</f>
        <v>13</v>
      </c>
      <c r="AL97" s="63">
        <f>VALUE(點數BO!AF3)</f>
        <v>0</v>
      </c>
      <c r="AM97" s="63">
        <f>VALUE(點數BO!AG3)</f>
        <v>21</v>
      </c>
      <c r="AN97" s="517">
        <f>VALUE(點數BO!AH3)</f>
        <v>727</v>
      </c>
    </row>
    <row r="98" spans="1:41" s="35" customFormat="1" ht="21.95" customHeight="1">
      <c r="A98" s="574" t="s">
        <v>24</v>
      </c>
      <c r="B98" s="575"/>
      <c r="C98" s="576"/>
      <c r="D98" s="314">
        <f>HLOOKUP(MONTH(日期!$C$2),去年月推移!$D$1:$O$200,154,TRUE)</f>
        <v>0</v>
      </c>
      <c r="E98" s="65"/>
      <c r="F98" s="65"/>
      <c r="G98" s="562">
        <f>當年月推移!P156</f>
        <v>14</v>
      </c>
      <c r="H98" s="563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7">
        <f>VALUE(點數BO!AH10)</f>
        <v>0</v>
      </c>
    </row>
    <row r="99" spans="1:41" s="35" customFormat="1" ht="21.95" customHeight="1">
      <c r="A99" s="574" t="s">
        <v>25</v>
      </c>
      <c r="B99" s="575"/>
      <c r="C99" s="576"/>
      <c r="D99" s="314">
        <f>HLOOKUP(MONTH(日期!$C$2),去年月推移!$D$1:$O$200,155,TRUE)</f>
        <v>150</v>
      </c>
      <c r="E99" s="65"/>
      <c r="F99" s="65"/>
      <c r="G99" s="562">
        <f>當年月推移!P157</f>
        <v>19</v>
      </c>
      <c r="H99" s="563"/>
      <c r="I99" s="63">
        <f>VALUE(點數BO!C11)</f>
        <v>0</v>
      </c>
      <c r="J99" s="63">
        <f>VALUE(點數BO!D11)</f>
        <v>0</v>
      </c>
      <c r="K99" s="63">
        <f>VALUE(點數BO!E11)</f>
        <v>1</v>
      </c>
      <c r="L99" s="63">
        <f>VALUE(點數BO!F11)</f>
        <v>1</v>
      </c>
      <c r="M99" s="63">
        <f>VALUE(點數BO!G11)</f>
        <v>1</v>
      </c>
      <c r="N99" s="63">
        <f>VALUE(點數BO!H11)</f>
        <v>0</v>
      </c>
      <c r="O99" s="63">
        <f>VALUE(點數BO!I11)</f>
        <v>0</v>
      </c>
      <c r="P99" s="63">
        <f>VALUE(點數BO!J11)</f>
        <v>1</v>
      </c>
      <c r="Q99" s="63">
        <f>VALUE(點數BO!K11)</f>
        <v>0</v>
      </c>
      <c r="R99" s="63">
        <f>VALUE(點數BO!L11)</f>
        <v>0</v>
      </c>
      <c r="S99" s="63">
        <f>VALUE(點數BO!M11)</f>
        <v>1</v>
      </c>
      <c r="T99" s="63">
        <f>VALUE(點數BO!N11)</f>
        <v>3</v>
      </c>
      <c r="U99" s="63">
        <f>VALUE(點數BO!O11)</f>
        <v>2</v>
      </c>
      <c r="V99" s="63">
        <f>VALUE(點數BO!P11)</f>
        <v>0</v>
      </c>
      <c r="W99" s="63">
        <f>VALUE(點數BO!Q11)</f>
        <v>0</v>
      </c>
      <c r="X99" s="63">
        <f>VALUE(點數BO!R11)</f>
        <v>0</v>
      </c>
      <c r="Y99" s="63">
        <f>VALUE(點數BO!S11)</f>
        <v>2</v>
      </c>
      <c r="Z99" s="63">
        <f>VALUE(點數BO!T11)</f>
        <v>3</v>
      </c>
      <c r="AA99" s="63">
        <f>VALUE(點數BO!U11)</f>
        <v>0</v>
      </c>
      <c r="AB99" s="63">
        <f>VALUE(點數BO!V11)</f>
        <v>3</v>
      </c>
      <c r="AC99" s="63">
        <f>VALUE(點數BO!W11)</f>
        <v>2</v>
      </c>
      <c r="AD99" s="63">
        <f>VALUE(點數BO!X11)</f>
        <v>0</v>
      </c>
      <c r="AE99" s="63">
        <f>VALUE(點數BO!Y11)</f>
        <v>0</v>
      </c>
      <c r="AF99" s="63">
        <f>VALUE(點數BO!Z11)</f>
        <v>3</v>
      </c>
      <c r="AG99" s="63">
        <f>VALUE(點數BO!AA11)</f>
        <v>1</v>
      </c>
      <c r="AH99" s="63">
        <f>VALUE(點數BO!AB11)</f>
        <v>2</v>
      </c>
      <c r="AI99" s="63">
        <f>VALUE(點數BO!AC11)</f>
        <v>0</v>
      </c>
      <c r="AJ99" s="63">
        <f>VALUE(點數BO!AD11)</f>
        <v>0</v>
      </c>
      <c r="AK99" s="63">
        <f>VALUE(點數BO!AE11)</f>
        <v>0</v>
      </c>
      <c r="AL99" s="63">
        <f>VALUE(點數BO!AF11)</f>
        <v>0</v>
      </c>
      <c r="AM99" s="63">
        <f>VALUE(點數BO!AG11)</f>
        <v>2</v>
      </c>
      <c r="AN99" s="517">
        <f>VALUE(點數BO!AH11)</f>
        <v>30</v>
      </c>
    </row>
    <row r="100" spans="1:41" s="35" customFormat="1" ht="21.95" customHeight="1">
      <c r="A100" s="574" t="s">
        <v>26</v>
      </c>
      <c r="B100" s="575"/>
      <c r="C100" s="576"/>
      <c r="D100" s="314">
        <f>HLOOKUP(MONTH(日期!$C$2),去年月推移!$D$1:$O$200,156,TRUE)</f>
        <v>248</v>
      </c>
      <c r="E100" s="65"/>
      <c r="F100" s="65"/>
      <c r="G100" s="562">
        <f>當年月推移!P158</f>
        <v>305</v>
      </c>
      <c r="H100" s="563"/>
      <c r="I100" s="63">
        <f>VALUE(點數BO!C12)</f>
        <v>16</v>
      </c>
      <c r="J100" s="63">
        <f>VALUE(點數BO!D12)</f>
        <v>0</v>
      </c>
      <c r="K100" s="63">
        <f>VALUE(點數BO!E12)</f>
        <v>21</v>
      </c>
      <c r="L100" s="63">
        <f>VALUE(點數BO!F12)</f>
        <v>24</v>
      </c>
      <c r="M100" s="63">
        <f>VALUE(點數BO!G12)</f>
        <v>14</v>
      </c>
      <c r="N100" s="63">
        <f>VALUE(點數BO!H12)</f>
        <v>18</v>
      </c>
      <c r="O100" s="63">
        <f>VALUE(點數BO!I12)</f>
        <v>0</v>
      </c>
      <c r="P100" s="63">
        <f>VALUE(點數BO!J12)</f>
        <v>17</v>
      </c>
      <c r="Q100" s="63">
        <f>VALUE(點數BO!K12)</f>
        <v>0</v>
      </c>
      <c r="R100" s="63">
        <f>VALUE(點數BO!L12)</f>
        <v>13</v>
      </c>
      <c r="S100" s="63">
        <f>VALUE(點數BO!M12)</f>
        <v>13</v>
      </c>
      <c r="T100" s="63">
        <f>VALUE(點數BO!N12)</f>
        <v>12</v>
      </c>
      <c r="U100" s="63">
        <f>VALUE(點數BO!O12)</f>
        <v>14</v>
      </c>
      <c r="V100" s="63">
        <f>VALUE(點數BO!P12)</f>
        <v>6</v>
      </c>
      <c r="W100" s="63">
        <f>VALUE(點數BO!Q12)</f>
        <v>8</v>
      </c>
      <c r="X100" s="63">
        <f>VALUE(點數BO!R12)</f>
        <v>0</v>
      </c>
      <c r="Y100" s="63">
        <f>VALUE(點數BO!S12)</f>
        <v>13</v>
      </c>
      <c r="Z100" s="63">
        <f>VALUE(點數BO!T12)</f>
        <v>16</v>
      </c>
      <c r="AA100" s="63">
        <f>VALUE(點數BO!U12)</f>
        <v>15</v>
      </c>
      <c r="AB100" s="63">
        <f>VALUE(點數BO!V12)</f>
        <v>53</v>
      </c>
      <c r="AC100" s="63">
        <f>VALUE(點數BO!W12)</f>
        <v>29</v>
      </c>
      <c r="AD100" s="63">
        <f>VALUE(點數BO!X12)</f>
        <v>17</v>
      </c>
      <c r="AE100" s="63">
        <f>VALUE(點數BO!Y12)</f>
        <v>0</v>
      </c>
      <c r="AF100" s="63">
        <f>VALUE(點數BO!Z12)</f>
        <v>12</v>
      </c>
      <c r="AG100" s="63">
        <f>VALUE(點數BO!AA12)</f>
        <v>7</v>
      </c>
      <c r="AH100" s="63">
        <f>VALUE(點數BO!AB12)</f>
        <v>8</v>
      </c>
      <c r="AI100" s="63">
        <f>VALUE(點數BO!AC12)</f>
        <v>7</v>
      </c>
      <c r="AJ100" s="63">
        <f>VALUE(點數BO!AD12)</f>
        <v>7</v>
      </c>
      <c r="AK100" s="63">
        <f>VALUE(點數BO!AE12)</f>
        <v>3</v>
      </c>
      <c r="AL100" s="63">
        <f>VALUE(點數BO!AF12)</f>
        <v>0</v>
      </c>
      <c r="AM100" s="63">
        <f>VALUE(點數BO!AG12)</f>
        <v>8</v>
      </c>
      <c r="AN100" s="517">
        <f>VALUE(點數BO!AH12)</f>
        <v>394</v>
      </c>
    </row>
    <row r="101" spans="1:41" s="35" customFormat="1" ht="21.95" customHeight="1">
      <c r="A101" s="574" t="s">
        <v>27</v>
      </c>
      <c r="B101" s="575"/>
      <c r="C101" s="576"/>
      <c r="D101" s="314">
        <f>HLOOKUP(MONTH(日期!$C$2),去年月推移!$D$1:$O$200,157,TRUE)</f>
        <v>27</v>
      </c>
      <c r="E101" s="65" t="s">
        <v>45</v>
      </c>
      <c r="F101" s="65" t="s">
        <v>45</v>
      </c>
      <c r="G101" s="562">
        <f>當年月推移!P159</f>
        <v>192</v>
      </c>
      <c r="H101" s="563"/>
      <c r="I101" s="63">
        <f>VALUE(點數BO!C13)</f>
        <v>1</v>
      </c>
      <c r="J101" s="63">
        <f>VALUE(點數BO!D13)</f>
        <v>0</v>
      </c>
      <c r="K101" s="63">
        <f>VALUE(點數BO!E13)</f>
        <v>5</v>
      </c>
      <c r="L101" s="63">
        <f>VALUE(點數BO!F13)</f>
        <v>1</v>
      </c>
      <c r="M101" s="63">
        <f>VALUE(點數BO!G13)</f>
        <v>4</v>
      </c>
      <c r="N101" s="63">
        <f>VALUE(點數BO!H13)</f>
        <v>8</v>
      </c>
      <c r="O101" s="63">
        <f>VALUE(點數BO!I13)</f>
        <v>0</v>
      </c>
      <c r="P101" s="63">
        <f>VALUE(點數BO!J13)</f>
        <v>4</v>
      </c>
      <c r="Q101" s="63">
        <f>VALUE(點數BO!K13)</f>
        <v>0</v>
      </c>
      <c r="R101" s="63">
        <f>VALUE(點數BO!L13)</f>
        <v>1</v>
      </c>
      <c r="S101" s="63">
        <f>VALUE(點數BO!M13)</f>
        <v>9</v>
      </c>
      <c r="T101" s="63">
        <f>VALUE(點數BO!N13)</f>
        <v>3</v>
      </c>
      <c r="U101" s="63">
        <f>VALUE(點數BO!O13)</f>
        <v>2</v>
      </c>
      <c r="V101" s="63">
        <f>VALUE(點數BO!P13)</f>
        <v>1</v>
      </c>
      <c r="W101" s="63">
        <f>VALUE(點數BO!Q13)</f>
        <v>0</v>
      </c>
      <c r="X101" s="63">
        <f>VALUE(點數BO!R13)</f>
        <v>0</v>
      </c>
      <c r="Y101" s="63">
        <f>VALUE(點數BO!S13)</f>
        <v>8</v>
      </c>
      <c r="Z101" s="63">
        <f>VALUE(點數BO!T13)</f>
        <v>5</v>
      </c>
      <c r="AA101" s="63">
        <f>VALUE(點數BO!U13)</f>
        <v>2</v>
      </c>
      <c r="AB101" s="63">
        <f>VALUE(點數BO!V13)</f>
        <v>2</v>
      </c>
      <c r="AC101" s="63">
        <f>VALUE(點數BO!W13)</f>
        <v>2</v>
      </c>
      <c r="AD101" s="63">
        <f>VALUE(點數BO!X13)</f>
        <v>5</v>
      </c>
      <c r="AE101" s="63">
        <f>VALUE(點數BO!Y13)</f>
        <v>0</v>
      </c>
      <c r="AF101" s="63">
        <f>VALUE(點數BO!Z13)</f>
        <v>6</v>
      </c>
      <c r="AG101" s="63">
        <f>VALUE(點數BO!AA13)</f>
        <v>4</v>
      </c>
      <c r="AH101" s="63">
        <f>VALUE(點數BO!AB13)</f>
        <v>8</v>
      </c>
      <c r="AI101" s="63">
        <f>VALUE(點數BO!AC13)</f>
        <v>6</v>
      </c>
      <c r="AJ101" s="63">
        <f>VALUE(點數BO!AD13)</f>
        <v>2</v>
      </c>
      <c r="AK101" s="63">
        <f>VALUE(點數BO!AE13)</f>
        <v>0</v>
      </c>
      <c r="AL101" s="63">
        <f>VALUE(點數BO!AF13)</f>
        <v>0</v>
      </c>
      <c r="AM101" s="63">
        <f>VALUE(點數BO!AG13)</f>
        <v>1</v>
      </c>
      <c r="AN101" s="517">
        <f>VALUE(點數BO!AH13)</f>
        <v>94</v>
      </c>
    </row>
    <row r="102" spans="1:41" s="35" customFormat="1" ht="21.95" customHeight="1">
      <c r="A102" s="574" t="s">
        <v>28</v>
      </c>
      <c r="B102" s="575"/>
      <c r="C102" s="576"/>
      <c r="D102" s="315">
        <f>HLOOKUP(MONTH(日期!$C$2),去年月推移!$D$1:$O$200,158,TRUE)</f>
        <v>1</v>
      </c>
      <c r="E102" s="65"/>
      <c r="F102" s="65"/>
      <c r="G102" s="562">
        <f>當年月推移!P160</f>
        <v>2</v>
      </c>
      <c r="H102" s="563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7">
        <f>VALUE(點數BO!AH14)</f>
        <v>0</v>
      </c>
    </row>
    <row r="103" spans="1:41" s="67" customFormat="1" ht="21.95" customHeight="1" thickBot="1">
      <c r="A103" s="579" t="s">
        <v>50</v>
      </c>
      <c r="B103" s="580"/>
      <c r="C103" s="580"/>
      <c r="D103" s="66">
        <f>HLOOKUP(MONTH(日期!$C$2),去年月推移!$D$1:$O$200,159,TRUE)</f>
        <v>1349</v>
      </c>
      <c r="E103" s="66" t="s">
        <v>45</v>
      </c>
      <c r="F103" s="66" t="s">
        <v>45</v>
      </c>
      <c r="G103" s="564">
        <f>當年月推移!P161</f>
        <v>1365</v>
      </c>
      <c r="H103" s="565"/>
      <c r="I103" s="66">
        <f>SUM(I97:I102)</f>
        <v>43</v>
      </c>
      <c r="J103" s="66">
        <f>SUM(J97:J102)</f>
        <v>0</v>
      </c>
      <c r="K103" s="66">
        <f t="shared" ref="K103:AN103" si="12">SUM(K97:K102)</f>
        <v>68</v>
      </c>
      <c r="L103" s="66">
        <f t="shared" si="12"/>
        <v>75</v>
      </c>
      <c r="M103" s="66">
        <f t="shared" si="12"/>
        <v>73</v>
      </c>
      <c r="N103" s="66">
        <f t="shared" si="12"/>
        <v>51</v>
      </c>
      <c r="O103" s="66">
        <f t="shared" si="12"/>
        <v>0</v>
      </c>
      <c r="P103" s="66">
        <f t="shared" si="12"/>
        <v>45</v>
      </c>
      <c r="Q103" s="66">
        <f t="shared" si="12"/>
        <v>0</v>
      </c>
      <c r="R103" s="66">
        <f t="shared" si="12"/>
        <v>58</v>
      </c>
      <c r="S103" s="66">
        <f t="shared" si="12"/>
        <v>53</v>
      </c>
      <c r="T103" s="66">
        <f t="shared" si="12"/>
        <v>40</v>
      </c>
      <c r="U103" s="66">
        <f t="shared" si="12"/>
        <v>60</v>
      </c>
      <c r="V103" s="66">
        <f t="shared" si="12"/>
        <v>39</v>
      </c>
      <c r="W103" s="66">
        <f t="shared" si="12"/>
        <v>22</v>
      </c>
      <c r="X103" s="66">
        <f t="shared" si="12"/>
        <v>0</v>
      </c>
      <c r="Y103" s="66">
        <f t="shared" si="12"/>
        <v>43</v>
      </c>
      <c r="Z103" s="66">
        <f t="shared" si="12"/>
        <v>50</v>
      </c>
      <c r="AA103" s="66">
        <f t="shared" si="12"/>
        <v>38</v>
      </c>
      <c r="AB103" s="66">
        <f t="shared" si="12"/>
        <v>85</v>
      </c>
      <c r="AC103" s="66">
        <f t="shared" si="12"/>
        <v>56</v>
      </c>
      <c r="AD103" s="66">
        <f t="shared" si="12"/>
        <v>35</v>
      </c>
      <c r="AE103" s="66">
        <f t="shared" si="12"/>
        <v>0</v>
      </c>
      <c r="AF103" s="66">
        <f t="shared" si="12"/>
        <v>50</v>
      </c>
      <c r="AG103" s="66">
        <f t="shared" si="12"/>
        <v>46</v>
      </c>
      <c r="AH103" s="66">
        <f t="shared" si="12"/>
        <v>36</v>
      </c>
      <c r="AI103" s="66">
        <f t="shared" si="12"/>
        <v>35</v>
      </c>
      <c r="AJ103" s="66">
        <f t="shared" si="12"/>
        <v>35</v>
      </c>
      <c r="AK103" s="66">
        <f t="shared" si="12"/>
        <v>16</v>
      </c>
      <c r="AL103" s="66">
        <f t="shared" si="12"/>
        <v>0</v>
      </c>
      <c r="AM103" s="66">
        <f t="shared" si="12"/>
        <v>32</v>
      </c>
      <c r="AN103" s="218">
        <f t="shared" si="12"/>
        <v>1245</v>
      </c>
      <c r="AO103" s="16">
        <f>SUM(I103:AM103)</f>
        <v>1184</v>
      </c>
    </row>
    <row r="104" spans="1:41" s="67" customFormat="1" ht="21.95" customHeight="1">
      <c r="A104" s="566" t="s">
        <v>31</v>
      </c>
      <c r="B104" s="567"/>
      <c r="C104" s="568"/>
      <c r="D104" s="316">
        <f>HLOOKUP(MONTH(日期!$C$2),去年月推移!$D$1:$O$200,160,TRUE)</f>
        <v>0</v>
      </c>
      <c r="E104" s="273"/>
      <c r="F104" s="273"/>
      <c r="G104" s="560">
        <f>當年月推移!P162</f>
        <v>0</v>
      </c>
      <c r="H104" s="561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8">
        <f>VALUE(點數BO!AH15)</f>
        <v>0</v>
      </c>
      <c r="AO104" s="16"/>
    </row>
    <row r="105" spans="1:41" s="67" customFormat="1" ht="21.95" customHeight="1">
      <c r="A105" s="569" t="s">
        <v>32</v>
      </c>
      <c r="B105" s="570"/>
      <c r="C105" s="571"/>
      <c r="D105" s="316">
        <f>HLOOKUP(MONTH(日期!$C$2),去年月推移!$D$1:$O$200,161,TRUE)</f>
        <v>0</v>
      </c>
      <c r="E105" s="274"/>
      <c r="F105" s="274"/>
      <c r="G105" s="562">
        <f>當年月推移!P163</f>
        <v>0</v>
      </c>
      <c r="H105" s="563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9">
        <f>VALUE(點數BO!AH16)</f>
        <v>0</v>
      </c>
      <c r="AO105" s="16"/>
    </row>
    <row r="106" spans="1:41" s="67" customFormat="1" ht="21.95" customHeight="1">
      <c r="A106" s="569" t="s">
        <v>33</v>
      </c>
      <c r="B106" s="570"/>
      <c r="C106" s="571"/>
      <c r="D106" s="316">
        <f>HLOOKUP(MONTH(日期!$C$2),去年月推移!$D$1:$O$200,162,TRUE)</f>
        <v>0</v>
      </c>
      <c r="E106" s="274"/>
      <c r="F106" s="274"/>
      <c r="G106" s="562">
        <f>當年月推移!P164</f>
        <v>0</v>
      </c>
      <c r="H106" s="563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9">
        <f>VALUE(點數BO!AH17)</f>
        <v>0</v>
      </c>
      <c r="AO106" s="16"/>
    </row>
    <row r="107" spans="1:41" s="67" customFormat="1" ht="21.95" customHeight="1">
      <c r="A107" s="569" t="s">
        <v>34</v>
      </c>
      <c r="B107" s="570"/>
      <c r="C107" s="571"/>
      <c r="D107" s="316">
        <f>HLOOKUP(MONTH(日期!$C$2),去年月推移!$D$1:$O$200,163,TRUE)</f>
        <v>0</v>
      </c>
      <c r="E107" s="274"/>
      <c r="F107" s="274"/>
      <c r="G107" s="562">
        <f>當年月推移!P165</f>
        <v>0</v>
      </c>
      <c r="H107" s="563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9">
        <f>VALUE(點數BO!AH18)</f>
        <v>0</v>
      </c>
      <c r="AO107" s="16"/>
    </row>
    <row r="108" spans="1:41" s="67" customFormat="1" ht="21.95" customHeight="1">
      <c r="A108" s="569" t="s">
        <v>35</v>
      </c>
      <c r="B108" s="570"/>
      <c r="C108" s="571"/>
      <c r="D108" s="316">
        <f>HLOOKUP(MONTH(日期!$C$2),去年月推移!$D$1:$O$200,164,TRUE)</f>
        <v>0</v>
      </c>
      <c r="E108" s="298"/>
      <c r="F108" s="298"/>
      <c r="G108" s="562">
        <f>當年月推移!P166</f>
        <v>0</v>
      </c>
      <c r="H108" s="563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9">
        <f>VALUE(點數BO!AH19)</f>
        <v>0</v>
      </c>
      <c r="AO108" s="16"/>
    </row>
    <row r="109" spans="1:41" s="67" customFormat="1" ht="21.95" customHeight="1" thickBot="1">
      <c r="A109" s="557" t="s">
        <v>30</v>
      </c>
      <c r="B109" s="558"/>
      <c r="C109" s="559"/>
      <c r="D109" s="66">
        <f>HLOOKUP(MONTH(日期!$C$2),去年月推移!$D$1:$O$200,165,TRUE)</f>
        <v>0</v>
      </c>
      <c r="E109" s="66"/>
      <c r="F109" s="66"/>
      <c r="G109" s="564">
        <f>當年月推移!P167</f>
        <v>0</v>
      </c>
      <c r="H109" s="565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AH6" activePane="bottomRight" state="frozen"/>
      <selection pane="bottomRight" activeCell="K79" sqref="K7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4" t="s">
        <v>1</v>
      </c>
      <c r="B4" s="674" t="s">
        <v>67</v>
      </c>
      <c r="C4" s="544" t="str">
        <f>YEAR(日期!C2)&amp;"年"&amp;MONTH(日期!C2)&amp;"月"</f>
        <v>2025年3月</v>
      </c>
      <c r="D4" s="545" t="str">
        <f>日期!C2</f>
        <v>2025/03/01</v>
      </c>
      <c r="E4" s="545" t="str">
        <f>日期!D2</f>
        <v>2025/03/02</v>
      </c>
      <c r="F4" s="545" t="str">
        <f>日期!E2</f>
        <v>2025/03/03</v>
      </c>
      <c r="G4" s="545" t="str">
        <f>日期!F2</f>
        <v>2025/03/04</v>
      </c>
      <c r="H4" s="545" t="str">
        <f>日期!G2</f>
        <v>2025/03/05</v>
      </c>
      <c r="I4" s="545" t="str">
        <f>日期!H2</f>
        <v>2025/03/06</v>
      </c>
      <c r="J4" s="545" t="str">
        <f>日期!I2</f>
        <v>2025/03/07</v>
      </c>
      <c r="K4" s="545" t="str">
        <f>日期!J2</f>
        <v>2025/03/08</v>
      </c>
      <c r="L4" s="545" t="str">
        <f>日期!K2</f>
        <v>2025/03/09</v>
      </c>
      <c r="M4" s="545" t="str">
        <f>日期!L2</f>
        <v>2025/03/10</v>
      </c>
      <c r="N4" s="545" t="str">
        <f>日期!M2</f>
        <v>2025/03/11</v>
      </c>
      <c r="O4" s="545" t="str">
        <f>日期!N2</f>
        <v>2025/03/12</v>
      </c>
      <c r="P4" s="545" t="str">
        <f>日期!O2</f>
        <v>2025/03/13</v>
      </c>
      <c r="Q4" s="545" t="str">
        <f>日期!P2</f>
        <v>2025/03/14</v>
      </c>
      <c r="R4" s="545" t="str">
        <f>日期!Q2</f>
        <v>2025/03/15</v>
      </c>
      <c r="S4" s="545" t="str">
        <f>日期!R2</f>
        <v>2025/03/16</v>
      </c>
      <c r="T4" s="545" t="str">
        <f>日期!S2</f>
        <v>2025/03/17</v>
      </c>
      <c r="U4" s="545" t="str">
        <f>日期!T2</f>
        <v>2025/03/18</v>
      </c>
      <c r="V4" s="545" t="str">
        <f>日期!U2</f>
        <v>2025/03/19</v>
      </c>
      <c r="W4" s="545" t="str">
        <f>日期!V2</f>
        <v>2025/03/20</v>
      </c>
      <c r="X4" s="545" t="str">
        <f>日期!W2</f>
        <v>2025/03/21</v>
      </c>
      <c r="Y4" s="545" t="str">
        <f>日期!X2</f>
        <v>2025/03/22</v>
      </c>
      <c r="Z4" s="545" t="str">
        <f>日期!Y2</f>
        <v>2025/03/23</v>
      </c>
      <c r="AA4" s="545" t="str">
        <f>日期!Z2</f>
        <v>2025/03/24</v>
      </c>
      <c r="AB4" s="545" t="str">
        <f>日期!AA2</f>
        <v>2025/03/25</v>
      </c>
      <c r="AC4" s="545" t="str">
        <f>日期!AB2</f>
        <v>2025/03/26</v>
      </c>
      <c r="AD4" s="545" t="str">
        <f>日期!AC2</f>
        <v>2025/03/27</v>
      </c>
      <c r="AE4" s="545" t="str">
        <f>日期!AD2</f>
        <v>2025/03/28</v>
      </c>
      <c r="AF4" s="545" t="str">
        <f>日期!AE2</f>
        <v>2025/03/29</v>
      </c>
      <c r="AG4" s="545" t="str">
        <f>日期!AF2</f>
        <v>2025/03/30</v>
      </c>
      <c r="AH4" s="545" t="str">
        <f>日期!AG2</f>
        <v>2025/03/31</v>
      </c>
      <c r="AI4" s="674" t="s">
        <v>68</v>
      </c>
      <c r="AJ4" s="674" t="s">
        <v>69</v>
      </c>
      <c r="AK4" s="544" t="str">
        <f>YEAR(日期!C2)&amp;"年"&amp;MONTH(日期!C2)+1&amp;"月"</f>
        <v>2025年4月</v>
      </c>
    </row>
    <row r="5" spans="1:37" s="77" customFormat="1" ht="27" customHeight="1">
      <c r="A5" s="675"/>
      <c r="B5" s="675"/>
      <c r="C5" s="546" t="s">
        <v>70</v>
      </c>
      <c r="D5" s="547" t="str">
        <f>日期!C3</f>
        <v>Sat</v>
      </c>
      <c r="E5" s="547" t="str">
        <f>日期!D3</f>
        <v>Sun</v>
      </c>
      <c r="F5" s="547" t="str">
        <f>日期!E3</f>
        <v>Mon</v>
      </c>
      <c r="G5" s="547" t="str">
        <f>日期!F3</f>
        <v>Tue</v>
      </c>
      <c r="H5" s="547" t="str">
        <f>日期!G3</f>
        <v>Wed</v>
      </c>
      <c r="I5" s="547" t="str">
        <f>日期!H3</f>
        <v>Thu</v>
      </c>
      <c r="J5" s="547" t="str">
        <f>日期!I3</f>
        <v>Fri</v>
      </c>
      <c r="K5" s="547" t="str">
        <f>日期!J3</f>
        <v>Sat</v>
      </c>
      <c r="L5" s="547" t="str">
        <f>日期!K3</f>
        <v>Sun</v>
      </c>
      <c r="M5" s="547" t="str">
        <f>日期!L3</f>
        <v>Mon</v>
      </c>
      <c r="N5" s="547" t="str">
        <f>日期!M3</f>
        <v>Tue</v>
      </c>
      <c r="O5" s="547" t="str">
        <f>日期!N3</f>
        <v>Wed</v>
      </c>
      <c r="P5" s="547" t="str">
        <f>日期!O3</f>
        <v>Thu</v>
      </c>
      <c r="Q5" s="547" t="str">
        <f>日期!P3</f>
        <v>Fri</v>
      </c>
      <c r="R5" s="547" t="str">
        <f>日期!Q3</f>
        <v>Sat</v>
      </c>
      <c r="S5" s="547" t="str">
        <f>日期!R3</f>
        <v>Sun</v>
      </c>
      <c r="T5" s="547" t="str">
        <f>日期!S3</f>
        <v>Mon</v>
      </c>
      <c r="U5" s="547" t="str">
        <f>日期!T3</f>
        <v>Tue</v>
      </c>
      <c r="V5" s="547" t="str">
        <f>日期!U3</f>
        <v>Wed</v>
      </c>
      <c r="W5" s="547" t="str">
        <f>日期!V3</f>
        <v>Thu</v>
      </c>
      <c r="X5" s="547" t="str">
        <f>日期!W3</f>
        <v>Fri</v>
      </c>
      <c r="Y5" s="547" t="str">
        <f>日期!X3</f>
        <v>Sat</v>
      </c>
      <c r="Z5" s="547" t="str">
        <f>日期!Y3</f>
        <v>Sun</v>
      </c>
      <c r="AA5" s="547" t="str">
        <f>日期!Z3</f>
        <v>Mon</v>
      </c>
      <c r="AB5" s="547" t="str">
        <f>日期!AA3</f>
        <v>Tue</v>
      </c>
      <c r="AC5" s="547" t="str">
        <f>日期!AB3</f>
        <v>Wed</v>
      </c>
      <c r="AD5" s="547" t="str">
        <f>日期!AC3</f>
        <v>Thu</v>
      </c>
      <c r="AE5" s="547" t="str">
        <f>日期!AD3</f>
        <v>Fri</v>
      </c>
      <c r="AF5" s="547" t="str">
        <f>日期!AE3</f>
        <v>Sat</v>
      </c>
      <c r="AG5" s="547" t="str">
        <f>日期!AF3</f>
        <v>Sun</v>
      </c>
      <c r="AH5" s="547" t="str">
        <f>日期!AG3</f>
        <v>Mon</v>
      </c>
      <c r="AI5" s="675"/>
      <c r="AJ5" s="675"/>
      <c r="AK5" s="548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141401650.7698966</v>
      </c>
      <c r="D6" s="88">
        <f>VALUE(庫存金額A類!C2)</f>
        <v>147317718</v>
      </c>
      <c r="E6" s="88">
        <f>VALUE(庫存金額A類!D2)</f>
        <v>147317425</v>
      </c>
      <c r="F6" s="88">
        <f>VALUE(庫存金額A類!E2)</f>
        <v>147149140</v>
      </c>
      <c r="G6" s="88">
        <f>VALUE(庫存金額A類!F2)</f>
        <v>147216219</v>
      </c>
      <c r="H6" s="88">
        <f>VALUE(庫存金額A類!G2)</f>
        <v>146086855</v>
      </c>
      <c r="I6" s="88">
        <f>VALUE(庫存金額A類!H2)</f>
        <v>145171650</v>
      </c>
      <c r="J6" s="88">
        <f>VALUE(庫存金額A類!I2)</f>
        <v>146419562</v>
      </c>
      <c r="K6" s="88">
        <f>VALUE(庫存金額A類!J2)</f>
        <v>143417931</v>
      </c>
      <c r="L6" s="88">
        <f>VALUE(庫存金額A類!K2)</f>
        <v>143399932</v>
      </c>
      <c r="M6" s="88">
        <f>VALUE(庫存金額A類!L2)</f>
        <v>146251058</v>
      </c>
      <c r="N6" s="88">
        <f>VALUE(庫存金額A類!M2)</f>
        <v>146287657</v>
      </c>
      <c r="O6" s="88">
        <f>VALUE(庫存金額A類!N2)</f>
        <v>147765961</v>
      </c>
      <c r="P6" s="88">
        <f>VALUE(庫存金額A類!O2)</f>
        <v>147198012</v>
      </c>
      <c r="Q6" s="88">
        <f>VALUE(庫存金額A類!P2)</f>
        <v>147974078</v>
      </c>
      <c r="R6" s="88">
        <f>VALUE(庫存金額A類!Q2)</f>
        <v>145189881</v>
      </c>
      <c r="S6" s="88">
        <f>VALUE(庫存金額A類!R2)</f>
        <v>145188441</v>
      </c>
      <c r="T6" s="88">
        <f>VALUE(庫存金額A類!S2)</f>
        <v>145302688</v>
      </c>
      <c r="U6" s="88">
        <f>VALUE(庫存金額A類!T2)</f>
        <v>143309207</v>
      </c>
      <c r="V6" s="88">
        <f>VALUE(庫存金額A類!U2)</f>
        <v>144955985</v>
      </c>
      <c r="W6" s="88">
        <f>VALUE(庫存金額A類!V2)</f>
        <v>146807279</v>
      </c>
      <c r="X6" s="88">
        <f>VALUE(庫存金額A類!W2)</f>
        <v>147722294</v>
      </c>
      <c r="Y6" s="88">
        <f>VALUE(庫存金額A類!X2)</f>
        <v>144377549</v>
      </c>
      <c r="Z6" s="88">
        <f>VALUE(庫存金額A類!Y2)</f>
        <v>144351754</v>
      </c>
      <c r="AA6" s="88">
        <f>VALUE(庫存金額A類!Z2)</f>
        <v>145667111</v>
      </c>
      <c r="AB6" s="88">
        <f>VALUE(庫存金額A類!AA2)</f>
        <v>144898081</v>
      </c>
      <c r="AC6" s="88">
        <f>VALUE(庫存金額A類!AB2)</f>
        <v>144641659</v>
      </c>
      <c r="AD6" s="88">
        <f>VALUE(庫存金額A類!AC2)</f>
        <v>146905255</v>
      </c>
      <c r="AE6" s="88">
        <f>VALUE(庫存金額A類!AD2)</f>
        <v>146556374</v>
      </c>
      <c r="AF6" s="88">
        <f>VALUE(庫存金額A類!AE2)</f>
        <v>143388497</v>
      </c>
      <c r="AG6" s="88">
        <f>VALUE(庫存金額A類!AF2)</f>
        <v>143383355</v>
      </c>
      <c r="AH6" s="88">
        <f>VALUE(庫存金額A類!AG2)</f>
        <v>145184358</v>
      </c>
      <c r="AI6" s="88">
        <f>VALUE(庫存金額A類!AH2)</f>
        <v>145703321.47999999</v>
      </c>
      <c r="AJ6" s="549">
        <f>AI6/AI9</f>
        <v>0.48000234318558532</v>
      </c>
      <c r="AK6" s="82">
        <f>HLOOKUP(MONTH(日期!$C$2)+1,A類各進口別庫存金額目標!$B$2:$M$7,4,TRUE)</f>
        <v>141968118.24565902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121566348.59425555</v>
      </c>
      <c r="D7" s="88">
        <f>VALUE(庫存金額A類!C3)</f>
        <v>119502334</v>
      </c>
      <c r="E7" s="88">
        <f>VALUE(庫存金額A類!D3)</f>
        <v>119489147</v>
      </c>
      <c r="F7" s="88">
        <f>VALUE(庫存金額A類!E3)</f>
        <v>120217034</v>
      </c>
      <c r="G7" s="88">
        <f>VALUE(庫存金額A類!F3)</f>
        <v>118957476</v>
      </c>
      <c r="H7" s="88">
        <f>VALUE(庫存金額A類!G3)</f>
        <v>117901330</v>
      </c>
      <c r="I7" s="88">
        <f>VALUE(庫存金額A類!H3)</f>
        <v>118266209</v>
      </c>
      <c r="J7" s="88">
        <f>VALUE(庫存金額A類!I3)</f>
        <v>118541741</v>
      </c>
      <c r="K7" s="88">
        <f>VALUE(庫存金額A類!J3)</f>
        <v>115611868</v>
      </c>
      <c r="L7" s="88">
        <f>VALUE(庫存金額A類!K3)</f>
        <v>115604613</v>
      </c>
      <c r="M7" s="88">
        <f>VALUE(庫存金額A類!L3)</f>
        <v>117490022</v>
      </c>
      <c r="N7" s="88">
        <f>VALUE(庫存金額A類!M3)</f>
        <v>117540306</v>
      </c>
      <c r="O7" s="88">
        <f>VALUE(庫存金額A類!N3)</f>
        <v>117633768</v>
      </c>
      <c r="P7" s="88">
        <f>VALUE(庫存金額A類!O3)</f>
        <v>118097118</v>
      </c>
      <c r="Q7" s="88">
        <f>VALUE(庫存金額A類!P3)</f>
        <v>118616587</v>
      </c>
      <c r="R7" s="88">
        <f>VALUE(庫存金額A類!Q3)</f>
        <v>115832954</v>
      </c>
      <c r="S7" s="88">
        <f>VALUE(庫存金額A類!R3)</f>
        <v>115832954</v>
      </c>
      <c r="T7" s="88">
        <f>VALUE(庫存金額A類!S3)</f>
        <v>115985449</v>
      </c>
      <c r="U7" s="88">
        <f>VALUE(庫存金額A類!T3)</f>
        <v>115634834</v>
      </c>
      <c r="V7" s="88">
        <f>VALUE(庫存金額A類!U3)</f>
        <v>116688822</v>
      </c>
      <c r="W7" s="88">
        <f>VALUE(庫存金額A類!V3)</f>
        <v>116763253</v>
      </c>
      <c r="X7" s="88">
        <f>VALUE(庫存金額A類!W3)</f>
        <v>117257996</v>
      </c>
      <c r="Y7" s="88">
        <f>VALUE(庫存金額A類!X3)</f>
        <v>114537635</v>
      </c>
      <c r="Z7" s="88">
        <f>VALUE(庫存金額A類!Y3)</f>
        <v>114531513</v>
      </c>
      <c r="AA7" s="88">
        <f>VALUE(庫存金額A類!Z3)</f>
        <v>115260540</v>
      </c>
      <c r="AB7" s="88">
        <f>VALUE(庫存金額A類!AA3)</f>
        <v>114154629</v>
      </c>
      <c r="AC7" s="88">
        <f>VALUE(庫存金額A類!AB3)</f>
        <v>116377007</v>
      </c>
      <c r="AD7" s="88">
        <f>VALUE(庫存金額A類!AC3)</f>
        <v>115911343</v>
      </c>
      <c r="AE7" s="88">
        <f>VALUE(庫存金額A類!AD3)</f>
        <v>118034815</v>
      </c>
      <c r="AF7" s="88">
        <f>VALUE(庫存金額A類!AE3)</f>
        <v>115476601</v>
      </c>
      <c r="AG7" s="88">
        <f>VALUE(庫存金額A類!AF3)</f>
        <v>115469761</v>
      </c>
      <c r="AH7" s="88">
        <f>VALUE(庫存金額A類!AG3)</f>
        <v>116340417</v>
      </c>
      <c r="AI7" s="88">
        <f>VALUE(庫存金額A類!AH3)</f>
        <v>116889034.70999999</v>
      </c>
      <c r="AJ7" s="549">
        <f>AI7/AI9</f>
        <v>0.3850770866689045</v>
      </c>
      <c r="AK7" s="82">
        <f>HLOOKUP(MONTH(日期!$C$2)+1,A類各進口別庫存金額目標!$B$2:$M$7,5,TRUE)</f>
        <v>122620458.48901448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37761898.277125254</v>
      </c>
      <c r="D8" s="88">
        <f>VALUE(庫存金額A類!C4)</f>
        <v>38005314</v>
      </c>
      <c r="E8" s="88">
        <f>VALUE(庫存金額A類!D4)</f>
        <v>38004610</v>
      </c>
      <c r="F8" s="88">
        <f>VALUE(庫存金額A類!E4)</f>
        <v>37487870</v>
      </c>
      <c r="G8" s="88">
        <f>VALUE(庫存金額A類!F4)</f>
        <v>39826800</v>
      </c>
      <c r="H8" s="88">
        <f>VALUE(庫存金額A類!G4)</f>
        <v>39939671</v>
      </c>
      <c r="I8" s="88">
        <f>VALUE(庫存金額A類!H4)</f>
        <v>39837663</v>
      </c>
      <c r="J8" s="88">
        <f>VALUE(庫存金額A類!I4)</f>
        <v>42347456</v>
      </c>
      <c r="K8" s="88">
        <f>VALUE(庫存金額A類!J4)</f>
        <v>41239693</v>
      </c>
      <c r="L8" s="88">
        <f>VALUE(庫存金額A類!K4)</f>
        <v>41239693</v>
      </c>
      <c r="M8" s="88">
        <f>VALUE(庫存金額A類!L4)</f>
        <v>39850326</v>
      </c>
      <c r="N8" s="88">
        <f>VALUE(庫存金額A類!M4)</f>
        <v>39785065</v>
      </c>
      <c r="O8" s="88">
        <f>VALUE(庫存金額A類!N4)</f>
        <v>38710899</v>
      </c>
      <c r="P8" s="88">
        <f>VALUE(庫存金額A類!O4)</f>
        <v>39948939</v>
      </c>
      <c r="Q8" s="88">
        <f>VALUE(庫存金額A類!P4)</f>
        <v>39056635</v>
      </c>
      <c r="R8" s="88">
        <f>VALUE(庫存金額A類!Q4)</f>
        <v>38117449</v>
      </c>
      <c r="S8" s="88">
        <f>VALUE(庫存金額A類!R4)</f>
        <v>38117449</v>
      </c>
      <c r="T8" s="88">
        <f>VALUE(庫存金額A類!S4)</f>
        <v>37178652</v>
      </c>
      <c r="U8" s="88">
        <f>VALUE(庫存金額A類!T4)</f>
        <v>36066687</v>
      </c>
      <c r="V8" s="88">
        <f>VALUE(庫存金額A類!U4)</f>
        <v>40952265</v>
      </c>
      <c r="W8" s="88">
        <f>VALUE(庫存金額A類!V4)</f>
        <v>41097462</v>
      </c>
      <c r="X8" s="88">
        <f>VALUE(庫存金額A類!W4)</f>
        <v>43820658</v>
      </c>
      <c r="Y8" s="88">
        <f>VALUE(庫存金額A類!X4)</f>
        <v>42746383</v>
      </c>
      <c r="Z8" s="88">
        <f>VALUE(庫存金額A類!Y4)</f>
        <v>42746383</v>
      </c>
      <c r="AA8" s="88">
        <f>VALUE(庫存金額A類!Z4)</f>
        <v>41554948</v>
      </c>
      <c r="AB8" s="88">
        <f>VALUE(庫存金額A類!AA4)</f>
        <v>40784163</v>
      </c>
      <c r="AC8" s="88">
        <f>VALUE(庫存金額A類!AB4)</f>
        <v>43119833</v>
      </c>
      <c r="AD8" s="88">
        <f>VALUE(庫存金額A類!AC4)</f>
        <v>43926612</v>
      </c>
      <c r="AE8" s="88">
        <f>VALUE(庫存金額A類!AD4)</f>
        <v>46504433</v>
      </c>
      <c r="AF8" s="88">
        <f>VALUE(庫存金額A類!AE4)</f>
        <v>45653195</v>
      </c>
      <c r="AG8" s="88">
        <f>VALUE(庫存金額A類!AF4)</f>
        <v>45650473</v>
      </c>
      <c r="AH8" s="88">
        <f>VALUE(庫存金額A類!AG4)</f>
        <v>46279522</v>
      </c>
      <c r="AI8" s="88">
        <f>VALUE(庫存金額A類!AH4)</f>
        <v>40954748.420000002</v>
      </c>
      <c r="AJ8" s="549">
        <f>AI8/AI9</f>
        <v>0.13492057014551012</v>
      </c>
      <c r="AK8" s="82">
        <f>HLOOKUP(MONTH(日期!$C$2)+1,A類各進口別庫存金額目標!$B$2:$M$7,6,TRUE)</f>
        <v>36134055.534872964</v>
      </c>
    </row>
    <row r="9" spans="1:37" ht="19.5">
      <c r="A9" s="684" t="s">
        <v>73</v>
      </c>
      <c r="B9" s="684"/>
      <c r="C9" s="83">
        <f>SUM(C6:C8)</f>
        <v>300729897.64127737</v>
      </c>
      <c r="D9" s="84">
        <f t="shared" ref="D9:AH9" si="0">SUM(D6:D8)</f>
        <v>304825366</v>
      </c>
      <c r="E9" s="84">
        <f t="shared" si="0"/>
        <v>304811182</v>
      </c>
      <c r="F9" s="84">
        <f t="shared" si="0"/>
        <v>304854044</v>
      </c>
      <c r="G9" s="84">
        <f t="shared" si="0"/>
        <v>306000495</v>
      </c>
      <c r="H9" s="84">
        <f t="shared" si="0"/>
        <v>303927856</v>
      </c>
      <c r="I9" s="84">
        <f t="shared" si="0"/>
        <v>303275522</v>
      </c>
      <c r="J9" s="84">
        <f t="shared" si="0"/>
        <v>307308759</v>
      </c>
      <c r="K9" s="84">
        <f t="shared" si="0"/>
        <v>300269492</v>
      </c>
      <c r="L9" s="84">
        <f t="shared" si="0"/>
        <v>300244238</v>
      </c>
      <c r="M9" s="84">
        <f t="shared" si="0"/>
        <v>303591406</v>
      </c>
      <c r="N9" s="84">
        <f t="shared" si="0"/>
        <v>303613028</v>
      </c>
      <c r="O9" s="84">
        <f t="shared" si="0"/>
        <v>304110628</v>
      </c>
      <c r="P9" s="84">
        <f t="shared" si="0"/>
        <v>305244069</v>
      </c>
      <c r="Q9" s="84">
        <f>SUM(Q6:Q8)</f>
        <v>305647300</v>
      </c>
      <c r="R9" s="84">
        <f t="shared" si="0"/>
        <v>299140284</v>
      </c>
      <c r="S9" s="84">
        <f t="shared" si="0"/>
        <v>299138844</v>
      </c>
      <c r="T9" s="84">
        <f t="shared" si="0"/>
        <v>298466789</v>
      </c>
      <c r="U9" s="84">
        <f t="shared" si="0"/>
        <v>295010728</v>
      </c>
      <c r="V9" s="84">
        <f t="shared" si="0"/>
        <v>302597072</v>
      </c>
      <c r="W9" s="84">
        <f t="shared" si="0"/>
        <v>304667994</v>
      </c>
      <c r="X9" s="84">
        <f t="shared" si="0"/>
        <v>308800948</v>
      </c>
      <c r="Y9" s="84">
        <f t="shared" si="0"/>
        <v>301661567</v>
      </c>
      <c r="Z9" s="84">
        <f t="shared" si="0"/>
        <v>301629650</v>
      </c>
      <c r="AA9" s="84">
        <f t="shared" si="0"/>
        <v>302482599</v>
      </c>
      <c r="AB9" s="84">
        <f>SUM(AB6:AB8)</f>
        <v>299836873</v>
      </c>
      <c r="AC9" s="84">
        <f t="shared" si="0"/>
        <v>304138499</v>
      </c>
      <c r="AD9" s="84">
        <f t="shared" si="0"/>
        <v>306743210</v>
      </c>
      <c r="AE9" s="84">
        <f t="shared" si="0"/>
        <v>311095622</v>
      </c>
      <c r="AF9" s="84">
        <f t="shared" si="0"/>
        <v>304518293</v>
      </c>
      <c r="AG9" s="84">
        <f t="shared" si="0"/>
        <v>304503589</v>
      </c>
      <c r="AH9" s="84">
        <f t="shared" si="0"/>
        <v>307804297</v>
      </c>
      <c r="AI9" s="84">
        <f>SUM(AI6:AI8)</f>
        <v>303547104.61000001</v>
      </c>
      <c r="AJ9" s="550">
        <f>AI9/AI$9</f>
        <v>1</v>
      </c>
      <c r="AK9" s="83">
        <f>SUM(AK6:AK8)</f>
        <v>300722632.26954645</v>
      </c>
    </row>
    <row r="10" spans="1:37">
      <c r="AI10" s="98">
        <f>AI9-C9</f>
        <v>2817206.9687226415</v>
      </c>
    </row>
    <row r="14" spans="1:37" s="77" customFormat="1" ht="18" hidden="1" customHeight="1">
      <c r="A14" s="676" t="s">
        <v>1</v>
      </c>
      <c r="B14" s="678" t="s">
        <v>67</v>
      </c>
      <c r="C14" s="680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82" t="s">
        <v>68</v>
      </c>
      <c r="AJ14" s="672" t="s">
        <v>69</v>
      </c>
    </row>
    <row r="15" spans="1:37" s="77" customFormat="1" ht="18" hidden="1" thickBot="1">
      <c r="A15" s="677"/>
      <c r="B15" s="679"/>
      <c r="C15" s="681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83"/>
      <c r="AJ15" s="673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6" t="s">
        <v>1</v>
      </c>
      <c r="B24" s="678" t="s">
        <v>67</v>
      </c>
      <c r="C24" s="680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82" t="s">
        <v>68</v>
      </c>
      <c r="AJ24" s="672" t="s">
        <v>69</v>
      </c>
    </row>
    <row r="25" spans="1:36" s="77" customFormat="1" ht="18" hidden="1" thickBot="1">
      <c r="A25" s="677"/>
      <c r="B25" s="679"/>
      <c r="C25" s="681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83"/>
      <c r="AJ25" s="673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6" t="s">
        <v>1</v>
      </c>
      <c r="B34" s="678" t="s">
        <v>67</v>
      </c>
      <c r="C34" s="680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7"/>
      <c r="B35" s="679"/>
      <c r="C35" s="681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6" t="s">
        <v>1</v>
      </c>
      <c r="B44" s="678" t="s">
        <v>67</v>
      </c>
      <c r="C44" s="680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7"/>
      <c r="B45" s="679"/>
      <c r="C45" s="681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6" t="s">
        <v>1</v>
      </c>
      <c r="B54" s="678" t="s">
        <v>67</v>
      </c>
      <c r="C54" s="680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7"/>
      <c r="B55" s="679"/>
      <c r="C55" s="681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tabSelected="1" zoomScale="70" workbookViewId="0">
      <pane xSplit="2" ySplit="5" topLeftCell="AB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7" t="s">
        <v>1</v>
      </c>
      <c r="B4" s="689" t="s">
        <v>67</v>
      </c>
      <c r="C4" s="528" t="str">
        <f>日期!C2</f>
        <v>2025/03/01</v>
      </c>
      <c r="D4" s="528" t="str">
        <f>日期!D2</f>
        <v>2025/03/02</v>
      </c>
      <c r="E4" s="528" t="str">
        <f>日期!E2</f>
        <v>2025/03/03</v>
      </c>
      <c r="F4" s="528" t="str">
        <f>日期!F2</f>
        <v>2025/03/04</v>
      </c>
      <c r="G4" s="528" t="str">
        <f>日期!G2</f>
        <v>2025/03/05</v>
      </c>
      <c r="H4" s="528" t="str">
        <f>日期!H2</f>
        <v>2025/03/06</v>
      </c>
      <c r="I4" s="528" t="str">
        <f>日期!I2</f>
        <v>2025/03/07</v>
      </c>
      <c r="J4" s="528" t="str">
        <f>日期!J2</f>
        <v>2025/03/08</v>
      </c>
      <c r="K4" s="528" t="str">
        <f>日期!K2</f>
        <v>2025/03/09</v>
      </c>
      <c r="L4" s="528" t="str">
        <f>日期!L2</f>
        <v>2025/03/10</v>
      </c>
      <c r="M4" s="528" t="str">
        <f>日期!M2</f>
        <v>2025/03/11</v>
      </c>
      <c r="N4" s="528" t="str">
        <f>日期!N2</f>
        <v>2025/03/12</v>
      </c>
      <c r="O4" s="528" t="str">
        <f>日期!O2</f>
        <v>2025/03/13</v>
      </c>
      <c r="P4" s="528" t="str">
        <f>日期!P2</f>
        <v>2025/03/14</v>
      </c>
      <c r="Q4" s="528" t="str">
        <f>日期!Q2</f>
        <v>2025/03/15</v>
      </c>
      <c r="R4" s="528" t="str">
        <f>日期!R2</f>
        <v>2025/03/16</v>
      </c>
      <c r="S4" s="528" t="str">
        <f>日期!S2</f>
        <v>2025/03/17</v>
      </c>
      <c r="T4" s="528" t="str">
        <f>日期!T2</f>
        <v>2025/03/18</v>
      </c>
      <c r="U4" s="528" t="str">
        <f>日期!U2</f>
        <v>2025/03/19</v>
      </c>
      <c r="V4" s="528" t="str">
        <f>日期!V2</f>
        <v>2025/03/20</v>
      </c>
      <c r="W4" s="528" t="str">
        <f>日期!W2</f>
        <v>2025/03/21</v>
      </c>
      <c r="X4" s="528" t="str">
        <f>日期!X2</f>
        <v>2025/03/22</v>
      </c>
      <c r="Y4" s="528" t="str">
        <f>日期!Y2</f>
        <v>2025/03/23</v>
      </c>
      <c r="Z4" s="528" t="str">
        <f>日期!Z2</f>
        <v>2025/03/24</v>
      </c>
      <c r="AA4" s="528" t="str">
        <f>日期!AA2</f>
        <v>2025/03/25</v>
      </c>
      <c r="AB4" s="528" t="str">
        <f>日期!AB2</f>
        <v>2025/03/26</v>
      </c>
      <c r="AC4" s="528" t="str">
        <f>日期!AC2</f>
        <v>2025/03/27</v>
      </c>
      <c r="AD4" s="528" t="str">
        <f>日期!AD2</f>
        <v>2025/03/28</v>
      </c>
      <c r="AE4" s="528" t="str">
        <f>日期!AE2</f>
        <v>2025/03/29</v>
      </c>
      <c r="AF4" s="528" t="str">
        <f>日期!AF2</f>
        <v>2025/03/30</v>
      </c>
      <c r="AG4" s="528" t="str">
        <f>日期!AG2</f>
        <v>2025/03/31</v>
      </c>
      <c r="AH4" s="520" t="s">
        <v>68</v>
      </c>
      <c r="AI4" s="108" t="s">
        <v>69</v>
      </c>
    </row>
    <row r="5" spans="1:35" s="77" customFormat="1" ht="18" thickBot="1">
      <c r="A5" s="688"/>
      <c r="B5" s="690"/>
      <c r="C5" s="522" t="str">
        <f>日期!C3</f>
        <v>Sat</v>
      </c>
      <c r="D5" s="522" t="str">
        <f>日期!D3</f>
        <v>Sun</v>
      </c>
      <c r="E5" s="522" t="str">
        <f>日期!E3</f>
        <v>Mon</v>
      </c>
      <c r="F5" s="522" t="str">
        <f>日期!F3</f>
        <v>Tue</v>
      </c>
      <c r="G5" s="522" t="str">
        <f>日期!G3</f>
        <v>Wed</v>
      </c>
      <c r="H5" s="522" t="str">
        <f>日期!H3</f>
        <v>Thu</v>
      </c>
      <c r="I5" s="522" t="str">
        <f>日期!I3</f>
        <v>Fri</v>
      </c>
      <c r="J5" s="522" t="str">
        <f>日期!J3</f>
        <v>Sat</v>
      </c>
      <c r="K5" s="522" t="str">
        <f>日期!K3</f>
        <v>Sun</v>
      </c>
      <c r="L5" s="522" t="str">
        <f>日期!L3</f>
        <v>Mon</v>
      </c>
      <c r="M5" s="522" t="str">
        <f>日期!M3</f>
        <v>Tue</v>
      </c>
      <c r="N5" s="522" t="str">
        <f>日期!N3</f>
        <v>Wed</v>
      </c>
      <c r="O5" s="522" t="str">
        <f>日期!O3</f>
        <v>Thu</v>
      </c>
      <c r="P5" s="522" t="str">
        <f>日期!P3</f>
        <v>Fri</v>
      </c>
      <c r="Q5" s="522" t="str">
        <f>日期!Q3</f>
        <v>Sat</v>
      </c>
      <c r="R5" s="522" t="str">
        <f>日期!R3</f>
        <v>Sun</v>
      </c>
      <c r="S5" s="522" t="str">
        <f>日期!S3</f>
        <v>Mon</v>
      </c>
      <c r="T5" s="522" t="str">
        <f>日期!T3</f>
        <v>Tue</v>
      </c>
      <c r="U5" s="522" t="str">
        <f>日期!U3</f>
        <v>Wed</v>
      </c>
      <c r="V5" s="522" t="str">
        <f>日期!V3</f>
        <v>Thu</v>
      </c>
      <c r="W5" s="522" t="str">
        <f>日期!W3</f>
        <v>Fri</v>
      </c>
      <c r="X5" s="522" t="str">
        <f>日期!X3</f>
        <v>Sat</v>
      </c>
      <c r="Y5" s="522" t="str">
        <f>日期!Y3</f>
        <v>Sun</v>
      </c>
      <c r="Z5" s="522" t="str">
        <f>日期!Z3</f>
        <v>Mon</v>
      </c>
      <c r="AA5" s="522" t="str">
        <f>日期!AA3</f>
        <v>Tue</v>
      </c>
      <c r="AB5" s="522" t="str">
        <f>日期!AB3</f>
        <v>Wed</v>
      </c>
      <c r="AC5" s="522" t="str">
        <f>日期!AC3</f>
        <v>Thu</v>
      </c>
      <c r="AD5" s="522" t="str">
        <f>日期!AD3</f>
        <v>Fri</v>
      </c>
      <c r="AE5" s="522" t="str">
        <f>日期!AE3</f>
        <v>Sat</v>
      </c>
      <c r="AF5" s="522" t="str">
        <f>日期!AF3</f>
        <v>Sun</v>
      </c>
      <c r="AG5" s="522" t="str">
        <f>日期!AG3</f>
        <v>Mon</v>
      </c>
      <c r="AH5" s="521"/>
      <c r="AI5" s="109"/>
    </row>
    <row r="6" spans="1:35" ht="17.45">
      <c r="A6" s="101" t="s">
        <v>72</v>
      </c>
      <c r="B6" s="102" t="s">
        <v>236</v>
      </c>
      <c r="C6" s="103">
        <f>VALUE(期貨金額!D2)</f>
        <v>8645555</v>
      </c>
      <c r="D6" s="103">
        <f>VALUE(期貨金額!E2)</f>
        <v>8645555</v>
      </c>
      <c r="E6" s="103">
        <f>VALUE(期貨金額!F2)</f>
        <v>8660841</v>
      </c>
      <c r="F6" s="103">
        <f>VALUE(期貨金額!G2)</f>
        <v>8716871</v>
      </c>
      <c r="G6" s="103">
        <f>VALUE(期貨金額!H2)</f>
        <v>9175479</v>
      </c>
      <c r="H6" s="103">
        <f>VALUE(期貨金額!I2)</f>
        <v>10322318</v>
      </c>
      <c r="I6" s="103">
        <f>VALUE(期貨金額!J2)</f>
        <v>9878086</v>
      </c>
      <c r="J6" s="103">
        <f>VALUE(期貨金額!K2)</f>
        <v>9877055</v>
      </c>
      <c r="K6" s="103">
        <f>VALUE(期貨金額!L2)</f>
        <v>9877055</v>
      </c>
      <c r="L6" s="103">
        <f>VALUE(期貨金額!M2)</f>
        <v>9986031</v>
      </c>
      <c r="M6" s="103">
        <f>VALUE(期貨金額!N2)</f>
        <v>10798278</v>
      </c>
      <c r="N6" s="103">
        <f>VALUE(期貨金額!O2)</f>
        <v>11498144</v>
      </c>
      <c r="O6" s="103">
        <f>VALUE(期貨金額!P2)</f>
        <v>12164575</v>
      </c>
      <c r="P6" s="103">
        <f>VALUE(期貨金額!Q2)</f>
        <v>14148182</v>
      </c>
      <c r="Q6" s="103">
        <f>VALUE(期貨金額!R2)</f>
        <v>14148554</v>
      </c>
      <c r="R6" s="103">
        <f>VALUE(期貨金額!S2)</f>
        <v>14148554</v>
      </c>
      <c r="S6" s="103">
        <f>VALUE(期貨金額!T2)</f>
        <v>14113478</v>
      </c>
      <c r="T6" s="103">
        <f>VALUE(期貨金額!U2)</f>
        <v>15404995</v>
      </c>
      <c r="U6" s="103">
        <f>VALUE(期貨金額!V2)</f>
        <v>14840684</v>
      </c>
      <c r="V6" s="103">
        <f>VALUE(期貨金額!W2)</f>
        <v>14497513</v>
      </c>
      <c r="W6" s="103">
        <f>VALUE(期貨金額!X2)</f>
        <v>15935488</v>
      </c>
      <c r="X6" s="103">
        <f>VALUE(期貨金額!Y2)</f>
        <v>16063754</v>
      </c>
      <c r="Y6" s="103">
        <f>VALUE(期貨金額!Z2)</f>
        <v>16063754</v>
      </c>
      <c r="Z6" s="103">
        <f>VALUE(期貨金額!AA2)</f>
        <v>15124534</v>
      </c>
      <c r="AA6" s="103">
        <f>VALUE(期貨金額!AB2)</f>
        <v>14274102</v>
      </c>
      <c r="AB6" s="103">
        <f>VALUE(期貨金額!AC2)</f>
        <v>14914122</v>
      </c>
      <c r="AC6" s="103">
        <f>VALUE(期貨金額!AD2)</f>
        <v>12254445</v>
      </c>
      <c r="AD6" s="103">
        <f>VALUE(期貨金額!AE2)</f>
        <v>13126992</v>
      </c>
      <c r="AE6" s="103">
        <f>VALUE(期貨金額!AF2)</f>
        <v>13578650</v>
      </c>
      <c r="AF6" s="103">
        <f>VALUE(期貨金額!AG2)</f>
        <v>13578650</v>
      </c>
      <c r="AG6" s="103">
        <f>VALUE(期貨金額!AH2)</f>
        <v>12523316</v>
      </c>
      <c r="AH6" s="103">
        <f>VALUE(期貨金額!AI2)</f>
        <v>12483406.77</v>
      </c>
      <c r="AI6" s="504">
        <f>AH6/$AH$19</f>
        <v>0.48610550010318371</v>
      </c>
    </row>
    <row r="7" spans="1:35" ht="17.45">
      <c r="A7" s="105" t="s">
        <v>72</v>
      </c>
      <c r="B7" s="106" t="s">
        <v>237</v>
      </c>
      <c r="C7" s="103">
        <f>VALUE(期貨金額!D3)</f>
        <v>6155760</v>
      </c>
      <c r="D7" s="103">
        <f>VALUE(期貨金額!E3)</f>
        <v>6155760</v>
      </c>
      <c r="E7" s="103">
        <f>VALUE(期貨金額!F3)</f>
        <v>7621451</v>
      </c>
      <c r="F7" s="103">
        <f>VALUE(期貨金額!G3)</f>
        <v>7985624</v>
      </c>
      <c r="G7" s="103">
        <f>VALUE(期貨金額!H3)</f>
        <v>7978146</v>
      </c>
      <c r="H7" s="103">
        <f>VALUE(期貨金額!I3)</f>
        <v>7972449</v>
      </c>
      <c r="I7" s="103">
        <f>VALUE(期貨金額!J3)</f>
        <v>8065992</v>
      </c>
      <c r="J7" s="103">
        <f>VALUE(期貨金額!K3)</f>
        <v>8067127</v>
      </c>
      <c r="K7" s="103">
        <f>VALUE(期貨金額!L3)</f>
        <v>8067127</v>
      </c>
      <c r="L7" s="103">
        <f>VALUE(期貨金額!M3)</f>
        <v>8648645</v>
      </c>
      <c r="M7" s="103">
        <f>VALUE(期貨金額!N3)</f>
        <v>8690408</v>
      </c>
      <c r="N7" s="103">
        <f>VALUE(期貨金額!O3)</f>
        <v>8414843</v>
      </c>
      <c r="O7" s="103">
        <f>VALUE(期貨金額!P3)</f>
        <v>8476323</v>
      </c>
      <c r="P7" s="103">
        <f>VALUE(期貨金額!Q3)</f>
        <v>8280051</v>
      </c>
      <c r="Q7" s="103">
        <f>VALUE(期貨金額!R3)</f>
        <v>8280051</v>
      </c>
      <c r="R7" s="103">
        <f>VALUE(期貨金額!S3)</f>
        <v>8280051</v>
      </c>
      <c r="S7" s="103">
        <f>VALUE(期貨金額!T3)</f>
        <v>8255110</v>
      </c>
      <c r="T7" s="103">
        <f>VALUE(期貨金額!U3)</f>
        <v>8038425</v>
      </c>
      <c r="U7" s="103">
        <f>VALUE(期貨金額!V3)</f>
        <v>8081574</v>
      </c>
      <c r="V7" s="103">
        <f>VALUE(期貨金額!W3)</f>
        <v>8406294</v>
      </c>
      <c r="W7" s="103">
        <f>VALUE(期貨金額!X3)</f>
        <v>8319994</v>
      </c>
      <c r="X7" s="103">
        <f>VALUE(期貨金額!Y3)</f>
        <v>8319994</v>
      </c>
      <c r="Y7" s="103">
        <f>VALUE(期貨金額!Z3)</f>
        <v>8319994</v>
      </c>
      <c r="Z7" s="103">
        <f>VALUE(期貨金額!AA3)</f>
        <v>8258118</v>
      </c>
      <c r="AA7" s="103">
        <f>VALUE(期貨金額!AB3)</f>
        <v>8195755</v>
      </c>
      <c r="AB7" s="103">
        <f>VALUE(期貨金額!AC3)</f>
        <v>7975420</v>
      </c>
      <c r="AC7" s="103">
        <f>VALUE(期貨金額!AD3)</f>
        <v>7921182</v>
      </c>
      <c r="AD7" s="103">
        <f>VALUE(期貨金額!AE3)</f>
        <v>7920558</v>
      </c>
      <c r="AE7" s="103">
        <f>VALUE(期貨金額!AF3)</f>
        <v>7923583</v>
      </c>
      <c r="AF7" s="103">
        <f>VALUE(期貨金額!AG3)</f>
        <v>7923583</v>
      </c>
      <c r="AG7" s="103">
        <f>VALUE(期貨金額!AH3)</f>
        <v>6518485</v>
      </c>
      <c r="AH7" s="103">
        <f>VALUE(期貨金額!AI3)</f>
        <v>7984447.6500000004</v>
      </c>
      <c r="AI7" s="504">
        <f t="shared" ref="AI7:AI17" si="0">AH7/$AH$19</f>
        <v>0.31091544074958793</v>
      </c>
    </row>
    <row r="8" spans="1:35" ht="17.45">
      <c r="A8" s="105" t="s">
        <v>72</v>
      </c>
      <c r="B8" s="106">
        <v>4</v>
      </c>
      <c r="C8" s="103">
        <f>VALUE(期貨金額!D4)</f>
        <v>5898201</v>
      </c>
      <c r="D8" s="103">
        <f>VALUE(期貨金額!E4)</f>
        <v>5898201</v>
      </c>
      <c r="E8" s="103">
        <f>VALUE(期貨金額!F4)</f>
        <v>5771374</v>
      </c>
      <c r="F8" s="103">
        <f>VALUE(期貨金額!G4)</f>
        <v>5686786</v>
      </c>
      <c r="G8" s="103">
        <f>VALUE(期貨金額!H4)</f>
        <v>5638056</v>
      </c>
      <c r="H8" s="103">
        <f>VALUE(期貨金額!I4)</f>
        <v>5638957</v>
      </c>
      <c r="I8" s="103">
        <f>VALUE(期貨金額!J4)</f>
        <v>5642772</v>
      </c>
      <c r="J8" s="103">
        <f>VALUE(期貨金額!K4)</f>
        <v>5642772</v>
      </c>
      <c r="K8" s="103">
        <f>VALUE(期貨金額!L4)</f>
        <v>5642772</v>
      </c>
      <c r="L8" s="103">
        <f>VALUE(期貨金額!M4)</f>
        <v>5548207</v>
      </c>
      <c r="M8" s="103">
        <f>VALUE(期貨金額!N4)</f>
        <v>5534542</v>
      </c>
      <c r="N8" s="103">
        <f>VALUE(期貨金額!O4)</f>
        <v>5316120</v>
      </c>
      <c r="O8" s="103">
        <f>VALUE(期貨金額!P4)</f>
        <v>5264030</v>
      </c>
      <c r="P8" s="103">
        <f>VALUE(期貨金額!Q4)</f>
        <v>5264785</v>
      </c>
      <c r="Q8" s="103">
        <f>VALUE(期貨金額!R4)</f>
        <v>5264785</v>
      </c>
      <c r="R8" s="103">
        <f>VALUE(期貨金額!S4)</f>
        <v>5264785</v>
      </c>
      <c r="S8" s="103">
        <f>VALUE(期貨金額!T4)</f>
        <v>4909579</v>
      </c>
      <c r="T8" s="103">
        <f>VALUE(期貨金額!U4)</f>
        <v>4900197</v>
      </c>
      <c r="U8" s="103">
        <f>VALUE(期貨金額!V4)</f>
        <v>4927202</v>
      </c>
      <c r="V8" s="103">
        <f>VALUE(期貨金額!W4)</f>
        <v>4808426</v>
      </c>
      <c r="W8" s="103">
        <f>VALUE(期貨金額!X4)</f>
        <v>4816454</v>
      </c>
      <c r="X8" s="103">
        <f>VALUE(期貨金額!Y4)</f>
        <v>4816454</v>
      </c>
      <c r="Y8" s="103">
        <f>VALUE(期貨金額!Z4)</f>
        <v>4816454</v>
      </c>
      <c r="Z8" s="103">
        <f>VALUE(期貨金額!AA4)</f>
        <v>4816454</v>
      </c>
      <c r="AA8" s="103">
        <f>VALUE(期貨金額!AB4)</f>
        <v>4801149</v>
      </c>
      <c r="AB8" s="103">
        <f>VALUE(期貨金額!AC4)</f>
        <v>4689835</v>
      </c>
      <c r="AC8" s="103">
        <f>VALUE(期貨金額!AD4)</f>
        <v>4548269</v>
      </c>
      <c r="AD8" s="103">
        <f>VALUE(期貨金額!AE4)</f>
        <v>4522196</v>
      </c>
      <c r="AE8" s="103">
        <f>VALUE(期貨金額!AF4)</f>
        <v>4522196</v>
      </c>
      <c r="AF8" s="103">
        <f>VALUE(期貨金額!AG4)</f>
        <v>4522196</v>
      </c>
      <c r="AG8" s="103">
        <f>VALUE(期貨金額!AH4)</f>
        <v>4526077</v>
      </c>
      <c r="AH8" s="103">
        <f>VALUE(期貨金額!AI4)</f>
        <v>5156783.32</v>
      </c>
      <c r="AI8" s="504">
        <f t="shared" si="0"/>
        <v>0.20080582014811299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4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4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4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4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4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21000</v>
      </c>
      <c r="H14" s="103">
        <f>VALUE(期貨金額!I11)</f>
        <v>21000</v>
      </c>
      <c r="I14" s="103">
        <f>VALUE(期貨金額!J11)</f>
        <v>21000</v>
      </c>
      <c r="J14" s="103">
        <f>VALUE(期貨金額!K11)</f>
        <v>21000</v>
      </c>
      <c r="K14" s="103">
        <f>VALUE(期貨金額!L11)</f>
        <v>21000</v>
      </c>
      <c r="L14" s="103">
        <f>VALUE(期貨金額!M11)</f>
        <v>21000</v>
      </c>
      <c r="M14" s="103">
        <f>VALUE(期貨金額!N11)</f>
        <v>21000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4741.9399999999996</v>
      </c>
      <c r="AI14" s="504">
        <f t="shared" si="0"/>
        <v>1.8465176675159251E-4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4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4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51518</v>
      </c>
      <c r="D17" s="103">
        <f>VALUE(期貨金額!E15)</f>
        <v>51518</v>
      </c>
      <c r="E17" s="103">
        <f>VALUE(期貨金額!F15)</f>
        <v>54118</v>
      </c>
      <c r="F17" s="103">
        <f>VALUE(期貨金額!G15)</f>
        <v>54118</v>
      </c>
      <c r="G17" s="103">
        <f>VALUE(期貨金額!H15)</f>
        <v>54118</v>
      </c>
      <c r="H17" s="103">
        <f>VALUE(期貨金額!I15)</f>
        <v>51718</v>
      </c>
      <c r="I17" s="103">
        <f>VALUE(期貨金額!J15)</f>
        <v>51718</v>
      </c>
      <c r="J17" s="103">
        <f>VALUE(期貨金額!K15)</f>
        <v>51718</v>
      </c>
      <c r="K17" s="103">
        <f>VALUE(期貨金額!L15)</f>
        <v>51718</v>
      </c>
      <c r="L17" s="103">
        <f>VALUE(期貨金額!M15)</f>
        <v>57018</v>
      </c>
      <c r="M17" s="103">
        <f>VALUE(期貨金額!N15)</f>
        <v>57018</v>
      </c>
      <c r="N17" s="103">
        <f>VALUE(期貨金額!O15)</f>
        <v>57018</v>
      </c>
      <c r="O17" s="103">
        <f>VALUE(期貨金額!P15)</f>
        <v>57018</v>
      </c>
      <c r="P17" s="103">
        <f>VALUE(期貨金額!Q15)</f>
        <v>57018</v>
      </c>
      <c r="Q17" s="103">
        <f>VALUE(期貨金額!R15)</f>
        <v>57018</v>
      </c>
      <c r="R17" s="103">
        <f>VALUE(期貨金額!S15)</f>
        <v>57018</v>
      </c>
      <c r="S17" s="103">
        <f>VALUE(期貨金額!T15)</f>
        <v>57018</v>
      </c>
      <c r="T17" s="103">
        <f>VALUE(期貨金額!U15)</f>
        <v>57018</v>
      </c>
      <c r="U17" s="103">
        <f>VALUE(期貨金額!V15)</f>
        <v>57018</v>
      </c>
      <c r="V17" s="103">
        <f>VALUE(期貨金額!W15)</f>
        <v>57018</v>
      </c>
      <c r="W17" s="103">
        <f>VALUE(期貨金額!X15)</f>
        <v>54418</v>
      </c>
      <c r="X17" s="103">
        <f>VALUE(期貨金額!Y15)</f>
        <v>54418</v>
      </c>
      <c r="Y17" s="103">
        <f>VALUE(期貨金額!Z15)</f>
        <v>54418</v>
      </c>
      <c r="Z17" s="103">
        <f>VALUE(期貨金額!AA15)</f>
        <v>54418</v>
      </c>
      <c r="AA17" s="103">
        <f>VALUE(期貨金額!AB15)</f>
        <v>56858</v>
      </c>
      <c r="AB17" s="103">
        <f>VALUE(期貨金額!AC15)</f>
        <v>56858</v>
      </c>
      <c r="AC17" s="103">
        <f>VALUE(期貨金額!AD15)</f>
        <v>56858</v>
      </c>
      <c r="AD17" s="103">
        <f>VALUE(期貨金額!AE15)</f>
        <v>26055</v>
      </c>
      <c r="AE17" s="103">
        <f>VALUE(期貨金額!AF15)</f>
        <v>26055</v>
      </c>
      <c r="AF17" s="103">
        <f>VALUE(期貨金額!AG15)</f>
        <v>26055</v>
      </c>
      <c r="AG17" s="103">
        <f>VALUE(期貨金額!AH15)</f>
        <v>17231</v>
      </c>
      <c r="AH17" s="103">
        <f>VALUE(期貨金額!AI15)</f>
        <v>51067.81</v>
      </c>
      <c r="AI17" s="504">
        <f t="shared" si="0"/>
        <v>1.988587232363683E-3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4">
        <f>AH18/$AH$19</f>
        <v>0</v>
      </c>
    </row>
    <row r="19" spans="1:35" ht="19.5">
      <c r="A19" s="685" t="s">
        <v>42</v>
      </c>
      <c r="B19" s="686"/>
      <c r="C19" s="107">
        <f t="shared" ref="C19:AH19" si="1">SUM(C6:C18)</f>
        <v>20751034</v>
      </c>
      <c r="D19" s="107">
        <f t="shared" si="1"/>
        <v>20751034</v>
      </c>
      <c r="E19" s="107">
        <f t="shared" si="1"/>
        <v>22107784</v>
      </c>
      <c r="F19" s="107">
        <f t="shared" si="1"/>
        <v>22443399</v>
      </c>
      <c r="G19" s="107">
        <f t="shared" si="1"/>
        <v>22866799</v>
      </c>
      <c r="H19" s="107">
        <f t="shared" si="1"/>
        <v>24006442</v>
      </c>
      <c r="I19" s="107">
        <f t="shared" si="1"/>
        <v>23659568</v>
      </c>
      <c r="J19" s="107">
        <f t="shared" si="1"/>
        <v>23659672</v>
      </c>
      <c r="K19" s="107">
        <f t="shared" si="1"/>
        <v>23659672</v>
      </c>
      <c r="L19" s="107">
        <f t="shared" si="1"/>
        <v>24260901</v>
      </c>
      <c r="M19" s="107">
        <f t="shared" si="1"/>
        <v>25101246</v>
      </c>
      <c r="N19" s="107">
        <f t="shared" si="1"/>
        <v>25286125</v>
      </c>
      <c r="O19" s="107">
        <f t="shared" si="1"/>
        <v>25961946</v>
      </c>
      <c r="P19" s="107">
        <f t="shared" si="1"/>
        <v>27750036</v>
      </c>
      <c r="Q19" s="107">
        <f t="shared" si="1"/>
        <v>27750408</v>
      </c>
      <c r="R19" s="107">
        <f t="shared" si="1"/>
        <v>27750408</v>
      </c>
      <c r="S19" s="107">
        <f t="shared" si="1"/>
        <v>27335185</v>
      </c>
      <c r="T19" s="107">
        <f t="shared" si="1"/>
        <v>28400635</v>
      </c>
      <c r="U19" s="107">
        <f t="shared" si="1"/>
        <v>27906478</v>
      </c>
      <c r="V19" s="107">
        <f t="shared" si="1"/>
        <v>27769251</v>
      </c>
      <c r="W19" s="107">
        <f t="shared" si="1"/>
        <v>29126354</v>
      </c>
      <c r="X19" s="107">
        <f>SUM(X6:X18)</f>
        <v>29254620</v>
      </c>
      <c r="Y19" s="107">
        <f t="shared" si="1"/>
        <v>29254620</v>
      </c>
      <c r="Z19" s="107">
        <f t="shared" si="1"/>
        <v>28253524</v>
      </c>
      <c r="AA19" s="107">
        <f t="shared" si="1"/>
        <v>27327864</v>
      </c>
      <c r="AB19" s="107">
        <f t="shared" si="1"/>
        <v>27636235</v>
      </c>
      <c r="AC19" s="107">
        <f t="shared" si="1"/>
        <v>24780754</v>
      </c>
      <c r="AD19" s="107">
        <f t="shared" si="1"/>
        <v>25595801</v>
      </c>
      <c r="AE19" s="107">
        <f t="shared" si="1"/>
        <v>26050484</v>
      </c>
      <c r="AF19" s="107">
        <f t="shared" si="1"/>
        <v>26050484</v>
      </c>
      <c r="AG19" s="107">
        <f t="shared" si="1"/>
        <v>23585109</v>
      </c>
      <c r="AH19" s="107">
        <f t="shared" si="1"/>
        <v>25680447.490000002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2606405</v>
      </c>
      <c r="D20" s="103">
        <f>VALUE(期貨金額!E7)</f>
        <v>2606405</v>
      </c>
      <c r="E20" s="103">
        <f>VALUE(期貨金額!F7)</f>
        <v>2615460</v>
      </c>
      <c r="F20" s="103">
        <f>VALUE(期貨金額!G7)</f>
        <v>2620059</v>
      </c>
      <c r="G20" s="103">
        <f>VALUE(期貨金額!H7)</f>
        <v>2610427</v>
      </c>
      <c r="H20" s="103">
        <f>VALUE(期貨金額!I7)</f>
        <v>2612427</v>
      </c>
      <c r="I20" s="103">
        <f>VALUE(期貨金額!J7)</f>
        <v>2619404</v>
      </c>
      <c r="J20" s="103">
        <f>VALUE(期貨金額!K7)</f>
        <v>2619404</v>
      </c>
      <c r="K20" s="103">
        <f>VALUE(期貨金額!L7)</f>
        <v>2619404</v>
      </c>
      <c r="L20" s="103">
        <f>VALUE(期貨金額!M7)</f>
        <v>2624338</v>
      </c>
      <c r="M20" s="103">
        <f>VALUE(期貨金額!N7)</f>
        <v>2623937</v>
      </c>
      <c r="N20" s="103">
        <f>VALUE(期貨金額!O7)</f>
        <v>2628541</v>
      </c>
      <c r="O20" s="103">
        <f>VALUE(期貨金額!P7)</f>
        <v>2629506</v>
      </c>
      <c r="P20" s="103">
        <f>VALUE(期貨金額!Q7)</f>
        <v>2631863</v>
      </c>
      <c r="Q20" s="103">
        <f>VALUE(期貨金額!R7)</f>
        <v>2632074</v>
      </c>
      <c r="R20" s="103">
        <f>VALUE(期貨金額!S7)</f>
        <v>2632074</v>
      </c>
      <c r="S20" s="103">
        <f>VALUE(期貨金額!T7)</f>
        <v>2634597</v>
      </c>
      <c r="T20" s="103">
        <f>VALUE(期貨金額!U7)</f>
        <v>2561780</v>
      </c>
      <c r="U20" s="103">
        <f>VALUE(期貨金額!V7)</f>
        <v>2536580</v>
      </c>
      <c r="V20" s="103">
        <f>VALUE(期貨金額!W7)</f>
        <v>2543897</v>
      </c>
      <c r="W20" s="103">
        <f>VALUE(期貨金額!X7)</f>
        <v>2539164</v>
      </c>
      <c r="X20" s="103">
        <f>VALUE(期貨金額!Y7)</f>
        <v>2539164</v>
      </c>
      <c r="Y20" s="103">
        <f>VALUE(期貨金額!Z7)</f>
        <v>2539164</v>
      </c>
      <c r="Z20" s="103">
        <f>VALUE(期貨金額!AA7)</f>
        <v>2544836</v>
      </c>
      <c r="AA20" s="103">
        <f>VALUE(期貨金額!AB7)</f>
        <v>2551986</v>
      </c>
      <c r="AB20" s="103">
        <f>VALUE(期貨金額!AC7)</f>
        <v>1481695</v>
      </c>
      <c r="AC20" s="103">
        <f>VALUE(期貨金額!AD7)</f>
        <v>1476649</v>
      </c>
      <c r="AD20" s="103">
        <f>VALUE(期貨金額!AE7)</f>
        <v>1478127</v>
      </c>
      <c r="AE20" s="103">
        <f>VALUE(期貨金額!AF7)</f>
        <v>1478259</v>
      </c>
      <c r="AF20" s="103">
        <f>VALUE(期貨金額!AG7)</f>
        <v>1478259</v>
      </c>
      <c r="AG20" s="103">
        <f>VALUE(期貨金額!AH7)</f>
        <v>1472009</v>
      </c>
      <c r="AH20" s="103">
        <f>VALUE(期貨金額!AI7)</f>
        <v>2380254.65</v>
      </c>
      <c r="AI20" s="504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4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504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4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4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4">
        <f t="shared" si="2"/>
        <v>0</v>
      </c>
    </row>
    <row r="26" spans="1:35" ht="19.5">
      <c r="A26" s="685" t="s">
        <v>42</v>
      </c>
      <c r="B26" s="686"/>
      <c r="C26" s="107">
        <f>SUM(C20:C25)</f>
        <v>2606405</v>
      </c>
      <c r="D26" s="107">
        <f>SUM(D20:D25)</f>
        <v>2606405</v>
      </c>
      <c r="E26" s="107">
        <f>SUM(E20:E25)</f>
        <v>2615460</v>
      </c>
      <c r="F26" s="107">
        <f t="shared" ref="F26:AH26" si="3">SUM(F20:F25)</f>
        <v>2620059</v>
      </c>
      <c r="G26" s="107">
        <f t="shared" si="3"/>
        <v>2610427</v>
      </c>
      <c r="H26" s="107">
        <f t="shared" si="3"/>
        <v>2612427</v>
      </c>
      <c r="I26" s="107">
        <f t="shared" si="3"/>
        <v>2619404</v>
      </c>
      <c r="J26" s="107">
        <f t="shared" si="3"/>
        <v>2619404</v>
      </c>
      <c r="K26" s="107">
        <f t="shared" si="3"/>
        <v>2619404</v>
      </c>
      <c r="L26" s="107">
        <f t="shared" si="3"/>
        <v>2624338</v>
      </c>
      <c r="M26" s="107">
        <f t="shared" si="3"/>
        <v>2623937</v>
      </c>
      <c r="N26" s="107">
        <f t="shared" si="3"/>
        <v>2628541</v>
      </c>
      <c r="O26" s="107">
        <f t="shared" si="3"/>
        <v>2629506</v>
      </c>
      <c r="P26" s="107">
        <f t="shared" si="3"/>
        <v>2631863</v>
      </c>
      <c r="Q26" s="107">
        <f t="shared" si="3"/>
        <v>2632074</v>
      </c>
      <c r="R26" s="107">
        <f t="shared" si="3"/>
        <v>2632074</v>
      </c>
      <c r="S26" s="107">
        <f t="shared" si="3"/>
        <v>2634597</v>
      </c>
      <c r="T26" s="107">
        <f t="shared" si="3"/>
        <v>2561780</v>
      </c>
      <c r="U26" s="107">
        <f t="shared" si="3"/>
        <v>2536580</v>
      </c>
      <c r="V26" s="107">
        <f t="shared" si="3"/>
        <v>2543897</v>
      </c>
      <c r="W26" s="107">
        <f t="shared" si="3"/>
        <v>2539164</v>
      </c>
      <c r="X26" s="107">
        <f t="shared" si="3"/>
        <v>2539164</v>
      </c>
      <c r="Y26" s="107">
        <f t="shared" si="3"/>
        <v>2539164</v>
      </c>
      <c r="Z26" s="107">
        <f t="shared" si="3"/>
        <v>2544836</v>
      </c>
      <c r="AA26" s="107">
        <f t="shared" si="3"/>
        <v>2551986</v>
      </c>
      <c r="AB26" s="107">
        <f t="shared" si="3"/>
        <v>1481695</v>
      </c>
      <c r="AC26" s="107">
        <f t="shared" si="3"/>
        <v>1476649</v>
      </c>
      <c r="AD26" s="107">
        <f t="shared" si="3"/>
        <v>1478127</v>
      </c>
      <c r="AE26" s="107">
        <f t="shared" si="3"/>
        <v>1478259</v>
      </c>
      <c r="AF26" s="107">
        <f t="shared" si="3"/>
        <v>1478259</v>
      </c>
      <c r="AG26" s="107">
        <f t="shared" si="3"/>
        <v>1472009</v>
      </c>
      <c r="AH26" s="107">
        <f t="shared" si="3"/>
        <v>2380254.65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opLeftCell="A7" zoomScale="90" workbookViewId="0">
      <selection activeCell="P1" sqref="P1:P1048576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03" t="s">
        <v>1</v>
      </c>
      <c r="B2" s="704"/>
      <c r="C2" s="704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6" t="s">
        <v>265</v>
      </c>
    </row>
    <row r="3" spans="1:17" s="122" customFormat="1" ht="13.5">
      <c r="A3" s="705" t="s">
        <v>9</v>
      </c>
      <c r="B3" s="706"/>
      <c r="C3" s="707"/>
      <c r="D3" s="119">
        <f>D4+D11+D16</f>
        <v>569493119.62000012</v>
      </c>
      <c r="E3" s="119">
        <f>E4+E11+E16</f>
        <v>583053038.44999993</v>
      </c>
      <c r="F3" s="119">
        <f>F4+F11+F16</f>
        <v>0</v>
      </c>
      <c r="G3" s="119">
        <f t="shared" ref="G3:P3" si="0">G4+G11+G16</f>
        <v>0</v>
      </c>
      <c r="H3" s="119">
        <f t="shared" si="0"/>
        <v>0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576273083</v>
      </c>
      <c r="Q3" s="529">
        <v>464677576.2836622</v>
      </c>
    </row>
    <row r="4" spans="1:17" ht="13.5">
      <c r="A4" s="123"/>
      <c r="B4" s="701" t="s">
        <v>10</v>
      </c>
      <c r="C4" s="702"/>
      <c r="D4" s="124">
        <f>SUM(D5:D10)</f>
        <v>342216230.34000003</v>
      </c>
      <c r="E4" s="124">
        <f t="shared" ref="E4:P4" si="1">SUM(E5:E10)</f>
        <v>344901648.27999997</v>
      </c>
      <c r="F4" s="124">
        <f t="shared" si="1"/>
        <v>0</v>
      </c>
      <c r="G4" s="124">
        <f t="shared" si="1"/>
        <v>0</v>
      </c>
      <c r="H4" s="124">
        <f t="shared" si="1"/>
        <v>0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343558940</v>
      </c>
      <c r="Q4" s="530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292895572.44999999</v>
      </c>
      <c r="E5" s="129">
        <f>VALUE(月庫存金額!D2)</f>
        <v>294277850.13999999</v>
      </c>
      <c r="F5" s="129">
        <f>VALUE(月庫存金額!E2)</f>
        <v>0</v>
      </c>
      <c r="G5" s="129">
        <f>VALUE(月庫存金額!F2)</f>
        <v>0</v>
      </c>
      <c r="H5" s="129">
        <f>VALUE(月庫存金額!G2)</f>
        <v>0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293586711</v>
      </c>
      <c r="Q5" s="531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6894022.4800000004</v>
      </c>
      <c r="E6" s="129">
        <f>VALUE(月庫存金額!D4)</f>
        <v>7273219.5</v>
      </c>
      <c r="F6" s="129">
        <f>VALUE(月庫存金額!E4)</f>
        <v>0</v>
      </c>
      <c r="G6" s="129">
        <f>VALUE(月庫存金額!F4)</f>
        <v>0</v>
      </c>
      <c r="H6" s="129">
        <f>VALUE(月庫存金額!G4)</f>
        <v>0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7083621</v>
      </c>
      <c r="Q6" s="531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11103888.48</v>
      </c>
      <c r="E7" s="129">
        <f>VALUE(月庫存金額!D5)</f>
        <v>10717600.109999999</v>
      </c>
      <c r="F7" s="129">
        <f>VALUE(月庫存金額!E5)</f>
        <v>0</v>
      </c>
      <c r="G7" s="129">
        <f>VALUE(月庫存金額!F5)</f>
        <v>0</v>
      </c>
      <c r="H7" s="129">
        <f>VALUE(月庫存金額!G5)</f>
        <v>0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10910744</v>
      </c>
      <c r="Q7" s="531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21593172.870000001</v>
      </c>
      <c r="E8" s="129">
        <f>VALUE(月庫存金額!D6)</f>
        <v>19382073.82</v>
      </c>
      <c r="F8" s="129">
        <f>VALUE(月庫存金額!E6)</f>
        <v>0</v>
      </c>
      <c r="G8" s="129">
        <f>VALUE(月庫存金額!F6)</f>
        <v>0</v>
      </c>
      <c r="H8" s="129">
        <f>VALUE(月庫存金額!G6)</f>
        <v>0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20487624</v>
      </c>
      <c r="Q8" s="531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1">
        <v>0</v>
      </c>
    </row>
    <row r="10" spans="1:17" ht="13.5">
      <c r="A10" s="126"/>
      <c r="B10" s="132"/>
      <c r="C10" s="128" t="s">
        <v>16</v>
      </c>
      <c r="D10" s="129">
        <f>VALUE(月庫存金額!C8)</f>
        <v>9729574.0600000005</v>
      </c>
      <c r="E10" s="129">
        <f>VALUE(月庫存金額!D8)</f>
        <v>13250904.710000001</v>
      </c>
      <c r="F10" s="129">
        <f>VALUE(月庫存金額!E8)</f>
        <v>0</v>
      </c>
      <c r="G10" s="129">
        <f>VALUE(月庫存金額!F8)</f>
        <v>0</v>
      </c>
      <c r="H10" s="129">
        <f>VALUE(月庫存金額!G8)</f>
        <v>0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11490240</v>
      </c>
      <c r="Q10" s="531">
        <v>7409428.2792333327</v>
      </c>
    </row>
    <row r="11" spans="1:17" ht="13.5">
      <c r="A11" s="126"/>
      <c r="B11" s="708" t="s">
        <v>17</v>
      </c>
      <c r="C11" s="709"/>
      <c r="D11" s="133">
        <f>SUM(D12:D15)</f>
        <v>1990385.5499999998</v>
      </c>
      <c r="E11" s="133">
        <f>SUM(E12:E15)</f>
        <v>1846899.3900000001</v>
      </c>
      <c r="F11" s="133">
        <f>SUM(F12:F15)</f>
        <v>0</v>
      </c>
      <c r="G11" s="133">
        <f t="shared" ref="G11:P11" si="2">SUM(G12:G15)</f>
        <v>0</v>
      </c>
      <c r="H11" s="133">
        <f t="shared" si="2"/>
        <v>0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1918644</v>
      </c>
      <c r="Q11" s="532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1">
        <v>0</v>
      </c>
    </row>
    <row r="13" spans="1:17" ht="13.5">
      <c r="A13" s="126"/>
      <c r="B13" s="127"/>
      <c r="C13" s="134" t="s">
        <v>19</v>
      </c>
      <c r="D13" s="129">
        <f>VALUE(月庫存金額!C10)</f>
        <v>1710555.94</v>
      </c>
      <c r="E13" s="129">
        <f>VALUE(月庫存金額!D10)</f>
        <v>1534112.82</v>
      </c>
      <c r="F13" s="129">
        <f>VALUE(月庫存金額!E10)</f>
        <v>0</v>
      </c>
      <c r="G13" s="129">
        <f>VALUE(月庫存金額!F10)</f>
        <v>0</v>
      </c>
      <c r="H13" s="129">
        <f>VALUE(月庫存金額!G10)</f>
        <v>0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1622335</v>
      </c>
      <c r="Q13" s="531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1">
        <v>0</v>
      </c>
    </row>
    <row r="15" spans="1:17" ht="13.5">
      <c r="A15" s="126"/>
      <c r="B15" s="127"/>
      <c r="C15" s="233" t="s">
        <v>20</v>
      </c>
      <c r="D15" s="129">
        <f>VALUE(月庫存金額!C14)</f>
        <v>279829.61</v>
      </c>
      <c r="E15" s="129">
        <f>VALUE(月庫存金額!D14)</f>
        <v>312786.57</v>
      </c>
      <c r="F15" s="129">
        <f>VALUE(月庫存金額!E14)</f>
        <v>0</v>
      </c>
      <c r="G15" s="129">
        <f>VALUE(月庫存金額!F14)</f>
        <v>0</v>
      </c>
      <c r="H15" s="129">
        <f>VALUE(月庫存金額!G14)</f>
        <v>0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296309</v>
      </c>
      <c r="Q15" s="531">
        <v>410834.40910555562</v>
      </c>
    </row>
    <row r="16" spans="1:17" ht="14.25" customHeight="1">
      <c r="A16" s="126"/>
      <c r="B16" s="701" t="s">
        <v>22</v>
      </c>
      <c r="C16" s="702"/>
      <c r="D16" s="133">
        <f>SUM(D17:D23)</f>
        <v>225286503.73000002</v>
      </c>
      <c r="E16" s="133">
        <f>SUM(E17:E23)</f>
        <v>236304490.78</v>
      </c>
      <c r="F16" s="133">
        <f>SUM(F17:F23)</f>
        <v>0</v>
      </c>
      <c r="G16" s="133">
        <f t="shared" ref="G16:O16" si="3">SUM(G17:G23)</f>
        <v>0</v>
      </c>
      <c r="H16" s="133">
        <f t="shared" si="3"/>
        <v>0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230795499</v>
      </c>
      <c r="Q16" s="532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213813987.06</v>
      </c>
      <c r="E17" s="129">
        <f>VALUE(月庫存金額!D3)</f>
        <v>216421676.38999999</v>
      </c>
      <c r="F17" s="129">
        <f>VALUE(月庫存金額!E3)</f>
        <v>0</v>
      </c>
      <c r="G17" s="129">
        <f>VALUE(月庫存金額!F3)</f>
        <v>0</v>
      </c>
      <c r="H17" s="129">
        <f>VALUE(月庫存金額!G3)</f>
        <v>0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215117832</v>
      </c>
      <c r="Q17" s="531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2731882.9</v>
      </c>
      <c r="E18" s="129">
        <f>VALUE(月庫存金額!D13)</f>
        <v>2401477.71</v>
      </c>
      <c r="F18" s="129">
        <f>VALUE(月庫存金額!E13)</f>
        <v>0</v>
      </c>
      <c r="G18" s="129">
        <f>VALUE(月庫存金額!F13)</f>
        <v>0</v>
      </c>
      <c r="H18" s="129">
        <f>VALUE(月庫存金額!G13)</f>
        <v>0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2566681</v>
      </c>
      <c r="Q18" s="531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161176</v>
      </c>
      <c r="F19" s="129">
        <f>VALUE(月庫存金額!E21)</f>
        <v>0</v>
      </c>
      <c r="G19" s="129">
        <f>VALUE(月庫存金額!F21)</f>
        <v>0</v>
      </c>
      <c r="H19" s="129">
        <f>VALUE(月庫存金額!G21)</f>
        <v>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161176</v>
      </c>
      <c r="Q19" s="531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0</v>
      </c>
      <c r="G20" s="129">
        <f>VALUE(月庫存金額!F20)</f>
        <v>0</v>
      </c>
      <c r="H20" s="129">
        <f>VALUE(月庫存金額!G20)</f>
        <v>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531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8170824.7699999996</v>
      </c>
      <c r="E21" s="129">
        <f>VALUE(月庫存金額!D19)</f>
        <v>16891475.68</v>
      </c>
      <c r="F21" s="129">
        <f>VALUE(月庫存金額!E19)</f>
        <v>0</v>
      </c>
      <c r="G21" s="129">
        <f>VALUE(月庫存金額!F19)</f>
        <v>0</v>
      </c>
      <c r="H21" s="129">
        <f>VALUE(月庫存金額!G19)</f>
        <v>0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12531151</v>
      </c>
      <c r="Q21" s="531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0</v>
      </c>
      <c r="G22" s="129">
        <f>VALUE(月庫存金額!F11)</f>
        <v>0</v>
      </c>
      <c r="H22" s="129">
        <f>VALUE(月庫存金額!G11)</f>
        <v>0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106839</v>
      </c>
      <c r="Q22" s="531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138994</v>
      </c>
      <c r="E23" s="129">
        <f>VALUE(月庫存金額!D22)</f>
        <v>159046</v>
      </c>
      <c r="F23" s="129">
        <f>VALUE(月庫存金額!E22)</f>
        <v>0</v>
      </c>
      <c r="G23" s="129">
        <f>VALUE(月庫存金額!F22)</f>
        <v>0</v>
      </c>
      <c r="H23" s="129">
        <f>VALUE(月庫存金額!G22)</f>
        <v>0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149020</v>
      </c>
      <c r="Q23" s="531">
        <v>446571.5</v>
      </c>
    </row>
    <row r="24" spans="1:17" ht="14.25" customHeight="1">
      <c r="A24" s="126"/>
      <c r="B24" s="701" t="s">
        <v>30</v>
      </c>
      <c r="C24" s="702"/>
      <c r="D24" s="133">
        <f>SUM(D25:D28)</f>
        <v>13551160.77</v>
      </c>
      <c r="E24" s="133">
        <f t="shared" ref="E24:P24" si="4">SUM(E25:E28)</f>
        <v>14999902.57</v>
      </c>
      <c r="F24" s="133">
        <f t="shared" si="4"/>
        <v>0</v>
      </c>
      <c r="G24" s="133">
        <f t="shared" si="4"/>
        <v>0</v>
      </c>
      <c r="H24" s="133">
        <f t="shared" si="4"/>
        <v>0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14275532</v>
      </c>
      <c r="Q24" s="532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1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1"/>
    </row>
    <row r="27" spans="1:17" ht="13.5">
      <c r="A27" s="126"/>
      <c r="B27" s="254"/>
      <c r="C27" s="134" t="s">
        <v>269</v>
      </c>
      <c r="D27" s="129">
        <f>VALUE(月庫存金額!C25)</f>
        <v>9106516.6799999997</v>
      </c>
      <c r="E27" s="129">
        <f>VALUE(月庫存金額!D25)</f>
        <v>9492109.1099999994</v>
      </c>
      <c r="F27" s="129">
        <f>VALUE(月庫存金額!E25)</f>
        <v>0</v>
      </c>
      <c r="G27" s="129">
        <f>VALUE(月庫存金額!F25)</f>
        <v>0</v>
      </c>
      <c r="H27" s="129">
        <f>VALUE(月庫存金額!G25)</f>
        <v>0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9299313</v>
      </c>
      <c r="Q27" s="531"/>
    </row>
    <row r="28" spans="1:17" ht="13.5">
      <c r="A28" s="126"/>
      <c r="B28" s="266"/>
      <c r="C28" s="134" t="s">
        <v>270</v>
      </c>
      <c r="D28" s="129">
        <f>VALUE(月庫存金額!C26)</f>
        <v>4444644.09</v>
      </c>
      <c r="E28" s="129">
        <f>VALUE(月庫存金額!D26)</f>
        <v>5507793.46</v>
      </c>
      <c r="F28" s="129">
        <f>VALUE(月庫存金額!E26)</f>
        <v>0</v>
      </c>
      <c r="G28" s="129">
        <f>VALUE(月庫存金額!F26)</f>
        <v>0</v>
      </c>
      <c r="H28" s="129">
        <f>VALUE(月庫存金額!G26)</f>
        <v>0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4976219</v>
      </c>
      <c r="Q28" s="531"/>
    </row>
    <row r="29" spans="1:17" ht="13.5">
      <c r="A29" s="691" t="s">
        <v>36</v>
      </c>
      <c r="B29" s="692"/>
      <c r="C29" s="139" t="s">
        <v>37</v>
      </c>
      <c r="D29" s="140">
        <f>VALUE(月庫存金額!C15)</f>
        <v>1636322.68</v>
      </c>
      <c r="E29" s="140">
        <f>VALUE(月庫存金額!D15)</f>
        <v>1606880.5</v>
      </c>
      <c r="F29" s="140">
        <f>VALUE(月庫存金額!E15)</f>
        <v>0</v>
      </c>
      <c r="G29" s="140">
        <f>VALUE(月庫存金額!F15)</f>
        <v>0</v>
      </c>
      <c r="H29" s="140">
        <f>VALUE(月庫存金額!G15)</f>
        <v>0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1621602</v>
      </c>
      <c r="Q29" s="533"/>
    </row>
    <row r="30" spans="1:17" ht="13.5">
      <c r="A30" s="693"/>
      <c r="B30" s="694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4"/>
    </row>
    <row r="31" spans="1:17" ht="13.5">
      <c r="A31" s="693"/>
      <c r="B31" s="694"/>
      <c r="C31" s="239" t="s">
        <v>39</v>
      </c>
      <c r="D31" s="143">
        <f>VALUE(月庫存金額!C17)</f>
        <v>4738534.16</v>
      </c>
      <c r="E31" s="143">
        <f>VALUE(月庫存金額!D17)</f>
        <v>6616871.4299999997</v>
      </c>
      <c r="F31" s="143">
        <f>VALUE(月庫存金額!E17)</f>
        <v>0</v>
      </c>
      <c r="G31" s="143">
        <f>VALUE(月庫存金額!F17)</f>
        <v>0</v>
      </c>
      <c r="H31" s="143">
        <f>VALUE(月庫存金額!G17)</f>
        <v>0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5677703</v>
      </c>
      <c r="Q31" s="534"/>
    </row>
    <row r="32" spans="1:17" ht="14.1" thickBot="1">
      <c r="A32" s="695"/>
      <c r="B32" s="696"/>
      <c r="C32" s="146" t="s">
        <v>40</v>
      </c>
      <c r="D32" s="147">
        <f>VALUE(月庫存金額!C18)</f>
        <v>12592603.32</v>
      </c>
      <c r="E32" s="147">
        <f>VALUE(月庫存金額!D18)</f>
        <v>10668231.32</v>
      </c>
      <c r="F32" s="147">
        <f>VALUE(月庫存金額!E18)</f>
        <v>0</v>
      </c>
      <c r="G32" s="147">
        <f>VALUE(月庫存金額!F18)</f>
        <v>0</v>
      </c>
      <c r="H32" s="147">
        <f>VALUE(月庫存金額!G18)</f>
        <v>0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11630417</v>
      </c>
      <c r="Q32" s="535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03" t="s">
        <v>1</v>
      </c>
      <c r="B36" s="704"/>
      <c r="C36" s="704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05" t="s">
        <v>9</v>
      </c>
      <c r="B37" s="706"/>
      <c r="C37" s="707"/>
      <c r="D37" s="119">
        <f>D38+D45+D50</f>
        <v>587014761</v>
      </c>
      <c r="E37" s="119">
        <f>E38+E45+E50</f>
        <v>627453357</v>
      </c>
      <c r="F37" s="119">
        <f>F38+F45+F50</f>
        <v>0</v>
      </c>
      <c r="G37" s="119">
        <f t="shared" ref="G37:P37" si="5">G38+G45+G50</f>
        <v>0</v>
      </c>
      <c r="H37" s="119">
        <f t="shared" si="5"/>
        <v>0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607234061</v>
      </c>
      <c r="Q37" s="121"/>
    </row>
    <row r="38" spans="1:17" ht="13.5">
      <c r="A38" s="123"/>
      <c r="B38" s="701" t="s">
        <v>10</v>
      </c>
      <c r="C38" s="702"/>
      <c r="D38" s="124">
        <f>SUM(D39:D44)</f>
        <v>354479947</v>
      </c>
      <c r="E38" s="124">
        <f t="shared" ref="E38:P38" si="6">SUM(E39:E44)</f>
        <v>371926023</v>
      </c>
      <c r="F38" s="124">
        <f t="shared" si="6"/>
        <v>0</v>
      </c>
      <c r="G38" s="124">
        <f t="shared" si="6"/>
        <v>0</v>
      </c>
      <c r="H38" s="124">
        <f t="shared" si="6"/>
        <v>0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363202986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301522048</v>
      </c>
      <c r="E39" s="130">
        <f>VALUE(月庫存金額!Q2)</f>
        <v>312011790</v>
      </c>
      <c r="F39" s="130">
        <f>VALUE(月庫存金額!R2)</f>
        <v>0</v>
      </c>
      <c r="G39" s="130">
        <f>VALUE(月庫存金額!S2)</f>
        <v>0</v>
      </c>
      <c r="H39" s="130">
        <f>VALUE(月庫存金額!T2)</f>
        <v>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306766919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11731801</v>
      </c>
      <c r="E40" s="130">
        <f>VALUE(月庫存金額!Q4)</f>
        <v>6677578</v>
      </c>
      <c r="F40" s="130">
        <f>VALUE(月庫存金額!R4)</f>
        <v>0</v>
      </c>
      <c r="G40" s="130">
        <f>VALUE(月庫存金額!S4)</f>
        <v>0</v>
      </c>
      <c r="H40" s="130">
        <f>VALUE(月庫存金額!T4)</f>
        <v>0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9204690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11043043</v>
      </c>
      <c r="E41" s="130">
        <f>VALUE(月庫存金額!Q5)</f>
        <v>11016551</v>
      </c>
      <c r="F41" s="130">
        <f>VALUE(月庫存金額!R5)</f>
        <v>0</v>
      </c>
      <c r="G41" s="130">
        <f>VALUE(月庫存金額!S5)</f>
        <v>0</v>
      </c>
      <c r="H41" s="130">
        <f>VALUE(月庫存金額!T5)</f>
        <v>0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11029797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18962815</v>
      </c>
      <c r="E42" s="130">
        <f>VALUE(月庫存金額!Q6)</f>
        <v>23106428</v>
      </c>
      <c r="F42" s="130">
        <f>VALUE(月庫存金額!R6)</f>
        <v>0</v>
      </c>
      <c r="G42" s="130">
        <f>VALUE(月庫存金額!S6)</f>
        <v>0</v>
      </c>
      <c r="H42" s="130">
        <f>VALUE(月庫存金額!T6)</f>
        <v>0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21034622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11220240</v>
      </c>
      <c r="E44" s="130">
        <f>VALUE(月庫存金額!Q8)</f>
        <v>19113676</v>
      </c>
      <c r="F44" s="130">
        <f>VALUE(月庫存金額!R8)</f>
        <v>0</v>
      </c>
      <c r="G44" s="130">
        <f>VALUE(月庫存金額!S8)</f>
        <v>0</v>
      </c>
      <c r="H44" s="130">
        <f>VALUE(月庫存金額!T8)</f>
        <v>0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15166958</v>
      </c>
      <c r="Q44" s="121"/>
    </row>
    <row r="45" spans="1:17" ht="13.5">
      <c r="A45" s="126"/>
      <c r="B45" s="708" t="s">
        <v>17</v>
      </c>
      <c r="C45" s="709"/>
      <c r="D45" s="124">
        <f>SUM(D46:D49)</f>
        <v>2040687</v>
      </c>
      <c r="E45" s="124">
        <f>SUM(E46:E49)</f>
        <v>2030574</v>
      </c>
      <c r="F45" s="124">
        <f>SUM(F46:F49)</f>
        <v>0</v>
      </c>
      <c r="G45" s="124">
        <f t="shared" ref="G45:P45" si="7">SUM(G46:G49)</f>
        <v>0</v>
      </c>
      <c r="H45" s="124">
        <f t="shared" si="7"/>
        <v>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2035631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1745249</v>
      </c>
      <c r="E47" s="130">
        <f>VALUE(月庫存金額!Q10)</f>
        <v>1677636</v>
      </c>
      <c r="F47" s="130">
        <f>VALUE(月庫存金額!R10)</f>
        <v>0</v>
      </c>
      <c r="G47" s="130">
        <f>VALUE(月庫存金額!S10)</f>
        <v>0</v>
      </c>
      <c r="H47" s="130">
        <f>VALUE(月庫存金額!T10)</f>
        <v>0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1711443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295438</v>
      </c>
      <c r="E49" s="130">
        <f>VALUE(月庫存金額!Q14)</f>
        <v>352938</v>
      </c>
      <c r="F49" s="130">
        <f>VALUE(月庫存金額!R14)</f>
        <v>0</v>
      </c>
      <c r="G49" s="130">
        <f>VALUE(月庫存金額!S14)</f>
        <v>0</v>
      </c>
      <c r="H49" s="130">
        <f>VALUE(月庫存金額!T14)</f>
        <v>0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324188</v>
      </c>
      <c r="Q49" s="121"/>
    </row>
    <row r="50" spans="1:17" ht="16.5" customHeight="1">
      <c r="A50" s="126"/>
      <c r="B50" s="708" t="s">
        <v>22</v>
      </c>
      <c r="C50" s="709"/>
      <c r="D50" s="124">
        <f>SUM(D51:D57)</f>
        <v>230494127</v>
      </c>
      <c r="E50" s="124">
        <f>SUM(E51:E57)</f>
        <v>253496760</v>
      </c>
      <c r="F50" s="124">
        <f>SUM(F51:F57)</f>
        <v>0</v>
      </c>
      <c r="G50" s="124">
        <f t="shared" ref="G50:P50" si="8">SUM(G51:G57)</f>
        <v>0</v>
      </c>
      <c r="H50" s="124">
        <f t="shared" si="8"/>
        <v>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241995444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217348722</v>
      </c>
      <c r="E51" s="130">
        <f>VALUE(月庫存金額!Q3)</f>
        <v>229286452</v>
      </c>
      <c r="F51" s="130">
        <f>VALUE(月庫存金額!R3)</f>
        <v>0</v>
      </c>
      <c r="G51" s="130">
        <f>VALUE(月庫存金額!S3)</f>
        <v>0</v>
      </c>
      <c r="H51" s="130">
        <f>VALUE(月庫存金額!T3)</f>
        <v>0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223317587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4434328</v>
      </c>
      <c r="E52" s="130">
        <f>VALUE(月庫存金額!Q13)</f>
        <v>2190434</v>
      </c>
      <c r="F52" s="130">
        <f>VALUE(月庫存金額!R13)</f>
        <v>0</v>
      </c>
      <c r="G52" s="130">
        <f>VALUE(月庫存金額!S13)</f>
        <v>0</v>
      </c>
      <c r="H52" s="130">
        <f>VALUE(月庫存金額!T13)</f>
        <v>0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3312381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161176</v>
      </c>
      <c r="F53" s="130">
        <f>VALUE(月庫存金額!R21)</f>
        <v>0</v>
      </c>
      <c r="G53" s="130">
        <f>VALUE(月庫存金額!S21)</f>
        <v>0</v>
      </c>
      <c r="H53" s="130">
        <f>VALUE(月庫存金額!T21)</f>
        <v>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161176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0</v>
      </c>
      <c r="G54" s="130">
        <f>VALUE(月庫存金額!S20)</f>
        <v>0</v>
      </c>
      <c r="H54" s="130">
        <f>VALUE(月庫存金額!T20)</f>
        <v>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8141268</v>
      </c>
      <c r="E55" s="130">
        <f>VALUE(月庫存金額!Q19)</f>
        <v>21387425</v>
      </c>
      <c r="F55" s="130">
        <f>VALUE(月庫存金額!R19)</f>
        <v>0</v>
      </c>
      <c r="G55" s="130">
        <f>VALUE(月庫存金額!S19)</f>
        <v>0</v>
      </c>
      <c r="H55" s="130">
        <f>VALUE(月庫存金額!T19)</f>
        <v>0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14764347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0</v>
      </c>
      <c r="G56" s="130">
        <f>VALUE(月庫存金額!S11)</f>
        <v>0</v>
      </c>
      <c r="H56" s="130">
        <f>VALUE(月庫存金額!T11)</f>
        <v>0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106839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138994</v>
      </c>
      <c r="E57" s="130">
        <f>VALUE(月庫存金額!Q22)</f>
        <v>201634</v>
      </c>
      <c r="F57" s="130">
        <f>VALUE(月庫存金額!R22)</f>
        <v>0</v>
      </c>
      <c r="G57" s="130">
        <f>VALUE(月庫存金額!S22)</f>
        <v>0</v>
      </c>
      <c r="H57" s="130">
        <f>VALUE(月庫存金額!T22)</f>
        <v>0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170314</v>
      </c>
      <c r="Q57" s="121"/>
    </row>
    <row r="58" spans="1:17" ht="14.25" customHeight="1">
      <c r="A58" s="126"/>
      <c r="B58" s="701" t="s">
        <v>30</v>
      </c>
      <c r="C58" s="702"/>
      <c r="D58" s="124">
        <f>SUM(D59:D62)</f>
        <v>12472707</v>
      </c>
      <c r="E58" s="124">
        <f t="shared" ref="E58:P58" si="9">SUM(E59:E62)</f>
        <v>16017278</v>
      </c>
      <c r="F58" s="124">
        <f t="shared" si="9"/>
        <v>0</v>
      </c>
      <c r="G58" s="124">
        <f t="shared" si="9"/>
        <v>0</v>
      </c>
      <c r="H58" s="124">
        <f t="shared" si="9"/>
        <v>0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14244993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7670141</v>
      </c>
      <c r="E61" s="130">
        <f>VALUE(月庫存金額!Q25)</f>
        <v>10611816</v>
      </c>
      <c r="F61" s="130">
        <f>VALUE(月庫存金額!R25)</f>
        <v>0</v>
      </c>
      <c r="G61" s="130">
        <f>VALUE(月庫存金額!S25)</f>
        <v>0</v>
      </c>
      <c r="H61" s="130">
        <f>VALUE(月庫存金額!T25)</f>
        <v>0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9140979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4802566</v>
      </c>
      <c r="E62" s="130">
        <f>VALUE(月庫存金額!Q26)</f>
        <v>5405462</v>
      </c>
      <c r="F62" s="130">
        <f>VALUE(月庫存金額!R26)</f>
        <v>0</v>
      </c>
      <c r="G62" s="130">
        <f>VALUE(月庫存金額!S26)</f>
        <v>0</v>
      </c>
      <c r="H62" s="130">
        <f>VALUE(月庫存金額!T26)</f>
        <v>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5104014</v>
      </c>
      <c r="Q62" s="121"/>
    </row>
    <row r="63" spans="1:17" ht="13.5">
      <c r="A63" s="691" t="s">
        <v>36</v>
      </c>
      <c r="B63" s="692"/>
      <c r="C63" s="139" t="s">
        <v>37</v>
      </c>
      <c r="D63" s="140">
        <f>VALUE(月庫存金額!P15)</f>
        <v>1605674</v>
      </c>
      <c r="E63" s="140">
        <f>VALUE(月庫存金額!Q15)</f>
        <v>1609870</v>
      </c>
      <c r="F63" s="140">
        <f>VALUE(月庫存金額!R15)</f>
        <v>0</v>
      </c>
      <c r="G63" s="140">
        <f>VALUE(月庫存金額!S15)</f>
        <v>0</v>
      </c>
      <c r="H63" s="140">
        <f>VALUE(月庫存金額!T15)</f>
        <v>0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1607772</v>
      </c>
      <c r="Q63" s="121"/>
    </row>
    <row r="64" spans="1:17" ht="14.25" customHeight="1">
      <c r="A64" s="693"/>
      <c r="B64" s="694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93"/>
      <c r="B65" s="694"/>
      <c r="C65" s="239" t="s">
        <v>39</v>
      </c>
      <c r="D65" s="143">
        <f>VALUE(月庫存金額!P17)</f>
        <v>5742313</v>
      </c>
      <c r="E65" s="143">
        <f>VALUE(月庫存金額!Q17)</f>
        <v>8972166</v>
      </c>
      <c r="F65" s="143">
        <f>VALUE(月庫存金額!R17)</f>
        <v>0</v>
      </c>
      <c r="G65" s="143">
        <f>VALUE(月庫存金額!S17)</f>
        <v>0</v>
      </c>
      <c r="H65" s="143">
        <f>VALUE(月庫存金額!T17)</f>
        <v>0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7357240</v>
      </c>
      <c r="Q65" s="121"/>
    </row>
    <row r="66" spans="1:17" ht="14.1" thickBot="1">
      <c r="A66" s="695"/>
      <c r="B66" s="696"/>
      <c r="C66" s="146" t="s">
        <v>40</v>
      </c>
      <c r="D66" s="147">
        <f>VALUE(月庫存金額!P18)</f>
        <v>11062673</v>
      </c>
      <c r="E66" s="147">
        <f>VALUE(月庫存金額!Q18)</f>
        <v>12466503</v>
      </c>
      <c r="F66" s="147">
        <f>VALUE(月庫存金額!R18)</f>
        <v>0</v>
      </c>
      <c r="G66" s="147">
        <f>VALUE(月庫存金額!S18)</f>
        <v>0</v>
      </c>
      <c r="H66" s="147">
        <f>VALUE(月庫存金額!T18)</f>
        <v>0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11764588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03" t="s">
        <v>1</v>
      </c>
      <c r="B70" s="704"/>
      <c r="C70" s="704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05" t="s">
        <v>9</v>
      </c>
      <c r="B71" s="706"/>
      <c r="C71" s="707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01" t="s">
        <v>10</v>
      </c>
      <c r="C72" s="702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08" t="s">
        <v>17</v>
      </c>
      <c r="C79" s="710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01" t="s">
        <v>22</v>
      </c>
      <c r="C84" s="702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91" t="s">
        <v>36</v>
      </c>
      <c r="B92" s="692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93"/>
      <c r="B93" s="694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93"/>
      <c r="B94" s="694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695"/>
      <c r="B95" s="696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03" t="s">
        <v>1</v>
      </c>
      <c r="B98" s="704"/>
      <c r="C98" s="704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11" t="s">
        <v>11</v>
      </c>
      <c r="B99" s="712"/>
      <c r="C99" s="712"/>
      <c r="D99" s="187" t="str">
        <f>月供應率ALL!C2</f>
        <v>98.2</v>
      </c>
      <c r="E99" s="187" t="str">
        <f>月供應率ALL!D2</f>
        <v>98</v>
      </c>
      <c r="F99" s="187" t="str">
        <f>月供應率ALL!E2</f>
        <v>0</v>
      </c>
      <c r="G99" s="187" t="str">
        <f>月供應率ALL!F2</f>
        <v>0</v>
      </c>
      <c r="H99" s="187" t="str">
        <f>月供應率ALL!G2</f>
        <v>0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98.1</v>
      </c>
      <c r="Q99" s="537">
        <v>97.9</v>
      </c>
      <c r="R99" s="713"/>
      <c r="S99" s="714"/>
    </row>
    <row r="100" spans="1:19" ht="13.5">
      <c r="A100" s="699" t="s">
        <v>12</v>
      </c>
      <c r="B100" s="700"/>
      <c r="C100" s="700"/>
      <c r="D100" s="187" t="str">
        <f>月供應率ALL!C4</f>
        <v>99.1</v>
      </c>
      <c r="E100" s="187" t="str">
        <f>月供應率ALL!D4</f>
        <v>99.9</v>
      </c>
      <c r="F100" s="187" t="str">
        <f>月供應率ALL!E4</f>
        <v>0</v>
      </c>
      <c r="G100" s="187" t="str">
        <f>月供應率ALL!F4</f>
        <v>0</v>
      </c>
      <c r="H100" s="187" t="str">
        <f>月供應率ALL!G4</f>
        <v>0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99.5</v>
      </c>
      <c r="Q100" s="537">
        <v>99</v>
      </c>
      <c r="R100" s="713"/>
      <c r="S100" s="714"/>
    </row>
    <row r="101" spans="1:19" ht="13.5">
      <c r="A101" s="699" t="s">
        <v>13</v>
      </c>
      <c r="B101" s="700"/>
      <c r="C101" s="700"/>
      <c r="D101" s="187" t="str">
        <f>月供應率ALL!C5</f>
        <v>87.1</v>
      </c>
      <c r="E101" s="187" t="str">
        <f>月供應率ALL!D5</f>
        <v>91.1</v>
      </c>
      <c r="F101" s="187" t="str">
        <f>月供應率ALL!E5</f>
        <v>0</v>
      </c>
      <c r="G101" s="187" t="str">
        <f>月供應率ALL!F5</f>
        <v>0</v>
      </c>
      <c r="H101" s="187" t="str">
        <f>月供應率ALL!G5</f>
        <v>0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89.1</v>
      </c>
      <c r="Q101" s="537">
        <v>75</v>
      </c>
      <c r="R101" s="713"/>
      <c r="S101" s="714"/>
    </row>
    <row r="102" spans="1:19" ht="13.5">
      <c r="A102" s="699" t="s">
        <v>14</v>
      </c>
      <c r="B102" s="700"/>
      <c r="C102" s="700"/>
      <c r="D102" s="187" t="str">
        <f>月供應率ALL!C6</f>
        <v>99.7</v>
      </c>
      <c r="E102" s="187" t="str">
        <f>月供應率ALL!D6</f>
        <v>99.2</v>
      </c>
      <c r="F102" s="187" t="str">
        <f>月供應率ALL!E6</f>
        <v>0</v>
      </c>
      <c r="G102" s="187" t="str">
        <f>月供應率ALL!F6</f>
        <v>0</v>
      </c>
      <c r="H102" s="187" t="str">
        <f>月供應率ALL!G6</f>
        <v>0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99.4</v>
      </c>
      <c r="Q102" s="537">
        <v>99</v>
      </c>
      <c r="R102" s="713"/>
      <c r="S102" s="714"/>
    </row>
    <row r="103" spans="1:19" ht="13.5">
      <c r="A103" s="699" t="s">
        <v>21</v>
      </c>
      <c r="B103" s="700"/>
      <c r="C103" s="700"/>
      <c r="D103" s="187" t="str">
        <f>月供應率ALL!C23</f>
        <v>94.7</v>
      </c>
      <c r="E103" s="187" t="str">
        <f>月供應率ALL!D23</f>
        <v>94.7</v>
      </c>
      <c r="F103" s="187" t="str">
        <f>月供應率ALL!E23</f>
        <v>0</v>
      </c>
      <c r="G103" s="187" t="str">
        <f>月供應率ALL!F23</f>
        <v>0</v>
      </c>
      <c r="H103" s="187" t="str">
        <f>月供應率ALL!G23</f>
        <v>0</v>
      </c>
      <c r="I103" s="187" t="str">
        <f>月供應率ALL!H23</f>
        <v>0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94.7</v>
      </c>
      <c r="Q103" s="537">
        <v>92</v>
      </c>
      <c r="R103" s="713"/>
      <c r="S103" s="714"/>
    </row>
    <row r="104" spans="1:19" ht="13.5">
      <c r="A104" s="699" t="s">
        <v>16</v>
      </c>
      <c r="B104" s="700"/>
      <c r="C104" s="700"/>
      <c r="D104" s="187" t="str">
        <f>月供應率ALL!C8</f>
        <v>98</v>
      </c>
      <c r="E104" s="187" t="str">
        <f>月供應率ALL!D8</f>
        <v>98.5</v>
      </c>
      <c r="F104" s="187" t="str">
        <f>月供應率ALL!E8</f>
        <v>0</v>
      </c>
      <c r="G104" s="187" t="str">
        <f>月供應率ALL!F8</f>
        <v>0</v>
      </c>
      <c r="H104" s="187" t="str">
        <f>月供應率ALL!G8</f>
        <v>0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98.2</v>
      </c>
      <c r="Q104" s="537">
        <v>95</v>
      </c>
      <c r="R104" s="713"/>
      <c r="S104" s="714"/>
    </row>
    <row r="105" spans="1:19" ht="13.5">
      <c r="A105" s="697" t="s">
        <v>17</v>
      </c>
      <c r="B105" s="698"/>
      <c r="C105" s="698"/>
      <c r="D105" s="187" t="str">
        <f>月供應率ALL!C9</f>
        <v>98.6</v>
      </c>
      <c r="E105" s="187" t="str">
        <f>月供應率ALL!D9</f>
        <v>94.7</v>
      </c>
      <c r="F105" s="187" t="str">
        <f>月供應率ALL!E9</f>
        <v>0</v>
      </c>
      <c r="G105" s="187" t="str">
        <f>月供應率ALL!F9</f>
        <v>0</v>
      </c>
      <c r="H105" s="187" t="str">
        <f>月供應率ALL!G9</f>
        <v>0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96.6</v>
      </c>
      <c r="Q105" s="537">
        <v>95</v>
      </c>
      <c r="R105" s="713"/>
      <c r="S105" s="714"/>
    </row>
    <row r="106" spans="1:19" ht="13.5">
      <c r="A106" s="722" t="s">
        <v>49</v>
      </c>
      <c r="B106" s="723"/>
      <c r="C106" s="724"/>
      <c r="D106" s="256" t="str">
        <f>月供應率ALL!C10</f>
        <v>98.3</v>
      </c>
      <c r="E106" s="256" t="str">
        <f>月供應率ALL!D10</f>
        <v>98.1</v>
      </c>
      <c r="F106" s="256" t="str">
        <f>月供應率ALL!E10</f>
        <v>0</v>
      </c>
      <c r="G106" s="256" t="str">
        <f>月供應率ALL!F10</f>
        <v>0</v>
      </c>
      <c r="H106" s="256" t="str">
        <f>月供應率ALL!G10</f>
        <v>0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98.2</v>
      </c>
      <c r="Q106" s="538">
        <v>97.8</v>
      </c>
      <c r="R106" s="240"/>
      <c r="S106" s="241"/>
    </row>
    <row r="107" spans="1:19" ht="13.5">
      <c r="A107" s="699" t="s">
        <v>276</v>
      </c>
      <c r="B107" s="700"/>
      <c r="C107" s="700"/>
      <c r="D107" s="187" t="str">
        <f>月供應率ALL!C3</f>
        <v>97.7</v>
      </c>
      <c r="E107" s="187" t="str">
        <f>月供應率ALL!D3</f>
        <v>98.1</v>
      </c>
      <c r="F107" s="187" t="str">
        <f>月供應率ALL!E3</f>
        <v>0</v>
      </c>
      <c r="G107" s="187" t="str">
        <f>月供應率ALL!F3</f>
        <v>0</v>
      </c>
      <c r="H107" s="187" t="str">
        <f>月供應率ALL!G3</f>
        <v>0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97.9</v>
      </c>
      <c r="Q107" s="537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96</v>
      </c>
      <c r="E108" s="189" t="str">
        <f>月供應率ALL!D11</f>
        <v>99.6</v>
      </c>
      <c r="F108" s="189" t="str">
        <f>月供應率ALL!E11</f>
        <v>0</v>
      </c>
      <c r="G108" s="189" t="str">
        <f>月供應率ALL!F11</f>
        <v>0</v>
      </c>
      <c r="H108" s="189" t="str">
        <f>月供應率ALL!G11</f>
        <v>0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97.8</v>
      </c>
      <c r="Q108" s="539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95</v>
      </c>
      <c r="E109" s="189" t="str">
        <f>月供應率ALL!D12</f>
        <v>96</v>
      </c>
      <c r="F109" s="189" t="str">
        <f>月供應率ALL!E12</f>
        <v>0</v>
      </c>
      <c r="G109" s="189" t="str">
        <f>月供應率ALL!F12</f>
        <v>0</v>
      </c>
      <c r="H109" s="189" t="str">
        <f>月供應率ALL!G12</f>
        <v>0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95.5</v>
      </c>
      <c r="Q109" s="539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96.9</v>
      </c>
      <c r="E110" s="189" t="str">
        <f>月供應率ALL!D13</f>
        <v>95.4</v>
      </c>
      <c r="F110" s="189" t="str">
        <f>月供應率ALL!E13</f>
        <v>0</v>
      </c>
      <c r="G110" s="189" t="str">
        <f>月供應率ALL!F13</f>
        <v>0</v>
      </c>
      <c r="H110" s="189" t="str">
        <f>月供應率ALL!G13</f>
        <v>0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96.1</v>
      </c>
      <c r="Q110" s="539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83</v>
      </c>
      <c r="E111" s="189" t="str">
        <f>月供應率ALL!D14</f>
        <v>87.4</v>
      </c>
      <c r="F111" s="189" t="str">
        <f>月供應率ALL!E14</f>
        <v>0</v>
      </c>
      <c r="G111" s="189" t="str">
        <f>月供應率ALL!F14</f>
        <v>0</v>
      </c>
      <c r="H111" s="189" t="str">
        <f>月供應率ALL!G14</f>
        <v>0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85.2</v>
      </c>
      <c r="Q111" s="539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0</v>
      </c>
      <c r="Q112" s="539"/>
      <c r="R112" s="240"/>
      <c r="S112" s="241"/>
    </row>
    <row r="113" spans="1:21" ht="14.1" thickBot="1">
      <c r="A113" s="725" t="s">
        <v>50</v>
      </c>
      <c r="B113" s="726"/>
      <c r="C113" s="726"/>
      <c r="D113" s="190" t="str">
        <f>月供應率ALL!C16</f>
        <v>96.9</v>
      </c>
      <c r="E113" s="190" t="str">
        <f>月供應率ALL!D16</f>
        <v>97.2</v>
      </c>
      <c r="F113" s="190" t="str">
        <f>月供應率ALL!E16</f>
        <v>0</v>
      </c>
      <c r="G113" s="190" t="str">
        <f>月供應率ALL!F16</f>
        <v>0</v>
      </c>
      <c r="H113" s="190" t="str">
        <f>月供應率ALL!G16</f>
        <v>0</v>
      </c>
      <c r="I113" s="190" t="str">
        <f>月供應率ALL!H16</f>
        <v>0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</v>
      </c>
      <c r="Q113" s="540"/>
      <c r="R113" s="713"/>
      <c r="S113" s="714"/>
    </row>
    <row r="114" spans="1:21" ht="16.5" customHeight="1">
      <c r="A114" s="727" t="s">
        <v>31</v>
      </c>
      <c r="B114" s="728"/>
      <c r="C114" s="729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1"/>
      <c r="R114" s="240"/>
      <c r="S114" s="241"/>
    </row>
    <row r="115" spans="1:21" ht="13.5">
      <c r="A115" s="719" t="s">
        <v>32</v>
      </c>
      <c r="B115" s="720"/>
      <c r="C115" s="721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7"/>
      <c r="R115" s="240"/>
      <c r="S115" s="241"/>
    </row>
    <row r="116" spans="1:21" ht="13.5">
      <c r="A116" s="719" t="s">
        <v>33</v>
      </c>
      <c r="B116" s="720"/>
      <c r="C116" s="721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7"/>
      <c r="R116" s="240"/>
      <c r="S116" s="241"/>
    </row>
    <row r="117" spans="1:21" ht="13.5">
      <c r="A117" s="719" t="s">
        <v>34</v>
      </c>
      <c r="B117" s="720"/>
      <c r="C117" s="721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7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7"/>
      <c r="R118" s="240"/>
      <c r="S118" s="241"/>
    </row>
    <row r="119" spans="1:21" ht="15" customHeight="1" thickBot="1">
      <c r="A119" s="736" t="s">
        <v>30</v>
      </c>
      <c r="B119" s="737"/>
      <c r="C119" s="738"/>
      <c r="D119" s="190" t="str">
        <f>月供應率ALL!C21</f>
        <v>85.5</v>
      </c>
      <c r="E119" s="190" t="str">
        <f>月供應率ALL!D21</f>
        <v>80.7</v>
      </c>
      <c r="F119" s="190" t="str">
        <f>月供應率ALL!E21</f>
        <v>0</v>
      </c>
      <c r="G119" s="190" t="str">
        <f>月供應率ALL!F21</f>
        <v>0</v>
      </c>
      <c r="H119" s="190" t="str">
        <f>月供應率ALL!G21</f>
        <v>0</v>
      </c>
      <c r="I119" s="190" t="str">
        <f>月供應率ALL!H21</f>
        <v>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83.1</v>
      </c>
      <c r="Q119" s="540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03" t="s">
        <v>1</v>
      </c>
      <c r="B123" s="704"/>
      <c r="C123" s="704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13"/>
      <c r="S123" s="714"/>
    </row>
    <row r="124" spans="1:21" s="198" customFormat="1">
      <c r="A124" s="717" t="s">
        <v>52</v>
      </c>
      <c r="B124" s="718"/>
      <c r="C124" s="718"/>
      <c r="D124" s="195" t="str">
        <f>月供應率!D2</f>
        <v>98.1</v>
      </c>
      <c r="E124" s="195" t="str">
        <f>月供應率!E2</f>
        <v>97.8</v>
      </c>
      <c r="F124" s="195" t="str">
        <f>月供應率!F2</f>
        <v>0</v>
      </c>
      <c r="G124" s="195" t="str">
        <f>月供應率!G2</f>
        <v>0</v>
      </c>
      <c r="H124" s="195" t="str">
        <f>月供應率!H2</f>
        <v>0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97.9</v>
      </c>
      <c r="Q124" s="197"/>
      <c r="R124" s="713"/>
      <c r="S124" s="714"/>
      <c r="T124" s="114"/>
      <c r="U124" s="114"/>
    </row>
    <row r="125" spans="1:21" s="198" customFormat="1">
      <c r="A125" s="715" t="s">
        <v>53</v>
      </c>
      <c r="B125" s="716"/>
      <c r="C125" s="716"/>
      <c r="D125" s="195" t="str">
        <f>月供應率!D3</f>
        <v>98.4</v>
      </c>
      <c r="E125" s="195" t="str">
        <f>月供應率!E3</f>
        <v>98.4</v>
      </c>
      <c r="F125" s="195" t="str">
        <f>月供應率!F3</f>
        <v>0</v>
      </c>
      <c r="G125" s="195" t="str">
        <f>月供應率!G3</f>
        <v>0</v>
      </c>
      <c r="H125" s="195" t="str">
        <f>月供應率!H3</f>
        <v>0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98.4</v>
      </c>
      <c r="Q125" s="197"/>
      <c r="R125" s="713"/>
      <c r="S125" s="714"/>
      <c r="T125" s="114"/>
      <c r="U125" s="114"/>
    </row>
    <row r="126" spans="1:21" s="198" customFormat="1">
      <c r="A126" s="715" t="s">
        <v>54</v>
      </c>
      <c r="B126" s="716"/>
      <c r="C126" s="716"/>
      <c r="D126" s="195" t="str">
        <f>月供應率!D4</f>
        <v>99.3</v>
      </c>
      <c r="E126" s="195" t="str">
        <f>月供應率!E4</f>
        <v>99.3</v>
      </c>
      <c r="F126" s="195" t="str">
        <f>月供應率!F4</f>
        <v>0</v>
      </c>
      <c r="G126" s="195" t="str">
        <f>月供應率!G4</f>
        <v>0</v>
      </c>
      <c r="H126" s="195" t="str">
        <f>月供應率!H4</f>
        <v>0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99.3</v>
      </c>
      <c r="Q126" s="197"/>
      <c r="R126" s="713"/>
      <c r="S126" s="714"/>
      <c r="T126" s="114"/>
      <c r="U126" s="114"/>
    </row>
    <row r="127" spans="1:21" s="198" customFormat="1">
      <c r="A127" s="741" t="s">
        <v>55</v>
      </c>
      <c r="B127" s="742"/>
      <c r="C127" s="743"/>
      <c r="D127" s="199" t="str">
        <f>月供應率!D5</f>
        <v>98.3</v>
      </c>
      <c r="E127" s="199" t="str">
        <f>月供應率!E5</f>
        <v>98.2</v>
      </c>
      <c r="F127" s="199" t="str">
        <f>月供應率!F5</f>
        <v>0</v>
      </c>
      <c r="G127" s="199" t="str">
        <f>月供應率!G5</f>
        <v>0</v>
      </c>
      <c r="H127" s="199" t="str">
        <f>月供應率!H5</f>
        <v>0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98.3</v>
      </c>
      <c r="Q127" s="197"/>
      <c r="R127" s="713"/>
      <c r="S127" s="714"/>
      <c r="T127" s="114"/>
      <c r="U127" s="114"/>
    </row>
    <row r="128" spans="1:21" s="198" customFormat="1">
      <c r="A128" s="715" t="s">
        <v>12</v>
      </c>
      <c r="B128" s="716"/>
      <c r="C128" s="716"/>
      <c r="D128" s="195" t="str">
        <f>月供應率!D7</f>
        <v>99.2</v>
      </c>
      <c r="E128" s="195" t="str">
        <f>月供應率!E7</f>
        <v>99.9</v>
      </c>
      <c r="F128" s="195" t="str">
        <f>月供應率!F7</f>
        <v>0</v>
      </c>
      <c r="G128" s="195" t="str">
        <f>月供應率!G7</f>
        <v>0</v>
      </c>
      <c r="H128" s="195" t="str">
        <f>月供應率!H7</f>
        <v>0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99.5</v>
      </c>
      <c r="Q128" s="197"/>
      <c r="R128" s="713"/>
      <c r="S128" s="714"/>
      <c r="T128" s="114"/>
      <c r="U128" s="114"/>
    </row>
    <row r="129" spans="1:21" s="198" customFormat="1">
      <c r="A129" s="715" t="s">
        <v>13</v>
      </c>
      <c r="B129" s="716"/>
      <c r="C129" s="716"/>
      <c r="D129" s="195" t="str">
        <f>月供應率!D8</f>
        <v>84.5</v>
      </c>
      <c r="E129" s="195" t="str">
        <f>月供應率!E8</f>
        <v>93.9</v>
      </c>
      <c r="F129" s="195" t="str">
        <f>月供應率!F8</f>
        <v>0</v>
      </c>
      <c r="G129" s="195" t="str">
        <f>月供應率!G8</f>
        <v>0</v>
      </c>
      <c r="H129" s="195" t="str">
        <f>月供應率!H8</f>
        <v>0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89.2</v>
      </c>
      <c r="Q129" s="197"/>
      <c r="R129" s="713"/>
      <c r="S129" s="714"/>
      <c r="T129" s="114"/>
      <c r="U129" s="114"/>
    </row>
    <row r="130" spans="1:21" s="198" customFormat="1">
      <c r="A130" s="715" t="s">
        <v>14</v>
      </c>
      <c r="B130" s="716"/>
      <c r="C130" s="716"/>
      <c r="D130" s="195" t="str">
        <f>月供應率!D9</f>
        <v>99.7</v>
      </c>
      <c r="E130" s="195" t="str">
        <f>月供應率!E9</f>
        <v>99.2</v>
      </c>
      <c r="F130" s="195" t="str">
        <f>月供應率!F9</f>
        <v>0</v>
      </c>
      <c r="G130" s="195" t="str">
        <f>月供應率!G9</f>
        <v>0</v>
      </c>
      <c r="H130" s="195" t="str">
        <f>月供應率!H9</f>
        <v>0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713"/>
      <c r="S130" s="714"/>
      <c r="T130" s="114"/>
      <c r="U130" s="114"/>
    </row>
    <row r="131" spans="1:21" s="198" customFormat="1">
      <c r="A131" s="715" t="s">
        <v>21</v>
      </c>
      <c r="B131" s="716"/>
      <c r="C131" s="716"/>
      <c r="D131" s="195" t="str">
        <f>月供應率!D22</f>
        <v>96</v>
      </c>
      <c r="E131" s="195" t="str">
        <f>月供應率!E22</f>
        <v>96.2</v>
      </c>
      <c r="F131" s="195" t="str">
        <f>月供應率!F22</f>
        <v>0</v>
      </c>
      <c r="G131" s="195" t="str">
        <f>月供應率!G22</f>
        <v>0</v>
      </c>
      <c r="H131" s="195" t="str">
        <f>月供應率!H22</f>
        <v>0</v>
      </c>
      <c r="I131" s="195" t="str">
        <f>月供應率!I22</f>
        <v>0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96.1</v>
      </c>
      <c r="Q131" s="197"/>
      <c r="R131" s="713"/>
      <c r="S131" s="714"/>
      <c r="T131" s="114"/>
      <c r="U131" s="114"/>
    </row>
    <row r="132" spans="1:21" s="198" customFormat="1" ht="12.95" thickBot="1">
      <c r="A132" s="734" t="s">
        <v>16</v>
      </c>
      <c r="B132" s="735"/>
      <c r="C132" s="735"/>
      <c r="D132" s="201" t="str">
        <f>月供應率!D11</f>
        <v>98</v>
      </c>
      <c r="E132" s="201" t="str">
        <f>月供應率!E11</f>
        <v>98.5</v>
      </c>
      <c r="F132" s="201" t="str">
        <f>月供應率!F11</f>
        <v>0</v>
      </c>
      <c r="G132" s="201" t="str">
        <f>月供應率!G11</f>
        <v>0</v>
      </c>
      <c r="H132" s="201" t="str">
        <f>月供應率!H11</f>
        <v>0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98.3</v>
      </c>
      <c r="Q132" s="197"/>
      <c r="R132" s="240"/>
      <c r="S132" s="241"/>
      <c r="T132" s="114"/>
      <c r="U132" s="114"/>
    </row>
    <row r="133" spans="1:21" s="198" customFormat="1">
      <c r="A133" s="715" t="s">
        <v>23</v>
      </c>
      <c r="B133" s="716"/>
      <c r="C133" s="716"/>
      <c r="D133" s="195" t="str">
        <f>月供應率!D6</f>
        <v>98.2</v>
      </c>
      <c r="E133" s="195" t="str">
        <f>月供應率!E6</f>
        <v>98.7</v>
      </c>
      <c r="F133" s="195" t="str">
        <f>月供應率!F6</f>
        <v>0</v>
      </c>
      <c r="G133" s="195" t="str">
        <f>月供應率!G6</f>
        <v>0</v>
      </c>
      <c r="H133" s="195" t="str">
        <f>月供應率!H6</f>
        <v>0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98.5</v>
      </c>
      <c r="Q133" s="197"/>
      <c r="R133" s="240"/>
      <c r="S133" s="241"/>
      <c r="T133" s="114"/>
      <c r="U133" s="114"/>
    </row>
    <row r="134" spans="1:21" s="198" customFormat="1">
      <c r="A134" s="744" t="s">
        <v>24</v>
      </c>
      <c r="B134" s="745"/>
      <c r="C134" s="746"/>
      <c r="D134" s="260" t="str">
        <f>月供應率!D12</f>
        <v>95.9</v>
      </c>
      <c r="E134" s="260" t="str">
        <f>月供應率!E12</f>
        <v>99.5</v>
      </c>
      <c r="F134" s="260" t="str">
        <f>月供應率!F12</f>
        <v>0</v>
      </c>
      <c r="G134" s="260" t="str">
        <f>月供應率!G12</f>
        <v>0</v>
      </c>
      <c r="H134" s="260" t="str">
        <f>月供應率!H12</f>
        <v>0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97.7</v>
      </c>
      <c r="Q134" s="197"/>
      <c r="R134" s="240"/>
      <c r="S134" s="241"/>
      <c r="T134" s="114"/>
      <c r="U134" s="114"/>
    </row>
    <row r="135" spans="1:21" s="198" customFormat="1">
      <c r="A135" s="744" t="s">
        <v>25</v>
      </c>
      <c r="B135" s="745"/>
      <c r="C135" s="746"/>
      <c r="D135" s="260" t="str">
        <f>月供應率!D13</f>
        <v>95.2</v>
      </c>
      <c r="E135" s="260" t="str">
        <f>月供應率!E13</f>
        <v>92.6</v>
      </c>
      <c r="F135" s="260" t="str">
        <f>月供應率!F13</f>
        <v>0</v>
      </c>
      <c r="G135" s="260" t="str">
        <f>月供應率!G13</f>
        <v>0</v>
      </c>
      <c r="H135" s="260" t="str">
        <f>月供應率!H13</f>
        <v>0</v>
      </c>
      <c r="I135" s="260" t="str">
        <f>月供應率!I13</f>
        <v>0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93.9</v>
      </c>
      <c r="Q135" s="197"/>
      <c r="R135" s="240"/>
      <c r="S135" s="241"/>
      <c r="T135" s="114"/>
      <c r="U135" s="114"/>
    </row>
    <row r="136" spans="1:21" s="198" customFormat="1">
      <c r="A136" s="744" t="s">
        <v>26</v>
      </c>
      <c r="B136" s="745"/>
      <c r="C136" s="746"/>
      <c r="D136" s="260" t="str">
        <f>月供應率!D14</f>
        <v>97.3</v>
      </c>
      <c r="E136" s="260" t="str">
        <f>月供應率!E14</f>
        <v>95.8</v>
      </c>
      <c r="F136" s="260" t="str">
        <f>月供應率!F14</f>
        <v>0</v>
      </c>
      <c r="G136" s="260" t="str">
        <f>月供應率!G14</f>
        <v>0</v>
      </c>
      <c r="H136" s="260" t="str">
        <f>月供應率!H14</f>
        <v>0</v>
      </c>
      <c r="I136" s="260" t="str">
        <f>月供應率!I14</f>
        <v>0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96.6</v>
      </c>
      <c r="Q136" s="197"/>
      <c r="R136" s="240"/>
      <c r="S136" s="241"/>
      <c r="T136" s="114"/>
      <c r="U136" s="114"/>
    </row>
    <row r="137" spans="1:21" s="198" customFormat="1">
      <c r="A137" s="744" t="s">
        <v>27</v>
      </c>
      <c r="B137" s="745"/>
      <c r="C137" s="746"/>
      <c r="D137" s="260" t="str">
        <f>月供應率!D15</f>
        <v>82.9</v>
      </c>
      <c r="E137" s="260" t="str">
        <f>月供應率!E15</f>
        <v>88.2</v>
      </c>
      <c r="F137" s="260" t="str">
        <f>月供應率!F15</f>
        <v>0</v>
      </c>
      <c r="G137" s="260" t="str">
        <f>月供應率!G15</f>
        <v>0</v>
      </c>
      <c r="H137" s="260" t="str">
        <f>月供應率!H15</f>
        <v>0</v>
      </c>
      <c r="I137" s="260" t="str">
        <f>月供應率!I15</f>
        <v>0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85.6</v>
      </c>
      <c r="Q137" s="197"/>
      <c r="R137" s="240"/>
      <c r="S137" s="241"/>
      <c r="T137" s="114"/>
      <c r="U137" s="114"/>
    </row>
    <row r="138" spans="1:21" s="198" customFormat="1" ht="12.95" thickBot="1">
      <c r="A138" s="749" t="s">
        <v>28</v>
      </c>
      <c r="B138" s="750"/>
      <c r="C138" s="751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52" t="s">
        <v>31</v>
      </c>
      <c r="B139" s="753"/>
      <c r="C139" s="753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30" t="s">
        <v>32</v>
      </c>
      <c r="B140" s="731"/>
      <c r="C140" s="731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30" t="s">
        <v>33</v>
      </c>
      <c r="B141" s="731"/>
      <c r="C141" s="731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30" t="s">
        <v>34</v>
      </c>
      <c r="B142" s="731"/>
      <c r="C142" s="731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2" t="s">
        <v>35</v>
      </c>
      <c r="B143" s="733"/>
      <c r="C143" s="733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03" t="s">
        <v>1</v>
      </c>
      <c r="B146" s="704"/>
      <c r="C146" s="704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13"/>
      <c r="S146" s="714"/>
    </row>
    <row r="147" spans="1:19">
      <c r="A147" s="747" t="s">
        <v>11</v>
      </c>
      <c r="B147" s="748"/>
      <c r="C147" s="748"/>
      <c r="D147" s="204">
        <f>VALUE(月點數BO!C2)</f>
        <v>4435</v>
      </c>
      <c r="E147" s="204">
        <f>VALUE(月點數BO!D2)</f>
        <v>5186</v>
      </c>
      <c r="F147" s="204">
        <f>VALUE(月點數BO!E2)</f>
        <v>0</v>
      </c>
      <c r="G147" s="204">
        <f>VALUE(月點數BO!F2)</f>
        <v>0</v>
      </c>
      <c r="H147" s="204">
        <f>VALUE(月點數BO!G2)</f>
        <v>0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4811</v>
      </c>
      <c r="Q147" s="206"/>
      <c r="R147" s="713"/>
      <c r="S147" s="714"/>
    </row>
    <row r="148" spans="1:19">
      <c r="A148" s="739" t="s">
        <v>12</v>
      </c>
      <c r="B148" s="740"/>
      <c r="C148" s="740"/>
      <c r="D148" s="204">
        <f>VALUE(月點數BO!C4)</f>
        <v>101</v>
      </c>
      <c r="E148" s="204">
        <f>VALUE(月點數BO!D4)</f>
        <v>5</v>
      </c>
      <c r="F148" s="204">
        <f>VALUE(月點數BO!E4)</f>
        <v>0</v>
      </c>
      <c r="G148" s="204">
        <f>VALUE(月點數BO!F4)</f>
        <v>0</v>
      </c>
      <c r="H148" s="204">
        <f>VALUE(月點數BO!G4)</f>
        <v>0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53</v>
      </c>
      <c r="R148" s="713"/>
      <c r="S148" s="714"/>
    </row>
    <row r="149" spans="1:19">
      <c r="A149" s="739" t="s">
        <v>13</v>
      </c>
      <c r="B149" s="740"/>
      <c r="C149" s="740"/>
      <c r="D149" s="204">
        <f>VALUE(月點數BO!C5)</f>
        <v>44</v>
      </c>
      <c r="E149" s="204">
        <f>VALUE(月點數BO!D5)</f>
        <v>20</v>
      </c>
      <c r="F149" s="204">
        <f>VALUE(月點數BO!E5)</f>
        <v>0</v>
      </c>
      <c r="G149" s="204">
        <f>VALUE(月點數BO!F5)</f>
        <v>0</v>
      </c>
      <c r="H149" s="204">
        <f>VALUE(月點數BO!G5)</f>
        <v>0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32</v>
      </c>
      <c r="R149" s="713"/>
      <c r="S149" s="714"/>
    </row>
    <row r="150" spans="1:19">
      <c r="A150" s="739" t="s">
        <v>14</v>
      </c>
      <c r="B150" s="740"/>
      <c r="C150" s="740"/>
      <c r="D150" s="204">
        <f>VALUE(月點數BO!C6)</f>
        <v>143</v>
      </c>
      <c r="E150" s="204">
        <f>VALUE(月點數BO!D6)</f>
        <v>330</v>
      </c>
      <c r="F150" s="204">
        <f>VALUE(月點數BO!E6)</f>
        <v>0</v>
      </c>
      <c r="G150" s="204">
        <f>VALUE(月點數BO!F6)</f>
        <v>0</v>
      </c>
      <c r="H150" s="204">
        <f>VALUE(月點數BO!G6)</f>
        <v>0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237</v>
      </c>
      <c r="R150" s="713"/>
      <c r="S150" s="714"/>
    </row>
    <row r="151" spans="1:19">
      <c r="A151" s="739" t="s">
        <v>21</v>
      </c>
      <c r="B151" s="740"/>
      <c r="C151" s="740"/>
      <c r="D151" s="204">
        <f>VALUE(月點數BO!C20)</f>
        <v>570</v>
      </c>
      <c r="E151" s="204">
        <f>VALUE(月點數BO!D20)</f>
        <v>546</v>
      </c>
      <c r="F151" s="204">
        <f>VALUE(月點數BO!E20)</f>
        <v>0</v>
      </c>
      <c r="G151" s="204">
        <f>VALUE(月點數BO!F20)</f>
        <v>0</v>
      </c>
      <c r="H151" s="204">
        <f>VALUE(月點數BO!G20)</f>
        <v>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558</v>
      </c>
      <c r="R151" s="713"/>
      <c r="S151" s="714"/>
    </row>
    <row r="152" spans="1:19">
      <c r="A152" s="769" t="s">
        <v>16</v>
      </c>
      <c r="B152" s="770"/>
      <c r="C152" s="770"/>
      <c r="D152" s="204">
        <f>VALUE(月點數BO!C8)</f>
        <v>239</v>
      </c>
      <c r="E152" s="204">
        <f>VALUE(月點數BO!D8)</f>
        <v>127</v>
      </c>
      <c r="F152" s="204">
        <f>VALUE(月點數BO!E8)</f>
        <v>0</v>
      </c>
      <c r="G152" s="204">
        <f>VALUE(月點數BO!F8)</f>
        <v>0</v>
      </c>
      <c r="H152" s="204">
        <f>VALUE(月點數BO!G8)</f>
        <v>0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183</v>
      </c>
      <c r="R152" s="713"/>
      <c r="S152" s="714"/>
    </row>
    <row r="153" spans="1:19" ht="13.5">
      <c r="A153" s="697" t="s">
        <v>17</v>
      </c>
      <c r="B153" s="698"/>
      <c r="C153" s="698"/>
      <c r="D153" s="204">
        <f>VALUE(月點數BO!C9)</f>
        <v>2</v>
      </c>
      <c r="E153" s="204">
        <f>VALUE(月點數BO!D9)</f>
        <v>9</v>
      </c>
      <c r="F153" s="204">
        <f>VALUE(月點數BO!E9)</f>
        <v>0</v>
      </c>
      <c r="G153" s="204">
        <f>VALUE(月點數BO!F9)</f>
        <v>0</v>
      </c>
      <c r="H153" s="204">
        <f>VALUE(月點數BO!G9)</f>
        <v>0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6</v>
      </c>
      <c r="R153" s="713"/>
      <c r="S153" s="714"/>
    </row>
    <row r="154" spans="1:19" ht="13.5">
      <c r="A154" s="766" t="s">
        <v>49</v>
      </c>
      <c r="B154" s="767"/>
      <c r="C154" s="768"/>
      <c r="D154" s="261">
        <f>SUM(D147:D153)</f>
        <v>5534</v>
      </c>
      <c r="E154" s="261">
        <f>SUM(E147:E153)</f>
        <v>6223</v>
      </c>
      <c r="F154" s="261">
        <f>SUM(F147:F153)</f>
        <v>0</v>
      </c>
      <c r="G154" s="261">
        <f t="shared" ref="G154:P154" si="12">SUM(G147:G153)</f>
        <v>0</v>
      </c>
      <c r="H154" s="261">
        <f t="shared" si="12"/>
        <v>0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5880</v>
      </c>
      <c r="R154" s="240"/>
      <c r="S154" s="241"/>
    </row>
    <row r="155" spans="1:19">
      <c r="A155" s="715" t="s">
        <v>23</v>
      </c>
      <c r="B155" s="716"/>
      <c r="C155" s="716"/>
      <c r="D155" s="204">
        <f>VALUE(月點數BO!C3)</f>
        <v>884</v>
      </c>
      <c r="E155" s="204">
        <f>VALUE(月點數BO!D3)</f>
        <v>782</v>
      </c>
      <c r="F155" s="204">
        <f>VALUE(月點數BO!E3)</f>
        <v>0</v>
      </c>
      <c r="G155" s="204">
        <f>VALUE(月點數BO!F3)</f>
        <v>0</v>
      </c>
      <c r="H155" s="204">
        <f>VALUE(月點數BO!G3)</f>
        <v>0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833</v>
      </c>
      <c r="R155" s="240"/>
      <c r="S155" s="241"/>
    </row>
    <row r="156" spans="1:19">
      <c r="A156" s="744" t="s">
        <v>24</v>
      </c>
      <c r="B156" s="745"/>
      <c r="C156" s="746"/>
      <c r="D156" s="207">
        <f>VALUE(月點數BO!C10)</f>
        <v>26</v>
      </c>
      <c r="E156" s="207">
        <f>VALUE(月點數BO!D10)</f>
        <v>2</v>
      </c>
      <c r="F156" s="207">
        <f>VALUE(月點數BO!E10)</f>
        <v>0</v>
      </c>
      <c r="G156" s="207">
        <f>VALUE(月點數BO!F10)</f>
        <v>0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14</v>
      </c>
      <c r="R156" s="240"/>
      <c r="S156" s="241"/>
    </row>
    <row r="157" spans="1:19">
      <c r="A157" s="744" t="s">
        <v>25</v>
      </c>
      <c r="B157" s="745"/>
      <c r="C157" s="746"/>
      <c r="D157" s="207">
        <f>VALUE(月點數BO!C11)</f>
        <v>21</v>
      </c>
      <c r="E157" s="207">
        <f>VALUE(月點數BO!D11)</f>
        <v>17</v>
      </c>
      <c r="F157" s="207">
        <f>VALUE(月點數BO!E11)</f>
        <v>0</v>
      </c>
      <c r="G157" s="207">
        <f>VALUE(月點數BO!F11)</f>
        <v>0</v>
      </c>
      <c r="H157" s="207">
        <f>VALUE(月點數BO!G11)</f>
        <v>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19</v>
      </c>
      <c r="R157" s="240"/>
      <c r="S157" s="241"/>
    </row>
    <row r="158" spans="1:19">
      <c r="A158" s="744" t="s">
        <v>26</v>
      </c>
      <c r="B158" s="745"/>
      <c r="C158" s="746"/>
      <c r="D158" s="207">
        <f>VALUE(月點數BO!C12)</f>
        <v>260</v>
      </c>
      <c r="E158" s="207">
        <f>VALUE(月點數BO!D12)</f>
        <v>350</v>
      </c>
      <c r="F158" s="207">
        <f>VALUE(月點數BO!E12)</f>
        <v>0</v>
      </c>
      <c r="G158" s="207">
        <f>VALUE(月點數BO!F12)</f>
        <v>0</v>
      </c>
      <c r="H158" s="207">
        <f>VALUE(月點數BO!G12)</f>
        <v>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305</v>
      </c>
      <c r="R158" s="240"/>
      <c r="S158" s="241"/>
    </row>
    <row r="159" spans="1:19">
      <c r="A159" s="744" t="s">
        <v>27</v>
      </c>
      <c r="B159" s="745"/>
      <c r="C159" s="746"/>
      <c r="D159" s="207">
        <f>VALUE(月點數BO!C13)</f>
        <v>230</v>
      </c>
      <c r="E159" s="207">
        <f>VALUE(月點數BO!D13)</f>
        <v>153</v>
      </c>
      <c r="F159" s="207">
        <f>VALUE(月點數BO!E13)</f>
        <v>0</v>
      </c>
      <c r="G159" s="207">
        <f>VALUE(月點數BO!F13)</f>
        <v>0</v>
      </c>
      <c r="H159" s="207">
        <f>VALUE(月點數BO!G13)</f>
        <v>0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192</v>
      </c>
      <c r="R159" s="240"/>
      <c r="S159" s="241"/>
    </row>
    <row r="160" spans="1:19">
      <c r="A160" s="744" t="s">
        <v>28</v>
      </c>
      <c r="B160" s="745"/>
      <c r="C160" s="746"/>
      <c r="D160" s="207">
        <f>VALUE(月點數BO!C14)</f>
        <v>0</v>
      </c>
      <c r="E160" s="207">
        <f>VALUE(月點數BO!D14)</f>
        <v>3</v>
      </c>
      <c r="F160" s="207">
        <f>VALUE(月點數BO!E14)</f>
        <v>0</v>
      </c>
      <c r="G160" s="207">
        <f>VALUE(月點數BO!F14)</f>
        <v>0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2</v>
      </c>
      <c r="R160" s="240"/>
      <c r="S160" s="241"/>
    </row>
    <row r="161" spans="1:19" ht="14.1" thickBot="1">
      <c r="A161" s="760" t="s">
        <v>50</v>
      </c>
      <c r="B161" s="761"/>
      <c r="C161" s="762"/>
      <c r="D161" s="211">
        <f>SUM(D155:D160)</f>
        <v>1421</v>
      </c>
      <c r="E161" s="211">
        <f t="shared" ref="E161:P161" si="13">SUM(E155:E160)</f>
        <v>1307</v>
      </c>
      <c r="F161" s="211">
        <f t="shared" si="13"/>
        <v>0</v>
      </c>
      <c r="G161" s="211">
        <f t="shared" si="13"/>
        <v>0</v>
      </c>
      <c r="H161" s="211">
        <f t="shared" si="13"/>
        <v>0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1365</v>
      </c>
      <c r="R161" s="713"/>
      <c r="S161" s="714"/>
    </row>
    <row r="162" spans="1:19" ht="16.5" customHeight="1" thickBot="1">
      <c r="A162" s="763" t="s">
        <v>31</v>
      </c>
      <c r="B162" s="764"/>
      <c r="C162" s="765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757" t="s">
        <v>32</v>
      </c>
      <c r="B163" s="758"/>
      <c r="C163" s="759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757" t="s">
        <v>33</v>
      </c>
      <c r="B164" s="758"/>
      <c r="C164" s="759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57" t="s">
        <v>34</v>
      </c>
      <c r="B165" s="758"/>
      <c r="C165" s="759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754" t="s">
        <v>30</v>
      </c>
      <c r="B167" s="755"/>
      <c r="C167" s="756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03" t="s">
        <v>1</v>
      </c>
      <c r="B2" s="704"/>
      <c r="C2" s="704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05" t="s">
        <v>9</v>
      </c>
      <c r="B3" s="706"/>
      <c r="C3" s="707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01" t="s">
        <v>10</v>
      </c>
      <c r="C4" s="702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08" t="s">
        <v>17</v>
      </c>
      <c r="C12" s="709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91" t="s">
        <v>36</v>
      </c>
      <c r="B19" s="692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93"/>
      <c r="B20" s="694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695"/>
      <c r="B21" s="696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03" t="s">
        <v>1</v>
      </c>
      <c r="B24" s="704"/>
      <c r="C24" s="704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05" t="s">
        <v>9</v>
      </c>
      <c r="B25" s="706"/>
      <c r="C25" s="707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01" t="s">
        <v>10</v>
      </c>
      <c r="C26" s="702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08" t="s">
        <v>17</v>
      </c>
      <c r="C34" s="709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91" t="s">
        <v>36</v>
      </c>
      <c r="B41" s="692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93"/>
      <c r="B42" s="694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695"/>
      <c r="B43" s="696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03" t="s">
        <v>1</v>
      </c>
      <c r="B46" s="704"/>
      <c r="C46" s="704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05" t="s">
        <v>9</v>
      </c>
      <c r="B47" s="706"/>
      <c r="C47" s="707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01" t="s">
        <v>10</v>
      </c>
      <c r="C48" s="702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1" t="s">
        <v>17</v>
      </c>
      <c r="C56" s="710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91" t="s">
        <v>36</v>
      </c>
      <c r="B63" s="692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93"/>
      <c r="B64" s="694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695"/>
      <c r="B65" s="696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03" t="s">
        <v>1</v>
      </c>
      <c r="B68" s="704"/>
      <c r="C68" s="704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11" t="s">
        <v>11</v>
      </c>
      <c r="B69" s="712"/>
      <c r="C69" s="712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13"/>
      <c r="S69" s="714"/>
    </row>
    <row r="70" spans="1:19" ht="13.5">
      <c r="A70" s="699" t="s">
        <v>276</v>
      </c>
      <c r="B70" s="700"/>
      <c r="C70" s="700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13"/>
      <c r="S70" s="714"/>
    </row>
    <row r="71" spans="1:19" ht="13.5">
      <c r="A71" s="699" t="s">
        <v>12</v>
      </c>
      <c r="B71" s="700"/>
      <c r="C71" s="700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13"/>
      <c r="S71" s="714"/>
    </row>
    <row r="72" spans="1:19" ht="13.5">
      <c r="A72" s="699" t="s">
        <v>13</v>
      </c>
      <c r="B72" s="700"/>
      <c r="C72" s="700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13"/>
      <c r="S72" s="714"/>
    </row>
    <row r="73" spans="1:19" ht="13.5">
      <c r="A73" s="699" t="s">
        <v>14</v>
      </c>
      <c r="B73" s="700"/>
      <c r="C73" s="700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13"/>
      <c r="S73" s="714"/>
    </row>
    <row r="74" spans="1:19" ht="13.5">
      <c r="A74" s="699" t="s">
        <v>15</v>
      </c>
      <c r="B74" s="700"/>
      <c r="C74" s="700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13"/>
      <c r="S74" s="714"/>
    </row>
    <row r="75" spans="1:19" ht="13.5">
      <c r="A75" s="699" t="s">
        <v>16</v>
      </c>
      <c r="B75" s="700"/>
      <c r="C75" s="700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13"/>
      <c r="S75" s="714"/>
    </row>
    <row r="76" spans="1:19" ht="13.5">
      <c r="A76" s="697" t="s">
        <v>17</v>
      </c>
      <c r="B76" s="698"/>
      <c r="C76" s="698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13"/>
      <c r="S76" s="714"/>
    </row>
    <row r="77" spans="1:19" ht="14.1" thickBot="1">
      <c r="A77" s="725" t="s">
        <v>284</v>
      </c>
      <c r="B77" s="726"/>
      <c r="C77" s="726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13"/>
      <c r="S77" s="714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03" t="s">
        <v>1</v>
      </c>
      <c r="B81" s="704"/>
      <c r="C81" s="704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13"/>
      <c r="S81" s="714"/>
    </row>
    <row r="82" spans="1:21" s="198" customFormat="1">
      <c r="A82" s="717" t="s">
        <v>52</v>
      </c>
      <c r="B82" s="718"/>
      <c r="C82" s="718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13"/>
      <c r="S82" s="714"/>
      <c r="T82" s="114"/>
      <c r="U82" s="114"/>
    </row>
    <row r="83" spans="1:21" s="198" customFormat="1">
      <c r="A83" s="715" t="s">
        <v>53</v>
      </c>
      <c r="B83" s="716"/>
      <c r="C83" s="716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13"/>
      <c r="S83" s="714"/>
      <c r="T83" s="114"/>
      <c r="U83" s="114"/>
    </row>
    <row r="84" spans="1:21" s="198" customFormat="1">
      <c r="A84" s="715" t="s">
        <v>54</v>
      </c>
      <c r="B84" s="716"/>
      <c r="C84" s="716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13"/>
      <c r="S84" s="714"/>
      <c r="T84" s="114"/>
      <c r="U84" s="114"/>
    </row>
    <row r="85" spans="1:21" s="198" customFormat="1">
      <c r="A85" s="741" t="s">
        <v>55</v>
      </c>
      <c r="B85" s="742"/>
      <c r="C85" s="743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13"/>
      <c r="S85" s="714"/>
      <c r="T85" s="114"/>
      <c r="U85" s="114"/>
    </row>
    <row r="86" spans="1:21" s="198" customFormat="1">
      <c r="A86" s="715" t="s">
        <v>276</v>
      </c>
      <c r="B86" s="716"/>
      <c r="C86" s="716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13"/>
      <c r="S86" s="714"/>
      <c r="T86" s="114"/>
      <c r="U86" s="114"/>
    </row>
    <row r="87" spans="1:21" s="198" customFormat="1">
      <c r="A87" s="715" t="s">
        <v>12</v>
      </c>
      <c r="B87" s="716"/>
      <c r="C87" s="716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13"/>
      <c r="S87" s="714"/>
      <c r="T87" s="114"/>
      <c r="U87" s="114"/>
    </row>
    <row r="88" spans="1:21" s="198" customFormat="1">
      <c r="A88" s="715" t="s">
        <v>13</v>
      </c>
      <c r="B88" s="716"/>
      <c r="C88" s="716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13"/>
      <c r="S88" s="714"/>
      <c r="T88" s="114"/>
      <c r="U88" s="114"/>
    </row>
    <row r="89" spans="1:21" s="198" customFormat="1">
      <c r="A89" s="715" t="s">
        <v>14</v>
      </c>
      <c r="B89" s="716"/>
      <c r="C89" s="716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13"/>
      <c r="S89" s="714"/>
      <c r="T89" s="114"/>
      <c r="U89" s="114"/>
    </row>
    <row r="90" spans="1:21" s="198" customFormat="1">
      <c r="A90" s="715" t="s">
        <v>15</v>
      </c>
      <c r="B90" s="716"/>
      <c r="C90" s="716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13"/>
      <c r="S90" s="714"/>
      <c r="T90" s="114"/>
      <c r="U90" s="114"/>
    </row>
    <row r="91" spans="1:21" s="197" customFormat="1" ht="12.95" thickBot="1">
      <c r="A91" s="734" t="s">
        <v>16</v>
      </c>
      <c r="B91" s="735"/>
      <c r="C91" s="735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13"/>
      <c r="S91" s="714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03" t="s">
        <v>1</v>
      </c>
      <c r="B94" s="704"/>
      <c r="C94" s="704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13"/>
      <c r="S94" s="714"/>
    </row>
    <row r="95" spans="1:21">
      <c r="A95" s="747" t="s">
        <v>11</v>
      </c>
      <c r="B95" s="748"/>
      <c r="C95" s="748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13"/>
      <c r="S95" s="714"/>
    </row>
    <row r="96" spans="1:21">
      <c r="A96" s="739" t="s">
        <v>276</v>
      </c>
      <c r="B96" s="740"/>
      <c r="C96" s="740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13"/>
      <c r="S96" s="714"/>
    </row>
    <row r="97" spans="1:19">
      <c r="A97" s="739" t="s">
        <v>12</v>
      </c>
      <c r="B97" s="740"/>
      <c r="C97" s="740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13"/>
      <c r="S97" s="714"/>
    </row>
    <row r="98" spans="1:19">
      <c r="A98" s="739" t="s">
        <v>13</v>
      </c>
      <c r="B98" s="740"/>
      <c r="C98" s="740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13"/>
      <c r="S98" s="714"/>
    </row>
    <row r="99" spans="1:19">
      <c r="A99" s="739" t="s">
        <v>14</v>
      </c>
      <c r="B99" s="740"/>
      <c r="C99" s="740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13"/>
      <c r="S99" s="714"/>
    </row>
    <row r="100" spans="1:19">
      <c r="A100" s="739" t="s">
        <v>15</v>
      </c>
      <c r="B100" s="740"/>
      <c r="C100" s="740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13"/>
      <c r="S100" s="714"/>
    </row>
    <row r="101" spans="1:19">
      <c r="A101" s="769" t="s">
        <v>16</v>
      </c>
      <c r="B101" s="770"/>
      <c r="C101" s="770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13"/>
      <c r="S101" s="714"/>
    </row>
    <row r="102" spans="1:19" ht="13.5">
      <c r="A102" s="697" t="s">
        <v>17</v>
      </c>
      <c r="B102" s="698"/>
      <c r="C102" s="698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13"/>
      <c r="S102" s="714"/>
    </row>
    <row r="103" spans="1:19" ht="14.1" thickBot="1">
      <c r="A103" s="772" t="s">
        <v>284</v>
      </c>
      <c r="B103" s="773"/>
      <c r="C103" s="774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13"/>
      <c r="S103" s="714"/>
    </row>
    <row r="104" spans="1:19" ht="12.95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03" t="s">
        <v>1</v>
      </c>
      <c r="B2" s="704"/>
      <c r="C2" s="704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05" t="s">
        <v>9</v>
      </c>
      <c r="B3" s="706"/>
      <c r="C3" s="707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01" t="s">
        <v>10</v>
      </c>
      <c r="C4" s="702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>
      <c r="A11" s="126"/>
      <c r="B11" s="708" t="s">
        <v>17</v>
      </c>
      <c r="C11" s="709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>
      <c r="A16" s="126"/>
      <c r="B16" s="701" t="s">
        <v>22</v>
      </c>
      <c r="C16" s="702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691" t="s">
        <v>36</v>
      </c>
      <c r="B30" s="692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>
      <c r="A31" s="693"/>
      <c r="B31" s="694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693"/>
      <c r="B32" s="694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695"/>
      <c r="B33" s="696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03" t="s">
        <v>1</v>
      </c>
      <c r="B36" s="704"/>
      <c r="C36" s="704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05" t="s">
        <v>9</v>
      </c>
      <c r="B37" s="706"/>
      <c r="C37" s="707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01" t="s">
        <v>10</v>
      </c>
      <c r="C38" s="702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08" t="s">
        <v>17</v>
      </c>
      <c r="C45" s="709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08" t="s">
        <v>22</v>
      </c>
      <c r="C50" s="709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691" t="s">
        <v>36</v>
      </c>
      <c r="B64" s="692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693"/>
      <c r="B65" s="694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693"/>
      <c r="B66" s="694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695"/>
      <c r="B67" s="696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03" t="s">
        <v>1</v>
      </c>
      <c r="B70" s="704"/>
      <c r="C70" s="704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05" t="s">
        <v>9</v>
      </c>
      <c r="B71" s="706"/>
      <c r="C71" s="707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01" t="s">
        <v>10</v>
      </c>
      <c r="C72" s="702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08" t="s">
        <v>17</v>
      </c>
      <c r="C79" s="710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01" t="s">
        <v>22</v>
      </c>
      <c r="C83" s="702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91" t="s">
        <v>36</v>
      </c>
      <c r="B91" s="692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93"/>
      <c r="B92" s="694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693"/>
      <c r="B93" s="694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695"/>
      <c r="B94" s="696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03" t="s">
        <v>1</v>
      </c>
      <c r="B97" s="704"/>
      <c r="C97" s="704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11" t="s">
        <v>11</v>
      </c>
      <c r="B98" s="712"/>
      <c r="C98" s="712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>
      <c r="A99" s="699" t="s">
        <v>12</v>
      </c>
      <c r="B99" s="700"/>
      <c r="C99" s="700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>
      <c r="A100" s="699" t="s">
        <v>13</v>
      </c>
      <c r="B100" s="700"/>
      <c r="C100" s="700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>
      <c r="A101" s="699" t="s">
        <v>14</v>
      </c>
      <c r="B101" s="700"/>
      <c r="C101" s="700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>
      <c r="A102" s="699" t="s">
        <v>21</v>
      </c>
      <c r="B102" s="700"/>
      <c r="C102" s="700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>
      <c r="A103" s="699" t="s">
        <v>16</v>
      </c>
      <c r="B103" s="700"/>
      <c r="C103" s="700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>
      <c r="A104" s="697" t="s">
        <v>17</v>
      </c>
      <c r="B104" s="698"/>
      <c r="C104" s="698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>
      <c r="A105" s="722" t="s">
        <v>49</v>
      </c>
      <c r="B105" s="723"/>
      <c r="C105" s="724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.100000000000001">
      <c r="A106" s="699" t="s">
        <v>276</v>
      </c>
      <c r="B106" s="700"/>
      <c r="C106" s="700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6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6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6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6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6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6"/>
    </row>
    <row r="112" spans="1:18" ht="17.100000000000001">
      <c r="A112" s="775" t="s">
        <v>50</v>
      </c>
      <c r="B112" s="776"/>
      <c r="C112" s="776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6"/>
    </row>
    <row r="113" spans="1:240" ht="17.100000000000001">
      <c r="A113" s="700" t="s">
        <v>31</v>
      </c>
      <c r="B113" s="700"/>
      <c r="C113" s="700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6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700" t="s">
        <v>32</v>
      </c>
      <c r="B114" s="700"/>
      <c r="C114" s="700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700" t="s">
        <v>33</v>
      </c>
      <c r="B115" s="700"/>
      <c r="C115" s="700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700" t="s">
        <v>34</v>
      </c>
      <c r="B116" s="700"/>
      <c r="C116" s="700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700" t="s">
        <v>35</v>
      </c>
      <c r="B117" s="700"/>
      <c r="C117" s="700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77" t="s">
        <v>30</v>
      </c>
      <c r="B118" s="777"/>
      <c r="C118" s="777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03" t="s">
        <v>1</v>
      </c>
      <c r="B121" s="704"/>
      <c r="C121" s="704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5" t="s">
        <v>52</v>
      </c>
      <c r="B122" s="716"/>
      <c r="C122" s="716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5" t="s">
        <v>53</v>
      </c>
      <c r="B123" s="716"/>
      <c r="C123" s="716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5" t="s">
        <v>54</v>
      </c>
      <c r="B124" s="716"/>
      <c r="C124" s="716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41" t="s">
        <v>55</v>
      </c>
      <c r="B125" s="742"/>
      <c r="C125" s="743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5" t="s">
        <v>12</v>
      </c>
      <c r="B126" s="716"/>
      <c r="C126" s="716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5" t="s">
        <v>13</v>
      </c>
      <c r="B127" s="716"/>
      <c r="C127" s="716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5" t="s">
        <v>14</v>
      </c>
      <c r="B128" s="716"/>
      <c r="C128" s="716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5" t="s">
        <v>21</v>
      </c>
      <c r="B129" s="716"/>
      <c r="C129" s="716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4" t="s">
        <v>16</v>
      </c>
      <c r="B130" s="735"/>
      <c r="C130" s="735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5" t="s">
        <v>23</v>
      </c>
      <c r="B131" s="716"/>
      <c r="C131" s="716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44" t="s">
        <v>24</v>
      </c>
      <c r="B132" s="745"/>
      <c r="C132" s="746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44" t="s">
        <v>25</v>
      </c>
      <c r="B133" s="745"/>
      <c r="C133" s="746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44" t="s">
        <v>26</v>
      </c>
      <c r="B134" s="745"/>
      <c r="C134" s="746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44" t="s">
        <v>27</v>
      </c>
      <c r="B135" s="745"/>
      <c r="C135" s="746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8" t="s">
        <v>28</v>
      </c>
      <c r="B136" s="779"/>
      <c r="C136" s="780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1" t="s">
        <v>31</v>
      </c>
      <c r="B137" s="782"/>
      <c r="C137" s="783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4" t="s">
        <v>32</v>
      </c>
      <c r="B138" s="745"/>
      <c r="C138" s="746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4" t="s">
        <v>33</v>
      </c>
      <c r="B139" s="745"/>
      <c r="C139" s="746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4" t="s">
        <v>34</v>
      </c>
      <c r="B140" s="745"/>
      <c r="C140" s="746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5" t="s">
        <v>35</v>
      </c>
      <c r="B141" s="779"/>
      <c r="C141" s="780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03" t="s">
        <v>1</v>
      </c>
      <c r="B144" s="704"/>
      <c r="C144" s="704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47" t="s">
        <v>11</v>
      </c>
      <c r="B145" s="748"/>
      <c r="C145" s="748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>
      <c r="A146" s="739" t="s">
        <v>12</v>
      </c>
      <c r="B146" s="740"/>
      <c r="C146" s="740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>
      <c r="A147" s="739" t="s">
        <v>13</v>
      </c>
      <c r="B147" s="740"/>
      <c r="C147" s="740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>
      <c r="A148" s="739" t="s">
        <v>14</v>
      </c>
      <c r="B148" s="740"/>
      <c r="C148" s="740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>
      <c r="A149" s="739" t="s">
        <v>21</v>
      </c>
      <c r="B149" s="740"/>
      <c r="C149" s="740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>
      <c r="A150" s="769" t="s">
        <v>16</v>
      </c>
      <c r="B150" s="770"/>
      <c r="C150" s="770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>
      <c r="A151" s="697" t="s">
        <v>17</v>
      </c>
      <c r="B151" s="698"/>
      <c r="C151" s="698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>
      <c r="A152" s="766" t="s">
        <v>49</v>
      </c>
      <c r="B152" s="767"/>
      <c r="C152" s="768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>
      <c r="A153" s="715" t="s">
        <v>23</v>
      </c>
      <c r="B153" s="716"/>
      <c r="C153" s="716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>
      <c r="A154" s="744" t="s">
        <v>24</v>
      </c>
      <c r="B154" s="745"/>
      <c r="C154" s="746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>
      <c r="A155" s="744" t="s">
        <v>25</v>
      </c>
      <c r="B155" s="745"/>
      <c r="C155" s="746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>
      <c r="A156" s="744" t="s">
        <v>26</v>
      </c>
      <c r="B156" s="745"/>
      <c r="C156" s="746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>
      <c r="A157" s="744" t="s">
        <v>27</v>
      </c>
      <c r="B157" s="745"/>
      <c r="C157" s="746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>
      <c r="A158" s="744" t="s">
        <v>28</v>
      </c>
      <c r="B158" s="745"/>
      <c r="C158" s="746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.1" thickBot="1">
      <c r="A159" s="760" t="s">
        <v>50</v>
      </c>
      <c r="B159" s="761"/>
      <c r="C159" s="762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>
      <c r="A160" s="786" t="s">
        <v>31</v>
      </c>
      <c r="B160" s="787"/>
      <c r="C160" s="787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39" t="s">
        <v>32</v>
      </c>
      <c r="B161" s="740"/>
      <c r="C161" s="740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39" t="s">
        <v>33</v>
      </c>
      <c r="B162" s="740"/>
      <c r="C162" s="740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69" t="s">
        <v>35</v>
      </c>
      <c r="B164" s="770"/>
      <c r="C164" s="770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2" t="s">
        <v>30</v>
      </c>
      <c r="B165" s="773"/>
      <c r="C165" s="774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L46" sqref="L46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03" t="s">
        <v>1</v>
      </c>
      <c r="B2" s="704"/>
      <c r="C2" s="704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500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05" t="s">
        <v>9</v>
      </c>
      <c r="B3" s="706"/>
      <c r="C3" s="707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567089575.8259064</v>
      </c>
      <c r="P3" s="467">
        <f>P4+P11+P16+P24</f>
        <v>629578831.3002696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01" t="s">
        <v>10</v>
      </c>
      <c r="C4" s="702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346692399.10788912</v>
      </c>
      <c r="P4" s="351">
        <f>SUM(P5:P10)</f>
        <v>334593048.68777925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299656105.43690866</v>
      </c>
      <c r="P5" s="350">
        <f t="shared" ref="P5:P10" si="2">AVERAGE(D5:O5)</f>
        <v>290484001.76393884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>
      <c r="A11" s="126"/>
      <c r="B11" s="708" t="s">
        <v>17</v>
      </c>
      <c r="C11" s="709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>
      <c r="A16" s="126"/>
      <c r="B16" s="701" t="s">
        <v>22</v>
      </c>
      <c r="C16" s="702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8" t="s">
        <v>36</v>
      </c>
      <c r="B30" s="789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693"/>
      <c r="B31" s="694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693"/>
      <c r="B32" s="694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695"/>
      <c r="B33" s="696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E24" sqref="E24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286691574.37752742</v>
      </c>
      <c r="M4" s="493">
        <v>299656105.43690866</v>
      </c>
      <c r="N4" s="494">
        <f>SUM(B4:M4)/12</f>
        <v>290484001.76393884</v>
      </c>
    </row>
    <row r="5" spans="1:14">
      <c r="A5" s="495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138508139.08435953</v>
      </c>
      <c r="M5" s="493">
        <v>143799486.63342601</v>
      </c>
      <c r="N5" s="494">
        <f>SUM(B5:M5)/12</f>
        <v>136946516.42069605</v>
      </c>
    </row>
    <row r="6" spans="1:14">
      <c r="A6" s="495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114465465.31422947</v>
      </c>
      <c r="M6" s="493">
        <v>121779183.02504578</v>
      </c>
      <c r="N6" s="494">
        <f>SUM(B6:M6)/12</f>
        <v>118792745.21641301</v>
      </c>
    </row>
    <row r="7" spans="1:14" ht="17.45" thickBot="1">
      <c r="A7" s="496" t="s">
        <v>293</v>
      </c>
      <c r="B7" s="497">
        <v>35656732.858828157</v>
      </c>
      <c r="C7" s="497">
        <v>37312125.066462249</v>
      </c>
      <c r="D7" s="497">
        <v>37761898.277125254</v>
      </c>
      <c r="E7" s="497">
        <v>36134055.534872964</v>
      </c>
      <c r="F7" s="497">
        <v>33793444.847199053</v>
      </c>
      <c r="G7" s="497">
        <v>32470239.336586591</v>
      </c>
      <c r="H7" s="497">
        <v>32738248.265167497</v>
      </c>
      <c r="I7" s="497">
        <v>34403776.771921746</v>
      </c>
      <c r="J7" s="497">
        <v>34800146.533720247</v>
      </c>
      <c r="K7" s="497">
        <v>34070808.272698186</v>
      </c>
      <c r="L7" s="497">
        <v>33717969.978938408</v>
      </c>
      <c r="M7" s="498">
        <v>34077435.778436877</v>
      </c>
      <c r="N7" s="499">
        <f>SUM(B7:M7)/12</f>
        <v>34744740.126829766</v>
      </c>
    </row>
    <row r="8" spans="1:14"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53"/>
    </row>
    <row r="9" spans="1:14">
      <c r="E9" s="542"/>
      <c r="F9" s="542"/>
      <c r="G9" s="542"/>
      <c r="H9" s="542"/>
      <c r="I9" s="542"/>
      <c r="J9" s="542"/>
      <c r="K9" s="542"/>
      <c r="L9" s="542"/>
      <c r="M9" s="542"/>
    </row>
    <row r="10" spans="1:14">
      <c r="E10" s="542"/>
      <c r="F10" s="542"/>
      <c r="G10" s="542"/>
      <c r="H10" s="542"/>
      <c r="I10" s="542"/>
      <c r="J10" s="542"/>
      <c r="K10" s="542"/>
      <c r="L10" s="542"/>
      <c r="M10" s="542"/>
    </row>
    <row r="11" spans="1:14"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</row>
    <row r="15" spans="1:14"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</row>
    <row r="16" spans="1:14"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2:14"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2:14"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22" spans="2:14"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2:14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2:14"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2:14"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E7" sqref="E7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3" t="s">
        <v>294</v>
      </c>
      <c r="B1" s="503" t="s">
        <v>295</v>
      </c>
      <c r="C1" s="503" t="s">
        <v>296</v>
      </c>
      <c r="D1" s="503" t="s">
        <v>297</v>
      </c>
      <c r="E1" s="503" t="s">
        <v>298</v>
      </c>
      <c r="F1" s="503" t="s">
        <v>299</v>
      </c>
      <c r="G1" s="503" t="s">
        <v>300</v>
      </c>
      <c r="H1" s="503" t="s">
        <v>301</v>
      </c>
      <c r="I1" s="503" t="s">
        <v>302</v>
      </c>
      <c r="J1" s="503" t="s">
        <v>303</v>
      </c>
      <c r="K1" s="503" t="s">
        <v>304</v>
      </c>
      <c r="L1" s="503" t="s">
        <v>305</v>
      </c>
      <c r="M1" s="503" t="s">
        <v>306</v>
      </c>
      <c r="N1" s="503" t="s">
        <v>307</v>
      </c>
      <c r="O1" s="503" t="s">
        <v>308</v>
      </c>
      <c r="P1" s="503" t="s">
        <v>309</v>
      </c>
      <c r="Q1" s="503" t="s">
        <v>310</v>
      </c>
      <c r="R1" s="503" t="s">
        <v>311</v>
      </c>
      <c r="S1" s="503" t="s">
        <v>312</v>
      </c>
      <c r="T1" s="503" t="s">
        <v>313</v>
      </c>
      <c r="U1" s="503" t="s">
        <v>314</v>
      </c>
      <c r="V1" s="503" t="s">
        <v>315</v>
      </c>
      <c r="W1" s="503" t="s">
        <v>316</v>
      </c>
      <c r="X1" s="503" t="s">
        <v>317</v>
      </c>
      <c r="Y1" s="503" t="s">
        <v>318</v>
      </c>
      <c r="Z1" s="503" t="s">
        <v>319</v>
      </c>
      <c r="AA1" s="503" t="s">
        <v>320</v>
      </c>
      <c r="AB1" s="503" t="s">
        <v>321</v>
      </c>
      <c r="AC1" s="503" t="s">
        <v>322</v>
      </c>
      <c r="AD1" s="503" t="s">
        <v>323</v>
      </c>
      <c r="AE1" s="503" t="s">
        <v>324</v>
      </c>
      <c r="AF1" s="503" t="s">
        <v>325</v>
      </c>
      <c r="AG1" s="503" t="s">
        <v>326</v>
      </c>
      <c r="AH1" t="s">
        <v>327</v>
      </c>
    </row>
    <row r="2" spans="1:34">
      <c r="A2" s="503" t="s">
        <v>328</v>
      </c>
      <c r="B2" s="503" t="s">
        <v>236</v>
      </c>
      <c r="C2" s="526" t="s">
        <v>329</v>
      </c>
      <c r="D2" s="526" t="s">
        <v>330</v>
      </c>
      <c r="E2" s="526" t="s">
        <v>331</v>
      </c>
      <c r="F2" s="526" t="s">
        <v>332</v>
      </c>
      <c r="G2" s="526" t="s">
        <v>333</v>
      </c>
      <c r="H2" s="526" t="s">
        <v>334</v>
      </c>
      <c r="I2" s="526" t="s">
        <v>335</v>
      </c>
      <c r="J2" s="526" t="s">
        <v>336</v>
      </c>
      <c r="K2" s="526" t="s">
        <v>337</v>
      </c>
      <c r="L2" s="526" t="s">
        <v>338</v>
      </c>
      <c r="M2" s="526" t="s">
        <v>339</v>
      </c>
      <c r="N2" s="526" t="s">
        <v>340</v>
      </c>
      <c r="O2" s="526" t="s">
        <v>341</v>
      </c>
      <c r="P2" s="526" t="s">
        <v>342</v>
      </c>
      <c r="Q2" s="526" t="s">
        <v>343</v>
      </c>
      <c r="R2" s="526" t="s">
        <v>344</v>
      </c>
      <c r="S2" s="526" t="s">
        <v>345</v>
      </c>
      <c r="T2" s="526" t="s">
        <v>346</v>
      </c>
      <c r="U2" s="526" t="s">
        <v>347</v>
      </c>
      <c r="V2" s="526" t="s">
        <v>348</v>
      </c>
      <c r="W2" s="526" t="s">
        <v>349</v>
      </c>
      <c r="X2" s="526" t="s">
        <v>350</v>
      </c>
      <c r="Y2" s="526" t="s">
        <v>351</v>
      </c>
      <c r="Z2" s="526" t="s">
        <v>352</v>
      </c>
      <c r="AA2" s="526" t="s">
        <v>353</v>
      </c>
      <c r="AB2" s="526" t="s">
        <v>354</v>
      </c>
      <c r="AC2" s="526" t="s">
        <v>355</v>
      </c>
      <c r="AD2" s="526" t="s">
        <v>356</v>
      </c>
      <c r="AE2" s="526" t="s">
        <v>357</v>
      </c>
      <c r="AF2" s="526" t="s">
        <v>358</v>
      </c>
      <c r="AG2" s="526" t="s">
        <v>359</v>
      </c>
      <c r="AH2" s="502">
        <v>45628.229173113403</v>
      </c>
    </row>
    <row r="3" spans="1:34">
      <c r="A3" s="503" t="s">
        <v>328</v>
      </c>
      <c r="B3" s="503" t="s">
        <v>360</v>
      </c>
      <c r="C3" s="503" t="s">
        <v>112</v>
      </c>
      <c r="D3" s="503" t="s">
        <v>106</v>
      </c>
      <c r="E3" s="503" t="s">
        <v>107</v>
      </c>
      <c r="F3" s="503" t="s">
        <v>108</v>
      </c>
      <c r="G3" s="503" t="s">
        <v>109</v>
      </c>
      <c r="H3" s="503" t="s">
        <v>110</v>
      </c>
      <c r="I3" s="503" t="s">
        <v>111</v>
      </c>
      <c r="J3" s="503" t="s">
        <v>112</v>
      </c>
      <c r="K3" s="503" t="s">
        <v>106</v>
      </c>
      <c r="L3" s="503" t="s">
        <v>107</v>
      </c>
      <c r="M3" s="503" t="s">
        <v>108</v>
      </c>
      <c r="N3" s="503" t="s">
        <v>109</v>
      </c>
      <c r="O3" s="503" t="s">
        <v>110</v>
      </c>
      <c r="P3" s="503" t="s">
        <v>111</v>
      </c>
      <c r="Q3" s="503" t="s">
        <v>112</v>
      </c>
      <c r="R3" s="503" t="s">
        <v>106</v>
      </c>
      <c r="S3" s="503" t="s">
        <v>107</v>
      </c>
      <c r="T3" s="503" t="s">
        <v>108</v>
      </c>
      <c r="U3" s="503" t="s">
        <v>109</v>
      </c>
      <c r="V3" s="503" t="s">
        <v>110</v>
      </c>
      <c r="W3" s="503" t="s">
        <v>111</v>
      </c>
      <c r="X3" s="503" t="s">
        <v>112</v>
      </c>
      <c r="Y3" s="503" t="s">
        <v>106</v>
      </c>
      <c r="Z3" s="503" t="s">
        <v>107</v>
      </c>
      <c r="AA3" s="503" t="s">
        <v>108</v>
      </c>
      <c r="AB3" s="503" t="s">
        <v>109</v>
      </c>
      <c r="AC3" s="503" t="s">
        <v>110</v>
      </c>
      <c r="AD3" s="503" t="s">
        <v>111</v>
      </c>
      <c r="AE3" s="503" t="s">
        <v>112</v>
      </c>
      <c r="AF3" s="503" t="s">
        <v>106</v>
      </c>
      <c r="AG3" s="503" t="s">
        <v>107</v>
      </c>
      <c r="AH3" s="502">
        <v>45628.229173113403</v>
      </c>
    </row>
    <row r="5" spans="1:34">
      <c r="C5" s="551"/>
    </row>
    <row r="6" spans="1:34">
      <c r="C6" s="55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J13" sqref="J13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  <c r="AI1" s="1" t="s">
        <v>363</v>
      </c>
    </row>
    <row r="2" spans="1:37">
      <c r="A2" s="1" t="s">
        <v>328</v>
      </c>
      <c r="B2" s="1" t="s">
        <v>364</v>
      </c>
      <c r="C2" s="1" t="s">
        <v>365</v>
      </c>
      <c r="D2" s="1" t="s">
        <v>366</v>
      </c>
      <c r="E2" s="1" t="s">
        <v>367</v>
      </c>
      <c r="F2" s="1" t="s">
        <v>368</v>
      </c>
      <c r="G2" s="1" t="s">
        <v>369</v>
      </c>
      <c r="H2" s="1" t="s">
        <v>370</v>
      </c>
      <c r="I2" s="1" t="s">
        <v>371</v>
      </c>
      <c r="J2" s="1" t="s">
        <v>372</v>
      </c>
      <c r="K2" s="1" t="s">
        <v>373</v>
      </c>
      <c r="L2" s="1" t="s">
        <v>374</v>
      </c>
      <c r="M2" s="1" t="s">
        <v>375</v>
      </c>
      <c r="N2" s="1" t="s">
        <v>376</v>
      </c>
      <c r="O2" s="1" t="s">
        <v>377</v>
      </c>
      <c r="P2" s="1" t="s">
        <v>378</v>
      </c>
      <c r="Q2" s="1" t="s">
        <v>379</v>
      </c>
      <c r="R2" s="1" t="s">
        <v>380</v>
      </c>
      <c r="S2" s="1" t="s">
        <v>381</v>
      </c>
      <c r="T2" s="1" t="s">
        <v>382</v>
      </c>
      <c r="U2" s="1" t="s">
        <v>383</v>
      </c>
      <c r="V2" s="1" t="s">
        <v>384</v>
      </c>
      <c r="W2" s="1" t="s">
        <v>385</v>
      </c>
      <c r="X2" s="1" t="s">
        <v>386</v>
      </c>
      <c r="Y2" s="1" t="s">
        <v>387</v>
      </c>
      <c r="Z2" s="1" t="s">
        <v>388</v>
      </c>
      <c r="AA2" s="306" t="s">
        <v>389</v>
      </c>
      <c r="AB2" s="1" t="s">
        <v>390</v>
      </c>
      <c r="AC2" s="1" t="s">
        <v>391</v>
      </c>
      <c r="AD2" s="1" t="s">
        <v>392</v>
      </c>
      <c r="AE2" s="1" t="s">
        <v>393</v>
      </c>
      <c r="AF2" s="1" t="s">
        <v>394</v>
      </c>
      <c r="AG2" s="1" t="s">
        <v>395</v>
      </c>
      <c r="AH2" s="1" t="s">
        <v>396</v>
      </c>
      <c r="AI2" s="1" t="s">
        <v>397</v>
      </c>
      <c r="AJ2">
        <v>214520184</v>
      </c>
      <c r="AK2" s="502">
        <v>43056.229202361101</v>
      </c>
    </row>
    <row r="3" spans="1:37">
      <c r="A3" s="1" t="s">
        <v>328</v>
      </c>
      <c r="B3" s="1" t="s">
        <v>398</v>
      </c>
      <c r="C3" s="1" t="s">
        <v>399</v>
      </c>
      <c r="D3" s="1" t="s">
        <v>400</v>
      </c>
      <c r="E3" s="1" t="s">
        <v>401</v>
      </c>
      <c r="F3" s="1" t="s">
        <v>402</v>
      </c>
      <c r="G3" s="1" t="s">
        <v>403</v>
      </c>
      <c r="H3" s="1" t="s">
        <v>404</v>
      </c>
      <c r="I3" s="1" t="s">
        <v>405</v>
      </c>
      <c r="J3" s="1" t="s">
        <v>406</v>
      </c>
      <c r="K3" s="1" t="s">
        <v>406</v>
      </c>
      <c r="L3" s="1" t="s">
        <v>407</v>
      </c>
      <c r="M3" s="1" t="s">
        <v>408</v>
      </c>
      <c r="N3" s="1" t="s">
        <v>409</v>
      </c>
      <c r="O3" s="1" t="s">
        <v>410</v>
      </c>
      <c r="P3" s="1" t="s">
        <v>411</v>
      </c>
      <c r="Q3" s="1" t="s">
        <v>412</v>
      </c>
      <c r="R3" s="1" t="s">
        <v>412</v>
      </c>
      <c r="S3" s="1" t="s">
        <v>413</v>
      </c>
      <c r="T3" s="1" t="s">
        <v>414</v>
      </c>
      <c r="U3" s="1" t="s">
        <v>415</v>
      </c>
      <c r="V3" s="1" t="s">
        <v>416</v>
      </c>
      <c r="W3" s="1" t="s">
        <v>417</v>
      </c>
      <c r="X3" s="1" t="s">
        <v>418</v>
      </c>
      <c r="Y3" s="1" t="s">
        <v>418</v>
      </c>
      <c r="Z3" s="1" t="s">
        <v>419</v>
      </c>
      <c r="AA3" s="1" t="s">
        <v>420</v>
      </c>
      <c r="AB3" s="1" t="s">
        <v>421</v>
      </c>
      <c r="AC3" s="1" t="s">
        <v>422</v>
      </c>
      <c r="AD3" s="1" t="s">
        <v>423</v>
      </c>
      <c r="AE3" s="1" t="s">
        <v>424</v>
      </c>
      <c r="AF3" s="1" t="s">
        <v>424</v>
      </c>
      <c r="AG3" s="1" t="s">
        <v>425</v>
      </c>
      <c r="AH3" s="1" t="s">
        <v>426</v>
      </c>
      <c r="AI3" s="1" t="s">
        <v>427</v>
      </c>
      <c r="AJ3">
        <v>129394202</v>
      </c>
      <c r="AK3" s="502">
        <v>43056.229202361101</v>
      </c>
    </row>
    <row r="4" spans="1:37">
      <c r="A4" s="1" t="s">
        <v>328</v>
      </c>
      <c r="B4" s="1" t="s">
        <v>428</v>
      </c>
      <c r="C4" s="1" t="s">
        <v>429</v>
      </c>
      <c r="D4" s="1" t="s">
        <v>429</v>
      </c>
      <c r="E4" s="1" t="s">
        <v>430</v>
      </c>
      <c r="F4" s="1" t="s">
        <v>431</v>
      </c>
      <c r="G4" s="1" t="s">
        <v>432</v>
      </c>
      <c r="H4" s="1" t="s">
        <v>433</v>
      </c>
      <c r="I4" s="1" t="s">
        <v>434</v>
      </c>
      <c r="J4" s="1" t="s">
        <v>435</v>
      </c>
      <c r="K4" s="1" t="s">
        <v>435</v>
      </c>
      <c r="L4" s="1" t="s">
        <v>436</v>
      </c>
      <c r="M4" s="1" t="s">
        <v>437</v>
      </c>
      <c r="N4" s="1" t="s">
        <v>438</v>
      </c>
      <c r="O4" s="1" t="s">
        <v>439</v>
      </c>
      <c r="P4" s="1" t="s">
        <v>440</v>
      </c>
      <c r="Q4" s="1" t="s">
        <v>441</v>
      </c>
      <c r="R4" s="1" t="s">
        <v>441</v>
      </c>
      <c r="S4" s="1" t="s">
        <v>442</v>
      </c>
      <c r="T4" s="1" t="s">
        <v>443</v>
      </c>
      <c r="U4" s="1" t="s">
        <v>444</v>
      </c>
      <c r="V4" s="1" t="s">
        <v>445</v>
      </c>
      <c r="W4" s="1" t="s">
        <v>446</v>
      </c>
      <c r="X4" s="1" t="s">
        <v>447</v>
      </c>
      <c r="Y4" s="1" t="s">
        <v>447</v>
      </c>
      <c r="Z4" s="1" t="s">
        <v>448</v>
      </c>
      <c r="AA4" s="1" t="s">
        <v>449</v>
      </c>
      <c r="AB4" s="1" t="s">
        <v>450</v>
      </c>
      <c r="AC4" s="1" t="s">
        <v>451</v>
      </c>
      <c r="AD4" s="1" t="s">
        <v>452</v>
      </c>
      <c r="AE4" s="1" t="s">
        <v>453</v>
      </c>
      <c r="AF4" s="1" t="s">
        <v>453</v>
      </c>
      <c r="AG4" s="1" t="s">
        <v>454</v>
      </c>
      <c r="AH4" s="1" t="s">
        <v>455</v>
      </c>
      <c r="AI4" s="1" t="s">
        <v>456</v>
      </c>
      <c r="AJ4">
        <v>7407477</v>
      </c>
      <c r="AK4" s="502">
        <v>43056.229202361101</v>
      </c>
    </row>
    <row r="5" spans="1:37">
      <c r="A5" s="1" t="s">
        <v>328</v>
      </c>
      <c r="B5" s="1" t="s">
        <v>457</v>
      </c>
      <c r="C5" s="1" t="s">
        <v>458</v>
      </c>
      <c r="D5" s="1" t="s">
        <v>458</v>
      </c>
      <c r="E5" s="1" t="s">
        <v>459</v>
      </c>
      <c r="F5" s="1" t="s">
        <v>460</v>
      </c>
      <c r="G5" s="1" t="s">
        <v>461</v>
      </c>
      <c r="H5" s="1" t="s">
        <v>462</v>
      </c>
      <c r="I5" s="1" t="s">
        <v>463</v>
      </c>
      <c r="J5" s="1" t="s">
        <v>464</v>
      </c>
      <c r="K5" s="1" t="s">
        <v>464</v>
      </c>
      <c r="L5" s="1" t="s">
        <v>465</v>
      </c>
      <c r="M5" s="1" t="s">
        <v>466</v>
      </c>
      <c r="N5" s="1" t="s">
        <v>467</v>
      </c>
      <c r="O5" s="1" t="s">
        <v>468</v>
      </c>
      <c r="P5" s="1" t="s">
        <v>469</v>
      </c>
      <c r="Q5" s="1" t="s">
        <v>470</v>
      </c>
      <c r="R5" s="1" t="s">
        <v>470</v>
      </c>
      <c r="S5" s="1" t="s">
        <v>471</v>
      </c>
      <c r="T5" s="1" t="s">
        <v>472</v>
      </c>
      <c r="U5" s="1" t="s">
        <v>473</v>
      </c>
      <c r="V5" s="1" t="s">
        <v>474</v>
      </c>
      <c r="W5" s="1" t="s">
        <v>475</v>
      </c>
      <c r="X5" s="1" t="s">
        <v>476</v>
      </c>
      <c r="Y5" s="1" t="s">
        <v>476</v>
      </c>
      <c r="Z5" s="1" t="s">
        <v>477</v>
      </c>
      <c r="AA5" s="1" t="s">
        <v>478</v>
      </c>
      <c r="AB5" s="1" t="s">
        <v>479</v>
      </c>
      <c r="AC5" s="1" t="s">
        <v>480</v>
      </c>
      <c r="AD5" s="1" t="s">
        <v>481</v>
      </c>
      <c r="AE5" s="1" t="s">
        <v>482</v>
      </c>
      <c r="AF5" s="1" t="s">
        <v>482</v>
      </c>
      <c r="AG5" s="1" t="s">
        <v>483</v>
      </c>
      <c r="AH5" s="1" t="s">
        <v>484</v>
      </c>
      <c r="AI5" s="1" t="s">
        <v>485</v>
      </c>
      <c r="AJ5">
        <v>19279658</v>
      </c>
      <c r="AK5" s="502">
        <v>43056.229202361101</v>
      </c>
    </row>
    <row r="6" spans="1:37">
      <c r="A6" s="1" t="s">
        <v>328</v>
      </c>
      <c r="B6" s="1" t="s">
        <v>486</v>
      </c>
      <c r="C6" s="1" t="s">
        <v>487</v>
      </c>
      <c r="D6" s="1" t="s">
        <v>488</v>
      </c>
      <c r="E6" s="1" t="s">
        <v>489</v>
      </c>
      <c r="F6" s="1" t="s">
        <v>490</v>
      </c>
      <c r="G6" s="1" t="s">
        <v>491</v>
      </c>
      <c r="H6" s="1" t="s">
        <v>492</v>
      </c>
      <c r="I6" s="1" t="s">
        <v>493</v>
      </c>
      <c r="J6" s="1" t="s">
        <v>494</v>
      </c>
      <c r="K6" s="1" t="s">
        <v>495</v>
      </c>
      <c r="L6" s="1" t="s">
        <v>496</v>
      </c>
      <c r="M6" s="1" t="s">
        <v>497</v>
      </c>
      <c r="N6" s="1" t="s">
        <v>498</v>
      </c>
      <c r="O6" s="1" t="s">
        <v>499</v>
      </c>
      <c r="P6" s="1" t="s">
        <v>500</v>
      </c>
      <c r="Q6" s="1" t="s">
        <v>501</v>
      </c>
      <c r="R6" s="1" t="s">
        <v>502</v>
      </c>
      <c r="S6" s="1" t="s">
        <v>503</v>
      </c>
      <c r="T6" s="1" t="s">
        <v>504</v>
      </c>
      <c r="U6" s="1" t="s">
        <v>505</v>
      </c>
      <c r="V6" s="1" t="s">
        <v>506</v>
      </c>
      <c r="W6" s="1" t="s">
        <v>507</v>
      </c>
      <c r="X6" s="1" t="s">
        <v>508</v>
      </c>
      <c r="Y6" s="1" t="s">
        <v>509</v>
      </c>
      <c r="Z6" s="1" t="s">
        <v>510</v>
      </c>
      <c r="AA6" s="1" t="s">
        <v>511</v>
      </c>
      <c r="AB6" s="1" t="s">
        <v>512</v>
      </c>
      <c r="AC6" s="1" t="s">
        <v>513</v>
      </c>
      <c r="AD6" s="1" t="s">
        <v>514</v>
      </c>
      <c r="AE6" s="1" t="s">
        <v>515</v>
      </c>
      <c r="AF6" s="1" t="s">
        <v>516</v>
      </c>
      <c r="AG6" s="1" t="s">
        <v>517</v>
      </c>
      <c r="AH6" s="1" t="s">
        <v>518</v>
      </c>
      <c r="AI6" s="1" t="s">
        <v>519</v>
      </c>
      <c r="AJ6">
        <v>19767518</v>
      </c>
      <c r="AK6" s="502">
        <v>43056.229202361101</v>
      </c>
    </row>
    <row r="7" spans="1:37">
      <c r="A7" s="1" t="s">
        <v>328</v>
      </c>
      <c r="B7" s="1" t="s">
        <v>520</v>
      </c>
      <c r="C7" s="1" t="s">
        <v>521</v>
      </c>
      <c r="D7" s="1" t="s">
        <v>521</v>
      </c>
      <c r="E7" s="1" t="s">
        <v>521</v>
      </c>
      <c r="F7" s="1" t="s">
        <v>521</v>
      </c>
      <c r="G7" s="1" t="s">
        <v>521</v>
      </c>
      <c r="H7" s="1" t="s">
        <v>521</v>
      </c>
      <c r="I7" s="1" t="s">
        <v>521</v>
      </c>
      <c r="J7" s="1" t="s">
        <v>521</v>
      </c>
      <c r="K7" s="1" t="s">
        <v>521</v>
      </c>
      <c r="L7" s="1" t="s">
        <v>521</v>
      </c>
      <c r="M7" s="1" t="s">
        <v>521</v>
      </c>
      <c r="N7" s="1" t="s">
        <v>521</v>
      </c>
      <c r="O7" s="1" t="s">
        <v>521</v>
      </c>
      <c r="P7" s="1" t="s">
        <v>521</v>
      </c>
      <c r="Q7" s="1" t="s">
        <v>521</v>
      </c>
      <c r="R7" s="1" t="s">
        <v>521</v>
      </c>
      <c r="S7" s="1" t="s">
        <v>521</v>
      </c>
      <c r="T7" s="1" t="s">
        <v>521</v>
      </c>
      <c r="U7" s="1" t="s">
        <v>521</v>
      </c>
      <c r="V7" s="1" t="s">
        <v>521</v>
      </c>
      <c r="W7" s="1" t="s">
        <v>521</v>
      </c>
      <c r="X7" s="1" t="s">
        <v>521</v>
      </c>
      <c r="Y7" s="1" t="s">
        <v>521</v>
      </c>
      <c r="Z7" s="1" t="s">
        <v>521</v>
      </c>
      <c r="AA7" s="1" t="s">
        <v>521</v>
      </c>
      <c r="AB7" s="1" t="s">
        <v>521</v>
      </c>
      <c r="AC7" s="1" t="s">
        <v>521</v>
      </c>
      <c r="AD7" s="1" t="s">
        <v>521</v>
      </c>
      <c r="AE7" s="1" t="s">
        <v>521</v>
      </c>
      <c r="AF7" s="1" t="s">
        <v>521</v>
      </c>
      <c r="AG7" s="1" t="s">
        <v>521</v>
      </c>
      <c r="AH7" s="1" t="s">
        <v>521</v>
      </c>
      <c r="AI7" s="1" t="s">
        <v>521</v>
      </c>
      <c r="AJ7">
        <v>0</v>
      </c>
      <c r="AK7" s="502">
        <v>43056.229202361101</v>
      </c>
    </row>
    <row r="8" spans="1:37">
      <c r="A8" s="1" t="s">
        <v>328</v>
      </c>
      <c r="B8" s="1" t="s">
        <v>522</v>
      </c>
      <c r="C8" s="1" t="s">
        <v>523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529</v>
      </c>
      <c r="L8" s="1" t="s">
        <v>530</v>
      </c>
      <c r="M8" s="1" t="s">
        <v>531</v>
      </c>
      <c r="N8" s="1" t="s">
        <v>532</v>
      </c>
      <c r="O8" s="1" t="s">
        <v>533</v>
      </c>
      <c r="P8" s="1" t="s">
        <v>534</v>
      </c>
      <c r="Q8" s="1" t="s">
        <v>535</v>
      </c>
      <c r="R8" s="1" t="s">
        <v>535</v>
      </c>
      <c r="S8" s="1" t="s">
        <v>536</v>
      </c>
      <c r="T8" s="1" t="s">
        <v>537</v>
      </c>
      <c r="U8" s="1" t="s">
        <v>538</v>
      </c>
      <c r="V8" s="1" t="s">
        <v>539</v>
      </c>
      <c r="W8" s="1" t="s">
        <v>540</v>
      </c>
      <c r="X8" s="1" t="s">
        <v>541</v>
      </c>
      <c r="Y8" s="1" t="s">
        <v>541</v>
      </c>
      <c r="Z8" s="1" t="s">
        <v>542</v>
      </c>
      <c r="AA8" s="1" t="s">
        <v>543</v>
      </c>
      <c r="AB8" s="1" t="s">
        <v>544</v>
      </c>
      <c r="AC8" s="1" t="s">
        <v>545</v>
      </c>
      <c r="AD8" s="1" t="s">
        <v>546</v>
      </c>
      <c r="AE8" s="1" t="s">
        <v>547</v>
      </c>
      <c r="AF8" s="1" t="s">
        <v>547</v>
      </c>
      <c r="AG8" s="1" t="s">
        <v>548</v>
      </c>
      <c r="AH8" s="1" t="s">
        <v>549</v>
      </c>
      <c r="AI8" s="1" t="s">
        <v>550</v>
      </c>
      <c r="AJ8">
        <v>7768697</v>
      </c>
      <c r="AK8" s="502">
        <v>43056.229202361101</v>
      </c>
    </row>
    <row r="9" spans="1:37">
      <c r="A9" s="1" t="s">
        <v>328</v>
      </c>
      <c r="B9" s="1" t="s">
        <v>551</v>
      </c>
      <c r="C9" s="1" t="s">
        <v>521</v>
      </c>
      <c r="D9" s="1" t="s">
        <v>521</v>
      </c>
      <c r="E9" s="1" t="s">
        <v>521</v>
      </c>
      <c r="F9" s="1" t="s">
        <v>521</v>
      </c>
      <c r="G9" s="1" t="s">
        <v>521</v>
      </c>
      <c r="H9" s="1" t="s">
        <v>521</v>
      </c>
      <c r="I9" s="1" t="s">
        <v>521</v>
      </c>
      <c r="J9" s="1" t="s">
        <v>521</v>
      </c>
      <c r="K9" s="1" t="s">
        <v>521</v>
      </c>
      <c r="L9" s="1" t="s">
        <v>521</v>
      </c>
      <c r="M9" s="1" t="s">
        <v>521</v>
      </c>
      <c r="N9" s="1" t="s">
        <v>521</v>
      </c>
      <c r="O9" s="1" t="s">
        <v>521</v>
      </c>
      <c r="P9" s="1" t="s">
        <v>521</v>
      </c>
      <c r="Q9" s="1" t="s">
        <v>521</v>
      </c>
      <c r="R9" s="1" t="s">
        <v>521</v>
      </c>
      <c r="S9" s="1" t="s">
        <v>521</v>
      </c>
      <c r="T9" s="1" t="s">
        <v>521</v>
      </c>
      <c r="U9" s="1" t="s">
        <v>521</v>
      </c>
      <c r="V9" s="1" t="s">
        <v>521</v>
      </c>
      <c r="W9" s="1" t="s">
        <v>521</v>
      </c>
      <c r="X9" s="1" t="s">
        <v>521</v>
      </c>
      <c r="Y9" s="1" t="s">
        <v>521</v>
      </c>
      <c r="Z9" s="1" t="s">
        <v>521</v>
      </c>
      <c r="AA9" s="1" t="s">
        <v>521</v>
      </c>
      <c r="AB9" s="1" t="s">
        <v>521</v>
      </c>
      <c r="AC9" s="1" t="s">
        <v>521</v>
      </c>
      <c r="AD9" s="1" t="s">
        <v>521</v>
      </c>
      <c r="AE9" s="1" t="s">
        <v>521</v>
      </c>
      <c r="AF9" s="1" t="s">
        <v>521</v>
      </c>
      <c r="AG9" s="1" t="s">
        <v>521</v>
      </c>
      <c r="AH9" s="1" t="s">
        <v>521</v>
      </c>
      <c r="AI9" s="1" t="s">
        <v>521</v>
      </c>
      <c r="AJ9">
        <v>0</v>
      </c>
      <c r="AK9" s="502">
        <v>43056.229202361101</v>
      </c>
    </row>
    <row r="10" spans="1:37">
      <c r="A10" s="1" t="s">
        <v>328</v>
      </c>
      <c r="B10" s="1" t="s">
        <v>552</v>
      </c>
      <c r="C10" s="1" t="s">
        <v>553</v>
      </c>
      <c r="D10" s="1" t="s">
        <v>553</v>
      </c>
      <c r="E10" s="1" t="s">
        <v>554</v>
      </c>
      <c r="F10" s="1" t="s">
        <v>555</v>
      </c>
      <c r="G10" s="1" t="s">
        <v>556</v>
      </c>
      <c r="H10" s="1" t="s">
        <v>557</v>
      </c>
      <c r="I10" s="1" t="s">
        <v>558</v>
      </c>
      <c r="J10" s="1" t="s">
        <v>559</v>
      </c>
      <c r="K10" s="1" t="s">
        <v>559</v>
      </c>
      <c r="L10" s="1" t="s">
        <v>560</v>
      </c>
      <c r="M10" s="1" t="s">
        <v>561</v>
      </c>
      <c r="N10" s="1" t="s">
        <v>562</v>
      </c>
      <c r="O10" s="1" t="s">
        <v>563</v>
      </c>
      <c r="P10" s="1" t="s">
        <v>564</v>
      </c>
      <c r="Q10" s="1" t="s">
        <v>565</v>
      </c>
      <c r="R10" s="1" t="s">
        <v>565</v>
      </c>
      <c r="S10" s="1" t="s">
        <v>566</v>
      </c>
      <c r="T10" s="1" t="s">
        <v>567</v>
      </c>
      <c r="U10" s="1" t="s">
        <v>568</v>
      </c>
      <c r="V10" s="1" t="s">
        <v>569</v>
      </c>
      <c r="W10" s="1" t="s">
        <v>570</v>
      </c>
      <c r="X10" s="1" t="s">
        <v>571</v>
      </c>
      <c r="Y10" s="1" t="s">
        <v>571</v>
      </c>
      <c r="Z10" s="1" t="s">
        <v>572</v>
      </c>
      <c r="AA10" s="1" t="s">
        <v>573</v>
      </c>
      <c r="AB10" s="1" t="s">
        <v>574</v>
      </c>
      <c r="AC10" s="1" t="s">
        <v>575</v>
      </c>
      <c r="AD10" s="1" t="s">
        <v>576</v>
      </c>
      <c r="AE10" s="1" t="s">
        <v>577</v>
      </c>
      <c r="AF10" s="1" t="s">
        <v>577</v>
      </c>
      <c r="AG10" s="1" t="s">
        <v>578</v>
      </c>
      <c r="AH10" s="1" t="s">
        <v>579</v>
      </c>
      <c r="AI10" s="1" t="s">
        <v>580</v>
      </c>
      <c r="AJ10">
        <v>2782946</v>
      </c>
      <c r="AK10" s="502">
        <v>43056.229202361101</v>
      </c>
    </row>
    <row r="11" spans="1:37">
      <c r="A11" s="1" t="s">
        <v>328</v>
      </c>
      <c r="B11" s="1" t="s">
        <v>581</v>
      </c>
      <c r="C11" s="1" t="s">
        <v>582</v>
      </c>
      <c r="D11" s="1" t="s">
        <v>582</v>
      </c>
      <c r="E11" s="1" t="s">
        <v>582</v>
      </c>
      <c r="F11" s="1" t="s">
        <v>582</v>
      </c>
      <c r="G11" s="1" t="s">
        <v>582</v>
      </c>
      <c r="H11" s="1" t="s">
        <v>582</v>
      </c>
      <c r="I11" s="1" t="s">
        <v>582</v>
      </c>
      <c r="J11" s="1" t="s">
        <v>582</v>
      </c>
      <c r="K11" s="1" t="s">
        <v>582</v>
      </c>
      <c r="L11" s="1" t="s">
        <v>582</v>
      </c>
      <c r="M11" s="1" t="s">
        <v>582</v>
      </c>
      <c r="N11" s="1" t="s">
        <v>583</v>
      </c>
      <c r="O11" s="1" t="s">
        <v>583</v>
      </c>
      <c r="P11" s="1" t="s">
        <v>583</v>
      </c>
      <c r="Q11" s="1" t="s">
        <v>583</v>
      </c>
      <c r="R11" s="1" t="s">
        <v>583</v>
      </c>
      <c r="S11" s="1" t="s">
        <v>583</v>
      </c>
      <c r="T11" s="1" t="s">
        <v>583</v>
      </c>
      <c r="U11" s="1" t="s">
        <v>583</v>
      </c>
      <c r="V11" s="1" t="s">
        <v>583</v>
      </c>
      <c r="W11" s="1" t="s">
        <v>583</v>
      </c>
      <c r="X11" s="1" t="s">
        <v>583</v>
      </c>
      <c r="Y11" s="1" t="s">
        <v>583</v>
      </c>
      <c r="Z11" s="1" t="s">
        <v>583</v>
      </c>
      <c r="AA11" s="1" t="s">
        <v>583</v>
      </c>
      <c r="AB11" s="1" t="s">
        <v>583</v>
      </c>
      <c r="AC11" s="1" t="s">
        <v>583</v>
      </c>
      <c r="AD11" s="1" t="s">
        <v>583</v>
      </c>
      <c r="AE11" s="1" t="s">
        <v>583</v>
      </c>
      <c r="AF11" s="1" t="s">
        <v>583</v>
      </c>
      <c r="AG11" s="1" t="s">
        <v>583</v>
      </c>
      <c r="AH11" s="1" t="s">
        <v>521</v>
      </c>
      <c r="AI11" s="1" t="s">
        <v>584</v>
      </c>
      <c r="AJ11">
        <v>118299</v>
      </c>
      <c r="AK11" s="502">
        <v>43056.229202361101</v>
      </c>
    </row>
    <row r="12" spans="1:37">
      <c r="A12" s="1" t="s">
        <v>328</v>
      </c>
      <c r="B12" s="1" t="s">
        <v>585</v>
      </c>
      <c r="C12" s="1" t="s">
        <v>521</v>
      </c>
      <c r="D12" s="1" t="s">
        <v>521</v>
      </c>
      <c r="E12" s="1" t="s">
        <v>521</v>
      </c>
      <c r="F12" s="1" t="s">
        <v>521</v>
      </c>
      <c r="G12" s="1" t="s">
        <v>521</v>
      </c>
      <c r="H12" s="1" t="s">
        <v>521</v>
      </c>
      <c r="I12" s="1" t="s">
        <v>521</v>
      </c>
      <c r="J12" s="1" t="s">
        <v>521</v>
      </c>
      <c r="K12" s="1" t="s">
        <v>521</v>
      </c>
      <c r="L12" s="1" t="s">
        <v>521</v>
      </c>
      <c r="M12" s="1" t="s">
        <v>521</v>
      </c>
      <c r="N12" s="1" t="s">
        <v>521</v>
      </c>
      <c r="O12" s="1" t="s">
        <v>521</v>
      </c>
      <c r="P12" s="1" t="s">
        <v>521</v>
      </c>
      <c r="Q12" s="1" t="s">
        <v>521</v>
      </c>
      <c r="R12" s="1" t="s">
        <v>521</v>
      </c>
      <c r="S12" s="1" t="s">
        <v>521</v>
      </c>
      <c r="T12" s="1" t="s">
        <v>521</v>
      </c>
      <c r="U12" s="1" t="s">
        <v>521</v>
      </c>
      <c r="V12" s="1" t="s">
        <v>521</v>
      </c>
      <c r="W12" s="1" t="s">
        <v>521</v>
      </c>
      <c r="X12" s="1" t="s">
        <v>521</v>
      </c>
      <c r="Y12" s="1" t="s">
        <v>521</v>
      </c>
      <c r="Z12" s="1" t="s">
        <v>521</v>
      </c>
      <c r="AA12" s="1" t="s">
        <v>521</v>
      </c>
      <c r="AB12" s="1" t="s">
        <v>521</v>
      </c>
      <c r="AC12" s="1" t="s">
        <v>521</v>
      </c>
      <c r="AD12" s="1" t="s">
        <v>521</v>
      </c>
      <c r="AE12" s="1" t="s">
        <v>521</v>
      </c>
      <c r="AF12" s="1" t="s">
        <v>521</v>
      </c>
      <c r="AG12" s="1" t="s">
        <v>521</v>
      </c>
      <c r="AH12" s="1" t="s">
        <v>521</v>
      </c>
      <c r="AI12" s="1" t="s">
        <v>521</v>
      </c>
      <c r="AJ12">
        <v>0</v>
      </c>
      <c r="AK12" s="502">
        <v>43056.229202361101</v>
      </c>
    </row>
    <row r="13" spans="1:37">
      <c r="A13" s="1" t="s">
        <v>328</v>
      </c>
      <c r="B13" s="1" t="s">
        <v>586</v>
      </c>
      <c r="C13" s="1" t="s">
        <v>587</v>
      </c>
      <c r="D13" s="1" t="s">
        <v>587</v>
      </c>
      <c r="E13" s="1" t="s">
        <v>588</v>
      </c>
      <c r="F13" s="1" t="s">
        <v>589</v>
      </c>
      <c r="G13" s="1" t="s">
        <v>590</v>
      </c>
      <c r="H13" s="1" t="s">
        <v>591</v>
      </c>
      <c r="I13" s="1" t="s">
        <v>592</v>
      </c>
      <c r="J13" s="1" t="s">
        <v>593</v>
      </c>
      <c r="K13" s="1" t="s">
        <v>593</v>
      </c>
      <c r="L13" s="1" t="s">
        <v>594</v>
      </c>
      <c r="M13" s="1" t="s">
        <v>595</v>
      </c>
      <c r="N13" s="1" t="s">
        <v>596</v>
      </c>
      <c r="O13" s="1" t="s">
        <v>597</v>
      </c>
      <c r="P13" s="1" t="s">
        <v>598</v>
      </c>
      <c r="Q13" s="1" t="s">
        <v>599</v>
      </c>
      <c r="R13" s="1" t="s">
        <v>599</v>
      </c>
      <c r="S13" s="1" t="s">
        <v>600</v>
      </c>
      <c r="T13" s="1" t="s">
        <v>601</v>
      </c>
      <c r="U13" s="1" t="s">
        <v>602</v>
      </c>
      <c r="V13" s="1" t="s">
        <v>603</v>
      </c>
      <c r="W13" s="1" t="s">
        <v>604</v>
      </c>
      <c r="X13" s="1" t="s">
        <v>605</v>
      </c>
      <c r="Y13" s="1" t="s">
        <v>605</v>
      </c>
      <c r="Z13" s="1" t="s">
        <v>606</v>
      </c>
      <c r="AA13" s="1" t="s">
        <v>607</v>
      </c>
      <c r="AB13" s="1" t="s">
        <v>608</v>
      </c>
      <c r="AC13" s="1" t="s">
        <v>609</v>
      </c>
      <c r="AD13" s="1" t="s">
        <v>610</v>
      </c>
      <c r="AE13" s="1" t="s">
        <v>611</v>
      </c>
      <c r="AF13" s="1" t="s">
        <v>611</v>
      </c>
      <c r="AG13" s="1" t="s">
        <v>612</v>
      </c>
      <c r="AH13" s="1" t="s">
        <v>613</v>
      </c>
      <c r="AI13" s="1" t="s">
        <v>614</v>
      </c>
      <c r="AJ13">
        <v>1823954</v>
      </c>
      <c r="AK13" s="502">
        <v>43056.229202361101</v>
      </c>
    </row>
    <row r="14" spans="1:37">
      <c r="A14" s="1" t="s">
        <v>328</v>
      </c>
      <c r="B14" s="1" t="s">
        <v>615</v>
      </c>
      <c r="C14" s="1" t="s">
        <v>616</v>
      </c>
      <c r="D14" s="1" t="s">
        <v>616</v>
      </c>
      <c r="E14" s="1" t="s">
        <v>616</v>
      </c>
      <c r="F14" s="1" t="s">
        <v>617</v>
      </c>
      <c r="G14" s="1" t="s">
        <v>618</v>
      </c>
      <c r="H14" s="1" t="s">
        <v>619</v>
      </c>
      <c r="I14" s="1" t="s">
        <v>620</v>
      </c>
      <c r="J14" s="1" t="s">
        <v>621</v>
      </c>
      <c r="K14" s="1" t="s">
        <v>621</v>
      </c>
      <c r="L14" s="1" t="s">
        <v>622</v>
      </c>
      <c r="M14" s="1" t="s">
        <v>623</v>
      </c>
      <c r="N14" s="1" t="s">
        <v>624</v>
      </c>
      <c r="O14" s="1" t="s">
        <v>625</v>
      </c>
      <c r="P14" s="1" t="s">
        <v>626</v>
      </c>
      <c r="Q14" s="1" t="s">
        <v>627</v>
      </c>
      <c r="R14" s="1" t="s">
        <v>627</v>
      </c>
      <c r="S14" s="1" t="s">
        <v>628</v>
      </c>
      <c r="T14" s="1" t="s">
        <v>629</v>
      </c>
      <c r="U14" s="1" t="s">
        <v>630</v>
      </c>
      <c r="V14" s="1" t="s">
        <v>631</v>
      </c>
      <c r="W14" s="1" t="s">
        <v>632</v>
      </c>
      <c r="X14" s="1" t="s">
        <v>633</v>
      </c>
      <c r="Y14" s="1" t="s">
        <v>633</v>
      </c>
      <c r="Z14" s="1" t="s">
        <v>634</v>
      </c>
      <c r="AA14" s="1" t="s">
        <v>635</v>
      </c>
      <c r="AB14" s="1" t="s">
        <v>636</v>
      </c>
      <c r="AC14" s="1" t="s">
        <v>637</v>
      </c>
      <c r="AD14" s="1" t="s">
        <v>638</v>
      </c>
      <c r="AE14" s="1" t="s">
        <v>639</v>
      </c>
      <c r="AF14" s="1" t="s">
        <v>639</v>
      </c>
      <c r="AG14" s="1" t="s">
        <v>640</v>
      </c>
      <c r="AH14" s="1" t="s">
        <v>641</v>
      </c>
      <c r="AI14" s="1" t="s">
        <v>642</v>
      </c>
      <c r="AJ14">
        <v>542080</v>
      </c>
      <c r="AK14" s="502">
        <v>43056.229202361101</v>
      </c>
    </row>
    <row r="15" spans="1:37">
      <c r="A15" s="1" t="s">
        <v>328</v>
      </c>
      <c r="B15" s="1" t="s">
        <v>643</v>
      </c>
      <c r="C15" s="1" t="s">
        <v>644</v>
      </c>
      <c r="D15" s="1" t="s">
        <v>644</v>
      </c>
      <c r="E15" s="1" t="s">
        <v>644</v>
      </c>
      <c r="F15" s="1" t="s">
        <v>644</v>
      </c>
      <c r="G15" s="1" t="s">
        <v>644</v>
      </c>
      <c r="H15" s="1" t="s">
        <v>645</v>
      </c>
      <c r="I15" s="1" t="s">
        <v>646</v>
      </c>
      <c r="J15" s="1" t="s">
        <v>646</v>
      </c>
      <c r="K15" s="1" t="s">
        <v>646</v>
      </c>
      <c r="L15" s="1" t="s">
        <v>646</v>
      </c>
      <c r="M15" s="1" t="s">
        <v>646</v>
      </c>
      <c r="N15" s="1" t="s">
        <v>647</v>
      </c>
      <c r="O15" s="1" t="s">
        <v>647</v>
      </c>
      <c r="P15" s="1" t="s">
        <v>647</v>
      </c>
      <c r="Q15" s="1" t="s">
        <v>648</v>
      </c>
      <c r="R15" s="1" t="s">
        <v>648</v>
      </c>
      <c r="S15" s="1" t="s">
        <v>648</v>
      </c>
      <c r="T15" s="1" t="s">
        <v>648</v>
      </c>
      <c r="U15" s="1" t="s">
        <v>648</v>
      </c>
      <c r="V15" s="1" t="s">
        <v>648</v>
      </c>
      <c r="W15" s="1" t="s">
        <v>649</v>
      </c>
      <c r="X15" s="1" t="s">
        <v>648</v>
      </c>
      <c r="Y15" s="1" t="s">
        <v>648</v>
      </c>
      <c r="Z15" s="1" t="s">
        <v>648</v>
      </c>
      <c r="AA15" s="1" t="s">
        <v>648</v>
      </c>
      <c r="AB15" s="1" t="s">
        <v>648</v>
      </c>
      <c r="AC15" s="1" t="s">
        <v>648</v>
      </c>
      <c r="AD15" s="1" t="s">
        <v>648</v>
      </c>
      <c r="AE15" s="1" t="s">
        <v>648</v>
      </c>
      <c r="AF15" s="1" t="s">
        <v>648</v>
      </c>
      <c r="AG15" s="1" t="s">
        <v>648</v>
      </c>
      <c r="AH15" s="1" t="s">
        <v>521</v>
      </c>
      <c r="AI15" s="1" t="s">
        <v>650</v>
      </c>
      <c r="AJ15">
        <v>3162040</v>
      </c>
      <c r="AK15" s="502">
        <v>43056.229202361101</v>
      </c>
    </row>
    <row r="16" spans="1:37">
      <c r="A16" s="1" t="s">
        <v>328</v>
      </c>
      <c r="B16" s="1" t="s">
        <v>651</v>
      </c>
      <c r="C16" s="1" t="s">
        <v>652</v>
      </c>
      <c r="D16" s="1" t="s">
        <v>652</v>
      </c>
      <c r="E16" s="1" t="s">
        <v>653</v>
      </c>
      <c r="F16" s="1" t="s">
        <v>654</v>
      </c>
      <c r="G16" s="1" t="s">
        <v>655</v>
      </c>
      <c r="H16" s="1" t="s">
        <v>656</v>
      </c>
      <c r="I16" s="1" t="s">
        <v>657</v>
      </c>
      <c r="J16" s="1" t="s">
        <v>658</v>
      </c>
      <c r="K16" s="1" t="s">
        <v>658</v>
      </c>
      <c r="L16" s="1" t="s">
        <v>659</v>
      </c>
      <c r="M16" s="1" t="s">
        <v>660</v>
      </c>
      <c r="N16" s="1" t="s">
        <v>661</v>
      </c>
      <c r="O16" s="1" t="s">
        <v>662</v>
      </c>
      <c r="P16" s="1" t="s">
        <v>663</v>
      </c>
      <c r="Q16" s="1" t="s">
        <v>664</v>
      </c>
      <c r="R16" s="1" t="s">
        <v>664</v>
      </c>
      <c r="S16" s="1" t="s">
        <v>665</v>
      </c>
      <c r="T16" s="1" t="s">
        <v>666</v>
      </c>
      <c r="U16" s="1" t="s">
        <v>667</v>
      </c>
      <c r="V16" s="1" t="s">
        <v>668</v>
      </c>
      <c r="W16" s="1" t="s">
        <v>669</v>
      </c>
      <c r="X16" s="1" t="s">
        <v>670</v>
      </c>
      <c r="Y16" s="1" t="s">
        <v>670</v>
      </c>
      <c r="Z16" s="1" t="s">
        <v>671</v>
      </c>
      <c r="AA16" s="1" t="s">
        <v>672</v>
      </c>
      <c r="AB16" s="1" t="s">
        <v>673</v>
      </c>
      <c r="AC16" s="1" t="s">
        <v>674</v>
      </c>
      <c r="AD16" s="1" t="s">
        <v>675</v>
      </c>
      <c r="AE16" s="1" t="s">
        <v>676</v>
      </c>
      <c r="AF16" s="1" t="s">
        <v>676</v>
      </c>
      <c r="AG16" s="1" t="s">
        <v>677</v>
      </c>
      <c r="AH16" s="1" t="s">
        <v>678</v>
      </c>
      <c r="AI16" s="1" t="s">
        <v>679</v>
      </c>
      <c r="AJ16">
        <v>9930178</v>
      </c>
      <c r="AK16" s="502">
        <v>43056.229202361101</v>
      </c>
    </row>
    <row r="17" spans="1:37">
      <c r="A17" s="1" t="s">
        <v>328</v>
      </c>
      <c r="B17" s="1" t="s">
        <v>680</v>
      </c>
      <c r="C17" s="1" t="s">
        <v>681</v>
      </c>
      <c r="D17" s="1" t="s">
        <v>681</v>
      </c>
      <c r="E17" s="1" t="s">
        <v>682</v>
      </c>
      <c r="F17" s="1" t="s">
        <v>683</v>
      </c>
      <c r="G17" s="1" t="s">
        <v>684</v>
      </c>
      <c r="H17" s="1" t="s">
        <v>685</v>
      </c>
      <c r="I17" s="1" t="s">
        <v>686</v>
      </c>
      <c r="J17" s="1" t="s">
        <v>687</v>
      </c>
      <c r="K17" s="1" t="s">
        <v>687</v>
      </c>
      <c r="L17" s="1" t="s">
        <v>688</v>
      </c>
      <c r="M17" s="1" t="s">
        <v>689</v>
      </c>
      <c r="N17" s="1" t="s">
        <v>690</v>
      </c>
      <c r="O17" s="1" t="s">
        <v>691</v>
      </c>
      <c r="P17" s="1" t="s">
        <v>692</v>
      </c>
      <c r="Q17" s="1" t="s">
        <v>693</v>
      </c>
      <c r="R17" s="1" t="s">
        <v>693</v>
      </c>
      <c r="S17" s="1" t="s">
        <v>694</v>
      </c>
      <c r="T17" s="1" t="s">
        <v>695</v>
      </c>
      <c r="U17" s="1" t="s">
        <v>696</v>
      </c>
      <c r="V17" s="1" t="s">
        <v>697</v>
      </c>
      <c r="W17" s="1" t="s">
        <v>698</v>
      </c>
      <c r="X17" s="1" t="s">
        <v>699</v>
      </c>
      <c r="Y17" s="1" t="s">
        <v>699</v>
      </c>
      <c r="Z17" s="1" t="s">
        <v>700</v>
      </c>
      <c r="AA17" s="1" t="s">
        <v>701</v>
      </c>
      <c r="AB17" s="1" t="s">
        <v>702</v>
      </c>
      <c r="AC17" s="1" t="s">
        <v>703</v>
      </c>
      <c r="AD17" s="1" t="s">
        <v>704</v>
      </c>
      <c r="AE17" s="1" t="s">
        <v>705</v>
      </c>
      <c r="AF17" s="1" t="s">
        <v>705</v>
      </c>
      <c r="AG17" s="1" t="s">
        <v>706</v>
      </c>
      <c r="AH17" s="1" t="s">
        <v>707</v>
      </c>
      <c r="AI17" s="1" t="s">
        <v>708</v>
      </c>
      <c r="AJ17">
        <v>12733138</v>
      </c>
      <c r="AK17" s="502">
        <v>43056.229202361101</v>
      </c>
    </row>
    <row r="18" spans="1:37">
      <c r="A18" s="1" t="s">
        <v>328</v>
      </c>
      <c r="B18" s="501" t="s">
        <v>709</v>
      </c>
      <c r="C18" s="1" t="s">
        <v>710</v>
      </c>
      <c r="D18" s="1" t="s">
        <v>710</v>
      </c>
      <c r="E18" s="1" t="s">
        <v>711</v>
      </c>
      <c r="F18" s="1" t="s">
        <v>712</v>
      </c>
      <c r="G18" s="1" t="s">
        <v>713</v>
      </c>
      <c r="H18" s="1" t="s">
        <v>714</v>
      </c>
      <c r="I18" s="1" t="s">
        <v>715</v>
      </c>
      <c r="J18" s="1" t="s">
        <v>716</v>
      </c>
      <c r="K18" s="1" t="s">
        <v>716</v>
      </c>
      <c r="L18" s="1" t="s">
        <v>717</v>
      </c>
      <c r="M18" s="1" t="s">
        <v>718</v>
      </c>
      <c r="N18" s="1" t="s">
        <v>719</v>
      </c>
      <c r="O18" s="1" t="s">
        <v>720</v>
      </c>
      <c r="P18" s="1" t="s">
        <v>721</v>
      </c>
      <c r="Q18" s="1" t="s">
        <v>722</v>
      </c>
      <c r="R18" s="1" t="s">
        <v>722</v>
      </c>
      <c r="S18" s="1" t="s">
        <v>723</v>
      </c>
      <c r="T18" s="1" t="s">
        <v>724</v>
      </c>
      <c r="U18" s="1" t="s">
        <v>725</v>
      </c>
      <c r="V18" s="1" t="s">
        <v>726</v>
      </c>
      <c r="W18" s="1" t="s">
        <v>727</v>
      </c>
      <c r="X18" s="1" t="s">
        <v>728</v>
      </c>
      <c r="Y18" s="1" t="s">
        <v>728</v>
      </c>
      <c r="Z18" s="1" t="s">
        <v>729</v>
      </c>
      <c r="AA18" s="1" t="s">
        <v>730</v>
      </c>
      <c r="AB18" s="1" t="s">
        <v>731</v>
      </c>
      <c r="AC18" s="1" t="s">
        <v>732</v>
      </c>
      <c r="AD18" s="1" t="s">
        <v>733</v>
      </c>
      <c r="AE18" s="1" t="s">
        <v>734</v>
      </c>
      <c r="AF18" s="1" t="s">
        <v>734</v>
      </c>
      <c r="AG18" s="1" t="s">
        <v>735</v>
      </c>
      <c r="AH18" s="1" t="s">
        <v>736</v>
      </c>
      <c r="AI18" s="1" t="s">
        <v>737</v>
      </c>
      <c r="AJ18">
        <v>948824</v>
      </c>
      <c r="AK18" s="502">
        <v>43056.229202361101</v>
      </c>
    </row>
    <row r="19" spans="1:37">
      <c r="A19" s="1" t="s">
        <v>328</v>
      </c>
      <c r="B19" s="1" t="s">
        <v>738</v>
      </c>
      <c r="C19" s="1" t="s">
        <v>739</v>
      </c>
      <c r="D19" s="1" t="s">
        <v>739</v>
      </c>
      <c r="E19" s="1" t="s">
        <v>739</v>
      </c>
      <c r="F19" s="1" t="s">
        <v>739</v>
      </c>
      <c r="G19" s="1" t="s">
        <v>739</v>
      </c>
      <c r="H19" s="1" t="s">
        <v>739</v>
      </c>
      <c r="I19" s="1" t="s">
        <v>739</v>
      </c>
      <c r="J19" s="1" t="s">
        <v>739</v>
      </c>
      <c r="K19" s="1" t="s">
        <v>739</v>
      </c>
      <c r="L19" s="1" t="s">
        <v>739</v>
      </c>
      <c r="M19" s="1" t="s">
        <v>739</v>
      </c>
      <c r="N19" s="1" t="s">
        <v>739</v>
      </c>
      <c r="O19" s="1" t="s">
        <v>739</v>
      </c>
      <c r="P19" s="1" t="s">
        <v>739</v>
      </c>
      <c r="Q19" s="1" t="s">
        <v>739</v>
      </c>
      <c r="R19" s="1" t="s">
        <v>739</v>
      </c>
      <c r="S19" s="1" t="s">
        <v>739</v>
      </c>
      <c r="T19" s="1" t="s">
        <v>739</v>
      </c>
      <c r="U19" s="1" t="s">
        <v>739</v>
      </c>
      <c r="V19" s="1" t="s">
        <v>739</v>
      </c>
      <c r="W19" s="1" t="s">
        <v>739</v>
      </c>
      <c r="X19" s="1" t="s">
        <v>739</v>
      </c>
      <c r="Y19" s="1" t="s">
        <v>739</v>
      </c>
      <c r="Z19" s="1" t="s">
        <v>739</v>
      </c>
      <c r="AA19" s="1" t="s">
        <v>739</v>
      </c>
      <c r="AB19" s="1" t="s">
        <v>739</v>
      </c>
      <c r="AC19" s="1" t="s">
        <v>739</v>
      </c>
      <c r="AD19" s="1" t="s">
        <v>739</v>
      </c>
      <c r="AE19" s="1" t="s">
        <v>739</v>
      </c>
      <c r="AF19" s="1" t="s">
        <v>739</v>
      </c>
      <c r="AG19" s="1" t="s">
        <v>739</v>
      </c>
      <c r="AH19" s="1" t="s">
        <v>521</v>
      </c>
      <c r="AI19" s="1" t="s">
        <v>739</v>
      </c>
      <c r="AJ19">
        <v>1995934</v>
      </c>
      <c r="AK19" s="502">
        <v>43056.229202361101</v>
      </c>
    </row>
    <row r="20" spans="1:37">
      <c r="A20" s="1" t="s">
        <v>328</v>
      </c>
      <c r="B20" s="1" t="s">
        <v>740</v>
      </c>
      <c r="C20" s="1" t="s">
        <v>741</v>
      </c>
      <c r="D20" s="1" t="s">
        <v>741</v>
      </c>
      <c r="E20" s="1" t="s">
        <v>741</v>
      </c>
      <c r="F20" s="1" t="s">
        <v>741</v>
      </c>
      <c r="G20" s="1" t="s">
        <v>741</v>
      </c>
      <c r="H20" s="1" t="s">
        <v>741</v>
      </c>
      <c r="I20" s="1" t="s">
        <v>741</v>
      </c>
      <c r="J20" s="1" t="s">
        <v>741</v>
      </c>
      <c r="K20" s="1" t="s">
        <v>741</v>
      </c>
      <c r="L20" s="1" t="s">
        <v>741</v>
      </c>
      <c r="M20" s="1" t="s">
        <v>741</v>
      </c>
      <c r="N20" s="1" t="s">
        <v>741</v>
      </c>
      <c r="O20" s="1" t="s">
        <v>741</v>
      </c>
      <c r="P20" s="1" t="s">
        <v>741</v>
      </c>
      <c r="Q20" s="1" t="s">
        <v>741</v>
      </c>
      <c r="R20" s="1" t="s">
        <v>741</v>
      </c>
      <c r="S20" s="1" t="s">
        <v>741</v>
      </c>
      <c r="T20" s="1" t="s">
        <v>741</v>
      </c>
      <c r="U20" s="1" t="s">
        <v>741</v>
      </c>
      <c r="V20" s="1" t="s">
        <v>741</v>
      </c>
      <c r="W20" s="1" t="s">
        <v>741</v>
      </c>
      <c r="X20" s="1" t="s">
        <v>741</v>
      </c>
      <c r="Y20" s="1" t="s">
        <v>741</v>
      </c>
      <c r="Z20" s="1" t="s">
        <v>741</v>
      </c>
      <c r="AA20" s="1" t="s">
        <v>741</v>
      </c>
      <c r="AB20" s="1" t="s">
        <v>741</v>
      </c>
      <c r="AC20" s="1" t="s">
        <v>741</v>
      </c>
      <c r="AD20" s="1" t="s">
        <v>741</v>
      </c>
      <c r="AE20" s="1" t="s">
        <v>741</v>
      </c>
      <c r="AF20" s="1" t="s">
        <v>741</v>
      </c>
      <c r="AG20" s="1" t="s">
        <v>741</v>
      </c>
      <c r="AH20" s="1" t="s">
        <v>521</v>
      </c>
      <c r="AI20" s="1" t="s">
        <v>741</v>
      </c>
      <c r="AJ20">
        <v>10676173</v>
      </c>
      <c r="AK20" s="502">
        <v>43056.229202361101</v>
      </c>
    </row>
    <row r="21" spans="1:37">
      <c r="A21" s="1" t="s">
        <v>328</v>
      </c>
      <c r="B21" s="1" t="s">
        <v>742</v>
      </c>
      <c r="C21" s="1" t="s">
        <v>743</v>
      </c>
      <c r="D21" s="1" t="s">
        <v>743</v>
      </c>
      <c r="E21" s="1" t="s">
        <v>743</v>
      </c>
      <c r="F21" s="1" t="s">
        <v>743</v>
      </c>
      <c r="G21" s="1" t="s">
        <v>743</v>
      </c>
      <c r="H21" s="1" t="s">
        <v>743</v>
      </c>
      <c r="I21" s="1" t="s">
        <v>743</v>
      </c>
      <c r="J21" s="1" t="s">
        <v>743</v>
      </c>
      <c r="K21" s="1" t="s">
        <v>743</v>
      </c>
      <c r="L21" s="1" t="s">
        <v>743</v>
      </c>
      <c r="M21" s="1" t="s">
        <v>743</v>
      </c>
      <c r="N21" s="1" t="s">
        <v>744</v>
      </c>
      <c r="O21" s="1" t="s">
        <v>744</v>
      </c>
      <c r="P21" s="1" t="s">
        <v>744</v>
      </c>
      <c r="Q21" s="1" t="s">
        <v>744</v>
      </c>
      <c r="R21" s="1" t="s">
        <v>744</v>
      </c>
      <c r="S21" s="1" t="s">
        <v>744</v>
      </c>
      <c r="T21" s="1" t="s">
        <v>744</v>
      </c>
      <c r="U21" s="1" t="s">
        <v>745</v>
      </c>
      <c r="V21" s="1" t="s">
        <v>745</v>
      </c>
      <c r="W21" s="1" t="s">
        <v>745</v>
      </c>
      <c r="X21" s="1" t="s">
        <v>745</v>
      </c>
      <c r="Y21" s="1" t="s">
        <v>745</v>
      </c>
      <c r="Z21" s="1" t="s">
        <v>745</v>
      </c>
      <c r="AA21" s="1" t="s">
        <v>745</v>
      </c>
      <c r="AB21" s="1" t="s">
        <v>745</v>
      </c>
      <c r="AC21" s="1" t="s">
        <v>745</v>
      </c>
      <c r="AD21" s="1" t="s">
        <v>745</v>
      </c>
      <c r="AE21" s="1" t="s">
        <v>745</v>
      </c>
      <c r="AF21" s="1" t="s">
        <v>745</v>
      </c>
      <c r="AG21" s="1" t="s">
        <v>745</v>
      </c>
      <c r="AH21" s="1" t="s">
        <v>521</v>
      </c>
      <c r="AI21" s="1" t="s">
        <v>746</v>
      </c>
      <c r="AJ21">
        <v>10660622</v>
      </c>
      <c r="AK21" s="502">
        <v>43056.229202361101</v>
      </c>
    </row>
    <row r="22" spans="1:37">
      <c r="A22" s="1" t="s">
        <v>328</v>
      </c>
      <c r="B22" s="1" t="s">
        <v>747</v>
      </c>
      <c r="C22" s="1" t="s">
        <v>521</v>
      </c>
      <c r="D22" s="1" t="s">
        <v>521</v>
      </c>
      <c r="E22" s="1" t="s">
        <v>521</v>
      </c>
      <c r="F22" s="1" t="s">
        <v>521</v>
      </c>
      <c r="G22" s="1" t="s">
        <v>521</v>
      </c>
      <c r="H22" s="1" t="s">
        <v>521</v>
      </c>
      <c r="I22" s="1" t="s">
        <v>521</v>
      </c>
      <c r="J22" s="1" t="s">
        <v>521</v>
      </c>
      <c r="K22" s="1" t="s">
        <v>521</v>
      </c>
      <c r="L22" s="1" t="s">
        <v>521</v>
      </c>
      <c r="M22" s="1" t="s">
        <v>521</v>
      </c>
      <c r="N22" s="1" t="s">
        <v>521</v>
      </c>
      <c r="O22" s="1" t="s">
        <v>521</v>
      </c>
      <c r="P22" s="1" t="s">
        <v>521</v>
      </c>
      <c r="Q22" s="1" t="s">
        <v>521</v>
      </c>
      <c r="R22" s="1" t="s">
        <v>521</v>
      </c>
      <c r="S22" s="1" t="s">
        <v>521</v>
      </c>
      <c r="T22" s="1" t="s">
        <v>521</v>
      </c>
      <c r="U22" s="1" t="s">
        <v>521</v>
      </c>
      <c r="V22" s="1" t="s">
        <v>521</v>
      </c>
      <c r="W22" s="1" t="s">
        <v>521</v>
      </c>
      <c r="X22" s="1" t="s">
        <v>521</v>
      </c>
      <c r="Y22" s="1" t="s">
        <v>521</v>
      </c>
      <c r="Z22" s="1" t="s">
        <v>521</v>
      </c>
      <c r="AA22" s="1" t="s">
        <v>521</v>
      </c>
      <c r="AB22" s="1" t="s">
        <v>521</v>
      </c>
      <c r="AC22" s="1" t="s">
        <v>521</v>
      </c>
      <c r="AD22" s="1" t="s">
        <v>521</v>
      </c>
      <c r="AE22" s="1" t="s">
        <v>521</v>
      </c>
      <c r="AF22" s="1" t="s">
        <v>521</v>
      </c>
      <c r="AG22" s="1" t="s">
        <v>521</v>
      </c>
      <c r="AH22" s="1" t="s">
        <v>521</v>
      </c>
      <c r="AI22" s="1" t="s">
        <v>521</v>
      </c>
      <c r="AJ22">
        <v>473816</v>
      </c>
      <c r="AK22" s="502">
        <v>43056.229202361101</v>
      </c>
    </row>
    <row r="23" spans="1:37">
      <c r="A23" s="1" t="s">
        <v>328</v>
      </c>
      <c r="B23" s="501" t="s">
        <v>748</v>
      </c>
      <c r="C23" s="1" t="s">
        <v>521</v>
      </c>
      <c r="D23" s="1" t="s">
        <v>521</v>
      </c>
      <c r="E23" s="1" t="s">
        <v>521</v>
      </c>
      <c r="F23" s="1" t="s">
        <v>521</v>
      </c>
      <c r="G23" s="1" t="s">
        <v>521</v>
      </c>
      <c r="H23" s="1" t="s">
        <v>521</v>
      </c>
      <c r="I23" s="1" t="s">
        <v>521</v>
      </c>
      <c r="J23" s="1" t="s">
        <v>521</v>
      </c>
      <c r="K23" s="1" t="s">
        <v>521</v>
      </c>
      <c r="L23" s="1" t="s">
        <v>521</v>
      </c>
      <c r="M23" s="1" t="s">
        <v>521</v>
      </c>
      <c r="N23" s="1" t="s">
        <v>521</v>
      </c>
      <c r="O23" s="1" t="s">
        <v>521</v>
      </c>
      <c r="P23" s="1" t="s">
        <v>521</v>
      </c>
      <c r="Q23" s="1" t="s">
        <v>521</v>
      </c>
      <c r="R23" s="1" t="s">
        <v>521</v>
      </c>
      <c r="S23" s="1" t="s">
        <v>521</v>
      </c>
      <c r="T23" s="1" t="s">
        <v>521</v>
      </c>
      <c r="U23" s="1" t="s">
        <v>521</v>
      </c>
      <c r="V23" s="1" t="s">
        <v>521</v>
      </c>
      <c r="W23" s="1" t="s">
        <v>521</v>
      </c>
      <c r="X23" s="1" t="s">
        <v>521</v>
      </c>
      <c r="Y23" s="1" t="s">
        <v>521</v>
      </c>
      <c r="Z23" s="1" t="s">
        <v>521</v>
      </c>
      <c r="AA23" s="1" t="s">
        <v>521</v>
      </c>
      <c r="AB23" s="1" t="s">
        <v>521</v>
      </c>
      <c r="AC23" s="1" t="s">
        <v>521</v>
      </c>
      <c r="AD23" s="1" t="s">
        <v>521</v>
      </c>
      <c r="AE23" s="1" t="s">
        <v>521</v>
      </c>
      <c r="AF23" s="1" t="s">
        <v>521</v>
      </c>
      <c r="AG23" s="1" t="s">
        <v>521</v>
      </c>
      <c r="AH23" s="1" t="s">
        <v>521</v>
      </c>
      <c r="AI23" s="1" t="s">
        <v>521</v>
      </c>
      <c r="AJ23">
        <v>732707</v>
      </c>
      <c r="AK23" s="502">
        <v>43056.229202361101</v>
      </c>
    </row>
    <row r="24" spans="1:37">
      <c r="A24" s="1" t="s">
        <v>328</v>
      </c>
      <c r="B24" s="501" t="s">
        <v>749</v>
      </c>
      <c r="C24" s="1" t="s">
        <v>750</v>
      </c>
      <c r="D24" s="1" t="s">
        <v>750</v>
      </c>
      <c r="E24" s="1" t="s">
        <v>751</v>
      </c>
      <c r="F24" s="1" t="s">
        <v>752</v>
      </c>
      <c r="G24" s="1" t="s">
        <v>753</v>
      </c>
      <c r="H24" s="1" t="s">
        <v>754</v>
      </c>
      <c r="I24" s="1" t="s">
        <v>755</v>
      </c>
      <c r="J24" s="1" t="s">
        <v>756</v>
      </c>
      <c r="K24" s="1" t="s">
        <v>756</v>
      </c>
      <c r="L24" s="1" t="s">
        <v>757</v>
      </c>
      <c r="M24" s="1" t="s">
        <v>758</v>
      </c>
      <c r="N24" s="1" t="s">
        <v>759</v>
      </c>
      <c r="O24" s="1" t="s">
        <v>760</v>
      </c>
      <c r="P24" s="1" t="s">
        <v>761</v>
      </c>
      <c r="Q24" s="1" t="s">
        <v>762</v>
      </c>
      <c r="R24" s="1" t="s">
        <v>762</v>
      </c>
      <c r="S24" s="1" t="s">
        <v>763</v>
      </c>
      <c r="T24" s="1" t="s">
        <v>764</v>
      </c>
      <c r="U24" s="1" t="s">
        <v>765</v>
      </c>
      <c r="V24" s="1" t="s">
        <v>766</v>
      </c>
      <c r="W24" s="1" t="s">
        <v>767</v>
      </c>
      <c r="X24" s="1" t="s">
        <v>768</v>
      </c>
      <c r="Y24" s="1" t="s">
        <v>768</v>
      </c>
      <c r="Z24" s="1" t="s">
        <v>769</v>
      </c>
      <c r="AA24" s="1" t="s">
        <v>770</v>
      </c>
      <c r="AB24" s="1" t="s">
        <v>771</v>
      </c>
      <c r="AC24" s="1" t="s">
        <v>772</v>
      </c>
      <c r="AD24" s="1" t="s">
        <v>773</v>
      </c>
      <c r="AE24" s="1" t="s">
        <v>774</v>
      </c>
      <c r="AF24" s="1" t="s">
        <v>774</v>
      </c>
      <c r="AG24" s="1" t="s">
        <v>775</v>
      </c>
      <c r="AH24" s="1" t="s">
        <v>776</v>
      </c>
      <c r="AI24" s="1" t="s">
        <v>777</v>
      </c>
      <c r="AJ24">
        <v>884880</v>
      </c>
      <c r="AK24" s="502">
        <v>43056.229202361101</v>
      </c>
    </row>
    <row r="25" spans="1:37">
      <c r="A25" s="1" t="s">
        <v>328</v>
      </c>
      <c r="B25" s="501" t="s">
        <v>778</v>
      </c>
      <c r="C25" s="1" t="s">
        <v>779</v>
      </c>
      <c r="D25" s="1" t="s">
        <v>779</v>
      </c>
      <c r="E25" s="1" t="s">
        <v>780</v>
      </c>
      <c r="F25" s="1" t="s">
        <v>781</v>
      </c>
      <c r="G25" s="1" t="s">
        <v>782</v>
      </c>
      <c r="H25" s="1" t="s">
        <v>783</v>
      </c>
      <c r="I25" s="1" t="s">
        <v>784</v>
      </c>
      <c r="J25" s="1" t="s">
        <v>785</v>
      </c>
      <c r="K25" s="1" t="s">
        <v>785</v>
      </c>
      <c r="L25" s="1" t="s">
        <v>786</v>
      </c>
      <c r="M25" s="1" t="s">
        <v>787</v>
      </c>
      <c r="N25" s="1" t="s">
        <v>788</v>
      </c>
      <c r="O25" s="1" t="s">
        <v>789</v>
      </c>
      <c r="P25" s="1" t="s">
        <v>790</v>
      </c>
      <c r="Q25" s="1" t="s">
        <v>791</v>
      </c>
      <c r="R25" s="1" t="s">
        <v>791</v>
      </c>
      <c r="S25" s="1" t="s">
        <v>792</v>
      </c>
      <c r="T25" s="1" t="s">
        <v>793</v>
      </c>
      <c r="U25" s="1" t="s">
        <v>794</v>
      </c>
      <c r="V25" s="1" t="s">
        <v>795</v>
      </c>
      <c r="W25" s="1" t="s">
        <v>796</v>
      </c>
      <c r="X25" s="1" t="s">
        <v>797</v>
      </c>
      <c r="Y25" s="1" t="s">
        <v>797</v>
      </c>
      <c r="Z25" s="1" t="s">
        <v>798</v>
      </c>
      <c r="AA25" s="1" t="s">
        <v>799</v>
      </c>
      <c r="AB25" s="1" t="s">
        <v>800</v>
      </c>
      <c r="AC25" s="1" t="s">
        <v>801</v>
      </c>
      <c r="AD25" s="1" t="s">
        <v>802</v>
      </c>
      <c r="AE25" s="1" t="s">
        <v>803</v>
      </c>
      <c r="AF25" s="1" t="s">
        <v>803</v>
      </c>
      <c r="AG25" s="1" t="s">
        <v>804</v>
      </c>
      <c r="AH25" s="1" t="s">
        <v>805</v>
      </c>
      <c r="AI25" s="1" t="s">
        <v>806</v>
      </c>
      <c r="AJ25">
        <v>0</v>
      </c>
      <c r="AK25" s="502">
        <v>43056.229202361101</v>
      </c>
    </row>
    <row r="26" spans="1:37">
      <c r="A26" s="1"/>
      <c r="B26" s="5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2">
        <v>43056.229202361101</v>
      </c>
    </row>
    <row r="27" spans="1:37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2">
        <v>43056.229202361101</v>
      </c>
    </row>
    <row r="28" spans="1:37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2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807</v>
      </c>
    </row>
    <row r="2" spans="1:35">
      <c r="A2" s="1" t="s">
        <v>328</v>
      </c>
      <c r="B2" s="285" t="s">
        <v>364</v>
      </c>
      <c r="C2" s="1" t="s">
        <v>808</v>
      </c>
      <c r="D2" s="1" t="s">
        <v>809</v>
      </c>
      <c r="E2" s="1" t="s">
        <v>810</v>
      </c>
      <c r="F2" s="1" t="s">
        <v>811</v>
      </c>
      <c r="G2" s="1" t="s">
        <v>812</v>
      </c>
      <c r="H2" s="1" t="s">
        <v>808</v>
      </c>
      <c r="I2" s="1" t="s">
        <v>808</v>
      </c>
      <c r="J2" s="1" t="s">
        <v>813</v>
      </c>
      <c r="K2" s="1" t="s">
        <v>809</v>
      </c>
      <c r="L2" s="1" t="s">
        <v>810</v>
      </c>
      <c r="M2" s="1" t="s">
        <v>810</v>
      </c>
      <c r="N2" s="1" t="s">
        <v>808</v>
      </c>
      <c r="O2" s="1" t="s">
        <v>812</v>
      </c>
      <c r="P2" s="1" t="s">
        <v>814</v>
      </c>
      <c r="Q2" s="1" t="s">
        <v>810</v>
      </c>
      <c r="R2" s="1" t="s">
        <v>809</v>
      </c>
      <c r="S2" s="1" t="s">
        <v>808</v>
      </c>
      <c r="T2" s="1" t="s">
        <v>811</v>
      </c>
      <c r="U2" s="1" t="s">
        <v>811</v>
      </c>
      <c r="V2" s="1" t="s">
        <v>815</v>
      </c>
      <c r="W2" s="1" t="s">
        <v>811</v>
      </c>
      <c r="X2" s="1" t="s">
        <v>814</v>
      </c>
      <c r="Y2" s="1" t="s">
        <v>809</v>
      </c>
      <c r="Z2" s="1" t="s">
        <v>816</v>
      </c>
      <c r="AA2" s="1" t="s">
        <v>814</v>
      </c>
      <c r="AB2" s="1" t="s">
        <v>812</v>
      </c>
      <c r="AC2" s="1" t="s">
        <v>811</v>
      </c>
      <c r="AD2" s="1" t="s">
        <v>808</v>
      </c>
      <c r="AE2" s="1" t="s">
        <v>817</v>
      </c>
      <c r="AF2" s="1" t="s">
        <v>809</v>
      </c>
      <c r="AG2" s="1" t="s">
        <v>818</v>
      </c>
      <c r="AH2" s="1" t="s">
        <v>811</v>
      </c>
      <c r="AI2" s="502">
        <v>44412.229194178202</v>
      </c>
    </row>
    <row r="3" spans="1:35">
      <c r="A3" s="1" t="s">
        <v>328</v>
      </c>
      <c r="B3" s="285" t="s">
        <v>398</v>
      </c>
      <c r="C3" s="1" t="s">
        <v>819</v>
      </c>
      <c r="D3" s="1" t="s">
        <v>809</v>
      </c>
      <c r="E3" s="1" t="s">
        <v>815</v>
      </c>
      <c r="F3" s="1" t="s">
        <v>820</v>
      </c>
      <c r="G3" s="1" t="s">
        <v>821</v>
      </c>
      <c r="H3" s="1" t="s">
        <v>811</v>
      </c>
      <c r="I3" s="1" t="s">
        <v>820</v>
      </c>
      <c r="J3" s="1" t="s">
        <v>815</v>
      </c>
      <c r="K3" s="1" t="s">
        <v>809</v>
      </c>
      <c r="L3" s="1" t="s">
        <v>822</v>
      </c>
      <c r="M3" s="1" t="s">
        <v>811</v>
      </c>
      <c r="N3" s="1" t="s">
        <v>814</v>
      </c>
      <c r="O3" s="1" t="s">
        <v>823</v>
      </c>
      <c r="P3" s="1" t="s">
        <v>824</v>
      </c>
      <c r="Q3" s="1" t="s">
        <v>816</v>
      </c>
      <c r="R3" s="1" t="s">
        <v>809</v>
      </c>
      <c r="S3" s="1" t="s">
        <v>817</v>
      </c>
      <c r="T3" s="1" t="s">
        <v>817</v>
      </c>
      <c r="U3" s="1" t="s">
        <v>814</v>
      </c>
      <c r="V3" s="1" t="s">
        <v>811</v>
      </c>
      <c r="W3" s="1" t="s">
        <v>812</v>
      </c>
      <c r="X3" s="1" t="s">
        <v>814</v>
      </c>
      <c r="Y3" s="1" t="s">
        <v>809</v>
      </c>
      <c r="Z3" s="1" t="s">
        <v>810</v>
      </c>
      <c r="AA3" s="1" t="s">
        <v>812</v>
      </c>
      <c r="AB3" s="1" t="s">
        <v>825</v>
      </c>
      <c r="AC3" s="1" t="s">
        <v>817</v>
      </c>
      <c r="AD3" s="1" t="s">
        <v>811</v>
      </c>
      <c r="AE3" s="1" t="s">
        <v>816</v>
      </c>
      <c r="AF3" s="1" t="s">
        <v>809</v>
      </c>
      <c r="AG3" s="1" t="s">
        <v>816</v>
      </c>
      <c r="AH3" s="1" t="s">
        <v>808</v>
      </c>
      <c r="AI3" s="502">
        <v>44412.229194178202</v>
      </c>
    </row>
    <row r="4" spans="1:35">
      <c r="A4" s="1" t="s">
        <v>328</v>
      </c>
      <c r="B4" s="285" t="s">
        <v>428</v>
      </c>
      <c r="C4" s="1" t="s">
        <v>826</v>
      </c>
      <c r="D4" s="1" t="s">
        <v>809</v>
      </c>
      <c r="E4" s="1" t="s">
        <v>827</v>
      </c>
      <c r="F4" s="1" t="s">
        <v>826</v>
      </c>
      <c r="G4" s="1" t="s">
        <v>826</v>
      </c>
      <c r="H4" s="1" t="s">
        <v>826</v>
      </c>
      <c r="I4" s="1" t="s">
        <v>826</v>
      </c>
      <c r="J4" s="1" t="s">
        <v>826</v>
      </c>
      <c r="K4" s="1" t="s">
        <v>809</v>
      </c>
      <c r="L4" s="1" t="s">
        <v>826</v>
      </c>
      <c r="M4" s="1" t="s">
        <v>826</v>
      </c>
      <c r="N4" s="1" t="s">
        <v>826</v>
      </c>
      <c r="O4" s="1" t="s">
        <v>826</v>
      </c>
      <c r="P4" s="1" t="s">
        <v>826</v>
      </c>
      <c r="Q4" s="1" t="s">
        <v>826</v>
      </c>
      <c r="R4" s="1" t="s">
        <v>809</v>
      </c>
      <c r="S4" s="1" t="s">
        <v>826</v>
      </c>
      <c r="T4" s="1" t="s">
        <v>826</v>
      </c>
      <c r="U4" s="1" t="s">
        <v>828</v>
      </c>
      <c r="V4" s="1" t="s">
        <v>826</v>
      </c>
      <c r="W4" s="1" t="s">
        <v>826</v>
      </c>
      <c r="X4" s="1" t="s">
        <v>826</v>
      </c>
      <c r="Y4" s="1" t="s">
        <v>809</v>
      </c>
      <c r="Z4" s="1" t="s">
        <v>826</v>
      </c>
      <c r="AA4" s="1" t="s">
        <v>826</v>
      </c>
      <c r="AB4" s="1" t="s">
        <v>826</v>
      </c>
      <c r="AC4" s="1" t="s">
        <v>826</v>
      </c>
      <c r="AD4" s="1" t="s">
        <v>826</v>
      </c>
      <c r="AE4" s="1" t="s">
        <v>826</v>
      </c>
      <c r="AF4" s="1" t="s">
        <v>809</v>
      </c>
      <c r="AG4" s="1" t="s">
        <v>826</v>
      </c>
      <c r="AH4" s="1" t="s">
        <v>826</v>
      </c>
      <c r="AI4" s="502">
        <v>44412.229194178202</v>
      </c>
    </row>
    <row r="5" spans="1:35">
      <c r="A5" s="1" t="s">
        <v>328</v>
      </c>
      <c r="B5" s="285" t="s">
        <v>457</v>
      </c>
      <c r="C5" s="1" t="s">
        <v>826</v>
      </c>
      <c r="D5" s="1" t="s">
        <v>809</v>
      </c>
      <c r="E5" s="1" t="s">
        <v>826</v>
      </c>
      <c r="F5" s="1" t="s">
        <v>826</v>
      </c>
      <c r="G5" s="1" t="s">
        <v>829</v>
      </c>
      <c r="H5" s="1" t="s">
        <v>826</v>
      </c>
      <c r="I5" s="1" t="s">
        <v>826</v>
      </c>
      <c r="J5" s="1" t="s">
        <v>830</v>
      </c>
      <c r="K5" s="1" t="s">
        <v>809</v>
      </c>
      <c r="L5" s="1" t="s">
        <v>810</v>
      </c>
      <c r="M5" s="1" t="s">
        <v>826</v>
      </c>
      <c r="N5" s="1" t="s">
        <v>826</v>
      </c>
      <c r="O5" s="1" t="s">
        <v>831</v>
      </c>
      <c r="P5" s="1" t="s">
        <v>832</v>
      </c>
      <c r="Q5" s="1" t="s">
        <v>826</v>
      </c>
      <c r="R5" s="1" t="s">
        <v>809</v>
      </c>
      <c r="S5" s="1" t="s">
        <v>833</v>
      </c>
      <c r="T5" s="1" t="s">
        <v>826</v>
      </c>
      <c r="U5" s="1" t="s">
        <v>826</v>
      </c>
      <c r="V5" s="1" t="s">
        <v>826</v>
      </c>
      <c r="W5" s="1" t="s">
        <v>832</v>
      </c>
      <c r="X5" s="1" t="s">
        <v>826</v>
      </c>
      <c r="Y5" s="1" t="s">
        <v>809</v>
      </c>
      <c r="Z5" s="1" t="s">
        <v>826</v>
      </c>
      <c r="AA5" s="1" t="s">
        <v>831</v>
      </c>
      <c r="AB5" s="1" t="s">
        <v>834</v>
      </c>
      <c r="AC5" s="1" t="s">
        <v>808</v>
      </c>
      <c r="AD5" s="1" t="s">
        <v>826</v>
      </c>
      <c r="AE5" s="1" t="s">
        <v>826</v>
      </c>
      <c r="AF5" s="1" t="s">
        <v>809</v>
      </c>
      <c r="AG5" s="1" t="s">
        <v>831</v>
      </c>
      <c r="AH5" s="1" t="s">
        <v>820</v>
      </c>
      <c r="AI5" s="502">
        <v>44412.229194178202</v>
      </c>
    </row>
    <row r="6" spans="1:35">
      <c r="A6" s="1" t="s">
        <v>328</v>
      </c>
      <c r="B6" s="285" t="s">
        <v>486</v>
      </c>
      <c r="C6" s="1" t="s">
        <v>826</v>
      </c>
      <c r="D6" s="1" t="s">
        <v>809</v>
      </c>
      <c r="E6" s="1" t="s">
        <v>827</v>
      </c>
      <c r="F6" s="1" t="s">
        <v>835</v>
      </c>
      <c r="G6" s="1" t="s">
        <v>828</v>
      </c>
      <c r="H6" s="1" t="s">
        <v>836</v>
      </c>
      <c r="I6" s="1" t="s">
        <v>828</v>
      </c>
      <c r="J6" s="1" t="s">
        <v>837</v>
      </c>
      <c r="K6" s="1" t="s">
        <v>809</v>
      </c>
      <c r="L6" s="1" t="s">
        <v>837</v>
      </c>
      <c r="M6" s="1" t="s">
        <v>838</v>
      </c>
      <c r="N6" s="1" t="s">
        <v>835</v>
      </c>
      <c r="O6" s="1" t="s">
        <v>837</v>
      </c>
      <c r="P6" s="1" t="s">
        <v>835</v>
      </c>
      <c r="Q6" s="1" t="s">
        <v>835</v>
      </c>
      <c r="R6" s="1" t="s">
        <v>809</v>
      </c>
      <c r="S6" s="1" t="s">
        <v>814</v>
      </c>
      <c r="T6" s="1" t="s">
        <v>836</v>
      </c>
      <c r="U6" s="1" t="s">
        <v>838</v>
      </c>
      <c r="V6" s="1" t="s">
        <v>828</v>
      </c>
      <c r="W6" s="1" t="s">
        <v>827</v>
      </c>
      <c r="X6" s="1" t="s">
        <v>837</v>
      </c>
      <c r="Y6" s="1" t="s">
        <v>809</v>
      </c>
      <c r="Z6" s="1" t="s">
        <v>825</v>
      </c>
      <c r="AA6" s="1" t="s">
        <v>828</v>
      </c>
      <c r="AB6" s="1" t="s">
        <v>838</v>
      </c>
      <c r="AC6" s="1" t="s">
        <v>839</v>
      </c>
      <c r="AD6" s="1" t="s">
        <v>836</v>
      </c>
      <c r="AE6" s="1" t="s">
        <v>836</v>
      </c>
      <c r="AF6" s="1" t="s">
        <v>809</v>
      </c>
      <c r="AG6" s="1" t="s">
        <v>828</v>
      </c>
      <c r="AH6" s="1" t="s">
        <v>828</v>
      </c>
      <c r="AI6" s="502">
        <v>44412.229194178202</v>
      </c>
    </row>
    <row r="7" spans="1:35">
      <c r="A7" s="1" t="s">
        <v>328</v>
      </c>
      <c r="B7" s="285" t="s">
        <v>520</v>
      </c>
      <c r="C7" s="1" t="s">
        <v>809</v>
      </c>
      <c r="D7" s="1" t="s">
        <v>809</v>
      </c>
      <c r="E7" s="1" t="s">
        <v>809</v>
      </c>
      <c r="F7" s="1" t="s">
        <v>809</v>
      </c>
      <c r="G7" s="1" t="s">
        <v>809</v>
      </c>
      <c r="H7" s="1" t="s">
        <v>809</v>
      </c>
      <c r="I7" s="1" t="s">
        <v>809</v>
      </c>
      <c r="J7" s="1" t="s">
        <v>809</v>
      </c>
      <c r="K7" s="1" t="s">
        <v>809</v>
      </c>
      <c r="L7" s="1" t="s">
        <v>809</v>
      </c>
      <c r="M7" s="1" t="s">
        <v>809</v>
      </c>
      <c r="N7" s="1" t="s">
        <v>809</v>
      </c>
      <c r="O7" s="1" t="s">
        <v>809</v>
      </c>
      <c r="P7" s="1" t="s">
        <v>809</v>
      </c>
      <c r="Q7" s="1" t="s">
        <v>809</v>
      </c>
      <c r="R7" s="1" t="s">
        <v>809</v>
      </c>
      <c r="S7" s="1" t="s">
        <v>809</v>
      </c>
      <c r="T7" s="1" t="s">
        <v>809</v>
      </c>
      <c r="U7" s="1" t="s">
        <v>809</v>
      </c>
      <c r="V7" s="1" t="s">
        <v>809</v>
      </c>
      <c r="W7" s="1" t="s">
        <v>809</v>
      </c>
      <c r="X7" s="1" t="s">
        <v>809</v>
      </c>
      <c r="Y7" s="1" t="s">
        <v>809</v>
      </c>
      <c r="Z7" s="1" t="s">
        <v>809</v>
      </c>
      <c r="AA7" s="1" t="s">
        <v>809</v>
      </c>
      <c r="AB7" s="1" t="s">
        <v>809</v>
      </c>
      <c r="AC7" s="1" t="s">
        <v>809</v>
      </c>
      <c r="AD7" s="1" t="s">
        <v>809</v>
      </c>
      <c r="AE7" s="1" t="s">
        <v>809</v>
      </c>
      <c r="AF7" s="1" t="s">
        <v>809</v>
      </c>
      <c r="AG7" s="1" t="s">
        <v>809</v>
      </c>
      <c r="AH7" s="1" t="s">
        <v>809</v>
      </c>
      <c r="AI7" s="502">
        <v>44412.229194178202</v>
      </c>
    </row>
    <row r="8" spans="1:35">
      <c r="A8" s="1" t="s">
        <v>328</v>
      </c>
      <c r="B8" s="285" t="s">
        <v>522</v>
      </c>
      <c r="C8" s="1" t="s">
        <v>828</v>
      </c>
      <c r="D8" s="1" t="s">
        <v>809</v>
      </c>
      <c r="E8" s="1" t="s">
        <v>837</v>
      </c>
      <c r="F8" s="1" t="s">
        <v>816</v>
      </c>
      <c r="G8" s="1" t="s">
        <v>825</v>
      </c>
      <c r="H8" s="1" t="s">
        <v>837</v>
      </c>
      <c r="I8" s="1" t="s">
        <v>839</v>
      </c>
      <c r="J8" s="1" t="s">
        <v>822</v>
      </c>
      <c r="K8" s="1" t="s">
        <v>809</v>
      </c>
      <c r="L8" s="1" t="s">
        <v>822</v>
      </c>
      <c r="M8" s="1" t="s">
        <v>840</v>
      </c>
      <c r="N8" s="1" t="s">
        <v>828</v>
      </c>
      <c r="O8" s="1" t="s">
        <v>837</v>
      </c>
      <c r="P8" s="1" t="s">
        <v>841</v>
      </c>
      <c r="Q8" s="1" t="s">
        <v>842</v>
      </c>
      <c r="R8" s="1" t="s">
        <v>809</v>
      </c>
      <c r="S8" s="1" t="s">
        <v>817</v>
      </c>
      <c r="T8" s="1" t="s">
        <v>810</v>
      </c>
      <c r="U8" s="1" t="s">
        <v>843</v>
      </c>
      <c r="V8" s="1" t="s">
        <v>826</v>
      </c>
      <c r="W8" s="1" t="s">
        <v>837</v>
      </c>
      <c r="X8" s="1" t="s">
        <v>837</v>
      </c>
      <c r="Y8" s="1" t="s">
        <v>809</v>
      </c>
      <c r="Z8" s="1" t="s">
        <v>818</v>
      </c>
      <c r="AA8" s="1" t="s">
        <v>839</v>
      </c>
      <c r="AB8" s="1" t="s">
        <v>837</v>
      </c>
      <c r="AC8" s="1" t="s">
        <v>836</v>
      </c>
      <c r="AD8" s="1" t="s">
        <v>817</v>
      </c>
      <c r="AE8" s="1" t="s">
        <v>837</v>
      </c>
      <c r="AF8" s="1" t="s">
        <v>809</v>
      </c>
      <c r="AG8" s="1" t="s">
        <v>825</v>
      </c>
      <c r="AH8" s="1" t="s">
        <v>814</v>
      </c>
      <c r="AI8" s="502">
        <v>44412.229194178202</v>
      </c>
    </row>
    <row r="9" spans="1:35">
      <c r="A9" s="1" t="s">
        <v>328</v>
      </c>
      <c r="B9" s="285" t="s">
        <v>844</v>
      </c>
      <c r="C9" s="1" t="s">
        <v>826</v>
      </c>
      <c r="D9" s="1" t="s">
        <v>809</v>
      </c>
      <c r="E9" s="1" t="s">
        <v>826</v>
      </c>
      <c r="F9" s="1" t="s">
        <v>834</v>
      </c>
      <c r="G9" s="1" t="s">
        <v>826</v>
      </c>
      <c r="H9" s="1" t="s">
        <v>832</v>
      </c>
      <c r="I9" s="1" t="s">
        <v>832</v>
      </c>
      <c r="J9" s="1" t="s">
        <v>826</v>
      </c>
      <c r="K9" s="1" t="s">
        <v>809</v>
      </c>
      <c r="L9" s="1" t="s">
        <v>845</v>
      </c>
      <c r="M9" s="1" t="s">
        <v>846</v>
      </c>
      <c r="N9" s="1" t="s">
        <v>832</v>
      </c>
      <c r="O9" s="1" t="s">
        <v>847</v>
      </c>
      <c r="P9" s="1" t="s">
        <v>834</v>
      </c>
      <c r="Q9" s="1" t="s">
        <v>826</v>
      </c>
      <c r="R9" s="1" t="s">
        <v>809</v>
      </c>
      <c r="S9" s="1" t="s">
        <v>826</v>
      </c>
      <c r="T9" s="1" t="s">
        <v>831</v>
      </c>
      <c r="U9" s="1" t="s">
        <v>848</v>
      </c>
      <c r="V9" s="1" t="s">
        <v>826</v>
      </c>
      <c r="W9" s="1" t="s">
        <v>829</v>
      </c>
      <c r="X9" s="1" t="s">
        <v>826</v>
      </c>
      <c r="Y9" s="1" t="s">
        <v>809</v>
      </c>
      <c r="Z9" s="1" t="s">
        <v>849</v>
      </c>
      <c r="AA9" s="1" t="s">
        <v>850</v>
      </c>
      <c r="AB9" s="1" t="s">
        <v>851</v>
      </c>
      <c r="AC9" s="1" t="s">
        <v>851</v>
      </c>
      <c r="AD9" s="1" t="s">
        <v>826</v>
      </c>
      <c r="AE9" s="1" t="s">
        <v>826</v>
      </c>
      <c r="AF9" s="1" t="s">
        <v>809</v>
      </c>
      <c r="AG9" s="1" t="s">
        <v>826</v>
      </c>
      <c r="AH9" s="1" t="s">
        <v>852</v>
      </c>
      <c r="AI9" s="502">
        <v>44412.229194178202</v>
      </c>
    </row>
    <row r="10" spans="1:35">
      <c r="A10" s="1" t="s">
        <v>328</v>
      </c>
      <c r="B10" s="285" t="s">
        <v>853</v>
      </c>
      <c r="C10" s="1" t="s">
        <v>817</v>
      </c>
      <c r="D10" s="1" t="s">
        <v>809</v>
      </c>
      <c r="E10" s="1" t="s">
        <v>812</v>
      </c>
      <c r="F10" s="1" t="s">
        <v>811</v>
      </c>
      <c r="G10" s="1" t="s">
        <v>808</v>
      </c>
      <c r="H10" s="1" t="s">
        <v>811</v>
      </c>
      <c r="I10" s="1" t="s">
        <v>811</v>
      </c>
      <c r="J10" s="1" t="s">
        <v>810</v>
      </c>
      <c r="K10" s="1" t="s">
        <v>809</v>
      </c>
      <c r="L10" s="1" t="s">
        <v>812</v>
      </c>
      <c r="M10" s="1" t="s">
        <v>813</v>
      </c>
      <c r="N10" s="1" t="s">
        <v>808</v>
      </c>
      <c r="O10" s="1" t="s">
        <v>812</v>
      </c>
      <c r="P10" s="1" t="s">
        <v>816</v>
      </c>
      <c r="Q10" s="1" t="s">
        <v>810</v>
      </c>
      <c r="R10" s="1" t="s">
        <v>809</v>
      </c>
      <c r="S10" s="1" t="s">
        <v>808</v>
      </c>
      <c r="T10" s="1" t="s">
        <v>811</v>
      </c>
      <c r="U10" s="1" t="s">
        <v>808</v>
      </c>
      <c r="V10" s="1" t="s">
        <v>812</v>
      </c>
      <c r="W10" s="1" t="s">
        <v>816</v>
      </c>
      <c r="X10" s="1" t="s">
        <v>814</v>
      </c>
      <c r="Y10" s="1" t="s">
        <v>809</v>
      </c>
      <c r="Z10" s="1" t="s">
        <v>817</v>
      </c>
      <c r="AA10" s="1" t="s">
        <v>817</v>
      </c>
      <c r="AB10" s="1" t="s">
        <v>811</v>
      </c>
      <c r="AC10" s="1" t="s">
        <v>811</v>
      </c>
      <c r="AD10" s="1" t="s">
        <v>811</v>
      </c>
      <c r="AE10" s="1" t="s">
        <v>814</v>
      </c>
      <c r="AF10" s="1" t="s">
        <v>809</v>
      </c>
      <c r="AG10" s="1" t="s">
        <v>818</v>
      </c>
      <c r="AH10" s="1" t="s">
        <v>811</v>
      </c>
      <c r="AI10" s="502">
        <v>44412.229194178202</v>
      </c>
    </row>
    <row r="11" spans="1:35">
      <c r="A11" s="1" t="s">
        <v>328</v>
      </c>
      <c r="B11" s="285" t="s">
        <v>854</v>
      </c>
      <c r="C11" s="1" t="s">
        <v>826</v>
      </c>
      <c r="D11" s="1" t="s">
        <v>809</v>
      </c>
      <c r="E11" s="1" t="s">
        <v>826</v>
      </c>
      <c r="F11" s="1" t="s">
        <v>826</v>
      </c>
      <c r="G11" s="1" t="s">
        <v>826</v>
      </c>
      <c r="H11" s="1" t="s">
        <v>826</v>
      </c>
      <c r="I11" s="1" t="s">
        <v>826</v>
      </c>
      <c r="J11" s="1" t="s">
        <v>826</v>
      </c>
      <c r="K11" s="1" t="s">
        <v>809</v>
      </c>
      <c r="L11" s="1" t="s">
        <v>826</v>
      </c>
      <c r="M11" s="1" t="s">
        <v>826</v>
      </c>
      <c r="N11" s="1" t="s">
        <v>826</v>
      </c>
      <c r="O11" s="1" t="s">
        <v>826</v>
      </c>
      <c r="P11" s="1" t="s">
        <v>826</v>
      </c>
      <c r="Q11" s="1" t="s">
        <v>826</v>
      </c>
      <c r="R11" s="1" t="s">
        <v>809</v>
      </c>
      <c r="S11" s="1" t="s">
        <v>826</v>
      </c>
      <c r="T11" s="1" t="s">
        <v>826</v>
      </c>
      <c r="U11" s="1" t="s">
        <v>826</v>
      </c>
      <c r="V11" s="1" t="s">
        <v>826</v>
      </c>
      <c r="W11" s="1" t="s">
        <v>826</v>
      </c>
      <c r="X11" s="1" t="s">
        <v>826</v>
      </c>
      <c r="Y11" s="1" t="s">
        <v>809</v>
      </c>
      <c r="Z11" s="1" t="s">
        <v>826</v>
      </c>
      <c r="AA11" s="1" t="s">
        <v>826</v>
      </c>
      <c r="AB11" s="1" t="s">
        <v>826</v>
      </c>
      <c r="AC11" s="1" t="s">
        <v>826</v>
      </c>
      <c r="AD11" s="1" t="s">
        <v>826</v>
      </c>
      <c r="AE11" s="1" t="s">
        <v>826</v>
      </c>
      <c r="AF11" s="1" t="s">
        <v>809</v>
      </c>
      <c r="AG11" s="1" t="s">
        <v>826</v>
      </c>
      <c r="AH11" s="1" t="s">
        <v>826</v>
      </c>
      <c r="AI11" s="502">
        <v>44412.229194178202</v>
      </c>
    </row>
    <row r="12" spans="1:35">
      <c r="A12" s="1" t="s">
        <v>328</v>
      </c>
      <c r="B12" s="285" t="s">
        <v>855</v>
      </c>
      <c r="C12" s="1" t="s">
        <v>826</v>
      </c>
      <c r="D12" s="1" t="s">
        <v>809</v>
      </c>
      <c r="E12" s="1" t="s">
        <v>831</v>
      </c>
      <c r="F12" s="1" t="s">
        <v>847</v>
      </c>
      <c r="G12" s="1" t="s">
        <v>856</v>
      </c>
      <c r="H12" s="1" t="s">
        <v>826</v>
      </c>
      <c r="I12" s="1" t="s">
        <v>857</v>
      </c>
      <c r="J12" s="1" t="s">
        <v>858</v>
      </c>
      <c r="K12" s="1" t="s">
        <v>809</v>
      </c>
      <c r="L12" s="1" t="s">
        <v>826</v>
      </c>
      <c r="M12" s="1" t="s">
        <v>822</v>
      </c>
      <c r="N12" s="1" t="s">
        <v>859</v>
      </c>
      <c r="O12" s="1" t="s">
        <v>860</v>
      </c>
      <c r="P12" s="1" t="s">
        <v>826</v>
      </c>
      <c r="Q12" s="1" t="s">
        <v>826</v>
      </c>
      <c r="R12" s="1" t="s">
        <v>809</v>
      </c>
      <c r="S12" s="1" t="s">
        <v>861</v>
      </c>
      <c r="T12" s="1" t="s">
        <v>862</v>
      </c>
      <c r="U12" s="1" t="s">
        <v>826</v>
      </c>
      <c r="V12" s="1" t="s">
        <v>863</v>
      </c>
      <c r="W12" s="1" t="s">
        <v>864</v>
      </c>
      <c r="X12" s="1" t="s">
        <v>826</v>
      </c>
      <c r="Y12" s="1" t="s">
        <v>809</v>
      </c>
      <c r="Z12" s="1" t="s">
        <v>847</v>
      </c>
      <c r="AA12" s="1" t="s">
        <v>843</v>
      </c>
      <c r="AB12" s="1" t="s">
        <v>865</v>
      </c>
      <c r="AC12" s="1" t="s">
        <v>826</v>
      </c>
      <c r="AD12" s="1" t="s">
        <v>826</v>
      </c>
      <c r="AE12" s="1" t="s">
        <v>826</v>
      </c>
      <c r="AF12" s="1" t="s">
        <v>809</v>
      </c>
      <c r="AG12" s="1" t="s">
        <v>851</v>
      </c>
      <c r="AH12" s="1" t="s">
        <v>866</v>
      </c>
      <c r="AI12" s="502">
        <v>44412.229194178202</v>
      </c>
    </row>
    <row r="13" spans="1:35">
      <c r="A13" s="1" t="s">
        <v>328</v>
      </c>
      <c r="B13" s="285" t="s">
        <v>867</v>
      </c>
      <c r="C13" s="1" t="s">
        <v>858</v>
      </c>
      <c r="D13" s="1" t="s">
        <v>809</v>
      </c>
      <c r="E13" s="1" t="s">
        <v>868</v>
      </c>
      <c r="F13" s="1" t="s">
        <v>859</v>
      </c>
      <c r="G13" s="1" t="s">
        <v>869</v>
      </c>
      <c r="H13" s="1" t="s">
        <v>862</v>
      </c>
      <c r="I13" s="1" t="s">
        <v>863</v>
      </c>
      <c r="J13" s="1" t="s">
        <v>870</v>
      </c>
      <c r="K13" s="1" t="s">
        <v>809</v>
      </c>
      <c r="L13" s="1" t="s">
        <v>841</v>
      </c>
      <c r="M13" s="1" t="s">
        <v>841</v>
      </c>
      <c r="N13" s="1" t="s">
        <v>871</v>
      </c>
      <c r="O13" s="1" t="s">
        <v>869</v>
      </c>
      <c r="P13" s="1" t="s">
        <v>813</v>
      </c>
      <c r="Q13" s="1" t="s">
        <v>821</v>
      </c>
      <c r="R13" s="1" t="s">
        <v>809</v>
      </c>
      <c r="S13" s="1" t="s">
        <v>872</v>
      </c>
      <c r="T13" s="1" t="s">
        <v>864</v>
      </c>
      <c r="U13" s="1" t="s">
        <v>873</v>
      </c>
      <c r="V13" s="1" t="s">
        <v>832</v>
      </c>
      <c r="W13" s="1" t="s">
        <v>874</v>
      </c>
      <c r="X13" s="1" t="s">
        <v>875</v>
      </c>
      <c r="Y13" s="1" t="s">
        <v>809</v>
      </c>
      <c r="Z13" s="1" t="s">
        <v>841</v>
      </c>
      <c r="AA13" s="1" t="s">
        <v>815</v>
      </c>
      <c r="AB13" s="1" t="s">
        <v>823</v>
      </c>
      <c r="AC13" s="1" t="s">
        <v>819</v>
      </c>
      <c r="AD13" s="1" t="s">
        <v>824</v>
      </c>
      <c r="AE13" s="1" t="s">
        <v>818</v>
      </c>
      <c r="AF13" s="1" t="s">
        <v>809</v>
      </c>
      <c r="AG13" s="1" t="s">
        <v>822</v>
      </c>
      <c r="AH13" s="1" t="s">
        <v>876</v>
      </c>
      <c r="AI13" s="502">
        <v>44412.229194178202</v>
      </c>
    </row>
    <row r="14" spans="1:35">
      <c r="A14" s="1" t="s">
        <v>328</v>
      </c>
      <c r="B14" s="285" t="s">
        <v>877</v>
      </c>
      <c r="C14" s="1" t="s">
        <v>816</v>
      </c>
      <c r="D14" s="1" t="s">
        <v>809</v>
      </c>
      <c r="E14" s="1" t="s">
        <v>861</v>
      </c>
      <c r="F14" s="1" t="s">
        <v>812</v>
      </c>
      <c r="G14" s="1" t="s">
        <v>878</v>
      </c>
      <c r="H14" s="1" t="s">
        <v>879</v>
      </c>
      <c r="I14" s="1" t="s">
        <v>851</v>
      </c>
      <c r="J14" s="1" t="s">
        <v>880</v>
      </c>
      <c r="K14" s="1" t="s">
        <v>809</v>
      </c>
      <c r="L14" s="1" t="s">
        <v>808</v>
      </c>
      <c r="M14" s="1" t="s">
        <v>881</v>
      </c>
      <c r="N14" s="1" t="s">
        <v>880</v>
      </c>
      <c r="O14" s="1" t="s">
        <v>864</v>
      </c>
      <c r="P14" s="1" t="s">
        <v>815</v>
      </c>
      <c r="Q14" s="1" t="s">
        <v>826</v>
      </c>
      <c r="R14" s="1" t="s">
        <v>809</v>
      </c>
      <c r="S14" s="1" t="s">
        <v>882</v>
      </c>
      <c r="T14" s="1" t="s">
        <v>883</v>
      </c>
      <c r="U14" s="1" t="s">
        <v>843</v>
      </c>
      <c r="V14" s="1" t="s">
        <v>884</v>
      </c>
      <c r="W14" s="1" t="s">
        <v>843</v>
      </c>
      <c r="X14" s="1" t="s">
        <v>885</v>
      </c>
      <c r="Y14" s="1" t="s">
        <v>809</v>
      </c>
      <c r="Z14" s="1" t="s">
        <v>874</v>
      </c>
      <c r="AA14" s="1" t="s">
        <v>886</v>
      </c>
      <c r="AB14" s="1" t="s">
        <v>887</v>
      </c>
      <c r="AC14" s="1" t="s">
        <v>834</v>
      </c>
      <c r="AD14" s="1" t="s">
        <v>884</v>
      </c>
      <c r="AE14" s="1" t="s">
        <v>826</v>
      </c>
      <c r="AF14" s="1" t="s">
        <v>809</v>
      </c>
      <c r="AG14" s="1" t="s">
        <v>817</v>
      </c>
      <c r="AH14" s="1" t="s">
        <v>878</v>
      </c>
      <c r="AI14" s="502">
        <v>44412.229194178202</v>
      </c>
    </row>
    <row r="15" spans="1:35">
      <c r="A15" s="1" t="s">
        <v>328</v>
      </c>
      <c r="B15" s="285" t="s">
        <v>888</v>
      </c>
      <c r="C15" s="1" t="s">
        <v>809</v>
      </c>
      <c r="D15" s="1" t="s">
        <v>809</v>
      </c>
      <c r="E15" s="1" t="s">
        <v>809</v>
      </c>
      <c r="F15" s="1" t="s">
        <v>809</v>
      </c>
      <c r="G15" s="1" t="s">
        <v>809</v>
      </c>
      <c r="H15" s="1" t="s">
        <v>809</v>
      </c>
      <c r="I15" s="1" t="s">
        <v>809</v>
      </c>
      <c r="J15" s="1" t="s">
        <v>809</v>
      </c>
      <c r="K15" s="1" t="s">
        <v>809</v>
      </c>
      <c r="L15" s="1" t="s">
        <v>809</v>
      </c>
      <c r="M15" s="1" t="s">
        <v>809</v>
      </c>
      <c r="N15" s="1" t="s">
        <v>826</v>
      </c>
      <c r="O15" s="1" t="s">
        <v>809</v>
      </c>
      <c r="P15" s="1" t="s">
        <v>809</v>
      </c>
      <c r="Q15" s="1" t="s">
        <v>809</v>
      </c>
      <c r="R15" s="1" t="s">
        <v>809</v>
      </c>
      <c r="S15" s="1" t="s">
        <v>809</v>
      </c>
      <c r="T15" s="1" t="s">
        <v>809</v>
      </c>
      <c r="U15" s="1" t="s">
        <v>809</v>
      </c>
      <c r="V15" s="1" t="s">
        <v>809</v>
      </c>
      <c r="W15" s="1" t="s">
        <v>809</v>
      </c>
      <c r="X15" s="1" t="s">
        <v>809</v>
      </c>
      <c r="Y15" s="1" t="s">
        <v>809</v>
      </c>
      <c r="Z15" s="1" t="s">
        <v>809</v>
      </c>
      <c r="AA15" s="1" t="s">
        <v>809</v>
      </c>
      <c r="AB15" s="1" t="s">
        <v>809</v>
      </c>
      <c r="AC15" s="1" t="s">
        <v>809</v>
      </c>
      <c r="AD15" s="1" t="s">
        <v>809</v>
      </c>
      <c r="AE15" s="1" t="s">
        <v>809</v>
      </c>
      <c r="AF15" s="1" t="s">
        <v>809</v>
      </c>
      <c r="AG15" s="1" t="s">
        <v>809</v>
      </c>
      <c r="AH15" s="1" t="s">
        <v>826</v>
      </c>
      <c r="AI15" s="502">
        <v>44412.229194178202</v>
      </c>
    </row>
    <row r="16" spans="1:35">
      <c r="A16" s="1" t="s">
        <v>328</v>
      </c>
      <c r="B16" s="285" t="s">
        <v>889</v>
      </c>
      <c r="C16" s="1" t="s">
        <v>823</v>
      </c>
      <c r="D16" s="1" t="s">
        <v>809</v>
      </c>
      <c r="E16" s="1" t="s">
        <v>821</v>
      </c>
      <c r="F16" s="1" t="s">
        <v>890</v>
      </c>
      <c r="G16" s="1" t="s">
        <v>891</v>
      </c>
      <c r="H16" s="1" t="s">
        <v>892</v>
      </c>
      <c r="I16" s="1" t="s">
        <v>865</v>
      </c>
      <c r="J16" s="1" t="s">
        <v>843</v>
      </c>
      <c r="K16" s="1" t="s">
        <v>809</v>
      </c>
      <c r="L16" s="1" t="s">
        <v>821</v>
      </c>
      <c r="M16" s="1" t="s">
        <v>820</v>
      </c>
      <c r="N16" s="1" t="s">
        <v>812</v>
      </c>
      <c r="O16" s="1" t="s">
        <v>893</v>
      </c>
      <c r="P16" s="1" t="s">
        <v>820</v>
      </c>
      <c r="Q16" s="1" t="s">
        <v>811</v>
      </c>
      <c r="R16" s="1" t="s">
        <v>809</v>
      </c>
      <c r="S16" s="1" t="s">
        <v>820</v>
      </c>
      <c r="T16" s="1" t="s">
        <v>815</v>
      </c>
      <c r="U16" s="1" t="s">
        <v>812</v>
      </c>
      <c r="V16" s="1" t="s">
        <v>869</v>
      </c>
      <c r="W16" s="1" t="s">
        <v>891</v>
      </c>
      <c r="X16" s="1" t="s">
        <v>819</v>
      </c>
      <c r="Y16" s="1" t="s">
        <v>809</v>
      </c>
      <c r="Z16" s="1" t="s">
        <v>822</v>
      </c>
      <c r="AA16" s="1" t="s">
        <v>810</v>
      </c>
      <c r="AB16" s="1" t="s">
        <v>816</v>
      </c>
      <c r="AC16" s="1" t="s">
        <v>808</v>
      </c>
      <c r="AD16" s="1" t="s">
        <v>808</v>
      </c>
      <c r="AE16" s="1" t="s">
        <v>814</v>
      </c>
      <c r="AF16" s="1" t="s">
        <v>809</v>
      </c>
      <c r="AG16" s="1" t="s">
        <v>808</v>
      </c>
      <c r="AH16" s="1" t="s">
        <v>824</v>
      </c>
      <c r="AI16" s="502">
        <v>44412.229194178202</v>
      </c>
    </row>
    <row r="17" spans="1:35">
      <c r="A17" s="1" t="s">
        <v>328</v>
      </c>
      <c r="B17" s="275" t="s">
        <v>894</v>
      </c>
      <c r="C17" s="1" t="s">
        <v>809</v>
      </c>
      <c r="D17" s="1" t="s">
        <v>809</v>
      </c>
      <c r="E17" s="1" t="s">
        <v>809</v>
      </c>
      <c r="F17" s="1" t="s">
        <v>809</v>
      </c>
      <c r="G17" s="1" t="s">
        <v>809</v>
      </c>
      <c r="H17" s="1" t="s">
        <v>809</v>
      </c>
      <c r="I17" s="1" t="s">
        <v>809</v>
      </c>
      <c r="J17" s="1" t="s">
        <v>809</v>
      </c>
      <c r="K17" s="1" t="s">
        <v>809</v>
      </c>
      <c r="L17" s="1" t="s">
        <v>809</v>
      </c>
      <c r="M17" s="1" t="s">
        <v>809</v>
      </c>
      <c r="N17" s="1" t="s">
        <v>809</v>
      </c>
      <c r="O17" s="1" t="s">
        <v>809</v>
      </c>
      <c r="P17" s="1" t="s">
        <v>809</v>
      </c>
      <c r="Q17" s="1" t="s">
        <v>809</v>
      </c>
      <c r="R17" s="1" t="s">
        <v>809</v>
      </c>
      <c r="S17" s="1" t="s">
        <v>809</v>
      </c>
      <c r="T17" s="1" t="s">
        <v>809</v>
      </c>
      <c r="U17" s="1" t="s">
        <v>809</v>
      </c>
      <c r="V17" s="1" t="s">
        <v>809</v>
      </c>
      <c r="W17" s="1" t="s">
        <v>809</v>
      </c>
      <c r="X17" s="1" t="s">
        <v>809</v>
      </c>
      <c r="Y17" s="1" t="s">
        <v>809</v>
      </c>
      <c r="Z17" s="1" t="s">
        <v>809</v>
      </c>
      <c r="AA17" s="1" t="s">
        <v>809</v>
      </c>
      <c r="AB17" s="1" t="s">
        <v>809</v>
      </c>
      <c r="AC17" s="1" t="s">
        <v>809</v>
      </c>
      <c r="AD17" s="1" t="s">
        <v>809</v>
      </c>
      <c r="AE17" s="1" t="s">
        <v>809</v>
      </c>
      <c r="AF17" s="1" t="s">
        <v>809</v>
      </c>
      <c r="AG17" s="1" t="s">
        <v>809</v>
      </c>
      <c r="AH17" s="1" t="s">
        <v>809</v>
      </c>
      <c r="AI17" s="502">
        <v>44412.229194178202</v>
      </c>
    </row>
    <row r="18" spans="1:35">
      <c r="A18" s="1" t="s">
        <v>328</v>
      </c>
      <c r="B18" s="275" t="s">
        <v>895</v>
      </c>
      <c r="C18" s="1" t="s">
        <v>809</v>
      </c>
      <c r="D18" s="1" t="s">
        <v>809</v>
      </c>
      <c r="E18" s="1" t="s">
        <v>809</v>
      </c>
      <c r="F18" s="1" t="s">
        <v>809</v>
      </c>
      <c r="G18" s="1" t="s">
        <v>809</v>
      </c>
      <c r="H18" s="1" t="s">
        <v>809</v>
      </c>
      <c r="I18" s="1" t="s">
        <v>809</v>
      </c>
      <c r="J18" s="1" t="s">
        <v>809</v>
      </c>
      <c r="K18" s="1" t="s">
        <v>809</v>
      </c>
      <c r="L18" s="1" t="s">
        <v>809</v>
      </c>
      <c r="M18" s="1" t="s">
        <v>809</v>
      </c>
      <c r="N18" s="1" t="s">
        <v>809</v>
      </c>
      <c r="O18" s="1" t="s">
        <v>809</v>
      </c>
      <c r="P18" s="1" t="s">
        <v>809</v>
      </c>
      <c r="Q18" s="1" t="s">
        <v>809</v>
      </c>
      <c r="R18" s="1" t="s">
        <v>809</v>
      </c>
      <c r="S18" s="1" t="s">
        <v>809</v>
      </c>
      <c r="T18" s="1" t="s">
        <v>809</v>
      </c>
      <c r="U18" s="1" t="s">
        <v>809</v>
      </c>
      <c r="V18" s="1" t="s">
        <v>809</v>
      </c>
      <c r="W18" s="1" t="s">
        <v>809</v>
      </c>
      <c r="X18" s="1" t="s">
        <v>809</v>
      </c>
      <c r="Y18" s="1" t="s">
        <v>809</v>
      </c>
      <c r="Z18" s="1" t="s">
        <v>809</v>
      </c>
      <c r="AA18" s="1" t="s">
        <v>809</v>
      </c>
      <c r="AB18" s="1" t="s">
        <v>809</v>
      </c>
      <c r="AC18" s="1" t="s">
        <v>809</v>
      </c>
      <c r="AD18" s="1" t="s">
        <v>809</v>
      </c>
      <c r="AE18" s="1" t="s">
        <v>809</v>
      </c>
      <c r="AF18" s="1" t="s">
        <v>809</v>
      </c>
      <c r="AG18" s="1" t="s">
        <v>809</v>
      </c>
      <c r="AH18" s="1" t="s">
        <v>809</v>
      </c>
      <c r="AI18" s="502">
        <v>44412.229194178202</v>
      </c>
    </row>
    <row r="19" spans="1:35">
      <c r="A19" s="1" t="s">
        <v>328</v>
      </c>
      <c r="B19" s="275" t="s">
        <v>896</v>
      </c>
      <c r="C19" s="1" t="s">
        <v>809</v>
      </c>
      <c r="D19" s="1" t="s">
        <v>809</v>
      </c>
      <c r="E19" s="1" t="s">
        <v>809</v>
      </c>
      <c r="F19" s="1" t="s">
        <v>809</v>
      </c>
      <c r="G19" s="1" t="s">
        <v>809</v>
      </c>
      <c r="H19" s="1" t="s">
        <v>809</v>
      </c>
      <c r="I19" s="1" t="s">
        <v>809</v>
      </c>
      <c r="J19" s="1" t="s">
        <v>809</v>
      </c>
      <c r="K19" s="1" t="s">
        <v>809</v>
      </c>
      <c r="L19" s="1" t="s">
        <v>809</v>
      </c>
      <c r="M19" s="1" t="s">
        <v>809</v>
      </c>
      <c r="N19" s="1" t="s">
        <v>809</v>
      </c>
      <c r="O19" s="1" t="s">
        <v>809</v>
      </c>
      <c r="P19" s="1" t="s">
        <v>809</v>
      </c>
      <c r="Q19" s="1" t="s">
        <v>809</v>
      </c>
      <c r="R19" s="1" t="s">
        <v>809</v>
      </c>
      <c r="S19" s="1" t="s">
        <v>809</v>
      </c>
      <c r="T19" s="1" t="s">
        <v>809</v>
      </c>
      <c r="U19" s="1" t="s">
        <v>809</v>
      </c>
      <c r="V19" s="1" t="s">
        <v>809</v>
      </c>
      <c r="W19" s="1" t="s">
        <v>809</v>
      </c>
      <c r="X19" s="1" t="s">
        <v>809</v>
      </c>
      <c r="Y19" s="1" t="s">
        <v>809</v>
      </c>
      <c r="Z19" s="1" t="s">
        <v>809</v>
      </c>
      <c r="AA19" s="1" t="s">
        <v>809</v>
      </c>
      <c r="AB19" s="1" t="s">
        <v>809</v>
      </c>
      <c r="AC19" s="1" t="s">
        <v>809</v>
      </c>
      <c r="AD19" s="1" t="s">
        <v>809</v>
      </c>
      <c r="AE19" s="1" t="s">
        <v>809</v>
      </c>
      <c r="AF19" s="1" t="s">
        <v>809</v>
      </c>
      <c r="AG19" s="1" t="s">
        <v>809</v>
      </c>
      <c r="AH19" s="1" t="s">
        <v>809</v>
      </c>
      <c r="AI19" s="502">
        <v>44412.229194178202</v>
      </c>
    </row>
    <row r="20" spans="1:35">
      <c r="A20" s="1" t="s">
        <v>328</v>
      </c>
      <c r="B20" s="275" t="s">
        <v>897</v>
      </c>
      <c r="C20" s="1" t="s">
        <v>809</v>
      </c>
      <c r="D20" s="1" t="s">
        <v>809</v>
      </c>
      <c r="E20" s="1" t="s">
        <v>809</v>
      </c>
      <c r="F20" s="1" t="s">
        <v>809</v>
      </c>
      <c r="G20" s="1" t="s">
        <v>809</v>
      </c>
      <c r="H20" s="1" t="s">
        <v>809</v>
      </c>
      <c r="I20" s="1" t="s">
        <v>809</v>
      </c>
      <c r="J20" s="1" t="s">
        <v>809</v>
      </c>
      <c r="K20" s="1" t="s">
        <v>809</v>
      </c>
      <c r="L20" s="1" t="s">
        <v>809</v>
      </c>
      <c r="M20" s="1" t="s">
        <v>809</v>
      </c>
      <c r="N20" s="1" t="s">
        <v>809</v>
      </c>
      <c r="O20" s="1" t="s">
        <v>809</v>
      </c>
      <c r="P20" s="1" t="s">
        <v>809</v>
      </c>
      <c r="Q20" s="1" t="s">
        <v>809</v>
      </c>
      <c r="R20" s="1" t="s">
        <v>809</v>
      </c>
      <c r="S20" s="1" t="s">
        <v>809</v>
      </c>
      <c r="T20" s="1" t="s">
        <v>809</v>
      </c>
      <c r="U20" s="1" t="s">
        <v>809</v>
      </c>
      <c r="V20" s="1" t="s">
        <v>809</v>
      </c>
      <c r="W20" s="1" t="s">
        <v>809</v>
      </c>
      <c r="X20" s="1" t="s">
        <v>809</v>
      </c>
      <c r="Y20" s="1" t="s">
        <v>809</v>
      </c>
      <c r="Z20" s="1" t="s">
        <v>809</v>
      </c>
      <c r="AA20" s="1" t="s">
        <v>809</v>
      </c>
      <c r="AB20" s="1" t="s">
        <v>809</v>
      </c>
      <c r="AC20" s="1" t="s">
        <v>809</v>
      </c>
      <c r="AD20" s="1" t="s">
        <v>809</v>
      </c>
      <c r="AE20" s="1" t="s">
        <v>809</v>
      </c>
      <c r="AF20" s="1" t="s">
        <v>809</v>
      </c>
      <c r="AG20" s="1" t="s">
        <v>809</v>
      </c>
      <c r="AH20" s="1" t="s">
        <v>809</v>
      </c>
      <c r="AI20" s="502">
        <v>44412.229194178202</v>
      </c>
    </row>
    <row r="21" spans="1:35">
      <c r="A21" s="1" t="s">
        <v>328</v>
      </c>
      <c r="B21" s="275" t="s">
        <v>898</v>
      </c>
      <c r="C21" s="1" t="s">
        <v>826</v>
      </c>
      <c r="D21" s="1" t="s">
        <v>809</v>
      </c>
      <c r="E21" s="1" t="s">
        <v>826</v>
      </c>
      <c r="F21" s="1" t="s">
        <v>826</v>
      </c>
      <c r="G21" s="1" t="s">
        <v>899</v>
      </c>
      <c r="H21" s="1" t="s">
        <v>900</v>
      </c>
      <c r="I21" s="1" t="s">
        <v>901</v>
      </c>
      <c r="J21" s="1" t="s">
        <v>826</v>
      </c>
      <c r="K21" s="1" t="s">
        <v>809</v>
      </c>
      <c r="L21" s="1" t="s">
        <v>834</v>
      </c>
      <c r="M21" s="1" t="s">
        <v>872</v>
      </c>
      <c r="N21" s="1" t="s">
        <v>871</v>
      </c>
      <c r="O21" s="1" t="s">
        <v>886</v>
      </c>
      <c r="P21" s="1" t="s">
        <v>826</v>
      </c>
      <c r="Q21" s="1" t="s">
        <v>826</v>
      </c>
      <c r="R21" s="1" t="s">
        <v>809</v>
      </c>
      <c r="S21" s="1" t="s">
        <v>826</v>
      </c>
      <c r="T21" s="1" t="s">
        <v>826</v>
      </c>
      <c r="U21" s="1" t="s">
        <v>826</v>
      </c>
      <c r="V21" s="1" t="s">
        <v>902</v>
      </c>
      <c r="W21" s="1" t="s">
        <v>826</v>
      </c>
      <c r="X21" s="1" t="s">
        <v>826</v>
      </c>
      <c r="Y21" s="1" t="s">
        <v>809</v>
      </c>
      <c r="Z21" s="1" t="s">
        <v>826</v>
      </c>
      <c r="AA21" s="1" t="s">
        <v>826</v>
      </c>
      <c r="AB21" s="1" t="s">
        <v>826</v>
      </c>
      <c r="AC21" s="1" t="s">
        <v>826</v>
      </c>
      <c r="AD21" s="1" t="s">
        <v>826</v>
      </c>
      <c r="AE21" s="1" t="s">
        <v>826</v>
      </c>
      <c r="AF21" s="1" t="s">
        <v>809</v>
      </c>
      <c r="AG21" s="1" t="s">
        <v>826</v>
      </c>
      <c r="AH21" s="1" t="s">
        <v>903</v>
      </c>
      <c r="AI21" s="502">
        <v>44412.229194178202</v>
      </c>
    </row>
    <row r="22" spans="1:35">
      <c r="A22" s="1" t="s">
        <v>328</v>
      </c>
      <c r="B22" s="275" t="s">
        <v>904</v>
      </c>
      <c r="C22" s="1" t="s">
        <v>809</v>
      </c>
      <c r="D22" s="1" t="s">
        <v>809</v>
      </c>
      <c r="E22" s="1" t="s">
        <v>809</v>
      </c>
      <c r="F22" s="1" t="s">
        <v>809</v>
      </c>
      <c r="G22" s="1" t="s">
        <v>809</v>
      </c>
      <c r="H22" s="1" t="s">
        <v>809</v>
      </c>
      <c r="I22" s="1" t="s">
        <v>809</v>
      </c>
      <c r="J22" s="1" t="s">
        <v>809</v>
      </c>
      <c r="K22" s="1" t="s">
        <v>809</v>
      </c>
      <c r="L22" s="1" t="s">
        <v>809</v>
      </c>
      <c r="M22" s="1" t="s">
        <v>809</v>
      </c>
      <c r="N22" s="1" t="s">
        <v>809</v>
      </c>
      <c r="O22" s="1" t="s">
        <v>809</v>
      </c>
      <c r="P22" s="1" t="s">
        <v>809</v>
      </c>
      <c r="Q22" s="1" t="s">
        <v>809</v>
      </c>
      <c r="R22" s="1" t="s">
        <v>809</v>
      </c>
      <c r="S22" s="1" t="s">
        <v>809</v>
      </c>
      <c r="T22" s="1" t="s">
        <v>809</v>
      </c>
      <c r="U22" s="1" t="s">
        <v>809</v>
      </c>
      <c r="V22" s="1" t="s">
        <v>809</v>
      </c>
      <c r="W22" s="1" t="s">
        <v>809</v>
      </c>
      <c r="X22" s="1" t="s">
        <v>809</v>
      </c>
      <c r="Y22" s="1" t="s">
        <v>809</v>
      </c>
      <c r="Z22" s="1" t="s">
        <v>809</v>
      </c>
      <c r="AA22" s="1" t="s">
        <v>809</v>
      </c>
      <c r="AB22" s="1" t="s">
        <v>809</v>
      </c>
      <c r="AC22" s="1" t="s">
        <v>809</v>
      </c>
      <c r="AD22" s="1" t="s">
        <v>809</v>
      </c>
      <c r="AE22" s="1" t="s">
        <v>809</v>
      </c>
      <c r="AF22" s="1" t="s">
        <v>809</v>
      </c>
      <c r="AG22" s="1" t="s">
        <v>809</v>
      </c>
      <c r="AH22" s="1" t="s">
        <v>809</v>
      </c>
      <c r="AI22" s="502">
        <v>44412.229194178202</v>
      </c>
    </row>
    <row r="23" spans="1:35">
      <c r="A23" s="503" t="s">
        <v>328</v>
      </c>
      <c r="B23" s="275" t="s">
        <v>905</v>
      </c>
      <c r="C23" s="503" t="s">
        <v>866</v>
      </c>
      <c r="D23" s="503" t="s">
        <v>809</v>
      </c>
      <c r="E23" s="503" t="s">
        <v>863</v>
      </c>
      <c r="F23" s="503" t="s">
        <v>860</v>
      </c>
      <c r="G23" s="503" t="s">
        <v>878</v>
      </c>
      <c r="H23" s="503" t="s">
        <v>858</v>
      </c>
      <c r="I23" s="503" t="s">
        <v>906</v>
      </c>
      <c r="J23" s="503" t="s">
        <v>907</v>
      </c>
      <c r="K23" s="503" t="s">
        <v>809</v>
      </c>
      <c r="L23" s="503" t="s">
        <v>908</v>
      </c>
      <c r="M23" s="503" t="s">
        <v>852</v>
      </c>
      <c r="N23" s="503" t="s">
        <v>909</v>
      </c>
      <c r="O23" s="503" t="s">
        <v>910</v>
      </c>
      <c r="P23" s="503" t="s">
        <v>911</v>
      </c>
      <c r="Q23" s="503" t="s">
        <v>912</v>
      </c>
      <c r="R23" s="503" t="s">
        <v>809</v>
      </c>
      <c r="S23" s="503" t="s">
        <v>878</v>
      </c>
      <c r="T23" s="503" t="s">
        <v>913</v>
      </c>
      <c r="U23" s="503" t="s">
        <v>858</v>
      </c>
      <c r="V23" s="503" t="s">
        <v>914</v>
      </c>
      <c r="W23" s="503" t="s">
        <v>868</v>
      </c>
      <c r="X23" s="503" t="s">
        <v>876</v>
      </c>
      <c r="Y23" s="503" t="s">
        <v>809</v>
      </c>
      <c r="Z23" s="503" t="s">
        <v>872</v>
      </c>
      <c r="AA23" s="503" t="s">
        <v>849</v>
      </c>
      <c r="AB23" s="503" t="s">
        <v>819</v>
      </c>
      <c r="AC23" s="503" t="s">
        <v>870</v>
      </c>
      <c r="AD23" s="503" t="s">
        <v>842</v>
      </c>
      <c r="AE23" s="503" t="s">
        <v>891</v>
      </c>
      <c r="AF23" s="503" t="s">
        <v>809</v>
      </c>
      <c r="AG23" s="503" t="s">
        <v>873</v>
      </c>
      <c r="AH23" s="503" t="s">
        <v>915</v>
      </c>
      <c r="AI23" s="502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916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807</v>
      </c>
    </row>
    <row r="2" spans="1:36">
      <c r="A2" s="1" t="s">
        <v>328</v>
      </c>
      <c r="B2" s="275" t="s">
        <v>364</v>
      </c>
      <c r="C2" s="1" t="s">
        <v>236</v>
      </c>
      <c r="D2" s="1" t="s">
        <v>814</v>
      </c>
      <c r="E2" s="1" t="s">
        <v>809</v>
      </c>
      <c r="F2" s="1" t="s">
        <v>808</v>
      </c>
      <c r="G2" s="1" t="s">
        <v>811</v>
      </c>
      <c r="H2" s="1" t="s">
        <v>812</v>
      </c>
      <c r="I2" s="1" t="s">
        <v>812</v>
      </c>
      <c r="J2" s="1" t="s">
        <v>814</v>
      </c>
      <c r="K2" s="1" t="s">
        <v>810</v>
      </c>
      <c r="L2" s="1" t="s">
        <v>809</v>
      </c>
      <c r="M2" s="1" t="s">
        <v>810</v>
      </c>
      <c r="N2" s="1" t="s">
        <v>813</v>
      </c>
      <c r="O2" s="1" t="s">
        <v>816</v>
      </c>
      <c r="P2" s="1" t="s">
        <v>808</v>
      </c>
      <c r="Q2" s="1" t="s">
        <v>817</v>
      </c>
      <c r="R2" s="1" t="s">
        <v>810</v>
      </c>
      <c r="S2" s="1" t="s">
        <v>809</v>
      </c>
      <c r="T2" s="1" t="s">
        <v>811</v>
      </c>
      <c r="U2" s="1" t="s">
        <v>817</v>
      </c>
      <c r="V2" s="1" t="s">
        <v>816</v>
      </c>
      <c r="W2" s="1" t="s">
        <v>812</v>
      </c>
      <c r="X2" s="1" t="s">
        <v>838</v>
      </c>
      <c r="Y2" s="1" t="s">
        <v>839</v>
      </c>
      <c r="Z2" s="1" t="s">
        <v>809</v>
      </c>
      <c r="AA2" s="1" t="s">
        <v>817</v>
      </c>
      <c r="AB2" s="1" t="s">
        <v>839</v>
      </c>
      <c r="AC2" s="1" t="s">
        <v>816</v>
      </c>
      <c r="AD2" s="1" t="s">
        <v>817</v>
      </c>
      <c r="AE2" s="1" t="s">
        <v>816</v>
      </c>
      <c r="AF2" s="1" t="s">
        <v>825</v>
      </c>
      <c r="AG2" s="1" t="s">
        <v>809</v>
      </c>
      <c r="AH2" s="1" t="s">
        <v>917</v>
      </c>
      <c r="AI2" s="1" t="s">
        <v>816</v>
      </c>
      <c r="AJ2" s="502">
        <v>43056.229596249999</v>
      </c>
    </row>
    <row r="3" spans="1:36">
      <c r="A3" s="1" t="s">
        <v>328</v>
      </c>
      <c r="B3" s="275" t="s">
        <v>364</v>
      </c>
      <c r="C3" s="1" t="s">
        <v>237</v>
      </c>
      <c r="D3" s="1" t="s">
        <v>811</v>
      </c>
      <c r="E3" s="1" t="s">
        <v>809</v>
      </c>
      <c r="F3" s="1" t="s">
        <v>812</v>
      </c>
      <c r="G3" s="1" t="s">
        <v>817</v>
      </c>
      <c r="H3" s="1" t="s">
        <v>811</v>
      </c>
      <c r="I3" s="1" t="s">
        <v>817</v>
      </c>
      <c r="J3" s="1" t="s">
        <v>808</v>
      </c>
      <c r="K3" s="1" t="s">
        <v>808</v>
      </c>
      <c r="L3" s="1" t="s">
        <v>809</v>
      </c>
      <c r="M3" s="1" t="s">
        <v>812</v>
      </c>
      <c r="N3" s="1" t="s">
        <v>817</v>
      </c>
      <c r="O3" s="1" t="s">
        <v>816</v>
      </c>
      <c r="P3" s="1" t="s">
        <v>814</v>
      </c>
      <c r="Q3" s="1" t="s">
        <v>839</v>
      </c>
      <c r="R3" s="1" t="s">
        <v>810</v>
      </c>
      <c r="S3" s="1" t="s">
        <v>809</v>
      </c>
      <c r="T3" s="1" t="s">
        <v>816</v>
      </c>
      <c r="U3" s="1" t="s">
        <v>814</v>
      </c>
      <c r="V3" s="1" t="s">
        <v>811</v>
      </c>
      <c r="W3" s="1" t="s">
        <v>817</v>
      </c>
      <c r="X3" s="1" t="s">
        <v>816</v>
      </c>
      <c r="Y3" s="1" t="s">
        <v>817</v>
      </c>
      <c r="Z3" s="1" t="s">
        <v>809</v>
      </c>
      <c r="AA3" s="1" t="s">
        <v>838</v>
      </c>
      <c r="AB3" s="1" t="s">
        <v>818</v>
      </c>
      <c r="AC3" s="1" t="s">
        <v>811</v>
      </c>
      <c r="AD3" s="1" t="s">
        <v>816</v>
      </c>
      <c r="AE3" s="1" t="s">
        <v>816</v>
      </c>
      <c r="AF3" s="1" t="s">
        <v>808</v>
      </c>
      <c r="AG3" s="1" t="s">
        <v>809</v>
      </c>
      <c r="AH3" s="1" t="s">
        <v>814</v>
      </c>
      <c r="AI3" s="1" t="s">
        <v>816</v>
      </c>
      <c r="AJ3" s="502">
        <v>43056.229596249999</v>
      </c>
    </row>
    <row r="4" spans="1:36">
      <c r="A4" s="1" t="s">
        <v>328</v>
      </c>
      <c r="B4" s="275" t="s">
        <v>364</v>
      </c>
      <c r="C4" s="1" t="s">
        <v>918</v>
      </c>
      <c r="D4" s="1" t="s">
        <v>816</v>
      </c>
      <c r="E4" s="1" t="s">
        <v>809</v>
      </c>
      <c r="F4" s="1" t="s">
        <v>817</v>
      </c>
      <c r="G4" s="1" t="s">
        <v>839</v>
      </c>
      <c r="H4" s="1" t="s">
        <v>839</v>
      </c>
      <c r="I4" s="1" t="s">
        <v>917</v>
      </c>
      <c r="J4" s="1" t="s">
        <v>825</v>
      </c>
      <c r="K4" s="1" t="s">
        <v>826</v>
      </c>
      <c r="L4" s="1" t="s">
        <v>809</v>
      </c>
      <c r="M4" s="1" t="s">
        <v>835</v>
      </c>
      <c r="N4" s="1" t="s">
        <v>835</v>
      </c>
      <c r="O4" s="1" t="s">
        <v>917</v>
      </c>
      <c r="P4" s="1" t="s">
        <v>919</v>
      </c>
      <c r="Q4" s="1" t="s">
        <v>828</v>
      </c>
      <c r="R4" s="1" t="s">
        <v>837</v>
      </c>
      <c r="S4" s="1" t="s">
        <v>809</v>
      </c>
      <c r="T4" s="1" t="s">
        <v>836</v>
      </c>
      <c r="U4" s="1" t="s">
        <v>828</v>
      </c>
      <c r="V4" s="1" t="s">
        <v>839</v>
      </c>
      <c r="W4" s="1" t="s">
        <v>838</v>
      </c>
      <c r="X4" s="1" t="s">
        <v>825</v>
      </c>
      <c r="Y4" s="1" t="s">
        <v>919</v>
      </c>
      <c r="Z4" s="1" t="s">
        <v>809</v>
      </c>
      <c r="AA4" s="1" t="s">
        <v>836</v>
      </c>
      <c r="AB4" s="1" t="s">
        <v>814</v>
      </c>
      <c r="AC4" s="1" t="s">
        <v>836</v>
      </c>
      <c r="AD4" s="1" t="s">
        <v>827</v>
      </c>
      <c r="AE4" s="1" t="s">
        <v>835</v>
      </c>
      <c r="AF4" s="1" t="s">
        <v>827</v>
      </c>
      <c r="AG4" s="1" t="s">
        <v>809</v>
      </c>
      <c r="AH4" s="1" t="s">
        <v>839</v>
      </c>
      <c r="AI4" s="1" t="s">
        <v>836</v>
      </c>
      <c r="AJ4" s="502">
        <v>43056.229596249999</v>
      </c>
    </row>
    <row r="5" spans="1:36">
      <c r="A5" s="1" t="s">
        <v>328</v>
      </c>
      <c r="B5" s="275" t="s">
        <v>364</v>
      </c>
      <c r="C5" s="1" t="s">
        <v>920</v>
      </c>
      <c r="D5" s="1" t="s">
        <v>817</v>
      </c>
      <c r="E5" s="1" t="s">
        <v>809</v>
      </c>
      <c r="F5" s="1" t="s">
        <v>808</v>
      </c>
      <c r="G5" s="1" t="s">
        <v>817</v>
      </c>
      <c r="H5" s="1" t="s">
        <v>811</v>
      </c>
      <c r="I5" s="1" t="s">
        <v>816</v>
      </c>
      <c r="J5" s="1" t="s">
        <v>817</v>
      </c>
      <c r="K5" s="1" t="s">
        <v>811</v>
      </c>
      <c r="L5" s="1" t="s">
        <v>809</v>
      </c>
      <c r="M5" s="1" t="s">
        <v>808</v>
      </c>
      <c r="N5" s="1" t="s">
        <v>811</v>
      </c>
      <c r="O5" s="1" t="s">
        <v>817</v>
      </c>
      <c r="P5" s="1" t="s">
        <v>817</v>
      </c>
      <c r="Q5" s="1" t="s">
        <v>838</v>
      </c>
      <c r="R5" s="1" t="s">
        <v>808</v>
      </c>
      <c r="S5" s="1" t="s">
        <v>809</v>
      </c>
      <c r="T5" s="1" t="s">
        <v>816</v>
      </c>
      <c r="U5" s="1" t="s">
        <v>814</v>
      </c>
      <c r="V5" s="1" t="s">
        <v>816</v>
      </c>
      <c r="W5" s="1" t="s">
        <v>816</v>
      </c>
      <c r="X5" s="1" t="s">
        <v>814</v>
      </c>
      <c r="Y5" s="1" t="s">
        <v>825</v>
      </c>
      <c r="Z5" s="1" t="s">
        <v>809</v>
      </c>
      <c r="AA5" s="1" t="s">
        <v>818</v>
      </c>
      <c r="AB5" s="1" t="s">
        <v>838</v>
      </c>
      <c r="AC5" s="1" t="s">
        <v>817</v>
      </c>
      <c r="AD5" s="1" t="s">
        <v>814</v>
      </c>
      <c r="AE5" s="1" t="s">
        <v>817</v>
      </c>
      <c r="AF5" s="1" t="s">
        <v>818</v>
      </c>
      <c r="AG5" s="1" t="s">
        <v>809</v>
      </c>
      <c r="AH5" s="1" t="s">
        <v>825</v>
      </c>
      <c r="AI5" s="1" t="s">
        <v>817</v>
      </c>
      <c r="AJ5" s="502">
        <v>43056.229596249999</v>
      </c>
    </row>
    <row r="6" spans="1:36">
      <c r="A6" s="1" t="s">
        <v>328</v>
      </c>
      <c r="B6" s="275" t="s">
        <v>398</v>
      </c>
      <c r="C6" s="1" t="s">
        <v>920</v>
      </c>
      <c r="D6" s="1" t="s">
        <v>808</v>
      </c>
      <c r="E6" s="1" t="s">
        <v>809</v>
      </c>
      <c r="F6" s="1" t="s">
        <v>817</v>
      </c>
      <c r="G6" s="1" t="s">
        <v>838</v>
      </c>
      <c r="H6" s="1" t="s">
        <v>808</v>
      </c>
      <c r="I6" s="1" t="s">
        <v>838</v>
      </c>
      <c r="J6" s="1" t="s">
        <v>811</v>
      </c>
      <c r="K6" s="1" t="s">
        <v>818</v>
      </c>
      <c r="L6" s="1" t="s">
        <v>809</v>
      </c>
      <c r="M6" s="1" t="s">
        <v>812</v>
      </c>
      <c r="N6" s="1" t="s">
        <v>814</v>
      </c>
      <c r="O6" s="1" t="s">
        <v>839</v>
      </c>
      <c r="P6" s="1" t="s">
        <v>812</v>
      </c>
      <c r="Q6" s="1" t="s">
        <v>811</v>
      </c>
      <c r="R6" s="1" t="s">
        <v>825</v>
      </c>
      <c r="S6" s="1" t="s">
        <v>809</v>
      </c>
      <c r="T6" s="1" t="s">
        <v>839</v>
      </c>
      <c r="U6" s="1" t="s">
        <v>839</v>
      </c>
      <c r="V6" s="1" t="s">
        <v>836</v>
      </c>
      <c r="W6" s="1" t="s">
        <v>838</v>
      </c>
      <c r="X6" s="1" t="s">
        <v>838</v>
      </c>
      <c r="Y6" s="1" t="s">
        <v>835</v>
      </c>
      <c r="Z6" s="1" t="s">
        <v>809</v>
      </c>
      <c r="AA6" s="1" t="s">
        <v>839</v>
      </c>
      <c r="AB6" s="1" t="s">
        <v>839</v>
      </c>
      <c r="AC6" s="1" t="s">
        <v>836</v>
      </c>
      <c r="AD6" s="1" t="s">
        <v>917</v>
      </c>
      <c r="AE6" s="1" t="s">
        <v>839</v>
      </c>
      <c r="AF6" s="1" t="s">
        <v>839</v>
      </c>
      <c r="AG6" s="1" t="s">
        <v>809</v>
      </c>
      <c r="AH6" s="1" t="s">
        <v>838</v>
      </c>
      <c r="AI6" s="1" t="s">
        <v>838</v>
      </c>
      <c r="AJ6" s="502">
        <v>43056.229596249999</v>
      </c>
    </row>
    <row r="7" spans="1:36">
      <c r="A7" s="1" t="s">
        <v>328</v>
      </c>
      <c r="B7" s="275" t="s">
        <v>428</v>
      </c>
      <c r="C7" s="1" t="s">
        <v>920</v>
      </c>
      <c r="D7" s="1" t="s">
        <v>826</v>
      </c>
      <c r="E7" s="1" t="s">
        <v>809</v>
      </c>
      <c r="F7" s="1" t="s">
        <v>827</v>
      </c>
      <c r="G7" s="1" t="s">
        <v>826</v>
      </c>
      <c r="H7" s="1" t="s">
        <v>826</v>
      </c>
      <c r="I7" s="1" t="s">
        <v>826</v>
      </c>
      <c r="J7" s="1" t="s">
        <v>826</v>
      </c>
      <c r="K7" s="1" t="s">
        <v>826</v>
      </c>
      <c r="L7" s="1" t="s">
        <v>809</v>
      </c>
      <c r="M7" s="1" t="s">
        <v>826</v>
      </c>
      <c r="N7" s="1" t="s">
        <v>826</v>
      </c>
      <c r="O7" s="1" t="s">
        <v>826</v>
      </c>
      <c r="P7" s="1" t="s">
        <v>826</v>
      </c>
      <c r="Q7" s="1" t="s">
        <v>826</v>
      </c>
      <c r="R7" s="1" t="s">
        <v>826</v>
      </c>
      <c r="S7" s="1" t="s">
        <v>809</v>
      </c>
      <c r="T7" s="1" t="s">
        <v>826</v>
      </c>
      <c r="U7" s="1" t="s">
        <v>826</v>
      </c>
      <c r="V7" s="1" t="s">
        <v>828</v>
      </c>
      <c r="W7" s="1" t="s">
        <v>826</v>
      </c>
      <c r="X7" s="1" t="s">
        <v>826</v>
      </c>
      <c r="Y7" s="1" t="s">
        <v>826</v>
      </c>
      <c r="Z7" s="1" t="s">
        <v>809</v>
      </c>
      <c r="AA7" s="1" t="s">
        <v>826</v>
      </c>
      <c r="AB7" s="1" t="s">
        <v>826</v>
      </c>
      <c r="AC7" s="1" t="s">
        <v>826</v>
      </c>
      <c r="AD7" s="1" t="s">
        <v>826</v>
      </c>
      <c r="AE7" s="1" t="s">
        <v>826</v>
      </c>
      <c r="AF7" s="1" t="s">
        <v>826</v>
      </c>
      <c r="AG7" s="1" t="s">
        <v>809</v>
      </c>
      <c r="AH7" s="1" t="s">
        <v>826</v>
      </c>
      <c r="AI7" s="1" t="s">
        <v>919</v>
      </c>
      <c r="AJ7" s="502">
        <v>43056.229596249999</v>
      </c>
    </row>
    <row r="8" spans="1:36">
      <c r="A8" s="1" t="s">
        <v>328</v>
      </c>
      <c r="B8" s="275" t="s">
        <v>457</v>
      </c>
      <c r="C8" s="1" t="s">
        <v>920</v>
      </c>
      <c r="D8" s="1" t="s">
        <v>826</v>
      </c>
      <c r="E8" s="1" t="s">
        <v>809</v>
      </c>
      <c r="F8" s="1" t="s">
        <v>826</v>
      </c>
      <c r="G8" s="1" t="s">
        <v>826</v>
      </c>
      <c r="H8" s="1" t="s">
        <v>829</v>
      </c>
      <c r="I8" s="1" t="s">
        <v>826</v>
      </c>
      <c r="J8" s="1" t="s">
        <v>826</v>
      </c>
      <c r="K8" s="1" t="s">
        <v>921</v>
      </c>
      <c r="L8" s="1" t="s">
        <v>809</v>
      </c>
      <c r="M8" s="1" t="s">
        <v>922</v>
      </c>
      <c r="N8" s="1" t="s">
        <v>826</v>
      </c>
      <c r="O8" s="1" t="s">
        <v>826</v>
      </c>
      <c r="P8" s="1" t="s">
        <v>831</v>
      </c>
      <c r="Q8" s="1" t="s">
        <v>832</v>
      </c>
      <c r="R8" s="1" t="s">
        <v>826</v>
      </c>
      <c r="S8" s="1" t="s">
        <v>809</v>
      </c>
      <c r="T8" s="1" t="s">
        <v>826</v>
      </c>
      <c r="U8" s="1" t="s">
        <v>826</v>
      </c>
      <c r="V8" s="1" t="s">
        <v>826</v>
      </c>
      <c r="W8" s="1" t="s">
        <v>826</v>
      </c>
      <c r="X8" s="1" t="s">
        <v>832</v>
      </c>
      <c r="Y8" s="1" t="s">
        <v>826</v>
      </c>
      <c r="Z8" s="1" t="s">
        <v>809</v>
      </c>
      <c r="AA8" s="1" t="s">
        <v>826</v>
      </c>
      <c r="AB8" s="1" t="s">
        <v>832</v>
      </c>
      <c r="AC8" s="1" t="s">
        <v>834</v>
      </c>
      <c r="AD8" s="1" t="s">
        <v>883</v>
      </c>
      <c r="AE8" s="1" t="s">
        <v>826</v>
      </c>
      <c r="AF8" s="1" t="s">
        <v>826</v>
      </c>
      <c r="AG8" s="1" t="s">
        <v>809</v>
      </c>
      <c r="AH8" s="1" t="s">
        <v>831</v>
      </c>
      <c r="AI8" s="1" t="s">
        <v>861</v>
      </c>
      <c r="AJ8" s="502">
        <v>43056.229596249999</v>
      </c>
    </row>
    <row r="9" spans="1:36">
      <c r="A9" s="1" t="s">
        <v>328</v>
      </c>
      <c r="B9" s="275" t="s">
        <v>486</v>
      </c>
      <c r="C9" s="1" t="s">
        <v>920</v>
      </c>
      <c r="D9" s="1" t="s">
        <v>826</v>
      </c>
      <c r="E9" s="1" t="s">
        <v>809</v>
      </c>
      <c r="F9" s="1" t="s">
        <v>827</v>
      </c>
      <c r="G9" s="1" t="s">
        <v>837</v>
      </c>
      <c r="H9" s="1" t="s">
        <v>835</v>
      </c>
      <c r="I9" s="1" t="s">
        <v>828</v>
      </c>
      <c r="J9" s="1" t="s">
        <v>835</v>
      </c>
      <c r="K9" s="1" t="s">
        <v>837</v>
      </c>
      <c r="L9" s="1" t="s">
        <v>809</v>
      </c>
      <c r="M9" s="1" t="s">
        <v>837</v>
      </c>
      <c r="N9" s="1" t="s">
        <v>838</v>
      </c>
      <c r="O9" s="1" t="s">
        <v>835</v>
      </c>
      <c r="P9" s="1" t="s">
        <v>837</v>
      </c>
      <c r="Q9" s="1" t="s">
        <v>835</v>
      </c>
      <c r="R9" s="1" t="s">
        <v>835</v>
      </c>
      <c r="S9" s="1" t="s">
        <v>809</v>
      </c>
      <c r="T9" s="1" t="s">
        <v>814</v>
      </c>
      <c r="U9" s="1" t="s">
        <v>828</v>
      </c>
      <c r="V9" s="1" t="s">
        <v>838</v>
      </c>
      <c r="W9" s="1" t="s">
        <v>828</v>
      </c>
      <c r="X9" s="1" t="s">
        <v>826</v>
      </c>
      <c r="Y9" s="1" t="s">
        <v>837</v>
      </c>
      <c r="Z9" s="1" t="s">
        <v>809</v>
      </c>
      <c r="AA9" s="1" t="s">
        <v>825</v>
      </c>
      <c r="AB9" s="1" t="s">
        <v>835</v>
      </c>
      <c r="AC9" s="1" t="s">
        <v>838</v>
      </c>
      <c r="AD9" s="1" t="s">
        <v>839</v>
      </c>
      <c r="AE9" s="1" t="s">
        <v>836</v>
      </c>
      <c r="AF9" s="1" t="s">
        <v>835</v>
      </c>
      <c r="AG9" s="1" t="s">
        <v>809</v>
      </c>
      <c r="AH9" s="1" t="s">
        <v>828</v>
      </c>
      <c r="AI9" s="1" t="s">
        <v>828</v>
      </c>
      <c r="AJ9" s="502">
        <v>43056.229596249999</v>
      </c>
    </row>
    <row r="10" spans="1:36">
      <c r="A10" s="1" t="s">
        <v>328</v>
      </c>
      <c r="B10" s="275" t="s">
        <v>520</v>
      </c>
      <c r="C10" s="1" t="s">
        <v>920</v>
      </c>
      <c r="D10" s="1" t="s">
        <v>809</v>
      </c>
      <c r="E10" s="1" t="s">
        <v>809</v>
      </c>
      <c r="F10" s="1" t="s">
        <v>809</v>
      </c>
      <c r="G10" s="1" t="s">
        <v>809</v>
      </c>
      <c r="H10" s="1" t="s">
        <v>809</v>
      </c>
      <c r="I10" s="1" t="s">
        <v>809</v>
      </c>
      <c r="J10" s="1" t="s">
        <v>809</v>
      </c>
      <c r="K10" s="1" t="s">
        <v>809</v>
      </c>
      <c r="L10" s="1" t="s">
        <v>809</v>
      </c>
      <c r="M10" s="1" t="s">
        <v>809</v>
      </c>
      <c r="N10" s="1" t="s">
        <v>809</v>
      </c>
      <c r="O10" s="1" t="s">
        <v>809</v>
      </c>
      <c r="P10" s="1" t="s">
        <v>809</v>
      </c>
      <c r="Q10" s="1" t="s">
        <v>809</v>
      </c>
      <c r="R10" s="1" t="s">
        <v>809</v>
      </c>
      <c r="S10" s="1" t="s">
        <v>809</v>
      </c>
      <c r="T10" s="1" t="s">
        <v>809</v>
      </c>
      <c r="U10" s="1" t="s">
        <v>809</v>
      </c>
      <c r="V10" s="1" t="s">
        <v>809</v>
      </c>
      <c r="W10" s="1" t="s">
        <v>809</v>
      </c>
      <c r="X10" s="1" t="s">
        <v>809</v>
      </c>
      <c r="Y10" s="1" t="s">
        <v>809</v>
      </c>
      <c r="Z10" s="1" t="s">
        <v>809</v>
      </c>
      <c r="AA10" s="1" t="s">
        <v>809</v>
      </c>
      <c r="AB10" s="1" t="s">
        <v>809</v>
      </c>
      <c r="AC10" s="1" t="s">
        <v>809</v>
      </c>
      <c r="AD10" s="1" t="s">
        <v>809</v>
      </c>
      <c r="AE10" s="1" t="s">
        <v>809</v>
      </c>
      <c r="AF10" s="1" t="s">
        <v>809</v>
      </c>
      <c r="AG10" s="1" t="s">
        <v>809</v>
      </c>
      <c r="AH10" s="1" t="s">
        <v>809</v>
      </c>
      <c r="AI10" s="1" t="s">
        <v>809</v>
      </c>
      <c r="AJ10" s="502">
        <v>43056.229596249999</v>
      </c>
    </row>
    <row r="11" spans="1:36">
      <c r="A11" s="1" t="s">
        <v>328</v>
      </c>
      <c r="B11" s="275" t="s">
        <v>522</v>
      </c>
      <c r="C11" s="1" t="s">
        <v>920</v>
      </c>
      <c r="D11" s="1" t="s">
        <v>828</v>
      </c>
      <c r="E11" s="1" t="s">
        <v>809</v>
      </c>
      <c r="F11" s="1" t="s">
        <v>837</v>
      </c>
      <c r="G11" s="1" t="s">
        <v>816</v>
      </c>
      <c r="H11" s="1" t="s">
        <v>825</v>
      </c>
      <c r="I11" s="1" t="s">
        <v>837</v>
      </c>
      <c r="J11" s="1" t="s">
        <v>839</v>
      </c>
      <c r="K11" s="1" t="s">
        <v>822</v>
      </c>
      <c r="L11" s="1" t="s">
        <v>809</v>
      </c>
      <c r="M11" s="1" t="s">
        <v>822</v>
      </c>
      <c r="N11" s="1" t="s">
        <v>840</v>
      </c>
      <c r="O11" s="1" t="s">
        <v>828</v>
      </c>
      <c r="P11" s="1" t="s">
        <v>837</v>
      </c>
      <c r="Q11" s="1" t="s">
        <v>856</v>
      </c>
      <c r="R11" s="1" t="s">
        <v>893</v>
      </c>
      <c r="S11" s="1" t="s">
        <v>809</v>
      </c>
      <c r="T11" s="1" t="s">
        <v>817</v>
      </c>
      <c r="U11" s="1" t="s">
        <v>810</v>
      </c>
      <c r="V11" s="1" t="s">
        <v>843</v>
      </c>
      <c r="W11" s="1" t="s">
        <v>826</v>
      </c>
      <c r="X11" s="1" t="s">
        <v>837</v>
      </c>
      <c r="Y11" s="1" t="s">
        <v>837</v>
      </c>
      <c r="Z11" s="1" t="s">
        <v>809</v>
      </c>
      <c r="AA11" s="1" t="s">
        <v>818</v>
      </c>
      <c r="AB11" s="1" t="s">
        <v>839</v>
      </c>
      <c r="AC11" s="1" t="s">
        <v>837</v>
      </c>
      <c r="AD11" s="1" t="s">
        <v>837</v>
      </c>
      <c r="AE11" s="1" t="s">
        <v>817</v>
      </c>
      <c r="AF11" s="1" t="s">
        <v>837</v>
      </c>
      <c r="AG11" s="1" t="s">
        <v>809</v>
      </c>
      <c r="AH11" s="1" t="s">
        <v>825</v>
      </c>
      <c r="AI11" s="1" t="s">
        <v>814</v>
      </c>
      <c r="AJ11" s="502">
        <v>43056.229596249999</v>
      </c>
    </row>
    <row r="12" spans="1:36">
      <c r="A12" s="1" t="s">
        <v>328</v>
      </c>
      <c r="B12" s="275" t="s">
        <v>854</v>
      </c>
      <c r="C12" s="1" t="s">
        <v>920</v>
      </c>
      <c r="D12" s="1" t="s">
        <v>826</v>
      </c>
      <c r="E12" s="1" t="s">
        <v>809</v>
      </c>
      <c r="F12" s="1" t="s">
        <v>826</v>
      </c>
      <c r="G12" s="1" t="s">
        <v>826</v>
      </c>
      <c r="H12" s="1" t="s">
        <v>826</v>
      </c>
      <c r="I12" s="1" t="s">
        <v>826</v>
      </c>
      <c r="J12" s="1" t="s">
        <v>826</v>
      </c>
      <c r="K12" s="1" t="s">
        <v>826</v>
      </c>
      <c r="L12" s="1" t="s">
        <v>809</v>
      </c>
      <c r="M12" s="1" t="s">
        <v>826</v>
      </c>
      <c r="N12" s="1" t="s">
        <v>826</v>
      </c>
      <c r="O12" s="1" t="s">
        <v>826</v>
      </c>
      <c r="P12" s="1" t="s">
        <v>826</v>
      </c>
      <c r="Q12" s="1" t="s">
        <v>826</v>
      </c>
      <c r="R12" s="1" t="s">
        <v>826</v>
      </c>
      <c r="S12" s="1" t="s">
        <v>809</v>
      </c>
      <c r="T12" s="1" t="s">
        <v>826</v>
      </c>
      <c r="U12" s="1" t="s">
        <v>826</v>
      </c>
      <c r="V12" s="1" t="s">
        <v>826</v>
      </c>
      <c r="W12" s="1" t="s">
        <v>826</v>
      </c>
      <c r="X12" s="1" t="s">
        <v>826</v>
      </c>
      <c r="Y12" s="1" t="s">
        <v>826</v>
      </c>
      <c r="Z12" s="1" t="s">
        <v>809</v>
      </c>
      <c r="AA12" s="1" t="s">
        <v>826</v>
      </c>
      <c r="AB12" s="1" t="s">
        <v>826</v>
      </c>
      <c r="AC12" s="1" t="s">
        <v>826</v>
      </c>
      <c r="AD12" s="1" t="s">
        <v>826</v>
      </c>
      <c r="AE12" s="1" t="s">
        <v>826</v>
      </c>
      <c r="AF12" s="1" t="s">
        <v>826</v>
      </c>
      <c r="AG12" s="1" t="s">
        <v>809</v>
      </c>
      <c r="AH12" s="1" t="s">
        <v>826</v>
      </c>
      <c r="AI12" s="1" t="s">
        <v>826</v>
      </c>
      <c r="AJ12" s="502">
        <v>43056.229596249999</v>
      </c>
    </row>
    <row r="13" spans="1:36">
      <c r="A13" s="1" t="s">
        <v>328</v>
      </c>
      <c r="B13" s="275" t="s">
        <v>855</v>
      </c>
      <c r="C13" s="1" t="s">
        <v>920</v>
      </c>
      <c r="D13" s="1" t="s">
        <v>826</v>
      </c>
      <c r="E13" s="1" t="s">
        <v>809</v>
      </c>
      <c r="F13" s="1" t="s">
        <v>831</v>
      </c>
      <c r="G13" s="1" t="s">
        <v>826</v>
      </c>
      <c r="H13" s="1" t="s">
        <v>856</v>
      </c>
      <c r="I13" s="1" t="s">
        <v>826</v>
      </c>
      <c r="J13" s="1" t="s">
        <v>857</v>
      </c>
      <c r="K13" s="1" t="s">
        <v>858</v>
      </c>
      <c r="L13" s="1" t="s">
        <v>809</v>
      </c>
      <c r="M13" s="1" t="s">
        <v>826</v>
      </c>
      <c r="N13" s="1" t="s">
        <v>826</v>
      </c>
      <c r="O13" s="1" t="s">
        <v>912</v>
      </c>
      <c r="P13" s="1" t="s">
        <v>878</v>
      </c>
      <c r="Q13" s="1" t="s">
        <v>826</v>
      </c>
      <c r="R13" s="1" t="s">
        <v>826</v>
      </c>
      <c r="S13" s="1" t="s">
        <v>809</v>
      </c>
      <c r="T13" s="1" t="s">
        <v>861</v>
      </c>
      <c r="U13" s="1" t="s">
        <v>840</v>
      </c>
      <c r="V13" s="1" t="s">
        <v>826</v>
      </c>
      <c r="W13" s="1" t="s">
        <v>863</v>
      </c>
      <c r="X13" s="1" t="s">
        <v>864</v>
      </c>
      <c r="Y13" s="1" t="s">
        <v>826</v>
      </c>
      <c r="Z13" s="1" t="s">
        <v>809</v>
      </c>
      <c r="AA13" s="1" t="s">
        <v>860</v>
      </c>
      <c r="AB13" s="1" t="s">
        <v>843</v>
      </c>
      <c r="AC13" s="1" t="s">
        <v>865</v>
      </c>
      <c r="AD13" s="1" t="s">
        <v>826</v>
      </c>
      <c r="AE13" s="1" t="s">
        <v>826</v>
      </c>
      <c r="AF13" s="1" t="s">
        <v>826</v>
      </c>
      <c r="AG13" s="1" t="s">
        <v>809</v>
      </c>
      <c r="AH13" s="1" t="s">
        <v>826</v>
      </c>
      <c r="AI13" s="1" t="s">
        <v>891</v>
      </c>
      <c r="AJ13" s="502">
        <v>43056.229596249999</v>
      </c>
    </row>
    <row r="14" spans="1:36">
      <c r="A14" s="1" t="s">
        <v>328</v>
      </c>
      <c r="B14" s="275" t="s">
        <v>867</v>
      </c>
      <c r="C14" s="1" t="s">
        <v>920</v>
      </c>
      <c r="D14" s="1" t="s">
        <v>914</v>
      </c>
      <c r="E14" s="1" t="s">
        <v>809</v>
      </c>
      <c r="F14" s="1" t="s">
        <v>923</v>
      </c>
      <c r="G14" s="1" t="s">
        <v>860</v>
      </c>
      <c r="H14" s="1" t="s">
        <v>869</v>
      </c>
      <c r="I14" s="1" t="s">
        <v>862</v>
      </c>
      <c r="J14" s="1" t="s">
        <v>863</v>
      </c>
      <c r="K14" s="1" t="s">
        <v>876</v>
      </c>
      <c r="L14" s="1" t="s">
        <v>809</v>
      </c>
      <c r="M14" s="1" t="s">
        <v>841</v>
      </c>
      <c r="N14" s="1" t="s">
        <v>841</v>
      </c>
      <c r="O14" s="1" t="s">
        <v>871</v>
      </c>
      <c r="P14" s="1" t="s">
        <v>869</v>
      </c>
      <c r="Q14" s="1" t="s">
        <v>817</v>
      </c>
      <c r="R14" s="1" t="s">
        <v>822</v>
      </c>
      <c r="S14" s="1" t="s">
        <v>809</v>
      </c>
      <c r="T14" s="1" t="s">
        <v>871</v>
      </c>
      <c r="U14" s="1" t="s">
        <v>872</v>
      </c>
      <c r="V14" s="1" t="s">
        <v>872</v>
      </c>
      <c r="W14" s="1" t="s">
        <v>924</v>
      </c>
      <c r="X14" s="1" t="s">
        <v>925</v>
      </c>
      <c r="Y14" s="1" t="s">
        <v>860</v>
      </c>
      <c r="Z14" s="1" t="s">
        <v>809</v>
      </c>
      <c r="AA14" s="1" t="s">
        <v>856</v>
      </c>
      <c r="AB14" s="1" t="s">
        <v>815</v>
      </c>
      <c r="AC14" s="1" t="s">
        <v>819</v>
      </c>
      <c r="AD14" s="1" t="s">
        <v>808</v>
      </c>
      <c r="AE14" s="1" t="s">
        <v>812</v>
      </c>
      <c r="AF14" s="1" t="s">
        <v>818</v>
      </c>
      <c r="AG14" s="1" t="s">
        <v>809</v>
      </c>
      <c r="AH14" s="1" t="s">
        <v>822</v>
      </c>
      <c r="AI14" s="1" t="s">
        <v>840</v>
      </c>
      <c r="AJ14" s="502">
        <v>43056.229596249999</v>
      </c>
    </row>
    <row r="15" spans="1:36">
      <c r="A15" s="1" t="s">
        <v>328</v>
      </c>
      <c r="B15" s="275" t="s">
        <v>877</v>
      </c>
      <c r="C15" s="1" t="s">
        <v>920</v>
      </c>
      <c r="D15" s="1" t="s">
        <v>816</v>
      </c>
      <c r="E15" s="1" t="s">
        <v>809</v>
      </c>
      <c r="F15" s="1" t="s">
        <v>861</v>
      </c>
      <c r="G15" s="1" t="s">
        <v>812</v>
      </c>
      <c r="H15" s="1" t="s">
        <v>878</v>
      </c>
      <c r="I15" s="1" t="s">
        <v>879</v>
      </c>
      <c r="J15" s="1" t="s">
        <v>851</v>
      </c>
      <c r="K15" s="1" t="s">
        <v>880</v>
      </c>
      <c r="L15" s="1" t="s">
        <v>809</v>
      </c>
      <c r="M15" s="1" t="s">
        <v>808</v>
      </c>
      <c r="N15" s="1" t="s">
        <v>881</v>
      </c>
      <c r="O15" s="1" t="s">
        <v>880</v>
      </c>
      <c r="P15" s="1" t="s">
        <v>864</v>
      </c>
      <c r="Q15" s="1" t="s">
        <v>815</v>
      </c>
      <c r="R15" s="1" t="s">
        <v>826</v>
      </c>
      <c r="S15" s="1" t="s">
        <v>809</v>
      </c>
      <c r="T15" s="1" t="s">
        <v>882</v>
      </c>
      <c r="U15" s="1" t="s">
        <v>883</v>
      </c>
      <c r="V15" s="1" t="s">
        <v>843</v>
      </c>
      <c r="W15" s="1" t="s">
        <v>884</v>
      </c>
      <c r="X15" s="1" t="s">
        <v>816</v>
      </c>
      <c r="Y15" s="1" t="s">
        <v>885</v>
      </c>
      <c r="Z15" s="1" t="s">
        <v>809</v>
      </c>
      <c r="AA15" s="1" t="s">
        <v>874</v>
      </c>
      <c r="AB15" s="1" t="s">
        <v>886</v>
      </c>
      <c r="AC15" s="1" t="s">
        <v>887</v>
      </c>
      <c r="AD15" s="1" t="s">
        <v>834</v>
      </c>
      <c r="AE15" s="1" t="s">
        <v>884</v>
      </c>
      <c r="AF15" s="1" t="s">
        <v>826</v>
      </c>
      <c r="AG15" s="1" t="s">
        <v>809</v>
      </c>
      <c r="AH15" s="1" t="s">
        <v>817</v>
      </c>
      <c r="AI15" s="1" t="s">
        <v>878</v>
      </c>
      <c r="AJ15" s="502">
        <v>43056.229596249999</v>
      </c>
    </row>
    <row r="16" spans="1:36">
      <c r="A16" s="1" t="s">
        <v>328</v>
      </c>
      <c r="B16" s="275" t="s">
        <v>888</v>
      </c>
      <c r="C16" s="1" t="s">
        <v>920</v>
      </c>
      <c r="D16" s="1" t="s">
        <v>809</v>
      </c>
      <c r="E16" s="1" t="s">
        <v>809</v>
      </c>
      <c r="F16" s="1" t="s">
        <v>809</v>
      </c>
      <c r="G16" s="1" t="s">
        <v>809</v>
      </c>
      <c r="H16" s="1" t="s">
        <v>809</v>
      </c>
      <c r="I16" s="1" t="s">
        <v>809</v>
      </c>
      <c r="J16" s="1" t="s">
        <v>809</v>
      </c>
      <c r="K16" s="1" t="s">
        <v>809</v>
      </c>
      <c r="L16" s="1" t="s">
        <v>809</v>
      </c>
      <c r="M16" s="1" t="s">
        <v>809</v>
      </c>
      <c r="N16" s="1" t="s">
        <v>809</v>
      </c>
      <c r="O16" s="1" t="s">
        <v>809</v>
      </c>
      <c r="P16" s="1" t="s">
        <v>809</v>
      </c>
      <c r="Q16" s="1" t="s">
        <v>809</v>
      </c>
      <c r="R16" s="1" t="s">
        <v>809</v>
      </c>
      <c r="S16" s="1" t="s">
        <v>809</v>
      </c>
      <c r="T16" s="1" t="s">
        <v>809</v>
      </c>
      <c r="U16" s="1" t="s">
        <v>809</v>
      </c>
      <c r="V16" s="1" t="s">
        <v>809</v>
      </c>
      <c r="W16" s="1" t="s">
        <v>809</v>
      </c>
      <c r="X16" s="1" t="s">
        <v>809</v>
      </c>
      <c r="Y16" s="1" t="s">
        <v>809</v>
      </c>
      <c r="Z16" s="1" t="s">
        <v>809</v>
      </c>
      <c r="AA16" s="1" t="s">
        <v>809</v>
      </c>
      <c r="AB16" s="1" t="s">
        <v>809</v>
      </c>
      <c r="AC16" s="1" t="s">
        <v>809</v>
      </c>
      <c r="AD16" s="1" t="s">
        <v>809</v>
      </c>
      <c r="AE16" s="1" t="s">
        <v>809</v>
      </c>
      <c r="AF16" s="1" t="s">
        <v>809</v>
      </c>
      <c r="AG16" s="1" t="s">
        <v>809</v>
      </c>
      <c r="AH16" s="1" t="s">
        <v>809</v>
      </c>
      <c r="AI16" s="1" t="s">
        <v>809</v>
      </c>
      <c r="AJ16" s="502">
        <v>43056.229596249999</v>
      </c>
    </row>
    <row r="17" spans="1:36">
      <c r="A17" s="1" t="s">
        <v>328</v>
      </c>
      <c r="B17" s="275" t="s">
        <v>926</v>
      </c>
      <c r="C17" s="1" t="s">
        <v>920</v>
      </c>
      <c r="D17" s="1" t="s">
        <v>809</v>
      </c>
      <c r="E17" s="1" t="s">
        <v>809</v>
      </c>
      <c r="F17" s="1" t="s">
        <v>809</v>
      </c>
      <c r="G17" s="1" t="s">
        <v>809</v>
      </c>
      <c r="H17" s="1" t="s">
        <v>809</v>
      </c>
      <c r="I17" s="1" t="s">
        <v>809</v>
      </c>
      <c r="J17" s="1" t="s">
        <v>809</v>
      </c>
      <c r="K17" s="1" t="s">
        <v>809</v>
      </c>
      <c r="L17" s="1" t="s">
        <v>809</v>
      </c>
      <c r="M17" s="1" t="s">
        <v>809</v>
      </c>
      <c r="N17" s="1" t="s">
        <v>809</v>
      </c>
      <c r="O17" s="1" t="s">
        <v>809</v>
      </c>
      <c r="P17" s="1" t="s">
        <v>809</v>
      </c>
      <c r="Q17" s="1" t="s">
        <v>809</v>
      </c>
      <c r="R17" s="1" t="s">
        <v>809</v>
      </c>
      <c r="S17" s="1" t="s">
        <v>809</v>
      </c>
      <c r="T17" s="1" t="s">
        <v>809</v>
      </c>
      <c r="U17" s="1" t="s">
        <v>809</v>
      </c>
      <c r="V17" s="1" t="s">
        <v>809</v>
      </c>
      <c r="W17" s="1" t="s">
        <v>809</v>
      </c>
      <c r="X17" s="1" t="s">
        <v>809</v>
      </c>
      <c r="Y17" s="1" t="s">
        <v>809</v>
      </c>
      <c r="Z17" s="1" t="s">
        <v>809</v>
      </c>
      <c r="AA17" s="1" t="s">
        <v>809</v>
      </c>
      <c r="AB17" s="1" t="s">
        <v>809</v>
      </c>
      <c r="AC17" s="1" t="s">
        <v>809</v>
      </c>
      <c r="AD17" s="1" t="s">
        <v>809</v>
      </c>
      <c r="AE17" s="1" t="s">
        <v>809</v>
      </c>
      <c r="AF17" s="1" t="s">
        <v>809</v>
      </c>
      <c r="AG17" s="1" t="s">
        <v>809</v>
      </c>
      <c r="AH17" s="1" t="s">
        <v>809</v>
      </c>
      <c r="AI17" s="1" t="s">
        <v>809</v>
      </c>
      <c r="AJ17" s="502">
        <v>43056.229596249999</v>
      </c>
    </row>
    <row r="18" spans="1:36">
      <c r="A18" s="1" t="s">
        <v>328</v>
      </c>
      <c r="B18" s="275" t="s">
        <v>927</v>
      </c>
      <c r="C18" s="1" t="s">
        <v>920</v>
      </c>
      <c r="D18" s="1" t="s">
        <v>809</v>
      </c>
      <c r="E18" s="1" t="s">
        <v>809</v>
      </c>
      <c r="F18" s="1" t="s">
        <v>809</v>
      </c>
      <c r="G18" s="1" t="s">
        <v>809</v>
      </c>
      <c r="H18" s="1" t="s">
        <v>809</v>
      </c>
      <c r="I18" s="1" t="s">
        <v>809</v>
      </c>
      <c r="J18" s="1" t="s">
        <v>809</v>
      </c>
      <c r="K18" s="1" t="s">
        <v>809</v>
      </c>
      <c r="L18" s="1" t="s">
        <v>809</v>
      </c>
      <c r="M18" s="1" t="s">
        <v>809</v>
      </c>
      <c r="N18" s="1" t="s">
        <v>809</v>
      </c>
      <c r="O18" s="1" t="s">
        <v>809</v>
      </c>
      <c r="P18" s="1" t="s">
        <v>809</v>
      </c>
      <c r="Q18" s="1" t="s">
        <v>809</v>
      </c>
      <c r="R18" s="1" t="s">
        <v>809</v>
      </c>
      <c r="S18" s="1" t="s">
        <v>809</v>
      </c>
      <c r="T18" s="1" t="s">
        <v>809</v>
      </c>
      <c r="U18" s="1" t="s">
        <v>809</v>
      </c>
      <c r="V18" s="1" t="s">
        <v>809</v>
      </c>
      <c r="W18" s="1" t="s">
        <v>809</v>
      </c>
      <c r="X18" s="1" t="s">
        <v>809</v>
      </c>
      <c r="Y18" s="1" t="s">
        <v>809</v>
      </c>
      <c r="Z18" s="1" t="s">
        <v>809</v>
      </c>
      <c r="AA18" s="1" t="s">
        <v>809</v>
      </c>
      <c r="AB18" s="1" t="s">
        <v>809</v>
      </c>
      <c r="AC18" s="1" t="s">
        <v>809</v>
      </c>
      <c r="AD18" s="1" t="s">
        <v>809</v>
      </c>
      <c r="AE18" s="1" t="s">
        <v>809</v>
      </c>
      <c r="AF18" s="1" t="s">
        <v>809</v>
      </c>
      <c r="AG18" s="1" t="s">
        <v>809</v>
      </c>
      <c r="AH18" s="1" t="s">
        <v>809</v>
      </c>
      <c r="AI18" s="1" t="s">
        <v>809</v>
      </c>
      <c r="AJ18" s="502">
        <v>43056.229596249999</v>
      </c>
    </row>
    <row r="19" spans="1:36">
      <c r="A19" s="1" t="s">
        <v>328</v>
      </c>
      <c r="B19" s="275" t="s">
        <v>928</v>
      </c>
      <c r="C19" s="1" t="s">
        <v>920</v>
      </c>
      <c r="D19" s="1" t="s">
        <v>809</v>
      </c>
      <c r="E19" s="1" t="s">
        <v>809</v>
      </c>
      <c r="F19" s="1" t="s">
        <v>809</v>
      </c>
      <c r="G19" s="1" t="s">
        <v>809</v>
      </c>
      <c r="H19" s="1" t="s">
        <v>809</v>
      </c>
      <c r="I19" s="1" t="s">
        <v>809</v>
      </c>
      <c r="J19" s="1" t="s">
        <v>809</v>
      </c>
      <c r="K19" s="1" t="s">
        <v>809</v>
      </c>
      <c r="L19" s="1" t="s">
        <v>809</v>
      </c>
      <c r="M19" s="1" t="s">
        <v>809</v>
      </c>
      <c r="N19" s="1" t="s">
        <v>809</v>
      </c>
      <c r="O19" s="1" t="s">
        <v>809</v>
      </c>
      <c r="P19" s="1" t="s">
        <v>809</v>
      </c>
      <c r="Q19" s="1" t="s">
        <v>809</v>
      </c>
      <c r="R19" s="1" t="s">
        <v>809</v>
      </c>
      <c r="S19" s="1" t="s">
        <v>809</v>
      </c>
      <c r="T19" s="1" t="s">
        <v>809</v>
      </c>
      <c r="U19" s="1" t="s">
        <v>809</v>
      </c>
      <c r="V19" s="1" t="s">
        <v>809</v>
      </c>
      <c r="W19" s="1" t="s">
        <v>809</v>
      </c>
      <c r="X19" s="1" t="s">
        <v>809</v>
      </c>
      <c r="Y19" s="1" t="s">
        <v>809</v>
      </c>
      <c r="Z19" s="1" t="s">
        <v>809</v>
      </c>
      <c r="AA19" s="1" t="s">
        <v>809</v>
      </c>
      <c r="AB19" s="1" t="s">
        <v>809</v>
      </c>
      <c r="AC19" s="1" t="s">
        <v>809</v>
      </c>
      <c r="AD19" s="1" t="s">
        <v>809</v>
      </c>
      <c r="AE19" s="1" t="s">
        <v>809</v>
      </c>
      <c r="AF19" s="1" t="s">
        <v>809</v>
      </c>
      <c r="AG19" s="1" t="s">
        <v>809</v>
      </c>
      <c r="AH19" s="1" t="s">
        <v>809</v>
      </c>
      <c r="AI19" s="1" t="s">
        <v>809</v>
      </c>
      <c r="AJ19" s="502">
        <v>43056.229596249999</v>
      </c>
    </row>
    <row r="20" spans="1:36">
      <c r="A20" s="1" t="s">
        <v>328</v>
      </c>
      <c r="B20" s="275" t="s">
        <v>929</v>
      </c>
      <c r="C20" s="1" t="s">
        <v>920</v>
      </c>
      <c r="D20" s="1" t="s">
        <v>809</v>
      </c>
      <c r="E20" s="1" t="s">
        <v>809</v>
      </c>
      <c r="F20" s="1" t="s">
        <v>809</v>
      </c>
      <c r="G20" s="1" t="s">
        <v>809</v>
      </c>
      <c r="H20" s="1" t="s">
        <v>809</v>
      </c>
      <c r="I20" s="1" t="s">
        <v>809</v>
      </c>
      <c r="J20" s="1" t="s">
        <v>809</v>
      </c>
      <c r="K20" s="1" t="s">
        <v>809</v>
      </c>
      <c r="L20" s="1" t="s">
        <v>809</v>
      </c>
      <c r="M20" s="1" t="s">
        <v>809</v>
      </c>
      <c r="N20" s="1" t="s">
        <v>809</v>
      </c>
      <c r="O20" s="1" t="s">
        <v>809</v>
      </c>
      <c r="P20" s="1" t="s">
        <v>809</v>
      </c>
      <c r="Q20" s="1" t="s">
        <v>809</v>
      </c>
      <c r="R20" s="1" t="s">
        <v>809</v>
      </c>
      <c r="S20" s="1" t="s">
        <v>809</v>
      </c>
      <c r="T20" s="1" t="s">
        <v>809</v>
      </c>
      <c r="U20" s="1" t="s">
        <v>809</v>
      </c>
      <c r="V20" s="1" t="s">
        <v>809</v>
      </c>
      <c r="W20" s="1" t="s">
        <v>809</v>
      </c>
      <c r="X20" s="1" t="s">
        <v>809</v>
      </c>
      <c r="Y20" s="1" t="s">
        <v>809</v>
      </c>
      <c r="Z20" s="1" t="s">
        <v>809</v>
      </c>
      <c r="AA20" s="1" t="s">
        <v>809</v>
      </c>
      <c r="AB20" s="1" t="s">
        <v>809</v>
      </c>
      <c r="AC20" s="1" t="s">
        <v>809</v>
      </c>
      <c r="AD20" s="1" t="s">
        <v>809</v>
      </c>
      <c r="AE20" s="1" t="s">
        <v>809</v>
      </c>
      <c r="AF20" s="1" t="s">
        <v>809</v>
      </c>
      <c r="AG20" s="1" t="s">
        <v>809</v>
      </c>
      <c r="AH20" s="1" t="s">
        <v>809</v>
      </c>
      <c r="AI20" s="1" t="s">
        <v>809</v>
      </c>
      <c r="AJ20" s="502">
        <v>43056.229596249999</v>
      </c>
    </row>
    <row r="21" spans="1:36">
      <c r="A21" s="1" t="s">
        <v>328</v>
      </c>
      <c r="B21" s="275" t="s">
        <v>930</v>
      </c>
      <c r="C21" s="1" t="s">
        <v>920</v>
      </c>
      <c r="D21" s="1" t="s">
        <v>809</v>
      </c>
      <c r="E21" s="1" t="s">
        <v>809</v>
      </c>
      <c r="F21" s="1" t="s">
        <v>809</v>
      </c>
      <c r="G21" s="1" t="s">
        <v>809</v>
      </c>
      <c r="H21" s="1" t="s">
        <v>809</v>
      </c>
      <c r="I21" s="1" t="s">
        <v>809</v>
      </c>
      <c r="J21" s="1" t="s">
        <v>809</v>
      </c>
      <c r="K21" s="1" t="s">
        <v>809</v>
      </c>
      <c r="L21" s="1" t="s">
        <v>809</v>
      </c>
      <c r="M21" s="1" t="s">
        <v>809</v>
      </c>
      <c r="N21" s="1" t="s">
        <v>809</v>
      </c>
      <c r="O21" s="1" t="s">
        <v>809</v>
      </c>
      <c r="P21" s="1" t="s">
        <v>809</v>
      </c>
      <c r="Q21" s="1" t="s">
        <v>809</v>
      </c>
      <c r="R21" s="1" t="s">
        <v>809</v>
      </c>
      <c r="S21" s="1" t="s">
        <v>809</v>
      </c>
      <c r="T21" s="1" t="s">
        <v>809</v>
      </c>
      <c r="U21" s="1" t="s">
        <v>809</v>
      </c>
      <c r="V21" s="1" t="s">
        <v>809</v>
      </c>
      <c r="W21" s="1" t="s">
        <v>809</v>
      </c>
      <c r="X21" s="1" t="s">
        <v>809</v>
      </c>
      <c r="Y21" s="1" t="s">
        <v>809</v>
      </c>
      <c r="Z21" s="1" t="s">
        <v>809</v>
      </c>
      <c r="AA21" s="1" t="s">
        <v>809</v>
      </c>
      <c r="AB21" s="1" t="s">
        <v>809</v>
      </c>
      <c r="AC21" s="1" t="s">
        <v>809</v>
      </c>
      <c r="AD21" s="1" t="s">
        <v>809</v>
      </c>
      <c r="AE21" s="1" t="s">
        <v>809</v>
      </c>
      <c r="AF21" s="1" t="s">
        <v>809</v>
      </c>
      <c r="AG21" s="1" t="s">
        <v>809</v>
      </c>
      <c r="AH21" s="1" t="s">
        <v>809</v>
      </c>
      <c r="AI21" s="1" t="s">
        <v>809</v>
      </c>
      <c r="AJ21" s="502">
        <v>43056.229596249999</v>
      </c>
    </row>
    <row r="22" spans="1:36">
      <c r="A22" s="503" t="s">
        <v>328</v>
      </c>
      <c r="B22" s="503" t="s">
        <v>931</v>
      </c>
      <c r="C22" s="503" t="s">
        <v>920</v>
      </c>
      <c r="D22" s="503" t="s">
        <v>871</v>
      </c>
      <c r="E22" s="503" t="s">
        <v>809</v>
      </c>
      <c r="F22" s="503" t="s">
        <v>840</v>
      </c>
      <c r="G22" s="503" t="s">
        <v>823</v>
      </c>
      <c r="H22" s="503" t="s">
        <v>873</v>
      </c>
      <c r="I22" s="503" t="s">
        <v>843</v>
      </c>
      <c r="J22" s="503" t="s">
        <v>822</v>
      </c>
      <c r="K22" s="503" t="s">
        <v>865</v>
      </c>
      <c r="L22" s="503" t="s">
        <v>809</v>
      </c>
      <c r="M22" s="503" t="s">
        <v>870</v>
      </c>
      <c r="N22" s="503" t="s">
        <v>932</v>
      </c>
      <c r="O22" s="503" t="s">
        <v>913</v>
      </c>
      <c r="P22" s="503" t="s">
        <v>933</v>
      </c>
      <c r="Q22" s="503" t="s">
        <v>857</v>
      </c>
      <c r="R22" s="503" t="s">
        <v>849</v>
      </c>
      <c r="S22" s="503" t="s">
        <v>809</v>
      </c>
      <c r="T22" s="503" t="s">
        <v>858</v>
      </c>
      <c r="U22" s="503" t="s">
        <v>934</v>
      </c>
      <c r="V22" s="503" t="s">
        <v>842</v>
      </c>
      <c r="W22" s="503" t="s">
        <v>891</v>
      </c>
      <c r="X22" s="503" t="s">
        <v>840</v>
      </c>
      <c r="Y22" s="503" t="s">
        <v>841</v>
      </c>
      <c r="Z22" s="503" t="s">
        <v>809</v>
      </c>
      <c r="AA22" s="503" t="s">
        <v>822</v>
      </c>
      <c r="AB22" s="503" t="s">
        <v>840</v>
      </c>
      <c r="AC22" s="503" t="s">
        <v>817</v>
      </c>
      <c r="AD22" s="503" t="s">
        <v>843</v>
      </c>
      <c r="AE22" s="503" t="s">
        <v>822</v>
      </c>
      <c r="AF22" s="503" t="s">
        <v>822</v>
      </c>
      <c r="AG22" s="503" t="s">
        <v>809</v>
      </c>
      <c r="AH22" s="503" t="s">
        <v>822</v>
      </c>
      <c r="AI22" s="503" t="s">
        <v>840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935</v>
      </c>
    </row>
    <row r="2" spans="1:35">
      <c r="A2" s="1" t="s">
        <v>328</v>
      </c>
      <c r="B2" s="275" t="s">
        <v>364</v>
      </c>
      <c r="C2" s="1" t="s">
        <v>936</v>
      </c>
      <c r="D2" s="1" t="s">
        <v>521</v>
      </c>
      <c r="E2" s="1" t="s">
        <v>937</v>
      </c>
      <c r="F2" s="1" t="s">
        <v>938</v>
      </c>
      <c r="G2" s="1" t="s">
        <v>939</v>
      </c>
      <c r="H2" s="1" t="s">
        <v>940</v>
      </c>
      <c r="I2" s="1"/>
      <c r="J2" s="1" t="s">
        <v>941</v>
      </c>
      <c r="K2" s="1" t="s">
        <v>521</v>
      </c>
      <c r="L2" s="1" t="s">
        <v>942</v>
      </c>
      <c r="M2" s="1" t="s">
        <v>943</v>
      </c>
      <c r="N2" s="1" t="s">
        <v>944</v>
      </c>
      <c r="O2" s="1" t="s">
        <v>945</v>
      </c>
      <c r="P2" s="1" t="s">
        <v>946</v>
      </c>
      <c r="Q2" s="1" t="s">
        <v>947</v>
      </c>
      <c r="R2" s="1" t="s">
        <v>521</v>
      </c>
      <c r="S2" s="1" t="s">
        <v>948</v>
      </c>
      <c r="T2" s="1" t="s">
        <v>949</v>
      </c>
      <c r="U2" s="1" t="s">
        <v>950</v>
      </c>
      <c r="V2" s="1" t="s">
        <v>939</v>
      </c>
      <c r="W2" s="1" t="s">
        <v>947</v>
      </c>
      <c r="X2" s="1" t="s">
        <v>951</v>
      </c>
      <c r="Y2" s="1" t="s">
        <v>521</v>
      </c>
      <c r="Z2" s="1" t="s">
        <v>941</v>
      </c>
      <c r="AA2" s="1" t="s">
        <v>952</v>
      </c>
      <c r="AB2" s="1" t="s">
        <v>953</v>
      </c>
      <c r="AC2" s="1" t="s">
        <v>954</v>
      </c>
      <c r="AD2" s="1" t="s">
        <v>955</v>
      </c>
      <c r="AE2" s="1" t="s">
        <v>956</v>
      </c>
      <c r="AF2" s="1" t="s">
        <v>521</v>
      </c>
      <c r="AG2" s="1" t="s">
        <v>957</v>
      </c>
      <c r="AH2" s="1" t="s">
        <v>958</v>
      </c>
      <c r="AI2" s="502">
        <v>43056.2297915741</v>
      </c>
    </row>
    <row r="3" spans="1:35">
      <c r="A3" s="1" t="s">
        <v>328</v>
      </c>
      <c r="B3" s="275" t="s">
        <v>398</v>
      </c>
      <c r="C3" s="1" t="s">
        <v>959</v>
      </c>
      <c r="D3" s="1" t="s">
        <v>521</v>
      </c>
      <c r="E3" s="1" t="s">
        <v>960</v>
      </c>
      <c r="F3" s="1" t="s">
        <v>961</v>
      </c>
      <c r="G3" s="1" t="s">
        <v>962</v>
      </c>
      <c r="H3" s="1" t="s">
        <v>963</v>
      </c>
      <c r="I3" s="1"/>
      <c r="J3" s="1" t="s">
        <v>964</v>
      </c>
      <c r="K3" s="1" t="s">
        <v>521</v>
      </c>
      <c r="L3" s="1" t="s">
        <v>965</v>
      </c>
      <c r="M3" s="1" t="s">
        <v>966</v>
      </c>
      <c r="N3" s="1" t="s">
        <v>967</v>
      </c>
      <c r="O3" s="1" t="s">
        <v>968</v>
      </c>
      <c r="P3" s="1" t="s">
        <v>969</v>
      </c>
      <c r="Q3" s="1" t="s">
        <v>970</v>
      </c>
      <c r="R3" s="1" t="s">
        <v>521</v>
      </c>
      <c r="S3" s="1" t="s">
        <v>971</v>
      </c>
      <c r="T3" s="1" t="s">
        <v>959</v>
      </c>
      <c r="U3" s="1" t="s">
        <v>972</v>
      </c>
      <c r="V3" s="1" t="s">
        <v>973</v>
      </c>
      <c r="W3" s="1" t="s">
        <v>964</v>
      </c>
      <c r="X3" s="1" t="s">
        <v>974</v>
      </c>
      <c r="Y3" s="1" t="s">
        <v>521</v>
      </c>
      <c r="Z3" s="1" t="s">
        <v>975</v>
      </c>
      <c r="AA3" s="1" t="s">
        <v>976</v>
      </c>
      <c r="AB3" s="1" t="s">
        <v>977</v>
      </c>
      <c r="AC3" s="1" t="s">
        <v>967</v>
      </c>
      <c r="AD3" s="1" t="s">
        <v>959</v>
      </c>
      <c r="AE3" s="1" t="s">
        <v>974</v>
      </c>
      <c r="AF3" s="1" t="s">
        <v>521</v>
      </c>
      <c r="AG3" s="1" t="s">
        <v>972</v>
      </c>
      <c r="AH3" s="1" t="s">
        <v>978</v>
      </c>
      <c r="AI3" s="502">
        <v>43056.2297915741</v>
      </c>
    </row>
    <row r="4" spans="1:35">
      <c r="A4" s="1" t="s">
        <v>328</v>
      </c>
      <c r="B4" s="275" t="s">
        <v>428</v>
      </c>
      <c r="C4" s="1" t="s">
        <v>521</v>
      </c>
      <c r="D4" s="1" t="s">
        <v>521</v>
      </c>
      <c r="E4" s="1" t="s">
        <v>979</v>
      </c>
      <c r="F4" s="1" t="s">
        <v>521</v>
      </c>
      <c r="G4" s="1" t="s">
        <v>521</v>
      </c>
      <c r="H4" s="1" t="s">
        <v>521</v>
      </c>
      <c r="I4" s="1"/>
      <c r="J4" s="1" t="s">
        <v>521</v>
      </c>
      <c r="K4" s="1" t="s">
        <v>521</v>
      </c>
      <c r="L4" s="1" t="s">
        <v>521</v>
      </c>
      <c r="M4" s="1" t="s">
        <v>521</v>
      </c>
      <c r="N4" s="1" t="s">
        <v>521</v>
      </c>
      <c r="O4" s="1" t="s">
        <v>521</v>
      </c>
      <c r="P4" s="1" t="s">
        <v>521</v>
      </c>
      <c r="Q4" s="1" t="s">
        <v>521</v>
      </c>
      <c r="R4" s="1" t="s">
        <v>521</v>
      </c>
      <c r="S4" s="1" t="s">
        <v>521</v>
      </c>
      <c r="T4" s="1" t="s">
        <v>521</v>
      </c>
      <c r="U4" s="1" t="s">
        <v>980</v>
      </c>
      <c r="V4" s="1" t="s">
        <v>521</v>
      </c>
      <c r="W4" s="1" t="s">
        <v>521</v>
      </c>
      <c r="X4" s="1" t="s">
        <v>521</v>
      </c>
      <c r="Y4" s="1" t="s">
        <v>521</v>
      </c>
      <c r="Z4" s="1" t="s">
        <v>521</v>
      </c>
      <c r="AA4" s="1" t="s">
        <v>521</v>
      </c>
      <c r="AB4" s="1" t="s">
        <v>521</v>
      </c>
      <c r="AC4" s="1" t="s">
        <v>521</v>
      </c>
      <c r="AD4" s="1" t="s">
        <v>521</v>
      </c>
      <c r="AE4" s="1" t="s">
        <v>521</v>
      </c>
      <c r="AF4" s="1" t="s">
        <v>521</v>
      </c>
      <c r="AG4" s="1" t="s">
        <v>521</v>
      </c>
      <c r="AH4" s="1" t="s">
        <v>237</v>
      </c>
      <c r="AI4" s="502">
        <v>43056.2297915741</v>
      </c>
    </row>
    <row r="5" spans="1:35">
      <c r="A5" s="1" t="s">
        <v>328</v>
      </c>
      <c r="B5" s="275" t="s">
        <v>457</v>
      </c>
      <c r="C5" s="1" t="s">
        <v>521</v>
      </c>
      <c r="D5" s="1" t="s">
        <v>521</v>
      </c>
      <c r="E5" s="1" t="s">
        <v>521</v>
      </c>
      <c r="F5" s="1" t="s">
        <v>521</v>
      </c>
      <c r="G5" s="1" t="s">
        <v>979</v>
      </c>
      <c r="H5" s="1" t="s">
        <v>521</v>
      </c>
      <c r="I5" s="1"/>
      <c r="J5" s="1" t="s">
        <v>981</v>
      </c>
      <c r="K5" s="1" t="s">
        <v>521</v>
      </c>
      <c r="L5" s="1" t="s">
        <v>980</v>
      </c>
      <c r="M5" s="1" t="s">
        <v>521</v>
      </c>
      <c r="N5" s="1" t="s">
        <v>521</v>
      </c>
      <c r="O5" s="1" t="s">
        <v>979</v>
      </c>
      <c r="P5" s="1" t="s">
        <v>979</v>
      </c>
      <c r="Q5" s="1" t="s">
        <v>521</v>
      </c>
      <c r="R5" s="1" t="s">
        <v>521</v>
      </c>
      <c r="S5" s="1" t="s">
        <v>979</v>
      </c>
      <c r="T5" s="1" t="s">
        <v>521</v>
      </c>
      <c r="U5" s="1" t="s">
        <v>521</v>
      </c>
      <c r="V5" s="1" t="s">
        <v>521</v>
      </c>
      <c r="W5" s="1" t="s">
        <v>979</v>
      </c>
      <c r="X5" s="1" t="s">
        <v>521</v>
      </c>
      <c r="Y5" s="1" t="s">
        <v>521</v>
      </c>
      <c r="Z5" s="1" t="s">
        <v>521</v>
      </c>
      <c r="AA5" s="1" t="s">
        <v>980</v>
      </c>
      <c r="AB5" s="1" t="s">
        <v>979</v>
      </c>
      <c r="AC5" s="1" t="s">
        <v>980</v>
      </c>
      <c r="AD5" s="1" t="s">
        <v>521</v>
      </c>
      <c r="AE5" s="1" t="s">
        <v>521</v>
      </c>
      <c r="AF5" s="1" t="s">
        <v>521</v>
      </c>
      <c r="AG5" s="1" t="s">
        <v>980</v>
      </c>
      <c r="AH5" s="1" t="s">
        <v>982</v>
      </c>
      <c r="AI5" s="502">
        <v>43056.2297915741</v>
      </c>
    </row>
    <row r="6" spans="1:35">
      <c r="A6" s="1" t="s">
        <v>328</v>
      </c>
      <c r="B6" s="275" t="s">
        <v>486</v>
      </c>
      <c r="C6" s="1" t="s">
        <v>521</v>
      </c>
      <c r="D6" s="1" t="s">
        <v>521</v>
      </c>
      <c r="E6" s="1" t="s">
        <v>981</v>
      </c>
      <c r="F6" s="1" t="s">
        <v>983</v>
      </c>
      <c r="G6" s="1" t="s">
        <v>984</v>
      </c>
      <c r="H6" s="1" t="s">
        <v>985</v>
      </c>
      <c r="I6" s="1"/>
      <c r="J6" s="1" t="s">
        <v>981</v>
      </c>
      <c r="K6" s="1" t="s">
        <v>521</v>
      </c>
      <c r="L6" s="1" t="s">
        <v>986</v>
      </c>
      <c r="M6" s="1" t="s">
        <v>977</v>
      </c>
      <c r="N6" s="1" t="s">
        <v>987</v>
      </c>
      <c r="O6" s="1" t="s">
        <v>981</v>
      </c>
      <c r="P6" s="1" t="s">
        <v>983</v>
      </c>
      <c r="Q6" s="1" t="s">
        <v>983</v>
      </c>
      <c r="R6" s="1" t="s">
        <v>521</v>
      </c>
      <c r="S6" s="1" t="s">
        <v>988</v>
      </c>
      <c r="T6" s="1" t="s">
        <v>989</v>
      </c>
      <c r="U6" s="1" t="s">
        <v>990</v>
      </c>
      <c r="V6" s="1" t="s">
        <v>984</v>
      </c>
      <c r="W6" s="1" t="s">
        <v>980</v>
      </c>
      <c r="X6" s="1" t="s">
        <v>986</v>
      </c>
      <c r="Y6" s="1" t="s">
        <v>521</v>
      </c>
      <c r="Z6" s="1" t="s">
        <v>977</v>
      </c>
      <c r="AA6" s="1" t="s">
        <v>984</v>
      </c>
      <c r="AB6" s="1" t="s">
        <v>990</v>
      </c>
      <c r="AC6" s="1" t="s">
        <v>974</v>
      </c>
      <c r="AD6" s="1" t="s">
        <v>989</v>
      </c>
      <c r="AE6" s="1" t="s">
        <v>989</v>
      </c>
      <c r="AF6" s="1" t="s">
        <v>521</v>
      </c>
      <c r="AG6" s="1" t="s">
        <v>974</v>
      </c>
      <c r="AH6" s="1" t="s">
        <v>991</v>
      </c>
      <c r="AI6" s="502">
        <v>43056.2297915741</v>
      </c>
    </row>
    <row r="7" spans="1:35">
      <c r="A7" s="1" t="s">
        <v>328</v>
      </c>
      <c r="B7" s="275" t="s">
        <v>520</v>
      </c>
      <c r="C7" s="1" t="s">
        <v>521</v>
      </c>
      <c r="D7" s="1" t="s">
        <v>521</v>
      </c>
      <c r="E7" s="1" t="s">
        <v>521</v>
      </c>
      <c r="F7" s="1" t="s">
        <v>521</v>
      </c>
      <c r="G7" s="1" t="s">
        <v>521</v>
      </c>
      <c r="H7" s="1" t="s">
        <v>521</v>
      </c>
      <c r="I7" s="1"/>
      <c r="J7" s="1" t="s">
        <v>521</v>
      </c>
      <c r="K7" s="1" t="s">
        <v>521</v>
      </c>
      <c r="L7" s="1" t="s">
        <v>521</v>
      </c>
      <c r="M7" s="1" t="s">
        <v>521</v>
      </c>
      <c r="N7" s="1" t="s">
        <v>521</v>
      </c>
      <c r="O7" s="1" t="s">
        <v>521</v>
      </c>
      <c r="P7" s="1" t="s">
        <v>521</v>
      </c>
      <c r="Q7" s="1" t="s">
        <v>521</v>
      </c>
      <c r="R7" s="1" t="s">
        <v>521</v>
      </c>
      <c r="S7" s="1" t="s">
        <v>521</v>
      </c>
      <c r="T7" s="1" t="s">
        <v>521</v>
      </c>
      <c r="U7" s="1" t="s">
        <v>521</v>
      </c>
      <c r="V7" s="1" t="s">
        <v>521</v>
      </c>
      <c r="W7" s="1" t="s">
        <v>521</v>
      </c>
      <c r="X7" s="1" t="s">
        <v>521</v>
      </c>
      <c r="Y7" s="1" t="s">
        <v>521</v>
      </c>
      <c r="Z7" s="1" t="s">
        <v>521</v>
      </c>
      <c r="AA7" s="1" t="s">
        <v>521</v>
      </c>
      <c r="AB7" s="1" t="s">
        <v>521</v>
      </c>
      <c r="AC7" s="1" t="s">
        <v>521</v>
      </c>
      <c r="AD7" s="1" t="s">
        <v>521</v>
      </c>
      <c r="AE7" s="1" t="s">
        <v>521</v>
      </c>
      <c r="AF7" s="1" t="s">
        <v>521</v>
      </c>
      <c r="AG7" s="1" t="s">
        <v>521</v>
      </c>
      <c r="AH7" s="1" t="s">
        <v>809</v>
      </c>
      <c r="AI7" s="502">
        <v>43056.2297915741</v>
      </c>
    </row>
    <row r="8" spans="1:35">
      <c r="A8" s="1" t="s">
        <v>328</v>
      </c>
      <c r="B8" s="275" t="s">
        <v>522</v>
      </c>
      <c r="C8" s="1" t="s">
        <v>980</v>
      </c>
      <c r="D8" s="1" t="s">
        <v>521</v>
      </c>
      <c r="E8" s="1" t="s">
        <v>979</v>
      </c>
      <c r="F8" s="1" t="s">
        <v>981</v>
      </c>
      <c r="G8" s="1" t="s">
        <v>992</v>
      </c>
      <c r="H8" s="1" t="s">
        <v>979</v>
      </c>
      <c r="I8" s="1"/>
      <c r="J8" s="1" t="s">
        <v>993</v>
      </c>
      <c r="K8" s="1" t="s">
        <v>521</v>
      </c>
      <c r="L8" s="1" t="s">
        <v>994</v>
      </c>
      <c r="M8" s="1" t="s">
        <v>995</v>
      </c>
      <c r="N8" s="1" t="s">
        <v>980</v>
      </c>
      <c r="O8" s="1" t="s">
        <v>979</v>
      </c>
      <c r="P8" s="1" t="s">
        <v>974</v>
      </c>
      <c r="Q8" s="1" t="s">
        <v>974</v>
      </c>
      <c r="R8" s="1" t="s">
        <v>521</v>
      </c>
      <c r="S8" s="1" t="s">
        <v>983</v>
      </c>
      <c r="T8" s="1" t="s">
        <v>984</v>
      </c>
      <c r="U8" s="1" t="s">
        <v>994</v>
      </c>
      <c r="V8" s="1" t="s">
        <v>521</v>
      </c>
      <c r="W8" s="1" t="s">
        <v>979</v>
      </c>
      <c r="X8" s="1" t="s">
        <v>979</v>
      </c>
      <c r="Y8" s="1" t="s">
        <v>521</v>
      </c>
      <c r="Z8" s="1" t="s">
        <v>986</v>
      </c>
      <c r="AA8" s="1" t="s">
        <v>992</v>
      </c>
      <c r="AB8" s="1" t="s">
        <v>979</v>
      </c>
      <c r="AC8" s="1" t="s">
        <v>980</v>
      </c>
      <c r="AD8" s="1" t="s">
        <v>986</v>
      </c>
      <c r="AE8" s="1" t="s">
        <v>979</v>
      </c>
      <c r="AF8" s="1" t="s">
        <v>521</v>
      </c>
      <c r="AG8" s="1" t="s">
        <v>970</v>
      </c>
      <c r="AH8" s="1" t="s">
        <v>996</v>
      </c>
      <c r="AI8" s="502">
        <v>43056.2297915741</v>
      </c>
    </row>
    <row r="9" spans="1:35">
      <c r="A9" s="1" t="s">
        <v>328</v>
      </c>
      <c r="B9" s="275" t="s">
        <v>844</v>
      </c>
      <c r="C9" s="1" t="s">
        <v>521</v>
      </c>
      <c r="D9" s="1" t="s">
        <v>521</v>
      </c>
      <c r="E9" s="1" t="s">
        <v>521</v>
      </c>
      <c r="F9" s="1" t="s">
        <v>980</v>
      </c>
      <c r="G9" s="1" t="s">
        <v>521</v>
      </c>
      <c r="H9" s="1" t="s">
        <v>980</v>
      </c>
      <c r="I9" s="1"/>
      <c r="J9" s="1" t="s">
        <v>521</v>
      </c>
      <c r="K9" s="1" t="s">
        <v>521</v>
      </c>
      <c r="L9" s="1" t="s">
        <v>992</v>
      </c>
      <c r="M9" s="1" t="s">
        <v>992</v>
      </c>
      <c r="N9" s="1" t="s">
        <v>980</v>
      </c>
      <c r="O9" s="1" t="s">
        <v>979</v>
      </c>
      <c r="P9" s="1" t="s">
        <v>979</v>
      </c>
      <c r="Q9" s="1" t="s">
        <v>521</v>
      </c>
      <c r="R9" s="1" t="s">
        <v>521</v>
      </c>
      <c r="S9" s="1" t="s">
        <v>521</v>
      </c>
      <c r="T9" s="1" t="s">
        <v>980</v>
      </c>
      <c r="U9" s="1" t="s">
        <v>980</v>
      </c>
      <c r="V9" s="1" t="s">
        <v>521</v>
      </c>
      <c r="W9" s="1" t="s">
        <v>980</v>
      </c>
      <c r="X9" s="1" t="s">
        <v>521</v>
      </c>
      <c r="Y9" s="1" t="s">
        <v>521</v>
      </c>
      <c r="Z9" s="1" t="s">
        <v>979</v>
      </c>
      <c r="AA9" s="1" t="s">
        <v>980</v>
      </c>
      <c r="AB9" s="1" t="s">
        <v>979</v>
      </c>
      <c r="AC9" s="1" t="s">
        <v>979</v>
      </c>
      <c r="AD9" s="1" t="s">
        <v>521</v>
      </c>
      <c r="AE9" s="1" t="s">
        <v>521</v>
      </c>
      <c r="AF9" s="1" t="s">
        <v>521</v>
      </c>
      <c r="AG9" s="1" t="s">
        <v>521</v>
      </c>
      <c r="AH9" s="1" t="s">
        <v>997</v>
      </c>
      <c r="AI9" s="502">
        <v>43056.2297915741</v>
      </c>
    </row>
    <row r="10" spans="1:35">
      <c r="A10" s="1" t="s">
        <v>328</v>
      </c>
      <c r="B10" s="275" t="s">
        <v>854</v>
      </c>
      <c r="C10" s="1" t="s">
        <v>521</v>
      </c>
      <c r="D10" s="1" t="s">
        <v>521</v>
      </c>
      <c r="E10" s="1" t="s">
        <v>521</v>
      </c>
      <c r="F10" s="1" t="s">
        <v>521</v>
      </c>
      <c r="G10" s="1" t="s">
        <v>521</v>
      </c>
      <c r="H10" s="1" t="s">
        <v>521</v>
      </c>
      <c r="I10" s="1"/>
      <c r="J10" s="1" t="s">
        <v>521</v>
      </c>
      <c r="K10" s="1" t="s">
        <v>521</v>
      </c>
      <c r="L10" s="1" t="s">
        <v>521</v>
      </c>
      <c r="M10" s="1" t="s">
        <v>521</v>
      </c>
      <c r="N10" s="1" t="s">
        <v>521</v>
      </c>
      <c r="O10" s="1" t="s">
        <v>521</v>
      </c>
      <c r="P10" s="1" t="s">
        <v>521</v>
      </c>
      <c r="Q10" s="1" t="s">
        <v>521</v>
      </c>
      <c r="R10" s="1" t="s">
        <v>521</v>
      </c>
      <c r="S10" s="1" t="s">
        <v>521</v>
      </c>
      <c r="T10" s="1" t="s">
        <v>521</v>
      </c>
      <c r="U10" s="1" t="s">
        <v>521</v>
      </c>
      <c r="V10" s="1" t="s">
        <v>521</v>
      </c>
      <c r="W10" s="1" t="s">
        <v>521</v>
      </c>
      <c r="X10" s="1" t="s">
        <v>521</v>
      </c>
      <c r="Y10" s="1" t="s">
        <v>521</v>
      </c>
      <c r="Z10" s="1" t="s">
        <v>521</v>
      </c>
      <c r="AA10" s="1" t="s">
        <v>521</v>
      </c>
      <c r="AB10" s="1" t="s">
        <v>521</v>
      </c>
      <c r="AC10" s="1" t="s">
        <v>521</v>
      </c>
      <c r="AD10" s="1" t="s">
        <v>521</v>
      </c>
      <c r="AE10" s="1" t="s">
        <v>521</v>
      </c>
      <c r="AF10" s="1" t="s">
        <v>521</v>
      </c>
      <c r="AG10" s="1" t="s">
        <v>521</v>
      </c>
      <c r="AH10" s="1" t="s">
        <v>809</v>
      </c>
      <c r="AI10" s="502">
        <v>43056.2297915741</v>
      </c>
    </row>
    <row r="11" spans="1:35">
      <c r="A11" s="1" t="s">
        <v>328</v>
      </c>
      <c r="B11" s="275" t="s">
        <v>855</v>
      </c>
      <c r="C11" s="1" t="s">
        <v>521</v>
      </c>
      <c r="D11" s="1" t="s">
        <v>521</v>
      </c>
      <c r="E11" s="1" t="s">
        <v>979</v>
      </c>
      <c r="F11" s="1" t="s">
        <v>979</v>
      </c>
      <c r="G11" s="1" t="s">
        <v>979</v>
      </c>
      <c r="H11" s="1" t="s">
        <v>521</v>
      </c>
      <c r="I11" s="1"/>
      <c r="J11" s="1" t="s">
        <v>979</v>
      </c>
      <c r="K11" s="1" t="s">
        <v>521</v>
      </c>
      <c r="L11" s="1" t="s">
        <v>521</v>
      </c>
      <c r="M11" s="1" t="s">
        <v>979</v>
      </c>
      <c r="N11" s="1" t="s">
        <v>992</v>
      </c>
      <c r="O11" s="1" t="s">
        <v>980</v>
      </c>
      <c r="P11" s="1" t="s">
        <v>521</v>
      </c>
      <c r="Q11" s="1" t="s">
        <v>521</v>
      </c>
      <c r="R11" s="1" t="s">
        <v>521</v>
      </c>
      <c r="S11" s="1" t="s">
        <v>980</v>
      </c>
      <c r="T11" s="1" t="s">
        <v>992</v>
      </c>
      <c r="U11" s="1" t="s">
        <v>521</v>
      </c>
      <c r="V11" s="1" t="s">
        <v>992</v>
      </c>
      <c r="W11" s="1" t="s">
        <v>980</v>
      </c>
      <c r="X11" s="1" t="s">
        <v>521</v>
      </c>
      <c r="Y11" s="1" t="s">
        <v>521</v>
      </c>
      <c r="Z11" s="1" t="s">
        <v>992</v>
      </c>
      <c r="AA11" s="1" t="s">
        <v>979</v>
      </c>
      <c r="AB11" s="1" t="s">
        <v>980</v>
      </c>
      <c r="AC11" s="1" t="s">
        <v>521</v>
      </c>
      <c r="AD11" s="1" t="s">
        <v>521</v>
      </c>
      <c r="AE11" s="1" t="s">
        <v>521</v>
      </c>
      <c r="AF11" s="1" t="s">
        <v>521</v>
      </c>
      <c r="AG11" s="1" t="s">
        <v>980</v>
      </c>
      <c r="AH11" s="1" t="s">
        <v>998</v>
      </c>
      <c r="AI11" s="502">
        <v>43056.2297915741</v>
      </c>
    </row>
    <row r="12" spans="1:35">
      <c r="A12" s="1" t="s">
        <v>328</v>
      </c>
      <c r="B12" s="275" t="s">
        <v>867</v>
      </c>
      <c r="C12" s="1" t="s">
        <v>999</v>
      </c>
      <c r="D12" s="1" t="s">
        <v>521</v>
      </c>
      <c r="E12" s="1" t="s">
        <v>972</v>
      </c>
      <c r="F12" s="1" t="s">
        <v>988</v>
      </c>
      <c r="G12" s="1" t="s">
        <v>970</v>
      </c>
      <c r="H12" s="1" t="s">
        <v>977</v>
      </c>
      <c r="I12" s="1"/>
      <c r="J12" s="1" t="s">
        <v>990</v>
      </c>
      <c r="K12" s="1" t="s">
        <v>521</v>
      </c>
      <c r="L12" s="1" t="s">
        <v>974</v>
      </c>
      <c r="M12" s="1" t="s">
        <v>974</v>
      </c>
      <c r="N12" s="1" t="s">
        <v>994</v>
      </c>
      <c r="O12" s="1" t="s">
        <v>970</v>
      </c>
      <c r="P12" s="1" t="s">
        <v>983</v>
      </c>
      <c r="Q12" s="1" t="s">
        <v>984</v>
      </c>
      <c r="R12" s="1" t="s">
        <v>521</v>
      </c>
      <c r="S12" s="1" t="s">
        <v>974</v>
      </c>
      <c r="T12" s="1" t="s">
        <v>999</v>
      </c>
      <c r="U12" s="1" t="s">
        <v>995</v>
      </c>
      <c r="V12" s="1" t="s">
        <v>1000</v>
      </c>
      <c r="W12" s="1" t="s">
        <v>975</v>
      </c>
      <c r="X12" s="1" t="s">
        <v>990</v>
      </c>
      <c r="Y12" s="1" t="s">
        <v>521</v>
      </c>
      <c r="Z12" s="1" t="s">
        <v>994</v>
      </c>
      <c r="AA12" s="1" t="s">
        <v>987</v>
      </c>
      <c r="AB12" s="1" t="s">
        <v>984</v>
      </c>
      <c r="AC12" s="1" t="s">
        <v>987</v>
      </c>
      <c r="AD12" s="1" t="s">
        <v>987</v>
      </c>
      <c r="AE12" s="1" t="s">
        <v>992</v>
      </c>
      <c r="AF12" s="1" t="s">
        <v>521</v>
      </c>
      <c r="AG12" s="1" t="s">
        <v>984</v>
      </c>
      <c r="AH12" s="1" t="s">
        <v>1001</v>
      </c>
      <c r="AI12" s="502">
        <v>43056.2297915741</v>
      </c>
    </row>
    <row r="13" spans="1:35">
      <c r="A13" s="1" t="s">
        <v>328</v>
      </c>
      <c r="B13" s="275" t="s">
        <v>877</v>
      </c>
      <c r="C13" s="1" t="s">
        <v>979</v>
      </c>
      <c r="D13" s="1" t="s">
        <v>521</v>
      </c>
      <c r="E13" s="1" t="s">
        <v>986</v>
      </c>
      <c r="F13" s="1" t="s">
        <v>979</v>
      </c>
      <c r="G13" s="1" t="s">
        <v>981</v>
      </c>
      <c r="H13" s="1" t="s">
        <v>984</v>
      </c>
      <c r="I13" s="1"/>
      <c r="J13" s="1" t="s">
        <v>981</v>
      </c>
      <c r="K13" s="1" t="s">
        <v>521</v>
      </c>
      <c r="L13" s="1" t="s">
        <v>979</v>
      </c>
      <c r="M13" s="1" t="s">
        <v>985</v>
      </c>
      <c r="N13" s="1" t="s">
        <v>992</v>
      </c>
      <c r="O13" s="1" t="s">
        <v>980</v>
      </c>
      <c r="P13" s="1" t="s">
        <v>979</v>
      </c>
      <c r="Q13" s="1" t="s">
        <v>521</v>
      </c>
      <c r="R13" s="1" t="s">
        <v>521</v>
      </c>
      <c r="S13" s="1" t="s">
        <v>984</v>
      </c>
      <c r="T13" s="1" t="s">
        <v>986</v>
      </c>
      <c r="U13" s="1" t="s">
        <v>980</v>
      </c>
      <c r="V13" s="1" t="s">
        <v>980</v>
      </c>
      <c r="W13" s="1" t="s">
        <v>980</v>
      </c>
      <c r="X13" s="1" t="s">
        <v>986</v>
      </c>
      <c r="Y13" s="1" t="s">
        <v>521</v>
      </c>
      <c r="Z13" s="1" t="s">
        <v>983</v>
      </c>
      <c r="AA13" s="1" t="s">
        <v>981</v>
      </c>
      <c r="AB13" s="1" t="s">
        <v>984</v>
      </c>
      <c r="AC13" s="1" t="s">
        <v>983</v>
      </c>
      <c r="AD13" s="1" t="s">
        <v>980</v>
      </c>
      <c r="AE13" s="1" t="s">
        <v>521</v>
      </c>
      <c r="AF13" s="1" t="s">
        <v>521</v>
      </c>
      <c r="AG13" s="1" t="s">
        <v>979</v>
      </c>
      <c r="AH13" s="1" t="s">
        <v>1002</v>
      </c>
      <c r="AI13" s="502">
        <v>43056.2297915741</v>
      </c>
    </row>
    <row r="14" spans="1:35">
      <c r="A14" s="1" t="s">
        <v>328</v>
      </c>
      <c r="B14" s="275" t="s">
        <v>888</v>
      </c>
      <c r="C14" s="1" t="s">
        <v>521</v>
      </c>
      <c r="D14" s="1" t="s">
        <v>521</v>
      </c>
      <c r="E14" s="1" t="s">
        <v>521</v>
      </c>
      <c r="F14" s="1" t="s">
        <v>521</v>
      </c>
      <c r="G14" s="1" t="s">
        <v>521</v>
      </c>
      <c r="H14" s="1" t="s">
        <v>521</v>
      </c>
      <c r="I14" s="1"/>
      <c r="J14" s="1" t="s">
        <v>521</v>
      </c>
      <c r="K14" s="1" t="s">
        <v>521</v>
      </c>
      <c r="L14" s="1" t="s">
        <v>521</v>
      </c>
      <c r="M14" s="1" t="s">
        <v>521</v>
      </c>
      <c r="N14" s="1" t="s">
        <v>521</v>
      </c>
      <c r="O14" s="1" t="s">
        <v>521</v>
      </c>
      <c r="P14" s="1" t="s">
        <v>521</v>
      </c>
      <c r="Q14" s="1" t="s">
        <v>521</v>
      </c>
      <c r="R14" s="1" t="s">
        <v>521</v>
      </c>
      <c r="S14" s="1" t="s">
        <v>521</v>
      </c>
      <c r="T14" s="1" t="s">
        <v>521</v>
      </c>
      <c r="U14" s="1" t="s">
        <v>521</v>
      </c>
      <c r="V14" s="1" t="s">
        <v>521</v>
      </c>
      <c r="W14" s="1" t="s">
        <v>521</v>
      </c>
      <c r="X14" s="1" t="s">
        <v>521</v>
      </c>
      <c r="Y14" s="1" t="s">
        <v>521</v>
      </c>
      <c r="Z14" s="1" t="s">
        <v>521</v>
      </c>
      <c r="AA14" s="1" t="s">
        <v>521</v>
      </c>
      <c r="AB14" s="1" t="s">
        <v>521</v>
      </c>
      <c r="AC14" s="1" t="s">
        <v>521</v>
      </c>
      <c r="AD14" s="1" t="s">
        <v>521</v>
      </c>
      <c r="AE14" s="1" t="s">
        <v>521</v>
      </c>
      <c r="AF14" s="1" t="s">
        <v>521</v>
      </c>
      <c r="AG14" s="1" t="s">
        <v>521</v>
      </c>
      <c r="AH14" s="1" t="s">
        <v>809</v>
      </c>
      <c r="AI14" s="502">
        <v>43056.2297915741</v>
      </c>
    </row>
    <row r="15" spans="1:35">
      <c r="A15" s="1" t="s">
        <v>328</v>
      </c>
      <c r="B15" s="275" t="s">
        <v>926</v>
      </c>
      <c r="C15" s="1" t="s">
        <v>521</v>
      </c>
      <c r="D15" s="1" t="s">
        <v>521</v>
      </c>
      <c r="E15" s="1" t="s">
        <v>521</v>
      </c>
      <c r="F15" s="1" t="s">
        <v>521</v>
      </c>
      <c r="G15" s="1" t="s">
        <v>521</v>
      </c>
      <c r="H15" s="1" t="s">
        <v>521</v>
      </c>
      <c r="I15" s="1"/>
      <c r="J15" s="1" t="s">
        <v>521</v>
      </c>
      <c r="K15" s="1" t="s">
        <v>521</v>
      </c>
      <c r="L15" s="1" t="s">
        <v>521</v>
      </c>
      <c r="M15" s="1" t="s">
        <v>521</v>
      </c>
      <c r="N15" s="1" t="s">
        <v>521</v>
      </c>
      <c r="O15" s="1" t="s">
        <v>521</v>
      </c>
      <c r="P15" s="1" t="s">
        <v>521</v>
      </c>
      <c r="Q15" s="1" t="s">
        <v>521</v>
      </c>
      <c r="R15" s="1" t="s">
        <v>521</v>
      </c>
      <c r="S15" s="1" t="s">
        <v>521</v>
      </c>
      <c r="T15" s="1" t="s">
        <v>521</v>
      </c>
      <c r="U15" s="1" t="s">
        <v>521</v>
      </c>
      <c r="V15" s="1" t="s">
        <v>521</v>
      </c>
      <c r="W15" s="1" t="s">
        <v>521</v>
      </c>
      <c r="X15" s="1" t="s">
        <v>521</v>
      </c>
      <c r="Y15" s="1" t="s">
        <v>521</v>
      </c>
      <c r="Z15" s="1" t="s">
        <v>521</v>
      </c>
      <c r="AA15" s="1" t="s">
        <v>521</v>
      </c>
      <c r="AB15" s="1" t="s">
        <v>521</v>
      </c>
      <c r="AC15" s="1" t="s">
        <v>521</v>
      </c>
      <c r="AD15" s="1" t="s">
        <v>521</v>
      </c>
      <c r="AE15" s="1" t="s">
        <v>521</v>
      </c>
      <c r="AF15" s="1" t="s">
        <v>521</v>
      </c>
      <c r="AG15" s="1" t="s">
        <v>521</v>
      </c>
      <c r="AH15" s="1" t="s">
        <v>809</v>
      </c>
      <c r="AI15" s="502">
        <v>43056.2297915741</v>
      </c>
    </row>
    <row r="16" spans="1:35">
      <c r="A16" s="1" t="s">
        <v>328</v>
      </c>
      <c r="B16" s="275" t="s">
        <v>927</v>
      </c>
      <c r="C16" s="1" t="s">
        <v>521</v>
      </c>
      <c r="D16" s="1" t="s">
        <v>521</v>
      </c>
      <c r="E16" s="1" t="s">
        <v>521</v>
      </c>
      <c r="F16" s="1" t="s">
        <v>521</v>
      </c>
      <c r="G16" s="1" t="s">
        <v>521</v>
      </c>
      <c r="H16" s="1" t="s">
        <v>521</v>
      </c>
      <c r="I16" s="1"/>
      <c r="J16" s="1" t="s">
        <v>521</v>
      </c>
      <c r="K16" s="1" t="s">
        <v>521</v>
      </c>
      <c r="L16" s="1" t="s">
        <v>521</v>
      </c>
      <c r="M16" s="1" t="s">
        <v>521</v>
      </c>
      <c r="N16" s="1" t="s">
        <v>521</v>
      </c>
      <c r="O16" s="1" t="s">
        <v>521</v>
      </c>
      <c r="P16" s="1" t="s">
        <v>521</v>
      </c>
      <c r="Q16" s="1" t="s">
        <v>521</v>
      </c>
      <c r="R16" s="1" t="s">
        <v>521</v>
      </c>
      <c r="S16" s="1" t="s">
        <v>521</v>
      </c>
      <c r="T16" s="1" t="s">
        <v>521</v>
      </c>
      <c r="U16" s="1" t="s">
        <v>521</v>
      </c>
      <c r="V16" s="1" t="s">
        <v>521</v>
      </c>
      <c r="W16" s="1" t="s">
        <v>521</v>
      </c>
      <c r="X16" s="1" t="s">
        <v>521</v>
      </c>
      <c r="Y16" s="1" t="s">
        <v>521</v>
      </c>
      <c r="Z16" s="1" t="s">
        <v>521</v>
      </c>
      <c r="AA16" s="1" t="s">
        <v>521</v>
      </c>
      <c r="AB16" s="1" t="s">
        <v>521</v>
      </c>
      <c r="AC16" s="1" t="s">
        <v>521</v>
      </c>
      <c r="AD16" s="1" t="s">
        <v>521</v>
      </c>
      <c r="AE16" s="1" t="s">
        <v>521</v>
      </c>
      <c r="AF16" s="1" t="s">
        <v>521</v>
      </c>
      <c r="AG16" s="1" t="s">
        <v>521</v>
      </c>
      <c r="AH16" s="1" t="s">
        <v>809</v>
      </c>
      <c r="AI16" s="502">
        <v>43056.2297915741</v>
      </c>
    </row>
    <row r="17" spans="1:35">
      <c r="A17" s="1" t="s">
        <v>328</v>
      </c>
      <c r="B17" s="275" t="s">
        <v>928</v>
      </c>
      <c r="C17" s="1" t="s">
        <v>521</v>
      </c>
      <c r="D17" s="1" t="s">
        <v>521</v>
      </c>
      <c r="E17" s="1" t="s">
        <v>521</v>
      </c>
      <c r="F17" s="1" t="s">
        <v>521</v>
      </c>
      <c r="G17" s="1" t="s">
        <v>521</v>
      </c>
      <c r="H17" s="1" t="s">
        <v>521</v>
      </c>
      <c r="I17" s="1"/>
      <c r="J17" s="1" t="s">
        <v>521</v>
      </c>
      <c r="K17" s="1" t="s">
        <v>521</v>
      </c>
      <c r="L17" s="1" t="s">
        <v>521</v>
      </c>
      <c r="M17" s="1" t="s">
        <v>521</v>
      </c>
      <c r="N17" s="1" t="s">
        <v>521</v>
      </c>
      <c r="O17" s="1" t="s">
        <v>521</v>
      </c>
      <c r="P17" s="1" t="s">
        <v>521</v>
      </c>
      <c r="Q17" s="1" t="s">
        <v>521</v>
      </c>
      <c r="R17" s="1" t="s">
        <v>521</v>
      </c>
      <c r="S17" s="1" t="s">
        <v>521</v>
      </c>
      <c r="T17" s="1" t="s">
        <v>521</v>
      </c>
      <c r="U17" s="1" t="s">
        <v>521</v>
      </c>
      <c r="V17" s="1" t="s">
        <v>521</v>
      </c>
      <c r="W17" s="1" t="s">
        <v>521</v>
      </c>
      <c r="X17" s="1" t="s">
        <v>521</v>
      </c>
      <c r="Y17" s="1" t="s">
        <v>521</v>
      </c>
      <c r="Z17" s="1" t="s">
        <v>521</v>
      </c>
      <c r="AA17" s="1" t="s">
        <v>521</v>
      </c>
      <c r="AB17" s="1" t="s">
        <v>521</v>
      </c>
      <c r="AC17" s="1" t="s">
        <v>521</v>
      </c>
      <c r="AD17" s="1" t="s">
        <v>521</v>
      </c>
      <c r="AE17" s="1" t="s">
        <v>521</v>
      </c>
      <c r="AF17" s="1" t="s">
        <v>521</v>
      </c>
      <c r="AG17" s="1" t="s">
        <v>521</v>
      </c>
      <c r="AH17" s="1" t="s">
        <v>809</v>
      </c>
      <c r="AI17" s="502">
        <v>43056.2297915741</v>
      </c>
    </row>
    <row r="18" spans="1:35">
      <c r="A18" s="1" t="s">
        <v>328</v>
      </c>
      <c r="B18" s="275" t="s">
        <v>929</v>
      </c>
      <c r="C18" s="1" t="s">
        <v>521</v>
      </c>
      <c r="D18" s="1" t="s">
        <v>521</v>
      </c>
      <c r="E18" s="1" t="s">
        <v>521</v>
      </c>
      <c r="F18" s="1" t="s">
        <v>521</v>
      </c>
      <c r="G18" s="1" t="s">
        <v>521</v>
      </c>
      <c r="H18" s="1" t="s">
        <v>521</v>
      </c>
      <c r="I18" s="1"/>
      <c r="J18" s="1" t="s">
        <v>521</v>
      </c>
      <c r="K18" s="1" t="s">
        <v>521</v>
      </c>
      <c r="L18" s="1" t="s">
        <v>521</v>
      </c>
      <c r="M18" s="1" t="s">
        <v>521</v>
      </c>
      <c r="N18" s="1" t="s">
        <v>521</v>
      </c>
      <c r="O18" s="1" t="s">
        <v>521</v>
      </c>
      <c r="P18" s="1" t="s">
        <v>521</v>
      </c>
      <c r="Q18" s="1" t="s">
        <v>521</v>
      </c>
      <c r="R18" s="1" t="s">
        <v>521</v>
      </c>
      <c r="S18" s="1" t="s">
        <v>521</v>
      </c>
      <c r="T18" s="1" t="s">
        <v>521</v>
      </c>
      <c r="U18" s="1" t="s">
        <v>521</v>
      </c>
      <c r="V18" s="1" t="s">
        <v>521</v>
      </c>
      <c r="W18" s="1" t="s">
        <v>521</v>
      </c>
      <c r="X18" s="1" t="s">
        <v>521</v>
      </c>
      <c r="Y18" s="1" t="s">
        <v>521</v>
      </c>
      <c r="Z18" s="1" t="s">
        <v>521</v>
      </c>
      <c r="AA18" s="1" t="s">
        <v>521</v>
      </c>
      <c r="AB18" s="1" t="s">
        <v>521</v>
      </c>
      <c r="AC18" s="1" t="s">
        <v>521</v>
      </c>
      <c r="AD18" s="1" t="s">
        <v>521</v>
      </c>
      <c r="AE18" s="1" t="s">
        <v>521</v>
      </c>
      <c r="AF18" s="1" t="s">
        <v>521</v>
      </c>
      <c r="AG18" s="1" t="s">
        <v>521</v>
      </c>
      <c r="AH18" s="1" t="s">
        <v>809</v>
      </c>
      <c r="AI18" s="502">
        <v>43056.2297915741</v>
      </c>
    </row>
    <row r="19" spans="1:35">
      <c r="A19" s="1" t="s">
        <v>328</v>
      </c>
      <c r="B19" s="275" t="s">
        <v>930</v>
      </c>
      <c r="C19" s="1" t="s">
        <v>521</v>
      </c>
      <c r="D19" s="1" t="s">
        <v>521</v>
      </c>
      <c r="E19" s="1" t="s">
        <v>521</v>
      </c>
      <c r="F19" s="1" t="s">
        <v>521</v>
      </c>
      <c r="G19" s="1" t="s">
        <v>521</v>
      </c>
      <c r="H19" s="1" t="s">
        <v>521</v>
      </c>
      <c r="I19" s="1"/>
      <c r="J19" s="1" t="s">
        <v>521</v>
      </c>
      <c r="K19" s="1" t="s">
        <v>521</v>
      </c>
      <c r="L19" s="1" t="s">
        <v>521</v>
      </c>
      <c r="M19" s="1" t="s">
        <v>521</v>
      </c>
      <c r="N19" s="1" t="s">
        <v>521</v>
      </c>
      <c r="O19" s="1" t="s">
        <v>521</v>
      </c>
      <c r="P19" s="1" t="s">
        <v>521</v>
      </c>
      <c r="Q19" s="1" t="s">
        <v>521</v>
      </c>
      <c r="R19" s="1" t="s">
        <v>521</v>
      </c>
      <c r="S19" s="1" t="s">
        <v>521</v>
      </c>
      <c r="T19" s="1" t="s">
        <v>521</v>
      </c>
      <c r="U19" s="1" t="s">
        <v>521</v>
      </c>
      <c r="V19" s="1" t="s">
        <v>521</v>
      </c>
      <c r="W19" s="1" t="s">
        <v>521</v>
      </c>
      <c r="X19" s="1" t="s">
        <v>521</v>
      </c>
      <c r="Y19" s="1" t="s">
        <v>521</v>
      </c>
      <c r="Z19" s="1" t="s">
        <v>521</v>
      </c>
      <c r="AA19" s="1" t="s">
        <v>521</v>
      </c>
      <c r="AB19" s="1" t="s">
        <v>521</v>
      </c>
      <c r="AC19" s="1" t="s">
        <v>521</v>
      </c>
      <c r="AD19" s="1" t="s">
        <v>521</v>
      </c>
      <c r="AE19" s="1" t="s">
        <v>521</v>
      </c>
      <c r="AF19" s="1" t="s">
        <v>521</v>
      </c>
      <c r="AG19" s="1" t="s">
        <v>521</v>
      </c>
      <c r="AH19" s="1" t="s">
        <v>809</v>
      </c>
      <c r="AI19" s="502">
        <v>43056.2297915741</v>
      </c>
    </row>
    <row r="20" spans="1:35">
      <c r="A20" s="503" t="s">
        <v>328</v>
      </c>
      <c r="B20" s="275" t="s">
        <v>931</v>
      </c>
      <c r="C20" s="503" t="s">
        <v>995</v>
      </c>
      <c r="D20" s="503" t="s">
        <v>521</v>
      </c>
      <c r="E20" s="503" t="s">
        <v>1003</v>
      </c>
      <c r="F20" s="503" t="s">
        <v>972</v>
      </c>
      <c r="G20" s="503" t="s">
        <v>972</v>
      </c>
      <c r="H20" s="503" t="s">
        <v>999</v>
      </c>
      <c r="I20" s="503"/>
      <c r="J20" s="503" t="s">
        <v>973</v>
      </c>
      <c r="K20" s="503" t="s">
        <v>521</v>
      </c>
      <c r="L20" s="503" t="s">
        <v>1004</v>
      </c>
      <c r="M20" s="503" t="s">
        <v>1005</v>
      </c>
      <c r="N20" s="503" t="s">
        <v>960</v>
      </c>
      <c r="O20" s="503" t="s">
        <v>1006</v>
      </c>
      <c r="P20" s="503" t="s">
        <v>1007</v>
      </c>
      <c r="Q20" s="503" t="s">
        <v>969</v>
      </c>
      <c r="R20" s="503" t="s">
        <v>521</v>
      </c>
      <c r="S20" s="503" t="s">
        <v>1008</v>
      </c>
      <c r="T20" s="503" t="s">
        <v>1009</v>
      </c>
      <c r="U20" s="503" t="s">
        <v>1010</v>
      </c>
      <c r="V20" s="503" t="s">
        <v>977</v>
      </c>
      <c r="W20" s="503" t="s">
        <v>959</v>
      </c>
      <c r="X20" s="503" t="s">
        <v>967</v>
      </c>
      <c r="Y20" s="503" t="s">
        <v>521</v>
      </c>
      <c r="Z20" s="503" t="s">
        <v>977</v>
      </c>
      <c r="AA20" s="503" t="s">
        <v>959</v>
      </c>
      <c r="AB20" s="503" t="s">
        <v>985</v>
      </c>
      <c r="AC20" s="503" t="s">
        <v>967</v>
      </c>
      <c r="AD20" s="503" t="s">
        <v>974</v>
      </c>
      <c r="AE20" s="503" t="s">
        <v>970</v>
      </c>
      <c r="AF20" s="503" t="s">
        <v>521</v>
      </c>
      <c r="AG20" s="503" t="s">
        <v>967</v>
      </c>
      <c r="AH20" s="503" t="s">
        <v>1011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916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363</v>
      </c>
    </row>
    <row r="2" spans="1:35">
      <c r="A2" s="1" t="s">
        <v>328</v>
      </c>
      <c r="B2" s="1" t="s">
        <v>236</v>
      </c>
      <c r="C2" s="1" t="s">
        <v>1012</v>
      </c>
      <c r="D2" s="1" t="s">
        <v>1013</v>
      </c>
      <c r="E2" s="1" t="s">
        <v>1014</v>
      </c>
      <c r="F2" s="1" t="s">
        <v>1015</v>
      </c>
      <c r="G2" s="1" t="s">
        <v>1016</v>
      </c>
      <c r="H2" s="1" t="s">
        <v>1017</v>
      </c>
      <c r="I2" s="1" t="s">
        <v>1018</v>
      </c>
      <c r="J2" s="1" t="s">
        <v>1019</v>
      </c>
      <c r="K2" s="1" t="s">
        <v>1020</v>
      </c>
      <c r="L2" s="1" t="s">
        <v>1021</v>
      </c>
      <c r="M2" s="1" t="s">
        <v>1022</v>
      </c>
      <c r="N2" s="1" t="s">
        <v>1023</v>
      </c>
      <c r="O2" s="1" t="s">
        <v>1024</v>
      </c>
      <c r="P2" s="1" t="s">
        <v>1025</v>
      </c>
      <c r="Q2" s="1" t="s">
        <v>1026</v>
      </c>
      <c r="R2" s="1" t="s">
        <v>1027</v>
      </c>
      <c r="S2" s="1" t="s">
        <v>1028</v>
      </c>
      <c r="T2" s="1" t="s">
        <v>1029</v>
      </c>
      <c r="U2" s="1" t="s">
        <v>1030</v>
      </c>
      <c r="V2" s="1" t="s">
        <v>1031</v>
      </c>
      <c r="W2" s="1" t="s">
        <v>1032</v>
      </c>
      <c r="X2" s="1" t="s">
        <v>1033</v>
      </c>
      <c r="Y2" s="1" t="s">
        <v>1034</v>
      </c>
      <c r="Z2" s="1" t="s">
        <v>1035</v>
      </c>
      <c r="AA2" s="1" t="s">
        <v>1036</v>
      </c>
      <c r="AB2" s="1" t="s">
        <v>1037</v>
      </c>
      <c r="AC2" s="1" t="s">
        <v>1038</v>
      </c>
      <c r="AD2" s="1" t="s">
        <v>1039</v>
      </c>
      <c r="AE2" s="1" t="s">
        <v>1040</v>
      </c>
      <c r="AF2" s="1" t="s">
        <v>1041</v>
      </c>
      <c r="AG2" s="1" t="s">
        <v>1042</v>
      </c>
      <c r="AH2" s="1" t="s">
        <v>1043</v>
      </c>
      <c r="AI2" s="502">
        <v>43056.229888680602</v>
      </c>
    </row>
    <row r="3" spans="1:35">
      <c r="A3" s="1" t="s">
        <v>328</v>
      </c>
      <c r="B3" s="1" t="s">
        <v>237</v>
      </c>
      <c r="C3" s="1" t="s">
        <v>1044</v>
      </c>
      <c r="D3" s="1" t="s">
        <v>1045</v>
      </c>
      <c r="E3" s="1" t="s">
        <v>1046</v>
      </c>
      <c r="F3" s="1" t="s">
        <v>1047</v>
      </c>
      <c r="G3" s="1" t="s">
        <v>1048</v>
      </c>
      <c r="H3" s="1" t="s">
        <v>1049</v>
      </c>
      <c r="I3" s="1" t="s">
        <v>1050</v>
      </c>
      <c r="J3" s="1" t="s">
        <v>1051</v>
      </c>
      <c r="K3" s="1" t="s">
        <v>1052</v>
      </c>
      <c r="L3" s="1" t="s">
        <v>1053</v>
      </c>
      <c r="M3" s="1" t="s">
        <v>1054</v>
      </c>
      <c r="N3" s="1" t="s">
        <v>1055</v>
      </c>
      <c r="O3" s="1" t="s">
        <v>1056</v>
      </c>
      <c r="P3" s="1" t="s">
        <v>1057</v>
      </c>
      <c r="Q3" s="1" t="s">
        <v>1058</v>
      </c>
      <c r="R3" s="1" t="s">
        <v>1058</v>
      </c>
      <c r="S3" s="1" t="s">
        <v>1059</v>
      </c>
      <c r="T3" s="1" t="s">
        <v>1060</v>
      </c>
      <c r="U3" s="1" t="s">
        <v>1061</v>
      </c>
      <c r="V3" s="1" t="s">
        <v>1062</v>
      </c>
      <c r="W3" s="1" t="s">
        <v>1063</v>
      </c>
      <c r="X3" s="1" t="s">
        <v>1064</v>
      </c>
      <c r="Y3" s="1" t="s">
        <v>1065</v>
      </c>
      <c r="Z3" s="1" t="s">
        <v>1066</v>
      </c>
      <c r="AA3" s="1" t="s">
        <v>1067</v>
      </c>
      <c r="AB3" s="1" t="s">
        <v>1068</v>
      </c>
      <c r="AC3" s="1" t="s">
        <v>1069</v>
      </c>
      <c r="AD3" s="1" t="s">
        <v>1070</v>
      </c>
      <c r="AE3" s="1" t="s">
        <v>1071</v>
      </c>
      <c r="AF3" s="1" t="s">
        <v>1072</v>
      </c>
      <c r="AG3" s="1" t="s">
        <v>1073</v>
      </c>
      <c r="AH3" s="1" t="s">
        <v>1074</v>
      </c>
      <c r="AI3" s="502">
        <v>43056.229888680602</v>
      </c>
    </row>
    <row r="4" spans="1:35">
      <c r="A4" s="1" t="s">
        <v>328</v>
      </c>
      <c r="B4" s="1" t="s">
        <v>918</v>
      </c>
      <c r="C4" s="1" t="s">
        <v>1075</v>
      </c>
      <c r="D4" s="1" t="s">
        <v>1076</v>
      </c>
      <c r="E4" s="1" t="s">
        <v>1077</v>
      </c>
      <c r="F4" s="1" t="s">
        <v>1078</v>
      </c>
      <c r="G4" s="1" t="s">
        <v>1079</v>
      </c>
      <c r="H4" s="1" t="s">
        <v>1080</v>
      </c>
      <c r="I4" s="1" t="s">
        <v>1081</v>
      </c>
      <c r="J4" s="1" t="s">
        <v>1082</v>
      </c>
      <c r="K4" s="1" t="s">
        <v>1082</v>
      </c>
      <c r="L4" s="1" t="s">
        <v>1083</v>
      </c>
      <c r="M4" s="1" t="s">
        <v>1084</v>
      </c>
      <c r="N4" s="1" t="s">
        <v>1085</v>
      </c>
      <c r="O4" s="1" t="s">
        <v>1086</v>
      </c>
      <c r="P4" s="1" t="s">
        <v>1087</v>
      </c>
      <c r="Q4" s="1" t="s">
        <v>1088</v>
      </c>
      <c r="R4" s="1" t="s">
        <v>1088</v>
      </c>
      <c r="S4" s="1" t="s">
        <v>1089</v>
      </c>
      <c r="T4" s="1" t="s">
        <v>1090</v>
      </c>
      <c r="U4" s="1" t="s">
        <v>1091</v>
      </c>
      <c r="V4" s="1" t="s">
        <v>1092</v>
      </c>
      <c r="W4" s="1" t="s">
        <v>1093</v>
      </c>
      <c r="X4" s="1" t="s">
        <v>1094</v>
      </c>
      <c r="Y4" s="1" t="s">
        <v>1094</v>
      </c>
      <c r="Z4" s="1" t="s">
        <v>1095</v>
      </c>
      <c r="AA4" s="306" t="s">
        <v>1096</v>
      </c>
      <c r="AB4" s="1" t="s">
        <v>1097</v>
      </c>
      <c r="AC4" s="1" t="s">
        <v>1098</v>
      </c>
      <c r="AD4" s="1" t="s">
        <v>1099</v>
      </c>
      <c r="AE4" s="1" t="s">
        <v>1100</v>
      </c>
      <c r="AF4" s="1" t="s">
        <v>1101</v>
      </c>
      <c r="AG4" s="1" t="s">
        <v>1102</v>
      </c>
      <c r="AH4" s="1" t="s">
        <v>1103</v>
      </c>
      <c r="AI4" s="502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916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363</v>
      </c>
    </row>
    <row r="2" spans="1:36">
      <c r="A2" s="1" t="s">
        <v>328</v>
      </c>
      <c r="B2" s="1" t="s">
        <v>72</v>
      </c>
      <c r="C2" s="1" t="s">
        <v>236</v>
      </c>
      <c r="D2" s="1" t="s">
        <v>1104</v>
      </c>
      <c r="E2" s="1" t="s">
        <v>1104</v>
      </c>
      <c r="F2" s="1" t="s">
        <v>1105</v>
      </c>
      <c r="G2" s="1" t="s">
        <v>1106</v>
      </c>
      <c r="H2" s="1" t="s">
        <v>1107</v>
      </c>
      <c r="I2" s="1" t="s">
        <v>1108</v>
      </c>
      <c r="J2" s="1" t="s">
        <v>1109</v>
      </c>
      <c r="K2" s="1" t="s">
        <v>1110</v>
      </c>
      <c r="L2" s="1" t="s">
        <v>1110</v>
      </c>
      <c r="M2" s="1" t="s">
        <v>1111</v>
      </c>
      <c r="N2" s="1" t="s">
        <v>1112</v>
      </c>
      <c r="O2" s="1" t="s">
        <v>1113</v>
      </c>
      <c r="P2" s="1" t="s">
        <v>1114</v>
      </c>
      <c r="Q2" s="1" t="s">
        <v>1115</v>
      </c>
      <c r="R2" s="1" t="s">
        <v>1116</v>
      </c>
      <c r="S2" s="1" t="s">
        <v>1116</v>
      </c>
      <c r="T2" s="1" t="s">
        <v>1117</v>
      </c>
      <c r="U2" s="1" t="s">
        <v>1118</v>
      </c>
      <c r="V2" s="1" t="s">
        <v>1119</v>
      </c>
      <c r="W2" s="1" t="s">
        <v>1120</v>
      </c>
      <c r="X2" s="1" t="s">
        <v>1121</v>
      </c>
      <c r="Y2" s="1" t="s">
        <v>1122</v>
      </c>
      <c r="Z2" s="1" t="s">
        <v>1122</v>
      </c>
      <c r="AA2" s="1" t="s">
        <v>1123</v>
      </c>
      <c r="AB2" s="1" t="s">
        <v>1124</v>
      </c>
      <c r="AC2" s="1" t="s">
        <v>1125</v>
      </c>
      <c r="AD2" s="1" t="s">
        <v>1126</v>
      </c>
      <c r="AE2" s="1" t="s">
        <v>1127</v>
      </c>
      <c r="AF2" s="1" t="s">
        <v>1128</v>
      </c>
      <c r="AG2" s="1" t="s">
        <v>1128</v>
      </c>
      <c r="AH2" s="1" t="s">
        <v>1129</v>
      </c>
      <c r="AI2" s="1" t="s">
        <v>1130</v>
      </c>
      <c r="AJ2" s="502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1131</v>
      </c>
      <c r="E3" s="1" t="s">
        <v>1131</v>
      </c>
      <c r="F3" s="1" t="s">
        <v>1132</v>
      </c>
      <c r="G3" s="1" t="s">
        <v>1133</v>
      </c>
      <c r="H3" s="1" t="s">
        <v>1134</v>
      </c>
      <c r="I3" s="1" t="s">
        <v>1135</v>
      </c>
      <c r="J3" s="1" t="s">
        <v>1136</v>
      </c>
      <c r="K3" s="1" t="s">
        <v>1137</v>
      </c>
      <c r="L3" s="1" t="s">
        <v>1137</v>
      </c>
      <c r="M3" s="1" t="s">
        <v>1138</v>
      </c>
      <c r="N3" s="1" t="s">
        <v>1139</v>
      </c>
      <c r="O3" s="1" t="s">
        <v>1140</v>
      </c>
      <c r="P3" s="1" t="s">
        <v>1141</v>
      </c>
      <c r="Q3" s="1" t="s">
        <v>1142</v>
      </c>
      <c r="R3" s="1" t="s">
        <v>1142</v>
      </c>
      <c r="S3" s="1" t="s">
        <v>1142</v>
      </c>
      <c r="T3" s="1" t="s">
        <v>1143</v>
      </c>
      <c r="U3" s="1" t="s">
        <v>1144</v>
      </c>
      <c r="V3" s="1" t="s">
        <v>1145</v>
      </c>
      <c r="W3" s="1" t="s">
        <v>1146</v>
      </c>
      <c r="X3" s="1" t="s">
        <v>1147</v>
      </c>
      <c r="Y3" s="1" t="s">
        <v>1147</v>
      </c>
      <c r="Z3" s="1" t="s">
        <v>1147</v>
      </c>
      <c r="AA3" s="1" t="s">
        <v>1148</v>
      </c>
      <c r="AB3" s="1" t="s">
        <v>1149</v>
      </c>
      <c r="AC3" s="1" t="s">
        <v>1150</v>
      </c>
      <c r="AD3" s="1" t="s">
        <v>1151</v>
      </c>
      <c r="AE3" s="1" t="s">
        <v>1152</v>
      </c>
      <c r="AF3" s="1" t="s">
        <v>1153</v>
      </c>
      <c r="AG3" s="1" t="s">
        <v>1153</v>
      </c>
      <c r="AH3" s="1" t="s">
        <v>1154</v>
      </c>
      <c r="AI3" s="1" t="s">
        <v>1155</v>
      </c>
      <c r="AJ3" s="502">
        <v>43056.229889050897</v>
      </c>
    </row>
    <row r="4" spans="1:36">
      <c r="A4" s="1" t="s">
        <v>328</v>
      </c>
      <c r="B4" s="1" t="s">
        <v>72</v>
      </c>
      <c r="C4" s="1" t="s">
        <v>918</v>
      </c>
      <c r="D4" s="1" t="s">
        <v>1156</v>
      </c>
      <c r="E4" s="1" t="s">
        <v>1156</v>
      </c>
      <c r="F4" s="1" t="s">
        <v>1157</v>
      </c>
      <c r="G4" s="1" t="s">
        <v>1158</v>
      </c>
      <c r="H4" s="1" t="s">
        <v>1159</v>
      </c>
      <c r="I4" s="1" t="s">
        <v>1160</v>
      </c>
      <c r="J4" s="1" t="s">
        <v>1161</v>
      </c>
      <c r="K4" s="1" t="s">
        <v>1161</v>
      </c>
      <c r="L4" s="1" t="s">
        <v>1161</v>
      </c>
      <c r="M4" s="1" t="s">
        <v>1162</v>
      </c>
      <c r="N4" s="1" t="s">
        <v>1163</v>
      </c>
      <c r="O4" s="1" t="s">
        <v>1164</v>
      </c>
      <c r="P4" s="1" t="s">
        <v>1165</v>
      </c>
      <c r="Q4" s="1" t="s">
        <v>1166</v>
      </c>
      <c r="R4" s="1" t="s">
        <v>1166</v>
      </c>
      <c r="S4" s="1" t="s">
        <v>1166</v>
      </c>
      <c r="T4" s="1" t="s">
        <v>1167</v>
      </c>
      <c r="U4" s="1" t="s">
        <v>1168</v>
      </c>
      <c r="V4" s="1" t="s">
        <v>1169</v>
      </c>
      <c r="W4" s="1" t="s">
        <v>1170</v>
      </c>
      <c r="X4" s="1" t="s">
        <v>1171</v>
      </c>
      <c r="Y4" s="1" t="s">
        <v>1171</v>
      </c>
      <c r="Z4" s="1" t="s">
        <v>1171</v>
      </c>
      <c r="AA4" s="1" t="s">
        <v>1171</v>
      </c>
      <c r="AB4" s="1" t="s">
        <v>1172</v>
      </c>
      <c r="AC4" s="1" t="s">
        <v>1173</v>
      </c>
      <c r="AD4" s="1" t="s">
        <v>1174</v>
      </c>
      <c r="AE4" s="1" t="s">
        <v>1175</v>
      </c>
      <c r="AF4" s="1" t="s">
        <v>1175</v>
      </c>
      <c r="AG4" s="1" t="s">
        <v>1175</v>
      </c>
      <c r="AH4" s="1" t="s">
        <v>1176</v>
      </c>
      <c r="AI4" s="1" t="s">
        <v>1177</v>
      </c>
      <c r="AJ4" s="502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521</v>
      </c>
      <c r="E5" s="1" t="s">
        <v>521</v>
      </c>
      <c r="F5" s="1" t="s">
        <v>521</v>
      </c>
      <c r="G5" s="1" t="s">
        <v>521</v>
      </c>
      <c r="H5" s="1" t="s">
        <v>521</v>
      </c>
      <c r="I5" s="1" t="s">
        <v>521</v>
      </c>
      <c r="J5" s="1" t="s">
        <v>521</v>
      </c>
      <c r="K5" s="1" t="s">
        <v>521</v>
      </c>
      <c r="L5" s="1" t="s">
        <v>521</v>
      </c>
      <c r="M5" s="1" t="s">
        <v>521</v>
      </c>
      <c r="N5" s="1" t="s">
        <v>521</v>
      </c>
      <c r="O5" s="1" t="s">
        <v>521</v>
      </c>
      <c r="P5" s="1" t="s">
        <v>521</v>
      </c>
      <c r="Q5" s="1" t="s">
        <v>521</v>
      </c>
      <c r="R5" s="1" t="s">
        <v>521</v>
      </c>
      <c r="S5" s="1" t="s">
        <v>521</v>
      </c>
      <c r="T5" s="1" t="s">
        <v>521</v>
      </c>
      <c r="U5" s="1" t="s">
        <v>521</v>
      </c>
      <c r="V5" s="1" t="s">
        <v>521</v>
      </c>
      <c r="W5" s="1" t="s">
        <v>521</v>
      </c>
      <c r="X5" s="1" t="s">
        <v>521</v>
      </c>
      <c r="Y5" s="1" t="s">
        <v>521</v>
      </c>
      <c r="Z5" s="1" t="s">
        <v>521</v>
      </c>
      <c r="AA5" s="1" t="s">
        <v>521</v>
      </c>
      <c r="AB5" s="1" t="s">
        <v>521</v>
      </c>
      <c r="AC5" s="1" t="s">
        <v>521</v>
      </c>
      <c r="AD5" s="1" t="s">
        <v>521</v>
      </c>
      <c r="AE5" s="1" t="s">
        <v>521</v>
      </c>
      <c r="AF5" s="1" t="s">
        <v>521</v>
      </c>
      <c r="AG5" s="1" t="s">
        <v>521</v>
      </c>
      <c r="AH5" s="1" t="s">
        <v>521</v>
      </c>
      <c r="AI5" s="1" t="s">
        <v>521</v>
      </c>
      <c r="AJ5" s="502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521</v>
      </c>
      <c r="E6" s="1" t="s">
        <v>521</v>
      </c>
      <c r="F6" s="1" t="s">
        <v>521</v>
      </c>
      <c r="G6" s="1" t="s">
        <v>521</v>
      </c>
      <c r="H6" s="1" t="s">
        <v>521</v>
      </c>
      <c r="I6" s="1" t="s">
        <v>521</v>
      </c>
      <c r="J6" s="1" t="s">
        <v>521</v>
      </c>
      <c r="K6" s="1" t="s">
        <v>521</v>
      </c>
      <c r="L6" s="1" t="s">
        <v>521</v>
      </c>
      <c r="M6" s="1" t="s">
        <v>521</v>
      </c>
      <c r="N6" s="1" t="s">
        <v>521</v>
      </c>
      <c r="O6" s="1" t="s">
        <v>521</v>
      </c>
      <c r="P6" s="1" t="s">
        <v>521</v>
      </c>
      <c r="Q6" s="1" t="s">
        <v>521</v>
      </c>
      <c r="R6" s="1" t="s">
        <v>521</v>
      </c>
      <c r="S6" s="1" t="s">
        <v>521</v>
      </c>
      <c r="T6" s="1" t="s">
        <v>521</v>
      </c>
      <c r="U6" s="1" t="s">
        <v>521</v>
      </c>
      <c r="V6" s="1" t="s">
        <v>521</v>
      </c>
      <c r="W6" s="1" t="s">
        <v>521</v>
      </c>
      <c r="X6" s="1" t="s">
        <v>521</v>
      </c>
      <c r="Y6" s="1" t="s">
        <v>521</v>
      </c>
      <c r="Z6" s="1" t="s">
        <v>521</v>
      </c>
      <c r="AA6" s="1" t="s">
        <v>521</v>
      </c>
      <c r="AB6" s="1" t="s">
        <v>521</v>
      </c>
      <c r="AC6" s="1" t="s">
        <v>521</v>
      </c>
      <c r="AD6" s="1" t="s">
        <v>521</v>
      </c>
      <c r="AE6" s="1" t="s">
        <v>521</v>
      </c>
      <c r="AF6" s="1" t="s">
        <v>521</v>
      </c>
      <c r="AG6" s="1" t="s">
        <v>521</v>
      </c>
      <c r="AH6" s="1" t="s">
        <v>521</v>
      </c>
      <c r="AI6" s="1" t="s">
        <v>521</v>
      </c>
      <c r="AJ6" s="502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1178</v>
      </c>
      <c r="E7" s="1" t="s">
        <v>1178</v>
      </c>
      <c r="F7" s="1" t="s">
        <v>1179</v>
      </c>
      <c r="G7" s="1" t="s">
        <v>1180</v>
      </c>
      <c r="H7" s="1" t="s">
        <v>1181</v>
      </c>
      <c r="I7" s="1" t="s">
        <v>1182</v>
      </c>
      <c r="J7" s="1" t="s">
        <v>1183</v>
      </c>
      <c r="K7" s="1" t="s">
        <v>1183</v>
      </c>
      <c r="L7" s="1" t="s">
        <v>1183</v>
      </c>
      <c r="M7" s="1" t="s">
        <v>1184</v>
      </c>
      <c r="N7" s="1" t="s">
        <v>1185</v>
      </c>
      <c r="O7" s="1" t="s">
        <v>1186</v>
      </c>
      <c r="P7" s="1" t="s">
        <v>1187</v>
      </c>
      <c r="Q7" s="1" t="s">
        <v>1188</v>
      </c>
      <c r="R7" s="1" t="s">
        <v>1189</v>
      </c>
      <c r="S7" s="1" t="s">
        <v>1189</v>
      </c>
      <c r="T7" s="1" t="s">
        <v>1190</v>
      </c>
      <c r="U7" s="1" t="s">
        <v>1191</v>
      </c>
      <c r="V7" s="1" t="s">
        <v>1192</v>
      </c>
      <c r="W7" s="1" t="s">
        <v>1193</v>
      </c>
      <c r="X7" s="1" t="s">
        <v>1194</v>
      </c>
      <c r="Y7" s="1" t="s">
        <v>1194</v>
      </c>
      <c r="Z7" s="1" t="s">
        <v>1194</v>
      </c>
      <c r="AA7" s="1" t="s">
        <v>1195</v>
      </c>
      <c r="AB7" s="1" t="s">
        <v>1196</v>
      </c>
      <c r="AC7" s="1" t="s">
        <v>1197</v>
      </c>
      <c r="AD7" s="1" t="s">
        <v>1198</v>
      </c>
      <c r="AE7" s="1" t="s">
        <v>1199</v>
      </c>
      <c r="AF7" s="1" t="s">
        <v>1200</v>
      </c>
      <c r="AG7" s="1" t="s">
        <v>1200</v>
      </c>
      <c r="AH7" s="1" t="s">
        <v>1201</v>
      </c>
      <c r="AI7" s="1" t="s">
        <v>1202</v>
      </c>
      <c r="AJ7" s="502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521</v>
      </c>
      <c r="E8" s="1" t="s">
        <v>521</v>
      </c>
      <c r="F8" s="1" t="s">
        <v>521</v>
      </c>
      <c r="G8" s="1" t="s">
        <v>521</v>
      </c>
      <c r="H8" s="1" t="s">
        <v>521</v>
      </c>
      <c r="I8" s="1" t="s">
        <v>521</v>
      </c>
      <c r="J8" s="1" t="s">
        <v>521</v>
      </c>
      <c r="K8" s="1" t="s">
        <v>521</v>
      </c>
      <c r="L8" s="1" t="s">
        <v>521</v>
      </c>
      <c r="M8" s="1" t="s">
        <v>521</v>
      </c>
      <c r="N8" s="1" t="s">
        <v>521</v>
      </c>
      <c r="O8" s="1" t="s">
        <v>521</v>
      </c>
      <c r="P8" s="1" t="s">
        <v>521</v>
      </c>
      <c r="Q8" s="1" t="s">
        <v>521</v>
      </c>
      <c r="R8" s="1" t="s">
        <v>521</v>
      </c>
      <c r="S8" s="1" t="s">
        <v>521</v>
      </c>
      <c r="T8" s="1" t="s">
        <v>521</v>
      </c>
      <c r="U8" s="1" t="s">
        <v>521</v>
      </c>
      <c r="V8" s="1" t="s">
        <v>521</v>
      </c>
      <c r="W8" s="1" t="s">
        <v>521</v>
      </c>
      <c r="X8" s="1" t="s">
        <v>521</v>
      </c>
      <c r="Y8" s="1" t="s">
        <v>521</v>
      </c>
      <c r="Z8" s="1" t="s">
        <v>521</v>
      </c>
      <c r="AA8" s="1" t="s">
        <v>521</v>
      </c>
      <c r="AB8" s="1" t="s">
        <v>521</v>
      </c>
      <c r="AC8" s="1" t="s">
        <v>521</v>
      </c>
      <c r="AD8" s="1" t="s">
        <v>521</v>
      </c>
      <c r="AE8" s="1" t="s">
        <v>521</v>
      </c>
      <c r="AF8" s="1" t="s">
        <v>521</v>
      </c>
      <c r="AG8" s="1" t="s">
        <v>521</v>
      </c>
      <c r="AH8" s="1" t="s">
        <v>521</v>
      </c>
      <c r="AI8" s="1" t="s">
        <v>521</v>
      </c>
      <c r="AJ8" s="502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521</v>
      </c>
      <c r="E9" s="1" t="s">
        <v>521</v>
      </c>
      <c r="F9" s="1" t="s">
        <v>521</v>
      </c>
      <c r="G9" s="1" t="s">
        <v>521</v>
      </c>
      <c r="H9" s="1" t="s">
        <v>521</v>
      </c>
      <c r="I9" s="1" t="s">
        <v>521</v>
      </c>
      <c r="J9" s="1" t="s">
        <v>521</v>
      </c>
      <c r="K9" s="1" t="s">
        <v>521</v>
      </c>
      <c r="L9" s="1" t="s">
        <v>521</v>
      </c>
      <c r="M9" s="1" t="s">
        <v>521</v>
      </c>
      <c r="N9" s="1" t="s">
        <v>521</v>
      </c>
      <c r="O9" s="1" t="s">
        <v>521</v>
      </c>
      <c r="P9" s="1" t="s">
        <v>521</v>
      </c>
      <c r="Q9" s="1" t="s">
        <v>521</v>
      </c>
      <c r="R9" s="1" t="s">
        <v>521</v>
      </c>
      <c r="S9" s="1" t="s">
        <v>521</v>
      </c>
      <c r="T9" s="1" t="s">
        <v>521</v>
      </c>
      <c r="U9" s="1" t="s">
        <v>521</v>
      </c>
      <c r="V9" s="1" t="s">
        <v>521</v>
      </c>
      <c r="W9" s="1" t="s">
        <v>521</v>
      </c>
      <c r="X9" s="1" t="s">
        <v>521</v>
      </c>
      <c r="Y9" s="1" t="s">
        <v>521</v>
      </c>
      <c r="Z9" s="1" t="s">
        <v>521</v>
      </c>
      <c r="AA9" s="1" t="s">
        <v>521</v>
      </c>
      <c r="AB9" s="1" t="s">
        <v>521</v>
      </c>
      <c r="AC9" s="1" t="s">
        <v>521</v>
      </c>
      <c r="AD9" s="1" t="s">
        <v>521</v>
      </c>
      <c r="AE9" s="1" t="s">
        <v>521</v>
      </c>
      <c r="AF9" s="1" t="s">
        <v>521</v>
      </c>
      <c r="AG9" s="1" t="s">
        <v>521</v>
      </c>
      <c r="AH9" s="1" t="s">
        <v>521</v>
      </c>
      <c r="AI9" s="1" t="s">
        <v>521</v>
      </c>
      <c r="AJ9" s="502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521</v>
      </c>
      <c r="E10" s="1" t="s">
        <v>521</v>
      </c>
      <c r="F10" s="1" t="s">
        <v>521</v>
      </c>
      <c r="G10" s="1" t="s">
        <v>521</v>
      </c>
      <c r="H10" s="1" t="s">
        <v>521</v>
      </c>
      <c r="I10" s="1" t="s">
        <v>521</v>
      </c>
      <c r="J10" s="1" t="s">
        <v>521</v>
      </c>
      <c r="K10" s="1" t="s">
        <v>521</v>
      </c>
      <c r="L10" s="1" t="s">
        <v>521</v>
      </c>
      <c r="M10" s="1" t="s">
        <v>521</v>
      </c>
      <c r="N10" s="1" t="s">
        <v>521</v>
      </c>
      <c r="O10" s="1" t="s">
        <v>521</v>
      </c>
      <c r="P10" s="1" t="s">
        <v>521</v>
      </c>
      <c r="Q10" s="1" t="s">
        <v>521</v>
      </c>
      <c r="R10" s="1" t="s">
        <v>521</v>
      </c>
      <c r="S10" s="1" t="s">
        <v>521</v>
      </c>
      <c r="T10" s="1" t="s">
        <v>521</v>
      </c>
      <c r="U10" s="1" t="s">
        <v>521</v>
      </c>
      <c r="V10" s="1" t="s">
        <v>521</v>
      </c>
      <c r="W10" s="1" t="s">
        <v>521</v>
      </c>
      <c r="X10" s="1" t="s">
        <v>521</v>
      </c>
      <c r="Y10" s="1" t="s">
        <v>521</v>
      </c>
      <c r="Z10" s="1" t="s">
        <v>521</v>
      </c>
      <c r="AA10" s="1" t="s">
        <v>521</v>
      </c>
      <c r="AB10" s="1" t="s">
        <v>521</v>
      </c>
      <c r="AC10" s="1" t="s">
        <v>521</v>
      </c>
      <c r="AD10" s="1" t="s">
        <v>521</v>
      </c>
      <c r="AE10" s="1" t="s">
        <v>521</v>
      </c>
      <c r="AF10" s="1" t="s">
        <v>521</v>
      </c>
      <c r="AG10" s="1" t="s">
        <v>521</v>
      </c>
      <c r="AH10" s="1" t="s">
        <v>521</v>
      </c>
      <c r="AI10" s="1" t="s">
        <v>521</v>
      </c>
      <c r="AJ10" s="502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521</v>
      </c>
      <c r="E11" s="1" t="s">
        <v>521</v>
      </c>
      <c r="F11" s="1" t="s">
        <v>521</v>
      </c>
      <c r="G11" s="1" t="s">
        <v>521</v>
      </c>
      <c r="H11" s="1" t="s">
        <v>1203</v>
      </c>
      <c r="I11" s="1" t="s">
        <v>1203</v>
      </c>
      <c r="J11" s="1" t="s">
        <v>1203</v>
      </c>
      <c r="K11" s="1" t="s">
        <v>1203</v>
      </c>
      <c r="L11" s="1" t="s">
        <v>1203</v>
      </c>
      <c r="M11" s="1" t="s">
        <v>1203</v>
      </c>
      <c r="N11" s="1" t="s">
        <v>1203</v>
      </c>
      <c r="O11" s="1" t="s">
        <v>521</v>
      </c>
      <c r="P11" s="1" t="s">
        <v>521</v>
      </c>
      <c r="Q11" s="1" t="s">
        <v>521</v>
      </c>
      <c r="R11" s="1" t="s">
        <v>521</v>
      </c>
      <c r="S11" s="1" t="s">
        <v>521</v>
      </c>
      <c r="T11" s="1" t="s">
        <v>521</v>
      </c>
      <c r="U11" s="1" t="s">
        <v>521</v>
      </c>
      <c r="V11" s="1" t="s">
        <v>521</v>
      </c>
      <c r="W11" s="1" t="s">
        <v>521</v>
      </c>
      <c r="X11" s="1" t="s">
        <v>521</v>
      </c>
      <c r="Y11" s="1" t="s">
        <v>521</v>
      </c>
      <c r="Z11" s="1" t="s">
        <v>521</v>
      </c>
      <c r="AA11" s="1" t="s">
        <v>521</v>
      </c>
      <c r="AB11" s="1" t="s">
        <v>521</v>
      </c>
      <c r="AC11" s="1" t="s">
        <v>521</v>
      </c>
      <c r="AD11" s="1" t="s">
        <v>521</v>
      </c>
      <c r="AE11" s="1" t="s">
        <v>521</v>
      </c>
      <c r="AF11" s="1" t="s">
        <v>521</v>
      </c>
      <c r="AG11" s="1" t="s">
        <v>521</v>
      </c>
      <c r="AH11" s="1" t="s">
        <v>521</v>
      </c>
      <c r="AI11" s="1" t="s">
        <v>1204</v>
      </c>
      <c r="AJ11" s="502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521</v>
      </c>
      <c r="E12" s="1" t="s">
        <v>521</v>
      </c>
      <c r="F12" s="1" t="s">
        <v>521</v>
      </c>
      <c r="G12" s="1" t="s">
        <v>521</v>
      </c>
      <c r="H12" s="1" t="s">
        <v>521</v>
      </c>
      <c r="I12" s="1" t="s">
        <v>521</v>
      </c>
      <c r="J12" s="1" t="s">
        <v>521</v>
      </c>
      <c r="K12" s="1" t="s">
        <v>521</v>
      </c>
      <c r="L12" s="1" t="s">
        <v>521</v>
      </c>
      <c r="M12" s="1" t="s">
        <v>521</v>
      </c>
      <c r="N12" s="1" t="s">
        <v>521</v>
      </c>
      <c r="O12" s="1" t="s">
        <v>521</v>
      </c>
      <c r="P12" s="1" t="s">
        <v>521</v>
      </c>
      <c r="Q12" s="1" t="s">
        <v>521</v>
      </c>
      <c r="R12" s="1" t="s">
        <v>521</v>
      </c>
      <c r="S12" s="1" t="s">
        <v>521</v>
      </c>
      <c r="T12" s="1" t="s">
        <v>521</v>
      </c>
      <c r="U12" s="1" t="s">
        <v>521</v>
      </c>
      <c r="V12" s="1" t="s">
        <v>521</v>
      </c>
      <c r="W12" s="1" t="s">
        <v>521</v>
      </c>
      <c r="X12" s="1" t="s">
        <v>521</v>
      </c>
      <c r="Y12" s="1" t="s">
        <v>521</v>
      </c>
      <c r="Z12" s="1" t="s">
        <v>521</v>
      </c>
      <c r="AA12" s="1" t="s">
        <v>521</v>
      </c>
      <c r="AB12" s="1" t="s">
        <v>521</v>
      </c>
      <c r="AC12" s="1" t="s">
        <v>521</v>
      </c>
      <c r="AD12" s="1" t="s">
        <v>521</v>
      </c>
      <c r="AE12" s="1" t="s">
        <v>521</v>
      </c>
      <c r="AF12" s="1" t="s">
        <v>521</v>
      </c>
      <c r="AG12" s="1" t="s">
        <v>521</v>
      </c>
      <c r="AH12" s="1" t="s">
        <v>521</v>
      </c>
      <c r="AI12" s="1" t="s">
        <v>521</v>
      </c>
      <c r="AJ12" s="502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521</v>
      </c>
      <c r="E13" s="1" t="s">
        <v>521</v>
      </c>
      <c r="F13" s="1" t="s">
        <v>521</v>
      </c>
      <c r="G13" s="1" t="s">
        <v>521</v>
      </c>
      <c r="H13" s="1" t="s">
        <v>521</v>
      </c>
      <c r="I13" s="1" t="s">
        <v>521</v>
      </c>
      <c r="J13" s="1" t="s">
        <v>521</v>
      </c>
      <c r="K13" s="1" t="s">
        <v>521</v>
      </c>
      <c r="L13" s="1" t="s">
        <v>521</v>
      </c>
      <c r="M13" s="1" t="s">
        <v>521</v>
      </c>
      <c r="N13" s="1" t="s">
        <v>521</v>
      </c>
      <c r="O13" s="1" t="s">
        <v>521</v>
      </c>
      <c r="P13" s="1" t="s">
        <v>521</v>
      </c>
      <c r="Q13" s="1" t="s">
        <v>521</v>
      </c>
      <c r="R13" s="1" t="s">
        <v>521</v>
      </c>
      <c r="S13" s="1" t="s">
        <v>521</v>
      </c>
      <c r="T13" s="1" t="s">
        <v>521</v>
      </c>
      <c r="U13" s="1" t="s">
        <v>521</v>
      </c>
      <c r="V13" s="1" t="s">
        <v>521</v>
      </c>
      <c r="W13" s="1" t="s">
        <v>521</v>
      </c>
      <c r="X13" s="1" t="s">
        <v>521</v>
      </c>
      <c r="Y13" s="1" t="s">
        <v>521</v>
      </c>
      <c r="Z13" s="1" t="s">
        <v>521</v>
      </c>
      <c r="AA13" s="1" t="s">
        <v>521</v>
      </c>
      <c r="AB13" s="1" t="s">
        <v>521</v>
      </c>
      <c r="AC13" s="1" t="s">
        <v>521</v>
      </c>
      <c r="AD13" s="1" t="s">
        <v>521</v>
      </c>
      <c r="AE13" s="1" t="s">
        <v>521</v>
      </c>
      <c r="AF13" s="1" t="s">
        <v>521</v>
      </c>
      <c r="AG13" s="1" t="s">
        <v>521</v>
      </c>
      <c r="AH13" s="1" t="s">
        <v>521</v>
      </c>
      <c r="AI13" s="1" t="s">
        <v>521</v>
      </c>
      <c r="AJ13" s="502">
        <v>43056.229889050897</v>
      </c>
    </row>
    <row r="14" spans="1:36">
      <c r="A14" s="1" t="s">
        <v>328</v>
      </c>
      <c r="B14" s="1" t="s">
        <v>1205</v>
      </c>
      <c r="C14" s="1" t="s">
        <v>237</v>
      </c>
      <c r="D14" s="1" t="s">
        <v>521</v>
      </c>
      <c r="E14" s="1" t="s">
        <v>521</v>
      </c>
      <c r="F14" s="1" t="s">
        <v>521</v>
      </c>
      <c r="G14" s="1" t="s">
        <v>521</v>
      </c>
      <c r="H14" s="1" t="s">
        <v>521</v>
      </c>
      <c r="I14" s="1" t="s">
        <v>521</v>
      </c>
      <c r="J14" s="1" t="s">
        <v>521</v>
      </c>
      <c r="K14" s="1" t="s">
        <v>521</v>
      </c>
      <c r="L14" s="1" t="s">
        <v>521</v>
      </c>
      <c r="M14" s="1" t="s">
        <v>521</v>
      </c>
      <c r="N14" s="1" t="s">
        <v>521</v>
      </c>
      <c r="O14" s="1" t="s">
        <v>521</v>
      </c>
      <c r="P14" s="1" t="s">
        <v>521</v>
      </c>
      <c r="Q14" s="1" t="s">
        <v>521</v>
      </c>
      <c r="R14" s="1" t="s">
        <v>521</v>
      </c>
      <c r="S14" s="1" t="s">
        <v>521</v>
      </c>
      <c r="T14" s="1" t="s">
        <v>521</v>
      </c>
      <c r="U14" s="1" t="s">
        <v>521</v>
      </c>
      <c r="V14" s="1" t="s">
        <v>521</v>
      </c>
      <c r="W14" s="1" t="s">
        <v>521</v>
      </c>
      <c r="X14" s="1" t="s">
        <v>521</v>
      </c>
      <c r="Y14" s="1" t="s">
        <v>521</v>
      </c>
      <c r="Z14" s="1" t="s">
        <v>521</v>
      </c>
      <c r="AA14" s="1" t="s">
        <v>521</v>
      </c>
      <c r="AB14" s="1" t="s">
        <v>521</v>
      </c>
      <c r="AC14" s="1" t="s">
        <v>521</v>
      </c>
      <c r="AD14" s="1" t="s">
        <v>521</v>
      </c>
      <c r="AE14" s="1" t="s">
        <v>521</v>
      </c>
      <c r="AF14" s="1" t="s">
        <v>521</v>
      </c>
      <c r="AG14" s="1" t="s">
        <v>521</v>
      </c>
      <c r="AH14" s="1" t="s">
        <v>521</v>
      </c>
      <c r="AI14" s="1" t="s">
        <v>521</v>
      </c>
      <c r="AJ14" s="502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1206</v>
      </c>
      <c r="E15" s="1" t="s">
        <v>1206</v>
      </c>
      <c r="F15" s="1" t="s">
        <v>1207</v>
      </c>
      <c r="G15" s="1" t="s">
        <v>1207</v>
      </c>
      <c r="H15" s="1" t="s">
        <v>1207</v>
      </c>
      <c r="I15" s="1" t="s">
        <v>1208</v>
      </c>
      <c r="J15" s="1" t="s">
        <v>1208</v>
      </c>
      <c r="K15" s="1" t="s">
        <v>1208</v>
      </c>
      <c r="L15" s="1" t="s">
        <v>1208</v>
      </c>
      <c r="M15" s="1" t="s">
        <v>1209</v>
      </c>
      <c r="N15" s="1" t="s">
        <v>1209</v>
      </c>
      <c r="O15" s="1" t="s">
        <v>1209</v>
      </c>
      <c r="P15" s="1" t="s">
        <v>1209</v>
      </c>
      <c r="Q15" s="1" t="s">
        <v>1209</v>
      </c>
      <c r="R15" s="1" t="s">
        <v>1209</v>
      </c>
      <c r="S15" s="1" t="s">
        <v>1209</v>
      </c>
      <c r="T15" s="1" t="s">
        <v>1209</v>
      </c>
      <c r="U15" s="1" t="s">
        <v>1209</v>
      </c>
      <c r="V15" s="1" t="s">
        <v>1209</v>
      </c>
      <c r="W15" s="1" t="s">
        <v>1209</v>
      </c>
      <c r="X15" s="1" t="s">
        <v>1210</v>
      </c>
      <c r="Y15" s="1" t="s">
        <v>1210</v>
      </c>
      <c r="Z15" s="1" t="s">
        <v>1210</v>
      </c>
      <c r="AA15" s="1" t="s">
        <v>1210</v>
      </c>
      <c r="AB15" s="1" t="s">
        <v>1211</v>
      </c>
      <c r="AC15" s="1" t="s">
        <v>1211</v>
      </c>
      <c r="AD15" s="1" t="s">
        <v>1211</v>
      </c>
      <c r="AE15" s="1" t="s">
        <v>1212</v>
      </c>
      <c r="AF15" s="1" t="s">
        <v>1212</v>
      </c>
      <c r="AG15" s="1" t="s">
        <v>1212</v>
      </c>
      <c r="AH15" s="1" t="s">
        <v>1213</v>
      </c>
      <c r="AI15" s="1" t="s">
        <v>1214</v>
      </c>
      <c r="AJ15" s="502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521</v>
      </c>
      <c r="E16" s="1" t="s">
        <v>521</v>
      </c>
      <c r="F16" s="1" t="s">
        <v>521</v>
      </c>
      <c r="G16" s="1" t="s">
        <v>521</v>
      </c>
      <c r="H16" s="1" t="s">
        <v>521</v>
      </c>
      <c r="I16" s="1" t="s">
        <v>521</v>
      </c>
      <c r="J16" s="1" t="s">
        <v>521</v>
      </c>
      <c r="K16" s="1" t="s">
        <v>521</v>
      </c>
      <c r="L16" s="1" t="s">
        <v>521</v>
      </c>
      <c r="M16" s="1" t="s">
        <v>521</v>
      </c>
      <c r="N16" s="1" t="s">
        <v>521</v>
      </c>
      <c r="O16" s="1" t="s">
        <v>521</v>
      </c>
      <c r="P16" s="1" t="s">
        <v>521</v>
      </c>
      <c r="Q16" s="1" t="s">
        <v>521</v>
      </c>
      <c r="R16" s="1" t="s">
        <v>521</v>
      </c>
      <c r="S16" s="1" t="s">
        <v>521</v>
      </c>
      <c r="T16" s="1" t="s">
        <v>521</v>
      </c>
      <c r="U16" s="1" t="s">
        <v>521</v>
      </c>
      <c r="V16" s="1" t="s">
        <v>521</v>
      </c>
      <c r="W16" s="1" t="s">
        <v>521</v>
      </c>
      <c r="X16" s="1" t="s">
        <v>521</v>
      </c>
      <c r="Y16" s="1" t="s">
        <v>521</v>
      </c>
      <c r="Z16" s="1" t="s">
        <v>521</v>
      </c>
      <c r="AA16" s="1" t="s">
        <v>521</v>
      </c>
      <c r="AB16" s="1" t="s">
        <v>521</v>
      </c>
      <c r="AC16" s="1" t="s">
        <v>521</v>
      </c>
      <c r="AD16" s="1" t="s">
        <v>521</v>
      </c>
      <c r="AE16" s="1" t="s">
        <v>521</v>
      </c>
      <c r="AF16" s="1" t="s">
        <v>521</v>
      </c>
      <c r="AG16" s="1" t="s">
        <v>521</v>
      </c>
      <c r="AH16" s="1" t="s">
        <v>521</v>
      </c>
      <c r="AI16" s="1" t="s">
        <v>521</v>
      </c>
      <c r="AJ16" s="502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521</v>
      </c>
      <c r="E17" s="1" t="s">
        <v>521</v>
      </c>
      <c r="F17" s="1" t="s">
        <v>521</v>
      </c>
      <c r="G17" s="1" t="s">
        <v>521</v>
      </c>
      <c r="H17" s="1" t="s">
        <v>521</v>
      </c>
      <c r="I17" s="1" t="s">
        <v>521</v>
      </c>
      <c r="J17" s="1" t="s">
        <v>521</v>
      </c>
      <c r="K17" s="1" t="s">
        <v>521</v>
      </c>
      <c r="L17" s="1" t="s">
        <v>521</v>
      </c>
      <c r="M17" s="1" t="s">
        <v>521</v>
      </c>
      <c r="N17" s="1" t="s">
        <v>521</v>
      </c>
      <c r="O17" s="1" t="s">
        <v>521</v>
      </c>
      <c r="P17" s="1" t="s">
        <v>521</v>
      </c>
      <c r="Q17" s="1" t="s">
        <v>521</v>
      </c>
      <c r="R17" s="1" t="s">
        <v>521</v>
      </c>
      <c r="S17" s="1" t="s">
        <v>521</v>
      </c>
      <c r="T17" s="1" t="s">
        <v>521</v>
      </c>
      <c r="U17" s="1" t="s">
        <v>521</v>
      </c>
      <c r="V17" s="1" t="s">
        <v>521</v>
      </c>
      <c r="W17" s="1" t="s">
        <v>521</v>
      </c>
      <c r="X17" s="1" t="s">
        <v>521</v>
      </c>
      <c r="Y17" s="1" t="s">
        <v>521</v>
      </c>
      <c r="Z17" s="1" t="s">
        <v>521</v>
      </c>
      <c r="AA17" s="1" t="s">
        <v>521</v>
      </c>
      <c r="AB17" s="1" t="s">
        <v>521</v>
      </c>
      <c r="AC17" s="1" t="s">
        <v>521</v>
      </c>
      <c r="AD17" s="1" t="s">
        <v>521</v>
      </c>
      <c r="AE17" s="1" t="s">
        <v>521</v>
      </c>
      <c r="AF17" s="1" t="s">
        <v>521</v>
      </c>
      <c r="AG17" s="1" t="s">
        <v>521</v>
      </c>
      <c r="AH17" s="1" t="s">
        <v>521</v>
      </c>
      <c r="AI17" s="1" t="s">
        <v>521</v>
      </c>
      <c r="AJ17" s="502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521</v>
      </c>
      <c r="E18" s="1" t="s">
        <v>521</v>
      </c>
      <c r="F18" s="1" t="s">
        <v>521</v>
      </c>
      <c r="G18" s="1" t="s">
        <v>521</v>
      </c>
      <c r="H18" s="1" t="s">
        <v>521</v>
      </c>
      <c r="I18" s="1" t="s">
        <v>521</v>
      </c>
      <c r="J18" s="1" t="s">
        <v>521</v>
      </c>
      <c r="K18" s="1" t="s">
        <v>521</v>
      </c>
      <c r="L18" s="1" t="s">
        <v>521</v>
      </c>
      <c r="M18" s="1" t="s">
        <v>521</v>
      </c>
      <c r="N18" s="1" t="s">
        <v>521</v>
      </c>
      <c r="O18" s="1" t="s">
        <v>521</v>
      </c>
      <c r="P18" s="1" t="s">
        <v>521</v>
      </c>
      <c r="Q18" s="1" t="s">
        <v>521</v>
      </c>
      <c r="R18" s="1" t="s">
        <v>521</v>
      </c>
      <c r="S18" s="1" t="s">
        <v>521</v>
      </c>
      <c r="T18" s="1" t="s">
        <v>521</v>
      </c>
      <c r="U18" s="1" t="s">
        <v>521</v>
      </c>
      <c r="V18" s="1" t="s">
        <v>521</v>
      </c>
      <c r="W18" s="1" t="s">
        <v>521</v>
      </c>
      <c r="X18" s="1" t="s">
        <v>521</v>
      </c>
      <c r="Y18" s="1" t="s">
        <v>521</v>
      </c>
      <c r="Z18" s="1" t="s">
        <v>521</v>
      </c>
      <c r="AA18" s="1" t="s">
        <v>521</v>
      </c>
      <c r="AB18" s="1" t="s">
        <v>521</v>
      </c>
      <c r="AC18" s="1" t="s">
        <v>521</v>
      </c>
      <c r="AD18" s="1" t="s">
        <v>521</v>
      </c>
      <c r="AE18" s="1" t="s">
        <v>521</v>
      </c>
      <c r="AF18" s="1" t="s">
        <v>521</v>
      </c>
      <c r="AG18" s="1" t="s">
        <v>521</v>
      </c>
      <c r="AH18" s="1" t="s">
        <v>521</v>
      </c>
      <c r="AI18" s="1" t="s">
        <v>521</v>
      </c>
      <c r="AJ18" s="502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521</v>
      </c>
      <c r="E19" s="1" t="s">
        <v>521</v>
      </c>
      <c r="F19" s="1" t="s">
        <v>521</v>
      </c>
      <c r="G19" s="1" t="s">
        <v>521</v>
      </c>
      <c r="H19" s="1" t="s">
        <v>521</v>
      </c>
      <c r="I19" s="1" t="s">
        <v>521</v>
      </c>
      <c r="J19" s="1" t="s">
        <v>521</v>
      </c>
      <c r="K19" s="1" t="s">
        <v>521</v>
      </c>
      <c r="L19" s="1" t="s">
        <v>521</v>
      </c>
      <c r="M19" s="1" t="s">
        <v>521</v>
      </c>
      <c r="N19" s="1" t="s">
        <v>521</v>
      </c>
      <c r="O19" s="1" t="s">
        <v>521</v>
      </c>
      <c r="P19" s="1" t="s">
        <v>521</v>
      </c>
      <c r="Q19" s="1" t="s">
        <v>521</v>
      </c>
      <c r="R19" s="1" t="s">
        <v>521</v>
      </c>
      <c r="S19" s="1" t="s">
        <v>521</v>
      </c>
      <c r="T19" s="1" t="s">
        <v>521</v>
      </c>
      <c r="U19" s="1" t="s">
        <v>521</v>
      </c>
      <c r="V19" s="1" t="s">
        <v>521</v>
      </c>
      <c r="W19" s="1" t="s">
        <v>521</v>
      </c>
      <c r="X19" s="1" t="s">
        <v>521</v>
      </c>
      <c r="Y19" s="1" t="s">
        <v>521</v>
      </c>
      <c r="Z19" s="1" t="s">
        <v>521</v>
      </c>
      <c r="AA19" s="1" t="s">
        <v>521</v>
      </c>
      <c r="AB19" s="1" t="s">
        <v>521</v>
      </c>
      <c r="AC19" s="1" t="s">
        <v>521</v>
      </c>
      <c r="AD19" s="1" t="s">
        <v>521</v>
      </c>
      <c r="AE19" s="1" t="s">
        <v>521</v>
      </c>
      <c r="AF19" s="1" t="s">
        <v>521</v>
      </c>
      <c r="AG19" s="1" t="s">
        <v>521</v>
      </c>
      <c r="AH19" s="1" t="s">
        <v>521</v>
      </c>
      <c r="AI19" s="1" t="s">
        <v>521</v>
      </c>
      <c r="AJ19" s="502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521</v>
      </c>
      <c r="E20" s="1" t="s">
        <v>521</v>
      </c>
      <c r="F20" s="1" t="s">
        <v>521</v>
      </c>
      <c r="G20" s="1" t="s">
        <v>521</v>
      </c>
      <c r="H20" s="1" t="s">
        <v>521</v>
      </c>
      <c r="I20" s="1" t="s">
        <v>521</v>
      </c>
      <c r="J20" s="1" t="s">
        <v>521</v>
      </c>
      <c r="K20" s="1" t="s">
        <v>521</v>
      </c>
      <c r="L20" s="1" t="s">
        <v>521</v>
      </c>
      <c r="M20" s="1" t="s">
        <v>521</v>
      </c>
      <c r="N20" s="1" t="s">
        <v>521</v>
      </c>
      <c r="O20" s="1" t="s">
        <v>521</v>
      </c>
      <c r="P20" s="1" t="s">
        <v>521</v>
      </c>
      <c r="Q20" s="1" t="s">
        <v>521</v>
      </c>
      <c r="R20" s="1" t="s">
        <v>521</v>
      </c>
      <c r="S20" s="1" t="s">
        <v>521</v>
      </c>
      <c r="T20" s="1" t="s">
        <v>521</v>
      </c>
      <c r="U20" s="1" t="s">
        <v>521</v>
      </c>
      <c r="V20" s="1" t="s">
        <v>521</v>
      </c>
      <c r="W20" s="1" t="s">
        <v>521</v>
      </c>
      <c r="X20" s="1" t="s">
        <v>521</v>
      </c>
      <c r="Y20" s="1" t="s">
        <v>521</v>
      </c>
      <c r="Z20" s="1" t="s">
        <v>521</v>
      </c>
      <c r="AA20" s="1" t="s">
        <v>521</v>
      </c>
      <c r="AB20" s="1" t="s">
        <v>521</v>
      </c>
      <c r="AC20" s="1" t="s">
        <v>521</v>
      </c>
      <c r="AD20" s="1" t="s">
        <v>521</v>
      </c>
      <c r="AE20" s="1" t="s">
        <v>521</v>
      </c>
      <c r="AF20" s="1" t="s">
        <v>521</v>
      </c>
      <c r="AG20" s="1" t="s">
        <v>521</v>
      </c>
      <c r="AH20" s="1" t="s">
        <v>521</v>
      </c>
      <c r="AI20" s="1" t="s">
        <v>521</v>
      </c>
      <c r="AJ20" s="502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521</v>
      </c>
      <c r="E21" s="1" t="s">
        <v>521</v>
      </c>
      <c r="F21" s="1" t="s">
        <v>521</v>
      </c>
      <c r="G21" s="1" t="s">
        <v>521</v>
      </c>
      <c r="H21" s="1" t="s">
        <v>521</v>
      </c>
      <c r="I21" s="1" t="s">
        <v>521</v>
      </c>
      <c r="J21" s="1" t="s">
        <v>521</v>
      </c>
      <c r="K21" s="1" t="s">
        <v>521</v>
      </c>
      <c r="L21" s="1" t="s">
        <v>521</v>
      </c>
      <c r="M21" s="1" t="s">
        <v>521</v>
      </c>
      <c r="N21" s="1" t="s">
        <v>521</v>
      </c>
      <c r="O21" s="1" t="s">
        <v>521</v>
      </c>
      <c r="P21" s="1" t="s">
        <v>521</v>
      </c>
      <c r="Q21" s="1" t="s">
        <v>521</v>
      </c>
      <c r="R21" s="1" t="s">
        <v>521</v>
      </c>
      <c r="S21" s="1" t="s">
        <v>521</v>
      </c>
      <c r="T21" s="1" t="s">
        <v>521</v>
      </c>
      <c r="U21" s="1" t="s">
        <v>521</v>
      </c>
      <c r="V21" s="1" t="s">
        <v>521</v>
      </c>
      <c r="W21" s="1" t="s">
        <v>521</v>
      </c>
      <c r="X21" s="1" t="s">
        <v>521</v>
      </c>
      <c r="Y21" s="1" t="s">
        <v>521</v>
      </c>
      <c r="Z21" s="1" t="s">
        <v>521</v>
      </c>
      <c r="AA21" s="1" t="s">
        <v>521</v>
      </c>
      <c r="AB21" s="1" t="s">
        <v>521</v>
      </c>
      <c r="AC21" s="1" t="s">
        <v>521</v>
      </c>
      <c r="AD21" s="1" t="s">
        <v>521</v>
      </c>
      <c r="AE21" s="1" t="s">
        <v>521</v>
      </c>
      <c r="AF21" s="1" t="s">
        <v>521</v>
      </c>
      <c r="AG21" s="1" t="s">
        <v>521</v>
      </c>
      <c r="AH21" s="1" t="s">
        <v>521</v>
      </c>
      <c r="AI21" s="1" t="s">
        <v>521</v>
      </c>
      <c r="AJ21" s="502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1215</v>
      </c>
      <c r="B1" s="1" t="s">
        <v>361</v>
      </c>
      <c r="C1" s="1" t="s">
        <v>1216</v>
      </c>
      <c r="D1" s="1" t="s">
        <v>1217</v>
      </c>
      <c r="E1" s="1" t="s">
        <v>1218</v>
      </c>
      <c r="F1" s="1" t="s">
        <v>1219</v>
      </c>
      <c r="G1" s="1" t="s">
        <v>1220</v>
      </c>
      <c r="H1" s="1" t="s">
        <v>1221</v>
      </c>
      <c r="I1" s="1" t="s">
        <v>1222</v>
      </c>
      <c r="J1" s="1" t="s">
        <v>1223</v>
      </c>
      <c r="K1" s="1" t="s">
        <v>1224</v>
      </c>
      <c r="L1" s="1" t="s">
        <v>1225</v>
      </c>
      <c r="M1" s="1" t="s">
        <v>1226</v>
      </c>
      <c r="N1" s="1" t="s">
        <v>1227</v>
      </c>
      <c r="O1" s="1" t="s">
        <v>363</v>
      </c>
      <c r="P1" s="1" t="s">
        <v>1228</v>
      </c>
      <c r="Q1" s="1" t="s">
        <v>1229</v>
      </c>
      <c r="R1" s="1" t="s">
        <v>1230</v>
      </c>
      <c r="S1" s="1" t="s">
        <v>1231</v>
      </c>
      <c r="T1" s="1" t="s">
        <v>1232</v>
      </c>
      <c r="U1" s="1" t="s">
        <v>1233</v>
      </c>
      <c r="V1" s="1" t="s">
        <v>1234</v>
      </c>
      <c r="W1" s="1" t="s">
        <v>1235</v>
      </c>
      <c r="X1" s="1" t="s">
        <v>1236</v>
      </c>
      <c r="Y1" s="1" t="s">
        <v>1237</v>
      </c>
      <c r="Z1" s="1" t="s">
        <v>1238</v>
      </c>
      <c r="AA1" s="1" t="s">
        <v>1239</v>
      </c>
      <c r="AB1" s="1" t="s">
        <v>1240</v>
      </c>
    </row>
    <row r="2" spans="1:29">
      <c r="A2" s="1" t="s">
        <v>1241</v>
      </c>
      <c r="B2" s="1" t="s">
        <v>364</v>
      </c>
      <c r="C2" s="1" t="s">
        <v>1242</v>
      </c>
      <c r="D2" s="1" t="s">
        <v>1243</v>
      </c>
      <c r="E2" s="1" t="s">
        <v>521</v>
      </c>
      <c r="F2" s="1" t="s">
        <v>521</v>
      </c>
      <c r="G2" s="1" t="s">
        <v>521</v>
      </c>
      <c r="H2" s="1" t="s">
        <v>521</v>
      </c>
      <c r="I2" s="1" t="s">
        <v>521</v>
      </c>
      <c r="J2" s="1" t="s">
        <v>521</v>
      </c>
      <c r="K2" s="1" t="s">
        <v>521</v>
      </c>
      <c r="L2" s="1" t="s">
        <v>521</v>
      </c>
      <c r="M2" s="1" t="s">
        <v>521</v>
      </c>
      <c r="N2" s="1" t="s">
        <v>521</v>
      </c>
      <c r="O2" s="1" t="s">
        <v>1244</v>
      </c>
      <c r="P2" s="1" t="s">
        <v>1245</v>
      </c>
      <c r="Q2" s="1" t="s">
        <v>1246</v>
      </c>
      <c r="R2" s="1" t="s">
        <v>521</v>
      </c>
      <c r="S2" s="1" t="s">
        <v>521</v>
      </c>
      <c r="T2" s="1" t="s">
        <v>521</v>
      </c>
      <c r="U2" s="1" t="s">
        <v>521</v>
      </c>
      <c r="V2" s="1" t="s">
        <v>521</v>
      </c>
      <c r="W2" s="1" t="s">
        <v>521</v>
      </c>
      <c r="X2" s="1" t="s">
        <v>521</v>
      </c>
      <c r="Y2" s="1" t="s">
        <v>521</v>
      </c>
      <c r="Z2" s="1" t="s">
        <v>521</v>
      </c>
      <c r="AA2" s="1" t="s">
        <v>521</v>
      </c>
      <c r="AB2" s="1" t="s">
        <v>1247</v>
      </c>
      <c r="AC2" s="502">
        <v>43045.229882731503</v>
      </c>
    </row>
    <row r="3" spans="1:29">
      <c r="A3" s="1" t="s">
        <v>1241</v>
      </c>
      <c r="B3" s="1" t="s">
        <v>398</v>
      </c>
      <c r="C3" s="1" t="s">
        <v>1248</v>
      </c>
      <c r="D3" s="1" t="s">
        <v>1249</v>
      </c>
      <c r="E3" s="1" t="s">
        <v>521</v>
      </c>
      <c r="F3" s="1" t="s">
        <v>521</v>
      </c>
      <c r="G3" s="1" t="s">
        <v>521</v>
      </c>
      <c r="H3" s="1" t="s">
        <v>521</v>
      </c>
      <c r="I3" s="1" t="s">
        <v>521</v>
      </c>
      <c r="J3" s="1" t="s">
        <v>521</v>
      </c>
      <c r="K3" s="1" t="s">
        <v>521</v>
      </c>
      <c r="L3" s="1" t="s">
        <v>521</v>
      </c>
      <c r="M3" s="1" t="s">
        <v>521</v>
      </c>
      <c r="N3" s="1" t="s">
        <v>521</v>
      </c>
      <c r="O3" s="1" t="s">
        <v>1250</v>
      </c>
      <c r="P3" s="1" t="s">
        <v>1251</v>
      </c>
      <c r="Q3" s="1" t="s">
        <v>1252</v>
      </c>
      <c r="R3" s="1" t="s">
        <v>521</v>
      </c>
      <c r="S3" s="1" t="s">
        <v>521</v>
      </c>
      <c r="T3" s="1" t="s">
        <v>521</v>
      </c>
      <c r="U3" s="1" t="s">
        <v>521</v>
      </c>
      <c r="V3" s="1" t="s">
        <v>521</v>
      </c>
      <c r="W3" s="1" t="s">
        <v>521</v>
      </c>
      <c r="X3" s="1" t="s">
        <v>521</v>
      </c>
      <c r="Y3" s="1" t="s">
        <v>521</v>
      </c>
      <c r="Z3" s="1" t="s">
        <v>521</v>
      </c>
      <c r="AA3" s="1" t="s">
        <v>521</v>
      </c>
      <c r="AB3" s="1" t="s">
        <v>1253</v>
      </c>
      <c r="AC3" s="502">
        <v>43045.229882731503</v>
      </c>
    </row>
    <row r="4" spans="1:29">
      <c r="A4" s="1" t="s">
        <v>1241</v>
      </c>
      <c r="B4" s="1" t="s">
        <v>428</v>
      </c>
      <c r="C4" s="1" t="s">
        <v>1254</v>
      </c>
      <c r="D4" s="1" t="s">
        <v>1255</v>
      </c>
      <c r="E4" s="1" t="s">
        <v>521</v>
      </c>
      <c r="F4" s="1" t="s">
        <v>521</v>
      </c>
      <c r="G4" s="1" t="s">
        <v>521</v>
      </c>
      <c r="H4" s="1" t="s">
        <v>521</v>
      </c>
      <c r="I4" s="1" t="s">
        <v>521</v>
      </c>
      <c r="J4" s="1" t="s">
        <v>521</v>
      </c>
      <c r="K4" s="1" t="s">
        <v>521</v>
      </c>
      <c r="L4" s="1" t="s">
        <v>521</v>
      </c>
      <c r="M4" s="1" t="s">
        <v>521</v>
      </c>
      <c r="N4" s="1" t="s">
        <v>521</v>
      </c>
      <c r="O4" s="1" t="s">
        <v>1256</v>
      </c>
      <c r="P4" s="1" t="s">
        <v>1257</v>
      </c>
      <c r="Q4" s="1" t="s">
        <v>1258</v>
      </c>
      <c r="R4" s="1" t="s">
        <v>521</v>
      </c>
      <c r="S4" s="1" t="s">
        <v>521</v>
      </c>
      <c r="T4" s="1" t="s">
        <v>521</v>
      </c>
      <c r="U4" s="1" t="s">
        <v>521</v>
      </c>
      <c r="V4" s="1" t="s">
        <v>521</v>
      </c>
      <c r="W4" s="1" t="s">
        <v>521</v>
      </c>
      <c r="X4" s="1" t="s">
        <v>521</v>
      </c>
      <c r="Y4" s="1" t="s">
        <v>521</v>
      </c>
      <c r="Z4" s="1" t="s">
        <v>521</v>
      </c>
      <c r="AA4" s="1" t="s">
        <v>521</v>
      </c>
      <c r="AB4" s="1" t="s">
        <v>1259</v>
      </c>
      <c r="AC4" s="502">
        <v>43045.229882731503</v>
      </c>
    </row>
    <row r="5" spans="1:29">
      <c r="A5" s="1" t="s">
        <v>1241</v>
      </c>
      <c r="B5" s="1" t="s">
        <v>457</v>
      </c>
      <c r="C5" s="1" t="s">
        <v>1260</v>
      </c>
      <c r="D5" s="1" t="s">
        <v>1261</v>
      </c>
      <c r="E5" s="1" t="s">
        <v>521</v>
      </c>
      <c r="F5" s="1" t="s">
        <v>521</v>
      </c>
      <c r="G5" s="1" t="s">
        <v>521</v>
      </c>
      <c r="H5" s="1" t="s">
        <v>521</v>
      </c>
      <c r="I5" s="1" t="s">
        <v>521</v>
      </c>
      <c r="J5" s="1" t="s">
        <v>521</v>
      </c>
      <c r="K5" s="1" t="s">
        <v>521</v>
      </c>
      <c r="L5" s="1" t="s">
        <v>521</v>
      </c>
      <c r="M5" s="1" t="s">
        <v>521</v>
      </c>
      <c r="N5" s="1" t="s">
        <v>521</v>
      </c>
      <c r="O5" s="1" t="s">
        <v>1262</v>
      </c>
      <c r="P5" s="1" t="s">
        <v>1263</v>
      </c>
      <c r="Q5" s="1" t="s">
        <v>1264</v>
      </c>
      <c r="R5" s="1" t="s">
        <v>521</v>
      </c>
      <c r="S5" s="1" t="s">
        <v>521</v>
      </c>
      <c r="T5" s="1" t="s">
        <v>521</v>
      </c>
      <c r="U5" s="1" t="s">
        <v>521</v>
      </c>
      <c r="V5" s="1" t="s">
        <v>521</v>
      </c>
      <c r="W5" s="1" t="s">
        <v>521</v>
      </c>
      <c r="X5" s="1" t="s">
        <v>521</v>
      </c>
      <c r="Y5" s="1" t="s">
        <v>521</v>
      </c>
      <c r="Z5" s="1" t="s">
        <v>521</v>
      </c>
      <c r="AA5" s="1" t="s">
        <v>521</v>
      </c>
      <c r="AB5" s="1" t="s">
        <v>1265</v>
      </c>
      <c r="AC5" s="502">
        <v>43045.229882731503</v>
      </c>
    </row>
    <row r="6" spans="1:29">
      <c r="A6" s="1" t="s">
        <v>1241</v>
      </c>
      <c r="B6" s="1" t="s">
        <v>486</v>
      </c>
      <c r="C6" s="1" t="s">
        <v>1266</v>
      </c>
      <c r="D6" s="1" t="s">
        <v>1267</v>
      </c>
      <c r="E6" s="1" t="s">
        <v>521</v>
      </c>
      <c r="F6" s="1" t="s">
        <v>521</v>
      </c>
      <c r="G6" s="1" t="s">
        <v>521</v>
      </c>
      <c r="H6" s="1" t="s">
        <v>521</v>
      </c>
      <c r="I6" s="1" t="s">
        <v>521</v>
      </c>
      <c r="J6" s="1" t="s">
        <v>521</v>
      </c>
      <c r="K6" s="1" t="s">
        <v>521</v>
      </c>
      <c r="L6" s="1" t="s">
        <v>521</v>
      </c>
      <c r="M6" s="1" t="s">
        <v>521</v>
      </c>
      <c r="N6" s="1" t="s">
        <v>521</v>
      </c>
      <c r="O6" s="1" t="s">
        <v>1268</v>
      </c>
      <c r="P6" s="1" t="s">
        <v>1269</v>
      </c>
      <c r="Q6" s="1" t="s">
        <v>1270</v>
      </c>
      <c r="R6" s="1" t="s">
        <v>521</v>
      </c>
      <c r="S6" s="1" t="s">
        <v>521</v>
      </c>
      <c r="T6" s="1" t="s">
        <v>521</v>
      </c>
      <c r="U6" s="1" t="s">
        <v>521</v>
      </c>
      <c r="V6" s="1" t="s">
        <v>521</v>
      </c>
      <c r="W6" s="1" t="s">
        <v>521</v>
      </c>
      <c r="X6" s="1" t="s">
        <v>521</v>
      </c>
      <c r="Y6" s="1" t="s">
        <v>521</v>
      </c>
      <c r="Z6" s="1" t="s">
        <v>521</v>
      </c>
      <c r="AA6" s="1" t="s">
        <v>521</v>
      </c>
      <c r="AB6" s="1" t="s">
        <v>1271</v>
      </c>
      <c r="AC6" s="502">
        <v>43045.229882731503</v>
      </c>
    </row>
    <row r="7" spans="1:29">
      <c r="A7" s="1" t="s">
        <v>1241</v>
      </c>
      <c r="B7" s="1" t="s">
        <v>520</v>
      </c>
      <c r="C7" s="1" t="s">
        <v>521</v>
      </c>
      <c r="D7" s="1" t="s">
        <v>521</v>
      </c>
      <c r="E7" s="1" t="s">
        <v>521</v>
      </c>
      <c r="F7" s="1" t="s">
        <v>521</v>
      </c>
      <c r="G7" s="1" t="s">
        <v>521</v>
      </c>
      <c r="H7" s="1" t="s">
        <v>521</v>
      </c>
      <c r="I7" s="1" t="s">
        <v>521</v>
      </c>
      <c r="J7" s="1" t="s">
        <v>521</v>
      </c>
      <c r="K7" s="1" t="s">
        <v>521</v>
      </c>
      <c r="L7" s="1" t="s">
        <v>521</v>
      </c>
      <c r="M7" s="1" t="s">
        <v>521</v>
      </c>
      <c r="N7" s="1" t="s">
        <v>521</v>
      </c>
      <c r="O7" s="1" t="s">
        <v>521</v>
      </c>
      <c r="P7" s="1" t="s">
        <v>521</v>
      </c>
      <c r="Q7" s="1" t="s">
        <v>521</v>
      </c>
      <c r="R7" s="1" t="s">
        <v>521</v>
      </c>
      <c r="S7" s="1" t="s">
        <v>521</v>
      </c>
      <c r="T7" s="1" t="s">
        <v>521</v>
      </c>
      <c r="U7" s="1" t="s">
        <v>521</v>
      </c>
      <c r="V7" s="1" t="s">
        <v>521</v>
      </c>
      <c r="W7" s="1" t="s">
        <v>521</v>
      </c>
      <c r="X7" s="1" t="s">
        <v>521</v>
      </c>
      <c r="Y7" s="1" t="s">
        <v>521</v>
      </c>
      <c r="Z7" s="1" t="s">
        <v>521</v>
      </c>
      <c r="AA7" s="1" t="s">
        <v>521</v>
      </c>
      <c r="AB7" s="1" t="s">
        <v>521</v>
      </c>
      <c r="AC7" s="502">
        <v>43045.229882731503</v>
      </c>
    </row>
    <row r="8" spans="1:29">
      <c r="A8" s="1" t="s">
        <v>1241</v>
      </c>
      <c r="B8" s="1" t="s">
        <v>522</v>
      </c>
      <c r="C8" s="1" t="s">
        <v>1272</v>
      </c>
      <c r="D8" s="1" t="s">
        <v>1273</v>
      </c>
      <c r="E8" s="1" t="s">
        <v>521</v>
      </c>
      <c r="F8" s="1" t="s">
        <v>521</v>
      </c>
      <c r="G8" s="1" t="s">
        <v>521</v>
      </c>
      <c r="H8" s="1" t="s">
        <v>521</v>
      </c>
      <c r="I8" s="1" t="s">
        <v>521</v>
      </c>
      <c r="J8" s="1" t="s">
        <v>521</v>
      </c>
      <c r="K8" s="1" t="s">
        <v>521</v>
      </c>
      <c r="L8" s="1" t="s">
        <v>521</v>
      </c>
      <c r="M8" s="1" t="s">
        <v>521</v>
      </c>
      <c r="N8" s="1" t="s">
        <v>521</v>
      </c>
      <c r="O8" s="1" t="s">
        <v>1274</v>
      </c>
      <c r="P8" s="1" t="s">
        <v>1275</v>
      </c>
      <c r="Q8" s="1" t="s">
        <v>1276</v>
      </c>
      <c r="R8" s="1" t="s">
        <v>521</v>
      </c>
      <c r="S8" s="1" t="s">
        <v>521</v>
      </c>
      <c r="T8" s="1" t="s">
        <v>521</v>
      </c>
      <c r="U8" s="1" t="s">
        <v>521</v>
      </c>
      <c r="V8" s="1" t="s">
        <v>521</v>
      </c>
      <c r="W8" s="1" t="s">
        <v>521</v>
      </c>
      <c r="X8" s="1" t="s">
        <v>521</v>
      </c>
      <c r="Y8" s="1" t="s">
        <v>521</v>
      </c>
      <c r="Z8" s="1" t="s">
        <v>521</v>
      </c>
      <c r="AA8" s="1" t="s">
        <v>521</v>
      </c>
      <c r="AB8" s="1" t="s">
        <v>1277</v>
      </c>
      <c r="AC8" s="502">
        <v>43045.229882731503</v>
      </c>
    </row>
    <row r="9" spans="1:29">
      <c r="A9" s="1" t="s">
        <v>1241</v>
      </c>
      <c r="B9" s="1" t="s">
        <v>551</v>
      </c>
      <c r="C9" s="1" t="s">
        <v>521</v>
      </c>
      <c r="D9" s="1" t="s">
        <v>521</v>
      </c>
      <c r="E9" s="1" t="s">
        <v>521</v>
      </c>
      <c r="F9" s="1" t="s">
        <v>521</v>
      </c>
      <c r="G9" s="1" t="s">
        <v>521</v>
      </c>
      <c r="H9" s="1" t="s">
        <v>521</v>
      </c>
      <c r="I9" s="1" t="s">
        <v>521</v>
      </c>
      <c r="J9" s="1" t="s">
        <v>521</v>
      </c>
      <c r="K9" s="1" t="s">
        <v>521</v>
      </c>
      <c r="L9" s="1" t="s">
        <v>521</v>
      </c>
      <c r="M9" s="1" t="s">
        <v>521</v>
      </c>
      <c r="N9" s="1" t="s">
        <v>521</v>
      </c>
      <c r="O9" s="1" t="s">
        <v>521</v>
      </c>
      <c r="P9" s="1" t="s">
        <v>521</v>
      </c>
      <c r="Q9" s="1" t="s">
        <v>521</v>
      </c>
      <c r="R9" s="1" t="s">
        <v>521</v>
      </c>
      <c r="S9" s="1" t="s">
        <v>521</v>
      </c>
      <c r="T9" s="1" t="s">
        <v>521</v>
      </c>
      <c r="U9" s="1" t="s">
        <v>521</v>
      </c>
      <c r="V9" s="1" t="s">
        <v>521</v>
      </c>
      <c r="W9" s="1" t="s">
        <v>521</v>
      </c>
      <c r="X9" s="1" t="s">
        <v>521</v>
      </c>
      <c r="Y9" s="1" t="s">
        <v>521</v>
      </c>
      <c r="Z9" s="1" t="s">
        <v>521</v>
      </c>
      <c r="AA9" s="1" t="s">
        <v>521</v>
      </c>
      <c r="AB9" s="1" t="s">
        <v>521</v>
      </c>
      <c r="AC9" s="502">
        <v>43045.229882731503</v>
      </c>
    </row>
    <row r="10" spans="1:29">
      <c r="A10" s="1" t="s">
        <v>1241</v>
      </c>
      <c r="B10" s="1" t="s">
        <v>552</v>
      </c>
      <c r="C10" s="1" t="s">
        <v>1278</v>
      </c>
      <c r="D10" s="1" t="s">
        <v>1279</v>
      </c>
      <c r="E10" s="1" t="s">
        <v>521</v>
      </c>
      <c r="F10" s="1" t="s">
        <v>521</v>
      </c>
      <c r="G10" s="1" t="s">
        <v>521</v>
      </c>
      <c r="H10" s="1" t="s">
        <v>521</v>
      </c>
      <c r="I10" s="1" t="s">
        <v>521</v>
      </c>
      <c r="J10" s="1" t="s">
        <v>521</v>
      </c>
      <c r="K10" s="1" t="s">
        <v>521</v>
      </c>
      <c r="L10" s="1" t="s">
        <v>521</v>
      </c>
      <c r="M10" s="1" t="s">
        <v>521</v>
      </c>
      <c r="N10" s="1" t="s">
        <v>521</v>
      </c>
      <c r="O10" s="1" t="s">
        <v>1280</v>
      </c>
      <c r="P10" s="1" t="s">
        <v>1281</v>
      </c>
      <c r="Q10" s="1" t="s">
        <v>1282</v>
      </c>
      <c r="R10" s="1" t="s">
        <v>521</v>
      </c>
      <c r="S10" s="1" t="s">
        <v>521</v>
      </c>
      <c r="T10" s="1" t="s">
        <v>521</v>
      </c>
      <c r="U10" s="1" t="s">
        <v>521</v>
      </c>
      <c r="V10" s="1" t="s">
        <v>521</v>
      </c>
      <c r="W10" s="1" t="s">
        <v>521</v>
      </c>
      <c r="X10" s="1" t="s">
        <v>521</v>
      </c>
      <c r="Y10" s="1" t="s">
        <v>521</v>
      </c>
      <c r="Z10" s="1" t="s">
        <v>521</v>
      </c>
      <c r="AA10" s="1" t="s">
        <v>521</v>
      </c>
      <c r="AB10" s="1" t="s">
        <v>1283</v>
      </c>
      <c r="AC10" s="502">
        <v>43045.229882731503</v>
      </c>
    </row>
    <row r="11" spans="1:29">
      <c r="A11" s="1" t="s">
        <v>1241</v>
      </c>
      <c r="B11" s="1" t="s">
        <v>581</v>
      </c>
      <c r="C11" s="1" t="s">
        <v>582</v>
      </c>
      <c r="D11" s="1" t="s">
        <v>582</v>
      </c>
      <c r="E11" s="1" t="s">
        <v>521</v>
      </c>
      <c r="F11" s="1" t="s">
        <v>521</v>
      </c>
      <c r="G11" s="1" t="s">
        <v>521</v>
      </c>
      <c r="H11" s="1" t="s">
        <v>521</v>
      </c>
      <c r="I11" s="1" t="s">
        <v>521</v>
      </c>
      <c r="J11" s="1" t="s">
        <v>521</v>
      </c>
      <c r="K11" s="1" t="s">
        <v>521</v>
      </c>
      <c r="L11" s="1" t="s">
        <v>521</v>
      </c>
      <c r="M11" s="1" t="s">
        <v>521</v>
      </c>
      <c r="N11" s="1" t="s">
        <v>521</v>
      </c>
      <c r="O11" s="1" t="s">
        <v>582</v>
      </c>
      <c r="P11" s="1" t="s">
        <v>582</v>
      </c>
      <c r="Q11" s="1" t="s">
        <v>582</v>
      </c>
      <c r="R11" s="1" t="s">
        <v>521</v>
      </c>
      <c r="S11" s="1" t="s">
        <v>521</v>
      </c>
      <c r="T11" s="1" t="s">
        <v>521</v>
      </c>
      <c r="U11" s="1" t="s">
        <v>521</v>
      </c>
      <c r="V11" s="1" t="s">
        <v>521</v>
      </c>
      <c r="W11" s="1" t="s">
        <v>521</v>
      </c>
      <c r="X11" s="1" t="s">
        <v>521</v>
      </c>
      <c r="Y11" s="1" t="s">
        <v>521</v>
      </c>
      <c r="Z11" s="1" t="s">
        <v>521</v>
      </c>
      <c r="AA11" s="1" t="s">
        <v>521</v>
      </c>
      <c r="AB11" s="1" t="s">
        <v>582</v>
      </c>
      <c r="AC11" s="502">
        <v>43045.229882731503</v>
      </c>
    </row>
    <row r="12" spans="1:29">
      <c r="A12" s="1" t="s">
        <v>1241</v>
      </c>
      <c r="B12" s="1" t="s">
        <v>585</v>
      </c>
      <c r="C12" s="1" t="s">
        <v>521</v>
      </c>
      <c r="D12" s="1" t="s">
        <v>521</v>
      </c>
      <c r="E12" s="1" t="s">
        <v>521</v>
      </c>
      <c r="F12" s="1" t="s">
        <v>521</v>
      </c>
      <c r="G12" s="1" t="s">
        <v>521</v>
      </c>
      <c r="H12" s="1" t="s">
        <v>521</v>
      </c>
      <c r="I12" s="1" t="s">
        <v>521</v>
      </c>
      <c r="J12" s="1" t="s">
        <v>521</v>
      </c>
      <c r="K12" s="1" t="s">
        <v>521</v>
      </c>
      <c r="L12" s="1" t="s">
        <v>521</v>
      </c>
      <c r="M12" s="1" t="s">
        <v>521</v>
      </c>
      <c r="N12" s="1" t="s">
        <v>521</v>
      </c>
      <c r="O12" s="1" t="s">
        <v>521</v>
      </c>
      <c r="P12" s="1" t="s">
        <v>521</v>
      </c>
      <c r="Q12" s="1" t="s">
        <v>521</v>
      </c>
      <c r="R12" s="1" t="s">
        <v>521</v>
      </c>
      <c r="S12" s="1" t="s">
        <v>521</v>
      </c>
      <c r="T12" s="1" t="s">
        <v>521</v>
      </c>
      <c r="U12" s="1" t="s">
        <v>521</v>
      </c>
      <c r="V12" s="1" t="s">
        <v>521</v>
      </c>
      <c r="W12" s="1" t="s">
        <v>521</v>
      </c>
      <c r="X12" s="1" t="s">
        <v>521</v>
      </c>
      <c r="Y12" s="1" t="s">
        <v>521</v>
      </c>
      <c r="Z12" s="1" t="s">
        <v>521</v>
      </c>
      <c r="AA12" s="1" t="s">
        <v>521</v>
      </c>
      <c r="AB12" s="1" t="s">
        <v>521</v>
      </c>
      <c r="AC12" s="502">
        <v>43045.229882731503</v>
      </c>
    </row>
    <row r="13" spans="1:29">
      <c r="A13" s="1" t="s">
        <v>1241</v>
      </c>
      <c r="B13" s="1" t="s">
        <v>586</v>
      </c>
      <c r="C13" s="1" t="s">
        <v>1284</v>
      </c>
      <c r="D13" s="1" t="s">
        <v>1285</v>
      </c>
      <c r="E13" s="1" t="s">
        <v>521</v>
      </c>
      <c r="F13" s="1" t="s">
        <v>521</v>
      </c>
      <c r="G13" s="1" t="s">
        <v>521</v>
      </c>
      <c r="H13" s="1" t="s">
        <v>521</v>
      </c>
      <c r="I13" s="1" t="s">
        <v>521</v>
      </c>
      <c r="J13" s="1" t="s">
        <v>521</v>
      </c>
      <c r="K13" s="1" t="s">
        <v>521</v>
      </c>
      <c r="L13" s="1" t="s">
        <v>521</v>
      </c>
      <c r="M13" s="1" t="s">
        <v>521</v>
      </c>
      <c r="N13" s="1" t="s">
        <v>521</v>
      </c>
      <c r="O13" s="1" t="s">
        <v>1286</v>
      </c>
      <c r="P13" s="1" t="s">
        <v>1287</v>
      </c>
      <c r="Q13" s="1" t="s">
        <v>1288</v>
      </c>
      <c r="R13" s="1" t="s">
        <v>521</v>
      </c>
      <c r="S13" s="1" t="s">
        <v>521</v>
      </c>
      <c r="T13" s="1" t="s">
        <v>521</v>
      </c>
      <c r="U13" s="1" t="s">
        <v>521</v>
      </c>
      <c r="V13" s="1" t="s">
        <v>521</v>
      </c>
      <c r="W13" s="1" t="s">
        <v>521</v>
      </c>
      <c r="X13" s="1" t="s">
        <v>521</v>
      </c>
      <c r="Y13" s="1" t="s">
        <v>521</v>
      </c>
      <c r="Z13" s="1" t="s">
        <v>521</v>
      </c>
      <c r="AA13" s="1" t="s">
        <v>521</v>
      </c>
      <c r="AB13" s="1" t="s">
        <v>1289</v>
      </c>
      <c r="AC13" s="502">
        <v>43045.229882731503</v>
      </c>
    </row>
    <row r="14" spans="1:29">
      <c r="A14" s="1" t="s">
        <v>1241</v>
      </c>
      <c r="B14" s="1" t="s">
        <v>615</v>
      </c>
      <c r="C14" s="1" t="s">
        <v>1290</v>
      </c>
      <c r="D14" s="1" t="s">
        <v>1291</v>
      </c>
      <c r="E14" s="1" t="s">
        <v>521</v>
      </c>
      <c r="F14" s="1" t="s">
        <v>521</v>
      </c>
      <c r="G14" s="1" t="s">
        <v>521</v>
      </c>
      <c r="H14" s="1" t="s">
        <v>521</v>
      </c>
      <c r="I14" s="1" t="s">
        <v>521</v>
      </c>
      <c r="J14" s="1" t="s">
        <v>521</v>
      </c>
      <c r="K14" s="1" t="s">
        <v>521</v>
      </c>
      <c r="L14" s="1" t="s">
        <v>521</v>
      </c>
      <c r="M14" s="1" t="s">
        <v>521</v>
      </c>
      <c r="N14" s="1" t="s">
        <v>521</v>
      </c>
      <c r="O14" s="1" t="s">
        <v>1292</v>
      </c>
      <c r="P14" s="1" t="s">
        <v>1293</v>
      </c>
      <c r="Q14" s="1" t="s">
        <v>1294</v>
      </c>
      <c r="R14" s="1" t="s">
        <v>521</v>
      </c>
      <c r="S14" s="1" t="s">
        <v>521</v>
      </c>
      <c r="T14" s="1" t="s">
        <v>521</v>
      </c>
      <c r="U14" s="1" t="s">
        <v>521</v>
      </c>
      <c r="V14" s="1" t="s">
        <v>521</v>
      </c>
      <c r="W14" s="1" t="s">
        <v>521</v>
      </c>
      <c r="X14" s="1" t="s">
        <v>521</v>
      </c>
      <c r="Y14" s="1" t="s">
        <v>521</v>
      </c>
      <c r="Z14" s="1" t="s">
        <v>521</v>
      </c>
      <c r="AA14" s="1" t="s">
        <v>521</v>
      </c>
      <c r="AB14" s="1" t="s">
        <v>1295</v>
      </c>
      <c r="AC14" s="502">
        <v>43045.229882731503</v>
      </c>
    </row>
    <row r="15" spans="1:29">
      <c r="A15" s="1" t="s">
        <v>1241</v>
      </c>
      <c r="B15" s="1" t="s">
        <v>643</v>
      </c>
      <c r="C15" s="1" t="s">
        <v>1296</v>
      </c>
      <c r="D15" s="1" t="s">
        <v>1297</v>
      </c>
      <c r="E15" s="1" t="s">
        <v>521</v>
      </c>
      <c r="F15" s="1" t="s">
        <v>521</v>
      </c>
      <c r="G15" s="1" t="s">
        <v>521</v>
      </c>
      <c r="H15" s="1" t="s">
        <v>521</v>
      </c>
      <c r="I15" s="1" t="s">
        <v>521</v>
      </c>
      <c r="J15" s="1" t="s">
        <v>521</v>
      </c>
      <c r="K15" s="1" t="s">
        <v>521</v>
      </c>
      <c r="L15" s="1" t="s">
        <v>521</v>
      </c>
      <c r="M15" s="1" t="s">
        <v>521</v>
      </c>
      <c r="N15" s="1" t="s">
        <v>521</v>
      </c>
      <c r="O15" s="1" t="s">
        <v>1298</v>
      </c>
      <c r="P15" s="1" t="s">
        <v>648</v>
      </c>
      <c r="Q15" s="1" t="s">
        <v>644</v>
      </c>
      <c r="R15" s="1" t="s">
        <v>521</v>
      </c>
      <c r="S15" s="1" t="s">
        <v>521</v>
      </c>
      <c r="T15" s="1" t="s">
        <v>521</v>
      </c>
      <c r="U15" s="1" t="s">
        <v>521</v>
      </c>
      <c r="V15" s="1" t="s">
        <v>521</v>
      </c>
      <c r="W15" s="1" t="s">
        <v>521</v>
      </c>
      <c r="X15" s="1" t="s">
        <v>521</v>
      </c>
      <c r="Y15" s="1" t="s">
        <v>521</v>
      </c>
      <c r="Z15" s="1" t="s">
        <v>521</v>
      </c>
      <c r="AA15" s="1" t="s">
        <v>521</v>
      </c>
      <c r="AB15" s="1" t="s">
        <v>1299</v>
      </c>
      <c r="AC15" s="502">
        <v>43045.229882731503</v>
      </c>
    </row>
    <row r="16" spans="1:29">
      <c r="A16" s="1" t="s">
        <v>1241</v>
      </c>
      <c r="B16" s="1" t="s">
        <v>1300</v>
      </c>
      <c r="C16" s="1" t="s">
        <v>521</v>
      </c>
      <c r="D16" s="1" t="s">
        <v>521</v>
      </c>
      <c r="E16" s="1" t="s">
        <v>521</v>
      </c>
      <c r="F16" s="1" t="s">
        <v>521</v>
      </c>
      <c r="G16" s="1" t="s">
        <v>521</v>
      </c>
      <c r="H16" s="1" t="s">
        <v>521</v>
      </c>
      <c r="I16" s="1" t="s">
        <v>521</v>
      </c>
      <c r="J16" s="1" t="s">
        <v>521</v>
      </c>
      <c r="K16" s="1" t="s">
        <v>521</v>
      </c>
      <c r="L16" s="1" t="s">
        <v>521</v>
      </c>
      <c r="M16" s="1" t="s">
        <v>521</v>
      </c>
      <c r="N16" s="1" t="s">
        <v>521</v>
      </c>
      <c r="O16" s="1" t="s">
        <v>521</v>
      </c>
      <c r="P16" s="1" t="s">
        <v>521</v>
      </c>
      <c r="Q16" s="1" t="s">
        <v>521</v>
      </c>
      <c r="R16" s="1" t="s">
        <v>521</v>
      </c>
      <c r="S16" s="1" t="s">
        <v>521</v>
      </c>
      <c r="T16" s="1" t="s">
        <v>521</v>
      </c>
      <c r="U16" s="1" t="s">
        <v>521</v>
      </c>
      <c r="V16" s="1" t="s">
        <v>521</v>
      </c>
      <c r="W16" s="1" t="s">
        <v>521</v>
      </c>
      <c r="X16" s="1" t="s">
        <v>521</v>
      </c>
      <c r="Y16" s="1" t="s">
        <v>521</v>
      </c>
      <c r="Z16" s="1" t="s">
        <v>521</v>
      </c>
      <c r="AA16" s="1" t="s">
        <v>521</v>
      </c>
      <c r="AB16" s="1" t="s">
        <v>521</v>
      </c>
      <c r="AC16" s="502">
        <v>43045.229882731503</v>
      </c>
    </row>
    <row r="17" spans="1:29">
      <c r="A17" s="1" t="s">
        <v>1241</v>
      </c>
      <c r="B17" s="1" t="s">
        <v>651</v>
      </c>
      <c r="C17" s="1" t="s">
        <v>1301</v>
      </c>
      <c r="D17" s="1" t="s">
        <v>1302</v>
      </c>
      <c r="E17" s="1" t="s">
        <v>521</v>
      </c>
      <c r="F17" s="1" t="s">
        <v>521</v>
      </c>
      <c r="G17" s="1" t="s">
        <v>521</v>
      </c>
      <c r="H17" s="1" t="s">
        <v>521</v>
      </c>
      <c r="I17" s="1" t="s">
        <v>521</v>
      </c>
      <c r="J17" s="1" t="s">
        <v>521</v>
      </c>
      <c r="K17" s="1" t="s">
        <v>521</v>
      </c>
      <c r="L17" s="1" t="s">
        <v>521</v>
      </c>
      <c r="M17" s="1" t="s">
        <v>521</v>
      </c>
      <c r="N17" s="1" t="s">
        <v>521</v>
      </c>
      <c r="O17" s="1" t="s">
        <v>1303</v>
      </c>
      <c r="P17" s="1" t="s">
        <v>1304</v>
      </c>
      <c r="Q17" s="1" t="s">
        <v>1305</v>
      </c>
      <c r="R17" s="1" t="s">
        <v>521</v>
      </c>
      <c r="S17" s="1" t="s">
        <v>521</v>
      </c>
      <c r="T17" s="1" t="s">
        <v>521</v>
      </c>
      <c r="U17" s="1" t="s">
        <v>521</v>
      </c>
      <c r="V17" s="1" t="s">
        <v>521</v>
      </c>
      <c r="W17" s="1" t="s">
        <v>521</v>
      </c>
      <c r="X17" s="1" t="s">
        <v>521</v>
      </c>
      <c r="Y17" s="1" t="s">
        <v>521</v>
      </c>
      <c r="Z17" s="1" t="s">
        <v>521</v>
      </c>
      <c r="AA17" s="1" t="s">
        <v>521</v>
      </c>
      <c r="AB17" s="1" t="s">
        <v>1306</v>
      </c>
      <c r="AC17" s="502">
        <v>43045.229882731503</v>
      </c>
    </row>
    <row r="18" spans="1:29">
      <c r="A18" s="1" t="s">
        <v>1241</v>
      </c>
      <c r="B18" s="501" t="s">
        <v>680</v>
      </c>
      <c r="C18" s="1" t="s">
        <v>1307</v>
      </c>
      <c r="D18" s="1" t="s">
        <v>1308</v>
      </c>
      <c r="E18" s="1" t="s">
        <v>521</v>
      </c>
      <c r="F18" s="1" t="s">
        <v>521</v>
      </c>
      <c r="G18" s="1" t="s">
        <v>521</v>
      </c>
      <c r="H18" s="1" t="s">
        <v>521</v>
      </c>
      <c r="I18" s="1" t="s">
        <v>521</v>
      </c>
      <c r="J18" s="1" t="s">
        <v>521</v>
      </c>
      <c r="K18" s="1" t="s">
        <v>521</v>
      </c>
      <c r="L18" s="1" t="s">
        <v>521</v>
      </c>
      <c r="M18" s="1" t="s">
        <v>521</v>
      </c>
      <c r="N18" s="1" t="s">
        <v>521</v>
      </c>
      <c r="O18" s="1" t="s">
        <v>1309</v>
      </c>
      <c r="P18" s="1" t="s">
        <v>1310</v>
      </c>
      <c r="Q18" s="1" t="s">
        <v>1311</v>
      </c>
      <c r="R18" s="1" t="s">
        <v>521</v>
      </c>
      <c r="S18" s="1" t="s">
        <v>521</v>
      </c>
      <c r="T18" s="1" t="s">
        <v>521</v>
      </c>
      <c r="U18" s="1" t="s">
        <v>521</v>
      </c>
      <c r="V18" s="1" t="s">
        <v>521</v>
      </c>
      <c r="W18" s="1" t="s">
        <v>521</v>
      </c>
      <c r="X18" s="1" t="s">
        <v>521</v>
      </c>
      <c r="Y18" s="1" t="s">
        <v>521</v>
      </c>
      <c r="Z18" s="1" t="s">
        <v>521</v>
      </c>
      <c r="AA18" s="1" t="s">
        <v>521</v>
      </c>
      <c r="AB18" s="1" t="s">
        <v>1312</v>
      </c>
      <c r="AC18" s="502">
        <v>43045.229882731503</v>
      </c>
    </row>
    <row r="19" spans="1:29">
      <c r="A19" s="1" t="s">
        <v>1241</v>
      </c>
      <c r="B19" s="1" t="s">
        <v>709</v>
      </c>
      <c r="C19" s="1" t="s">
        <v>1313</v>
      </c>
      <c r="D19" s="1" t="s">
        <v>1314</v>
      </c>
      <c r="E19" s="1" t="s">
        <v>521</v>
      </c>
      <c r="F19" s="1" t="s">
        <v>521</v>
      </c>
      <c r="G19" s="1" t="s">
        <v>521</v>
      </c>
      <c r="H19" s="1" t="s">
        <v>521</v>
      </c>
      <c r="I19" s="1" t="s">
        <v>521</v>
      </c>
      <c r="J19" s="1" t="s">
        <v>521</v>
      </c>
      <c r="K19" s="1" t="s">
        <v>521</v>
      </c>
      <c r="L19" s="1" t="s">
        <v>521</v>
      </c>
      <c r="M19" s="1" t="s">
        <v>521</v>
      </c>
      <c r="N19" s="1" t="s">
        <v>521</v>
      </c>
      <c r="O19" s="1" t="s">
        <v>1315</v>
      </c>
      <c r="P19" s="1" t="s">
        <v>1316</v>
      </c>
      <c r="Q19" s="1" t="s">
        <v>1317</v>
      </c>
      <c r="R19" s="1" t="s">
        <v>521</v>
      </c>
      <c r="S19" s="1" t="s">
        <v>521</v>
      </c>
      <c r="T19" s="1" t="s">
        <v>521</v>
      </c>
      <c r="U19" s="1" t="s">
        <v>521</v>
      </c>
      <c r="V19" s="1" t="s">
        <v>521</v>
      </c>
      <c r="W19" s="1" t="s">
        <v>521</v>
      </c>
      <c r="X19" s="1" t="s">
        <v>521</v>
      </c>
      <c r="Y19" s="1" t="s">
        <v>521</v>
      </c>
      <c r="Z19" s="1" t="s">
        <v>521</v>
      </c>
      <c r="AA19" s="1" t="s">
        <v>521</v>
      </c>
      <c r="AB19" s="1" t="s">
        <v>1318</v>
      </c>
      <c r="AC19" s="502">
        <v>43045.229882731503</v>
      </c>
    </row>
    <row r="20" spans="1:29">
      <c r="A20" s="1" t="s">
        <v>1241</v>
      </c>
      <c r="B20" s="1" t="s">
        <v>738</v>
      </c>
      <c r="C20" s="1" t="s">
        <v>739</v>
      </c>
      <c r="D20" s="1" t="s">
        <v>739</v>
      </c>
      <c r="E20" s="1" t="s">
        <v>521</v>
      </c>
      <c r="F20" s="1" t="s">
        <v>521</v>
      </c>
      <c r="G20" s="1" t="s">
        <v>521</v>
      </c>
      <c r="H20" s="1" t="s">
        <v>521</v>
      </c>
      <c r="I20" s="1" t="s">
        <v>521</v>
      </c>
      <c r="J20" s="1" t="s">
        <v>521</v>
      </c>
      <c r="K20" s="1" t="s">
        <v>521</v>
      </c>
      <c r="L20" s="1" t="s">
        <v>521</v>
      </c>
      <c r="M20" s="1" t="s">
        <v>521</v>
      </c>
      <c r="N20" s="1" t="s">
        <v>521</v>
      </c>
      <c r="O20" s="1" t="s">
        <v>739</v>
      </c>
      <c r="P20" s="1" t="s">
        <v>739</v>
      </c>
      <c r="Q20" s="1" t="s">
        <v>739</v>
      </c>
      <c r="R20" s="1" t="s">
        <v>521</v>
      </c>
      <c r="S20" s="1" t="s">
        <v>521</v>
      </c>
      <c r="T20" s="1" t="s">
        <v>521</v>
      </c>
      <c r="U20" s="1" t="s">
        <v>521</v>
      </c>
      <c r="V20" s="1" t="s">
        <v>521</v>
      </c>
      <c r="W20" s="1" t="s">
        <v>521</v>
      </c>
      <c r="X20" s="1" t="s">
        <v>521</v>
      </c>
      <c r="Y20" s="1" t="s">
        <v>521</v>
      </c>
      <c r="Z20" s="1" t="s">
        <v>521</v>
      </c>
      <c r="AA20" s="1" t="s">
        <v>521</v>
      </c>
      <c r="AB20" s="1" t="s">
        <v>739</v>
      </c>
      <c r="AC20" s="502">
        <v>43045.229882731503</v>
      </c>
    </row>
    <row r="21" spans="1:29">
      <c r="A21" s="1" t="s">
        <v>1241</v>
      </c>
      <c r="B21" s="1" t="s">
        <v>740</v>
      </c>
      <c r="C21" s="1" t="s">
        <v>741</v>
      </c>
      <c r="D21" s="1" t="s">
        <v>741</v>
      </c>
      <c r="E21" s="1" t="s">
        <v>521</v>
      </c>
      <c r="F21" s="1" t="s">
        <v>521</v>
      </c>
      <c r="G21" s="1" t="s">
        <v>521</v>
      </c>
      <c r="H21" s="1" t="s">
        <v>521</v>
      </c>
      <c r="I21" s="1" t="s">
        <v>521</v>
      </c>
      <c r="J21" s="1" t="s">
        <v>521</v>
      </c>
      <c r="K21" s="1" t="s">
        <v>521</v>
      </c>
      <c r="L21" s="1" t="s">
        <v>521</v>
      </c>
      <c r="M21" s="1" t="s">
        <v>521</v>
      </c>
      <c r="N21" s="1" t="s">
        <v>521</v>
      </c>
      <c r="O21" s="1" t="s">
        <v>741</v>
      </c>
      <c r="P21" s="1" t="s">
        <v>741</v>
      </c>
      <c r="Q21" s="1" t="s">
        <v>741</v>
      </c>
      <c r="R21" s="1" t="s">
        <v>521</v>
      </c>
      <c r="S21" s="1" t="s">
        <v>521</v>
      </c>
      <c r="T21" s="1" t="s">
        <v>521</v>
      </c>
      <c r="U21" s="1" t="s">
        <v>521</v>
      </c>
      <c r="V21" s="1" t="s">
        <v>521</v>
      </c>
      <c r="W21" s="1" t="s">
        <v>521</v>
      </c>
      <c r="X21" s="1" t="s">
        <v>521</v>
      </c>
      <c r="Y21" s="1" t="s">
        <v>521</v>
      </c>
      <c r="Z21" s="1" t="s">
        <v>521</v>
      </c>
      <c r="AA21" s="1" t="s">
        <v>521</v>
      </c>
      <c r="AB21" s="1" t="s">
        <v>741</v>
      </c>
      <c r="AC21" s="502">
        <v>43045.229882731503</v>
      </c>
    </row>
    <row r="22" spans="1:29">
      <c r="A22" s="1" t="s">
        <v>1241</v>
      </c>
      <c r="B22" s="1" t="s">
        <v>742</v>
      </c>
      <c r="C22" s="1" t="s">
        <v>1319</v>
      </c>
      <c r="D22" s="1" t="s">
        <v>1320</v>
      </c>
      <c r="E22" s="1" t="s">
        <v>521</v>
      </c>
      <c r="F22" s="1" t="s">
        <v>521</v>
      </c>
      <c r="G22" s="1" t="s">
        <v>521</v>
      </c>
      <c r="H22" s="1" t="s">
        <v>521</v>
      </c>
      <c r="I22" s="1" t="s">
        <v>521</v>
      </c>
      <c r="J22" s="1" t="s">
        <v>521</v>
      </c>
      <c r="K22" s="1" t="s">
        <v>521</v>
      </c>
      <c r="L22" s="1" t="s">
        <v>521</v>
      </c>
      <c r="M22" s="1" t="s">
        <v>521</v>
      </c>
      <c r="N22" s="1" t="s">
        <v>521</v>
      </c>
      <c r="O22" s="1" t="s">
        <v>1321</v>
      </c>
      <c r="P22" s="1" t="s">
        <v>1319</v>
      </c>
      <c r="Q22" s="1" t="s">
        <v>743</v>
      </c>
      <c r="R22" s="1" t="s">
        <v>521</v>
      </c>
      <c r="S22" s="1" t="s">
        <v>521</v>
      </c>
      <c r="T22" s="1" t="s">
        <v>521</v>
      </c>
      <c r="U22" s="1" t="s">
        <v>521</v>
      </c>
      <c r="V22" s="1" t="s">
        <v>521</v>
      </c>
      <c r="W22" s="1" t="s">
        <v>521</v>
      </c>
      <c r="X22" s="1" t="s">
        <v>521</v>
      </c>
      <c r="Y22" s="1" t="s">
        <v>521</v>
      </c>
      <c r="Z22" s="1" t="s">
        <v>521</v>
      </c>
      <c r="AA22" s="1" t="s">
        <v>521</v>
      </c>
      <c r="AB22" s="1" t="s">
        <v>1322</v>
      </c>
      <c r="AC22" s="502">
        <v>43045.229882731503</v>
      </c>
    </row>
    <row r="23" spans="1:29">
      <c r="A23" s="1" t="s">
        <v>1241</v>
      </c>
      <c r="B23" s="501" t="s">
        <v>747</v>
      </c>
      <c r="C23" s="1" t="s">
        <v>521</v>
      </c>
      <c r="D23" s="1" t="s">
        <v>521</v>
      </c>
      <c r="E23" s="1" t="s">
        <v>521</v>
      </c>
      <c r="F23" s="1" t="s">
        <v>521</v>
      </c>
      <c r="G23" s="1" t="s">
        <v>521</v>
      </c>
      <c r="H23" s="1" t="s">
        <v>521</v>
      </c>
      <c r="I23" s="1" t="s">
        <v>521</v>
      </c>
      <c r="J23" s="1" t="s">
        <v>521</v>
      </c>
      <c r="K23" s="1" t="s">
        <v>521</v>
      </c>
      <c r="L23" s="1" t="s">
        <v>521</v>
      </c>
      <c r="M23" s="1" t="s">
        <v>521</v>
      </c>
      <c r="N23" s="1" t="s">
        <v>521</v>
      </c>
      <c r="O23" s="1" t="s">
        <v>521</v>
      </c>
      <c r="P23" s="1" t="s">
        <v>521</v>
      </c>
      <c r="Q23" s="1" t="s">
        <v>521</v>
      </c>
      <c r="R23" s="1" t="s">
        <v>521</v>
      </c>
      <c r="S23" s="1" t="s">
        <v>521</v>
      </c>
      <c r="T23" s="1" t="s">
        <v>521</v>
      </c>
      <c r="U23" s="1" t="s">
        <v>521</v>
      </c>
      <c r="V23" s="1" t="s">
        <v>521</v>
      </c>
      <c r="W23" s="1" t="s">
        <v>521</v>
      </c>
      <c r="X23" s="1" t="s">
        <v>521</v>
      </c>
      <c r="Y23" s="1" t="s">
        <v>521</v>
      </c>
      <c r="Z23" s="1" t="s">
        <v>521</v>
      </c>
      <c r="AA23" s="1" t="s">
        <v>521</v>
      </c>
      <c r="AB23" s="1" t="s">
        <v>521</v>
      </c>
      <c r="AC23" s="502">
        <v>43045.229882731503</v>
      </c>
    </row>
    <row r="24" spans="1:29">
      <c r="A24" s="1" t="s">
        <v>1241</v>
      </c>
      <c r="B24" s="501" t="s">
        <v>748</v>
      </c>
      <c r="C24" s="1" t="s">
        <v>521</v>
      </c>
      <c r="D24" s="1" t="s">
        <v>521</v>
      </c>
      <c r="E24" s="1" t="s">
        <v>521</v>
      </c>
      <c r="F24" s="1" t="s">
        <v>521</v>
      </c>
      <c r="G24" s="1" t="s">
        <v>521</v>
      </c>
      <c r="H24" s="1" t="s">
        <v>521</v>
      </c>
      <c r="I24" s="1" t="s">
        <v>521</v>
      </c>
      <c r="J24" s="1" t="s">
        <v>521</v>
      </c>
      <c r="K24" s="1" t="s">
        <v>521</v>
      </c>
      <c r="L24" s="1" t="s">
        <v>521</v>
      </c>
      <c r="M24" s="1" t="s">
        <v>521</v>
      </c>
      <c r="N24" s="1" t="s">
        <v>521</v>
      </c>
      <c r="O24" s="1" t="s">
        <v>521</v>
      </c>
      <c r="P24" s="1" t="s">
        <v>521</v>
      </c>
      <c r="Q24" s="1" t="s">
        <v>521</v>
      </c>
      <c r="R24" s="1" t="s">
        <v>521</v>
      </c>
      <c r="S24" s="1" t="s">
        <v>521</v>
      </c>
      <c r="T24" s="1" t="s">
        <v>521</v>
      </c>
      <c r="U24" s="1" t="s">
        <v>521</v>
      </c>
      <c r="V24" s="1" t="s">
        <v>521</v>
      </c>
      <c r="W24" s="1" t="s">
        <v>521</v>
      </c>
      <c r="X24" s="1" t="s">
        <v>521</v>
      </c>
      <c r="Y24" s="1" t="s">
        <v>521</v>
      </c>
      <c r="Z24" s="1" t="s">
        <v>521</v>
      </c>
      <c r="AA24" s="1" t="s">
        <v>521</v>
      </c>
      <c r="AB24" s="1" t="s">
        <v>521</v>
      </c>
      <c r="AC24" s="502">
        <v>43045.229882731503</v>
      </c>
    </row>
    <row r="25" spans="1:29">
      <c r="A25" s="1" t="s">
        <v>1241</v>
      </c>
      <c r="B25" s="501" t="s">
        <v>749</v>
      </c>
      <c r="C25" s="1" t="s">
        <v>1323</v>
      </c>
      <c r="D25" s="1" t="s">
        <v>1324</v>
      </c>
      <c r="E25" s="1" t="s">
        <v>521</v>
      </c>
      <c r="F25" s="1" t="s">
        <v>521</v>
      </c>
      <c r="G25" s="1" t="s">
        <v>521</v>
      </c>
      <c r="H25" s="1" t="s">
        <v>521</v>
      </c>
      <c r="I25" s="1" t="s">
        <v>521</v>
      </c>
      <c r="J25" s="1" t="s">
        <v>521</v>
      </c>
      <c r="K25" s="1" t="s">
        <v>521</v>
      </c>
      <c r="L25" s="1" t="s">
        <v>521</v>
      </c>
      <c r="M25" s="1" t="s">
        <v>521</v>
      </c>
      <c r="N25" s="1" t="s">
        <v>521</v>
      </c>
      <c r="O25" s="1" t="s">
        <v>1325</v>
      </c>
      <c r="P25" s="1" t="s">
        <v>1326</v>
      </c>
      <c r="Q25" s="1" t="s">
        <v>1327</v>
      </c>
      <c r="R25" s="1" t="s">
        <v>521</v>
      </c>
      <c r="S25" s="1" t="s">
        <v>521</v>
      </c>
      <c r="T25" s="1" t="s">
        <v>521</v>
      </c>
      <c r="U25" s="1" t="s">
        <v>521</v>
      </c>
      <c r="V25" s="1" t="s">
        <v>521</v>
      </c>
      <c r="W25" s="1" t="s">
        <v>521</v>
      </c>
      <c r="X25" s="1" t="s">
        <v>521</v>
      </c>
      <c r="Y25" s="1" t="s">
        <v>521</v>
      </c>
      <c r="Z25" s="1" t="s">
        <v>521</v>
      </c>
      <c r="AA25" s="1" t="s">
        <v>521</v>
      </c>
      <c r="AB25" s="1" t="s">
        <v>1328</v>
      </c>
      <c r="AC25" s="502">
        <v>43045.229882731503</v>
      </c>
    </row>
    <row r="26" spans="1:29">
      <c r="A26" s="1" t="s">
        <v>1241</v>
      </c>
      <c r="B26" s="501" t="s">
        <v>778</v>
      </c>
      <c r="C26" s="1" t="s">
        <v>1329</v>
      </c>
      <c r="D26" s="1" t="s">
        <v>1330</v>
      </c>
      <c r="E26" s="1" t="s">
        <v>521</v>
      </c>
      <c r="F26" s="1" t="s">
        <v>521</v>
      </c>
      <c r="G26" s="1" t="s">
        <v>521</v>
      </c>
      <c r="H26" s="1" t="s">
        <v>521</v>
      </c>
      <c r="I26" s="1" t="s">
        <v>521</v>
      </c>
      <c r="J26" s="1" t="s">
        <v>521</v>
      </c>
      <c r="K26" s="1" t="s">
        <v>521</v>
      </c>
      <c r="L26" s="1" t="s">
        <v>521</v>
      </c>
      <c r="M26" s="1" t="s">
        <v>521</v>
      </c>
      <c r="N26" s="1" t="s">
        <v>521</v>
      </c>
      <c r="O26" s="1" t="s">
        <v>1331</v>
      </c>
      <c r="P26" s="1" t="s">
        <v>1332</v>
      </c>
      <c r="Q26" s="1" t="s">
        <v>1333</v>
      </c>
      <c r="R26" s="1" t="s">
        <v>521</v>
      </c>
      <c r="S26" s="1" t="s">
        <v>521</v>
      </c>
      <c r="T26" s="1" t="s">
        <v>521</v>
      </c>
      <c r="U26" s="1" t="s">
        <v>521</v>
      </c>
      <c r="V26" s="1" t="s">
        <v>521</v>
      </c>
      <c r="W26" s="1" t="s">
        <v>521</v>
      </c>
      <c r="X26" s="1" t="s">
        <v>521</v>
      </c>
      <c r="Y26" s="1" t="s">
        <v>521</v>
      </c>
      <c r="Z26" s="1" t="s">
        <v>521</v>
      </c>
      <c r="AA26" s="1" t="s">
        <v>521</v>
      </c>
      <c r="AB26" s="1" t="s">
        <v>1334</v>
      </c>
      <c r="AC26" s="502">
        <v>43045.229882731503</v>
      </c>
    </row>
    <row r="27" spans="1:29">
      <c r="B27" s="501"/>
      <c r="AC27" s="502">
        <v>43045.229882731503</v>
      </c>
    </row>
    <row r="28" spans="1:29">
      <c r="B28" s="501"/>
      <c r="AC28" s="502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1215</v>
      </c>
      <c r="B1" s="1" t="s">
        <v>361</v>
      </c>
      <c r="C1" s="1" t="s">
        <v>1216</v>
      </c>
      <c r="D1" s="1" t="s">
        <v>1217</v>
      </c>
      <c r="E1" s="1" t="s">
        <v>1218</v>
      </c>
      <c r="F1" s="1" t="s">
        <v>1219</v>
      </c>
      <c r="G1" s="1" t="s">
        <v>1220</v>
      </c>
      <c r="H1" s="1" t="s">
        <v>1221</v>
      </c>
      <c r="I1" s="1" t="s">
        <v>1222</v>
      </c>
      <c r="J1" s="1" t="s">
        <v>1223</v>
      </c>
      <c r="K1" s="1" t="s">
        <v>1224</v>
      </c>
      <c r="L1" s="1" t="s">
        <v>1225</v>
      </c>
      <c r="M1" s="1" t="s">
        <v>1226</v>
      </c>
      <c r="N1" s="1" t="s">
        <v>1227</v>
      </c>
      <c r="O1" s="1" t="s">
        <v>807</v>
      </c>
    </row>
    <row r="2" spans="1:17">
      <c r="A2" s="1" t="s">
        <v>1241</v>
      </c>
      <c r="B2" s="275" t="s">
        <v>364</v>
      </c>
      <c r="C2" s="1" t="s">
        <v>810</v>
      </c>
      <c r="D2" s="1" t="s">
        <v>815</v>
      </c>
      <c r="E2" s="1" t="s">
        <v>809</v>
      </c>
      <c r="F2" s="1" t="s">
        <v>809</v>
      </c>
      <c r="G2" s="1" t="s">
        <v>809</v>
      </c>
      <c r="H2" s="1" t="s">
        <v>809</v>
      </c>
      <c r="I2" s="1" t="s">
        <v>809</v>
      </c>
      <c r="J2" s="1" t="s">
        <v>809</v>
      </c>
      <c r="K2" s="1" t="s">
        <v>809</v>
      </c>
      <c r="L2" s="1" t="s">
        <v>809</v>
      </c>
      <c r="M2" s="1" t="s">
        <v>809</v>
      </c>
      <c r="N2" s="1" t="s">
        <v>809</v>
      </c>
      <c r="O2" s="1" t="s">
        <v>813</v>
      </c>
      <c r="P2" s="502"/>
      <c r="Q2" s="502"/>
    </row>
    <row r="3" spans="1:17">
      <c r="A3" s="1" t="s">
        <v>1241</v>
      </c>
      <c r="B3" s="275" t="s">
        <v>398</v>
      </c>
      <c r="C3" s="1" t="s">
        <v>824</v>
      </c>
      <c r="D3" s="1" t="s">
        <v>813</v>
      </c>
      <c r="E3" s="1" t="s">
        <v>809</v>
      </c>
      <c r="F3" s="1" t="s">
        <v>809</v>
      </c>
      <c r="G3" s="1" t="s">
        <v>809</v>
      </c>
      <c r="H3" s="1" t="s">
        <v>809</v>
      </c>
      <c r="I3" s="1" t="s">
        <v>809</v>
      </c>
      <c r="J3" s="1" t="s">
        <v>809</v>
      </c>
      <c r="K3" s="1" t="s">
        <v>809</v>
      </c>
      <c r="L3" s="1" t="s">
        <v>809</v>
      </c>
      <c r="M3" s="1" t="s">
        <v>809</v>
      </c>
      <c r="N3" s="1" t="s">
        <v>809</v>
      </c>
      <c r="O3" s="1" t="s">
        <v>820</v>
      </c>
      <c r="P3" s="502"/>
      <c r="Q3" s="502"/>
    </row>
    <row r="4" spans="1:17">
      <c r="A4" s="1" t="s">
        <v>1241</v>
      </c>
      <c r="B4" s="275" t="s">
        <v>428</v>
      </c>
      <c r="C4" s="1" t="s">
        <v>825</v>
      </c>
      <c r="D4" s="1" t="s">
        <v>919</v>
      </c>
      <c r="E4" s="1" t="s">
        <v>809</v>
      </c>
      <c r="F4" s="1" t="s">
        <v>809</v>
      </c>
      <c r="G4" s="1" t="s">
        <v>809</v>
      </c>
      <c r="H4" s="1" t="s">
        <v>809</v>
      </c>
      <c r="I4" s="1" t="s">
        <v>809</v>
      </c>
      <c r="J4" s="1" t="s">
        <v>809</v>
      </c>
      <c r="K4" s="1" t="s">
        <v>809</v>
      </c>
      <c r="L4" s="1" t="s">
        <v>809</v>
      </c>
      <c r="M4" s="1" t="s">
        <v>809</v>
      </c>
      <c r="N4" s="1" t="s">
        <v>809</v>
      </c>
      <c r="O4" s="1" t="s">
        <v>828</v>
      </c>
      <c r="P4" s="502"/>
      <c r="Q4" s="502"/>
    </row>
    <row r="5" spans="1:17">
      <c r="A5" s="1" t="s">
        <v>1241</v>
      </c>
      <c r="B5" s="275" t="s">
        <v>457</v>
      </c>
      <c r="C5" s="1" t="s">
        <v>1335</v>
      </c>
      <c r="D5" s="1" t="s">
        <v>1336</v>
      </c>
      <c r="E5" s="1" t="s">
        <v>809</v>
      </c>
      <c r="F5" s="1" t="s">
        <v>809</v>
      </c>
      <c r="G5" s="1" t="s">
        <v>809</v>
      </c>
      <c r="H5" s="1" t="s">
        <v>809</v>
      </c>
      <c r="I5" s="1" t="s">
        <v>809</v>
      </c>
      <c r="J5" s="1" t="s">
        <v>809</v>
      </c>
      <c r="K5" s="1" t="s">
        <v>809</v>
      </c>
      <c r="L5" s="1" t="s">
        <v>809</v>
      </c>
      <c r="M5" s="1" t="s">
        <v>809</v>
      </c>
      <c r="N5" s="1" t="s">
        <v>809</v>
      </c>
      <c r="O5" s="1" t="s">
        <v>882</v>
      </c>
      <c r="P5" s="502"/>
      <c r="Q5" s="502"/>
    </row>
    <row r="6" spans="1:17">
      <c r="A6" s="1" t="s">
        <v>1241</v>
      </c>
      <c r="B6" s="275" t="s">
        <v>486</v>
      </c>
      <c r="C6" s="1" t="s">
        <v>837</v>
      </c>
      <c r="D6" s="1" t="s">
        <v>839</v>
      </c>
      <c r="E6" s="1" t="s">
        <v>809</v>
      </c>
      <c r="F6" s="1" t="s">
        <v>809</v>
      </c>
      <c r="G6" s="1" t="s">
        <v>809</v>
      </c>
      <c r="H6" s="1" t="s">
        <v>809</v>
      </c>
      <c r="I6" s="1" t="s">
        <v>809</v>
      </c>
      <c r="J6" s="1" t="s">
        <v>809</v>
      </c>
      <c r="K6" s="1" t="s">
        <v>809</v>
      </c>
      <c r="L6" s="1" t="s">
        <v>809</v>
      </c>
      <c r="M6" s="1" t="s">
        <v>809</v>
      </c>
      <c r="N6" s="1" t="s">
        <v>809</v>
      </c>
      <c r="O6" s="1" t="s">
        <v>836</v>
      </c>
      <c r="P6" s="502"/>
      <c r="Q6" s="502"/>
    </row>
    <row r="7" spans="1:17">
      <c r="A7" s="1" t="s">
        <v>1241</v>
      </c>
      <c r="B7" s="275" t="s">
        <v>520</v>
      </c>
      <c r="C7" s="1" t="s">
        <v>809</v>
      </c>
      <c r="D7" s="1" t="s">
        <v>809</v>
      </c>
      <c r="E7" s="1" t="s">
        <v>809</v>
      </c>
      <c r="F7" s="1" t="s">
        <v>809</v>
      </c>
      <c r="G7" s="1" t="s">
        <v>809</v>
      </c>
      <c r="H7" s="1" t="s">
        <v>809</v>
      </c>
      <c r="I7" s="1" t="s">
        <v>809</v>
      </c>
      <c r="J7" s="1" t="s">
        <v>809</v>
      </c>
      <c r="K7" s="1" t="s">
        <v>809</v>
      </c>
      <c r="L7" s="1" t="s">
        <v>809</v>
      </c>
      <c r="M7" s="1" t="s">
        <v>809</v>
      </c>
      <c r="N7" s="1" t="s">
        <v>809</v>
      </c>
      <c r="O7" s="1" t="s">
        <v>809</v>
      </c>
      <c r="P7" s="502"/>
      <c r="Q7" s="502"/>
    </row>
    <row r="8" spans="1:17">
      <c r="A8" s="1" t="s">
        <v>1241</v>
      </c>
      <c r="B8" s="275" t="s">
        <v>522</v>
      </c>
      <c r="C8" s="1" t="s">
        <v>815</v>
      </c>
      <c r="D8" s="1" t="s">
        <v>811</v>
      </c>
      <c r="E8" s="1" t="s">
        <v>809</v>
      </c>
      <c r="F8" s="1" t="s">
        <v>809</v>
      </c>
      <c r="G8" s="1" t="s">
        <v>809</v>
      </c>
      <c r="H8" s="1" t="s">
        <v>809</v>
      </c>
      <c r="I8" s="1" t="s">
        <v>809</v>
      </c>
      <c r="J8" s="1" t="s">
        <v>809</v>
      </c>
      <c r="K8" s="1" t="s">
        <v>809</v>
      </c>
      <c r="L8" s="1" t="s">
        <v>809</v>
      </c>
      <c r="M8" s="1" t="s">
        <v>809</v>
      </c>
      <c r="N8" s="1" t="s">
        <v>809</v>
      </c>
      <c r="O8" s="1" t="s">
        <v>810</v>
      </c>
      <c r="P8" s="502"/>
      <c r="Q8" s="502"/>
    </row>
    <row r="9" spans="1:17">
      <c r="A9" s="1" t="s">
        <v>1241</v>
      </c>
      <c r="B9" s="275" t="s">
        <v>844</v>
      </c>
      <c r="C9" s="1" t="s">
        <v>816</v>
      </c>
      <c r="D9" s="1" t="s">
        <v>870</v>
      </c>
      <c r="E9" s="1" t="s">
        <v>809</v>
      </c>
      <c r="F9" s="1" t="s">
        <v>809</v>
      </c>
      <c r="G9" s="1" t="s">
        <v>809</v>
      </c>
      <c r="H9" s="1" t="s">
        <v>809</v>
      </c>
      <c r="I9" s="1" t="s">
        <v>809</v>
      </c>
      <c r="J9" s="1" t="s">
        <v>809</v>
      </c>
      <c r="K9" s="1" t="s">
        <v>809</v>
      </c>
      <c r="L9" s="1" t="s">
        <v>809</v>
      </c>
      <c r="M9" s="1" t="s">
        <v>809</v>
      </c>
      <c r="N9" s="1" t="s">
        <v>809</v>
      </c>
      <c r="O9" s="1" t="s">
        <v>856</v>
      </c>
      <c r="P9" s="502"/>
      <c r="Q9" s="502"/>
    </row>
    <row r="10" spans="1:17">
      <c r="A10" s="1" t="s">
        <v>1241</v>
      </c>
      <c r="B10" s="275" t="s">
        <v>853</v>
      </c>
      <c r="C10" s="1" t="s">
        <v>812</v>
      </c>
      <c r="D10" s="1" t="s">
        <v>813</v>
      </c>
      <c r="E10" s="1" t="s">
        <v>809</v>
      </c>
      <c r="F10" s="1" t="s">
        <v>809</v>
      </c>
      <c r="G10" s="1" t="s">
        <v>809</v>
      </c>
      <c r="H10" s="1" t="s">
        <v>809</v>
      </c>
      <c r="I10" s="1" t="s">
        <v>809</v>
      </c>
      <c r="J10" s="1" t="s">
        <v>809</v>
      </c>
      <c r="K10" s="1" t="s">
        <v>809</v>
      </c>
      <c r="L10" s="1" t="s">
        <v>809</v>
      </c>
      <c r="M10" s="1" t="s">
        <v>809</v>
      </c>
      <c r="N10" s="1" t="s">
        <v>809</v>
      </c>
      <c r="O10" s="1" t="s">
        <v>810</v>
      </c>
      <c r="P10" s="502"/>
      <c r="Q10" s="502"/>
    </row>
    <row r="11" spans="1:17">
      <c r="A11" s="1" t="s">
        <v>1241</v>
      </c>
      <c r="B11" s="275" t="s">
        <v>854</v>
      </c>
      <c r="C11" s="1" t="s">
        <v>873</v>
      </c>
      <c r="D11" s="1" t="s">
        <v>835</v>
      </c>
      <c r="E11" s="1" t="s">
        <v>809</v>
      </c>
      <c r="F11" s="1" t="s">
        <v>809</v>
      </c>
      <c r="G11" s="1" t="s">
        <v>809</v>
      </c>
      <c r="H11" s="1" t="s">
        <v>809</v>
      </c>
      <c r="I11" s="1" t="s">
        <v>809</v>
      </c>
      <c r="J11" s="1" t="s">
        <v>809</v>
      </c>
      <c r="K11" s="1" t="s">
        <v>809</v>
      </c>
      <c r="L11" s="1" t="s">
        <v>809</v>
      </c>
      <c r="M11" s="1" t="s">
        <v>809</v>
      </c>
      <c r="N11" s="1" t="s">
        <v>809</v>
      </c>
      <c r="O11" s="1" t="s">
        <v>819</v>
      </c>
      <c r="P11" s="502"/>
      <c r="Q11" s="502"/>
    </row>
    <row r="12" spans="1:17">
      <c r="A12" s="1" t="s">
        <v>1241</v>
      </c>
      <c r="B12" s="275" t="s">
        <v>855</v>
      </c>
      <c r="C12" s="1" t="s">
        <v>1337</v>
      </c>
      <c r="D12" s="1" t="s">
        <v>873</v>
      </c>
      <c r="E12" s="1" t="s">
        <v>809</v>
      </c>
      <c r="F12" s="1" t="s">
        <v>809</v>
      </c>
      <c r="G12" s="1" t="s">
        <v>809</v>
      </c>
      <c r="H12" s="1" t="s">
        <v>809</v>
      </c>
      <c r="I12" s="1" t="s">
        <v>809</v>
      </c>
      <c r="J12" s="1" t="s">
        <v>809</v>
      </c>
      <c r="K12" s="1" t="s">
        <v>809</v>
      </c>
      <c r="L12" s="1" t="s">
        <v>809</v>
      </c>
      <c r="M12" s="1" t="s">
        <v>809</v>
      </c>
      <c r="N12" s="1" t="s">
        <v>809</v>
      </c>
      <c r="O12" s="1" t="s">
        <v>876</v>
      </c>
      <c r="P12" s="502"/>
      <c r="Q12" s="502"/>
    </row>
    <row r="13" spans="1:17">
      <c r="A13" s="1" t="s">
        <v>1241</v>
      </c>
      <c r="B13" s="275" t="s">
        <v>867</v>
      </c>
      <c r="C13" s="1" t="s">
        <v>842</v>
      </c>
      <c r="D13" s="1" t="s">
        <v>864</v>
      </c>
      <c r="E13" s="1" t="s">
        <v>809</v>
      </c>
      <c r="F13" s="1" t="s">
        <v>809</v>
      </c>
      <c r="G13" s="1" t="s">
        <v>809</v>
      </c>
      <c r="H13" s="1" t="s">
        <v>809</v>
      </c>
      <c r="I13" s="1" t="s">
        <v>809</v>
      </c>
      <c r="J13" s="1" t="s">
        <v>809</v>
      </c>
      <c r="K13" s="1" t="s">
        <v>809</v>
      </c>
      <c r="L13" s="1" t="s">
        <v>809</v>
      </c>
      <c r="M13" s="1" t="s">
        <v>809</v>
      </c>
      <c r="N13" s="1" t="s">
        <v>809</v>
      </c>
      <c r="O13" s="1" t="s">
        <v>1338</v>
      </c>
      <c r="P13" s="502"/>
      <c r="Q13" s="502"/>
    </row>
    <row r="14" spans="1:17">
      <c r="A14" s="1" t="s">
        <v>1241</v>
      </c>
      <c r="B14" s="275" t="s">
        <v>877</v>
      </c>
      <c r="C14" s="1" t="s">
        <v>1339</v>
      </c>
      <c r="D14" s="1" t="s">
        <v>1340</v>
      </c>
      <c r="E14" s="1" t="s">
        <v>809</v>
      </c>
      <c r="F14" s="1" t="s">
        <v>809</v>
      </c>
      <c r="G14" s="1" t="s">
        <v>809</v>
      </c>
      <c r="H14" s="1" t="s">
        <v>809</v>
      </c>
      <c r="I14" s="1" t="s">
        <v>809</v>
      </c>
      <c r="J14" s="1" t="s">
        <v>809</v>
      </c>
      <c r="K14" s="1" t="s">
        <v>809</v>
      </c>
      <c r="L14" s="1" t="s">
        <v>809</v>
      </c>
      <c r="M14" s="1" t="s">
        <v>809</v>
      </c>
      <c r="N14" s="1" t="s">
        <v>809</v>
      </c>
      <c r="O14" s="1" t="s">
        <v>1341</v>
      </c>
      <c r="P14" s="502"/>
      <c r="Q14" s="502"/>
    </row>
    <row r="15" spans="1:17">
      <c r="A15" s="1" t="s">
        <v>1241</v>
      </c>
      <c r="B15" s="275" t="s">
        <v>888</v>
      </c>
      <c r="C15" s="1" t="s">
        <v>809</v>
      </c>
      <c r="D15" s="1" t="s">
        <v>809</v>
      </c>
      <c r="E15" s="1" t="s">
        <v>809</v>
      </c>
      <c r="F15" s="1" t="s">
        <v>809</v>
      </c>
      <c r="G15" s="1" t="s">
        <v>809</v>
      </c>
      <c r="H15" s="1" t="s">
        <v>809</v>
      </c>
      <c r="I15" s="1" t="s">
        <v>809</v>
      </c>
      <c r="J15" s="1" t="s">
        <v>809</v>
      </c>
      <c r="K15" s="1" t="s">
        <v>809</v>
      </c>
      <c r="L15" s="1" t="s">
        <v>809</v>
      </c>
      <c r="M15" s="1" t="s">
        <v>809</v>
      </c>
      <c r="N15" s="1" t="s">
        <v>809</v>
      </c>
      <c r="O15" s="1" t="s">
        <v>809</v>
      </c>
      <c r="P15" s="502"/>
      <c r="Q15" s="502"/>
    </row>
    <row r="16" spans="1:17">
      <c r="A16" s="1" t="s">
        <v>1241</v>
      </c>
      <c r="B16" s="275" t="s">
        <v>889</v>
      </c>
      <c r="C16" s="1" t="s">
        <v>842</v>
      </c>
      <c r="D16" s="1" t="s">
        <v>843</v>
      </c>
      <c r="E16" s="1" t="s">
        <v>809</v>
      </c>
      <c r="F16" s="1" t="s">
        <v>809</v>
      </c>
      <c r="G16" s="1" t="s">
        <v>809</v>
      </c>
      <c r="H16" s="1" t="s">
        <v>809</v>
      </c>
      <c r="I16" s="1" t="s">
        <v>809</v>
      </c>
      <c r="J16" s="1" t="s">
        <v>809</v>
      </c>
      <c r="K16" s="1" t="s">
        <v>809</v>
      </c>
      <c r="L16" s="1" t="s">
        <v>809</v>
      </c>
      <c r="M16" s="1" t="s">
        <v>809</v>
      </c>
      <c r="N16" s="1" t="s">
        <v>809</v>
      </c>
      <c r="O16" s="1" t="s">
        <v>891</v>
      </c>
      <c r="P16" s="502"/>
      <c r="Q16" s="502"/>
    </row>
    <row r="17" spans="1:17">
      <c r="A17" s="1" t="s">
        <v>1241</v>
      </c>
      <c r="B17" s="275" t="s">
        <v>894</v>
      </c>
      <c r="C17" s="1" t="s">
        <v>809</v>
      </c>
      <c r="D17" s="1" t="s">
        <v>809</v>
      </c>
      <c r="E17" s="1" t="s">
        <v>809</v>
      </c>
      <c r="F17" s="1" t="s">
        <v>809</v>
      </c>
      <c r="G17" s="1" t="s">
        <v>809</v>
      </c>
      <c r="H17" s="1" t="s">
        <v>809</v>
      </c>
      <c r="I17" s="1" t="s">
        <v>809</v>
      </c>
      <c r="J17" s="1" t="s">
        <v>809</v>
      </c>
      <c r="K17" s="1" t="s">
        <v>809</v>
      </c>
      <c r="L17" s="1" t="s">
        <v>809</v>
      </c>
      <c r="M17" s="1" t="s">
        <v>809</v>
      </c>
      <c r="N17" s="1" t="s">
        <v>809</v>
      </c>
      <c r="O17" s="1" t="s">
        <v>809</v>
      </c>
      <c r="P17" s="502"/>
      <c r="Q17" s="502"/>
    </row>
    <row r="18" spans="1:17">
      <c r="A18" s="1" t="s">
        <v>1241</v>
      </c>
      <c r="B18" s="275" t="s">
        <v>895</v>
      </c>
      <c r="C18" s="1" t="s">
        <v>809</v>
      </c>
      <c r="D18" s="1" t="s">
        <v>809</v>
      </c>
      <c r="E18" s="1" t="s">
        <v>809</v>
      </c>
      <c r="F18" s="1" t="s">
        <v>809</v>
      </c>
      <c r="G18" s="1" t="s">
        <v>809</v>
      </c>
      <c r="H18" s="1" t="s">
        <v>809</v>
      </c>
      <c r="I18" s="1" t="s">
        <v>809</v>
      </c>
      <c r="J18" s="1" t="s">
        <v>809</v>
      </c>
      <c r="K18" s="1" t="s">
        <v>809</v>
      </c>
      <c r="L18" s="1" t="s">
        <v>809</v>
      </c>
      <c r="M18" s="1" t="s">
        <v>809</v>
      </c>
      <c r="N18" s="1" t="s">
        <v>809</v>
      </c>
      <c r="O18" s="1" t="s">
        <v>809</v>
      </c>
      <c r="P18" s="502"/>
      <c r="Q18" s="502"/>
    </row>
    <row r="19" spans="1:17">
      <c r="A19" s="1" t="s">
        <v>1241</v>
      </c>
      <c r="B19" s="275" t="s">
        <v>896</v>
      </c>
      <c r="C19" s="1" t="s">
        <v>809</v>
      </c>
      <c r="D19" s="1" t="s">
        <v>809</v>
      </c>
      <c r="E19" s="1" t="s">
        <v>809</v>
      </c>
      <c r="F19" s="1" t="s">
        <v>809</v>
      </c>
      <c r="G19" s="1" t="s">
        <v>809</v>
      </c>
      <c r="H19" s="1" t="s">
        <v>809</v>
      </c>
      <c r="I19" s="1" t="s">
        <v>809</v>
      </c>
      <c r="J19" s="1" t="s">
        <v>809</v>
      </c>
      <c r="K19" s="1" t="s">
        <v>809</v>
      </c>
      <c r="L19" s="1" t="s">
        <v>809</v>
      </c>
      <c r="M19" s="1" t="s">
        <v>809</v>
      </c>
      <c r="N19" s="1" t="s">
        <v>809</v>
      </c>
      <c r="O19" s="1" t="s">
        <v>809</v>
      </c>
      <c r="P19" s="502"/>
      <c r="Q19" s="502"/>
    </row>
    <row r="20" spans="1:17">
      <c r="A20" s="1" t="s">
        <v>1241</v>
      </c>
      <c r="B20" s="275" t="s">
        <v>897</v>
      </c>
      <c r="C20" s="1" t="s">
        <v>809</v>
      </c>
      <c r="D20" s="1" t="s">
        <v>809</v>
      </c>
      <c r="E20" s="1" t="s">
        <v>809</v>
      </c>
      <c r="F20" s="1" t="s">
        <v>809</v>
      </c>
      <c r="G20" s="1" t="s">
        <v>809</v>
      </c>
      <c r="H20" s="1" t="s">
        <v>809</v>
      </c>
      <c r="I20" s="1" t="s">
        <v>809</v>
      </c>
      <c r="J20" s="1" t="s">
        <v>809</v>
      </c>
      <c r="K20" s="1" t="s">
        <v>809</v>
      </c>
      <c r="L20" s="1" t="s">
        <v>809</v>
      </c>
      <c r="M20" s="1" t="s">
        <v>809</v>
      </c>
      <c r="N20" s="1" t="s">
        <v>809</v>
      </c>
      <c r="O20" s="1" t="s">
        <v>809</v>
      </c>
      <c r="P20" s="502"/>
      <c r="Q20" s="502"/>
    </row>
    <row r="21" spans="1:17">
      <c r="A21" s="1" t="s">
        <v>1241</v>
      </c>
      <c r="B21" s="275" t="s">
        <v>898</v>
      </c>
      <c r="C21" s="1" t="s">
        <v>1342</v>
      </c>
      <c r="D21" s="1" t="s">
        <v>1343</v>
      </c>
      <c r="E21" s="1" t="s">
        <v>809</v>
      </c>
      <c r="F21" s="1" t="s">
        <v>809</v>
      </c>
      <c r="G21" s="1" t="s">
        <v>809</v>
      </c>
      <c r="H21" s="1" t="s">
        <v>809</v>
      </c>
      <c r="I21" s="1" t="s">
        <v>809</v>
      </c>
      <c r="J21" s="1" t="s">
        <v>809</v>
      </c>
      <c r="K21" s="1" t="s">
        <v>809</v>
      </c>
      <c r="L21" s="1" t="s">
        <v>809</v>
      </c>
      <c r="M21" s="1" t="s">
        <v>809</v>
      </c>
      <c r="N21" s="1" t="s">
        <v>809</v>
      </c>
      <c r="O21" s="1" t="s">
        <v>1344</v>
      </c>
      <c r="P21" s="502"/>
      <c r="Q21" s="502"/>
    </row>
    <row r="22" spans="1:17">
      <c r="A22" s="1" t="s">
        <v>1241</v>
      </c>
      <c r="B22" s="275" t="s">
        <v>904</v>
      </c>
      <c r="C22" s="1" t="s">
        <v>809</v>
      </c>
      <c r="D22" s="1" t="s">
        <v>809</v>
      </c>
      <c r="E22" s="1" t="s">
        <v>809</v>
      </c>
      <c r="F22" s="1" t="s">
        <v>809</v>
      </c>
      <c r="G22" s="1" t="s">
        <v>809</v>
      </c>
      <c r="H22" s="1" t="s">
        <v>809</v>
      </c>
      <c r="I22" s="1" t="s">
        <v>809</v>
      </c>
      <c r="J22" s="1" t="s">
        <v>809</v>
      </c>
      <c r="K22" s="1" t="s">
        <v>809</v>
      </c>
      <c r="L22" s="1" t="s">
        <v>809</v>
      </c>
      <c r="M22" s="1" t="s">
        <v>809</v>
      </c>
      <c r="N22" s="1" t="s">
        <v>809</v>
      </c>
      <c r="O22" s="1" t="s">
        <v>809</v>
      </c>
      <c r="P22" s="502"/>
    </row>
    <row r="23" spans="1:17">
      <c r="A23" s="1" t="s">
        <v>1241</v>
      </c>
      <c r="B23" s="275" t="s">
        <v>905</v>
      </c>
      <c r="C23" s="1" t="s">
        <v>870</v>
      </c>
      <c r="D23" s="1" t="s">
        <v>870</v>
      </c>
      <c r="E23" s="1" t="s">
        <v>809</v>
      </c>
      <c r="F23" s="1" t="s">
        <v>809</v>
      </c>
      <c r="G23" s="1" t="s">
        <v>809</v>
      </c>
      <c r="H23" s="1" t="s">
        <v>809</v>
      </c>
      <c r="I23" s="1" t="s">
        <v>809</v>
      </c>
      <c r="J23" s="1" t="s">
        <v>809</v>
      </c>
      <c r="K23" s="1" t="s">
        <v>809</v>
      </c>
      <c r="L23" s="1" t="s">
        <v>809</v>
      </c>
      <c r="M23" s="1" t="s">
        <v>809</v>
      </c>
      <c r="N23" s="1" t="s">
        <v>809</v>
      </c>
      <c r="O23" s="1" t="s">
        <v>870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1215</v>
      </c>
      <c r="B1" s="1" t="s">
        <v>361</v>
      </c>
      <c r="C1" s="1" t="s">
        <v>916</v>
      </c>
      <c r="D1" s="1" t="s">
        <v>1216</v>
      </c>
      <c r="E1" s="1" t="s">
        <v>1217</v>
      </c>
      <c r="F1" s="1" t="s">
        <v>1218</v>
      </c>
      <c r="G1" s="1" t="s">
        <v>1219</v>
      </c>
      <c r="H1" s="1" t="s">
        <v>1220</v>
      </c>
      <c r="I1" s="1" t="s">
        <v>1221</v>
      </c>
      <c r="J1" s="1" t="s">
        <v>1222</v>
      </c>
      <c r="K1" s="1" t="s">
        <v>1223</v>
      </c>
      <c r="L1" s="1" t="s">
        <v>1224</v>
      </c>
      <c r="M1" s="1" t="s">
        <v>1225</v>
      </c>
      <c r="N1" s="1" t="s">
        <v>1226</v>
      </c>
      <c r="O1" s="1" t="s">
        <v>1227</v>
      </c>
      <c r="P1" s="1" t="s">
        <v>807</v>
      </c>
    </row>
    <row r="2" spans="1:17">
      <c r="A2" s="1" t="s">
        <v>1241</v>
      </c>
      <c r="B2" s="275" t="s">
        <v>364</v>
      </c>
      <c r="C2" s="1" t="s">
        <v>236</v>
      </c>
      <c r="D2" s="1" t="s">
        <v>813</v>
      </c>
      <c r="E2" s="1" t="s">
        <v>819</v>
      </c>
      <c r="F2" s="1" t="s">
        <v>809</v>
      </c>
      <c r="G2" s="1" t="s">
        <v>809</v>
      </c>
      <c r="H2" s="1" t="s">
        <v>809</v>
      </c>
      <c r="I2" s="1" t="s">
        <v>809</v>
      </c>
      <c r="J2" s="1" t="s">
        <v>809</v>
      </c>
      <c r="K2" s="1" t="s">
        <v>809</v>
      </c>
      <c r="L2" s="1" t="s">
        <v>809</v>
      </c>
      <c r="M2" s="1" t="s">
        <v>809</v>
      </c>
      <c r="N2" s="1" t="s">
        <v>809</v>
      </c>
      <c r="O2" s="1" t="s">
        <v>809</v>
      </c>
      <c r="P2" s="1" t="s">
        <v>820</v>
      </c>
      <c r="Q2" s="502">
        <v>43045.229883090302</v>
      </c>
    </row>
    <row r="3" spans="1:17">
      <c r="A3" s="1" t="s">
        <v>1241</v>
      </c>
      <c r="B3" s="275" t="s">
        <v>364</v>
      </c>
      <c r="C3" s="1" t="s">
        <v>237</v>
      </c>
      <c r="D3" s="1" t="s">
        <v>808</v>
      </c>
      <c r="E3" s="1" t="s">
        <v>808</v>
      </c>
      <c r="F3" s="1" t="s">
        <v>809</v>
      </c>
      <c r="G3" s="1" t="s">
        <v>809</v>
      </c>
      <c r="H3" s="1" t="s">
        <v>809</v>
      </c>
      <c r="I3" s="1" t="s">
        <v>809</v>
      </c>
      <c r="J3" s="1" t="s">
        <v>809</v>
      </c>
      <c r="K3" s="1" t="s">
        <v>809</v>
      </c>
      <c r="L3" s="1" t="s">
        <v>809</v>
      </c>
      <c r="M3" s="1" t="s">
        <v>809</v>
      </c>
      <c r="N3" s="1" t="s">
        <v>809</v>
      </c>
      <c r="O3" s="1" t="s">
        <v>809</v>
      </c>
      <c r="P3" s="1" t="s">
        <v>808</v>
      </c>
      <c r="Q3" s="502">
        <v>43045.229883090302</v>
      </c>
    </row>
    <row r="4" spans="1:17">
      <c r="A4" s="1" t="s">
        <v>1241</v>
      </c>
      <c r="B4" s="275" t="s">
        <v>364</v>
      </c>
      <c r="C4" s="1" t="s">
        <v>918</v>
      </c>
      <c r="D4" s="1" t="s">
        <v>917</v>
      </c>
      <c r="E4" s="1" t="s">
        <v>917</v>
      </c>
      <c r="F4" s="1" t="s">
        <v>809</v>
      </c>
      <c r="G4" s="1" t="s">
        <v>809</v>
      </c>
      <c r="H4" s="1" t="s">
        <v>809</v>
      </c>
      <c r="I4" s="1" t="s">
        <v>809</v>
      </c>
      <c r="J4" s="1" t="s">
        <v>809</v>
      </c>
      <c r="K4" s="1" t="s">
        <v>809</v>
      </c>
      <c r="L4" s="1" t="s">
        <v>809</v>
      </c>
      <c r="M4" s="1" t="s">
        <v>809</v>
      </c>
      <c r="N4" s="1" t="s">
        <v>809</v>
      </c>
      <c r="O4" s="1" t="s">
        <v>809</v>
      </c>
      <c r="P4" s="1" t="s">
        <v>917</v>
      </c>
      <c r="Q4" s="502">
        <v>43045.229883090302</v>
      </c>
    </row>
    <row r="5" spans="1:17">
      <c r="A5" s="1" t="s">
        <v>1241</v>
      </c>
      <c r="B5" s="275" t="s">
        <v>364</v>
      </c>
      <c r="C5" s="1" t="s">
        <v>920</v>
      </c>
      <c r="D5" s="1" t="s">
        <v>812</v>
      </c>
      <c r="E5" s="1" t="s">
        <v>810</v>
      </c>
      <c r="F5" s="1" t="s">
        <v>809</v>
      </c>
      <c r="G5" s="1" t="s">
        <v>809</v>
      </c>
      <c r="H5" s="1" t="s">
        <v>809</v>
      </c>
      <c r="I5" s="1" t="s">
        <v>809</v>
      </c>
      <c r="J5" s="1" t="s">
        <v>809</v>
      </c>
      <c r="K5" s="1" t="s">
        <v>809</v>
      </c>
      <c r="L5" s="1" t="s">
        <v>809</v>
      </c>
      <c r="M5" s="1" t="s">
        <v>809</v>
      </c>
      <c r="N5" s="1" t="s">
        <v>809</v>
      </c>
      <c r="O5" s="1" t="s">
        <v>809</v>
      </c>
      <c r="P5" s="1" t="s">
        <v>812</v>
      </c>
      <c r="Q5" s="502">
        <v>43045.229883090302</v>
      </c>
    </row>
    <row r="6" spans="1:17">
      <c r="A6" s="1" t="s">
        <v>1241</v>
      </c>
      <c r="B6" s="275" t="s">
        <v>398</v>
      </c>
      <c r="C6" s="1" t="s">
        <v>920</v>
      </c>
      <c r="D6" s="1" t="s">
        <v>810</v>
      </c>
      <c r="E6" s="1" t="s">
        <v>817</v>
      </c>
      <c r="F6" s="1" t="s">
        <v>809</v>
      </c>
      <c r="G6" s="1" t="s">
        <v>809</v>
      </c>
      <c r="H6" s="1" t="s">
        <v>809</v>
      </c>
      <c r="I6" s="1" t="s">
        <v>809</v>
      </c>
      <c r="J6" s="1" t="s">
        <v>809</v>
      </c>
      <c r="K6" s="1" t="s">
        <v>809</v>
      </c>
      <c r="L6" s="1" t="s">
        <v>809</v>
      </c>
      <c r="M6" s="1" t="s">
        <v>809</v>
      </c>
      <c r="N6" s="1" t="s">
        <v>809</v>
      </c>
      <c r="O6" s="1" t="s">
        <v>809</v>
      </c>
      <c r="P6" s="1" t="s">
        <v>811</v>
      </c>
      <c r="Q6" s="502">
        <v>43045.229883090302</v>
      </c>
    </row>
    <row r="7" spans="1:17">
      <c r="A7" s="1" t="s">
        <v>1241</v>
      </c>
      <c r="B7" s="275" t="s">
        <v>428</v>
      </c>
      <c r="C7" s="1" t="s">
        <v>920</v>
      </c>
      <c r="D7" s="1" t="s">
        <v>839</v>
      </c>
      <c r="E7" s="1" t="s">
        <v>919</v>
      </c>
      <c r="F7" s="1" t="s">
        <v>809</v>
      </c>
      <c r="G7" s="1" t="s">
        <v>809</v>
      </c>
      <c r="H7" s="1" t="s">
        <v>809</v>
      </c>
      <c r="I7" s="1" t="s">
        <v>809</v>
      </c>
      <c r="J7" s="1" t="s">
        <v>809</v>
      </c>
      <c r="K7" s="1" t="s">
        <v>809</v>
      </c>
      <c r="L7" s="1" t="s">
        <v>809</v>
      </c>
      <c r="M7" s="1" t="s">
        <v>809</v>
      </c>
      <c r="N7" s="1" t="s">
        <v>809</v>
      </c>
      <c r="O7" s="1" t="s">
        <v>809</v>
      </c>
      <c r="P7" s="1" t="s">
        <v>828</v>
      </c>
      <c r="Q7" s="502">
        <v>43045.229883090302</v>
      </c>
    </row>
    <row r="8" spans="1:17">
      <c r="A8" s="1" t="s">
        <v>1241</v>
      </c>
      <c r="B8" s="275" t="s">
        <v>457</v>
      </c>
      <c r="C8" s="1" t="s">
        <v>920</v>
      </c>
      <c r="D8" s="1" t="s">
        <v>1345</v>
      </c>
      <c r="E8" s="1" t="s">
        <v>1346</v>
      </c>
      <c r="F8" s="1" t="s">
        <v>809</v>
      </c>
      <c r="G8" s="1" t="s">
        <v>809</v>
      </c>
      <c r="H8" s="1" t="s">
        <v>809</v>
      </c>
      <c r="I8" s="1" t="s">
        <v>809</v>
      </c>
      <c r="J8" s="1" t="s">
        <v>809</v>
      </c>
      <c r="K8" s="1" t="s">
        <v>809</v>
      </c>
      <c r="L8" s="1" t="s">
        <v>809</v>
      </c>
      <c r="M8" s="1" t="s">
        <v>809</v>
      </c>
      <c r="N8" s="1" t="s">
        <v>809</v>
      </c>
      <c r="O8" s="1" t="s">
        <v>809</v>
      </c>
      <c r="P8" s="1" t="s">
        <v>1347</v>
      </c>
      <c r="Q8" s="502">
        <v>43045.229883090302</v>
      </c>
    </row>
    <row r="9" spans="1:17">
      <c r="A9" s="1" t="s">
        <v>1241</v>
      </c>
      <c r="B9" s="275" t="s">
        <v>486</v>
      </c>
      <c r="C9" s="1" t="s">
        <v>920</v>
      </c>
      <c r="D9" s="1" t="s">
        <v>837</v>
      </c>
      <c r="E9" s="1" t="s">
        <v>839</v>
      </c>
      <c r="F9" s="1" t="s">
        <v>809</v>
      </c>
      <c r="G9" s="1" t="s">
        <v>809</v>
      </c>
      <c r="H9" s="1" t="s">
        <v>809</v>
      </c>
      <c r="I9" s="1" t="s">
        <v>809</v>
      </c>
      <c r="J9" s="1" t="s">
        <v>809</v>
      </c>
      <c r="K9" s="1" t="s">
        <v>809</v>
      </c>
      <c r="L9" s="1" t="s">
        <v>809</v>
      </c>
      <c r="M9" s="1" t="s">
        <v>809</v>
      </c>
      <c r="N9" s="1" t="s">
        <v>809</v>
      </c>
      <c r="O9" s="1" t="s">
        <v>809</v>
      </c>
      <c r="P9" s="1" t="s">
        <v>836</v>
      </c>
      <c r="Q9" s="502">
        <v>43045.229883090302</v>
      </c>
    </row>
    <row r="10" spans="1:17">
      <c r="A10" s="1" t="s">
        <v>1241</v>
      </c>
      <c r="B10" s="275" t="s">
        <v>520</v>
      </c>
      <c r="C10" s="1" t="s">
        <v>920</v>
      </c>
      <c r="D10" s="1" t="s">
        <v>809</v>
      </c>
      <c r="E10" s="1" t="s">
        <v>809</v>
      </c>
      <c r="F10" s="1" t="s">
        <v>809</v>
      </c>
      <c r="G10" s="1" t="s">
        <v>809</v>
      </c>
      <c r="H10" s="1" t="s">
        <v>809</v>
      </c>
      <c r="I10" s="1" t="s">
        <v>809</v>
      </c>
      <c r="J10" s="1" t="s">
        <v>809</v>
      </c>
      <c r="K10" s="1" t="s">
        <v>809</v>
      </c>
      <c r="L10" s="1" t="s">
        <v>809</v>
      </c>
      <c r="M10" s="1" t="s">
        <v>809</v>
      </c>
      <c r="N10" s="1" t="s">
        <v>809</v>
      </c>
      <c r="O10" s="1" t="s">
        <v>809</v>
      </c>
      <c r="P10" s="1" t="s">
        <v>809</v>
      </c>
      <c r="Q10" s="502">
        <v>43045.229883090302</v>
      </c>
    </row>
    <row r="11" spans="1:17">
      <c r="A11" s="1" t="s">
        <v>1241</v>
      </c>
      <c r="B11" s="275" t="s">
        <v>522</v>
      </c>
      <c r="C11" s="1" t="s">
        <v>920</v>
      </c>
      <c r="D11" s="1" t="s">
        <v>815</v>
      </c>
      <c r="E11" s="1" t="s">
        <v>811</v>
      </c>
      <c r="F11" s="1" t="s">
        <v>809</v>
      </c>
      <c r="G11" s="1" t="s">
        <v>809</v>
      </c>
      <c r="H11" s="1" t="s">
        <v>809</v>
      </c>
      <c r="I11" s="1" t="s">
        <v>809</v>
      </c>
      <c r="J11" s="1" t="s">
        <v>809</v>
      </c>
      <c r="K11" s="1" t="s">
        <v>809</v>
      </c>
      <c r="L11" s="1" t="s">
        <v>809</v>
      </c>
      <c r="M11" s="1" t="s">
        <v>809</v>
      </c>
      <c r="N11" s="1" t="s">
        <v>809</v>
      </c>
      <c r="O11" s="1" t="s">
        <v>809</v>
      </c>
      <c r="P11" s="1" t="s">
        <v>812</v>
      </c>
      <c r="Q11" s="502">
        <v>43045.229883090302</v>
      </c>
    </row>
    <row r="12" spans="1:17">
      <c r="A12" s="1" t="s">
        <v>1241</v>
      </c>
      <c r="B12" s="275" t="s">
        <v>854</v>
      </c>
      <c r="C12" s="1" t="s">
        <v>920</v>
      </c>
      <c r="D12" s="1" t="s">
        <v>914</v>
      </c>
      <c r="E12" s="1" t="s">
        <v>828</v>
      </c>
      <c r="F12" s="1" t="s">
        <v>809</v>
      </c>
      <c r="G12" s="1" t="s">
        <v>809</v>
      </c>
      <c r="H12" s="1" t="s">
        <v>809</v>
      </c>
      <c r="I12" s="1" t="s">
        <v>809</v>
      </c>
      <c r="J12" s="1" t="s">
        <v>809</v>
      </c>
      <c r="K12" s="1" t="s">
        <v>809</v>
      </c>
      <c r="L12" s="1" t="s">
        <v>809</v>
      </c>
      <c r="M12" s="1" t="s">
        <v>809</v>
      </c>
      <c r="N12" s="1" t="s">
        <v>809</v>
      </c>
      <c r="O12" s="1" t="s">
        <v>809</v>
      </c>
      <c r="P12" s="1" t="s">
        <v>824</v>
      </c>
      <c r="Q12" s="502">
        <v>43045.229883090302</v>
      </c>
    </row>
    <row r="13" spans="1:17">
      <c r="A13" s="1" t="s">
        <v>1241</v>
      </c>
      <c r="B13" s="275" t="s">
        <v>855</v>
      </c>
      <c r="C13" s="1" t="s">
        <v>920</v>
      </c>
      <c r="D13" s="1" t="s">
        <v>906</v>
      </c>
      <c r="E13" s="1" t="s">
        <v>1348</v>
      </c>
      <c r="F13" s="1" t="s">
        <v>809</v>
      </c>
      <c r="G13" s="1" t="s">
        <v>809</v>
      </c>
      <c r="H13" s="1" t="s">
        <v>809</v>
      </c>
      <c r="I13" s="1" t="s">
        <v>809</v>
      </c>
      <c r="J13" s="1" t="s">
        <v>809</v>
      </c>
      <c r="K13" s="1" t="s">
        <v>809</v>
      </c>
      <c r="L13" s="1" t="s">
        <v>809</v>
      </c>
      <c r="M13" s="1" t="s">
        <v>809</v>
      </c>
      <c r="N13" s="1" t="s">
        <v>809</v>
      </c>
      <c r="O13" s="1" t="s">
        <v>809</v>
      </c>
      <c r="P13" s="1" t="s">
        <v>1346</v>
      </c>
      <c r="Q13" s="502">
        <v>43045.229883090302</v>
      </c>
    </row>
    <row r="14" spans="1:17">
      <c r="A14" s="1" t="s">
        <v>1241</v>
      </c>
      <c r="B14" s="275" t="s">
        <v>867</v>
      </c>
      <c r="C14" s="1" t="s">
        <v>920</v>
      </c>
      <c r="D14" s="1" t="s">
        <v>821</v>
      </c>
      <c r="E14" s="1" t="s">
        <v>840</v>
      </c>
      <c r="F14" s="1" t="s">
        <v>809</v>
      </c>
      <c r="G14" s="1" t="s">
        <v>809</v>
      </c>
      <c r="H14" s="1" t="s">
        <v>809</v>
      </c>
      <c r="I14" s="1" t="s">
        <v>809</v>
      </c>
      <c r="J14" s="1" t="s">
        <v>809</v>
      </c>
      <c r="K14" s="1" t="s">
        <v>809</v>
      </c>
      <c r="L14" s="1" t="s">
        <v>809</v>
      </c>
      <c r="M14" s="1" t="s">
        <v>809</v>
      </c>
      <c r="N14" s="1" t="s">
        <v>809</v>
      </c>
      <c r="O14" s="1" t="s">
        <v>809</v>
      </c>
      <c r="P14" s="1" t="s">
        <v>856</v>
      </c>
      <c r="Q14" s="502">
        <v>43045.229883090302</v>
      </c>
    </row>
    <row r="15" spans="1:17">
      <c r="A15" s="1" t="s">
        <v>1241</v>
      </c>
      <c r="B15" s="275" t="s">
        <v>877</v>
      </c>
      <c r="C15" s="1" t="s">
        <v>920</v>
      </c>
      <c r="D15" s="1" t="s">
        <v>1349</v>
      </c>
      <c r="E15" s="1" t="s">
        <v>1350</v>
      </c>
      <c r="F15" s="1" t="s">
        <v>809</v>
      </c>
      <c r="G15" s="1" t="s">
        <v>809</v>
      </c>
      <c r="H15" s="1" t="s">
        <v>809</v>
      </c>
      <c r="I15" s="1" t="s">
        <v>809</v>
      </c>
      <c r="J15" s="1" t="s">
        <v>809</v>
      </c>
      <c r="K15" s="1" t="s">
        <v>809</v>
      </c>
      <c r="L15" s="1" t="s">
        <v>809</v>
      </c>
      <c r="M15" s="1" t="s">
        <v>809</v>
      </c>
      <c r="N15" s="1" t="s">
        <v>809</v>
      </c>
      <c r="O15" s="1" t="s">
        <v>809</v>
      </c>
      <c r="P15" s="1" t="s">
        <v>1351</v>
      </c>
      <c r="Q15" s="502">
        <v>43045.229883090302</v>
      </c>
    </row>
    <row r="16" spans="1:17">
      <c r="A16" s="1" t="s">
        <v>1241</v>
      </c>
      <c r="B16" s="275" t="s">
        <v>888</v>
      </c>
      <c r="C16" s="1" t="s">
        <v>920</v>
      </c>
      <c r="D16" s="1" t="s">
        <v>809</v>
      </c>
      <c r="E16" s="1" t="s">
        <v>809</v>
      </c>
      <c r="F16" s="1" t="s">
        <v>809</v>
      </c>
      <c r="G16" s="1" t="s">
        <v>809</v>
      </c>
      <c r="H16" s="1" t="s">
        <v>809</v>
      </c>
      <c r="I16" s="1" t="s">
        <v>809</v>
      </c>
      <c r="J16" s="1" t="s">
        <v>809</v>
      </c>
      <c r="K16" s="1" t="s">
        <v>809</v>
      </c>
      <c r="L16" s="1" t="s">
        <v>809</v>
      </c>
      <c r="M16" s="1" t="s">
        <v>809</v>
      </c>
      <c r="N16" s="1" t="s">
        <v>809</v>
      </c>
      <c r="O16" s="1" t="s">
        <v>809</v>
      </c>
      <c r="P16" s="1" t="s">
        <v>809</v>
      </c>
      <c r="Q16" s="502">
        <v>43045.229883090302</v>
      </c>
    </row>
    <row r="17" spans="1:17">
      <c r="A17" s="1" t="s">
        <v>1241</v>
      </c>
      <c r="B17" s="275" t="s">
        <v>926</v>
      </c>
      <c r="C17" s="1" t="s">
        <v>920</v>
      </c>
      <c r="D17" s="1" t="s">
        <v>809</v>
      </c>
      <c r="E17" s="1" t="s">
        <v>809</v>
      </c>
      <c r="F17" s="1" t="s">
        <v>809</v>
      </c>
      <c r="G17" s="1" t="s">
        <v>809</v>
      </c>
      <c r="H17" s="1" t="s">
        <v>809</v>
      </c>
      <c r="I17" s="1" t="s">
        <v>809</v>
      </c>
      <c r="J17" s="1" t="s">
        <v>809</v>
      </c>
      <c r="K17" s="1" t="s">
        <v>809</v>
      </c>
      <c r="L17" s="1" t="s">
        <v>809</v>
      </c>
      <c r="M17" s="1" t="s">
        <v>809</v>
      </c>
      <c r="N17" s="1" t="s">
        <v>809</v>
      </c>
      <c r="O17" s="1" t="s">
        <v>809</v>
      </c>
      <c r="P17" s="1" t="s">
        <v>809</v>
      </c>
      <c r="Q17" s="502">
        <v>43045.229883090302</v>
      </c>
    </row>
    <row r="18" spans="1:17">
      <c r="A18" s="1" t="s">
        <v>1241</v>
      </c>
      <c r="B18" s="275" t="s">
        <v>927</v>
      </c>
      <c r="C18" s="1" t="s">
        <v>920</v>
      </c>
      <c r="D18" s="1" t="s">
        <v>809</v>
      </c>
      <c r="E18" s="1" t="s">
        <v>809</v>
      </c>
      <c r="F18" s="1" t="s">
        <v>809</v>
      </c>
      <c r="G18" s="1" t="s">
        <v>809</v>
      </c>
      <c r="H18" s="1" t="s">
        <v>809</v>
      </c>
      <c r="I18" s="1" t="s">
        <v>809</v>
      </c>
      <c r="J18" s="1" t="s">
        <v>809</v>
      </c>
      <c r="K18" s="1" t="s">
        <v>809</v>
      </c>
      <c r="L18" s="1" t="s">
        <v>809</v>
      </c>
      <c r="M18" s="1" t="s">
        <v>809</v>
      </c>
      <c r="N18" s="1" t="s">
        <v>809</v>
      </c>
      <c r="O18" s="1" t="s">
        <v>809</v>
      </c>
      <c r="P18" s="1" t="s">
        <v>809</v>
      </c>
      <c r="Q18" s="502">
        <v>43045.229883090302</v>
      </c>
    </row>
    <row r="19" spans="1:17">
      <c r="A19" s="1" t="s">
        <v>1241</v>
      </c>
      <c r="B19" s="275" t="s">
        <v>928</v>
      </c>
      <c r="C19" s="1" t="s">
        <v>920</v>
      </c>
      <c r="D19" s="1" t="s">
        <v>809</v>
      </c>
      <c r="E19" s="1" t="s">
        <v>809</v>
      </c>
      <c r="F19" s="1" t="s">
        <v>809</v>
      </c>
      <c r="G19" s="1" t="s">
        <v>809</v>
      </c>
      <c r="H19" s="1" t="s">
        <v>809</v>
      </c>
      <c r="I19" s="1" t="s">
        <v>809</v>
      </c>
      <c r="J19" s="1" t="s">
        <v>809</v>
      </c>
      <c r="K19" s="1" t="s">
        <v>809</v>
      </c>
      <c r="L19" s="1" t="s">
        <v>809</v>
      </c>
      <c r="M19" s="1" t="s">
        <v>809</v>
      </c>
      <c r="N19" s="1" t="s">
        <v>809</v>
      </c>
      <c r="O19" s="1" t="s">
        <v>809</v>
      </c>
      <c r="P19" s="1" t="s">
        <v>809</v>
      </c>
      <c r="Q19" s="502">
        <v>43045.229883090302</v>
      </c>
    </row>
    <row r="20" spans="1:17">
      <c r="A20" s="1" t="s">
        <v>1241</v>
      </c>
      <c r="B20" s="275" t="s">
        <v>929</v>
      </c>
      <c r="C20" s="1" t="s">
        <v>920</v>
      </c>
      <c r="D20" s="1" t="s">
        <v>809</v>
      </c>
      <c r="E20" s="1" t="s">
        <v>809</v>
      </c>
      <c r="F20" s="1" t="s">
        <v>809</v>
      </c>
      <c r="G20" s="1" t="s">
        <v>809</v>
      </c>
      <c r="H20" s="1" t="s">
        <v>809</v>
      </c>
      <c r="I20" s="1" t="s">
        <v>809</v>
      </c>
      <c r="J20" s="1" t="s">
        <v>809</v>
      </c>
      <c r="K20" s="1" t="s">
        <v>809</v>
      </c>
      <c r="L20" s="1" t="s">
        <v>809</v>
      </c>
      <c r="M20" s="1" t="s">
        <v>809</v>
      </c>
      <c r="N20" s="1" t="s">
        <v>809</v>
      </c>
      <c r="O20" s="1" t="s">
        <v>809</v>
      </c>
      <c r="P20" s="1" t="s">
        <v>809</v>
      </c>
      <c r="Q20" s="502">
        <v>43045.229883090302</v>
      </c>
    </row>
    <row r="21" spans="1:17">
      <c r="A21" s="1" t="s">
        <v>1241</v>
      </c>
      <c r="B21" s="275" t="s">
        <v>930</v>
      </c>
      <c r="C21" s="1" t="s">
        <v>920</v>
      </c>
      <c r="D21" s="1" t="s">
        <v>809</v>
      </c>
      <c r="E21" s="1" t="s">
        <v>809</v>
      </c>
      <c r="F21" s="1" t="s">
        <v>809</v>
      </c>
      <c r="G21" s="1" t="s">
        <v>809</v>
      </c>
      <c r="H21" s="1" t="s">
        <v>809</v>
      </c>
      <c r="I21" s="1" t="s">
        <v>809</v>
      </c>
      <c r="J21" s="1" t="s">
        <v>809</v>
      </c>
      <c r="K21" s="1" t="s">
        <v>809</v>
      </c>
      <c r="L21" s="1" t="s">
        <v>809</v>
      </c>
      <c r="M21" s="1" t="s">
        <v>809</v>
      </c>
      <c r="N21" s="1" t="s">
        <v>809</v>
      </c>
      <c r="O21" s="1" t="s">
        <v>809</v>
      </c>
      <c r="P21" s="1" t="s">
        <v>809</v>
      </c>
      <c r="Q21" s="502">
        <v>43045.229883090302</v>
      </c>
    </row>
    <row r="22" spans="1:17">
      <c r="A22" s="1" t="s">
        <v>1241</v>
      </c>
      <c r="B22" s="275" t="s">
        <v>931</v>
      </c>
      <c r="C22" s="1" t="s">
        <v>920</v>
      </c>
      <c r="D22" s="1" t="s">
        <v>873</v>
      </c>
      <c r="E22" s="1" t="s">
        <v>872</v>
      </c>
      <c r="F22" s="1" t="s">
        <v>809</v>
      </c>
      <c r="G22" s="1" t="s">
        <v>809</v>
      </c>
      <c r="H22" s="1" t="s">
        <v>809</v>
      </c>
      <c r="I22" s="1" t="s">
        <v>809</v>
      </c>
      <c r="J22" s="1" t="s">
        <v>809</v>
      </c>
      <c r="K22" s="1" t="s">
        <v>809</v>
      </c>
      <c r="L22" s="1" t="s">
        <v>809</v>
      </c>
      <c r="M22" s="1" t="s">
        <v>809</v>
      </c>
      <c r="N22" s="1" t="s">
        <v>809</v>
      </c>
      <c r="O22" s="1" t="s">
        <v>809</v>
      </c>
      <c r="P22" s="1" t="s">
        <v>1338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3" t="s">
        <v>1215</v>
      </c>
      <c r="B1" s="503" t="s">
        <v>361</v>
      </c>
      <c r="C1" s="503" t="s">
        <v>1216</v>
      </c>
      <c r="D1" s="503" t="s">
        <v>1217</v>
      </c>
      <c r="E1" s="503" t="s">
        <v>1218</v>
      </c>
      <c r="F1" s="503" t="s">
        <v>1219</v>
      </c>
      <c r="G1" s="503" t="s">
        <v>1220</v>
      </c>
      <c r="H1" s="503" t="s">
        <v>1221</v>
      </c>
      <c r="I1" s="503" t="s">
        <v>1222</v>
      </c>
      <c r="J1" s="503" t="s">
        <v>1223</v>
      </c>
      <c r="K1" s="503" t="s">
        <v>1224</v>
      </c>
      <c r="L1" s="503" t="s">
        <v>1225</v>
      </c>
      <c r="M1" s="503" t="s">
        <v>1226</v>
      </c>
      <c r="N1" s="503" t="s">
        <v>1227</v>
      </c>
      <c r="O1" s="503" t="s">
        <v>1352</v>
      </c>
    </row>
    <row r="2" spans="1:15">
      <c r="A2" s="503" t="s">
        <v>1241</v>
      </c>
      <c r="B2" s="503" t="s">
        <v>364</v>
      </c>
      <c r="C2" s="503" t="s">
        <v>1353</v>
      </c>
      <c r="D2" s="503" t="s">
        <v>1354</v>
      </c>
      <c r="E2" s="503" t="s">
        <v>809</v>
      </c>
      <c r="F2" s="503" t="s">
        <v>809</v>
      </c>
      <c r="G2" s="503" t="s">
        <v>809</v>
      </c>
      <c r="H2" s="503" t="s">
        <v>809</v>
      </c>
      <c r="I2" s="503" t="s">
        <v>809</v>
      </c>
      <c r="J2" s="503" t="s">
        <v>809</v>
      </c>
      <c r="K2" s="503" t="s">
        <v>809</v>
      </c>
      <c r="L2" s="503" t="s">
        <v>809</v>
      </c>
      <c r="M2" s="503" t="s">
        <v>809</v>
      </c>
      <c r="N2" s="503" t="s">
        <v>809</v>
      </c>
      <c r="O2" s="503" t="s">
        <v>1355</v>
      </c>
    </row>
    <row r="3" spans="1:15">
      <c r="A3" s="503" t="s">
        <v>1241</v>
      </c>
      <c r="B3" s="503" t="s">
        <v>398</v>
      </c>
      <c r="C3" s="503" t="s">
        <v>1356</v>
      </c>
      <c r="D3" s="503" t="s">
        <v>1357</v>
      </c>
      <c r="E3" s="503" t="s">
        <v>809</v>
      </c>
      <c r="F3" s="503" t="s">
        <v>809</v>
      </c>
      <c r="G3" s="503" t="s">
        <v>809</v>
      </c>
      <c r="H3" s="503" t="s">
        <v>809</v>
      </c>
      <c r="I3" s="503" t="s">
        <v>809</v>
      </c>
      <c r="J3" s="503" t="s">
        <v>809</v>
      </c>
      <c r="K3" s="503" t="s">
        <v>809</v>
      </c>
      <c r="L3" s="503" t="s">
        <v>809</v>
      </c>
      <c r="M3" s="503" t="s">
        <v>809</v>
      </c>
      <c r="N3" s="503" t="s">
        <v>809</v>
      </c>
      <c r="O3" s="503" t="s">
        <v>1358</v>
      </c>
    </row>
    <row r="4" spans="1:15">
      <c r="A4" s="503" t="s">
        <v>1241</v>
      </c>
      <c r="B4" s="503" t="s">
        <v>428</v>
      </c>
      <c r="C4" s="503" t="s">
        <v>1359</v>
      </c>
      <c r="D4" s="503" t="s">
        <v>1360</v>
      </c>
      <c r="E4" s="503" t="s">
        <v>809</v>
      </c>
      <c r="F4" s="503" t="s">
        <v>809</v>
      </c>
      <c r="G4" s="503" t="s">
        <v>809</v>
      </c>
      <c r="H4" s="503" t="s">
        <v>809</v>
      </c>
      <c r="I4" s="503" t="s">
        <v>809</v>
      </c>
      <c r="J4" s="503" t="s">
        <v>809</v>
      </c>
      <c r="K4" s="503" t="s">
        <v>809</v>
      </c>
      <c r="L4" s="503" t="s">
        <v>809</v>
      </c>
      <c r="M4" s="503" t="s">
        <v>809</v>
      </c>
      <c r="N4" s="503" t="s">
        <v>809</v>
      </c>
      <c r="O4" s="503" t="s">
        <v>1361</v>
      </c>
    </row>
    <row r="5" spans="1:15">
      <c r="A5" s="503" t="s">
        <v>1241</v>
      </c>
      <c r="B5" s="503" t="s">
        <v>457</v>
      </c>
      <c r="C5" s="503" t="s">
        <v>1362</v>
      </c>
      <c r="D5" s="503" t="s">
        <v>1363</v>
      </c>
      <c r="E5" s="503" t="s">
        <v>809</v>
      </c>
      <c r="F5" s="503" t="s">
        <v>809</v>
      </c>
      <c r="G5" s="503" t="s">
        <v>809</v>
      </c>
      <c r="H5" s="503" t="s">
        <v>809</v>
      </c>
      <c r="I5" s="503" t="s">
        <v>809</v>
      </c>
      <c r="J5" s="503" t="s">
        <v>809</v>
      </c>
      <c r="K5" s="503" t="s">
        <v>809</v>
      </c>
      <c r="L5" s="503" t="s">
        <v>809</v>
      </c>
      <c r="M5" s="503" t="s">
        <v>809</v>
      </c>
      <c r="N5" s="503" t="s">
        <v>809</v>
      </c>
      <c r="O5" s="503" t="s">
        <v>1364</v>
      </c>
    </row>
    <row r="6" spans="1:15">
      <c r="A6" s="503" t="s">
        <v>1241</v>
      </c>
      <c r="B6" s="503" t="s">
        <v>486</v>
      </c>
      <c r="C6" s="503" t="s">
        <v>1365</v>
      </c>
      <c r="D6" s="503" t="s">
        <v>1366</v>
      </c>
      <c r="E6" s="503" t="s">
        <v>809</v>
      </c>
      <c r="F6" s="503" t="s">
        <v>809</v>
      </c>
      <c r="G6" s="503" t="s">
        <v>809</v>
      </c>
      <c r="H6" s="503" t="s">
        <v>809</v>
      </c>
      <c r="I6" s="503" t="s">
        <v>809</v>
      </c>
      <c r="J6" s="503" t="s">
        <v>809</v>
      </c>
      <c r="K6" s="503" t="s">
        <v>809</v>
      </c>
      <c r="L6" s="503" t="s">
        <v>809</v>
      </c>
      <c r="M6" s="503" t="s">
        <v>809</v>
      </c>
      <c r="N6" s="503" t="s">
        <v>809</v>
      </c>
      <c r="O6" s="503" t="s">
        <v>1367</v>
      </c>
    </row>
    <row r="7" spans="1:15">
      <c r="A7" s="503" t="s">
        <v>1241</v>
      </c>
      <c r="B7" s="503" t="s">
        <v>520</v>
      </c>
      <c r="C7" s="503" t="s">
        <v>809</v>
      </c>
      <c r="D7" s="503" t="s">
        <v>809</v>
      </c>
      <c r="E7" s="503" t="s">
        <v>809</v>
      </c>
      <c r="F7" s="503" t="s">
        <v>809</v>
      </c>
      <c r="G7" s="503" t="s">
        <v>809</v>
      </c>
      <c r="H7" s="503" t="s">
        <v>809</v>
      </c>
      <c r="I7" s="503" t="s">
        <v>809</v>
      </c>
      <c r="J7" s="503" t="s">
        <v>809</v>
      </c>
      <c r="K7" s="503" t="s">
        <v>809</v>
      </c>
      <c r="L7" s="503" t="s">
        <v>809</v>
      </c>
      <c r="M7" s="503" t="s">
        <v>809</v>
      </c>
      <c r="N7" s="503" t="s">
        <v>809</v>
      </c>
      <c r="O7" s="503" t="s">
        <v>809</v>
      </c>
    </row>
    <row r="8" spans="1:15">
      <c r="A8" s="503" t="s">
        <v>1241</v>
      </c>
      <c r="B8" s="503" t="s">
        <v>522</v>
      </c>
      <c r="C8" s="503" t="s">
        <v>991</v>
      </c>
      <c r="D8" s="503" t="s">
        <v>1368</v>
      </c>
      <c r="E8" s="503" t="s">
        <v>809</v>
      </c>
      <c r="F8" s="503" t="s">
        <v>809</v>
      </c>
      <c r="G8" s="503" t="s">
        <v>809</v>
      </c>
      <c r="H8" s="503" t="s">
        <v>809</v>
      </c>
      <c r="I8" s="503" t="s">
        <v>809</v>
      </c>
      <c r="J8" s="503" t="s">
        <v>809</v>
      </c>
      <c r="K8" s="503" t="s">
        <v>809</v>
      </c>
      <c r="L8" s="503" t="s">
        <v>809</v>
      </c>
      <c r="M8" s="503" t="s">
        <v>809</v>
      </c>
      <c r="N8" s="503" t="s">
        <v>809</v>
      </c>
      <c r="O8" s="503" t="s">
        <v>1369</v>
      </c>
    </row>
    <row r="9" spans="1:15">
      <c r="A9" s="503" t="s">
        <v>1241</v>
      </c>
      <c r="B9" s="503" t="s">
        <v>844</v>
      </c>
      <c r="C9" s="503" t="s">
        <v>360</v>
      </c>
      <c r="D9" s="503" t="s">
        <v>1370</v>
      </c>
      <c r="E9" s="503" t="s">
        <v>809</v>
      </c>
      <c r="F9" s="503" t="s">
        <v>809</v>
      </c>
      <c r="G9" s="503" t="s">
        <v>809</v>
      </c>
      <c r="H9" s="503" t="s">
        <v>809</v>
      </c>
      <c r="I9" s="503" t="s">
        <v>809</v>
      </c>
      <c r="J9" s="503" t="s">
        <v>809</v>
      </c>
      <c r="K9" s="503" t="s">
        <v>809</v>
      </c>
      <c r="L9" s="503" t="s">
        <v>809</v>
      </c>
      <c r="M9" s="503" t="s">
        <v>809</v>
      </c>
      <c r="N9" s="503" t="s">
        <v>809</v>
      </c>
      <c r="O9" s="503" t="s">
        <v>1371</v>
      </c>
    </row>
    <row r="10" spans="1:15">
      <c r="A10" s="503" t="s">
        <v>1241</v>
      </c>
      <c r="B10" s="503" t="s">
        <v>854</v>
      </c>
      <c r="C10" s="503" t="s">
        <v>997</v>
      </c>
      <c r="D10" s="503" t="s">
        <v>360</v>
      </c>
      <c r="E10" s="503" t="s">
        <v>809</v>
      </c>
      <c r="F10" s="503" t="s">
        <v>809</v>
      </c>
      <c r="G10" s="503" t="s">
        <v>809</v>
      </c>
      <c r="H10" s="503" t="s">
        <v>809</v>
      </c>
      <c r="I10" s="503" t="s">
        <v>809</v>
      </c>
      <c r="J10" s="503" t="s">
        <v>809</v>
      </c>
      <c r="K10" s="503" t="s">
        <v>809</v>
      </c>
      <c r="L10" s="503" t="s">
        <v>809</v>
      </c>
      <c r="M10" s="503" t="s">
        <v>809</v>
      </c>
      <c r="N10" s="503" t="s">
        <v>809</v>
      </c>
      <c r="O10" s="503" t="s">
        <v>1372</v>
      </c>
    </row>
    <row r="11" spans="1:15">
      <c r="A11" s="503" t="s">
        <v>1241</v>
      </c>
      <c r="B11" s="503" t="s">
        <v>855</v>
      </c>
      <c r="C11" s="503" t="s">
        <v>1373</v>
      </c>
      <c r="D11" s="503" t="s">
        <v>1374</v>
      </c>
      <c r="E11" s="503" t="s">
        <v>809</v>
      </c>
      <c r="F11" s="503" t="s">
        <v>809</v>
      </c>
      <c r="G11" s="503" t="s">
        <v>809</v>
      </c>
      <c r="H11" s="503" t="s">
        <v>809</v>
      </c>
      <c r="I11" s="503" t="s">
        <v>809</v>
      </c>
      <c r="J11" s="503" t="s">
        <v>809</v>
      </c>
      <c r="K11" s="503" t="s">
        <v>809</v>
      </c>
      <c r="L11" s="503" t="s">
        <v>809</v>
      </c>
      <c r="M11" s="503" t="s">
        <v>809</v>
      </c>
      <c r="N11" s="503" t="s">
        <v>809</v>
      </c>
      <c r="O11" s="503" t="s">
        <v>1375</v>
      </c>
    </row>
    <row r="12" spans="1:15">
      <c r="A12" s="503" t="s">
        <v>1241</v>
      </c>
      <c r="B12" s="503" t="s">
        <v>867</v>
      </c>
      <c r="C12" s="503" t="s">
        <v>1376</v>
      </c>
      <c r="D12" s="503" t="s">
        <v>1377</v>
      </c>
      <c r="E12" s="503" t="s">
        <v>809</v>
      </c>
      <c r="F12" s="503" t="s">
        <v>809</v>
      </c>
      <c r="G12" s="503" t="s">
        <v>809</v>
      </c>
      <c r="H12" s="503" t="s">
        <v>809</v>
      </c>
      <c r="I12" s="503" t="s">
        <v>809</v>
      </c>
      <c r="J12" s="503" t="s">
        <v>809</v>
      </c>
      <c r="K12" s="503" t="s">
        <v>809</v>
      </c>
      <c r="L12" s="503" t="s">
        <v>809</v>
      </c>
      <c r="M12" s="503" t="s">
        <v>809</v>
      </c>
      <c r="N12" s="503" t="s">
        <v>809</v>
      </c>
      <c r="O12" s="503" t="s">
        <v>1378</v>
      </c>
    </row>
    <row r="13" spans="1:15">
      <c r="A13" s="503" t="s">
        <v>1241</v>
      </c>
      <c r="B13" s="503" t="s">
        <v>877</v>
      </c>
      <c r="C13" s="503" t="s">
        <v>1379</v>
      </c>
      <c r="D13" s="503" t="s">
        <v>1380</v>
      </c>
      <c r="E13" s="503" t="s">
        <v>809</v>
      </c>
      <c r="F13" s="503" t="s">
        <v>809</v>
      </c>
      <c r="G13" s="503" t="s">
        <v>809</v>
      </c>
      <c r="H13" s="503" t="s">
        <v>809</v>
      </c>
      <c r="I13" s="503" t="s">
        <v>809</v>
      </c>
      <c r="J13" s="503" t="s">
        <v>809</v>
      </c>
      <c r="K13" s="503" t="s">
        <v>809</v>
      </c>
      <c r="L13" s="503" t="s">
        <v>809</v>
      </c>
      <c r="M13" s="503" t="s">
        <v>809</v>
      </c>
      <c r="N13" s="503" t="s">
        <v>809</v>
      </c>
      <c r="O13" s="503" t="s">
        <v>1381</v>
      </c>
    </row>
    <row r="14" spans="1:15">
      <c r="A14" s="503" t="s">
        <v>1241</v>
      </c>
      <c r="B14" s="503" t="s">
        <v>888</v>
      </c>
      <c r="C14" s="503" t="s">
        <v>809</v>
      </c>
      <c r="D14" s="503" t="s">
        <v>237</v>
      </c>
      <c r="E14" s="503" t="s">
        <v>809</v>
      </c>
      <c r="F14" s="503" t="s">
        <v>809</v>
      </c>
      <c r="G14" s="503" t="s">
        <v>809</v>
      </c>
      <c r="H14" s="503" t="s">
        <v>809</v>
      </c>
      <c r="I14" s="503" t="s">
        <v>809</v>
      </c>
      <c r="J14" s="503" t="s">
        <v>809</v>
      </c>
      <c r="K14" s="503" t="s">
        <v>809</v>
      </c>
      <c r="L14" s="503" t="s">
        <v>809</v>
      </c>
      <c r="M14" s="503" t="s">
        <v>809</v>
      </c>
      <c r="N14" s="503" t="s">
        <v>809</v>
      </c>
      <c r="O14" s="503" t="s">
        <v>360</v>
      </c>
    </row>
    <row r="15" spans="1:15">
      <c r="A15" s="503" t="s">
        <v>1241</v>
      </c>
      <c r="B15" s="503" t="s">
        <v>926</v>
      </c>
      <c r="C15" s="503" t="s">
        <v>809</v>
      </c>
      <c r="D15" s="503" t="s">
        <v>809</v>
      </c>
      <c r="E15" s="503" t="s">
        <v>809</v>
      </c>
      <c r="F15" s="503" t="s">
        <v>809</v>
      </c>
      <c r="G15" s="503" t="s">
        <v>809</v>
      </c>
      <c r="H15" s="503" t="s">
        <v>809</v>
      </c>
      <c r="I15" s="503" t="s">
        <v>809</v>
      </c>
      <c r="J15" s="503" t="s">
        <v>809</v>
      </c>
      <c r="K15" s="503" t="s">
        <v>809</v>
      </c>
      <c r="L15" s="503" t="s">
        <v>809</v>
      </c>
      <c r="M15" s="503" t="s">
        <v>809</v>
      </c>
      <c r="N15" s="503" t="s">
        <v>809</v>
      </c>
      <c r="O15" s="503" t="s">
        <v>809</v>
      </c>
    </row>
    <row r="16" spans="1:15">
      <c r="A16" s="503" t="s">
        <v>1241</v>
      </c>
      <c r="B16" s="503" t="s">
        <v>927</v>
      </c>
      <c r="C16" s="503" t="s">
        <v>809</v>
      </c>
      <c r="D16" s="503" t="s">
        <v>809</v>
      </c>
      <c r="E16" s="503" t="s">
        <v>809</v>
      </c>
      <c r="F16" s="503" t="s">
        <v>809</v>
      </c>
      <c r="G16" s="503" t="s">
        <v>809</v>
      </c>
      <c r="H16" s="503" t="s">
        <v>809</v>
      </c>
      <c r="I16" s="503" t="s">
        <v>809</v>
      </c>
      <c r="J16" s="503" t="s">
        <v>809</v>
      </c>
      <c r="K16" s="503" t="s">
        <v>809</v>
      </c>
      <c r="L16" s="503" t="s">
        <v>809</v>
      </c>
      <c r="M16" s="503" t="s">
        <v>809</v>
      </c>
      <c r="N16" s="503" t="s">
        <v>809</v>
      </c>
      <c r="O16" s="503" t="s">
        <v>809</v>
      </c>
    </row>
    <row r="17" spans="1:15">
      <c r="A17" s="503" t="s">
        <v>1241</v>
      </c>
      <c r="B17" s="503" t="s">
        <v>928</v>
      </c>
      <c r="C17" s="503" t="s">
        <v>809</v>
      </c>
      <c r="D17" s="503" t="s">
        <v>809</v>
      </c>
      <c r="E17" s="503" t="s">
        <v>809</v>
      </c>
      <c r="F17" s="503" t="s">
        <v>809</v>
      </c>
      <c r="G17" s="503" t="s">
        <v>809</v>
      </c>
      <c r="H17" s="503" t="s">
        <v>809</v>
      </c>
      <c r="I17" s="503" t="s">
        <v>809</v>
      </c>
      <c r="J17" s="503" t="s">
        <v>809</v>
      </c>
      <c r="K17" s="503" t="s">
        <v>809</v>
      </c>
      <c r="L17" s="503" t="s">
        <v>809</v>
      </c>
      <c r="M17" s="503" t="s">
        <v>809</v>
      </c>
      <c r="N17" s="503" t="s">
        <v>809</v>
      </c>
      <c r="O17" s="503" t="s">
        <v>809</v>
      </c>
    </row>
    <row r="18" spans="1:15">
      <c r="A18" s="503" t="s">
        <v>1241</v>
      </c>
      <c r="B18" s="503" t="s">
        <v>929</v>
      </c>
      <c r="C18" s="503" t="s">
        <v>809</v>
      </c>
      <c r="D18" s="503" t="s">
        <v>809</v>
      </c>
      <c r="E18" s="503" t="s">
        <v>809</v>
      </c>
      <c r="F18" s="503" t="s">
        <v>809</v>
      </c>
      <c r="G18" s="503" t="s">
        <v>809</v>
      </c>
      <c r="H18" s="503" t="s">
        <v>809</v>
      </c>
      <c r="I18" s="503" t="s">
        <v>809</v>
      </c>
      <c r="J18" s="503" t="s">
        <v>809</v>
      </c>
      <c r="K18" s="503" t="s">
        <v>809</v>
      </c>
      <c r="L18" s="503" t="s">
        <v>809</v>
      </c>
      <c r="M18" s="503" t="s">
        <v>809</v>
      </c>
      <c r="N18" s="503" t="s">
        <v>809</v>
      </c>
      <c r="O18" s="503" t="s">
        <v>809</v>
      </c>
    </row>
    <row r="19" spans="1:15">
      <c r="A19" s="503" t="s">
        <v>1241</v>
      </c>
      <c r="B19" s="503" t="s">
        <v>930</v>
      </c>
      <c r="C19" s="503" t="s">
        <v>809</v>
      </c>
      <c r="D19" s="503" t="s">
        <v>809</v>
      </c>
      <c r="E19" s="503" t="s">
        <v>809</v>
      </c>
      <c r="F19" s="503" t="s">
        <v>809</v>
      </c>
      <c r="G19" s="503" t="s">
        <v>809</v>
      </c>
      <c r="H19" s="503" t="s">
        <v>809</v>
      </c>
      <c r="I19" s="503" t="s">
        <v>809</v>
      </c>
      <c r="J19" s="503" t="s">
        <v>809</v>
      </c>
      <c r="K19" s="503" t="s">
        <v>809</v>
      </c>
      <c r="L19" s="503" t="s">
        <v>809</v>
      </c>
      <c r="M19" s="503" t="s">
        <v>809</v>
      </c>
      <c r="N19" s="503" t="s">
        <v>809</v>
      </c>
      <c r="O19" s="503" t="s">
        <v>809</v>
      </c>
    </row>
    <row r="20" spans="1:15">
      <c r="A20" s="503" t="s">
        <v>1241</v>
      </c>
      <c r="B20" s="503" t="s">
        <v>931</v>
      </c>
      <c r="C20" s="503" t="s">
        <v>1382</v>
      </c>
      <c r="D20" s="503" t="s">
        <v>1383</v>
      </c>
      <c r="E20" s="503" t="s">
        <v>809</v>
      </c>
      <c r="F20" s="503" t="s">
        <v>809</v>
      </c>
      <c r="G20" s="503" t="s">
        <v>809</v>
      </c>
      <c r="H20" s="503" t="s">
        <v>809</v>
      </c>
      <c r="I20" s="503" t="s">
        <v>809</v>
      </c>
      <c r="J20" s="503" t="s">
        <v>809</v>
      </c>
      <c r="K20" s="503" t="s">
        <v>809</v>
      </c>
      <c r="L20" s="503" t="s">
        <v>809</v>
      </c>
      <c r="M20" s="503" t="s">
        <v>809</v>
      </c>
      <c r="N20" s="503" t="s">
        <v>809</v>
      </c>
      <c r="O20" s="503" t="s">
        <v>1384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240b026b1a3f4888d997f55bfd557ff2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8e910b6f72def880f15e5005c1ed47e4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EC39957D-8F25-4C5A-A3A8-28652AEF8862}"/>
</file>

<file path=customXml/itemProps3.xml><?xml version="1.0" encoding="utf-8"?>
<ds:datastoreItem xmlns:ds="http://schemas.openxmlformats.org/officeDocument/2006/customXml" ds:itemID="{71436DF7-6E13-44CA-A09C-889C953DA5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徐得凱</cp:lastModifiedBy>
  <cp:revision/>
  <dcterms:created xsi:type="dcterms:W3CDTF">2010-08-05T03:30:00Z</dcterms:created>
  <dcterms:modified xsi:type="dcterms:W3CDTF">2025-06-10T08:43:16Z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2025-04-01T00:00:08Z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a21d8179-c2ec-42d2-a231-cae03ace0d23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10, 3, 0, 2</vt:lpwstr>
  </property>
</Properties>
</file>