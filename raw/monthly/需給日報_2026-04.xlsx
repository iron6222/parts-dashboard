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0" documentId="13_ncr:1_{B6A91D6C-3630-4D36-A0C7-43BA7CEE3CFD}" xr6:coauthVersionLast="47" xr6:coauthVersionMax="47" xr10:uidLastSave="{00000000-0000-0000-0000-000000000000}"/>
  <bookViews>
    <workbookView xWindow="-289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<sst xmlns="http://schemas.openxmlformats.org/spreadsheetml/2006/main" count="7511" uniqueCount="1443">
  <si>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</si>
  <si>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</si>
  <si>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</si>
  <si>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</si>
  <si>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</si>
  <si>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</si>
  <si>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</si>
  <si>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</si>
  <si>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</si>
  <si>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</si>
  <si>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</si>
  <si>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</si>
  <si>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</si>
  <si>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</si>
  <si>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</si>
  <si>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</si>
  <si>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</si>
  <si>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</si>
  <si>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</si>
  <si>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</si>
  <si>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</si>
  <si>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</si>
  <si>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</si>
  <si>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</si>
  <si>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</si>
  <si>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</si>
  <si>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</si>
  <si>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</si>
  <si>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</si>
  <si>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</si>
  <si>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</si>
  <si>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</si>
  <si>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</si>
  <si>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</si>
  <si>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</si>
  <si>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</si>
  <si>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</si>
  <si>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</si>
  <si>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</si>
  <si>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</si>
  <si>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</si>
  <si>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</si>
  <si>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</si>
  <si>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</si>
  <si>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</si>
  <si>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</si>
  <si>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</si>
  <si>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</si>
  <si>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</si>
  <si>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</si>
  <si>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</si>
  <si>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</si>
  <si>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</si>
  <si>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</si>
  <si>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</si>
  <si>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</si>
  <si>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</si>
  <si>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</si>
  <si>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</si>
  <si>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</si>
  <si>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</si>
  <si>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</si>
  <si>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</si>
  <si>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</si>
  <si>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</si>
  <si>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</si>
  <si>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</si>
  <si>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</si>
  <si>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</si>
  <si>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</si>
  <si>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</si>
  <si>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</si>
  <si>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</si>
  <si>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</si>
  <si>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</si>
  <si>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</si>
  <si>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</si>
  <si>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</si>
  <si>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</si>
  <si>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</si>
  <si>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</si>
  <si>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</si>
  <si>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</si>
  <si>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</si>
  <si>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</si>
  <si>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</si>
  <si>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</si>
  <si>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</si>
  <si>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</si>
  <si>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</si>
  <si>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</si>
  <si>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</si>
  <si>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</si>
  <si>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</si>
  <si>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</si>
  <si>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</si>
  <si>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</si>
  <si>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</si>
  <si>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</si>
  <si>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</si>
  <si>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</si>
  <si>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</si>
  <si>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</si>
  <si>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</si>
  <si>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</si>
  <si>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</si>
  <si>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</si>
  <si>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</si>
  <si>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</si>
  <si>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</si>
  <si>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</si>
  <si>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</si>
  <si>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</si>
  <si>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</si>
  <si>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</si>
  <si>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</si>
  <si>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</si>
  <si>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</si>
  <si>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</si>
  <si>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</si>
  <si>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</si>
  <si>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</si>
  <si>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</si>
  <si>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</si>
  <si>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</si>
  <si>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</si>
  <si>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</si>
  <si>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</si>
  <si>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</si>
  <si>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</si>
  <si>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</si>
  <si>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</si>
  <si>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</si>
  <si>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</si>
  <si>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</si>
  <si>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</si>
  <si>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</si>
  <si>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</si>
  <si>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</si>
  <si>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</si>
  <si>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</si>
  <si>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</si>
  <si>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</si>
  <si>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</si>
  <si>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</si>
  <si>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</si>
  <si>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</si>
  <si>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</si>
  <si>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</si>
  <si>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</si>
  <si>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</si>
  <si>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</si>
  <si>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</si>
  <si>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</si>
  <si>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</si>
  <si>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</si>
  <si>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</si>
  <si>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</si>
  <si>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</si>
  <si>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</si>
  <si>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</si>
  <si>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</si>
  <si>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</si>
  <si>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</si>
  <si>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</si>
  <si>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</si>
  <si>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</si>
  <si>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</si>
  <si>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</si>
  <si>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</si>
  <si>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</si>
  <si>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</si>
  <si>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</si>
  <si>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</si>
  <si>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</si>
  <si>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</si>
  <si>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</si>
  <si>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</si>
  <si>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</si>
  <si>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</si>
  <si>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</si>
  <si>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</si>
  <si>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</si>
  <si>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</si>
  <si>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</si>
  <si>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</si>
  <si>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</si>
  <si>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</si>
  <si>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</si>
  <si>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</si>
  <si>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</si>
  <si>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</si>
  <si>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</si>
  <si>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</si>
  <si>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</si>
  <si>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</si>
  <si>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</si>
  <si>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</si>
  <si>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</si>
  <si>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</si>
  <si>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</si>
  <si>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</si>
  <si>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</si>
  <si>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</si>
  <si>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</si>
  <si>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</si>
  <si>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</si>
  <si>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</si>
  <si>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</si>
  <si>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</si>
  <si>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</si>
  <si>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</si>
  <si>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</si>
  <si>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</si>
  <si>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</si>
  <si>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</si>
  <si>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</si>
  <si>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</si>
  <si>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</si>
  <si>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</si>
  <si>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</si>
  <si>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</si>
  <si>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</si>
  <si>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</si>
  <si>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</si>
  <si>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</si>
  <si>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</si>
  <si>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</si>
  <si>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</si>
  <si>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</si>
  <si>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</si>
  <si>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</si>
  <si>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</si>
  <si>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</si>
  <si>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</si>
  <si>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</si>
  <si>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</si>
  <si>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</si>
  <si>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</si>
  <si>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</si>
  <si>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</si>
  <si>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</si>
  <si>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</si>
  <si>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</si>
  <si>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</si>
  <si>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</si>
  <si>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</si>
  <si>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</si>
  <si>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</si>
  <si>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</si>
  <si>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</si>
  <si>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</si>
  <si>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</si>
  <si>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</si>
  <si>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</si>
  <si>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</si>
  <si>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</si>
  <si>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</si>
  <si>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</si>
  <si>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</si>
  <si>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</si>
  <si>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</si>
  <si>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</si>
  <si>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</si>
  <si>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</si>
  <si>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</si>
  <si>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</si>
  <si>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</si>
  <si>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</si>
  <si>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</si>
  <si>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</si>
  <si>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</si>
  <si>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</si>
  <si>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</si>
  <si>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</si>
  <si>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</si>
  <si>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</si>
  <si>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</si>
  <si>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</si>
  <si>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</si>
  <si>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</si>
  <si>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</si>
  <si>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</si>
  <si>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</si>
  <si>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</si>
  <si>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</si>
  <si>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</si>
  <si>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</si>
  <si>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</si>
  <si>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</si>
  <si>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</si>
  <si>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</si>
  <si>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</si>
  <si>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</si>
  <si>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</si>
  <si>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</si>
  <si>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</si>
  <si>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</si>
  <si>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</si>
  <si>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</si>
  <si>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</si>
  <si>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</si>
  <si>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</si>
  <si>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</si>
  <si>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</si>
  <si>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</si>
  <si>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</si>
  <si>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</si>
  <si>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</si>
  <si>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</si>
  <si>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</si>
  <si>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</si>
  <si>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</si>
  <si>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</si>
  <si>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</si>
  <si>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</si>
  <si>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</si>
  <si>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</si>
  <si>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</si>
  <si>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</si>
  <si>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</si>
  <si>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</si>
  <si>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</si>
  <si>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</si>
  <si>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</si>
  <si>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</si>
  <si>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</si>
  <si>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</si>
  <si>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</si>
  <si>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</si>
  <si>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</si>
  <si>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</si>
  <si>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</si>
  <si>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</si>
  <si>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</si>
  <si>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</si>
  <si>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</si>
  <si>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</si>
  <si>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</si>
  <si>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</si>
  <si>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</si>
  <si>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</si>
  <si>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</si>
  <si>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</si>
  <si>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</si>
  <si>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</si>
  <si>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</si>
  <si>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</si>
  <si>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</si>
  <si>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</si>
  <si>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</si>
  <si>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</si>
  <si>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</si>
  <si>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</si>
  <si>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</si>
  <si>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</si>
  <si>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</si>
  <si>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</si>
  <si>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</si>
  <si>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</si>
  <si>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</si>
  <si>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</si>
  <si>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</si>
  <si>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</si>
  <si>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</si>
  <si>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</si>
  <si>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</si>
  <si>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</si>
  <si>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</si>
  <si>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</si>
  <si>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</si>
  <si>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</si>
  <si>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</si>
  <si>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</si>
  <si>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</si>
  <si>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</si>
  <si>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</si>
  <si>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</si>
  <si>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</si>
  <si>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</si>
  <si>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</si>
  <si>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</si>
  <si>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</si>
  <si>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</si>
  <si>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</si>
  <si>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</si>
  <si>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</si>
  <si>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</si>
  <si>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</si>
  <si>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</si>
  <si>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</si>
  <si>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</si>
  <si>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</si>
  <si>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</si>
  <si>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</si>
  <si>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</si>
  <si>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</si>
  <si>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</si>
  <si>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</si>
  <si>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</si>
  <si>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</si>
  <si>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</si>
  <si>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</si>
  <si>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</si>
  <si>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</si>
  <si>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</si>
  <si>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</si>
  <si>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</si>
  <si>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</si>
  <si>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</si>
  <si>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</si>
  <si>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</si>
  <si>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</si>
  <si>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</si>
  <si>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</si>
  <si>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</si>
  <si>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</si>
  <si>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202603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</si>
  <si>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</si>
  <si>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</si>
  <si>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</si>
  <si>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</si>
  <si>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</si>
  <si>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</si>
  <si>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</si>
  <si>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</si>
  <si>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</si>
  <si>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</si>
  <si>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</si>
  <si>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</si>
  <si>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</si>
  <si>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</si>
  <si>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</si>
  <si>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</si>
  <si>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</si>
  <si>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</si>
  <si>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</si>
  <si>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</si>
  <si>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</si>
  <si>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</si>
  <si>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</si>
  <si>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</si>
  <si>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</si>
  <si>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</si>
  <si>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</si>
  <si>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</si>
  <si>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</si>
  <si>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</si>
  <si>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</si>
  <si>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</t>
  </si>
  <si>
    <t>FRCD</t>
  </si>
  <si>
    <t>DIFFAMT</t>
  </si>
  <si>
    <t>AVGAMT</t>
  </si>
  <si>
    <t>01-A</t>
  </si>
  <si>
    <t>303400229.00</t>
  </si>
  <si>
    <t>293955948.00</t>
  </si>
  <si>
    <t>292654209.00</t>
  </si>
  <si>
    <t>294151632.00</t>
  </si>
  <si>
    <t>296373950.00</t>
  </si>
  <si>
    <t>299147856.00</t>
  </si>
  <si>
    <t>291624565.00</t>
  </si>
  <si>
    <t>291619919.00</t>
  </si>
  <si>
    <t>292834304.00</t>
  </si>
  <si>
    <t>290772710.00</t>
  </si>
  <si>
    <t>288280391.00</t>
  </si>
  <si>
    <t>289982845.00</t>
  </si>
  <si>
    <t>292724001.00</t>
  </si>
  <si>
    <t>285892648.00</t>
  </si>
  <si>
    <t>285874635.00</t>
  </si>
  <si>
    <t>284552014.00</t>
  </si>
  <si>
    <t>284973303.00</t>
  </si>
  <si>
    <t>282373717.00</t>
  </si>
  <si>
    <t>288746097.00</t>
  </si>
  <si>
    <t>293532367.00</t>
  </si>
  <si>
    <t>287628029.00</t>
  </si>
  <si>
    <t>287627774.00</t>
  </si>
  <si>
    <t>297049916.00</t>
  </si>
  <si>
    <t>297947816.00</t>
  </si>
  <si>
    <t>299317995.00</t>
  </si>
  <si>
    <t>303944317.00</t>
  </si>
  <si>
    <t>307327672.00</t>
  </si>
  <si>
    <t>301761620.00</t>
  </si>
  <si>
    <t>301751637.00</t>
  </si>
  <si>
    <t>304087504.00</t>
  </si>
  <si>
    <t>306852591.00</t>
  </si>
  <si>
    <t>2765087.00</t>
  </si>
  <si>
    <t>294153684.23</t>
  </si>
  <si>
    <t>02-D</t>
  </si>
  <si>
    <t>174877886.00</t>
  </si>
  <si>
    <t>173330996.00</t>
  </si>
  <si>
    <t>173456760.00</t>
  </si>
  <si>
    <t>175231545.00</t>
  </si>
  <si>
    <t>175609514.00</t>
  </si>
  <si>
    <t>180300394.00</t>
  </si>
  <si>
    <t>178611381.00</t>
  </si>
  <si>
    <t>179931484.00</t>
  </si>
  <si>
    <t>179205601.00</t>
  </si>
  <si>
    <t>179369683.00</t>
  </si>
  <si>
    <t>179739725.00</t>
  </si>
  <si>
    <t>181046569.00</t>
  </si>
  <si>
    <t>178953011.00</t>
  </si>
  <si>
    <t>181436146.00</t>
  </si>
  <si>
    <t>183119875.00</t>
  </si>
  <si>
    <t>185401586.00</t>
  </si>
  <si>
    <t>187708330.00</t>
  </si>
  <si>
    <t>189763090.00</t>
  </si>
  <si>
    <t>188188562.00</t>
  </si>
  <si>
    <t>188147037.00</t>
  </si>
  <si>
    <t>189625127.00</t>
  </si>
  <si>
    <t>191208899.00</t>
  </si>
  <si>
    <t>195008218.00</t>
  </si>
  <si>
    <t>198456560.00</t>
  </si>
  <si>
    <t>199753581.00</t>
  </si>
  <si>
    <t>197810143.00</t>
  </si>
  <si>
    <t>199698036.00</t>
  </si>
  <si>
    <t>199041123.00</t>
  </si>
  <si>
    <t>-656913.00</t>
  </si>
  <si>
    <t>185142109.58</t>
  </si>
  <si>
    <t>03-J</t>
  </si>
  <si>
    <t>8522669.00</t>
  </si>
  <si>
    <t>5925064.00</t>
  </si>
  <si>
    <t>5665331.00</t>
  </si>
  <si>
    <t>7654105.00</t>
  </si>
  <si>
    <t>6337641.00</t>
  </si>
  <si>
    <t>6524835.00</t>
  </si>
  <si>
    <t>4981566.00</t>
  </si>
  <si>
    <t>4756785.00</t>
  </si>
  <si>
    <t>4664845.00</t>
  </si>
  <si>
    <t>4274137.00</t>
  </si>
  <si>
    <t>5283899.00</t>
  </si>
  <si>
    <t>7136453.00</t>
  </si>
  <si>
    <t>5983401.00</t>
  </si>
  <si>
    <t>4221091.00</t>
  </si>
  <si>
    <t>5170446.00</t>
  </si>
  <si>
    <t>5071265.00</t>
  </si>
  <si>
    <t>5604683.00</t>
  </si>
  <si>
    <t>7156428.00</t>
  </si>
  <si>
    <t>5226255.00</t>
  </si>
  <si>
    <t>4206860.00</t>
  </si>
  <si>
    <t>5114370.00</t>
  </si>
  <si>
    <t>5625847.00</t>
  </si>
  <si>
    <t>5574009.00</t>
  </si>
  <si>
    <t>6885068.00</t>
  </si>
  <si>
    <t>4981190.00</t>
  </si>
  <si>
    <t>3591540.00</t>
  </si>
  <si>
    <t>7237880.00</t>
  </si>
  <si>
    <t>3646340.00</t>
  </si>
  <si>
    <t>5630647.58</t>
  </si>
  <si>
    <t>04-O</t>
  </si>
  <si>
    <t>4159997.00</t>
  </si>
  <si>
    <t>4043374.00</t>
  </si>
  <si>
    <t>3976853.00</t>
  </si>
  <si>
    <t>4073971.00</t>
  </si>
  <si>
    <t>4012688.00</t>
  </si>
  <si>
    <t>4166977.00</t>
  </si>
  <si>
    <t>4131668.00</t>
  </si>
  <si>
    <t>4263222.00</t>
  </si>
  <si>
    <t>4304961.00</t>
  </si>
  <si>
    <t>4314409.00</t>
  </si>
  <si>
    <t>4271612.00</t>
  </si>
  <si>
    <t>4216086.00</t>
  </si>
  <si>
    <t>4192957.00</t>
  </si>
  <si>
    <t>4147344.00</t>
  </si>
  <si>
    <t>4065604.00</t>
  </si>
  <si>
    <t>4030887.00</t>
  </si>
  <si>
    <t>4192464.00</t>
  </si>
  <si>
    <t>4034177.00</t>
  </si>
  <si>
    <t>3947502.00</t>
  </si>
  <si>
    <t>4234682.00</t>
  </si>
  <si>
    <t>4384165.00</t>
  </si>
  <si>
    <t>4931273.00</t>
  </si>
  <si>
    <t>4338798.00</t>
  </si>
  <si>
    <t>4137323.00</t>
  </si>
  <si>
    <t>4124948.00</t>
  </si>
  <si>
    <t>4067083.00</t>
  </si>
  <si>
    <t>4257263.00</t>
  </si>
  <si>
    <t>190180.00</t>
  </si>
  <si>
    <t>4174818.16</t>
  </si>
  <si>
    <t>05-N</t>
  </si>
  <si>
    <t>30267805.00</t>
  </si>
  <si>
    <t>26370233.00</t>
  </si>
  <si>
    <t>28135445.00</t>
  </si>
  <si>
    <t>27004642.00</t>
  </si>
  <si>
    <t>27947546.00</t>
  </si>
  <si>
    <t>30292412.00</t>
  </si>
  <si>
    <t>26991462.00</t>
  </si>
  <si>
    <t>26991157.00</t>
  </si>
  <si>
    <t>26114898.00</t>
  </si>
  <si>
    <t>29335971.00</t>
  </si>
  <si>
    <t>30043572.00</t>
  </si>
  <si>
    <t>28665556.00</t>
  </si>
  <si>
    <t>30892927.00</t>
  </si>
  <si>
    <t>27750639.00</t>
  </si>
  <si>
    <t>27749924.00</t>
  </si>
  <si>
    <t>26632472.00</t>
  </si>
  <si>
    <t>27951071.00</t>
  </si>
  <si>
    <t>27033776.00</t>
  </si>
  <si>
    <t>27073978.00</t>
  </si>
  <si>
    <t>27149639.00</t>
  </si>
  <si>
    <t>24181766.00</t>
  </si>
  <si>
    <t>24178180.00</t>
  </si>
  <si>
    <t>24867634.00</t>
  </si>
  <si>
    <t>28771432.00</t>
  </si>
  <si>
    <t>27103047.00</t>
  </si>
  <si>
    <t>25681606.00</t>
  </si>
  <si>
    <t>32189603.00</t>
  </si>
  <si>
    <t>29339262.00</t>
  </si>
  <si>
    <t>29373058.00</t>
  </si>
  <si>
    <t>27847957.00</t>
  </si>
  <si>
    <t>-1525101.00</t>
  </si>
  <si>
    <t>27847352.65</t>
  </si>
  <si>
    <t>06-C</t>
  </si>
  <si>
    <t>.00</t>
  </si>
  <si>
    <t>07-H</t>
  </si>
  <si>
    <t>14574893.00</t>
  </si>
  <si>
    <t>11856124.00</t>
  </si>
  <si>
    <t>11930734.00</t>
  </si>
  <si>
    <t>15024236.00</t>
  </si>
  <si>
    <t>14046393.00</t>
  </si>
  <si>
    <t>14670353.00</t>
  </si>
  <si>
    <t>11422012.00</t>
  </si>
  <si>
    <t>10719218.00</t>
  </si>
  <si>
    <t>11056916.00</t>
  </si>
  <si>
    <t>12534032.00</t>
  </si>
  <si>
    <t>13712203.00</t>
  </si>
  <si>
    <t>11280613.00</t>
  </si>
  <si>
    <t>10381590.00</t>
  </si>
  <si>
    <t>9270949.00</t>
  </si>
  <si>
    <t>10904139.00</t>
  </si>
  <si>
    <t>11771485.00</t>
  </si>
  <si>
    <t>11162399.00</t>
  </si>
  <si>
    <t>11986111.00</t>
  </si>
  <si>
    <t>8298839.00</t>
  </si>
  <si>
    <t>8556043.00</t>
  </si>
  <si>
    <t>9112681.00</t>
  </si>
  <si>
    <t>11023616.00</t>
  </si>
  <si>
    <t>11963548.00</t>
  </si>
  <si>
    <t>13936909.00</t>
  </si>
  <si>
    <t>10405060.00</t>
  </si>
  <si>
    <t>11018036.00</t>
  </si>
  <si>
    <t>11567400.00</t>
  </si>
  <si>
    <t>549364.00</t>
  </si>
  <si>
    <t>11441743.00</t>
  </si>
  <si>
    <t>08-E</t>
  </si>
  <si>
    <t>09-F</t>
  </si>
  <si>
    <t>1362867.00</t>
  </si>
  <si>
    <t>1265257.00</t>
  </si>
  <si>
    <t>1201998.00</t>
  </si>
  <si>
    <t>1424938.00</t>
  </si>
  <si>
    <t>1360558.00</t>
  </si>
  <si>
    <t>1351218.00</t>
  </si>
  <si>
    <t>1315378.00</t>
  </si>
  <si>
    <t>1258263.00</t>
  </si>
  <si>
    <t>1244373.00</t>
  </si>
  <si>
    <t>1212693.00</t>
  </si>
  <si>
    <t>1553713.00</t>
  </si>
  <si>
    <t>1508898.00</t>
  </si>
  <si>
    <t>1469998.00</t>
  </si>
  <si>
    <t>1410963.00</t>
  </si>
  <si>
    <t>1322923.00</t>
  </si>
  <si>
    <t>1641465.00</t>
  </si>
  <si>
    <t>1785845.00</t>
  </si>
  <si>
    <t>1756815.00</t>
  </si>
  <si>
    <t>1700005.00</t>
  </si>
  <si>
    <t>1653505.00</t>
  </si>
  <si>
    <t>1593620.00</t>
  </si>
  <si>
    <t>2004880.00</t>
  </si>
  <si>
    <t>1963795.00</t>
  </si>
  <si>
    <t>1927520.00</t>
  </si>
  <si>
    <t>1865545.00</t>
  </si>
  <si>
    <t>1808940.00</t>
  </si>
  <si>
    <t>-56605.00</t>
  </si>
  <si>
    <t>1555533.19</t>
  </si>
  <si>
    <t>10-P</t>
  </si>
  <si>
    <t>106839.00</t>
  </si>
  <si>
    <t>190839.00</t>
  </si>
  <si>
    <t>114968.03</t>
  </si>
  <si>
    <t>11-G</t>
  </si>
  <si>
    <t>545.00</t>
  </si>
  <si>
    <t>3185.00</t>
  </si>
  <si>
    <t>3720.00</t>
  </si>
  <si>
    <t>806.45</t>
  </si>
  <si>
    <t>12-M</t>
  </si>
  <si>
    <t>2434952.00</t>
  </si>
  <si>
    <t>1837027.00</t>
  </si>
  <si>
    <t>1928427.00</t>
  </si>
  <si>
    <t>1969133.00</t>
  </si>
  <si>
    <t>1795139.00</t>
  </si>
  <si>
    <t>2009741.00</t>
  </si>
  <si>
    <t>1503511.00</t>
  </si>
  <si>
    <t>1622864.00</t>
  </si>
  <si>
    <t>1508569.00</t>
  </si>
  <si>
    <t>1391867.00</t>
  </si>
  <si>
    <t>1711348.00</t>
  </si>
  <si>
    <t>2074731.00</t>
  </si>
  <si>
    <t>1802900.00</t>
  </si>
  <si>
    <t>1504168.00</t>
  </si>
  <si>
    <t>1811062.00</t>
  </si>
  <si>
    <t>1538212.00</t>
  </si>
  <si>
    <t>1638095.00</t>
  </si>
  <si>
    <t>1584106.00</t>
  </si>
  <si>
    <t>1356656.00</t>
  </si>
  <si>
    <t>1192514.00</t>
  </si>
  <si>
    <t>1705959.00</t>
  </si>
  <si>
    <t>1635972.00</t>
  </si>
  <si>
    <t>1625542.00</t>
  </si>
  <si>
    <t>1475129.00</t>
  </si>
  <si>
    <t>706195.00</t>
  </si>
  <si>
    <t>893292.00</t>
  </si>
  <si>
    <t>1225378.00</t>
  </si>
  <si>
    <t>332086.00</t>
  </si>
  <si>
    <t>1575862.94</t>
  </si>
  <si>
    <t>13-U</t>
  </si>
  <si>
    <t>514198.00</t>
  </si>
  <si>
    <t>510568.00</t>
  </si>
  <si>
    <t>508018.00</t>
  </si>
  <si>
    <t>505858.00</t>
  </si>
  <si>
    <t>502538.00</t>
  </si>
  <si>
    <t>489558.00</t>
  </si>
  <si>
    <t>486318.00</t>
  </si>
  <si>
    <t>485238.00</t>
  </si>
  <si>
    <t>478518.00</t>
  </si>
  <si>
    <t>467318.00</t>
  </si>
  <si>
    <t>462618.00</t>
  </si>
  <si>
    <t>461538.00</t>
  </si>
  <si>
    <t>446938.00</t>
  </si>
  <si>
    <t>435348.00</t>
  </si>
  <si>
    <t>433108.00</t>
  </si>
  <si>
    <t>429248.00</t>
  </si>
  <si>
    <t>428168.00</t>
  </si>
  <si>
    <t>427088.00</t>
  </si>
  <si>
    <t>424388.00</t>
  </si>
  <si>
    <t>417748.00</t>
  </si>
  <si>
    <t>410098.00</t>
  </si>
  <si>
    <t>407938.00</t>
  </si>
  <si>
    <t>404848.00</t>
  </si>
  <si>
    <t>404308.00</t>
  </si>
  <si>
    <t>-540.00</t>
  </si>
  <si>
    <t>457168.97</t>
  </si>
  <si>
    <t>14-L</t>
  </si>
  <si>
    <t>102612.00</t>
  </si>
  <si>
    <t>94337.00</t>
  </si>
  <si>
    <t>82200.00</t>
  </si>
  <si>
    <t>78154.00</t>
  </si>
  <si>
    <t>74109.00</t>
  </si>
  <si>
    <t>70063.00</t>
  </si>
  <si>
    <t>66017.00</t>
  </si>
  <si>
    <t>57743.00</t>
  </si>
  <si>
    <t>53513.00</t>
  </si>
  <si>
    <t>123738.00</t>
  </si>
  <si>
    <t>119942.00</t>
  </si>
  <si>
    <t>116198.00</t>
  </si>
  <si>
    <t>107847.00</t>
  </si>
  <si>
    <t>107848.00</t>
  </si>
  <si>
    <t>99640.00</t>
  </si>
  <si>
    <t>99639.00</t>
  </si>
  <si>
    <t>95535.00</t>
  </si>
  <si>
    <t>91431.00</t>
  </si>
  <si>
    <t>87326.00</t>
  </si>
  <si>
    <t>83222.00</t>
  </si>
  <si>
    <t>-4104.00</t>
  </si>
  <si>
    <t>86948.10</t>
  </si>
  <si>
    <t>18-T</t>
  </si>
  <si>
    <t>7819469.00</t>
  </si>
  <si>
    <t>7128021.00</t>
  </si>
  <si>
    <t>6578929.00</t>
  </si>
  <si>
    <t>6566554.00</t>
  </si>
  <si>
    <t>7119973.00</t>
  </si>
  <si>
    <t>6674964.00</t>
  </si>
  <si>
    <t>6111367.00</t>
  </si>
  <si>
    <t>5597672.00</t>
  </si>
  <si>
    <t>5508934.00</t>
  </si>
  <si>
    <t>5580733.00</t>
  </si>
  <si>
    <t>4969966.00</t>
  </si>
  <si>
    <t>5299050.00</t>
  </si>
  <si>
    <t>4594758.00</t>
  </si>
  <si>
    <t>5172587.00</t>
  </si>
  <si>
    <t>5360009.00</t>
  </si>
  <si>
    <t>5433131.00</t>
  </si>
  <si>
    <t>5254831.00</t>
  </si>
  <si>
    <t>5855755.00</t>
  </si>
  <si>
    <t>5007636.00</t>
  </si>
  <si>
    <t>4668962.00</t>
  </si>
  <si>
    <t>5064322.00</t>
  </si>
  <si>
    <t>6370213.00</t>
  </si>
  <si>
    <t>6900051.00</t>
  </si>
  <si>
    <t>6899216.00</t>
  </si>
  <si>
    <t>6224383.00</t>
  </si>
  <si>
    <t>7070597.00</t>
  </si>
  <si>
    <t>6149577.00</t>
  </si>
  <si>
    <t>-921020.00</t>
  </si>
  <si>
    <t>5900638.84</t>
  </si>
  <si>
    <t>19-V</t>
  </si>
  <si>
    <t>11716265.00</t>
  </si>
  <si>
    <t>10663914.00</t>
  </si>
  <si>
    <t>10536499.00</t>
  </si>
  <si>
    <t>10624493.00</t>
  </si>
  <si>
    <t>10868078.00</t>
  </si>
  <si>
    <t>12131987.00</t>
  </si>
  <si>
    <t>11365248.00</t>
  </si>
  <si>
    <t>11566745.00</t>
  </si>
  <si>
    <t>11372569.00</t>
  </si>
  <si>
    <t>11581295.00</t>
  </si>
  <si>
    <t>11759330.00</t>
  </si>
  <si>
    <t>12589111.00</t>
  </si>
  <si>
    <t>11649515.00</t>
  </si>
  <si>
    <t>12189879.00</t>
  </si>
  <si>
    <t>11996716.00</t>
  </si>
  <si>
    <t>12543936.00</t>
  </si>
  <si>
    <t>12780709.00</t>
  </si>
  <si>
    <t>12277699.00</t>
  </si>
  <si>
    <t>11321122.00</t>
  </si>
  <si>
    <t>11320817.00</t>
  </si>
  <si>
    <t>11848393.00</t>
  </si>
  <si>
    <t>11712357.00</t>
  </si>
  <si>
    <t>11551495.00</t>
  </si>
  <si>
    <t>10822994.00</t>
  </si>
  <si>
    <t>12060070.00</t>
  </si>
  <si>
    <t>11105987.00</t>
  </si>
  <si>
    <t>11750276.00</t>
  </si>
  <si>
    <t>10843853.00</t>
  </si>
  <si>
    <t>-906423.00</t>
  </si>
  <si>
    <t>11570067.81</t>
  </si>
  <si>
    <t>20-S</t>
  </si>
  <si>
    <t>7745499.00</t>
  </si>
  <si>
    <t>7735311.00</t>
  </si>
  <si>
    <t>7730241.00</t>
  </si>
  <si>
    <t>7728833.00</t>
  </si>
  <si>
    <t>7690502.00</t>
  </si>
  <si>
    <t>7695927.00</t>
  </si>
  <si>
    <t>7689121.00</t>
  </si>
  <si>
    <t>7682750.00</t>
  </si>
  <si>
    <t>7680069.00</t>
  </si>
  <si>
    <t>7645125.00</t>
  </si>
  <si>
    <t>7639208.00</t>
  </si>
  <si>
    <t>7608618.00</t>
  </si>
  <si>
    <t>7596407.00</t>
  </si>
  <si>
    <t>7572661.00</t>
  </si>
  <si>
    <t>7567189.00</t>
  </si>
  <si>
    <t>7549471.00</t>
  </si>
  <si>
    <t>7536509.00</t>
  </si>
  <si>
    <t>7523335.00</t>
  </si>
  <si>
    <t>7516396.00</t>
  </si>
  <si>
    <t>7506227.00</t>
  </si>
  <si>
    <t>7496319.00</t>
  </si>
  <si>
    <t>7473317.00</t>
  </si>
  <si>
    <t>7455755.00</t>
  </si>
  <si>
    <t>7452529.00</t>
  </si>
  <si>
    <t>7445454.00</t>
  </si>
  <si>
    <t>7349967.00</t>
  </si>
  <si>
    <t>7350084.00</t>
  </si>
  <si>
    <t>117.00</t>
  </si>
  <si>
    <t>7577748.45</t>
  </si>
  <si>
    <t>21-Q</t>
  </si>
  <si>
    <t>162800.00</t>
  </si>
  <si>
    <t>22-2</t>
  </si>
  <si>
    <t>14160.00</t>
  </si>
  <si>
    <t>23-3</t>
  </si>
  <si>
    <t>166314.00</t>
  </si>
  <si>
    <t>134154.00</t>
  </si>
  <si>
    <t>135054.00</t>
  </si>
  <si>
    <t>144054.00</t>
  </si>
  <si>
    <t>137394.00</t>
  </si>
  <si>
    <t>122814.00</t>
  </si>
  <si>
    <t>222078.00</t>
  </si>
  <si>
    <t>99264.00</t>
  </si>
  <si>
    <t>137735.42</t>
  </si>
  <si>
    <t>24-4</t>
  </si>
  <si>
    <t>25-5</t>
  </si>
  <si>
    <t>26-6</t>
  </si>
  <si>
    <t>5398965.00</t>
  </si>
  <si>
    <t>4591081.00</t>
  </si>
  <si>
    <t>5038097.00</t>
  </si>
  <si>
    <t>4852401.00</t>
  </si>
  <si>
    <t>5103068.00</t>
  </si>
  <si>
    <t>4374055.00</t>
  </si>
  <si>
    <t>4478139.00</t>
  </si>
  <si>
    <t>4295089.00</t>
  </si>
  <si>
    <t>4902733.00</t>
  </si>
  <si>
    <t>5293446.00</t>
  </si>
  <si>
    <t>5111157.00</t>
  </si>
  <si>
    <t>5099226.00</t>
  </si>
  <si>
    <t>4379266.00</t>
  </si>
  <si>
    <t>4573522.00</t>
  </si>
  <si>
    <t>5233229.00</t>
  </si>
  <si>
    <t>5602406.00</t>
  </si>
  <si>
    <t>5305351.00</t>
  </si>
  <si>
    <t>5382422.00</t>
  </si>
  <si>
    <t>4647002.00</t>
  </si>
  <si>
    <t>5404569.00</t>
  </si>
  <si>
    <t>6162138.00</t>
  </si>
  <si>
    <t>6172526.00</t>
  </si>
  <si>
    <t>6123028.00</t>
  </si>
  <si>
    <t>5892385.00</t>
  </si>
  <si>
    <t>5133203.00</t>
  </si>
  <si>
    <t>5133786.00</t>
  </si>
  <si>
    <t>5189863.00</t>
  </si>
  <si>
    <t>5718016.00</t>
  </si>
  <si>
    <t>528153.00</t>
  </si>
  <si>
    <t>5099825.03</t>
  </si>
  <si>
    <t>27-7</t>
  </si>
  <si>
    <t>6036373.00</t>
  </si>
  <si>
    <t>5847493.00</t>
  </si>
  <si>
    <t>5537335.00</t>
  </si>
  <si>
    <t>5489655.00</t>
  </si>
  <si>
    <t>5460895.00</t>
  </si>
  <si>
    <t>5671133.00</t>
  </si>
  <si>
    <t>5590813.00</t>
  </si>
  <si>
    <t>5507773.00</t>
  </si>
  <si>
    <t>4957867.00</t>
  </si>
  <si>
    <t>4927127.00</t>
  </si>
  <si>
    <t>4987997.00</t>
  </si>
  <si>
    <t>5306606.00</t>
  </si>
  <si>
    <t>5231546.00</t>
  </si>
  <si>
    <t>5094586.00</t>
  </si>
  <si>
    <t>4504692.00</t>
  </si>
  <si>
    <t>4404061.00</t>
  </si>
  <si>
    <t>4341101.00</t>
  </si>
  <si>
    <t>5224141.00</t>
  </si>
  <si>
    <t>5156361.00</t>
  </si>
  <si>
    <t>5512221.00</t>
  </si>
  <si>
    <t>4694279.00</t>
  </si>
  <si>
    <t>5042139.00</t>
  </si>
  <si>
    <t>6192219.00</t>
  </si>
  <si>
    <t>6107379.00</t>
  </si>
  <si>
    <t>6044419.00</t>
  </si>
  <si>
    <t>6043279.00</t>
  </si>
  <si>
    <t>8910550.00</t>
  </si>
  <si>
    <t>2867271.00</t>
  </si>
  <si>
    <t>5478941.26</t>
  </si>
  <si>
    <t>AVGSR</t>
  </si>
  <si>
    <t>76.4</t>
  </si>
  <si>
    <t>71.4</t>
  </si>
  <si>
    <t>88.8</t>
  </si>
  <si>
    <t>81.8</t>
  </si>
  <si>
    <t>87.5</t>
  </si>
  <si>
    <t>90.9</t>
  </si>
  <si>
    <t>63.6</t>
  </si>
  <si>
    <t>66.6</t>
  </si>
  <si>
    <t>80</t>
  </si>
  <si>
    <t>85.7</t>
  </si>
  <si>
    <t>08-Z</t>
  </si>
  <si>
    <t>77.7</t>
  </si>
  <si>
    <t>90</t>
  </si>
  <si>
    <t>75</t>
  </si>
  <si>
    <t>91.6</t>
  </si>
  <si>
    <t>09-@</t>
  </si>
  <si>
    <t>10-M</t>
  </si>
  <si>
    <t>11-S</t>
  </si>
  <si>
    <t>81.2</t>
  </si>
  <si>
    <t>92.3</t>
  </si>
  <si>
    <t>96.3</t>
  </si>
  <si>
    <t>12-V</t>
  </si>
  <si>
    <t>94.9</t>
  </si>
  <si>
    <t>93.6</t>
  </si>
  <si>
    <t>93.1</t>
  </si>
  <si>
    <t>13-T</t>
  </si>
  <si>
    <t>90.5</t>
  </si>
  <si>
    <t>89.4</t>
  </si>
  <si>
    <t>82.4</t>
  </si>
  <si>
    <t>87</t>
  </si>
  <si>
    <t>91</t>
  </si>
  <si>
    <t>85.2</t>
  </si>
  <si>
    <t>88</t>
  </si>
  <si>
    <t>95.3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</si>
  <si>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</si>
  <si>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</si>
  <si>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</si>
  <si>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</si>
  <si>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</si>
  <si>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</si>
  <si>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</si>
  <si>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</si>
  <si>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</si>
  <si>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92.9</t>
  </si>
  <si>
    <t>89.5</t>
  </si>
  <si>
    <t>75.9</t>
  </si>
  <si>
    <t>83.2</t>
  </si>
  <si>
    <t>87.9</t>
  </si>
  <si>
    <t>88.1</t>
  </si>
  <si>
    <t>88.3</t>
  </si>
  <si>
    <t>92.4</t>
  </si>
  <si>
    <t>94.6</t>
  </si>
  <si>
    <t>IMPCD</t>
  </si>
  <si>
    <t>4</t>
  </si>
  <si>
    <t>ALL</t>
  </si>
  <si>
    <t>57.1</t>
  </si>
  <si>
    <t>62.5</t>
  </si>
  <si>
    <t>70</t>
  </si>
  <si>
    <t>86</t>
  </si>
  <si>
    <t>83.9</t>
  </si>
  <si>
    <t>89.3</t>
  </si>
  <si>
    <t>16-2</t>
  </si>
  <si>
    <t>17-3</t>
  </si>
  <si>
    <t>18-4</t>
  </si>
  <si>
    <t>19-5</t>
  </si>
  <si>
    <t>20-7</t>
  </si>
  <si>
    <t>21-6</t>
  </si>
  <si>
    <t>94.8</t>
  </si>
  <si>
    <t>84</t>
  </si>
  <si>
    <t>77.5</t>
  </si>
  <si>
    <t>85.1</t>
  </si>
  <si>
    <t>92.1</t>
  </si>
  <si>
    <t>SUMITEMS</t>
  </si>
  <si>
    <t>411.00</t>
  </si>
  <si>
    <t>299.00</t>
  </si>
  <si>
    <t>279.00</t>
  </si>
  <si>
    <t>231.00</t>
  </si>
  <si>
    <t>193.00</t>
  </si>
  <si>
    <t>257.00</t>
  </si>
  <si>
    <t>247.00</t>
  </si>
  <si>
    <t>284.00</t>
  </si>
  <si>
    <t>249.00</t>
  </si>
  <si>
    <t>229.00</t>
  </si>
  <si>
    <t>234.00</t>
  </si>
  <si>
    <t>264.00</t>
  </si>
  <si>
    <t>291.00</t>
  </si>
  <si>
    <t>270.00</t>
  </si>
  <si>
    <t>216.00</t>
  </si>
  <si>
    <t>162.00</t>
  </si>
  <si>
    <t>259.00</t>
  </si>
  <si>
    <t>287.00</t>
  </si>
  <si>
    <t>214.00</t>
  </si>
  <si>
    <t>154.00</t>
  </si>
  <si>
    <t>188.00</t>
  </si>
  <si>
    <t>131.00</t>
  </si>
  <si>
    <t>182.00</t>
  </si>
  <si>
    <t>6159</t>
  </si>
  <si>
    <t>73.00</t>
  </si>
  <si>
    <t>76.00</t>
  </si>
  <si>
    <t>66.00</t>
  </si>
  <si>
    <t>44.00</t>
  </si>
  <si>
    <t>68.00</t>
  </si>
  <si>
    <t>50.00</t>
  </si>
  <si>
    <t>67.00</t>
  </si>
  <si>
    <t>53.00</t>
  </si>
  <si>
    <t>110.00</t>
  </si>
  <si>
    <t>47.00</t>
  </si>
  <si>
    <t>21.00</t>
  </si>
  <si>
    <t>43.00</t>
  </si>
  <si>
    <t>59.00</t>
  </si>
  <si>
    <t>61.00</t>
  </si>
  <si>
    <t>34.00</t>
  </si>
  <si>
    <t>54.00</t>
  </si>
  <si>
    <t>29.00</t>
  </si>
  <si>
    <t>56.00</t>
  </si>
  <si>
    <t>40.00</t>
  </si>
  <si>
    <t>36.00</t>
  </si>
  <si>
    <t>32.00</t>
  </si>
  <si>
    <t>37.00</t>
  </si>
  <si>
    <t>27.00</t>
  </si>
  <si>
    <t>1284</t>
  </si>
  <si>
    <t>2.00</t>
  </si>
  <si>
    <t>1.00</t>
  </si>
  <si>
    <t>5</t>
  </si>
  <si>
    <t>4.00</t>
  </si>
  <si>
    <t>5.00</t>
  </si>
  <si>
    <t>34</t>
  </si>
  <si>
    <t>38.00</t>
  </si>
  <si>
    <t>19.00</t>
  </si>
  <si>
    <t>15.00</t>
  </si>
  <si>
    <t>7.00</t>
  </si>
  <si>
    <t>6.00</t>
  </si>
  <si>
    <t>12.00</t>
  </si>
  <si>
    <t>18.00</t>
  </si>
  <si>
    <t>8.00</t>
  </si>
  <si>
    <t>13.00</t>
  </si>
  <si>
    <t>3.00</t>
  </si>
  <si>
    <t>11.00</t>
  </si>
  <si>
    <t>10.00</t>
  </si>
  <si>
    <t>31.00</t>
  </si>
  <si>
    <t>309</t>
  </si>
  <si>
    <t>25.00</t>
  </si>
  <si>
    <t>9.00</t>
  </si>
  <si>
    <t>16.00</t>
  </si>
  <si>
    <t>119</t>
  </si>
  <si>
    <t>19</t>
  </si>
  <si>
    <t>12</t>
  </si>
  <si>
    <t>26.00</t>
  </si>
  <si>
    <t>23.00</t>
  </si>
  <si>
    <t>22.00</t>
  </si>
  <si>
    <t>14.00</t>
  </si>
  <si>
    <t>20.00</t>
  </si>
  <si>
    <t>394</t>
  </si>
  <si>
    <t>46.00</t>
  </si>
  <si>
    <t>35.00</t>
  </si>
  <si>
    <t>111.00</t>
  </si>
  <si>
    <t>45.00</t>
  </si>
  <si>
    <t>39.00</t>
  </si>
  <si>
    <t>48.00</t>
  </si>
  <si>
    <t>17.00</t>
  </si>
  <si>
    <t>806</t>
  </si>
  <si>
    <t>138892914.00</t>
  </si>
  <si>
    <t>135196457.00</t>
  </si>
  <si>
    <t>135923960.00</t>
  </si>
  <si>
    <t>136505720.00</t>
  </si>
  <si>
    <t>138166246.00</t>
  </si>
  <si>
    <t>140647269.00</t>
  </si>
  <si>
    <t>137517387.00</t>
  </si>
  <si>
    <t>137517353.00</t>
  </si>
  <si>
    <t>139720867.00</t>
  </si>
  <si>
    <t>138737464.00</t>
  </si>
  <si>
    <t>137222751.00</t>
  </si>
  <si>
    <t>139621462.00</t>
  </si>
  <si>
    <t>141253687.00</t>
  </si>
  <si>
    <t>138112809.00</t>
  </si>
  <si>
    <t>137772128.00</t>
  </si>
  <si>
    <t>138993056.00</t>
  </si>
  <si>
    <t>138403537.00</t>
  </si>
  <si>
    <t>142187139.00</t>
  </si>
  <si>
    <t>143773327.00</t>
  </si>
  <si>
    <t>141366344.00</t>
  </si>
  <si>
    <t>146382645.00</t>
  </si>
  <si>
    <t>148352264.00</t>
  </si>
  <si>
    <t>149956055.00</t>
  </si>
  <si>
    <t>154725189.00</t>
  </si>
  <si>
    <t>155289040.00</t>
  </si>
  <si>
    <t>152767329.00</t>
  </si>
  <si>
    <t>152757486.00</t>
  </si>
  <si>
    <t>153822861.00</t>
  </si>
  <si>
    <t>155408573.00</t>
  </si>
  <si>
    <t>142789434.58</t>
  </si>
  <si>
    <t>132027393.00</t>
  </si>
  <si>
    <t>127874719.00</t>
  </si>
  <si>
    <t>125207197.00</t>
  </si>
  <si>
    <t>124591275.00</t>
  </si>
  <si>
    <t>125184964.00</t>
  </si>
  <si>
    <t>125168631.00</t>
  </si>
  <si>
    <t>121876614.00</t>
  </si>
  <si>
    <t>121874377.00</t>
  </si>
  <si>
    <t>120647746.00</t>
  </si>
  <si>
    <t>118654547.00</t>
  </si>
  <si>
    <t>118290910.00</t>
  </si>
  <si>
    <t>118363245.00</t>
  </si>
  <si>
    <t>118463726.00</t>
  </si>
  <si>
    <t>115648836.00</t>
  </si>
  <si>
    <t>115633058.00</t>
  </si>
  <si>
    <t>115307555.00</t>
  </si>
  <si>
    <t>114050020.00</t>
  </si>
  <si>
    <t>112950690.00</t>
  </si>
  <si>
    <t>113717730.00</t>
  </si>
  <si>
    <t>114415589.00</t>
  </si>
  <si>
    <t>111936616.00</t>
  </si>
  <si>
    <t>111936361.00</t>
  </si>
  <si>
    <t>113676386.00</t>
  </si>
  <si>
    <t>113030584.00</t>
  </si>
  <si>
    <t>113937572.00</t>
  </si>
  <si>
    <t>115024199.00</t>
  </si>
  <si>
    <t>117932331.00</t>
  </si>
  <si>
    <t>115687646.00</t>
  </si>
  <si>
    <t>115506291.00</t>
  </si>
  <si>
    <t>116580722.00</t>
  </si>
  <si>
    <t>118093070.19</t>
  </si>
  <si>
    <t>32479922.00</t>
  </si>
  <si>
    <t>30884772.00</t>
  </si>
  <si>
    <t>31523052.00</t>
  </si>
  <si>
    <t>33054637.00</t>
  </si>
  <si>
    <t>33022740.00</t>
  </si>
  <si>
    <t>33331956.00</t>
  </si>
  <si>
    <t>32230564.00</t>
  </si>
  <si>
    <t>32228189.00</t>
  </si>
  <si>
    <t>32465691.00</t>
  </si>
  <si>
    <t>33380699.00</t>
  </si>
  <si>
    <t>32766730.00</t>
  </si>
  <si>
    <t>31998138.00</t>
  </si>
  <si>
    <t>33006588.00</t>
  </si>
  <si>
    <t>32131003.00</t>
  </si>
  <si>
    <t>32128768.00</t>
  </si>
  <si>
    <t>31472331.00</t>
  </si>
  <si>
    <t>31930227.00</t>
  </si>
  <si>
    <t>31019490.00</t>
  </si>
  <si>
    <t>32841228.00</t>
  </si>
  <si>
    <t>35343451.00</t>
  </si>
  <si>
    <t>34325069.00</t>
  </si>
  <si>
    <t>36990885.00</t>
  </si>
  <si>
    <t>36564968.00</t>
  </si>
  <si>
    <t>35424368.00</t>
  </si>
  <si>
    <t>34194929.00</t>
  </si>
  <si>
    <t>34106301.00</t>
  </si>
  <si>
    <t>33306645.00</t>
  </si>
  <si>
    <t>33306505.00</t>
  </si>
  <si>
    <t>34758352.00</t>
  </si>
  <si>
    <t>34863296.00</t>
  </si>
  <si>
    <t>33271179.45</t>
  </si>
  <si>
    <t>6366909.00</t>
  </si>
  <si>
    <t>6257863.00</t>
  </si>
  <si>
    <t>6204907.00</t>
  </si>
  <si>
    <t>6281464.00</t>
  </si>
  <si>
    <t>6358500.00</t>
  </si>
  <si>
    <t>6610499.00</t>
  </si>
  <si>
    <t>6577879.00</t>
  </si>
  <si>
    <t>6675950.00</t>
  </si>
  <si>
    <t>6736031.00</t>
  </si>
  <si>
    <t>6573815.00</t>
  </si>
  <si>
    <t>6621578.00</t>
  </si>
  <si>
    <t>6641068.00</t>
  </si>
  <si>
    <t>6642089.00</t>
  </si>
  <si>
    <t>6756792.00</t>
  </si>
  <si>
    <t>7564541.00</t>
  </si>
  <si>
    <t>7431245.00</t>
  </si>
  <si>
    <t>7578712.00</t>
  </si>
  <si>
    <t>7735075.00</t>
  </si>
  <si>
    <t>7751416.00</t>
  </si>
  <si>
    <t>7889500.00</t>
  </si>
  <si>
    <t>8160777.00</t>
  </si>
  <si>
    <t>8322531.00</t>
  </si>
  <si>
    <t>8347614.00</t>
  </si>
  <si>
    <t>7989629.00</t>
  </si>
  <si>
    <t>7997684.00</t>
  </si>
  <si>
    <t>8143002.00</t>
  </si>
  <si>
    <t>8404677.00</t>
  </si>
  <si>
    <t>7212606.94</t>
  </si>
  <si>
    <t>4969841.00</t>
  </si>
  <si>
    <t>4951501.00</t>
  </si>
  <si>
    <t>4930538.00</t>
  </si>
  <si>
    <t>4994977.00</t>
  </si>
  <si>
    <t>5369523.00</t>
  </si>
  <si>
    <t>5499558.00</t>
  </si>
  <si>
    <t>5496918.00</t>
  </si>
  <si>
    <t>5508889.00</t>
  </si>
  <si>
    <t>5411984.00</t>
  </si>
  <si>
    <t>5411799.00</t>
  </si>
  <si>
    <t>5371385.00</t>
  </si>
  <si>
    <t>5346119.00</t>
  </si>
  <si>
    <t>5175913.00</t>
  </si>
  <si>
    <t>5273934.00</t>
  </si>
  <si>
    <t>5201759.00</t>
  </si>
  <si>
    <t>5218757.00</t>
  </si>
  <si>
    <t>4372145.00</t>
  </si>
  <si>
    <t>4329586.00</t>
  </si>
  <si>
    <t>4305506.00</t>
  </si>
  <si>
    <t>4244835.00</t>
  </si>
  <si>
    <t>4288309.00</t>
  </si>
  <si>
    <t>4250361.00</t>
  </si>
  <si>
    <t>4247642.00</t>
  </si>
  <si>
    <t>4396610.00</t>
  </si>
  <si>
    <t>4647839.00</t>
  </si>
  <si>
    <t>4916042.45</t>
  </si>
  <si>
    <t>13377.00</t>
  </si>
  <si>
    <t>10316.00</t>
  </si>
  <si>
    <t>45231.00</t>
  </si>
  <si>
    <t>132239.00</t>
  </si>
  <si>
    <t>133519.00</t>
  </si>
  <si>
    <t>390443.00</t>
  </si>
  <si>
    <t>271607.00</t>
  </si>
  <si>
    <t>257764.00</t>
  </si>
  <si>
    <t>318190.00</t>
  </si>
  <si>
    <t>320212.00</t>
  </si>
  <si>
    <t>323344.00</t>
  </si>
  <si>
    <t>325438.00</t>
  </si>
  <si>
    <t>317860.00</t>
  </si>
  <si>
    <t>165290.00</t>
  </si>
  <si>
    <t>180548.00</t>
  </si>
  <si>
    <t>244566.00</t>
  </si>
  <si>
    <t>247118.00</t>
  </si>
  <si>
    <t>246453.00</t>
  </si>
  <si>
    <t>677169.00</t>
  </si>
  <si>
    <t>275597.00</t>
  </si>
  <si>
    <t>11798.00</t>
  </si>
  <si>
    <t>277746.16</t>
  </si>
  <si>
    <t>2037174.00</t>
  </si>
  <si>
    <t>2109175.00</t>
  </si>
  <si>
    <t>1977560.00</t>
  </si>
  <si>
    <t>1980285.00</t>
  </si>
  <si>
    <t>1999126.00</t>
  </si>
  <si>
    <t>2006048.00</t>
  </si>
  <si>
    <t>2006157.00</t>
  </si>
  <si>
    <t>2009455.00</t>
  </si>
  <si>
    <t>1949340.00</t>
  </si>
  <si>
    <t>1908869.00</t>
  </si>
  <si>
    <t>1911586.00</t>
  </si>
  <si>
    <t>1926628.00</t>
  </si>
  <si>
    <t>1931255.00</t>
  </si>
  <si>
    <t>1946702.00</t>
  </si>
  <si>
    <t>1937910.00</t>
  </si>
  <si>
    <t>1942205.00</t>
  </si>
  <si>
    <t>1944213.00</t>
  </si>
  <si>
    <t>1944268.00</t>
  </si>
  <si>
    <t>1951923.00</t>
  </si>
  <si>
    <t>1917382.00</t>
  </si>
  <si>
    <t>1931039.00</t>
  </si>
  <si>
    <t>1926899.00</t>
  </si>
  <si>
    <t>1927513.00</t>
  </si>
  <si>
    <t>1927571.00</t>
  </si>
  <si>
    <t>1897920.00</t>
  </si>
  <si>
    <t>1891092.00</t>
  </si>
  <si>
    <t>1953888.61</t>
  </si>
  <si>
    <t>M</t>
  </si>
  <si>
    <t>4300.00</t>
  </si>
  <si>
    <t>2169.00</t>
  </si>
  <si>
    <t>1560.00</t>
  </si>
  <si>
    <t>2551.90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</si>
  <si>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</si>
  <si>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</si>
  <si>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</si>
  <si>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</si>
  <si>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</si>
  <si>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</si>
  <si>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</si>
  <si>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</si>
  <si>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</si>
  <si>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</si>
  <si>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</si>
  <si>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</si>
  <si>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</si>
  <si>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</si>
  <si>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</si>
  <si>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</si>
  <si>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</si>
  <si>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</si>
  <si>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</si>
  <si>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</si>
  <si>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</si>
  <si>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</si>
  <si>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</si>
  <si>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</si>
  <si>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</si>
  <si>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</si>
  <si>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</si>
  <si>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</si>
  <si>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</si>
  <si>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303529843.00</t>
  </si>
  <si>
    <t>302224799.00</t>
  </si>
  <si>
    <t>305116846.00</t>
  </si>
  <si>
    <t>303670823.00</t>
  </si>
  <si>
    <t>165227363.52</t>
  </si>
  <si>
    <t>171806418.89</t>
  </si>
  <si>
    <t>168516892.00</t>
  </si>
  <si>
    <t>158651008.00</t>
  </si>
  <si>
    <t>175318749.00</t>
  </si>
  <si>
    <t>166984879.00</t>
  </si>
  <si>
    <t>5684437.16</t>
  </si>
  <si>
    <t>7322154.32</t>
  </si>
  <si>
    <t>6503296.00</t>
  </si>
  <si>
    <t>5317956.00</t>
  </si>
  <si>
    <t>6920313.00</t>
  </si>
  <si>
    <t>4773461.94</t>
  </si>
  <si>
    <t>4462656.46</t>
  </si>
  <si>
    <t>4618059.00</t>
  </si>
  <si>
    <t>4695532.00</t>
  </si>
  <si>
    <t>4160961.00</t>
  </si>
  <si>
    <t>4428247.00</t>
  </si>
  <si>
    <t>28706641.23</t>
  </si>
  <si>
    <t>26607421.00</t>
  </si>
  <si>
    <t>27657031.00</t>
  </si>
  <si>
    <t>26144769.00</t>
  </si>
  <si>
    <t>30327158.00</t>
  </si>
  <si>
    <t>28235964.00</t>
  </si>
  <si>
    <t>11976640.10</t>
  </si>
  <si>
    <t>12337838.93</t>
  </si>
  <si>
    <t>12157240.00</t>
  </si>
  <si>
    <t>8358564.00</t>
  </si>
  <si>
    <t>14672261.00</t>
  </si>
  <si>
    <t>11515413.00</t>
  </si>
  <si>
    <t>1497237.48</t>
  </si>
  <si>
    <t>1489814.86</t>
  </si>
  <si>
    <t>1493526.00</t>
  </si>
  <si>
    <t>1289077.00</t>
  </si>
  <si>
    <t>1374367.00</t>
  </si>
  <si>
    <t>1331722.00</t>
  </si>
  <si>
    <t>1654288.48</t>
  </si>
  <si>
    <t>2191549.54</t>
  </si>
  <si>
    <t>1922919.00</t>
  </si>
  <si>
    <t>1395237.00</t>
  </si>
  <si>
    <t>2518152.00</t>
  </si>
  <si>
    <t>1956695.00</t>
  </si>
  <si>
    <t>153232.84</t>
  </si>
  <si>
    <t>421797.29</t>
  </si>
  <si>
    <t>287515.00</t>
  </si>
  <si>
    <t>116058.00</t>
  </si>
  <si>
    <t>315128.00</t>
  </si>
  <si>
    <t>92028.65</t>
  </si>
  <si>
    <t>115688.50</t>
  </si>
  <si>
    <t>103859.00</t>
  </si>
  <si>
    <t>102712.00</t>
  </si>
  <si>
    <t>102662.00</t>
  </si>
  <si>
    <t>17-8</t>
  </si>
  <si>
    <t>6144143.10</t>
  </si>
  <si>
    <t>6624502.46</t>
  </si>
  <si>
    <t>6384323.00</t>
  </si>
  <si>
    <t>6589897.00</t>
  </si>
  <si>
    <t>7851229.00</t>
  </si>
  <si>
    <t>7220563.00</t>
  </si>
  <si>
    <t>10283834.97</t>
  </si>
  <si>
    <t>10074047.82</t>
  </si>
  <si>
    <t>10178942.00</t>
  </si>
  <si>
    <t>10038829.00</t>
  </si>
  <si>
    <t>11733146.00</t>
  </si>
  <si>
    <t>10885988.00</t>
  </si>
  <si>
    <t>7942536.90</t>
  </si>
  <si>
    <t>7788290.93</t>
  </si>
  <si>
    <t>7865414.00</t>
  </si>
  <si>
    <t>7730794.00</t>
  </si>
  <si>
    <t>7745653.00</t>
  </si>
  <si>
    <t>7738224.00</t>
  </si>
  <si>
    <t>133791.10</t>
  </si>
  <si>
    <t>178802.57</t>
  </si>
  <si>
    <t>156297.00</t>
  </si>
  <si>
    <t>158004.00</t>
  </si>
  <si>
    <t>162159.00</t>
  </si>
  <si>
    <t>5295736.90</t>
  </si>
  <si>
    <t>5008243.64</t>
  </si>
  <si>
    <t>5151991.00</t>
  </si>
  <si>
    <t>5577439.00</t>
  </si>
  <si>
    <t>5423970.00</t>
  </si>
  <si>
    <t>5500705.00</t>
  </si>
  <si>
    <t>4342640.74</t>
  </si>
  <si>
    <t>5185411.22</t>
  </si>
  <si>
    <t>4764026.00</t>
  </si>
  <si>
    <t>4840921.00</t>
  </si>
  <si>
    <t>5438647.00</t>
  </si>
  <si>
    <t>89.1</t>
  </si>
  <si>
    <t>94.3</t>
  </si>
  <si>
    <t>77.4</t>
  </si>
  <si>
    <t>87.6</t>
  </si>
  <si>
    <t>AVGITEMS</t>
  </si>
  <si>
    <t>6169</t>
  </si>
  <si>
    <t>3267</t>
  </si>
  <si>
    <t>4718</t>
  </si>
  <si>
    <t>1595</t>
  </si>
  <si>
    <t>819</t>
  </si>
  <si>
    <t>1207</t>
  </si>
  <si>
    <t>6</t>
  </si>
  <si>
    <t>22</t>
  </si>
  <si>
    <t>9</t>
  </si>
  <si>
    <t>16</t>
  </si>
  <si>
    <t>462</t>
  </si>
  <si>
    <t>258</t>
  </si>
  <si>
    <t>360</t>
  </si>
  <si>
    <t>253</t>
  </si>
  <si>
    <t>110</t>
  </si>
  <si>
    <t>182</t>
  </si>
  <si>
    <t>7</t>
  </si>
  <si>
    <t>37</t>
  </si>
  <si>
    <t>13</t>
  </si>
  <si>
    <t>25</t>
  </si>
  <si>
    <t>290</t>
  </si>
  <si>
    <t>226</t>
  </si>
  <si>
    <t>74</t>
  </si>
  <si>
    <t>81</t>
  </si>
  <si>
    <t>707</t>
  </si>
  <si>
    <t>411</t>
  </si>
  <si>
    <t>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</si>
</sst>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owardsheng/Desktop/Users/TEKAIHSU/AppData/Local/Microsoft/Windows/INetCache/Content.Outlook/KGGX7EAZ/&#38656;&#32102;&#26085;&#22577;&#26085;&#25512;&#31227;.xls" TargetMode="External"/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lexkuo/Desktop/02-Template_false.xlsx" TargetMode="External"/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30" activePane="bottomRight" state="frozen"/>
      <selection pane="bottomRight" activeCell="AM17" sqref="AI17:AM17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1</v>
      </c>
      <c r="B3" s="610"/>
      <c r="C3" s="611"/>
      <c r="D3" s="472" t="str">
        <f>YEAR(日期!C2)-1&amp;"/"&amp;MONTH(日期!C2)</f>
        <v>2025/3</v>
      </c>
      <c r="E3" s="472" t="str">
        <f>YEAR(日期!C2)&amp;"/"&amp;MONTH(日期!C2)</f>
        <v>2026/3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2026/03/01</v>
      </c>
      <c r="J3" s="490" t="str">
        <f>日期!D2</f>
        <v>2026/03/02</v>
      </c>
      <c r="K3" s="490" t="str">
        <f>日期!E2</f>
        <v>2026/03/03</v>
      </c>
      <c r="L3" s="490" t="str">
        <f>日期!F2</f>
        <v>2026/03/04</v>
      </c>
      <c r="M3" s="490" t="str">
        <f>日期!G2</f>
        <v>2026/03/05</v>
      </c>
      <c r="N3" s="490" t="str">
        <f>日期!H2</f>
        <v>2026/03/06</v>
      </c>
      <c r="O3" s="490" t="str">
        <f>日期!I2</f>
        <v>2026/03/07</v>
      </c>
      <c r="P3" s="490" t="str">
        <f>日期!J2</f>
        <v>2026/03/08</v>
      </c>
      <c r="Q3" s="490" t="str">
        <f>日期!K2</f>
        <v>2026/03/09</v>
      </c>
      <c r="R3" s="490" t="str">
        <f>日期!L2</f>
        <v>2026/03/10</v>
      </c>
      <c r="S3" s="490" t="str">
        <f>日期!M2</f>
        <v>2026/03/11</v>
      </c>
      <c r="T3" s="490" t="str">
        <f>日期!N2</f>
        <v>2026/03/12</v>
      </c>
      <c r="U3" s="490" t="str">
        <f>日期!O2</f>
        <v>2026/03/13</v>
      </c>
      <c r="V3" s="490" t="str">
        <f>日期!P2</f>
        <v>2026/03/14</v>
      </c>
      <c r="W3" s="490" t="str">
        <f>日期!Q2</f>
        <v>2026/03/15</v>
      </c>
      <c r="X3" s="490" t="str">
        <f>日期!R2</f>
        <v>2026/03/16</v>
      </c>
      <c r="Y3" s="490" t="str">
        <f>日期!S2</f>
        <v>2026/03/17</v>
      </c>
      <c r="Z3" s="490" t="str">
        <f>日期!T2</f>
        <v>2026/03/18</v>
      </c>
      <c r="AA3" s="490" t="str">
        <f>日期!U2</f>
        <v>2026/03/19</v>
      </c>
      <c r="AB3" s="490" t="str">
        <f>日期!V2</f>
        <v>2026/03/20</v>
      </c>
      <c r="AC3" s="490" t="str">
        <f>日期!W2</f>
        <v>2026/03/21</v>
      </c>
      <c r="AD3" s="490" t="str">
        <f>日期!X2</f>
        <v>2026/03/22</v>
      </c>
      <c r="AE3" s="490" t="str">
        <f>日期!Y2</f>
        <v>2026/03/23</v>
      </c>
      <c r="AF3" s="490" t="str">
        <f>日期!Z2</f>
        <v>2026/03/24</v>
      </c>
      <c r="AG3" s="490" t="str">
        <f>日期!AA2</f>
        <v>2026/03/25</v>
      </c>
      <c r="AH3" s="490" t="str">
        <f>日期!AB2</f>
        <v>2026/03/26</v>
      </c>
      <c r="AI3" s="490" t="str">
        <f>日期!AC2</f>
        <v>2026/03/27</v>
      </c>
      <c r="AJ3" s="490" t="str">
        <f>日期!AD2</f>
        <v>2026/03/28</v>
      </c>
      <c r="AK3" s="490" t="str">
        <f>日期!AE2</f>
        <v>2026/03/29</v>
      </c>
      <c r="AL3" s="490" t="str">
        <f>日期!AF2</f>
        <v>2026/03/30</v>
      </c>
      <c r="AM3" s="490" t="str">
        <f>日期!AG2</f>
        <v>2026/03/31</v>
      </c>
      <c r="AN3" s="565" t="s">
        <v>2</v>
      </c>
      <c r="AO3" s="607" t="s">
        <v>3</v>
      </c>
    </row>
    <row r="4" spans="1:44" s="14" customFormat="1" ht="21.4" customHeight="1" thickBot="1">
      <c r="A4" s="612"/>
      <c r="B4" s="613"/>
      <c r="C4" s="61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Sun</v>
      </c>
      <c r="J4" s="12" t="str">
        <f>日期!D3</f>
        <v>Mon</v>
      </c>
      <c r="K4" s="12" t="str">
        <f>日期!E3</f>
        <v>Tue</v>
      </c>
      <c r="L4" s="12" t="str">
        <f>日期!F3</f>
        <v>Wed</v>
      </c>
      <c r="M4" s="12" t="str">
        <f>日期!G3</f>
        <v>Thu</v>
      </c>
      <c r="N4" s="12" t="str">
        <f>日期!H3</f>
        <v>Fri</v>
      </c>
      <c r="O4" s="12" t="str">
        <f>日期!I3</f>
        <v>Sat</v>
      </c>
      <c r="P4" s="12" t="str">
        <f>日期!J3</f>
        <v>Sun</v>
      </c>
      <c r="Q4" s="12" t="str">
        <f>日期!K3</f>
        <v>Mon</v>
      </c>
      <c r="R4" s="12" t="str">
        <f>日期!L3</f>
        <v>Tue</v>
      </c>
      <c r="S4" s="12" t="str">
        <f>日期!M3</f>
        <v>Wed</v>
      </c>
      <c r="T4" s="12" t="str">
        <f>日期!N3</f>
        <v>Thu</v>
      </c>
      <c r="U4" s="12" t="str">
        <f>日期!O3</f>
        <v>Fri</v>
      </c>
      <c r="V4" s="12" t="str">
        <f>日期!P3</f>
        <v>Sat</v>
      </c>
      <c r="W4" s="12" t="str">
        <f>日期!Q3</f>
        <v>Sun</v>
      </c>
      <c r="X4" s="12" t="str">
        <f>日期!R3</f>
        <v>Mon</v>
      </c>
      <c r="Y4" s="12" t="str">
        <f>日期!S3</f>
        <v>Tue</v>
      </c>
      <c r="Z4" s="12" t="str">
        <f>日期!T3</f>
        <v>Wed</v>
      </c>
      <c r="AA4" s="12" t="str">
        <f>日期!U3</f>
        <v>Thu</v>
      </c>
      <c r="AB4" s="12" t="str">
        <f>日期!V3</f>
        <v>Fri</v>
      </c>
      <c r="AC4" s="12" t="str">
        <f>日期!W3</f>
        <v>Sat</v>
      </c>
      <c r="AD4" s="12" t="str">
        <f>日期!X3</f>
        <v>Sun</v>
      </c>
      <c r="AE4" s="12" t="str">
        <f>日期!Y3</f>
        <v>Mon</v>
      </c>
      <c r="AF4" s="12" t="str">
        <f>日期!Z3</f>
        <v>Tue</v>
      </c>
      <c r="AG4" s="12" t="str">
        <f>日期!AA3</f>
        <v>Wed</v>
      </c>
      <c r="AH4" s="12" t="str">
        <f>日期!AB3</f>
        <v>Thu</v>
      </c>
      <c r="AI4" s="12" t="str">
        <f>日期!AC3</f>
        <v>Fri</v>
      </c>
      <c r="AJ4" s="12" t="str">
        <f>日期!AD3</f>
        <v>Sat</v>
      </c>
      <c r="AK4" s="12" t="str">
        <f>日期!AE3</f>
        <v>Sun</v>
      </c>
      <c r="AL4" s="12" t="str">
        <f>日期!AF3</f>
        <v>Mon</v>
      </c>
      <c r="AM4" s="12" t="str">
        <f>日期!AG3</f>
        <v>Tue</v>
      </c>
      <c r="AN4" s="600"/>
      <c r="AO4" s="608"/>
      <c r="AP4" s="13"/>
      <c r="AQ4" s="13"/>
    </row>
    <row r="5" spans="1:44" s="18" customFormat="1" ht="21.95" customHeight="1">
      <c r="A5" s="615" t="s">
        <v>9</v>
      </c>
      <c r="B5" s="616"/>
      <c r="C5" s="617"/>
      <c r="D5" s="301">
        <f>D6+D13+D18+D26</f>
        <v>636214498.91999912</v>
      </c>
      <c r="E5" s="301">
        <f>E6+E13+E18+E26</f>
        <v>630617936.26633906</v>
      </c>
      <c r="F5" s="301">
        <f>F6+F13+F18+F26</f>
        <v>623442867.13977408</v>
      </c>
      <c r="G5" s="15">
        <f>G6+G13+G18+G26</f>
        <v>544907848</v>
      </c>
      <c r="H5" s="15">
        <f>H6+H13+H18+H26</f>
        <v>544482718</v>
      </c>
      <c r="I5" s="15">
        <f t="shared" ref="I5:AM5" si="0">I6+I13+I18+I26</f>
        <v>579282180</v>
      </c>
      <c r="J5" s="15">
        <f t="shared" si="0"/>
        <v>555510524</v>
      </c>
      <c r="K5" s="15">
        <f t="shared" si="0"/>
        <v>555296829</v>
      </c>
      <c r="L5" s="15">
        <f t="shared" si="0"/>
        <v>562720849</v>
      </c>
      <c r="M5" s="15">
        <f t="shared" si="0"/>
        <v>564647336</v>
      </c>
      <c r="N5" s="15">
        <f t="shared" si="0"/>
        <v>575933243</v>
      </c>
      <c r="O5" s="15">
        <f t="shared" si="0"/>
        <v>556737622</v>
      </c>
      <c r="P5" s="15">
        <f t="shared" si="0"/>
        <v>556732671</v>
      </c>
      <c r="Q5" s="15">
        <f t="shared" si="0"/>
        <v>557059478</v>
      </c>
      <c r="R5" s="15">
        <f t="shared" si="0"/>
        <v>557421289</v>
      </c>
      <c r="S5" s="15">
        <f t="shared" si="0"/>
        <v>557352601</v>
      </c>
      <c r="T5" s="15">
        <f t="shared" si="0"/>
        <v>560294930</v>
      </c>
      <c r="U5" s="15">
        <f t="shared" si="0"/>
        <v>567671400</v>
      </c>
      <c r="V5" s="15">
        <f t="shared" si="0"/>
        <v>550762447</v>
      </c>
      <c r="W5" s="15">
        <f t="shared" si="0"/>
        <v>550743719</v>
      </c>
      <c r="X5" s="15">
        <f t="shared" si="0"/>
        <v>548661113</v>
      </c>
      <c r="Y5" s="15">
        <f t="shared" si="0"/>
        <v>554848389</v>
      </c>
      <c r="Z5" s="15">
        <f t="shared" si="0"/>
        <v>555251939</v>
      </c>
      <c r="AA5" s="15">
        <f t="shared" si="0"/>
        <v>563984693</v>
      </c>
      <c r="AB5" s="15">
        <f t="shared" si="0"/>
        <v>574105556</v>
      </c>
      <c r="AC5" s="15">
        <f t="shared" si="0"/>
        <v>555082302</v>
      </c>
      <c r="AD5" s="15">
        <f t="shared" si="0"/>
        <v>555036631</v>
      </c>
      <c r="AE5" s="15">
        <f t="shared" si="0"/>
        <v>567206854</v>
      </c>
      <c r="AF5" s="15">
        <f t="shared" si="0"/>
        <v>575859243</v>
      </c>
      <c r="AG5" s="15">
        <f t="shared" si="0"/>
        <v>583680279</v>
      </c>
      <c r="AH5" s="15">
        <f t="shared" si="0"/>
        <v>591907668</v>
      </c>
      <c r="AI5" s="15">
        <f t="shared" si="0"/>
        <v>606981370</v>
      </c>
      <c r="AJ5" s="15">
        <f t="shared" si="0"/>
        <v>587907935</v>
      </c>
      <c r="AK5" s="15">
        <f t="shared" si="0"/>
        <v>587898535</v>
      </c>
      <c r="AL5" s="15">
        <f t="shared" si="0"/>
        <v>592809537</v>
      </c>
      <c r="AM5" s="15">
        <f t="shared" si="0"/>
        <v>599720797</v>
      </c>
      <c r="AN5" s="487">
        <f>AN6+AN13+AN18+AN26</f>
        <v>6911260</v>
      </c>
      <c r="AO5" s="238">
        <f>AO6+AO13+AO18+AO26</f>
        <v>568035805.13999999</v>
      </c>
      <c r="AP5" s="16">
        <f t="shared" ref="AP5:AP13" si="1">AJ5/10000</f>
        <v>58790.7935</v>
      </c>
      <c r="AQ5" s="17">
        <f t="shared" ref="AQ5:AQ13" si="2">AO5/10000</f>
        <v>56803.580514000001</v>
      </c>
    </row>
    <row r="6" spans="1:44" s="14" customFormat="1" ht="21.95" customHeight="1">
      <c r="A6" s="19"/>
      <c r="B6" s="618" t="s">
        <v>10</v>
      </c>
      <c r="C6" s="619"/>
      <c r="D6" s="287">
        <f t="shared" ref="D6:I6" si="3">SUM(D7:D12)</f>
        <v>348523432.14000005</v>
      </c>
      <c r="E6" s="287">
        <f t="shared" si="3"/>
        <v>338678493.28831357</v>
      </c>
      <c r="F6" s="287">
        <f t="shared" si="3"/>
        <v>341850514.97470051</v>
      </c>
      <c r="G6" s="20">
        <f>SUM(G7:G12)</f>
        <v>354465469</v>
      </c>
      <c r="H6" s="20">
        <f t="shared" si="3"/>
        <v>354770760</v>
      </c>
      <c r="I6" s="20">
        <f t="shared" si="3"/>
        <v>360925593</v>
      </c>
      <c r="J6" s="20">
        <f>SUM(J7:J12)</f>
        <v>342150743</v>
      </c>
      <c r="K6" s="20">
        <f>SUM(K7:K12)</f>
        <v>342362572</v>
      </c>
      <c r="L6" s="20">
        <f t="shared" ref="L6:AO6" si="4">SUM(L7:L12)</f>
        <v>347908586</v>
      </c>
      <c r="M6" s="20">
        <f t="shared" si="4"/>
        <v>348718218</v>
      </c>
      <c r="N6" s="20">
        <f t="shared" si="4"/>
        <v>354802433</v>
      </c>
      <c r="O6" s="20">
        <f t="shared" si="4"/>
        <v>339151273</v>
      </c>
      <c r="P6" s="20">
        <f t="shared" si="4"/>
        <v>339146322</v>
      </c>
      <c r="Q6" s="20">
        <f t="shared" si="4"/>
        <v>338688427</v>
      </c>
      <c r="R6" s="20">
        <f t="shared" si="4"/>
        <v>340135403</v>
      </c>
      <c r="S6" s="20">
        <f t="shared" si="4"/>
        <v>339446541</v>
      </c>
      <c r="T6" s="20">
        <f t="shared" si="4"/>
        <v>341916115</v>
      </c>
      <c r="U6" s="20">
        <f t="shared" si="4"/>
        <v>346250080</v>
      </c>
      <c r="V6" s="20">
        <f t="shared" si="4"/>
        <v>334201235</v>
      </c>
      <c r="W6" s="20">
        <f t="shared" si="4"/>
        <v>334182507</v>
      </c>
      <c r="X6" s="20">
        <f t="shared" si="4"/>
        <v>328823870</v>
      </c>
      <c r="Y6" s="20">
        <f t="shared" si="4"/>
        <v>333064563</v>
      </c>
      <c r="Z6" s="20">
        <f t="shared" si="4"/>
        <v>330281130</v>
      </c>
      <c r="AA6" s="20">
        <f t="shared" si="4"/>
        <v>336779621</v>
      </c>
      <c r="AB6" s="20">
        <f t="shared" si="4"/>
        <v>343858722</v>
      </c>
      <c r="AC6" s="20">
        <f t="shared" si="4"/>
        <v>329282391</v>
      </c>
      <c r="AD6" s="20">
        <f t="shared" si="4"/>
        <v>329278550</v>
      </c>
      <c r="AE6" s="20">
        <f t="shared" si="4"/>
        <v>338915135</v>
      </c>
      <c r="AF6" s="20">
        <f t="shared" si="4"/>
        <v>345330464</v>
      </c>
      <c r="AG6" s="20">
        <f t="shared" si="4"/>
        <v>348001778</v>
      </c>
      <c r="AH6" s="20">
        <f t="shared" si="4"/>
        <v>351502278</v>
      </c>
      <c r="AI6" s="20">
        <f t="shared" si="4"/>
        <v>364476575</v>
      </c>
      <c r="AJ6" s="20">
        <f t="shared" si="4"/>
        <v>350612080</v>
      </c>
      <c r="AK6" s="20">
        <f t="shared" si="4"/>
        <v>350602097</v>
      </c>
      <c r="AL6" s="20">
        <f t="shared" si="4"/>
        <v>352137221</v>
      </c>
      <c r="AM6" s="20">
        <f t="shared" si="4"/>
        <v>357763091</v>
      </c>
      <c r="AN6" s="488">
        <f t="shared" si="4"/>
        <v>5625870</v>
      </c>
      <c r="AO6" s="21">
        <f t="shared" si="4"/>
        <v>343248245.62</v>
      </c>
      <c r="AP6" s="16">
        <f t="shared" si="1"/>
        <v>35061.207999999999</v>
      </c>
      <c r="AQ6" s="17">
        <f t="shared" si="2"/>
        <v>34324.824562000002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303547104.61000001</v>
      </c>
      <c r="E7" s="309">
        <f>HLOOKUP(MONTH(日期!$C$2),當年目標設定!$D$1:$O$33,5,TRUE)</f>
        <v>287883810.96025646</v>
      </c>
      <c r="F7" s="308">
        <f>HLOOKUP(MONTH(日期!$C$2),當年目標設定!$R$1:$AC$33,5,TRUE)</f>
        <v>288783039.41397274</v>
      </c>
      <c r="G7" s="308">
        <f>當年月推移!P5</f>
        <v>303529843</v>
      </c>
      <c r="H7" s="308">
        <f>當年月推移!P39</f>
        <v>303670823</v>
      </c>
      <c r="I7" s="27">
        <f>VALUE(庫存金額!C2)</f>
        <v>303400229</v>
      </c>
      <c r="J7" s="27">
        <f>VALUE(庫存金額!D2)</f>
        <v>293955948</v>
      </c>
      <c r="K7" s="27">
        <f>VALUE(庫存金額!E2)</f>
        <v>292654209</v>
      </c>
      <c r="L7" s="27">
        <f>VALUE(庫存金額!F2)</f>
        <v>294151632</v>
      </c>
      <c r="M7" s="27">
        <f>VALUE(庫存金額!G2)</f>
        <v>296373950</v>
      </c>
      <c r="N7" s="27">
        <f>VALUE(庫存金額!H2)</f>
        <v>299147856</v>
      </c>
      <c r="O7" s="27">
        <f>VALUE(庫存金額!I2)</f>
        <v>291624565</v>
      </c>
      <c r="P7" s="27">
        <f>VALUE(庫存金額!J2)</f>
        <v>291619919</v>
      </c>
      <c r="Q7" s="27">
        <f>VALUE(庫存金額!K2)</f>
        <v>292834304</v>
      </c>
      <c r="R7" s="27">
        <f>VALUE(庫存金額!L2)</f>
        <v>290772710</v>
      </c>
      <c r="S7" s="27">
        <f>VALUE(庫存金額!M2)</f>
        <v>288280391</v>
      </c>
      <c r="T7" s="27">
        <f>VALUE(庫存金額!N2)</f>
        <v>289982845</v>
      </c>
      <c r="U7" s="27">
        <f>VALUE(庫存金額!O2)</f>
        <v>292724001</v>
      </c>
      <c r="V7" s="27">
        <f>VALUE(庫存金額!P2)</f>
        <v>285892648</v>
      </c>
      <c r="W7" s="27">
        <f>VALUE(庫存金額!Q2)</f>
        <v>285874635</v>
      </c>
      <c r="X7" s="27">
        <f>VALUE(庫存金額!R2)</f>
        <v>284552014</v>
      </c>
      <c r="Y7" s="27">
        <f>VALUE(庫存金額!S2)</f>
        <v>284973303</v>
      </c>
      <c r="Z7" s="27">
        <f>VALUE(庫存金額!T2)</f>
        <v>282373717</v>
      </c>
      <c r="AA7" s="27">
        <f>VALUE(庫存金額!U2)</f>
        <v>288746097</v>
      </c>
      <c r="AB7" s="27">
        <f>VALUE(庫存金額!V2)</f>
        <v>293532367</v>
      </c>
      <c r="AC7" s="27">
        <f>VALUE(庫存金額!W2)</f>
        <v>287628029</v>
      </c>
      <c r="AD7" s="27">
        <f>VALUE(庫存金額!X2)</f>
        <v>287627774</v>
      </c>
      <c r="AE7" s="27">
        <f>VALUE(庫存金額!Y2)</f>
        <v>297049916</v>
      </c>
      <c r="AF7" s="27">
        <f>VALUE(庫存金額!Z2)</f>
        <v>297947816</v>
      </c>
      <c r="AG7" s="27">
        <f>VALUE(庫存金額!AA2)</f>
        <v>299317995</v>
      </c>
      <c r="AH7" s="27">
        <f>VALUE(庫存金額!AB2)</f>
        <v>303944317</v>
      </c>
      <c r="AI7" s="27">
        <f>VALUE(庫存金額!AC2)</f>
        <v>307327672</v>
      </c>
      <c r="AJ7" s="27">
        <f>VALUE(庫存金額!AD2)</f>
        <v>301761620</v>
      </c>
      <c r="AK7" s="27">
        <f>VALUE(庫存金額!AE2)</f>
        <v>301751637</v>
      </c>
      <c r="AL7" s="27">
        <f>VALUE(庫存金額!AF2)</f>
        <v>304087504</v>
      </c>
      <c r="AM7" s="27">
        <f>VALUE(庫存金額!AG2)</f>
        <v>306852591</v>
      </c>
      <c r="AN7" s="27">
        <f>VALUE(庫存金額!AH2)</f>
        <v>2765087</v>
      </c>
      <c r="AO7" s="27">
        <f>VALUE(庫存金額!AI2)</f>
        <v>294153684.23000002</v>
      </c>
      <c r="AP7" s="16">
        <f t="shared" si="1"/>
        <v>30176.162</v>
      </c>
      <c r="AQ7" s="17">
        <f t="shared" si="2"/>
        <v>29415.368423000004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6022622.2300000004</v>
      </c>
      <c r="E8" s="309">
        <f>HLOOKUP(MONTH(日期!$C$2),當年目標設定!$D$1:$O$33,6,TRUE)</f>
        <v>6391216.4075000007</v>
      </c>
      <c r="F8" s="308">
        <f>HLOOKUP(MONTH(日期!$C$2),當年目標設定!$R$1:$AC$33,6,TRUE)</f>
        <v>6722759.5137499999</v>
      </c>
      <c r="G8" s="308">
        <f>當年月推移!$P6</f>
        <v>6503296</v>
      </c>
      <c r="H8" s="308">
        <f>當年月推移!P40</f>
        <v>6920313</v>
      </c>
      <c r="I8" s="27">
        <f>VALUE(庫存金額!C4)</f>
        <v>8522669</v>
      </c>
      <c r="J8" s="27">
        <f>VALUE(庫存金額!D4)</f>
        <v>5925064</v>
      </c>
      <c r="K8" s="27">
        <f>VALUE(庫存金額!E4)</f>
        <v>5665331</v>
      </c>
      <c r="L8" s="27">
        <f>VALUE(庫存金額!F4)</f>
        <v>7654105</v>
      </c>
      <c r="M8" s="27">
        <f>VALUE(庫存金額!G4)</f>
        <v>6337641</v>
      </c>
      <c r="N8" s="27">
        <f>VALUE(庫存金額!H4)</f>
        <v>6524835</v>
      </c>
      <c r="O8" s="27">
        <f>VALUE(庫存金額!I4)</f>
        <v>4981566</v>
      </c>
      <c r="P8" s="27">
        <f>VALUE(庫存金額!J4)</f>
        <v>4981566</v>
      </c>
      <c r="Q8" s="27">
        <f>VALUE(庫存金額!K4)</f>
        <v>4756785</v>
      </c>
      <c r="R8" s="27">
        <f>VALUE(庫存金額!L4)</f>
        <v>4664845</v>
      </c>
      <c r="S8" s="27">
        <f>VALUE(庫存金額!M4)</f>
        <v>4274137</v>
      </c>
      <c r="T8" s="27">
        <f>VALUE(庫存金額!N4)</f>
        <v>5283899</v>
      </c>
      <c r="U8" s="27">
        <f>VALUE(庫存金額!O4)</f>
        <v>7136453</v>
      </c>
      <c r="V8" s="27">
        <f>VALUE(庫存金額!P4)</f>
        <v>5983401</v>
      </c>
      <c r="W8" s="27">
        <f>VALUE(庫存金額!Q4)</f>
        <v>5983401</v>
      </c>
      <c r="X8" s="27">
        <f>VALUE(庫存金額!R4)</f>
        <v>4221091</v>
      </c>
      <c r="Y8" s="27">
        <f>VALUE(庫存金額!S4)</f>
        <v>5170446</v>
      </c>
      <c r="Z8" s="27">
        <f>VALUE(庫存金額!T4)</f>
        <v>5071265</v>
      </c>
      <c r="AA8" s="27">
        <f>VALUE(庫存金額!U4)</f>
        <v>5604683</v>
      </c>
      <c r="AB8" s="27">
        <f>VALUE(庫存金額!V4)</f>
        <v>7156428</v>
      </c>
      <c r="AC8" s="27">
        <f>VALUE(庫存金額!W4)</f>
        <v>5226255</v>
      </c>
      <c r="AD8" s="27">
        <f>VALUE(庫存金額!X4)</f>
        <v>5226255</v>
      </c>
      <c r="AE8" s="27">
        <f>VALUE(庫存金額!Y4)</f>
        <v>4206860</v>
      </c>
      <c r="AF8" s="27">
        <f>VALUE(庫存金額!Z4)</f>
        <v>5114370</v>
      </c>
      <c r="AG8" s="27">
        <f>VALUE(庫存金額!AA4)</f>
        <v>5625847</v>
      </c>
      <c r="AH8" s="27">
        <f>VALUE(庫存金額!AB4)</f>
        <v>5574009</v>
      </c>
      <c r="AI8" s="27">
        <f>VALUE(庫存金額!AC4)</f>
        <v>6885068</v>
      </c>
      <c r="AJ8" s="27">
        <f>VALUE(庫存金額!AD4)</f>
        <v>4981190</v>
      </c>
      <c r="AK8" s="27">
        <f>VALUE(庫存金額!AE4)</f>
        <v>4981190</v>
      </c>
      <c r="AL8" s="27">
        <f>VALUE(庫存金額!AF4)</f>
        <v>3591540</v>
      </c>
      <c r="AM8" s="27">
        <f>VALUE(庫存金額!AG4)</f>
        <v>7237880</v>
      </c>
      <c r="AN8" s="27">
        <f>VALUE(庫存金額!AH4)</f>
        <v>3646340</v>
      </c>
      <c r="AO8" s="27">
        <f>VALUE(庫存金額!AI4)</f>
        <v>5630647.5800000001</v>
      </c>
      <c r="AP8" s="16">
        <f t="shared" si="1"/>
        <v>498.11900000000003</v>
      </c>
      <c r="AQ8" s="17">
        <f t="shared" si="2"/>
        <v>563.06475799999998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7939466.9400000004</v>
      </c>
      <c r="E9" s="309">
        <f>HLOOKUP(MONTH(日期!$C$2),當年目標設定!$D$1:$O$33,7,TRUE)</f>
        <v>8500390.1475000009</v>
      </c>
      <c r="F9" s="308">
        <f>HLOOKUP(MONTH(日期!$C$2),當年目標設定!$R$1:$AC$33,7,TRUE)</f>
        <v>9739060.875</v>
      </c>
      <c r="G9" s="308">
        <f>當年月推移!$P7</f>
        <v>4618059</v>
      </c>
      <c r="H9" s="308">
        <f>當年月推移!P41</f>
        <v>4428247</v>
      </c>
      <c r="I9" s="27">
        <f>VALUE(庫存金額!C5)</f>
        <v>4159997</v>
      </c>
      <c r="J9" s="27">
        <f>VALUE(庫存金額!D5)</f>
        <v>4043374</v>
      </c>
      <c r="K9" s="27">
        <f>VALUE(庫存金額!E5)</f>
        <v>3976853</v>
      </c>
      <c r="L9" s="27">
        <f>VALUE(庫存金額!F5)</f>
        <v>4073971</v>
      </c>
      <c r="M9" s="27">
        <f>VALUE(庫存金額!G5)</f>
        <v>4012688</v>
      </c>
      <c r="N9" s="27">
        <f>VALUE(庫存金額!H5)</f>
        <v>4166977</v>
      </c>
      <c r="O9" s="27">
        <f>VALUE(庫存金額!I5)</f>
        <v>4131668</v>
      </c>
      <c r="P9" s="27">
        <f>VALUE(庫存金額!J5)</f>
        <v>4131668</v>
      </c>
      <c r="Q9" s="27">
        <f>VALUE(庫存金額!K5)</f>
        <v>4263222</v>
      </c>
      <c r="R9" s="27">
        <f>VALUE(庫存金額!L5)</f>
        <v>4304961</v>
      </c>
      <c r="S9" s="27">
        <f>VALUE(庫存金額!M5)</f>
        <v>4314409</v>
      </c>
      <c r="T9" s="27">
        <f>VALUE(庫存金額!N5)</f>
        <v>4271612</v>
      </c>
      <c r="U9" s="27">
        <f>VALUE(庫存金額!O5)</f>
        <v>4216086</v>
      </c>
      <c r="V9" s="27">
        <f>VALUE(庫存金額!P5)</f>
        <v>4192957</v>
      </c>
      <c r="W9" s="27">
        <f>VALUE(庫存金額!Q5)</f>
        <v>4192957</v>
      </c>
      <c r="X9" s="27">
        <f>VALUE(庫存金額!R5)</f>
        <v>4147344</v>
      </c>
      <c r="Y9" s="27">
        <f>VALUE(庫存金額!S5)</f>
        <v>4065604</v>
      </c>
      <c r="Z9" s="27">
        <f>VALUE(庫存金額!T5)</f>
        <v>4030887</v>
      </c>
      <c r="AA9" s="27">
        <f>VALUE(庫存金額!U5)</f>
        <v>4192464</v>
      </c>
      <c r="AB9" s="27">
        <f>VALUE(庫存金額!V5)</f>
        <v>4034177</v>
      </c>
      <c r="AC9" s="27">
        <f>VALUE(庫存金額!W5)</f>
        <v>3947502</v>
      </c>
      <c r="AD9" s="27">
        <f>VALUE(庫存金額!X5)</f>
        <v>3947502</v>
      </c>
      <c r="AE9" s="27">
        <f>VALUE(庫存金額!Y5)</f>
        <v>4234682</v>
      </c>
      <c r="AF9" s="27">
        <f>VALUE(庫存金額!Z5)</f>
        <v>4384165</v>
      </c>
      <c r="AG9" s="27">
        <f>VALUE(庫存金額!AA5)</f>
        <v>4931273</v>
      </c>
      <c r="AH9" s="27">
        <f>VALUE(庫存金額!AB5)</f>
        <v>4338798</v>
      </c>
      <c r="AI9" s="27">
        <f>VALUE(庫存金額!AC5)</f>
        <v>4137323</v>
      </c>
      <c r="AJ9" s="27">
        <f>VALUE(庫存金額!AD5)</f>
        <v>4124948</v>
      </c>
      <c r="AK9" s="27">
        <f>VALUE(庫存金額!AE5)</f>
        <v>4124948</v>
      </c>
      <c r="AL9" s="27">
        <f>VALUE(庫存金額!AF5)</f>
        <v>4067083</v>
      </c>
      <c r="AM9" s="27">
        <f>VALUE(庫存金額!AG5)</f>
        <v>4257263</v>
      </c>
      <c r="AN9" s="27">
        <f>VALUE(庫存金額!AH5)</f>
        <v>190180</v>
      </c>
      <c r="AO9" s="27">
        <f>VALUE(庫存金額!AI5)</f>
        <v>4174818.16</v>
      </c>
      <c r="AP9" s="16">
        <f t="shared" si="1"/>
        <v>412.4948</v>
      </c>
      <c r="AQ9" s="17">
        <f t="shared" si="2"/>
        <v>417.48181600000004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19671570.68</v>
      </c>
      <c r="E10" s="309">
        <f>HLOOKUP(MONTH(日期!$C$2),當年目標設定!$D$1:$O$33,8,TRUE)</f>
        <v>23708506.347156249</v>
      </c>
      <c r="F10" s="308">
        <f>HLOOKUP(MONTH(日期!$C$2),當年目標設定!$R$1:$AC$33,8,TRUE)</f>
        <v>24771543.682311624</v>
      </c>
      <c r="G10" s="308">
        <f>當年月推移!$P8</f>
        <v>27657031</v>
      </c>
      <c r="H10" s="308">
        <f>當年月推移!P42</f>
        <v>28235964</v>
      </c>
      <c r="I10" s="27">
        <f>VALUE(庫存金額!C6)</f>
        <v>30267805</v>
      </c>
      <c r="J10" s="27">
        <f>VALUE(庫存金額!D6)</f>
        <v>26370233</v>
      </c>
      <c r="K10" s="27">
        <f>VALUE(庫存金額!E6)</f>
        <v>28135445</v>
      </c>
      <c r="L10" s="27">
        <f>VALUE(庫存金額!F6)</f>
        <v>27004642</v>
      </c>
      <c r="M10" s="27">
        <f>VALUE(庫存金額!G6)</f>
        <v>27947546</v>
      </c>
      <c r="N10" s="27">
        <f>VALUE(庫存金額!H6)</f>
        <v>30292412</v>
      </c>
      <c r="O10" s="27">
        <f>VALUE(庫存金額!I6)</f>
        <v>26991462</v>
      </c>
      <c r="P10" s="27">
        <f>VALUE(庫存金額!J6)</f>
        <v>26991157</v>
      </c>
      <c r="Q10" s="27">
        <f>VALUE(庫存金額!K6)</f>
        <v>26114898</v>
      </c>
      <c r="R10" s="27">
        <f>VALUE(庫存金額!L6)</f>
        <v>29335971</v>
      </c>
      <c r="S10" s="27">
        <f>VALUE(庫存金額!M6)</f>
        <v>30043572</v>
      </c>
      <c r="T10" s="27">
        <f>VALUE(庫存金額!N6)</f>
        <v>28665556</v>
      </c>
      <c r="U10" s="27">
        <f>VALUE(庫存金額!O6)</f>
        <v>30892927</v>
      </c>
      <c r="V10" s="27">
        <f>VALUE(庫存金額!P6)</f>
        <v>27750639</v>
      </c>
      <c r="W10" s="27">
        <f>VALUE(庫存金額!Q6)</f>
        <v>27749924</v>
      </c>
      <c r="X10" s="27">
        <f>VALUE(庫存金額!R6)</f>
        <v>26632472</v>
      </c>
      <c r="Y10" s="27">
        <f>VALUE(庫存金額!S6)</f>
        <v>27951071</v>
      </c>
      <c r="Z10" s="27">
        <f>VALUE(庫存金額!T6)</f>
        <v>27033776</v>
      </c>
      <c r="AA10" s="27">
        <f>VALUE(庫存金額!U6)</f>
        <v>27073978</v>
      </c>
      <c r="AB10" s="27">
        <f>VALUE(庫存金額!V6)</f>
        <v>27149639</v>
      </c>
      <c r="AC10" s="27">
        <f>VALUE(庫存金額!W6)</f>
        <v>24181766</v>
      </c>
      <c r="AD10" s="27">
        <f>VALUE(庫存金額!X6)</f>
        <v>24178180</v>
      </c>
      <c r="AE10" s="27">
        <f>VALUE(庫存金額!Y6)</f>
        <v>24867634</v>
      </c>
      <c r="AF10" s="27">
        <f>VALUE(庫存金額!Z6)</f>
        <v>28771432</v>
      </c>
      <c r="AG10" s="27">
        <f>VALUE(庫存金額!AA6)</f>
        <v>27103047</v>
      </c>
      <c r="AH10" s="27">
        <f>VALUE(庫存金額!AB6)</f>
        <v>25681606</v>
      </c>
      <c r="AI10" s="27">
        <f>VALUE(庫存金額!AC6)</f>
        <v>32189603</v>
      </c>
      <c r="AJ10" s="27">
        <f>VALUE(庫存金額!AD6)</f>
        <v>29339262</v>
      </c>
      <c r="AK10" s="27">
        <f>VALUE(庫存金額!AE6)</f>
        <v>29339262</v>
      </c>
      <c r="AL10" s="27">
        <f>VALUE(庫存金額!AF6)</f>
        <v>29373058</v>
      </c>
      <c r="AM10" s="27">
        <f>VALUE(庫存金額!AG6)</f>
        <v>27847957</v>
      </c>
      <c r="AN10" s="27">
        <f>VALUE(庫存金額!AH6)</f>
        <v>-1525101</v>
      </c>
      <c r="AO10" s="27">
        <f>VALUE(庫存金額!AI6)</f>
        <v>27847352.649999999</v>
      </c>
      <c r="AP10" s="16">
        <f t="shared" si="1"/>
        <v>2933.9261999999999</v>
      </c>
      <c r="AQ10" s="17">
        <f t="shared" si="2"/>
        <v>2784.7352649999998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11342667.68</v>
      </c>
      <c r="E12" s="309">
        <f>HLOOKUP(MONTH(日期!$C$2),當年目標設定!$D$1:$O$33,10,TRUE)</f>
        <v>12194569.425900873</v>
      </c>
      <c r="F12" s="308">
        <f>HLOOKUP(MONTH(日期!$C$2),當年目標設定!$R$1:$AC$33,10,TRUE)</f>
        <v>11834111.489666164</v>
      </c>
      <c r="G12" s="308">
        <f>當年月推移!$P10</f>
        <v>12157240</v>
      </c>
      <c r="H12" s="308">
        <f>當年月推移!P44</f>
        <v>11515413</v>
      </c>
      <c r="I12" s="27">
        <f>VALUE(庫存金額!C8)</f>
        <v>14574893</v>
      </c>
      <c r="J12" s="27">
        <f>VALUE(庫存金額!D8)</f>
        <v>11856124</v>
      </c>
      <c r="K12" s="27">
        <f>VALUE(庫存金額!E8)</f>
        <v>11930734</v>
      </c>
      <c r="L12" s="27">
        <f>VALUE(庫存金額!F8)</f>
        <v>15024236</v>
      </c>
      <c r="M12" s="27">
        <f>VALUE(庫存金額!G8)</f>
        <v>14046393</v>
      </c>
      <c r="N12" s="27">
        <f>VALUE(庫存金額!H8)</f>
        <v>14670353</v>
      </c>
      <c r="O12" s="27">
        <f>VALUE(庫存金額!I8)</f>
        <v>11422012</v>
      </c>
      <c r="P12" s="27">
        <f>VALUE(庫存金額!J8)</f>
        <v>11422012</v>
      </c>
      <c r="Q12" s="27">
        <f>VALUE(庫存金額!K8)</f>
        <v>10719218</v>
      </c>
      <c r="R12" s="27">
        <f>VALUE(庫存金額!L8)</f>
        <v>11056916</v>
      </c>
      <c r="S12" s="27">
        <f>VALUE(庫存金額!M8)</f>
        <v>12534032</v>
      </c>
      <c r="T12" s="27">
        <f>VALUE(庫存金額!N8)</f>
        <v>13712203</v>
      </c>
      <c r="U12" s="27">
        <f>VALUE(庫存金額!O8)</f>
        <v>11280613</v>
      </c>
      <c r="V12" s="27">
        <f>VALUE(庫存金額!P8)</f>
        <v>10381590</v>
      </c>
      <c r="W12" s="27">
        <f>VALUE(庫存金額!Q8)</f>
        <v>10381590</v>
      </c>
      <c r="X12" s="27">
        <f>VALUE(庫存金額!R8)</f>
        <v>9270949</v>
      </c>
      <c r="Y12" s="27">
        <f>VALUE(庫存金額!S8)</f>
        <v>10904139</v>
      </c>
      <c r="Z12" s="27">
        <f>VALUE(庫存金額!T8)</f>
        <v>11771485</v>
      </c>
      <c r="AA12" s="27">
        <f>VALUE(庫存金額!U8)</f>
        <v>11162399</v>
      </c>
      <c r="AB12" s="27">
        <f>VALUE(庫存金額!V8)</f>
        <v>11986111</v>
      </c>
      <c r="AC12" s="27">
        <f>VALUE(庫存金額!W8)</f>
        <v>8298839</v>
      </c>
      <c r="AD12" s="27">
        <f>VALUE(庫存金額!X8)</f>
        <v>8298839</v>
      </c>
      <c r="AE12" s="27">
        <f>VALUE(庫存金額!Y8)</f>
        <v>8556043</v>
      </c>
      <c r="AF12" s="27">
        <f>VALUE(庫存金額!Z8)</f>
        <v>9112681</v>
      </c>
      <c r="AG12" s="27">
        <f>VALUE(庫存金額!AA8)</f>
        <v>11023616</v>
      </c>
      <c r="AH12" s="27">
        <f>VALUE(庫存金額!AB8)</f>
        <v>11963548</v>
      </c>
      <c r="AI12" s="27">
        <f>VALUE(庫存金額!AC8)</f>
        <v>13936909</v>
      </c>
      <c r="AJ12" s="27">
        <f>VALUE(庫存金額!AD8)</f>
        <v>10405060</v>
      </c>
      <c r="AK12" s="27">
        <f>VALUE(庫存金額!AE8)</f>
        <v>10405060</v>
      </c>
      <c r="AL12" s="27">
        <f>VALUE(庫存金額!AF8)</f>
        <v>11018036</v>
      </c>
      <c r="AM12" s="27">
        <f>VALUE(庫存金額!AG8)</f>
        <v>11567400</v>
      </c>
      <c r="AN12" s="27">
        <f>VALUE(庫存金額!AH8)</f>
        <v>549364</v>
      </c>
      <c r="AO12" s="27">
        <f>VALUE(庫存金額!AI8)</f>
        <v>11441743</v>
      </c>
      <c r="AP12" s="16">
        <f t="shared" si="1"/>
        <v>1040.5060000000001</v>
      </c>
      <c r="AQ12" s="17">
        <f t="shared" si="2"/>
        <v>1144.1742999999999</v>
      </c>
      <c r="AR12" s="22"/>
    </row>
    <row r="13" spans="1:44" s="14" customFormat="1" ht="21.95" customHeight="1">
      <c r="A13" s="23"/>
      <c r="B13" s="620" t="s">
        <v>17</v>
      </c>
      <c r="C13" s="621"/>
      <c r="D13" s="323">
        <f t="shared" ref="D13:I13" si="5">SUM(D14:D17)</f>
        <v>11041712.649999999</v>
      </c>
      <c r="E13" s="323">
        <f t="shared" si="5"/>
        <v>6795335.3153437506</v>
      </c>
      <c r="F13" s="323">
        <f t="shared" si="5"/>
        <v>6803449.7614383753</v>
      </c>
      <c r="G13" s="323">
        <f t="shared" si="5"/>
        <v>1781041</v>
      </c>
      <c r="H13" s="323">
        <f t="shared" si="5"/>
        <v>1646850</v>
      </c>
      <c r="I13" s="20">
        <f t="shared" si="5"/>
        <v>7276030</v>
      </c>
      <c r="J13" s="20">
        <f t="shared" ref="J13:AO13" si="6">SUM(J14:J17)</f>
        <v>6366906</v>
      </c>
      <c r="K13" s="20">
        <f t="shared" si="6"/>
        <v>6748113</v>
      </c>
      <c r="L13" s="20">
        <f t="shared" si="6"/>
        <v>6783197</v>
      </c>
      <c r="M13" s="20">
        <f t="shared" si="6"/>
        <v>6966164</v>
      </c>
      <c r="N13" s="20">
        <f t="shared" si="6"/>
        <v>6227811</v>
      </c>
      <c r="O13" s="20">
        <f t="shared" si="6"/>
        <v>6296055</v>
      </c>
      <c r="P13" s="20">
        <f t="shared" si="6"/>
        <v>6296055</v>
      </c>
      <c r="Q13" s="20">
        <f t="shared" si="6"/>
        <v>6042910</v>
      </c>
      <c r="R13" s="20">
        <f t="shared" si="6"/>
        <v>6633424</v>
      </c>
      <c r="S13" s="20">
        <f t="shared" si="6"/>
        <v>6991377</v>
      </c>
      <c r="T13" s="20">
        <f t="shared" si="6"/>
        <v>7143388</v>
      </c>
      <c r="U13" s="20">
        <f t="shared" si="6"/>
        <v>7075442</v>
      </c>
      <c r="V13" s="20">
        <f t="shared" si="6"/>
        <v>6311882</v>
      </c>
      <c r="W13" s="20">
        <f t="shared" si="6"/>
        <v>6311882</v>
      </c>
      <c r="X13" s="20">
        <f t="shared" si="6"/>
        <v>6446023</v>
      </c>
      <c r="Y13" s="20">
        <f t="shared" si="6"/>
        <v>7003090</v>
      </c>
      <c r="Z13" s="20">
        <f t="shared" si="6"/>
        <v>7679219</v>
      </c>
      <c r="AA13" s="20">
        <f t="shared" si="6"/>
        <v>7524304</v>
      </c>
      <c r="AB13" s="20">
        <f t="shared" si="6"/>
        <v>7597515</v>
      </c>
      <c r="AC13" s="20">
        <f t="shared" si="6"/>
        <v>6831985</v>
      </c>
      <c r="AD13" s="20">
        <f t="shared" si="6"/>
        <v>6831985</v>
      </c>
      <c r="AE13" s="20">
        <f t="shared" si="6"/>
        <v>7531662</v>
      </c>
      <c r="AF13" s="20">
        <f t="shared" si="6"/>
        <v>8240031</v>
      </c>
      <c r="AG13" s="20">
        <f t="shared" si="6"/>
        <v>8190534</v>
      </c>
      <c r="AH13" s="20">
        <f t="shared" si="6"/>
        <v>8545656</v>
      </c>
      <c r="AI13" s="20">
        <f t="shared" si="6"/>
        <v>8266278</v>
      </c>
      <c r="AJ13" s="20">
        <f t="shared" si="6"/>
        <v>7468661</v>
      </c>
      <c r="AK13" s="20">
        <f t="shared" si="6"/>
        <v>7469244</v>
      </c>
      <c r="AL13" s="20">
        <f t="shared" si="6"/>
        <v>7460256</v>
      </c>
      <c r="AM13" s="20">
        <f t="shared" si="6"/>
        <v>7931264</v>
      </c>
      <c r="AN13" s="20">
        <f t="shared" si="6"/>
        <v>471008</v>
      </c>
      <c r="AO13" s="20">
        <f t="shared" si="6"/>
        <v>7112527.1900000004</v>
      </c>
      <c r="AP13" s="16">
        <f t="shared" si="1"/>
        <v>746.86609999999996</v>
      </c>
      <c r="AQ13" s="17">
        <f t="shared" si="2"/>
        <v>711.25271900000007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1354194.52</v>
      </c>
      <c r="E15" s="309">
        <f>HLOOKUP(MONTH(日期!$C$2),當年目標設定!$D$1:$O$33,13,TRUE)</f>
        <v>1605976.0325000002</v>
      </c>
      <c r="F15" s="308">
        <f>HLOOKUP(MONTH(日期!$C$2),當年目標設定!$R$1:$AC$33,13,TRUE)</f>
        <v>1614615.9824999999</v>
      </c>
      <c r="G15" s="308">
        <f>當年月推移!P13</f>
        <v>1493526</v>
      </c>
      <c r="H15" s="308">
        <f>當年月推移!P47</f>
        <v>1331722</v>
      </c>
      <c r="I15" s="27">
        <f>VALUE(庫存金額!C10)</f>
        <v>1362867</v>
      </c>
      <c r="J15" s="27">
        <f>VALUE(庫存金額!D10)</f>
        <v>1265257</v>
      </c>
      <c r="K15" s="27">
        <f>VALUE(庫存金額!E10)</f>
        <v>1201998</v>
      </c>
      <c r="L15" s="27">
        <f>VALUE(庫存金額!F10)</f>
        <v>1424938</v>
      </c>
      <c r="M15" s="27">
        <f>VALUE(庫存金額!G10)</f>
        <v>1360558</v>
      </c>
      <c r="N15" s="27">
        <f>VALUE(庫存金額!H10)</f>
        <v>1351218</v>
      </c>
      <c r="O15" s="27">
        <f>VALUE(庫存金額!I10)</f>
        <v>1315378</v>
      </c>
      <c r="P15" s="27">
        <f>VALUE(庫存金額!J10)</f>
        <v>1315378</v>
      </c>
      <c r="Q15" s="27">
        <f>VALUE(庫存金額!K10)</f>
        <v>1258263</v>
      </c>
      <c r="R15" s="27">
        <f>VALUE(庫存金額!L10)</f>
        <v>1244373</v>
      </c>
      <c r="S15" s="27">
        <f>VALUE(庫存金額!M10)</f>
        <v>1212693</v>
      </c>
      <c r="T15" s="27">
        <f>VALUE(庫存金額!N10)</f>
        <v>1553713</v>
      </c>
      <c r="U15" s="27">
        <f>VALUE(庫存金額!O10)</f>
        <v>1508898</v>
      </c>
      <c r="V15" s="27">
        <f>VALUE(庫存金額!P10)</f>
        <v>1469998</v>
      </c>
      <c r="W15" s="27">
        <f>VALUE(庫存金額!Q10)</f>
        <v>1469998</v>
      </c>
      <c r="X15" s="27">
        <f>VALUE(庫存金額!R10)</f>
        <v>1410963</v>
      </c>
      <c r="Y15" s="27">
        <f>VALUE(庫存金額!S10)</f>
        <v>1322923</v>
      </c>
      <c r="Z15" s="27">
        <f>VALUE(庫存金額!T10)</f>
        <v>1641465</v>
      </c>
      <c r="AA15" s="27">
        <f>VALUE(庫存金額!U10)</f>
        <v>1785845</v>
      </c>
      <c r="AB15" s="27">
        <f>VALUE(庫存金額!V10)</f>
        <v>1785845</v>
      </c>
      <c r="AC15" s="27">
        <f>VALUE(庫存金額!W10)</f>
        <v>1756815</v>
      </c>
      <c r="AD15" s="27">
        <f>VALUE(庫存金額!X10)</f>
        <v>1756815</v>
      </c>
      <c r="AE15" s="27">
        <f>VALUE(庫存金額!Y10)</f>
        <v>1700005</v>
      </c>
      <c r="AF15" s="27">
        <f>VALUE(庫存金額!Z10)</f>
        <v>1653505</v>
      </c>
      <c r="AG15" s="27">
        <f>VALUE(庫存金額!AA10)</f>
        <v>1593620</v>
      </c>
      <c r="AH15" s="27">
        <f>VALUE(庫存金額!AB10)</f>
        <v>2004880</v>
      </c>
      <c r="AI15" s="27">
        <f>VALUE(庫存金額!AC10)</f>
        <v>1963795</v>
      </c>
      <c r="AJ15" s="27">
        <f>VALUE(庫存金額!AD10)</f>
        <v>1927520</v>
      </c>
      <c r="AK15" s="27">
        <f>VALUE(庫存金額!AE10)</f>
        <v>1927520</v>
      </c>
      <c r="AL15" s="27">
        <f>VALUE(庫存金額!AF10)</f>
        <v>1865545</v>
      </c>
      <c r="AM15" s="27">
        <f>VALUE(庫存金額!AG10)</f>
        <v>1808940</v>
      </c>
      <c r="AN15" s="27">
        <f>VALUE(庫存金額!AH10)</f>
        <v>-56605</v>
      </c>
      <c r="AO15" s="27">
        <f>VALUE(庫存金額!AI10)</f>
        <v>1555533.19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306112.52</v>
      </c>
      <c r="E16" s="309">
        <f>HLOOKUP(MONTH(日期!$C$2),當年目標設定!$D$1:$O$33,14,TRUE)</f>
        <v>298163.73500000004</v>
      </c>
      <c r="F16" s="308">
        <f>HLOOKUP(MONTH(日期!$C$2),當年目標設定!$R$1:$AC$33,14,TRUE)</f>
        <v>283307.26124999998</v>
      </c>
      <c r="G16" s="308">
        <f>當年月推移!P15</f>
        <v>287515</v>
      </c>
      <c r="H16" s="308">
        <f>當年月推移!P49</f>
        <v>315128</v>
      </c>
      <c r="I16" s="232">
        <f>VALUE(庫存金額!C14)</f>
        <v>514198</v>
      </c>
      <c r="J16" s="232">
        <f>VALUE(庫存金額!D14)</f>
        <v>510568</v>
      </c>
      <c r="K16" s="232">
        <f>VALUE(庫存金額!E14)</f>
        <v>508018</v>
      </c>
      <c r="L16" s="232">
        <f>VALUE(庫存金額!F14)</f>
        <v>505858</v>
      </c>
      <c r="M16" s="232">
        <f>VALUE(庫存金額!G14)</f>
        <v>502538</v>
      </c>
      <c r="N16" s="232">
        <f>VALUE(庫存金額!H14)</f>
        <v>502538</v>
      </c>
      <c r="O16" s="232">
        <f>VALUE(庫存金額!I14)</f>
        <v>502538</v>
      </c>
      <c r="P16" s="232">
        <f>VALUE(庫存金額!J14)</f>
        <v>502538</v>
      </c>
      <c r="Q16" s="232">
        <f>VALUE(庫存金額!K14)</f>
        <v>489558</v>
      </c>
      <c r="R16" s="232">
        <f>VALUE(庫存金額!L14)</f>
        <v>486318</v>
      </c>
      <c r="S16" s="232">
        <f>VALUE(庫存金額!M14)</f>
        <v>485238</v>
      </c>
      <c r="T16" s="232">
        <f>VALUE(庫存金額!N14)</f>
        <v>478518</v>
      </c>
      <c r="U16" s="232">
        <f>VALUE(庫存金額!O14)</f>
        <v>467318</v>
      </c>
      <c r="V16" s="232">
        <f>VALUE(庫存金額!P14)</f>
        <v>462618</v>
      </c>
      <c r="W16" s="232">
        <f>VALUE(庫存金額!Q14)</f>
        <v>462618</v>
      </c>
      <c r="X16" s="232">
        <f>VALUE(庫存金額!R14)</f>
        <v>461538</v>
      </c>
      <c r="Y16" s="232">
        <f>VALUE(庫存金額!S14)</f>
        <v>446938</v>
      </c>
      <c r="Z16" s="232">
        <f>VALUE(庫存金額!T14)</f>
        <v>435348</v>
      </c>
      <c r="AA16" s="232">
        <f>VALUE(庫存金額!U14)</f>
        <v>433108</v>
      </c>
      <c r="AB16" s="232">
        <f>VALUE(庫存金額!V14)</f>
        <v>429248</v>
      </c>
      <c r="AC16" s="232">
        <f>VALUE(庫存金額!W14)</f>
        <v>428168</v>
      </c>
      <c r="AD16" s="232">
        <f>VALUE(庫存金額!X14)</f>
        <v>428168</v>
      </c>
      <c r="AE16" s="232">
        <f>VALUE(庫存金額!Y14)</f>
        <v>427088</v>
      </c>
      <c r="AF16" s="232">
        <f>VALUE(庫存金額!Z14)</f>
        <v>424388</v>
      </c>
      <c r="AG16" s="232">
        <f>VALUE(庫存金額!AA14)</f>
        <v>424388</v>
      </c>
      <c r="AH16" s="232">
        <f>VALUE(庫存金額!AB14)</f>
        <v>417748</v>
      </c>
      <c r="AI16" s="232">
        <f>VALUE(庫存金額!AC14)</f>
        <v>410098</v>
      </c>
      <c r="AJ16" s="232">
        <f>VALUE(庫存金額!AD14)</f>
        <v>407938</v>
      </c>
      <c r="AK16" s="232">
        <f>VALUE(庫存金額!AE14)</f>
        <v>407938</v>
      </c>
      <c r="AL16" s="232">
        <f>VALUE(庫存金額!AF14)</f>
        <v>404848</v>
      </c>
      <c r="AM16" s="232">
        <f>VALUE(庫存金額!AG14)</f>
        <v>404308</v>
      </c>
      <c r="AN16" s="232">
        <f>VALUE(庫存金額!AH14)</f>
        <v>-540</v>
      </c>
      <c r="AO16" s="232">
        <f>VALUE(庫存金額!AI14)</f>
        <v>457168.97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9381405.6099999994</v>
      </c>
      <c r="E17" s="309">
        <f>HLOOKUP(MONTH(日期!$C$2),當年目標設定!$D$1:$O$33,15,TRUE)</f>
        <v>4891195.5478437506</v>
      </c>
      <c r="F17" s="308">
        <f>HLOOKUP(MONTH(日期!$C$2),當年目標設定!$R$1:$AC$33,15,TRUE)</f>
        <v>4905526.517688375</v>
      </c>
      <c r="G17" s="308">
        <f>當年月推移!P33</f>
        <v>0</v>
      </c>
      <c r="H17" s="308">
        <f>當年月推移!P67</f>
        <v>0</v>
      </c>
      <c r="I17" s="232">
        <f>VALUE(庫存金額!C24)</f>
        <v>5398965</v>
      </c>
      <c r="J17" s="232">
        <f>VALUE(庫存金額!D24)</f>
        <v>4591081</v>
      </c>
      <c r="K17" s="232">
        <f>VALUE(庫存金額!E24)</f>
        <v>5038097</v>
      </c>
      <c r="L17" s="232">
        <f>VALUE(庫存金額!F24)</f>
        <v>4852401</v>
      </c>
      <c r="M17" s="232">
        <f>VALUE(庫存金額!G24)</f>
        <v>5103068</v>
      </c>
      <c r="N17" s="232">
        <f>VALUE(庫存金額!H24)</f>
        <v>4374055</v>
      </c>
      <c r="O17" s="232">
        <f>VALUE(庫存金額!I24)</f>
        <v>4478139</v>
      </c>
      <c r="P17" s="232">
        <f>VALUE(庫存金額!J24)</f>
        <v>4478139</v>
      </c>
      <c r="Q17" s="232">
        <f>VALUE(庫存金額!K24)</f>
        <v>4295089</v>
      </c>
      <c r="R17" s="232">
        <f>VALUE(庫存金額!L24)</f>
        <v>4902733</v>
      </c>
      <c r="S17" s="232">
        <f>VALUE(庫存金額!M24)</f>
        <v>5293446</v>
      </c>
      <c r="T17" s="232">
        <f>VALUE(庫存金額!N24)</f>
        <v>5111157</v>
      </c>
      <c r="U17" s="232">
        <f>VALUE(庫存金額!O24)</f>
        <v>5099226</v>
      </c>
      <c r="V17" s="232">
        <f>VALUE(庫存金額!P24)</f>
        <v>4379266</v>
      </c>
      <c r="W17" s="232">
        <f>VALUE(庫存金額!Q24)</f>
        <v>4379266</v>
      </c>
      <c r="X17" s="232">
        <f>VALUE(庫存金額!R24)</f>
        <v>4573522</v>
      </c>
      <c r="Y17" s="232">
        <f>VALUE(庫存金額!S24)</f>
        <v>5233229</v>
      </c>
      <c r="Z17" s="232">
        <f>VALUE(庫存金額!T24)</f>
        <v>5602406</v>
      </c>
      <c r="AA17" s="232">
        <f>VALUE(庫存金額!U24)</f>
        <v>5305351</v>
      </c>
      <c r="AB17" s="232">
        <f>VALUE(庫存金額!V24)</f>
        <v>5382422</v>
      </c>
      <c r="AC17" s="232">
        <f>VALUE(庫存金額!W24)</f>
        <v>4647002</v>
      </c>
      <c r="AD17" s="232">
        <f>VALUE(庫存金額!X24)</f>
        <v>4647002</v>
      </c>
      <c r="AE17" s="232">
        <f>VALUE(庫存金額!Y24)</f>
        <v>5404569</v>
      </c>
      <c r="AF17" s="232">
        <f>VALUE(庫存金額!Z24)</f>
        <v>6162138</v>
      </c>
      <c r="AG17" s="232">
        <f>VALUE(庫存金額!AA24)</f>
        <v>6172526</v>
      </c>
      <c r="AH17" s="232">
        <f>VALUE(庫存金額!AB24)</f>
        <v>6123028</v>
      </c>
      <c r="AI17" s="232">
        <f>VALUE(庫存金額!AC24)</f>
        <v>5892385</v>
      </c>
      <c r="AJ17" s="232">
        <f>VALUE(庫存金額!AD24)</f>
        <v>5133203</v>
      </c>
      <c r="AK17" s="232">
        <f>VALUE(庫存金額!AE24)</f>
        <v>5133786</v>
      </c>
      <c r="AL17" s="232">
        <f>VALUE(庫存金額!AF24)</f>
        <v>5189863</v>
      </c>
      <c r="AM17" s="232">
        <f>VALUE(庫存金額!AG24)</f>
        <v>5718016</v>
      </c>
      <c r="AN17" s="232">
        <f>VALUE(庫存金額!AH24)</f>
        <v>528153</v>
      </c>
      <c r="AO17" s="232">
        <f>VALUE(庫存金額!AI24)</f>
        <v>5099825.03</v>
      </c>
    </row>
    <row r="18" spans="1:44" s="14" customFormat="1" ht="21.95" customHeight="1">
      <c r="A18" s="23"/>
      <c r="B18" s="628" t="s">
        <v>22</v>
      </c>
      <c r="C18" s="629"/>
      <c r="D18" s="324">
        <f t="shared" ref="D18:I18" si="7">SUM(D19:D25)</f>
        <v>275592348.13</v>
      </c>
      <c r="E18" s="517">
        <f t="shared" si="7"/>
        <v>285144107.66268182</v>
      </c>
      <c r="F18" s="324">
        <f t="shared" si="7"/>
        <v>274788902.4036352</v>
      </c>
      <c r="G18" s="317">
        <f t="shared" si="7"/>
        <v>178745321</v>
      </c>
      <c r="H18" s="317">
        <f t="shared" si="7"/>
        <v>177125756</v>
      </c>
      <c r="I18" s="237">
        <f t="shared" si="7"/>
        <v>204863710</v>
      </c>
      <c r="J18" s="237">
        <f t="shared" ref="J18:AO18" si="8">SUM(J19:J25)</f>
        <v>200964908</v>
      </c>
      <c r="K18" s="237">
        <f t="shared" si="8"/>
        <v>200500495</v>
      </c>
      <c r="L18" s="237">
        <f t="shared" si="8"/>
        <v>202390197</v>
      </c>
      <c r="M18" s="237">
        <f t="shared" si="8"/>
        <v>203352845</v>
      </c>
      <c r="N18" s="237">
        <f t="shared" si="8"/>
        <v>209082652</v>
      </c>
      <c r="O18" s="237">
        <f t="shared" si="8"/>
        <v>205550267</v>
      </c>
      <c r="P18" s="237">
        <f t="shared" si="8"/>
        <v>205550267</v>
      </c>
      <c r="Q18" s="237">
        <f t="shared" si="8"/>
        <v>206671154</v>
      </c>
      <c r="R18" s="237">
        <f t="shared" si="8"/>
        <v>205545381</v>
      </c>
      <c r="S18" s="237">
        <f t="shared" si="8"/>
        <v>205838342</v>
      </c>
      <c r="T18" s="237">
        <f t="shared" si="8"/>
        <v>206089216</v>
      </c>
      <c r="U18" s="237">
        <f t="shared" si="8"/>
        <v>208887718</v>
      </c>
      <c r="V18" s="237">
        <f t="shared" si="8"/>
        <v>204866230</v>
      </c>
      <c r="W18" s="237">
        <f t="shared" si="8"/>
        <v>204866230</v>
      </c>
      <c r="X18" s="237">
        <f t="shared" si="8"/>
        <v>208145080</v>
      </c>
      <c r="Y18" s="237">
        <f t="shared" si="8"/>
        <v>210124490</v>
      </c>
      <c r="Z18" s="237">
        <f t="shared" si="8"/>
        <v>212735975</v>
      </c>
      <c r="AA18" s="237">
        <f t="shared" si="8"/>
        <v>215188113</v>
      </c>
      <c r="AB18" s="237">
        <f t="shared" si="8"/>
        <v>217273624</v>
      </c>
      <c r="AC18" s="237">
        <f t="shared" si="8"/>
        <v>213660011</v>
      </c>
      <c r="AD18" s="237">
        <f t="shared" si="8"/>
        <v>213618181</v>
      </c>
      <c r="AE18" s="237">
        <f t="shared" si="8"/>
        <v>215110862</v>
      </c>
      <c r="AF18" s="237">
        <f t="shared" si="8"/>
        <v>217457495</v>
      </c>
      <c r="AG18" s="237">
        <f t="shared" si="8"/>
        <v>222308854</v>
      </c>
      <c r="AH18" s="237">
        <f t="shared" si="8"/>
        <v>225530541</v>
      </c>
      <c r="AI18" s="237">
        <f t="shared" si="8"/>
        <v>227994164</v>
      </c>
      <c r="AJ18" s="237">
        <f t="shared" si="8"/>
        <v>223645801</v>
      </c>
      <c r="AK18" s="237">
        <f t="shared" si="8"/>
        <v>223645801</v>
      </c>
      <c r="AL18" s="237">
        <f t="shared" si="8"/>
        <v>227031807</v>
      </c>
      <c r="AM18" s="237">
        <f t="shared" si="8"/>
        <v>224879654</v>
      </c>
      <c r="AN18" s="237">
        <f t="shared" si="8"/>
        <v>-2152153</v>
      </c>
      <c r="AO18" s="237">
        <f t="shared" si="8"/>
        <v>212044195.65000001</v>
      </c>
      <c r="AP18" s="16">
        <f>AJ18/10000</f>
        <v>22364.580099999999</v>
      </c>
      <c r="AQ18" s="17">
        <f>AO18/10000</f>
        <v>21204.419565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230735445.38999999</v>
      </c>
      <c r="E19" s="518">
        <f>HLOOKUP(MONTH(日期!$C$2),當年目標設定!$D$1:$O$33,17,TRUE)</f>
        <v>249872903.06866309</v>
      </c>
      <c r="F19" s="309">
        <f>HLOOKUP(MONTH(日期!$C$2),當年目標設定!$R$1:$AC$33,17,TRUE)</f>
        <v>239105978.92967021</v>
      </c>
      <c r="G19" s="308">
        <f>當年月推移!P17</f>
        <v>168516892</v>
      </c>
      <c r="H19" s="308">
        <f>當年月推移!P51</f>
        <v>166984879</v>
      </c>
      <c r="I19" s="27">
        <f>VALUE(庫存金額!C3)</f>
        <v>174877886</v>
      </c>
      <c r="J19" s="27">
        <f>VALUE(庫存金額!D3)</f>
        <v>173330996</v>
      </c>
      <c r="K19" s="27">
        <f>VALUE(庫存金額!E3)</f>
        <v>173456760</v>
      </c>
      <c r="L19" s="27">
        <f>VALUE(庫存金額!F3)</f>
        <v>175231545</v>
      </c>
      <c r="M19" s="27">
        <f>VALUE(庫存金額!G3)</f>
        <v>175609514</v>
      </c>
      <c r="N19" s="27">
        <f>VALUE(庫存金額!H3)</f>
        <v>180300394</v>
      </c>
      <c r="O19" s="27">
        <f>VALUE(庫存金額!I3)</f>
        <v>178611381</v>
      </c>
      <c r="P19" s="27">
        <f>VALUE(庫存金額!J3)</f>
        <v>178611381</v>
      </c>
      <c r="Q19" s="27">
        <f>VALUE(庫存金額!K3)</f>
        <v>179931484</v>
      </c>
      <c r="R19" s="27">
        <f>VALUE(庫存金額!L3)</f>
        <v>179205601</v>
      </c>
      <c r="S19" s="27">
        <f>VALUE(庫存金額!M3)</f>
        <v>179369683</v>
      </c>
      <c r="T19" s="27">
        <f>VALUE(庫存金額!N3)</f>
        <v>179739725</v>
      </c>
      <c r="U19" s="27">
        <f>VALUE(庫存金額!O3)</f>
        <v>181046569</v>
      </c>
      <c r="V19" s="27">
        <f>VALUE(庫存金額!P3)</f>
        <v>178953011</v>
      </c>
      <c r="W19" s="27">
        <f>VALUE(庫存金額!Q3)</f>
        <v>178953011</v>
      </c>
      <c r="X19" s="27">
        <f>VALUE(庫存金額!R3)</f>
        <v>181436146</v>
      </c>
      <c r="Y19" s="27">
        <f>VALUE(庫存金額!S3)</f>
        <v>183119875</v>
      </c>
      <c r="Z19" s="27">
        <f>VALUE(庫存金額!T3)</f>
        <v>185401586</v>
      </c>
      <c r="AA19" s="27">
        <f>VALUE(庫存金額!U3)</f>
        <v>187708330</v>
      </c>
      <c r="AB19" s="27">
        <f>VALUE(庫存金額!V3)</f>
        <v>189763090</v>
      </c>
      <c r="AC19" s="27">
        <f>VALUE(庫存金額!W3)</f>
        <v>188188562</v>
      </c>
      <c r="AD19" s="27">
        <f>VALUE(庫存金額!X3)</f>
        <v>188147037</v>
      </c>
      <c r="AE19" s="27">
        <f>VALUE(庫存金額!Y3)</f>
        <v>189625127</v>
      </c>
      <c r="AF19" s="27">
        <f>VALUE(庫存金額!Z3)</f>
        <v>191208899</v>
      </c>
      <c r="AG19" s="27">
        <f>VALUE(庫存金額!AA3)</f>
        <v>195008218</v>
      </c>
      <c r="AH19" s="27">
        <f>VALUE(庫存金額!AB3)</f>
        <v>198456560</v>
      </c>
      <c r="AI19" s="27">
        <f>VALUE(庫存金額!AC3)</f>
        <v>199753581</v>
      </c>
      <c r="AJ19" s="27">
        <f>VALUE(庫存金額!AD3)</f>
        <v>197810143</v>
      </c>
      <c r="AK19" s="27">
        <f>VALUE(庫存金額!AE3)</f>
        <v>197810143</v>
      </c>
      <c r="AL19" s="27">
        <f>VALUE(庫存金額!AF3)</f>
        <v>199698036</v>
      </c>
      <c r="AM19" s="27">
        <f>VALUE(庫存金額!AG3)</f>
        <v>199041123</v>
      </c>
      <c r="AN19" s="27">
        <f>VALUE(庫存金額!AH3)</f>
        <v>-656913</v>
      </c>
      <c r="AO19" s="27">
        <f>VALUE(庫存金額!AI3)</f>
        <v>185142109.58000001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1864895.61</v>
      </c>
      <c r="E20" s="518">
        <f>HLOOKUP(MONTH(日期!$C$2),當年目標設定!$D$1:$O$33,18,TRUE)</f>
        <v>1817456.969672194</v>
      </c>
      <c r="F20" s="309">
        <f>HLOOKUP(MONTH(日期!$C$2),當年目標設定!$R$1:$AC$33,18,TRUE)</f>
        <v>1843161.8644760018</v>
      </c>
      <c r="G20" s="308">
        <f>當年月推移!P18</f>
        <v>1922919</v>
      </c>
      <c r="H20" s="308">
        <f>當年月推移!P52</f>
        <v>1956695</v>
      </c>
      <c r="I20" s="232">
        <f>VALUE(庫存金額!C13)</f>
        <v>2434952</v>
      </c>
      <c r="J20" s="232">
        <f>VALUE(庫存金額!D13)</f>
        <v>1837027</v>
      </c>
      <c r="K20" s="232">
        <f>VALUE(庫存金額!E13)</f>
        <v>1928427</v>
      </c>
      <c r="L20" s="232">
        <f>VALUE(庫存金額!F13)</f>
        <v>1969133</v>
      </c>
      <c r="M20" s="232">
        <f>VALUE(庫存金額!G13)</f>
        <v>1795139</v>
      </c>
      <c r="N20" s="232">
        <f>VALUE(庫存金額!H13)</f>
        <v>2009741</v>
      </c>
      <c r="O20" s="232">
        <f>VALUE(庫存金額!I13)</f>
        <v>1503511</v>
      </c>
      <c r="P20" s="232">
        <f>VALUE(庫存金額!J13)</f>
        <v>1503511</v>
      </c>
      <c r="Q20" s="232">
        <f>VALUE(庫存金額!K13)</f>
        <v>1622864</v>
      </c>
      <c r="R20" s="232">
        <f>VALUE(庫存金額!L13)</f>
        <v>1508569</v>
      </c>
      <c r="S20" s="232">
        <f>VALUE(庫存金額!M13)</f>
        <v>1391867</v>
      </c>
      <c r="T20" s="232">
        <f>VALUE(庫存金額!N13)</f>
        <v>1711348</v>
      </c>
      <c r="U20" s="232">
        <f>VALUE(庫存金額!O13)</f>
        <v>2074731</v>
      </c>
      <c r="V20" s="232">
        <f>VALUE(庫存金額!P13)</f>
        <v>1802900</v>
      </c>
      <c r="W20" s="232">
        <f>VALUE(庫存金額!Q13)</f>
        <v>1802900</v>
      </c>
      <c r="X20" s="232">
        <f>VALUE(庫存金額!R13)</f>
        <v>1504168</v>
      </c>
      <c r="Y20" s="232">
        <f>VALUE(庫存金額!S13)</f>
        <v>1811062</v>
      </c>
      <c r="Z20" s="232">
        <f>VALUE(庫存金額!T13)</f>
        <v>1538212</v>
      </c>
      <c r="AA20" s="232">
        <f>VALUE(庫存金額!U13)</f>
        <v>1638095</v>
      </c>
      <c r="AB20" s="232">
        <f>VALUE(庫存金額!V13)</f>
        <v>1584106</v>
      </c>
      <c r="AC20" s="232">
        <f>VALUE(庫存金額!W13)</f>
        <v>1356656</v>
      </c>
      <c r="AD20" s="232">
        <f>VALUE(庫存金額!X13)</f>
        <v>1356656</v>
      </c>
      <c r="AE20" s="232">
        <f>VALUE(庫存金額!Y13)</f>
        <v>1192514</v>
      </c>
      <c r="AF20" s="232">
        <f>VALUE(庫存金額!Z13)</f>
        <v>1705959</v>
      </c>
      <c r="AG20" s="232">
        <f>VALUE(庫存金額!AA13)</f>
        <v>1635972</v>
      </c>
      <c r="AH20" s="232">
        <f>VALUE(庫存金額!AB13)</f>
        <v>1625542</v>
      </c>
      <c r="AI20" s="232">
        <f>VALUE(庫存金額!AC13)</f>
        <v>1475129</v>
      </c>
      <c r="AJ20" s="232">
        <f>VALUE(庫存金額!AD13)</f>
        <v>706195</v>
      </c>
      <c r="AK20" s="232">
        <f>VALUE(庫存金額!AE13)</f>
        <v>706195</v>
      </c>
      <c r="AL20" s="232">
        <f>VALUE(庫存金額!AF13)</f>
        <v>893292</v>
      </c>
      <c r="AM20" s="232">
        <f>VALUE(庫存金額!AG13)</f>
        <v>1225378</v>
      </c>
      <c r="AN20" s="232">
        <f>VALUE(庫存金額!AH13)</f>
        <v>332086</v>
      </c>
      <c r="AO20" s="232">
        <f>VALUE(庫存金額!AI13)</f>
        <v>1575862.94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24401515.809999999</v>
      </c>
      <c r="E21" s="518">
        <f>HLOOKUP(MONTH(日期!$C$2),當年目標設定!$D$1:$O$33,19,TRUE)</f>
        <v>17022386.774882607</v>
      </c>
      <c r="F21" s="309">
        <f>HLOOKUP(MONTH(日期!$C$2),當年目標設定!$R$1:$AC$33,19,TRUE)</f>
        <v>16832433.34994391</v>
      </c>
      <c r="G21" s="308">
        <f>當年月推移!P19</f>
        <v>14160</v>
      </c>
      <c r="H21" s="308">
        <f>當年月推移!P53</f>
        <v>14160</v>
      </c>
      <c r="I21" s="232">
        <f>VALUE(庫存金額!C18)</f>
        <v>7745499</v>
      </c>
      <c r="J21" s="232">
        <f>VALUE(庫存金額!D18)</f>
        <v>7735311</v>
      </c>
      <c r="K21" s="232">
        <f>VALUE(庫存金額!E18)</f>
        <v>7730241</v>
      </c>
      <c r="L21" s="232">
        <f>VALUE(庫存金額!F18)</f>
        <v>7728833</v>
      </c>
      <c r="M21" s="232">
        <f>VALUE(庫存金額!G18)</f>
        <v>7690502</v>
      </c>
      <c r="N21" s="232">
        <f>VALUE(庫存金額!H18)</f>
        <v>7695927</v>
      </c>
      <c r="O21" s="232">
        <f>VALUE(庫存金額!I18)</f>
        <v>7689121</v>
      </c>
      <c r="P21" s="232">
        <f>VALUE(庫存金額!J18)</f>
        <v>7689121</v>
      </c>
      <c r="Q21" s="232">
        <f>VALUE(庫存金額!K18)</f>
        <v>7682750</v>
      </c>
      <c r="R21" s="232">
        <f>VALUE(庫存金額!L18)</f>
        <v>7680069</v>
      </c>
      <c r="S21" s="232">
        <f>VALUE(庫存金額!M18)</f>
        <v>7645125</v>
      </c>
      <c r="T21" s="232">
        <f>VALUE(庫存金額!N18)</f>
        <v>7639208</v>
      </c>
      <c r="U21" s="232">
        <f>VALUE(庫存金額!O18)</f>
        <v>7608618</v>
      </c>
      <c r="V21" s="232">
        <f>VALUE(庫存金額!P18)</f>
        <v>7596407</v>
      </c>
      <c r="W21" s="232">
        <f>VALUE(庫存金額!Q18)</f>
        <v>7596407</v>
      </c>
      <c r="X21" s="232">
        <f>VALUE(庫存金額!R18)</f>
        <v>7572661</v>
      </c>
      <c r="Y21" s="232">
        <f>VALUE(庫存金額!S18)</f>
        <v>7567189</v>
      </c>
      <c r="Z21" s="232">
        <f>VALUE(庫存金額!T18)</f>
        <v>7549471</v>
      </c>
      <c r="AA21" s="232">
        <f>VALUE(庫存金額!U18)</f>
        <v>7536509</v>
      </c>
      <c r="AB21" s="232">
        <f>VALUE(庫存金額!V18)</f>
        <v>7523335</v>
      </c>
      <c r="AC21" s="232">
        <f>VALUE(庫存金額!W18)</f>
        <v>7516396</v>
      </c>
      <c r="AD21" s="232">
        <f>VALUE(庫存金額!X18)</f>
        <v>7516396</v>
      </c>
      <c r="AE21" s="232">
        <f>VALUE(庫存金額!Y18)</f>
        <v>7506227</v>
      </c>
      <c r="AF21" s="232">
        <f>VALUE(庫存金額!Z18)</f>
        <v>7496319</v>
      </c>
      <c r="AG21" s="232">
        <f>VALUE(庫存金額!AA18)</f>
        <v>7473317</v>
      </c>
      <c r="AH21" s="232">
        <f>VALUE(庫存金額!AB18)</f>
        <v>7455755</v>
      </c>
      <c r="AI21" s="232">
        <f>VALUE(庫存金額!AC18)</f>
        <v>7452529</v>
      </c>
      <c r="AJ21" s="232">
        <f>VALUE(庫存金額!AD18)</f>
        <v>7445454</v>
      </c>
      <c r="AK21" s="232">
        <f>VALUE(庫存金額!AE18)</f>
        <v>7445454</v>
      </c>
      <c r="AL21" s="232">
        <f>VALUE(庫存金額!AF18)</f>
        <v>7349967</v>
      </c>
      <c r="AM21" s="232">
        <f>VALUE(庫存金額!AG18)</f>
        <v>7350084</v>
      </c>
      <c r="AN21" s="232">
        <f>VALUE(庫存金額!AH18)</f>
        <v>117</v>
      </c>
      <c r="AO21" s="232">
        <f>VALUE(庫存金額!AI18)</f>
        <v>7577748.4500000002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11760706.42</v>
      </c>
      <c r="E22" s="518">
        <f>HLOOKUP(MONTH(日期!$C$2),當年目標設定!$D$1:$O$33,20,TRUE)</f>
        <v>9704866.0166092589</v>
      </c>
      <c r="F22" s="309">
        <f>HLOOKUP(MONTH(日期!$C$2),當年目標設定!$R$1:$AC$33,20,TRUE)</f>
        <v>10255080.364875946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11716265</v>
      </c>
      <c r="J22" s="232">
        <f>VALUE(庫存金額!D17)</f>
        <v>10663914</v>
      </c>
      <c r="K22" s="232">
        <f>VALUE(庫存金額!E17)</f>
        <v>10536499</v>
      </c>
      <c r="L22" s="232">
        <f>VALUE(庫存金額!F17)</f>
        <v>10624493</v>
      </c>
      <c r="M22" s="232">
        <f>VALUE(庫存金額!G17)</f>
        <v>10868078</v>
      </c>
      <c r="N22" s="232">
        <f>VALUE(庫存金額!H17)</f>
        <v>12131987</v>
      </c>
      <c r="O22" s="232">
        <f>VALUE(庫存金額!I17)</f>
        <v>11365248</v>
      </c>
      <c r="P22" s="232">
        <f>VALUE(庫存金額!J17)</f>
        <v>11365248</v>
      </c>
      <c r="Q22" s="232">
        <f>VALUE(庫存金額!K17)</f>
        <v>11566745</v>
      </c>
      <c r="R22" s="232">
        <f>VALUE(庫存金額!L17)</f>
        <v>11372569</v>
      </c>
      <c r="S22" s="232">
        <f>VALUE(庫存金額!M17)</f>
        <v>11581295</v>
      </c>
      <c r="T22" s="232">
        <f>VALUE(庫存金額!N17)</f>
        <v>11759330</v>
      </c>
      <c r="U22" s="232">
        <f>VALUE(庫存金額!O17)</f>
        <v>12589111</v>
      </c>
      <c r="V22" s="232">
        <f>VALUE(庫存金額!P17)</f>
        <v>11649515</v>
      </c>
      <c r="W22" s="232">
        <f>VALUE(庫存金額!Q17)</f>
        <v>11649515</v>
      </c>
      <c r="X22" s="232">
        <f>VALUE(庫存金額!R17)</f>
        <v>12189879</v>
      </c>
      <c r="Y22" s="232">
        <f>VALUE(庫存金額!S17)</f>
        <v>11996716</v>
      </c>
      <c r="Z22" s="232">
        <f>VALUE(庫存金額!T17)</f>
        <v>12543936</v>
      </c>
      <c r="AA22" s="232">
        <f>VALUE(庫存金額!U17)</f>
        <v>12780709</v>
      </c>
      <c r="AB22" s="232">
        <f>VALUE(庫存金額!V17)</f>
        <v>12277699</v>
      </c>
      <c r="AC22" s="232">
        <f>VALUE(庫存金額!W17)</f>
        <v>11321122</v>
      </c>
      <c r="AD22" s="232">
        <f>VALUE(庫存金額!X17)</f>
        <v>11320817</v>
      </c>
      <c r="AE22" s="232">
        <f>VALUE(庫存金額!Y17)</f>
        <v>11848393</v>
      </c>
      <c r="AF22" s="232">
        <f>VALUE(庫存金額!Z17)</f>
        <v>11712357</v>
      </c>
      <c r="AG22" s="232">
        <f>VALUE(庫存金額!AA17)</f>
        <v>11551495</v>
      </c>
      <c r="AH22" s="232">
        <f>VALUE(庫存金額!AB17)</f>
        <v>10822994</v>
      </c>
      <c r="AI22" s="232">
        <f>VALUE(庫存金額!AC17)</f>
        <v>12060070</v>
      </c>
      <c r="AJ22" s="232">
        <f>VALUE(庫存金額!AD17)</f>
        <v>11105987</v>
      </c>
      <c r="AK22" s="232">
        <f>VALUE(庫存金額!AE17)</f>
        <v>11105987</v>
      </c>
      <c r="AL22" s="232">
        <f>VALUE(庫存金額!AF17)</f>
        <v>11750276</v>
      </c>
      <c r="AM22" s="232">
        <f>VALUE(庫存金額!AG17)</f>
        <v>10843853</v>
      </c>
      <c r="AN22" s="232">
        <f>VALUE(庫存金額!AH17)</f>
        <v>-906423</v>
      </c>
      <c r="AO22" s="232">
        <f>VALUE(庫存金額!AI17)</f>
        <v>11570067.810000001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6569016.8700000001</v>
      </c>
      <c r="E23" s="518">
        <f>HLOOKUP(MONTH(日期!$C$2),當年目標設定!$D$1:$O$33,21,TRUE)</f>
        <v>6622426.9051736267</v>
      </c>
      <c r="F23" s="309">
        <f>HLOOKUP(MONTH(日期!$C$2),當年目標設定!$R$1:$AC$33,21,TRUE)</f>
        <v>6645141.5737401592</v>
      </c>
      <c r="G23" s="308">
        <f>當年月推移!P21</f>
        <v>7865414</v>
      </c>
      <c r="H23" s="308">
        <f>當年月推移!P55</f>
        <v>7738224</v>
      </c>
      <c r="I23" s="232">
        <f>VALUE(庫存金額!C16)</f>
        <v>7819469</v>
      </c>
      <c r="J23" s="232">
        <f>VALUE(庫存金額!D16)</f>
        <v>7128021</v>
      </c>
      <c r="K23" s="232">
        <f>VALUE(庫存金額!E16)</f>
        <v>6578929</v>
      </c>
      <c r="L23" s="232">
        <f>VALUE(庫存金額!F16)</f>
        <v>6566554</v>
      </c>
      <c r="M23" s="232">
        <f>VALUE(庫存金額!G16)</f>
        <v>7119973</v>
      </c>
      <c r="N23" s="232">
        <f>VALUE(庫存金額!H16)</f>
        <v>6674964</v>
      </c>
      <c r="O23" s="232">
        <f>VALUE(庫存金額!I16)</f>
        <v>6111367</v>
      </c>
      <c r="P23" s="232">
        <f>VALUE(庫存金額!J16)</f>
        <v>6111367</v>
      </c>
      <c r="Q23" s="232">
        <f>VALUE(庫存金額!K16)</f>
        <v>5597672</v>
      </c>
      <c r="R23" s="232">
        <f>VALUE(庫存金額!L16)</f>
        <v>5508934</v>
      </c>
      <c r="S23" s="232">
        <f>VALUE(庫存金額!M16)</f>
        <v>5580733</v>
      </c>
      <c r="T23" s="232">
        <f>VALUE(庫存金額!N16)</f>
        <v>4969966</v>
      </c>
      <c r="U23" s="232">
        <f>VALUE(庫存金額!O16)</f>
        <v>5299050</v>
      </c>
      <c r="V23" s="232">
        <f>VALUE(庫存金額!P16)</f>
        <v>4594758</v>
      </c>
      <c r="W23" s="232">
        <f>VALUE(庫存金額!Q16)</f>
        <v>4594758</v>
      </c>
      <c r="X23" s="232">
        <f>VALUE(庫存金額!R16)</f>
        <v>5172587</v>
      </c>
      <c r="Y23" s="232">
        <f>VALUE(庫存金額!S16)</f>
        <v>5360009</v>
      </c>
      <c r="Z23" s="232">
        <f>VALUE(庫存金額!T16)</f>
        <v>5433131</v>
      </c>
      <c r="AA23" s="232">
        <f>VALUE(庫存金額!U16)</f>
        <v>5254831</v>
      </c>
      <c r="AB23" s="232">
        <f>VALUE(庫存金額!V16)</f>
        <v>5855755</v>
      </c>
      <c r="AC23" s="232">
        <f>VALUE(庫存金額!W16)</f>
        <v>5007636</v>
      </c>
      <c r="AD23" s="232">
        <f>VALUE(庫存金額!X16)</f>
        <v>5007636</v>
      </c>
      <c r="AE23" s="232">
        <f>VALUE(庫存金額!Y16)</f>
        <v>4668962</v>
      </c>
      <c r="AF23" s="232">
        <f>VALUE(庫存金額!Z16)</f>
        <v>5064322</v>
      </c>
      <c r="AG23" s="232">
        <f>VALUE(庫存金額!AA16)</f>
        <v>6370213</v>
      </c>
      <c r="AH23" s="232">
        <f>VALUE(庫存金額!AB16)</f>
        <v>6900051</v>
      </c>
      <c r="AI23" s="232">
        <f>VALUE(庫存金額!AC16)</f>
        <v>6899216</v>
      </c>
      <c r="AJ23" s="232">
        <f>VALUE(庫存金額!AD16)</f>
        <v>6224383</v>
      </c>
      <c r="AK23" s="232">
        <f>VALUE(庫存金額!AE16)</f>
        <v>6224383</v>
      </c>
      <c r="AL23" s="232">
        <f>VALUE(庫存金額!AF16)</f>
        <v>7070597</v>
      </c>
      <c r="AM23" s="232">
        <f>VALUE(庫存金額!AG16)</f>
        <v>6149577</v>
      </c>
      <c r="AN23" s="232">
        <f>VALUE(庫存金額!AH16)</f>
        <v>-921020</v>
      </c>
      <c r="AO23" s="232">
        <f>VALUE(庫存金額!AI16)</f>
        <v>5900638.8399999999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97968.03</v>
      </c>
      <c r="E24" s="518">
        <f>HLOOKUP(MONTH(日期!$C$2),當年目標設定!$D$1:$O$33,22,TRUE)</f>
        <v>104067.92768110713</v>
      </c>
      <c r="F24" s="309">
        <f>HLOOKUP(MONTH(日期!$C$2),當年目標設定!$R$1:$AC$33,22,TRUE)</f>
        <v>107106.32092898677</v>
      </c>
      <c r="G24" s="308">
        <f>當年月推移!P22</f>
        <v>106839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190839</v>
      </c>
      <c r="AJ24" s="232">
        <f>VALUE(庫存金額!AD11)</f>
        <v>190839</v>
      </c>
      <c r="AK24" s="232">
        <f>VALUE(庫存金額!AE11)</f>
        <v>190839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114968.03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156297</v>
      </c>
      <c r="H25" s="308">
        <f>當年月推移!P57</f>
        <v>162159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1057005.999999</v>
      </c>
      <c r="E26" s="325">
        <f t="shared" si="9"/>
        <v>0</v>
      </c>
      <c r="F26" s="318">
        <f t="shared" si="9"/>
        <v>0</v>
      </c>
      <c r="G26" s="318">
        <f t="shared" si="9"/>
        <v>9916017</v>
      </c>
      <c r="H26" s="318">
        <f t="shared" si="9"/>
        <v>10939352</v>
      </c>
      <c r="I26" s="237">
        <f t="shared" si="9"/>
        <v>6216847</v>
      </c>
      <c r="J26" s="237">
        <f t="shared" ref="J26:AO26" si="10">SUM(J27:J31)</f>
        <v>6027967</v>
      </c>
      <c r="K26" s="237">
        <f t="shared" si="10"/>
        <v>5685649</v>
      </c>
      <c r="L26" s="237">
        <f t="shared" si="10"/>
        <v>5638869</v>
      </c>
      <c r="M26" s="237">
        <f t="shared" si="10"/>
        <v>5610109</v>
      </c>
      <c r="N26" s="237">
        <f t="shared" si="10"/>
        <v>5820347</v>
      </c>
      <c r="O26" s="237">
        <f t="shared" si="10"/>
        <v>5740027</v>
      </c>
      <c r="P26" s="237">
        <f t="shared" si="10"/>
        <v>5740027</v>
      </c>
      <c r="Q26" s="237">
        <f t="shared" si="10"/>
        <v>5656987</v>
      </c>
      <c r="R26" s="237">
        <f t="shared" si="10"/>
        <v>5107081</v>
      </c>
      <c r="S26" s="237">
        <f t="shared" si="10"/>
        <v>5076341</v>
      </c>
      <c r="T26" s="237">
        <f t="shared" si="10"/>
        <v>5146211</v>
      </c>
      <c r="U26" s="237">
        <f t="shared" si="10"/>
        <v>5458160</v>
      </c>
      <c r="V26" s="237">
        <f t="shared" si="10"/>
        <v>5383100</v>
      </c>
      <c r="W26" s="237">
        <f t="shared" si="10"/>
        <v>5383100</v>
      </c>
      <c r="X26" s="237">
        <f t="shared" si="10"/>
        <v>5246140</v>
      </c>
      <c r="Y26" s="237">
        <f t="shared" si="10"/>
        <v>4656246</v>
      </c>
      <c r="Z26" s="237">
        <f t="shared" si="10"/>
        <v>4555615</v>
      </c>
      <c r="AA26" s="237">
        <f t="shared" si="10"/>
        <v>4492655</v>
      </c>
      <c r="AB26" s="237">
        <f t="shared" si="10"/>
        <v>5375695</v>
      </c>
      <c r="AC26" s="237">
        <f t="shared" si="10"/>
        <v>5307915</v>
      </c>
      <c r="AD26" s="237">
        <f t="shared" si="10"/>
        <v>5307915</v>
      </c>
      <c r="AE26" s="237">
        <f t="shared" si="10"/>
        <v>5649195</v>
      </c>
      <c r="AF26" s="237">
        <f t="shared" si="10"/>
        <v>4831253</v>
      </c>
      <c r="AG26" s="237">
        <f t="shared" si="10"/>
        <v>5179113</v>
      </c>
      <c r="AH26" s="237">
        <f t="shared" si="10"/>
        <v>6329193</v>
      </c>
      <c r="AI26" s="237">
        <f t="shared" si="10"/>
        <v>6244353</v>
      </c>
      <c r="AJ26" s="237">
        <f t="shared" si="10"/>
        <v>6181393</v>
      </c>
      <c r="AK26" s="237">
        <f t="shared" si="10"/>
        <v>6181393</v>
      </c>
      <c r="AL26" s="237">
        <f t="shared" si="10"/>
        <v>6180253</v>
      </c>
      <c r="AM26" s="237">
        <f t="shared" si="10"/>
        <v>9146788</v>
      </c>
      <c r="AN26" s="237">
        <f t="shared" si="10"/>
        <v>2966535</v>
      </c>
      <c r="AO26" s="237">
        <f t="shared" si="10"/>
        <v>5630836.6799999997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188859.80645100001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166314</v>
      </c>
      <c r="J28" s="27">
        <f>VALUE(庫存金額!D21)</f>
        <v>166314</v>
      </c>
      <c r="K28" s="27">
        <f>VALUE(庫存金額!E21)</f>
        <v>134154</v>
      </c>
      <c r="L28" s="27">
        <f>VALUE(庫存金額!F21)</f>
        <v>135054</v>
      </c>
      <c r="M28" s="27">
        <f>VALUE(庫存金額!G21)</f>
        <v>135054</v>
      </c>
      <c r="N28" s="27">
        <f>VALUE(庫存金額!H21)</f>
        <v>135054</v>
      </c>
      <c r="O28" s="27">
        <f>VALUE(庫存金額!I21)</f>
        <v>135054</v>
      </c>
      <c r="P28" s="27">
        <f>VALUE(庫存金額!J21)</f>
        <v>135054</v>
      </c>
      <c r="Q28" s="27">
        <f>VALUE(庫存金額!K21)</f>
        <v>135054</v>
      </c>
      <c r="R28" s="27">
        <f>VALUE(庫存金額!L21)</f>
        <v>135054</v>
      </c>
      <c r="S28" s="27">
        <f>VALUE(庫存金額!M21)</f>
        <v>135054</v>
      </c>
      <c r="T28" s="27">
        <f>VALUE(庫存金額!N21)</f>
        <v>144054</v>
      </c>
      <c r="U28" s="27">
        <f>VALUE(庫存金額!O21)</f>
        <v>137394</v>
      </c>
      <c r="V28" s="27">
        <f>VALUE(庫存金額!P21)</f>
        <v>137394</v>
      </c>
      <c r="W28" s="27">
        <f>VALUE(庫存金額!Q21)</f>
        <v>137394</v>
      </c>
      <c r="X28" s="27">
        <f>VALUE(庫存金額!R21)</f>
        <v>137394</v>
      </c>
      <c r="Y28" s="27">
        <f>VALUE(庫存金額!S21)</f>
        <v>137394</v>
      </c>
      <c r="Z28" s="27">
        <f>VALUE(庫存金額!T21)</f>
        <v>137394</v>
      </c>
      <c r="AA28" s="27">
        <f>VALUE(庫存金額!U21)</f>
        <v>137394</v>
      </c>
      <c r="AB28" s="27">
        <f>VALUE(庫存金額!V21)</f>
        <v>137394</v>
      </c>
      <c r="AC28" s="27">
        <f>VALUE(庫存金額!W21)</f>
        <v>137394</v>
      </c>
      <c r="AD28" s="27">
        <f>VALUE(庫存金額!X21)</f>
        <v>137394</v>
      </c>
      <c r="AE28" s="27">
        <f>VALUE(庫存金額!Y21)</f>
        <v>122814</v>
      </c>
      <c r="AF28" s="27">
        <f>VALUE(庫存金額!Z21)</f>
        <v>122814</v>
      </c>
      <c r="AG28" s="27">
        <f>VALUE(庫存金額!AA21)</f>
        <v>122814</v>
      </c>
      <c r="AH28" s="27">
        <f>VALUE(庫存金額!AB21)</f>
        <v>122814</v>
      </c>
      <c r="AI28" s="27">
        <f>VALUE(庫存金額!AC21)</f>
        <v>122814</v>
      </c>
      <c r="AJ28" s="27">
        <f>VALUE(庫存金額!AD21)</f>
        <v>122814</v>
      </c>
      <c r="AK28" s="27">
        <f>VALUE(庫存金額!AE21)</f>
        <v>122814</v>
      </c>
      <c r="AL28" s="27">
        <f>VALUE(庫存金額!AF21)</f>
        <v>122814</v>
      </c>
      <c r="AM28" s="27">
        <f>VALUE(庫存金額!AG21)</f>
        <v>222078</v>
      </c>
      <c r="AN28" s="27">
        <f>VALUE(庫存金額!AH21)</f>
        <v>99264</v>
      </c>
      <c r="AO28" s="27">
        <f>VALUE(庫存金額!AI21)</f>
        <v>137735.42000000001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5151991</v>
      </c>
      <c r="H29" s="308">
        <f>當年月推移!P61</f>
        <v>5500705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4764026</v>
      </c>
      <c r="H30" s="308">
        <f>當年月推移!P62</f>
        <v>5438647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706970.19354799995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6036373</v>
      </c>
      <c r="J31" s="111">
        <f>VALUE(庫存金額!D25)</f>
        <v>5847493</v>
      </c>
      <c r="K31" s="111">
        <f>VALUE(庫存金額!E25)</f>
        <v>5537335</v>
      </c>
      <c r="L31" s="111">
        <f>VALUE(庫存金額!F25)</f>
        <v>5489655</v>
      </c>
      <c r="M31" s="111">
        <f>VALUE(庫存金額!G25)</f>
        <v>5460895</v>
      </c>
      <c r="N31" s="111">
        <f>VALUE(庫存金額!H25)</f>
        <v>5671133</v>
      </c>
      <c r="O31" s="111">
        <f>VALUE(庫存金額!I25)</f>
        <v>5590813</v>
      </c>
      <c r="P31" s="111">
        <f>VALUE(庫存金額!J25)</f>
        <v>5590813</v>
      </c>
      <c r="Q31" s="111">
        <f>VALUE(庫存金額!K25)</f>
        <v>5507773</v>
      </c>
      <c r="R31" s="111">
        <f>VALUE(庫存金額!L25)</f>
        <v>4957867</v>
      </c>
      <c r="S31" s="111">
        <f>VALUE(庫存金額!M25)</f>
        <v>4927127</v>
      </c>
      <c r="T31" s="111">
        <f>VALUE(庫存金額!N25)</f>
        <v>4987997</v>
      </c>
      <c r="U31" s="111">
        <f>VALUE(庫存金額!O25)</f>
        <v>5306606</v>
      </c>
      <c r="V31" s="111">
        <f>VALUE(庫存金額!P25)</f>
        <v>5231546</v>
      </c>
      <c r="W31" s="111">
        <f>VALUE(庫存金額!Q25)</f>
        <v>5231546</v>
      </c>
      <c r="X31" s="111">
        <f>VALUE(庫存金額!R25)</f>
        <v>5094586</v>
      </c>
      <c r="Y31" s="111">
        <f>VALUE(庫存金額!S25)</f>
        <v>4504692</v>
      </c>
      <c r="Z31" s="111">
        <f>VALUE(庫存金額!T25)</f>
        <v>4404061</v>
      </c>
      <c r="AA31" s="111">
        <f>VALUE(庫存金額!U25)</f>
        <v>4341101</v>
      </c>
      <c r="AB31" s="111">
        <f>VALUE(庫存金額!V25)</f>
        <v>5224141</v>
      </c>
      <c r="AC31" s="111">
        <f>VALUE(庫存金額!W25)</f>
        <v>5156361</v>
      </c>
      <c r="AD31" s="111">
        <f>VALUE(庫存金額!X25)</f>
        <v>5156361</v>
      </c>
      <c r="AE31" s="111">
        <f>VALUE(庫存金額!Y25)</f>
        <v>5512221</v>
      </c>
      <c r="AF31" s="111">
        <f>VALUE(庫存金額!Z25)</f>
        <v>4694279</v>
      </c>
      <c r="AG31" s="111">
        <f>VALUE(庫存金額!AA25)</f>
        <v>5042139</v>
      </c>
      <c r="AH31" s="111">
        <f>VALUE(庫存金額!AB25)</f>
        <v>6192219</v>
      </c>
      <c r="AI31" s="111">
        <f>VALUE(庫存金額!AC25)</f>
        <v>6107379</v>
      </c>
      <c r="AJ31" s="111">
        <f>VALUE(庫存金額!AD25)</f>
        <v>6044419</v>
      </c>
      <c r="AK31" s="111">
        <f>VALUE(庫存金額!AE25)</f>
        <v>6044419</v>
      </c>
      <c r="AL31" s="111">
        <f>VALUE(庫存金額!AF25)</f>
        <v>6043279</v>
      </c>
      <c r="AM31" s="111">
        <f>VALUE(庫存金額!AG25)</f>
        <v>8910550</v>
      </c>
      <c r="AN31" s="111">
        <f>VALUE(庫存金額!AH25)</f>
        <v>2867271</v>
      </c>
      <c r="AO31" s="111">
        <f>VALUE(庫存金額!AI25)</f>
        <v>5478941.2599999998</v>
      </c>
    </row>
    <row r="32" spans="1:44" s="32" customFormat="1" ht="21.95" customHeight="1">
      <c r="A32" s="622" t="s">
        <v>36</v>
      </c>
      <c r="B32" s="623"/>
      <c r="C32" s="31" t="s">
        <v>37</v>
      </c>
      <c r="D32" s="327">
        <f>HLOOKUP(MONTH(日期!$C$2),去年月推移!$D$1:$O$33,30,TRUE)</f>
        <v>1608277.81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103859</v>
      </c>
      <c r="H32" s="328">
        <f>當年月推移!P63</f>
        <v>102662</v>
      </c>
      <c r="I32" s="110">
        <f>VALUE(庫存金額!C15)</f>
        <v>102612</v>
      </c>
      <c r="J32" s="110">
        <f>VALUE(庫存金額!D15)</f>
        <v>94337</v>
      </c>
      <c r="K32" s="110">
        <f>VALUE(庫存金額!E15)</f>
        <v>82200</v>
      </c>
      <c r="L32" s="110">
        <f>VALUE(庫存金額!F15)</f>
        <v>82200</v>
      </c>
      <c r="M32" s="110">
        <f>VALUE(庫存金額!G15)</f>
        <v>78154</v>
      </c>
      <c r="N32" s="110">
        <f>VALUE(庫存金額!H15)</f>
        <v>78154</v>
      </c>
      <c r="O32" s="110">
        <f>VALUE(庫存金額!I15)</f>
        <v>74109</v>
      </c>
      <c r="P32" s="110">
        <f>VALUE(庫存金額!J15)</f>
        <v>74109</v>
      </c>
      <c r="Q32" s="110">
        <f>VALUE(庫存金額!K15)</f>
        <v>70063</v>
      </c>
      <c r="R32" s="110">
        <f>VALUE(庫存金額!L15)</f>
        <v>70063</v>
      </c>
      <c r="S32" s="110">
        <f>VALUE(庫存金額!M15)</f>
        <v>70063</v>
      </c>
      <c r="T32" s="110">
        <f>VALUE(庫存金額!N15)</f>
        <v>66017</v>
      </c>
      <c r="U32" s="110">
        <f>VALUE(庫存金額!O15)</f>
        <v>57743</v>
      </c>
      <c r="V32" s="110">
        <f>VALUE(庫存金額!P15)</f>
        <v>53513</v>
      </c>
      <c r="W32" s="110">
        <f>VALUE(庫存金額!Q15)</f>
        <v>53513</v>
      </c>
      <c r="X32" s="110">
        <f>VALUE(庫存金額!R15)</f>
        <v>53513</v>
      </c>
      <c r="Y32" s="110">
        <f>VALUE(庫存金額!S15)</f>
        <v>123738</v>
      </c>
      <c r="Z32" s="110">
        <f>VALUE(庫存金額!T15)</f>
        <v>119942</v>
      </c>
      <c r="AA32" s="110">
        <f>VALUE(庫存金額!U15)</f>
        <v>116198</v>
      </c>
      <c r="AB32" s="110">
        <f>VALUE(庫存金額!V15)</f>
        <v>107847</v>
      </c>
      <c r="AC32" s="110">
        <f>VALUE(庫存金額!W15)</f>
        <v>107848</v>
      </c>
      <c r="AD32" s="110">
        <f>VALUE(庫存金額!X15)</f>
        <v>107848</v>
      </c>
      <c r="AE32" s="110">
        <f>VALUE(庫存金額!Y15)</f>
        <v>107848</v>
      </c>
      <c r="AF32" s="110">
        <f>VALUE(庫存金額!Z15)</f>
        <v>99640</v>
      </c>
      <c r="AG32" s="110">
        <f>VALUE(庫存金額!AA15)</f>
        <v>99639</v>
      </c>
      <c r="AH32" s="110">
        <f>VALUE(庫存金額!AB15)</f>
        <v>95535</v>
      </c>
      <c r="AI32" s="110">
        <f>VALUE(庫存金額!AC15)</f>
        <v>95535</v>
      </c>
      <c r="AJ32" s="110">
        <f>VALUE(庫存金額!AD15)</f>
        <v>91431</v>
      </c>
      <c r="AK32" s="110">
        <f>VALUE(庫存金額!AE15)</f>
        <v>91431</v>
      </c>
      <c r="AL32" s="110">
        <f>VALUE(庫存金額!AF15)</f>
        <v>87326</v>
      </c>
      <c r="AM32" s="110">
        <f>VALUE(庫存金額!AG15)</f>
        <v>83222</v>
      </c>
      <c r="AN32" s="110">
        <f>VALUE(庫存金額!AH15)</f>
        <v>-4104</v>
      </c>
      <c r="AO32" s="110">
        <f>VALUE(庫存金額!AI15)</f>
        <v>86948.1</v>
      </c>
    </row>
    <row r="33" spans="1:41" s="32" customFormat="1" ht="21.95" customHeight="1">
      <c r="A33" s="624"/>
      <c r="B33" s="625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24"/>
      <c r="B34" s="625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6384323</v>
      </c>
      <c r="H34" s="328">
        <f>當年月推移!P65</f>
        <v>7220563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26"/>
      <c r="B35" s="627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10178942</v>
      </c>
      <c r="H35" s="471">
        <f>當年月推移!P66</f>
        <v>10885988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1</v>
      </c>
      <c r="B38" s="565"/>
      <c r="C38" s="565"/>
      <c r="D38" s="568" t="str">
        <f>D3</f>
        <v>2025/3</v>
      </c>
      <c r="E38" s="601" t="str">
        <f>E3</f>
        <v>2026/3</v>
      </c>
      <c r="F38" s="332"/>
      <c r="G38" s="630">
        <f>YEAR(日期!C2)</f>
        <v>2026</v>
      </c>
      <c r="H38" s="631"/>
      <c r="I38" s="490" t="str">
        <f>日期!C2</f>
        <v>2026/03/01</v>
      </c>
      <c r="J38" s="490" t="str">
        <f>日期!D2</f>
        <v>2026/03/02</v>
      </c>
      <c r="K38" s="490" t="str">
        <f>日期!E2</f>
        <v>2026/03/03</v>
      </c>
      <c r="L38" s="490" t="str">
        <f>日期!F2</f>
        <v>2026/03/04</v>
      </c>
      <c r="M38" s="490" t="str">
        <f>日期!G2</f>
        <v>2026/03/05</v>
      </c>
      <c r="N38" s="490" t="str">
        <f>日期!H2</f>
        <v>2026/03/06</v>
      </c>
      <c r="O38" s="490" t="str">
        <f>日期!I2</f>
        <v>2026/03/07</v>
      </c>
      <c r="P38" s="490" t="str">
        <f>日期!J2</f>
        <v>2026/03/08</v>
      </c>
      <c r="Q38" s="490" t="str">
        <f>日期!K2</f>
        <v>2026/03/09</v>
      </c>
      <c r="R38" s="490" t="str">
        <f>日期!L2</f>
        <v>2026/03/10</v>
      </c>
      <c r="S38" s="490" t="str">
        <f>日期!M2</f>
        <v>2026/03/11</v>
      </c>
      <c r="T38" s="490" t="str">
        <f>日期!N2</f>
        <v>2026/03/12</v>
      </c>
      <c r="U38" s="490" t="str">
        <f>日期!O2</f>
        <v>2026/03/13</v>
      </c>
      <c r="V38" s="490" t="str">
        <f>日期!P2</f>
        <v>2026/03/14</v>
      </c>
      <c r="W38" s="490" t="str">
        <f>日期!Q2</f>
        <v>2026/03/15</v>
      </c>
      <c r="X38" s="490" t="str">
        <f>日期!R2</f>
        <v>2026/03/16</v>
      </c>
      <c r="Y38" s="490" t="str">
        <f>日期!S2</f>
        <v>2026/03/17</v>
      </c>
      <c r="Z38" s="490" t="str">
        <f>日期!T2</f>
        <v>2026/03/18</v>
      </c>
      <c r="AA38" s="490" t="str">
        <f>日期!U2</f>
        <v>2026/03/19</v>
      </c>
      <c r="AB38" s="490" t="str">
        <f>日期!V2</f>
        <v>2026/03/20</v>
      </c>
      <c r="AC38" s="490" t="str">
        <f>日期!W2</f>
        <v>2026/03/21</v>
      </c>
      <c r="AD38" s="490" t="str">
        <f>日期!X2</f>
        <v>2026/03/22</v>
      </c>
      <c r="AE38" s="490" t="str">
        <f>日期!Y2</f>
        <v>2026/03/23</v>
      </c>
      <c r="AF38" s="490" t="str">
        <f>日期!Z2</f>
        <v>2026/03/24</v>
      </c>
      <c r="AG38" s="490" t="str">
        <f>日期!AA2</f>
        <v>2026/03/25</v>
      </c>
      <c r="AH38" s="490" t="str">
        <f>日期!AB2</f>
        <v>2026/03/26</v>
      </c>
      <c r="AI38" s="490" t="str">
        <f>日期!AC2</f>
        <v>2026/03/27</v>
      </c>
      <c r="AJ38" s="490" t="str">
        <f>日期!AD2</f>
        <v>2026/03/28</v>
      </c>
      <c r="AK38" s="490" t="str">
        <f>日期!AE2</f>
        <v>2026/03/29</v>
      </c>
      <c r="AL38" s="490" t="str">
        <f>日期!AF2</f>
        <v>2026/03/30</v>
      </c>
      <c r="AM38" s="490" t="str">
        <f>日期!AG2</f>
        <v>2026/03/31</v>
      </c>
      <c r="AN38" s="560" t="s">
        <v>42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43</v>
      </c>
      <c r="H39" s="633"/>
      <c r="I39" s="12" t="str">
        <f>日期!C3</f>
        <v>Sun</v>
      </c>
      <c r="J39" s="12" t="str">
        <f>日期!D3</f>
        <v>Mon</v>
      </c>
      <c r="K39" s="12" t="str">
        <f>日期!E3</f>
        <v>Tue</v>
      </c>
      <c r="L39" s="12" t="str">
        <f>日期!F3</f>
        <v>Wed</v>
      </c>
      <c r="M39" s="12" t="str">
        <f>日期!G3</f>
        <v>Thu</v>
      </c>
      <c r="N39" s="12" t="str">
        <f>日期!H3</f>
        <v>Fri</v>
      </c>
      <c r="O39" s="12" t="str">
        <f>日期!I3</f>
        <v>Sat</v>
      </c>
      <c r="P39" s="12" t="str">
        <f>日期!J3</f>
        <v>Sun</v>
      </c>
      <c r="Q39" s="12" t="str">
        <f>日期!K3</f>
        <v>Mon</v>
      </c>
      <c r="R39" s="12" t="str">
        <f>日期!L3</f>
        <v>Tue</v>
      </c>
      <c r="S39" s="12" t="str">
        <f>日期!M3</f>
        <v>Wed</v>
      </c>
      <c r="T39" s="12" t="str">
        <f>日期!N3</f>
        <v>Thu</v>
      </c>
      <c r="U39" s="12" t="str">
        <f>日期!O3</f>
        <v>Fri</v>
      </c>
      <c r="V39" s="12" t="str">
        <f>日期!P3</f>
        <v>Sat</v>
      </c>
      <c r="W39" s="12" t="str">
        <f>日期!Q3</f>
        <v>Sun</v>
      </c>
      <c r="X39" s="12" t="str">
        <f>日期!R3</f>
        <v>Mon</v>
      </c>
      <c r="Y39" s="12" t="str">
        <f>日期!S3</f>
        <v>Tue</v>
      </c>
      <c r="Z39" s="12" t="str">
        <f>日期!T3</f>
        <v>Wed</v>
      </c>
      <c r="AA39" s="12" t="str">
        <f>日期!U3</f>
        <v>Thu</v>
      </c>
      <c r="AB39" s="12" t="str">
        <f>日期!V3</f>
        <v>Fri</v>
      </c>
      <c r="AC39" s="12" t="str">
        <f>日期!W3</f>
        <v>Sat</v>
      </c>
      <c r="AD39" s="12" t="str">
        <f>日期!X3</f>
        <v>Sun</v>
      </c>
      <c r="AE39" s="12" t="str">
        <f>日期!Y3</f>
        <v>Mon</v>
      </c>
      <c r="AF39" s="12" t="str">
        <f>日期!Z3</f>
        <v>Tue</v>
      </c>
      <c r="AG39" s="12" t="str">
        <f>日期!AA3</f>
        <v>Wed</v>
      </c>
      <c r="AH39" s="12" t="str">
        <f>日期!AB3</f>
        <v>Thu</v>
      </c>
      <c r="AI39" s="12" t="str">
        <f>日期!AC3</f>
        <v>Fri</v>
      </c>
      <c r="AJ39" s="12" t="str">
        <f>日期!AD3</f>
        <v>Sat</v>
      </c>
      <c r="AK39" s="12" t="str">
        <f>日期!AE3</f>
        <v>Sun</v>
      </c>
      <c r="AL39" s="12" t="str">
        <f>日期!AF3</f>
        <v>Mon</v>
      </c>
      <c r="AM39" s="12" t="str">
        <f>日期!AG3</f>
        <v>Tue</v>
      </c>
      <c r="AN39" s="561"/>
    </row>
    <row r="40" spans="1:41" s="14" customFormat="1" ht="21.95" customHeight="1">
      <c r="A40" s="634" t="s">
        <v>44</v>
      </c>
      <c r="B40" s="635"/>
      <c r="C40" s="635"/>
      <c r="D40" s="272" t="str">
        <f>HLOOKUP(MONTH(日期!$C$2),去年月推移!$D$1:$O$200,98,TRUE)</f>
        <v>98.5</v>
      </c>
      <c r="E40" s="45">
        <v>97.9</v>
      </c>
      <c r="F40" s="46" t="s">
        <v>45</v>
      </c>
      <c r="G40" s="589">
        <f>ROUND(當年月推移!P99,1)</f>
        <v>98</v>
      </c>
      <c r="H40" s="590"/>
      <c r="I40" s="245">
        <f>ROUND(供應率ALL!C2,1)</f>
        <v>0</v>
      </c>
      <c r="J40" s="245">
        <f>ROUND(供應率ALL!D2,1)</f>
        <v>97.8</v>
      </c>
      <c r="K40" s="245">
        <f>ROUND(供應率ALL!E2,1)</f>
        <v>97.8</v>
      </c>
      <c r="L40" s="245">
        <f>ROUND(供應率ALL!F2,1)</f>
        <v>97.7</v>
      </c>
      <c r="M40" s="245">
        <f>ROUND(供應率ALL!G2,1)</f>
        <v>97.9</v>
      </c>
      <c r="N40" s="245">
        <f>ROUND(供應率ALL!H2,1)</f>
        <v>98</v>
      </c>
      <c r="O40" s="245">
        <f>ROUND(供應率ALL!I2,1)</f>
        <v>97.7</v>
      </c>
      <c r="P40" s="245">
        <f>ROUND(供應率ALL!J2,1)</f>
        <v>0</v>
      </c>
      <c r="Q40" s="245">
        <f>ROUND(供應率ALL!K2,1)</f>
        <v>98</v>
      </c>
      <c r="R40" s="245">
        <f>ROUND(供應率ALL!L2,1)</f>
        <v>97.9</v>
      </c>
      <c r="S40" s="245">
        <f>ROUND(供應率ALL!M2,1)</f>
        <v>97.3</v>
      </c>
      <c r="T40" s="245">
        <f>ROUND(供應率ALL!N2,1)</f>
        <v>97.7</v>
      </c>
      <c r="U40" s="245">
        <f>ROUND(供應率ALL!O2,1)</f>
        <v>97.6</v>
      </c>
      <c r="V40" s="245">
        <f>ROUND(供應率ALL!P2,1)</f>
        <v>96.9</v>
      </c>
      <c r="W40" s="245">
        <f>ROUND(供應率ALL!Q2,1)</f>
        <v>0</v>
      </c>
      <c r="X40" s="245">
        <f>ROUND(供應率ALL!R2,1)</f>
        <v>97.6</v>
      </c>
      <c r="Y40" s="245">
        <f>ROUND(供應率ALL!S2,1)</f>
        <v>97.7</v>
      </c>
      <c r="Z40" s="245">
        <f>ROUND(供應率ALL!T2,1)</f>
        <v>97.5</v>
      </c>
      <c r="AA40" s="245">
        <f>ROUND(供應率ALL!U2,1)</f>
        <v>97.3</v>
      </c>
      <c r="AB40" s="245">
        <f>ROUND(供應率ALL!V2,1)</f>
        <v>97.6</v>
      </c>
      <c r="AC40" s="245">
        <f>ROUND(供應率ALL!W2,1)</f>
        <v>97.7</v>
      </c>
      <c r="AD40" s="245">
        <f>ROUND(供應率ALL!X2,1)</f>
        <v>0</v>
      </c>
      <c r="AE40" s="245">
        <f>ROUND(供應率ALL!Y2,1)</f>
        <v>97.7</v>
      </c>
      <c r="AF40" s="245">
        <f>ROUND(供應率ALL!Z2,1)</f>
        <v>97.5</v>
      </c>
      <c r="AG40" s="245">
        <f>ROUND(供應率ALL!AA2,1)</f>
        <v>98.1</v>
      </c>
      <c r="AH40" s="245">
        <f>ROUND(供應率ALL!AB2,1)</f>
        <v>98.4</v>
      </c>
      <c r="AI40" s="245">
        <f>ROUND(供應率ALL!AC2,1)</f>
        <v>97.9</v>
      </c>
      <c r="AJ40" s="245">
        <f>ROUND(供應率ALL!AD2,1)</f>
        <v>98.1</v>
      </c>
      <c r="AK40" s="245">
        <f>ROUND(供應率ALL!AE2,1)</f>
        <v>0</v>
      </c>
      <c r="AL40" s="245">
        <f>ROUND(供應率ALL!AF2,1)</f>
        <v>98.4</v>
      </c>
      <c r="AM40" s="245">
        <f>ROUND(供應率ALL!AG2,1)</f>
        <v>98.5</v>
      </c>
      <c r="AN40" s="213">
        <f>ROUND(供應率ALL!AH2,1)</f>
        <v>97.9</v>
      </c>
      <c r="AO40" s="48"/>
    </row>
    <row r="41" spans="1:41" s="14" customFormat="1" ht="21.95" customHeight="1">
      <c r="A41" s="636" t="s">
        <v>46</v>
      </c>
      <c r="B41" s="637"/>
      <c r="C41" s="637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58">
        <f>ROUND(當年月推移!P100,1)</f>
        <v>100</v>
      </c>
      <c r="H41" s="559"/>
      <c r="I41" s="47">
        <f>ROUND(供應率ALL!C4,1)</f>
        <v>0</v>
      </c>
      <c r="J41" s="47">
        <f>ROUND(供應率ALL!D4,1)</f>
        <v>99.6</v>
      </c>
      <c r="K41" s="47">
        <f>ROUND(供應率ALL!E4,1)</f>
        <v>100</v>
      </c>
      <c r="L41" s="47">
        <f>ROUND(供應率ALL!F4,1)</f>
        <v>99.8</v>
      </c>
      <c r="M41" s="47">
        <f>ROUND(供應率ALL!G4,1)</f>
        <v>99.7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99.8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100</v>
      </c>
      <c r="AO41" s="48"/>
    </row>
    <row r="42" spans="1:41" s="14" customFormat="1" ht="21.95" customHeight="1">
      <c r="A42" s="636" t="s">
        <v>13</v>
      </c>
      <c r="B42" s="637"/>
      <c r="C42" s="637"/>
      <c r="D42" s="44" t="str">
        <f>HLOOKUP(MONTH(日期!$C$2),去年月推移!$D$1:$O$200,100,TRUE)</f>
        <v>97.9</v>
      </c>
      <c r="E42" s="50">
        <v>80</v>
      </c>
      <c r="F42" s="51" t="s">
        <v>45</v>
      </c>
      <c r="G42" s="558">
        <f>ROUND(當年月推移!P101,1)</f>
        <v>92.9</v>
      </c>
      <c r="H42" s="559"/>
      <c r="I42" s="47">
        <f>ROUND(供應率ALL!C5,1)</f>
        <v>0</v>
      </c>
      <c r="J42" s="47">
        <f>ROUND(供應率ALL!D5,1)</f>
        <v>76.400000000000006</v>
      </c>
      <c r="K42" s="47">
        <f>ROUND(供應率ALL!E5,1)</f>
        <v>71.400000000000006</v>
      </c>
      <c r="L42" s="47">
        <f>ROUND(供應率ALL!F5,1)</f>
        <v>88.8</v>
      </c>
      <c r="M42" s="47">
        <f>ROUND(供應率ALL!G5,1)</f>
        <v>100</v>
      </c>
      <c r="N42" s="47">
        <f>ROUND(供應率ALL!H5,1)</f>
        <v>81.8</v>
      </c>
      <c r="O42" s="47">
        <f>ROUND(供應率ALL!I5,1)</f>
        <v>87.5</v>
      </c>
      <c r="P42" s="47">
        <f>ROUND(供應率ALL!J5,1)</f>
        <v>0</v>
      </c>
      <c r="Q42" s="47">
        <f>ROUND(供應率ALL!K5,1)</f>
        <v>100</v>
      </c>
      <c r="R42" s="47">
        <f>ROUND(供應率ALL!L5,1)</f>
        <v>100</v>
      </c>
      <c r="S42" s="47">
        <f>ROUND(供應率ALL!M5,1)</f>
        <v>87.5</v>
      </c>
      <c r="T42" s="47">
        <f>ROUND(供應率ALL!N5,1)</f>
        <v>87.5</v>
      </c>
      <c r="U42" s="47">
        <f>ROUND(供應率ALL!O5,1)</f>
        <v>50</v>
      </c>
      <c r="V42" s="47">
        <f>ROUND(供應率ALL!P5,1)</f>
        <v>100</v>
      </c>
      <c r="W42" s="47">
        <f>ROUND(供應率ALL!Q5,1)</f>
        <v>0</v>
      </c>
      <c r="X42" s="47">
        <f>ROUND(供應率ALL!R5,1)</f>
        <v>100</v>
      </c>
      <c r="Y42" s="47">
        <f>ROUND(供應率ALL!S5,1)</f>
        <v>90.9</v>
      </c>
      <c r="Z42" s="47">
        <f>ROUND(供應率ALL!T5,1)</f>
        <v>88.8</v>
      </c>
      <c r="AA42" s="47">
        <f>ROUND(供應率ALL!U5,1)</f>
        <v>50</v>
      </c>
      <c r="AB42" s="47">
        <f>ROUND(供應率ALL!V5,1)</f>
        <v>63.6</v>
      </c>
      <c r="AC42" s="47">
        <f>ROUND(供應率ALL!W5,1)</f>
        <v>66.599999999999994</v>
      </c>
      <c r="AD42" s="47">
        <f>ROUND(供應率ALL!X5,1)</f>
        <v>0</v>
      </c>
      <c r="AE42" s="47">
        <f>ROUND(供應率ALL!Y5,1)</f>
        <v>80</v>
      </c>
      <c r="AF42" s="47">
        <f>ROUND(供應率ALL!Z5,1)</f>
        <v>100</v>
      </c>
      <c r="AG42" s="47">
        <f>ROUND(供應率ALL!AA5,1)</f>
        <v>100</v>
      </c>
      <c r="AH42" s="47">
        <f>ROUND(供應率ALL!AB5,1)</f>
        <v>85.7</v>
      </c>
      <c r="AI42" s="47">
        <f>ROUND(供應率ALL!AC5,1)</f>
        <v>100</v>
      </c>
      <c r="AJ42" s="47">
        <f>ROUND(供應率ALL!AD5,1)</f>
        <v>85.7</v>
      </c>
      <c r="AK42" s="47">
        <f>ROUND(供應率ALL!AE5,1)</f>
        <v>0</v>
      </c>
      <c r="AL42" s="47">
        <f>ROUND(供應率ALL!AF5,1)</f>
        <v>81.8</v>
      </c>
      <c r="AM42" s="47">
        <f>ROUND(供應率ALL!AG5,1)</f>
        <v>100</v>
      </c>
      <c r="AN42" s="214">
        <f>ROUND(供應率ALL!AH5,1)</f>
        <v>83.4</v>
      </c>
      <c r="AO42" s="48"/>
    </row>
    <row r="43" spans="1:41" s="14" customFormat="1" ht="21.95" customHeight="1">
      <c r="A43" s="636" t="s">
        <v>14</v>
      </c>
      <c r="B43" s="637"/>
      <c r="C43" s="637"/>
      <c r="D43" s="44" t="str">
        <f>HLOOKUP(MONTH(日期!$C$2),去年月推移!$D$1:$O$200,101,TRUE)</f>
        <v>99.5</v>
      </c>
      <c r="E43" s="50">
        <v>99.2</v>
      </c>
      <c r="F43" s="51" t="s">
        <v>45</v>
      </c>
      <c r="G43" s="558">
        <f>ROUND(當年月推移!P102,1)</f>
        <v>99.3</v>
      </c>
      <c r="H43" s="559"/>
      <c r="I43" s="47">
        <f>ROUND(供應率ALL!C6,1)</f>
        <v>0</v>
      </c>
      <c r="J43" s="47">
        <f>ROUND(供應率ALL!D6,1)</f>
        <v>98.9</v>
      </c>
      <c r="K43" s="47">
        <f>ROUND(供應率ALL!E6,1)</f>
        <v>99</v>
      </c>
      <c r="L43" s="47">
        <f>ROUND(供應率ALL!F6,1)</f>
        <v>99</v>
      </c>
      <c r="M43" s="47">
        <f>ROUND(供應率ALL!G6,1)</f>
        <v>99.2</v>
      </c>
      <c r="N43" s="47">
        <f>ROUND(供應率ALL!H6,1)</f>
        <v>99.6</v>
      </c>
      <c r="O43" s="47">
        <f>ROUND(供應率ALL!I6,1)</f>
        <v>99.7</v>
      </c>
      <c r="P43" s="47">
        <f>ROUND(供應率ALL!J6,1)</f>
        <v>0</v>
      </c>
      <c r="Q43" s="47">
        <f>ROUND(供應率ALL!K6,1)</f>
        <v>99.7</v>
      </c>
      <c r="R43" s="47">
        <f>ROUND(供應率ALL!L6,1)</f>
        <v>98.9</v>
      </c>
      <c r="S43" s="47">
        <f>ROUND(供應率ALL!M6,1)</f>
        <v>99.3</v>
      </c>
      <c r="T43" s="47">
        <f>ROUND(供應率ALL!N6,1)</f>
        <v>99.6</v>
      </c>
      <c r="U43" s="47">
        <f>ROUND(供應率ALL!O6,1)</f>
        <v>99.1</v>
      </c>
      <c r="V43" s="47">
        <f>ROUND(供應率ALL!P6,1)</f>
        <v>99.6</v>
      </c>
      <c r="W43" s="47">
        <f>ROUND(供應率ALL!Q6,1)</f>
        <v>0</v>
      </c>
      <c r="X43" s="47">
        <f>ROUND(供應率ALL!R6,1)</f>
        <v>99.6</v>
      </c>
      <c r="Y43" s="47">
        <f>ROUND(供應率ALL!S6,1)</f>
        <v>99.4</v>
      </c>
      <c r="Z43" s="47">
        <f>ROUND(供應率ALL!T6,1)</f>
        <v>99.3</v>
      </c>
      <c r="AA43" s="47">
        <f>ROUND(供應率ALL!U6,1)</f>
        <v>99.3</v>
      </c>
      <c r="AB43" s="47">
        <f>ROUND(供應率ALL!V6,1)</f>
        <v>99.6</v>
      </c>
      <c r="AC43" s="47">
        <f>ROUND(供應率ALL!W6,1)</f>
        <v>99.8</v>
      </c>
      <c r="AD43" s="47">
        <f>ROUND(供應率ALL!X6,1)</f>
        <v>0</v>
      </c>
      <c r="AE43" s="47">
        <f>ROUND(供應率ALL!Y6,1)</f>
        <v>99.5</v>
      </c>
      <c r="AF43" s="47">
        <f>ROUND(供應率ALL!Z6,1)</f>
        <v>99.7</v>
      </c>
      <c r="AG43" s="47">
        <f>ROUND(供應率ALL!AA6,1)</f>
        <v>99.6</v>
      </c>
      <c r="AH43" s="47">
        <f>ROUND(供應率ALL!AB6,1)</f>
        <v>99.4</v>
      </c>
      <c r="AI43" s="47">
        <f>ROUND(供應率ALL!AC6,1)</f>
        <v>99.6</v>
      </c>
      <c r="AJ43" s="47">
        <f>ROUND(供應率ALL!AD6,1)</f>
        <v>99.7</v>
      </c>
      <c r="AK43" s="47">
        <f>ROUND(供應率ALL!AE6,1)</f>
        <v>0</v>
      </c>
      <c r="AL43" s="47">
        <f>ROUND(供應率ALL!AF6,1)</f>
        <v>99.8</v>
      </c>
      <c r="AM43" s="47">
        <f>ROUND(供應率ALL!AG6,1)</f>
        <v>98.8</v>
      </c>
      <c r="AN43" s="214">
        <f>ROUND(供應率ALL!AH6,1)</f>
        <v>99.4</v>
      </c>
      <c r="AO43" s="48"/>
    </row>
    <row r="44" spans="1:41" s="14" customFormat="1" ht="21.95" customHeight="1">
      <c r="A44" s="636" t="s">
        <v>47</v>
      </c>
      <c r="B44" s="637"/>
      <c r="C44" s="637"/>
      <c r="D44" s="44" t="str">
        <f>HLOOKUP(MONTH(日期!$C$2),去年月推移!$D$1:$O$200,102,TRUE)</f>
        <v>94.4</v>
      </c>
      <c r="E44" s="50">
        <v>94.5</v>
      </c>
      <c r="F44" s="51" t="s">
        <v>45</v>
      </c>
      <c r="G44" s="558">
        <f>ROUND(當年月推移!P103,1)</f>
        <v>93.5</v>
      </c>
      <c r="H44" s="559"/>
      <c r="I44" s="47">
        <f>ROUND(供應率ALL!C23,1)</f>
        <v>0</v>
      </c>
      <c r="J44" s="47">
        <f>ROUND(供應率ALL!D23,1)</f>
        <v>92.9</v>
      </c>
      <c r="K44" s="47">
        <f>ROUND(供應率ALL!E23,1)</f>
        <v>89.5</v>
      </c>
      <c r="L44" s="47">
        <f>ROUND(供應率ALL!F23,1)</f>
        <v>94</v>
      </c>
      <c r="M44" s="47">
        <f>ROUND(供應率ALL!G23,1)</f>
        <v>94.9</v>
      </c>
      <c r="N44" s="47">
        <f>ROUND(供應率ALL!H23,1)</f>
        <v>93.7</v>
      </c>
      <c r="O44" s="47">
        <f>ROUND(供應率ALL!I23,1)</f>
        <v>83.4</v>
      </c>
      <c r="P44" s="47">
        <f>ROUND(供應率ALL!J23,1)</f>
        <v>0</v>
      </c>
      <c r="Q44" s="47">
        <f>ROUND(供應率ALL!K23,1)</f>
        <v>75.900000000000006</v>
      </c>
      <c r="R44" s="47">
        <f>ROUND(供應率ALL!L23,1)</f>
        <v>83.2</v>
      </c>
      <c r="S44" s="47">
        <f>ROUND(供應率ALL!M23,1)</f>
        <v>87.9</v>
      </c>
      <c r="T44" s="47">
        <f>ROUND(供應率ALL!N23,1)</f>
        <v>93.1</v>
      </c>
      <c r="U44" s="47">
        <f>ROUND(供應率ALL!O23,1)</f>
        <v>88.1</v>
      </c>
      <c r="V44" s="47">
        <f>ROUND(供應率ALL!P23,1)</f>
        <v>88.3</v>
      </c>
      <c r="W44" s="47">
        <f>ROUND(供應率ALL!Q23,1)</f>
        <v>0</v>
      </c>
      <c r="X44" s="47">
        <f>ROUND(供應率ALL!R23,1)</f>
        <v>91</v>
      </c>
      <c r="Y44" s="47">
        <f>ROUND(供應率ALL!S23,1)</f>
        <v>92.4</v>
      </c>
      <c r="Z44" s="47">
        <f>ROUND(供應率ALL!T23,1)</f>
        <v>94.6</v>
      </c>
      <c r="AA44" s="47">
        <f>ROUND(供應率ALL!U23,1)</f>
        <v>93.7</v>
      </c>
      <c r="AB44" s="47">
        <f>ROUND(供應率ALL!V23,1)</f>
        <v>94.7</v>
      </c>
      <c r="AC44" s="47">
        <f>ROUND(供應率ALL!W23,1)</f>
        <v>95.1</v>
      </c>
      <c r="AD44" s="47">
        <f>ROUND(供應率ALL!X23,1)</f>
        <v>0</v>
      </c>
      <c r="AE44" s="47">
        <f>ROUND(供應率ALL!Y23,1)</f>
        <v>94.1</v>
      </c>
      <c r="AF44" s="47">
        <f>ROUND(供應率ALL!Z23,1)</f>
        <v>93.6</v>
      </c>
      <c r="AG44" s="47">
        <f>ROUND(供應率ALL!AA23,1)</f>
        <v>94.5</v>
      </c>
      <c r="AH44" s="47">
        <f>ROUND(供應率ALL!AB23,1)</f>
        <v>94.4</v>
      </c>
      <c r="AI44" s="47">
        <f>ROUND(供應率ALL!AC23,1)</f>
        <v>95</v>
      </c>
      <c r="AJ44" s="47">
        <f>ROUND(供應率ALL!AD23,1)</f>
        <v>96</v>
      </c>
      <c r="AK44" s="47">
        <f>ROUND(供應率ALL!AE23,1)</f>
        <v>0</v>
      </c>
      <c r="AL44" s="47">
        <f>ROUND(供應率ALL!AF23,1)</f>
        <v>97.3</v>
      </c>
      <c r="AM44" s="47">
        <f>ROUND(供應率ALL!AG23,1)</f>
        <v>96.3</v>
      </c>
      <c r="AN44" s="214">
        <f>ROUND(供應率ALL!AH23,1)</f>
        <v>91.7</v>
      </c>
      <c r="AO44" s="48"/>
    </row>
    <row r="45" spans="1:41" s="14" customFormat="1" ht="21.95" customHeight="1">
      <c r="A45" s="636" t="s">
        <v>48</v>
      </c>
      <c r="B45" s="637"/>
      <c r="C45" s="637"/>
      <c r="D45" s="44" t="str">
        <f>HLOOKUP(MONTH(日期!$C$2),去年月推移!$D$1:$O$200,103,TRUE)</f>
        <v>98.8</v>
      </c>
      <c r="E45" s="50">
        <v>97</v>
      </c>
      <c r="F45" s="51" t="s">
        <v>45</v>
      </c>
      <c r="G45" s="558">
        <f>ROUND(當年月推移!P104,1)</f>
        <v>98.1</v>
      </c>
      <c r="H45" s="559"/>
      <c r="I45" s="47">
        <f>ROUND(供應率ALL!C8,1)</f>
        <v>0</v>
      </c>
      <c r="J45" s="47">
        <f>ROUND(供應率ALL!D8,1)</f>
        <v>99.5</v>
      </c>
      <c r="K45" s="47">
        <f>ROUND(供應率ALL!E8,1)</f>
        <v>99.7</v>
      </c>
      <c r="L45" s="47">
        <f>ROUND(供應率ALL!F8,1)</f>
        <v>99.7</v>
      </c>
      <c r="M45" s="47">
        <f>ROUND(供應率ALL!G8,1)</f>
        <v>93.7</v>
      </c>
      <c r="N45" s="47">
        <f>ROUND(供應率ALL!H8,1)</f>
        <v>99.3</v>
      </c>
      <c r="O45" s="47">
        <f>ROUND(供應率ALL!I8,1)</f>
        <v>98.9</v>
      </c>
      <c r="P45" s="47">
        <f>ROUND(供應率ALL!J8,1)</f>
        <v>0</v>
      </c>
      <c r="Q45" s="47">
        <f>ROUND(供應率ALL!K8,1)</f>
        <v>99.7</v>
      </c>
      <c r="R45" s="47">
        <f>ROUND(供應率ALL!L8,1)</f>
        <v>99</v>
      </c>
      <c r="S45" s="47">
        <f>ROUND(供應率ALL!M8,1)</f>
        <v>99.2</v>
      </c>
      <c r="T45" s="47">
        <f>ROUND(供應率ALL!N8,1)</f>
        <v>99.2</v>
      </c>
      <c r="U45" s="47">
        <f>ROUND(供應率ALL!O8,1)</f>
        <v>98.9</v>
      </c>
      <c r="V45" s="47">
        <f>ROUND(供應率ALL!P8,1)</f>
        <v>100</v>
      </c>
      <c r="W45" s="47">
        <f>ROUND(供應率ALL!Q8,1)</f>
        <v>0</v>
      </c>
      <c r="X45" s="47">
        <f>ROUND(供應率ALL!R8,1)</f>
        <v>99.1</v>
      </c>
      <c r="Y45" s="47">
        <f>ROUND(供應率ALL!S8,1)</f>
        <v>97.3</v>
      </c>
      <c r="Z45" s="47">
        <f>ROUND(供應率ALL!T8,1)</f>
        <v>98.8</v>
      </c>
      <c r="AA45" s="47">
        <f>ROUND(供應率ALL!U8,1)</f>
        <v>98.7</v>
      </c>
      <c r="AB45" s="47">
        <f>ROUND(供應率ALL!V8,1)</f>
        <v>97.8</v>
      </c>
      <c r="AC45" s="47">
        <f>ROUND(供應率ALL!W8,1)</f>
        <v>97.6</v>
      </c>
      <c r="AD45" s="47">
        <f>ROUND(供應率ALL!X8,1)</f>
        <v>0</v>
      </c>
      <c r="AE45" s="47">
        <f>ROUND(供應率ALL!Y8,1)</f>
        <v>99.3</v>
      </c>
      <c r="AF45" s="47">
        <f>ROUND(供應率ALL!Z8,1)</f>
        <v>100</v>
      </c>
      <c r="AG45" s="47">
        <f>ROUND(供應率ALL!AA8,1)</f>
        <v>99.4</v>
      </c>
      <c r="AH45" s="47">
        <f>ROUND(供應率ALL!AB8,1)</f>
        <v>99.2</v>
      </c>
      <c r="AI45" s="47">
        <f>ROUND(供應率ALL!AC8,1)</f>
        <v>98.9</v>
      </c>
      <c r="AJ45" s="47">
        <f>ROUND(供應率ALL!AD8,1)</f>
        <v>99.4</v>
      </c>
      <c r="AK45" s="47">
        <f>ROUND(供應率ALL!AE8,1)</f>
        <v>0</v>
      </c>
      <c r="AL45" s="47">
        <f>ROUND(供應率ALL!AF8,1)</f>
        <v>97.7</v>
      </c>
      <c r="AM45" s="47">
        <f>ROUND(供應率ALL!AG8,1)</f>
        <v>99.6</v>
      </c>
      <c r="AN45" s="214">
        <f>ROUND(供應率ALL!AH8,1)</f>
        <v>98.9</v>
      </c>
      <c r="AO45" s="48"/>
    </row>
    <row r="46" spans="1:41" s="14" customFormat="1" ht="21.95" customHeight="1">
      <c r="A46" s="636" t="s">
        <v>17</v>
      </c>
      <c r="B46" s="637"/>
      <c r="C46" s="637"/>
      <c r="D46" s="44" t="str">
        <f>HLOOKUP(MONTH(日期!$C$2),去年月推移!$D$1:$O$200,104,TRUE)</f>
        <v>91.2</v>
      </c>
      <c r="E46" s="50">
        <v>95</v>
      </c>
      <c r="F46" s="51" t="s">
        <v>45</v>
      </c>
      <c r="G46" s="558">
        <f>ROUND(當年月推移!P105,1)</f>
        <v>95.8</v>
      </c>
      <c r="H46" s="559"/>
      <c r="I46" s="47">
        <f>ROUND(供應率ALL!C9,1)</f>
        <v>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77.7</v>
      </c>
      <c r="U46" s="47">
        <f>ROUND(供應率ALL!O9,1)</f>
        <v>92.8</v>
      </c>
      <c r="V46" s="47">
        <f>ROUND(供應率ALL!P9,1)</f>
        <v>100</v>
      </c>
      <c r="W46" s="47">
        <f>ROUND(供應率ALL!Q9,1)</f>
        <v>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90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71.400000000000006</v>
      </c>
      <c r="AD46" s="47">
        <f>ROUND(供應率ALL!X9,1)</f>
        <v>0</v>
      </c>
      <c r="AE46" s="47">
        <f>ROUND(供應率ALL!Y9,1)</f>
        <v>75</v>
      </c>
      <c r="AF46" s="47">
        <f>ROUND(供應率ALL!Z9,1)</f>
        <v>81.8</v>
      </c>
      <c r="AG46" s="47">
        <f>ROUND(供應率ALL!AA9,1)</f>
        <v>66.599999999999994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75</v>
      </c>
      <c r="AK46" s="47">
        <f>ROUND(供應率ALL!AE9,1)</f>
        <v>0</v>
      </c>
      <c r="AL46" s="47">
        <f>ROUND(供應率ALL!AF9,1)</f>
        <v>92.8</v>
      </c>
      <c r="AM46" s="47">
        <f>ROUND(供應率ALL!AG9,1)</f>
        <v>85.7</v>
      </c>
      <c r="AN46" s="214">
        <f>ROUND(供應率ALL!AH9,1)</f>
        <v>91.6</v>
      </c>
      <c r="AO46" s="48"/>
    </row>
    <row r="47" spans="1:41" s="14" customFormat="1" ht="21.95" customHeight="1" thickBot="1">
      <c r="A47" s="525" t="s">
        <v>49</v>
      </c>
      <c r="B47" s="526"/>
      <c r="C47" s="527"/>
      <c r="D47" s="231" t="str">
        <f>HLOOKUP(MONTH(日期!$C$2),去年月推移!$D$1:$O$200,105,TRUE)</f>
        <v>98.5</v>
      </c>
      <c r="E47" s="52">
        <v>97.9</v>
      </c>
      <c r="F47" s="53"/>
      <c r="G47" s="597">
        <f>ROUND(當年月推移!P106,1)</f>
        <v>98.1</v>
      </c>
      <c r="H47" s="598"/>
      <c r="I47" s="242">
        <f>ROUND(供應率ALL!C10,1)</f>
        <v>0</v>
      </c>
      <c r="J47" s="242">
        <f>ROUND(供應率ALL!D10,1)</f>
        <v>97.9</v>
      </c>
      <c r="K47" s="242">
        <f>ROUND(供應率ALL!E10,1)</f>
        <v>97.9</v>
      </c>
      <c r="L47" s="242">
        <f>ROUND(供應率ALL!F10,1)</f>
        <v>97.9</v>
      </c>
      <c r="M47" s="242">
        <f>ROUND(供應率ALL!G10,1)</f>
        <v>97.9</v>
      </c>
      <c r="N47" s="242">
        <f>ROUND(供應率ALL!H10,1)</f>
        <v>98.2</v>
      </c>
      <c r="O47" s="242">
        <f>ROUND(供應率ALL!I10,1)</f>
        <v>97.7</v>
      </c>
      <c r="P47" s="242">
        <f>ROUND(供應率ALL!J10,1)</f>
        <v>0</v>
      </c>
      <c r="Q47" s="242">
        <f>ROUND(供應率ALL!K10,1)</f>
        <v>97.7</v>
      </c>
      <c r="R47" s="242">
        <f>ROUND(供應率ALL!L10,1)</f>
        <v>97.8</v>
      </c>
      <c r="S47" s="242">
        <f>ROUND(供應率ALL!M10,1)</f>
        <v>97.5</v>
      </c>
      <c r="T47" s="242">
        <f>ROUND(供應率ALL!N10,1)</f>
        <v>98</v>
      </c>
      <c r="U47" s="242">
        <f>ROUND(供應率ALL!O10,1)</f>
        <v>97.7</v>
      </c>
      <c r="V47" s="242">
        <f>ROUND(供應率ALL!P10,1)</f>
        <v>97.3</v>
      </c>
      <c r="W47" s="242">
        <f>ROUND(供應率ALL!Q10,1)</f>
        <v>0</v>
      </c>
      <c r="X47" s="242">
        <f>ROUND(供應率ALL!R10,1)</f>
        <v>97.9</v>
      </c>
      <c r="Y47" s="242">
        <f>ROUND(供應率ALL!S10,1)</f>
        <v>97.9</v>
      </c>
      <c r="Z47" s="242">
        <f>ROUND(供應率ALL!T10,1)</f>
        <v>97.8</v>
      </c>
      <c r="AA47" s="242">
        <f>ROUND(供應率ALL!U10,1)</f>
        <v>97.6</v>
      </c>
      <c r="AB47" s="242">
        <f>ROUND(供應率ALL!V10,1)</f>
        <v>97.9</v>
      </c>
      <c r="AC47" s="242">
        <f>ROUND(供應率ALL!W10,1)</f>
        <v>98</v>
      </c>
      <c r="AD47" s="242">
        <f>ROUND(供應率ALL!X10,1)</f>
        <v>0</v>
      </c>
      <c r="AE47" s="242">
        <f>ROUND(供應率ALL!Y10,1)</f>
        <v>98</v>
      </c>
      <c r="AF47" s="242">
        <f>ROUND(供應率ALL!Z10,1)</f>
        <v>97.9</v>
      </c>
      <c r="AG47" s="242">
        <f>ROUND(供應率ALL!AA10,1)</f>
        <v>98.3</v>
      </c>
      <c r="AH47" s="242">
        <f>ROUND(供應率ALL!AB10,1)</f>
        <v>98.5</v>
      </c>
      <c r="AI47" s="242">
        <f>ROUND(供應率ALL!AC10,1)</f>
        <v>98.2</v>
      </c>
      <c r="AJ47" s="242">
        <f>ROUND(供應率ALL!AD10,1)</f>
        <v>98.4</v>
      </c>
      <c r="AK47" s="242">
        <f>ROUND(供應率ALL!AE10,1)</f>
        <v>0</v>
      </c>
      <c r="AL47" s="242">
        <f>ROUND(供應率ALL!AF10,1)</f>
        <v>98.7</v>
      </c>
      <c r="AM47" s="242">
        <f>ROUND(供應率ALL!AG10,1)</f>
        <v>98.6</v>
      </c>
      <c r="AN47" s="271">
        <f>ROUND(供應率ALL!AH10,1)</f>
        <v>98</v>
      </c>
      <c r="AO47" s="48"/>
    </row>
    <row r="48" spans="1:41" s="14" customFormat="1" ht="21.95" customHeight="1">
      <c r="A48" s="638" t="s">
        <v>23</v>
      </c>
      <c r="B48" s="639"/>
      <c r="C48" s="639"/>
      <c r="D48" s="44" t="str">
        <f>HLOOKUP(MONTH(日期!$C$2),去年月推移!$D$1:$O$200,106,TRUE)</f>
        <v>98.4</v>
      </c>
      <c r="E48" s="269">
        <v>97.8</v>
      </c>
      <c r="F48" s="270" t="s">
        <v>45</v>
      </c>
      <c r="G48" s="558">
        <f>ROUND(當年月推移!P107,1)</f>
        <v>97</v>
      </c>
      <c r="H48" s="559"/>
      <c r="I48" s="47">
        <f>ROUND(供應率ALL!C3,1)</f>
        <v>0</v>
      </c>
      <c r="J48" s="47">
        <f>ROUND(供應率ALL!D3,1)</f>
        <v>97.6</v>
      </c>
      <c r="K48" s="47">
        <f>ROUND(供應率ALL!E3,1)</f>
        <v>97.1</v>
      </c>
      <c r="L48" s="47">
        <f>ROUND(供應率ALL!F3,1)</f>
        <v>97.2</v>
      </c>
      <c r="M48" s="47">
        <f>ROUND(供應率ALL!G3,1)</f>
        <v>97.7</v>
      </c>
      <c r="N48" s="47">
        <f>ROUND(供應率ALL!H3,1)</f>
        <v>96.4</v>
      </c>
      <c r="O48" s="47">
        <f>ROUND(供應率ALL!I3,1)</f>
        <v>97.3</v>
      </c>
      <c r="P48" s="47">
        <f>ROUND(供應率ALL!J3,1)</f>
        <v>0</v>
      </c>
      <c r="Q48" s="47">
        <f>ROUND(供應率ALL!K3,1)</f>
        <v>97.1</v>
      </c>
      <c r="R48" s="47">
        <f>ROUND(供應率ALL!L3,1)</f>
        <v>96.9</v>
      </c>
      <c r="S48" s="47">
        <f>ROUND(供應率ALL!M3,1)</f>
        <v>97.1</v>
      </c>
      <c r="T48" s="47">
        <f>ROUND(供應率ALL!N3,1)</f>
        <v>94.7</v>
      </c>
      <c r="U48" s="47">
        <f>ROUND(供應率ALL!O3,1)</f>
        <v>97.4</v>
      </c>
      <c r="V48" s="47">
        <f>ROUND(供應率ALL!P3,1)</f>
        <v>98</v>
      </c>
      <c r="W48" s="47">
        <f>ROUND(供應率ALL!Q3,1)</f>
        <v>0</v>
      </c>
      <c r="X48" s="47">
        <f>ROUND(供應率ALL!R3,1)</f>
        <v>97.6</v>
      </c>
      <c r="Y48" s="47">
        <f>ROUND(供應率ALL!S3,1)</f>
        <v>97.4</v>
      </c>
      <c r="Z48" s="47">
        <f>ROUND(供應率ALL!T3,1)</f>
        <v>96.9</v>
      </c>
      <c r="AA48" s="47">
        <f>ROUND(供應率ALL!U3,1)</f>
        <v>98.1</v>
      </c>
      <c r="AB48" s="47">
        <f>ROUND(供應率ALL!V3,1)</f>
        <v>97</v>
      </c>
      <c r="AC48" s="47">
        <f>ROUND(供應率ALL!W3,1)</f>
        <v>97.5</v>
      </c>
      <c r="AD48" s="47">
        <f>ROUND(供應率ALL!X3,1)</f>
        <v>0</v>
      </c>
      <c r="AE48" s="47">
        <f>ROUND(供應率ALL!Y3,1)</f>
        <v>97.2</v>
      </c>
      <c r="AF48" s="47">
        <f>ROUND(供應率ALL!Z3,1)</f>
        <v>97.9</v>
      </c>
      <c r="AG48" s="47">
        <f>ROUND(供應率ALL!AA3,1)</f>
        <v>97.9</v>
      </c>
      <c r="AH48" s="47">
        <f>ROUND(供應率ALL!AB3,1)</f>
        <v>97.9</v>
      </c>
      <c r="AI48" s="47">
        <f>ROUND(供應率ALL!AC3,1)</f>
        <v>98.2</v>
      </c>
      <c r="AJ48" s="47">
        <f>ROUND(供應率ALL!AD3,1)</f>
        <v>98</v>
      </c>
      <c r="AK48" s="47">
        <f>ROUND(供應率ALL!AE3,1)</f>
        <v>0</v>
      </c>
      <c r="AL48" s="47">
        <f>ROUND(供應率ALL!AF3,1)</f>
        <v>98</v>
      </c>
      <c r="AM48" s="47">
        <f>ROUND(供應率ALL!AG3,1)</f>
        <v>98.4</v>
      </c>
      <c r="AN48" s="214">
        <f>ROUND(供應率ALL!AH3,1)</f>
        <v>97.4</v>
      </c>
      <c r="AO48" s="48"/>
    </row>
    <row r="49" spans="1:41" s="14" customFormat="1" ht="21.95" customHeight="1">
      <c r="A49" s="594" t="s">
        <v>24</v>
      </c>
      <c r="B49" s="595"/>
      <c r="C49" s="596"/>
      <c r="D49" s="44" t="str">
        <f>HLOOKUP(MONTH(日期!$C$2),去年月推移!$D$1:$O$200,107,TRUE)</f>
        <v>100</v>
      </c>
      <c r="E49" s="50">
        <v>99</v>
      </c>
      <c r="F49" s="51"/>
      <c r="G49" s="605">
        <f>ROUND(當年月推移!P108,1)</f>
        <v>99.8</v>
      </c>
      <c r="H49" s="606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100</v>
      </c>
      <c r="AO49" s="48"/>
    </row>
    <row r="50" spans="1:41" s="14" customFormat="1" ht="21.95" customHeight="1">
      <c r="A50" s="594" t="s">
        <v>25</v>
      </c>
      <c r="B50" s="595"/>
      <c r="C50" s="596"/>
      <c r="D50" s="44" t="str">
        <f>HLOOKUP(MONTH(日期!$C$2),去年月推移!$D$1:$O$200,108,TRUE)</f>
        <v>96.5</v>
      </c>
      <c r="E50" s="50">
        <v>75</v>
      </c>
      <c r="F50" s="51"/>
      <c r="G50" s="605">
        <f>ROUND(當年月推移!P109,1)</f>
        <v>94.3</v>
      </c>
      <c r="H50" s="606"/>
      <c r="I50" s="47">
        <f>ROUND(供應率ALL!C12,1)</f>
        <v>0</v>
      </c>
      <c r="J50" s="47">
        <f>ROUND(供應率ALL!D12,1)</f>
        <v>81.2</v>
      </c>
      <c r="K50" s="47">
        <f>ROUND(供應率ALL!E12,1)</f>
        <v>100</v>
      </c>
      <c r="L50" s="47">
        <f>ROUND(供應率ALL!F12,1)</f>
        <v>100</v>
      </c>
      <c r="M50" s="47">
        <f>ROUND(供應率ALL!G12,1)</f>
        <v>100</v>
      </c>
      <c r="N50" s="47">
        <f>ROUND(供應率ALL!H12,1)</f>
        <v>100</v>
      </c>
      <c r="O50" s="47">
        <f>ROUND(供應率ALL!I12,1)</f>
        <v>80</v>
      </c>
      <c r="P50" s="47">
        <f>ROUND(供應率ALL!J12,1)</f>
        <v>0</v>
      </c>
      <c r="Q50" s="47">
        <f>ROUND(供應率ALL!K12,1)</f>
        <v>100</v>
      </c>
      <c r="R50" s="47">
        <f>ROUND(供應率ALL!L12,1)</f>
        <v>100</v>
      </c>
      <c r="S50" s="47">
        <f>ROUND(供應率ALL!M12,1)</f>
        <v>100</v>
      </c>
      <c r="T50" s="47">
        <f>ROUND(供應率ALL!N12,1)</f>
        <v>100</v>
      </c>
      <c r="U50" s="47">
        <f>ROUND(供應率ALL!O12,1)</f>
        <v>91.6</v>
      </c>
      <c r="V50" s="47">
        <f>ROUND(供應率ALL!P12,1)</f>
        <v>85.7</v>
      </c>
      <c r="W50" s="47">
        <f>ROUND(供應率ALL!Q12,1)</f>
        <v>0</v>
      </c>
      <c r="X50" s="47">
        <f>ROUND(供應率ALL!R12,1)</f>
        <v>100</v>
      </c>
      <c r="Y50" s="47">
        <f>ROUND(供應率ALL!S12,1)</f>
        <v>92.3</v>
      </c>
      <c r="Z50" s="47">
        <f>ROUND(供應率ALL!T12,1)</f>
        <v>91.6</v>
      </c>
      <c r="AA50" s="47">
        <f>ROUND(供應率ALL!U12,1)</f>
        <v>100</v>
      </c>
      <c r="AB50" s="47">
        <f>ROUND(供應率ALL!V12,1)</f>
        <v>92.8</v>
      </c>
      <c r="AC50" s="47">
        <f>ROUND(供應率ALL!W12,1)</f>
        <v>100</v>
      </c>
      <c r="AD50" s="47">
        <f>ROUND(供應率ALL!X12,1)</f>
        <v>0</v>
      </c>
      <c r="AE50" s="47">
        <f>ROUND(供應率ALL!Y12,1)</f>
        <v>100</v>
      </c>
      <c r="AF50" s="47">
        <f>ROUND(供應率ALL!Z12,1)</f>
        <v>100</v>
      </c>
      <c r="AG50" s="47">
        <f>ROUND(供應率ALL!AA12,1)</f>
        <v>100</v>
      </c>
      <c r="AH50" s="47">
        <f>ROUND(供應率ALL!AB12,1)</f>
        <v>95.4</v>
      </c>
      <c r="AI50" s="47">
        <f>ROUND(供應率ALL!AC12,1)</f>
        <v>100</v>
      </c>
      <c r="AJ50" s="47">
        <f>ROUND(供應率ALL!AD12,1)</f>
        <v>87.5</v>
      </c>
      <c r="AK50" s="47">
        <f>ROUND(供應率ALL!AE12,1)</f>
        <v>0</v>
      </c>
      <c r="AL50" s="47">
        <f>ROUND(供應率ALL!AF12,1)</f>
        <v>100</v>
      </c>
      <c r="AM50" s="47">
        <f>ROUND(供應率ALL!AG12,1)</f>
        <v>100</v>
      </c>
      <c r="AN50" s="214">
        <f>ROUND(供應率ALL!AH12,1)</f>
        <v>96.3</v>
      </c>
      <c r="AO50" s="48"/>
    </row>
    <row r="51" spans="1:41" s="14" customFormat="1" ht="21.95" customHeight="1">
      <c r="A51" s="594" t="s">
        <v>26</v>
      </c>
      <c r="B51" s="595"/>
      <c r="C51" s="596"/>
      <c r="D51" s="44" t="str">
        <f>HLOOKUP(MONTH(日期!$C$2),去年月推移!$D$1:$O$200,109,TRUE)</f>
        <v>95.5</v>
      </c>
      <c r="E51" s="50">
        <v>98.7</v>
      </c>
      <c r="F51" s="51"/>
      <c r="G51" s="605">
        <f>ROUND(當年月推移!P110,1)</f>
        <v>96.7</v>
      </c>
      <c r="H51" s="606"/>
      <c r="I51" s="47">
        <f>ROUND(供應率ALL!C13,1)</f>
        <v>0</v>
      </c>
      <c r="J51" s="47">
        <f>ROUND(供應率ALL!D13,1)</f>
        <v>93.2</v>
      </c>
      <c r="K51" s="47">
        <f>ROUND(供應率ALL!E13,1)</f>
        <v>92.3</v>
      </c>
      <c r="L51" s="47">
        <f>ROUND(供應率ALL!F13,1)</f>
        <v>95.4</v>
      </c>
      <c r="M51" s="47">
        <f>ROUND(供應率ALL!G13,1)</f>
        <v>96.5</v>
      </c>
      <c r="N51" s="47">
        <f>ROUND(供應率ALL!H13,1)</f>
        <v>94.9</v>
      </c>
      <c r="O51" s="47">
        <f>ROUND(供應率ALL!I13,1)</f>
        <v>95.5</v>
      </c>
      <c r="P51" s="47">
        <f>ROUND(供應率ALL!J13,1)</f>
        <v>0</v>
      </c>
      <c r="Q51" s="47">
        <f>ROUND(供應率ALL!K13,1)</f>
        <v>93.6</v>
      </c>
      <c r="R51" s="47">
        <f>ROUND(供應率ALL!L13,1)</f>
        <v>96.5</v>
      </c>
      <c r="S51" s="47">
        <f>ROUND(供應率ALL!M13,1)</f>
        <v>96.2</v>
      </c>
      <c r="T51" s="47">
        <f>ROUND(供應率ALL!N13,1)</f>
        <v>94.1</v>
      </c>
      <c r="U51" s="47">
        <f>ROUND(供應率ALL!O13,1)</f>
        <v>95.6</v>
      </c>
      <c r="V51" s="47">
        <f>ROUND(供應率ALL!P13,1)</f>
        <v>97.1</v>
      </c>
      <c r="W51" s="47">
        <f>ROUND(供應率ALL!Q13,1)</f>
        <v>0</v>
      </c>
      <c r="X51" s="47">
        <f>ROUND(供應率ALL!R13,1)</f>
        <v>97.6</v>
      </c>
      <c r="Y51" s="47">
        <f>ROUND(供應率ALL!S13,1)</f>
        <v>95.5</v>
      </c>
      <c r="Z51" s="47">
        <f>ROUND(供應率ALL!T13,1)</f>
        <v>96</v>
      </c>
      <c r="AA51" s="47">
        <f>ROUND(供應率ALL!U13,1)</f>
        <v>96.2</v>
      </c>
      <c r="AB51" s="47">
        <f>ROUND(供應率ALL!V13,1)</f>
        <v>97.6</v>
      </c>
      <c r="AC51" s="47">
        <f>ROUND(供應率ALL!W13,1)</f>
        <v>99.3</v>
      </c>
      <c r="AD51" s="47">
        <f>ROUND(供應率ALL!X13,1)</f>
        <v>0</v>
      </c>
      <c r="AE51" s="47">
        <f>ROUND(供應率ALL!Y13,1)</f>
        <v>97.9</v>
      </c>
      <c r="AF51" s="47">
        <f>ROUND(供應率ALL!Z13,1)</f>
        <v>97.5</v>
      </c>
      <c r="AG51" s="47">
        <f>ROUND(供應率ALL!AA13,1)</f>
        <v>97.9</v>
      </c>
      <c r="AH51" s="47">
        <f>ROUND(供應率ALL!AB13,1)</f>
        <v>94.5</v>
      </c>
      <c r="AI51" s="47">
        <f>ROUND(供應率ALL!AC13,1)</f>
        <v>93.1</v>
      </c>
      <c r="AJ51" s="47">
        <f>ROUND(供應率ALL!AD13,1)</f>
        <v>95.7</v>
      </c>
      <c r="AK51" s="47">
        <f>ROUND(供應率ALL!AE13,1)</f>
        <v>0</v>
      </c>
      <c r="AL51" s="47">
        <f>ROUND(供應率ALL!AF13,1)</f>
        <v>94.7</v>
      </c>
      <c r="AM51" s="47">
        <f>ROUND(供應率ALL!AG13,1)</f>
        <v>98</v>
      </c>
      <c r="AN51" s="214">
        <f>ROUND(供應率ALL!AH13,1)</f>
        <v>95.8</v>
      </c>
      <c r="AO51" s="48"/>
    </row>
    <row r="52" spans="1:41" s="14" customFormat="1" ht="21.95" customHeight="1">
      <c r="A52" s="594" t="s">
        <v>27</v>
      </c>
      <c r="B52" s="595"/>
      <c r="C52" s="596"/>
      <c r="D52" s="44" t="str">
        <f>HLOOKUP(MONTH(日期!$C$2),去年月推移!$D$1:$O$200,110,TRUE)</f>
        <v>94.2</v>
      </c>
      <c r="E52" s="50">
        <v>95</v>
      </c>
      <c r="F52" s="51"/>
      <c r="G52" s="605">
        <f>ROUND(當年月推移!P111,1)</f>
        <v>94.3</v>
      </c>
      <c r="H52" s="606"/>
      <c r="I52" s="47">
        <f>ROUND(供應率ALL!C14,1)</f>
        <v>0</v>
      </c>
      <c r="J52" s="47">
        <f>ROUND(供應率ALL!D14,1)</f>
        <v>90.5</v>
      </c>
      <c r="K52" s="47">
        <f>ROUND(供應率ALL!E14,1)</f>
        <v>89.4</v>
      </c>
      <c r="L52" s="47">
        <f>ROUND(供應率ALL!F14,1)</f>
        <v>98.4</v>
      </c>
      <c r="M52" s="47">
        <f>ROUND(供應率ALL!G14,1)</f>
        <v>98.2</v>
      </c>
      <c r="N52" s="47">
        <f>ROUND(供應率ALL!H14,1)</f>
        <v>100</v>
      </c>
      <c r="O52" s="47">
        <f>ROUND(供應率ALL!I14,1)</f>
        <v>100</v>
      </c>
      <c r="P52" s="47">
        <f>ROUND(供應率ALL!J14,1)</f>
        <v>0</v>
      </c>
      <c r="Q52" s="47">
        <f>ROUND(供應率ALL!K14,1)</f>
        <v>100</v>
      </c>
      <c r="R52" s="47">
        <f>ROUND(供應率ALL!L14,1)</f>
        <v>93.2</v>
      </c>
      <c r="S52" s="47">
        <f>ROUND(供應率ALL!M14,1)</f>
        <v>82.4</v>
      </c>
      <c r="T52" s="47">
        <f>ROUND(供應率ALL!N14,1)</f>
        <v>87</v>
      </c>
      <c r="U52" s="47">
        <f>ROUND(供應率ALL!O14,1)</f>
        <v>91</v>
      </c>
      <c r="V52" s="47">
        <f>ROUND(供應率ALL!P14,1)</f>
        <v>85.2</v>
      </c>
      <c r="W52" s="47">
        <f>ROUND(供應率ALL!Q14,1)</f>
        <v>0</v>
      </c>
      <c r="X52" s="47">
        <f>ROUND(供應率ALL!R14,1)</f>
        <v>81.8</v>
      </c>
      <c r="Y52" s="47">
        <f>ROUND(供應率ALL!S14,1)</f>
        <v>95.8</v>
      </c>
      <c r="Z52" s="47">
        <f>ROUND(供應率ALL!T14,1)</f>
        <v>88</v>
      </c>
      <c r="AA52" s="47">
        <f>ROUND(供應率ALL!U14,1)</f>
        <v>93.8</v>
      </c>
      <c r="AB52" s="47">
        <f>ROUND(供應率ALL!V14,1)</f>
        <v>100</v>
      </c>
      <c r="AC52" s="47">
        <f>ROUND(供應率ALL!W14,1)</f>
        <v>100</v>
      </c>
      <c r="AD52" s="47">
        <f>ROUND(供應率ALL!X14,1)</f>
        <v>0</v>
      </c>
      <c r="AE52" s="47">
        <f>ROUND(供應率ALL!Y14,1)</f>
        <v>98.3</v>
      </c>
      <c r="AF52" s="47">
        <f>ROUND(供應率ALL!Z14,1)</f>
        <v>94.1</v>
      </c>
      <c r="AG52" s="47">
        <f>ROUND(供應率ALL!AA14,1)</f>
        <v>91.4</v>
      </c>
      <c r="AH52" s="47">
        <f>ROUND(供應率ALL!AB14,1)</f>
        <v>95.3</v>
      </c>
      <c r="AI52" s="47">
        <f>ROUND(供應率ALL!AC14,1)</f>
        <v>100</v>
      </c>
      <c r="AJ52" s="47">
        <f>ROUND(供應率ALL!AD14,1)</f>
        <v>98.3</v>
      </c>
      <c r="AK52" s="47">
        <f>ROUND(供應率ALL!AE14,1)</f>
        <v>0</v>
      </c>
      <c r="AL52" s="47">
        <f>ROUND(供應率ALL!AF14,1)</f>
        <v>98.6</v>
      </c>
      <c r="AM52" s="47">
        <f>ROUND(供應率ALL!AG14,1)</f>
        <v>100</v>
      </c>
      <c r="AN52" s="214">
        <f>ROUND(供應率ALL!AH14,1)</f>
        <v>94.1</v>
      </c>
      <c r="AO52" s="48"/>
    </row>
    <row r="53" spans="1:41" s="14" customFormat="1" ht="21.95" customHeight="1">
      <c r="A53" s="594" t="s">
        <v>28</v>
      </c>
      <c r="B53" s="595"/>
      <c r="C53" s="596"/>
      <c r="D53" s="44" t="str">
        <f>HLOOKUP(MONTH(日期!$C$2),去年月推移!$D$1:$O$200,111,TRUE)</f>
        <v>100</v>
      </c>
      <c r="E53" s="50"/>
      <c r="F53" s="51"/>
      <c r="G53" s="605">
        <f>ROUND(當年月推移!P112,1)</f>
        <v>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47" t="s">
        <v>50</v>
      </c>
      <c r="B54" s="548"/>
      <c r="C54" s="548"/>
      <c r="D54" s="231" t="str">
        <f>HLOOKUP(MONTH(日期!$C$2),去年月推移!$D$1:$O$200,112,TRUE)</f>
        <v>97.7</v>
      </c>
      <c r="E54" s="52"/>
      <c r="F54" s="53" t="s">
        <v>45</v>
      </c>
      <c r="G54" s="597">
        <f>ROUND(當年月推移!P113,1)</f>
        <v>96.8</v>
      </c>
      <c r="H54" s="598"/>
      <c r="I54" s="242">
        <f>ROUND(供應率ALL!C16,1)</f>
        <v>0</v>
      </c>
      <c r="J54" s="242">
        <f>ROUND(供應率ALL!D16,1)</f>
        <v>96.8</v>
      </c>
      <c r="K54" s="242">
        <f>ROUND(供應率ALL!E16,1)</f>
        <v>96.5</v>
      </c>
      <c r="L54" s="242">
        <f>ROUND(供應率ALL!F16,1)</f>
        <v>97</v>
      </c>
      <c r="M54" s="242">
        <f>ROUND(供應率ALL!G16,1)</f>
        <v>97.6</v>
      </c>
      <c r="N54" s="242">
        <f>ROUND(供應率ALL!H16,1)</f>
        <v>96.3</v>
      </c>
      <c r="O54" s="242">
        <f>ROUND(供應率ALL!I16,1)</f>
        <v>96.9</v>
      </c>
      <c r="P54" s="242">
        <f>ROUND(供應率ALL!J16,1)</f>
        <v>0</v>
      </c>
      <c r="Q54" s="242">
        <f>ROUND(供應率ALL!K16,1)</f>
        <v>96.7</v>
      </c>
      <c r="R54" s="242">
        <f>ROUND(供應率ALL!L16,1)</f>
        <v>96.8</v>
      </c>
      <c r="S54" s="242">
        <f>ROUND(供應率ALL!M16,1)</f>
        <v>96.6</v>
      </c>
      <c r="T54" s="242">
        <f>ROUND(供應率ALL!N16,1)</f>
        <v>94.5</v>
      </c>
      <c r="U54" s="242">
        <f>ROUND(供應率ALL!O16,1)</f>
        <v>97</v>
      </c>
      <c r="V54" s="242">
        <f>ROUND(供應率ALL!P16,1)</f>
        <v>97.2</v>
      </c>
      <c r="W54" s="242">
        <f>ROUND(供應率ALL!Q16,1)</f>
        <v>0</v>
      </c>
      <c r="X54" s="242">
        <f>ROUND(供應率ALL!R16,1)</f>
        <v>97.3</v>
      </c>
      <c r="Y54" s="242">
        <f>ROUND(供應率ALL!S16,1)</f>
        <v>97.1</v>
      </c>
      <c r="Z54" s="242">
        <f>ROUND(供應率ALL!T16,1)</f>
        <v>96.6</v>
      </c>
      <c r="AA54" s="242">
        <f>ROUND(供應率ALL!U16,1)</f>
        <v>97.8</v>
      </c>
      <c r="AB54" s="242">
        <f>ROUND(供應率ALL!V16,1)</f>
        <v>97.2</v>
      </c>
      <c r="AC54" s="242">
        <f>ROUND(供應率ALL!W16,1)</f>
        <v>98.1</v>
      </c>
      <c r="AD54" s="242">
        <f>ROUND(供應率ALL!X16,1)</f>
        <v>0</v>
      </c>
      <c r="AE54" s="242">
        <f>ROUND(供應率ALL!Y16,1)</f>
        <v>97.4</v>
      </c>
      <c r="AF54" s="242">
        <f>ROUND(供應率ALL!Z16,1)</f>
        <v>97.8</v>
      </c>
      <c r="AG54" s="242">
        <f>ROUND(供應率ALL!AA16,1)</f>
        <v>97.9</v>
      </c>
      <c r="AH54" s="242">
        <f>ROUND(供應率ALL!AB16,1)</f>
        <v>97.3</v>
      </c>
      <c r="AI54" s="242">
        <f>ROUND(供應率ALL!AC16,1)</f>
        <v>97.4</v>
      </c>
      <c r="AJ54" s="242">
        <f>ROUND(供應率ALL!AD16,1)</f>
        <v>97.5</v>
      </c>
      <c r="AK54" s="242">
        <f>ROUND(供應率ALL!AE16,1)</f>
        <v>0</v>
      </c>
      <c r="AL54" s="242">
        <f>ROUND(供應率ALL!AF16,1)</f>
        <v>97.5</v>
      </c>
      <c r="AM54" s="242">
        <f>ROUND(供應率ALL!AG16,1)</f>
        <v>98.4</v>
      </c>
      <c r="AN54" s="215">
        <f>ROUND(供應率ALL!AH16,1)</f>
        <v>97.1</v>
      </c>
      <c r="AO54" s="54"/>
    </row>
    <row r="55" spans="1:41" s="42" customFormat="1" ht="21.95" customHeight="1">
      <c r="A55" s="591" t="s">
        <v>31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94" t="s">
        <v>32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94" t="s">
        <v>33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94" t="s">
        <v>34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94" t="s">
        <v>35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25" t="s">
        <v>30</v>
      </c>
      <c r="B60" s="526"/>
      <c r="C60" s="527"/>
      <c r="D60" s="486">
        <f>HLOOKUP(MONTH(日期!$C$2),去年月推移!$D$1:$O$200,118,TRUE)</f>
        <v>90.7</v>
      </c>
      <c r="E60" s="231"/>
      <c r="F60" s="231"/>
      <c r="G60" s="597">
        <f>ROUND(當年月推移!P119,1)</f>
        <v>87.6</v>
      </c>
      <c r="H60" s="598"/>
      <c r="I60" s="242">
        <f>ROUND(供應率ALL!C21,1)</f>
        <v>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96.5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99.9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1</v>
      </c>
      <c r="B63" s="565"/>
      <c r="C63" s="565"/>
      <c r="D63" s="568" t="str">
        <f>D3</f>
        <v>2025/3</v>
      </c>
      <c r="E63" s="601" t="str">
        <f>E3</f>
        <v>2026/3</v>
      </c>
      <c r="F63" s="603"/>
      <c r="G63" s="630">
        <f>YEAR(日期!C2)</f>
        <v>2026</v>
      </c>
      <c r="H63" s="631"/>
      <c r="I63" s="490" t="str">
        <f>日期!C2</f>
        <v>2026/03/01</v>
      </c>
      <c r="J63" s="490" t="str">
        <f>日期!D2</f>
        <v>2026/03/02</v>
      </c>
      <c r="K63" s="490" t="str">
        <f>日期!E2</f>
        <v>2026/03/03</v>
      </c>
      <c r="L63" s="490" t="str">
        <f>日期!F2</f>
        <v>2026/03/04</v>
      </c>
      <c r="M63" s="490" t="str">
        <f>日期!G2</f>
        <v>2026/03/05</v>
      </c>
      <c r="N63" s="490" t="str">
        <f>日期!H2</f>
        <v>2026/03/06</v>
      </c>
      <c r="O63" s="490" t="str">
        <f>日期!I2</f>
        <v>2026/03/07</v>
      </c>
      <c r="P63" s="490" t="str">
        <f>日期!J2</f>
        <v>2026/03/08</v>
      </c>
      <c r="Q63" s="490" t="str">
        <f>日期!K2</f>
        <v>2026/03/09</v>
      </c>
      <c r="R63" s="490" t="str">
        <f>日期!L2</f>
        <v>2026/03/10</v>
      </c>
      <c r="S63" s="490" t="str">
        <f>日期!M2</f>
        <v>2026/03/11</v>
      </c>
      <c r="T63" s="490" t="str">
        <f>日期!N2</f>
        <v>2026/03/12</v>
      </c>
      <c r="U63" s="490" t="str">
        <f>日期!O2</f>
        <v>2026/03/13</v>
      </c>
      <c r="V63" s="490" t="str">
        <f>日期!P2</f>
        <v>2026/03/14</v>
      </c>
      <c r="W63" s="490" t="str">
        <f>日期!Q2</f>
        <v>2026/03/15</v>
      </c>
      <c r="X63" s="490" t="str">
        <f>日期!R2</f>
        <v>2026/03/16</v>
      </c>
      <c r="Y63" s="490" t="str">
        <f>日期!S2</f>
        <v>2026/03/17</v>
      </c>
      <c r="Z63" s="490" t="str">
        <f>日期!T2</f>
        <v>2026/03/18</v>
      </c>
      <c r="AA63" s="490" t="str">
        <f>日期!U2</f>
        <v>2026/03/19</v>
      </c>
      <c r="AB63" s="490" t="str">
        <f>日期!V2</f>
        <v>2026/03/20</v>
      </c>
      <c r="AC63" s="490" t="str">
        <f>日期!W2</f>
        <v>2026/03/21</v>
      </c>
      <c r="AD63" s="490" t="str">
        <f>日期!X2</f>
        <v>2026/03/22</v>
      </c>
      <c r="AE63" s="490" t="str">
        <f>日期!Y2</f>
        <v>2026/03/23</v>
      </c>
      <c r="AF63" s="490" t="str">
        <f>日期!Z2</f>
        <v>2026/03/24</v>
      </c>
      <c r="AG63" s="490" t="str">
        <f>日期!AA2</f>
        <v>2026/03/25</v>
      </c>
      <c r="AH63" s="490" t="str">
        <f>日期!AB2</f>
        <v>2026/03/26</v>
      </c>
      <c r="AI63" s="490" t="str">
        <f>日期!AC2</f>
        <v>2026/03/27</v>
      </c>
      <c r="AJ63" s="490" t="str">
        <f>日期!AD2</f>
        <v>2026/03/28</v>
      </c>
      <c r="AK63" s="490" t="str">
        <f>日期!AE2</f>
        <v>2026/03/29</v>
      </c>
      <c r="AL63" s="490" t="str">
        <f>日期!AF2</f>
        <v>2026/03/30</v>
      </c>
      <c r="AM63" s="490" t="str">
        <f>日期!AG2</f>
        <v>2026/03/31</v>
      </c>
      <c r="AN63" s="560" t="s">
        <v>42</v>
      </c>
    </row>
    <row r="64" spans="1:41" s="14" customFormat="1" ht="22.7" customHeight="1" thickBot="1">
      <c r="A64" s="599"/>
      <c r="B64" s="600"/>
      <c r="C64" s="600"/>
      <c r="D64" s="569"/>
      <c r="E64" s="602"/>
      <c r="F64" s="604"/>
      <c r="G64" s="632" t="s">
        <v>43</v>
      </c>
      <c r="H64" s="633"/>
      <c r="I64" s="12" t="str">
        <f>日期!C3</f>
        <v>Sun</v>
      </c>
      <c r="J64" s="12" t="str">
        <f>日期!D3</f>
        <v>Mon</v>
      </c>
      <c r="K64" s="12" t="str">
        <f>日期!E3</f>
        <v>Tue</v>
      </c>
      <c r="L64" s="12" t="str">
        <f>日期!F3</f>
        <v>Wed</v>
      </c>
      <c r="M64" s="12" t="str">
        <f>日期!G3</f>
        <v>Thu</v>
      </c>
      <c r="N64" s="12" t="str">
        <f>日期!H3</f>
        <v>Fri</v>
      </c>
      <c r="O64" s="12" t="str">
        <f>日期!I3</f>
        <v>Sat</v>
      </c>
      <c r="P64" s="12" t="str">
        <f>日期!J3</f>
        <v>Sun</v>
      </c>
      <c r="Q64" s="12" t="str">
        <f>日期!K3</f>
        <v>Mon</v>
      </c>
      <c r="R64" s="12" t="str">
        <f>日期!L3</f>
        <v>Tue</v>
      </c>
      <c r="S64" s="12" t="str">
        <f>日期!M3</f>
        <v>Wed</v>
      </c>
      <c r="T64" s="12" t="str">
        <f>日期!N3</f>
        <v>Thu</v>
      </c>
      <c r="U64" s="12" t="str">
        <f>日期!O3</f>
        <v>Fri</v>
      </c>
      <c r="V64" s="12" t="str">
        <f>日期!P3</f>
        <v>Sat</v>
      </c>
      <c r="W64" s="12" t="str">
        <f>日期!Q3</f>
        <v>Sun</v>
      </c>
      <c r="X64" s="12" t="str">
        <f>日期!R3</f>
        <v>Mon</v>
      </c>
      <c r="Y64" s="12" t="str">
        <f>日期!S3</f>
        <v>Tue</v>
      </c>
      <c r="Z64" s="12" t="str">
        <f>日期!T3</f>
        <v>Wed</v>
      </c>
      <c r="AA64" s="12" t="str">
        <f>日期!U3</f>
        <v>Thu</v>
      </c>
      <c r="AB64" s="12" t="str">
        <f>日期!V3</f>
        <v>Fri</v>
      </c>
      <c r="AC64" s="12" t="str">
        <f>日期!W3</f>
        <v>Sat</v>
      </c>
      <c r="AD64" s="12" t="str">
        <f>日期!X3</f>
        <v>Sun</v>
      </c>
      <c r="AE64" s="12" t="str">
        <f>日期!Y3</f>
        <v>Mon</v>
      </c>
      <c r="AF64" s="12" t="str">
        <f>日期!Z3</f>
        <v>Tue</v>
      </c>
      <c r="AG64" s="12" t="str">
        <f>日期!AA3</f>
        <v>Wed</v>
      </c>
      <c r="AH64" s="12" t="str">
        <f>日期!AB3</f>
        <v>Thu</v>
      </c>
      <c r="AI64" s="12" t="str">
        <f>日期!AC3</f>
        <v>Fri</v>
      </c>
      <c r="AJ64" s="12" t="str">
        <f>日期!AD3</f>
        <v>Sat</v>
      </c>
      <c r="AK64" s="12" t="str">
        <f>日期!AE3</f>
        <v>Sun</v>
      </c>
      <c r="AL64" s="12" t="str">
        <f>日期!AF3</f>
        <v>Mon</v>
      </c>
      <c r="AM64" s="12" t="str">
        <f>日期!AG3</f>
        <v>Tue</v>
      </c>
      <c r="AN64" s="561"/>
    </row>
    <row r="65" spans="1:41" s="11" customFormat="1" ht="21.95" customHeight="1">
      <c r="A65" s="587" t="s">
        <v>52</v>
      </c>
      <c r="B65" s="588"/>
      <c r="C65" s="588"/>
      <c r="D65" s="313" t="str">
        <f>HLOOKUP(MONTH(日期!$C$2),去年月推移!$D$1:$O$200,122,TRUE)</f>
        <v>98.6</v>
      </c>
      <c r="E65" s="272">
        <v>98.1</v>
      </c>
      <c r="F65" s="272" t="s">
        <v>45</v>
      </c>
      <c r="G65" s="589">
        <f>ROUND(當年月推移!P124,1)</f>
        <v>97.9</v>
      </c>
      <c r="H65" s="590"/>
      <c r="I65" s="245">
        <f>ROUND(供應率!D2,1)</f>
        <v>0</v>
      </c>
      <c r="J65" s="245">
        <f>ROUND(供應率!E2,1)</f>
        <v>97.4</v>
      </c>
      <c r="K65" s="245">
        <f>ROUND(供應率!F2,1)</f>
        <v>97.6</v>
      </c>
      <c r="L65" s="245">
        <f>ROUND(供應率!G2,1)</f>
        <v>97.1</v>
      </c>
      <c r="M65" s="245">
        <f>ROUND(供應率!H2,1)</f>
        <v>97.6</v>
      </c>
      <c r="N65" s="245">
        <f>ROUND(供應率!I2,1)</f>
        <v>98.1</v>
      </c>
      <c r="O65" s="245">
        <f>ROUND(供應率!J2,1)</f>
        <v>97.8</v>
      </c>
      <c r="P65" s="245">
        <f>ROUND(供應率!K2,1)</f>
        <v>0</v>
      </c>
      <c r="Q65" s="245">
        <f>ROUND(供應率!L2,1)</f>
        <v>97.5</v>
      </c>
      <c r="R65" s="245">
        <f>ROUND(供應率!M2,1)</f>
        <v>97.3</v>
      </c>
      <c r="S65" s="245">
        <f>ROUND(供應率!N2,1)</f>
        <v>96.9</v>
      </c>
      <c r="T65" s="245">
        <f>ROUND(供應率!O2,1)</f>
        <v>97.4</v>
      </c>
      <c r="U65" s="245">
        <f>ROUND(供應率!P2,1)</f>
        <v>97.5</v>
      </c>
      <c r="V65" s="245">
        <f>ROUND(供應率!Q2,1)</f>
        <v>96.9</v>
      </c>
      <c r="W65" s="245">
        <f>ROUND(供應率!R2,1)</f>
        <v>0</v>
      </c>
      <c r="X65" s="245">
        <f>ROUND(供應率!S2,1)</f>
        <v>97.3</v>
      </c>
      <c r="Y65" s="245">
        <f>ROUND(供應率!T2,1)</f>
        <v>97</v>
      </c>
      <c r="Z65" s="245">
        <f>ROUND(供應率!U2,1)</f>
        <v>97.2</v>
      </c>
      <c r="AA65" s="245">
        <f>ROUND(供應率!V2,1)</f>
        <v>97.6</v>
      </c>
      <c r="AB65" s="245">
        <f>ROUND(供應率!W2,1)</f>
        <v>97.6</v>
      </c>
      <c r="AC65" s="245">
        <f>ROUND(供應率!X2,1)</f>
        <v>98</v>
      </c>
      <c r="AD65" s="245">
        <f>ROUND(供應率!Y2,1)</f>
        <v>0</v>
      </c>
      <c r="AE65" s="245">
        <f>ROUND(供應率!Z2,1)</f>
        <v>97.9</v>
      </c>
      <c r="AF65" s="245">
        <f>ROUND(供應率!AA2,1)</f>
        <v>97.5</v>
      </c>
      <c r="AG65" s="245">
        <f>ROUND(供應率!AB2,1)</f>
        <v>97.9</v>
      </c>
      <c r="AH65" s="245">
        <f>ROUND(供應率!AC2,1)</f>
        <v>98.7</v>
      </c>
      <c r="AI65" s="245">
        <f>ROUND(供應率!AD2,1)</f>
        <v>98</v>
      </c>
      <c r="AJ65" s="245">
        <f>ROUND(供應率!AE2,1)</f>
        <v>98.2</v>
      </c>
      <c r="AK65" s="245">
        <f>ROUND(供應率!AF2,1)</f>
        <v>0</v>
      </c>
      <c r="AL65" s="245">
        <f>ROUND(供應率!AG2,1)</f>
        <v>98.5</v>
      </c>
      <c r="AM65" s="245">
        <f>ROUND(供應率!AH2,1)</f>
        <v>98.5</v>
      </c>
      <c r="AN65" s="213">
        <f>ROUND(供應率!AI2,1)</f>
        <v>97.6</v>
      </c>
      <c r="AO65" s="55"/>
    </row>
    <row r="66" spans="1:41" s="11" customFormat="1" ht="21.95" customHeight="1">
      <c r="A66" s="540" t="s">
        <v>53</v>
      </c>
      <c r="B66" s="541"/>
      <c r="C66" s="541"/>
      <c r="D66" s="311" t="str">
        <f>HLOOKUP(MONTH(日期!$C$2),去年月推移!$D$1:$O$200,123,TRUE)</f>
        <v>98.6</v>
      </c>
      <c r="E66" s="49">
        <v>98.1</v>
      </c>
      <c r="F66" s="49" t="s">
        <v>45</v>
      </c>
      <c r="G66" s="558">
        <f>ROUND(當年月推移!P125,1)</f>
        <v>98.4</v>
      </c>
      <c r="H66" s="559"/>
      <c r="I66" s="47">
        <f>ROUND(供應率!D3,1)</f>
        <v>0</v>
      </c>
      <c r="J66" s="47">
        <f>ROUND(供應率!E3,1)</f>
        <v>98.7</v>
      </c>
      <c r="K66" s="47">
        <f>ROUND(供應率!F3,1)</f>
        <v>98.5</v>
      </c>
      <c r="L66" s="47">
        <f>ROUND(供應率!G3,1)</f>
        <v>98.6</v>
      </c>
      <c r="M66" s="47">
        <f>ROUND(供應率!H3,1)</f>
        <v>98.7</v>
      </c>
      <c r="N66" s="47">
        <f>ROUND(供應率!I3,1)</f>
        <v>98.5</v>
      </c>
      <c r="O66" s="47">
        <f>ROUND(供應率!J3,1)</f>
        <v>98.1</v>
      </c>
      <c r="P66" s="47">
        <f>ROUND(供應率!K3,1)</f>
        <v>0</v>
      </c>
      <c r="Q66" s="47">
        <f>ROUND(供應率!L3,1)</f>
        <v>98.7</v>
      </c>
      <c r="R66" s="47">
        <f>ROUND(供應率!M3,1)</f>
        <v>98.8</v>
      </c>
      <c r="S66" s="47">
        <f>ROUND(供應率!N3,1)</f>
        <v>98.4</v>
      </c>
      <c r="T66" s="47">
        <f>ROUND(供應率!O3,1)</f>
        <v>98.5</v>
      </c>
      <c r="U66" s="47">
        <f>ROUND(供應率!P3,1)</f>
        <v>98.1</v>
      </c>
      <c r="V66" s="47">
        <f>ROUND(供應率!Q3,1)</f>
        <v>97.8</v>
      </c>
      <c r="W66" s="47">
        <f>ROUND(供應率!R3,1)</f>
        <v>0</v>
      </c>
      <c r="X66" s="47">
        <f>ROUND(供應率!S3,1)</f>
        <v>98</v>
      </c>
      <c r="Y66" s="47">
        <f>ROUND(供應率!T3,1)</f>
        <v>98.6</v>
      </c>
      <c r="Z66" s="47">
        <f>ROUND(供應率!U3,1)</f>
        <v>97.9</v>
      </c>
      <c r="AA66" s="47">
        <f>ROUND(供應率!V3,1)</f>
        <v>97.6</v>
      </c>
      <c r="AB66" s="47">
        <f>ROUND(供應率!W3,1)</f>
        <v>97.9</v>
      </c>
      <c r="AC66" s="47">
        <f>ROUND(供應率!X3,1)</f>
        <v>97.9</v>
      </c>
      <c r="AD66" s="47">
        <f>ROUND(供應率!Y3,1)</f>
        <v>0</v>
      </c>
      <c r="AE66" s="47">
        <f>ROUND(供應率!Z3,1)</f>
        <v>97.7</v>
      </c>
      <c r="AF66" s="47">
        <f>ROUND(供應率!AA3,1)</f>
        <v>98.3</v>
      </c>
      <c r="AG66" s="47">
        <f>ROUND(供應率!AB3,1)</f>
        <v>98.5</v>
      </c>
      <c r="AH66" s="47">
        <f>ROUND(供應率!AC3,1)</f>
        <v>98.7</v>
      </c>
      <c r="AI66" s="47">
        <f>ROUND(供應率!AD3,1)</f>
        <v>97.8</v>
      </c>
      <c r="AJ66" s="47">
        <f>ROUND(供應率!AE3,1)</f>
        <v>98.4</v>
      </c>
      <c r="AK66" s="47">
        <f>ROUND(供應率!AF3,1)</f>
        <v>0</v>
      </c>
      <c r="AL66" s="47">
        <f>ROUND(供應率!AG3,1)</f>
        <v>98.6</v>
      </c>
      <c r="AM66" s="47">
        <f>ROUND(供應率!AH3,1)</f>
        <v>98.7</v>
      </c>
      <c r="AN66" s="214">
        <f>ROUND(供應率!AI3,1)</f>
        <v>98.3</v>
      </c>
      <c r="AO66" s="55"/>
    </row>
    <row r="67" spans="1:41" s="11" customFormat="1" ht="21.95" customHeight="1">
      <c r="A67" s="540" t="s">
        <v>54</v>
      </c>
      <c r="B67" s="541"/>
      <c r="C67" s="541"/>
      <c r="D67" s="311" t="str">
        <f>HLOOKUP(MONTH(日期!$C$2),去年月推移!$D$1:$O$200,124,TRUE)</f>
        <v>99.4</v>
      </c>
      <c r="E67" s="49">
        <v>99.2</v>
      </c>
      <c r="F67" s="49" t="s">
        <v>45</v>
      </c>
      <c r="G67" s="558">
        <f>ROUND(當年月推移!P126,1)</f>
        <v>99.1</v>
      </c>
      <c r="H67" s="559"/>
      <c r="I67" s="47">
        <f>ROUND(供應率!D4,1)</f>
        <v>0</v>
      </c>
      <c r="J67" s="47">
        <f>ROUND(供應率!E4,1)</f>
        <v>98.2</v>
      </c>
      <c r="K67" s="47">
        <f>ROUND(供應率!F4,1)</f>
        <v>98.4</v>
      </c>
      <c r="L67" s="47">
        <f>ROUND(供應率!G4,1)</f>
        <v>98.4</v>
      </c>
      <c r="M67" s="47">
        <f>ROUND(供應率!H4,1)</f>
        <v>98.2</v>
      </c>
      <c r="N67" s="47">
        <f>ROUND(供應率!I4,1)</f>
        <v>99.1</v>
      </c>
      <c r="O67" s="47">
        <f>ROUND(供應率!J4,1)</f>
        <v>98.7</v>
      </c>
      <c r="P67" s="47">
        <f>ROUND(供應率!K4,1)</f>
        <v>0</v>
      </c>
      <c r="Q67" s="47">
        <f>ROUND(供應率!L4,1)</f>
        <v>99.3</v>
      </c>
      <c r="R67" s="47">
        <f>ROUND(供應率!M4,1)</f>
        <v>98.3</v>
      </c>
      <c r="S67" s="47">
        <f>ROUND(供應率!N4,1)</f>
        <v>98.9</v>
      </c>
      <c r="T67" s="47">
        <f>ROUND(供應率!O4,1)</f>
        <v>98.7</v>
      </c>
      <c r="U67" s="47">
        <f>ROUND(供應率!P4,1)</f>
        <v>99.1</v>
      </c>
      <c r="V67" s="47">
        <f>ROUND(供應率!Q4,1)</f>
        <v>99.2</v>
      </c>
      <c r="W67" s="47">
        <f>ROUND(供應率!R4,1)</f>
        <v>0</v>
      </c>
      <c r="X67" s="47">
        <f>ROUND(供應率!S4,1)</f>
        <v>99.4</v>
      </c>
      <c r="Y67" s="47">
        <f>ROUND(供應率!T4,1)</f>
        <v>99.1</v>
      </c>
      <c r="Z67" s="47">
        <f>ROUND(供應率!U4,1)</f>
        <v>98.8</v>
      </c>
      <c r="AA67" s="47">
        <f>ROUND(供應率!V4,1)</f>
        <v>99.4</v>
      </c>
      <c r="AB67" s="47">
        <f>ROUND(供應率!W4,1)</f>
        <v>98.9</v>
      </c>
      <c r="AC67" s="47">
        <f>ROUND(供應率!X4,1)</f>
        <v>99.4</v>
      </c>
      <c r="AD67" s="47">
        <f>ROUND(供應率!Y4,1)</f>
        <v>0</v>
      </c>
      <c r="AE67" s="47">
        <f>ROUND(供應率!Z4,1)</f>
        <v>99.3</v>
      </c>
      <c r="AF67" s="47">
        <f>ROUND(供應率!AA4,1)</f>
        <v>98.4</v>
      </c>
      <c r="AG67" s="47">
        <f>ROUND(供應率!AB4,1)</f>
        <v>98.8</v>
      </c>
      <c r="AH67" s="47">
        <f>ROUND(供應率!AC4,1)</f>
        <v>98.6</v>
      </c>
      <c r="AI67" s="47">
        <f>ROUND(供應率!AD4,1)</f>
        <v>99.4</v>
      </c>
      <c r="AJ67" s="47">
        <f>ROUND(供應率!AE4,1)</f>
        <v>99.7</v>
      </c>
      <c r="AK67" s="47">
        <f>ROUND(供應率!AF4,1)</f>
        <v>0</v>
      </c>
      <c r="AL67" s="47">
        <f>ROUND(供應率!AG4,1)</f>
        <v>99.6</v>
      </c>
      <c r="AM67" s="47">
        <f>ROUND(供應率!AH4,1)</f>
        <v>99.6</v>
      </c>
      <c r="AN67" s="214">
        <f>ROUND(供應率!AI4,1)</f>
        <v>98.9</v>
      </c>
      <c r="AO67" s="55"/>
    </row>
    <row r="68" spans="1:41" s="11" customFormat="1" ht="21.95" customHeight="1">
      <c r="A68" s="575" t="s">
        <v>55</v>
      </c>
      <c r="B68" s="576"/>
      <c r="C68" s="577"/>
      <c r="D68" s="319" t="str">
        <f>HLOOKUP(MONTH(日期!$C$2),去年月推移!$D$1:$O$200,125,TRUE)</f>
        <v>98.7</v>
      </c>
      <c r="E68" s="56">
        <v>98.2</v>
      </c>
      <c r="F68" s="56" t="s">
        <v>45</v>
      </c>
      <c r="G68" s="578">
        <f>ROUND(當年月推移!P127,1)</f>
        <v>98.3</v>
      </c>
      <c r="H68" s="579"/>
      <c r="I68" s="57">
        <f>ROUND(供應率!D5,1)</f>
        <v>0</v>
      </c>
      <c r="J68" s="57">
        <f>ROUND(供應率!E5,1)</f>
        <v>98.1</v>
      </c>
      <c r="K68" s="57">
        <f>ROUND(供應率!F5,1)</f>
        <v>98.1</v>
      </c>
      <c r="L68" s="57">
        <f>ROUND(供應率!G5,1)</f>
        <v>98</v>
      </c>
      <c r="M68" s="57">
        <f>ROUND(供應率!H5,1)</f>
        <v>98.2</v>
      </c>
      <c r="N68" s="57">
        <f>ROUND(供應率!I5,1)</f>
        <v>98.4</v>
      </c>
      <c r="O68" s="57">
        <f>ROUND(供應率!J5,1)</f>
        <v>98.1</v>
      </c>
      <c r="P68" s="57">
        <f>ROUND(供應率!K5,1)</f>
        <v>0</v>
      </c>
      <c r="Q68" s="57">
        <f>ROUND(供應率!L5,1)</f>
        <v>98.3</v>
      </c>
      <c r="R68" s="57">
        <f>ROUND(供應率!M5,1)</f>
        <v>98.1</v>
      </c>
      <c r="S68" s="57">
        <f>ROUND(供應率!N5,1)</f>
        <v>97.8</v>
      </c>
      <c r="T68" s="57">
        <f>ROUND(供應率!O5,1)</f>
        <v>98</v>
      </c>
      <c r="U68" s="57">
        <f>ROUND(供應率!P5,1)</f>
        <v>98</v>
      </c>
      <c r="V68" s="57">
        <f>ROUND(供應率!Q5,1)</f>
        <v>97.6</v>
      </c>
      <c r="W68" s="57">
        <f>ROUND(供應率!R5,1)</f>
        <v>0</v>
      </c>
      <c r="X68" s="57">
        <f>ROUND(供應率!S5,1)</f>
        <v>97.9</v>
      </c>
      <c r="Y68" s="57">
        <f>ROUND(供應率!T5,1)</f>
        <v>98</v>
      </c>
      <c r="Z68" s="57">
        <f>ROUND(供應率!U5,1)</f>
        <v>97.7</v>
      </c>
      <c r="AA68" s="57">
        <f>ROUND(供應率!V5,1)</f>
        <v>97.8</v>
      </c>
      <c r="AB68" s="57">
        <f>ROUND(供應率!W5,1)</f>
        <v>97.9</v>
      </c>
      <c r="AC68" s="57">
        <f>ROUND(供應率!X5,1)</f>
        <v>98.2</v>
      </c>
      <c r="AD68" s="57">
        <f>ROUND(供應率!Y5,1)</f>
        <v>0</v>
      </c>
      <c r="AE68" s="57">
        <f>ROUND(供應率!Z5,1)</f>
        <v>98</v>
      </c>
      <c r="AF68" s="57">
        <f>ROUND(供應率!AA5,1)</f>
        <v>98</v>
      </c>
      <c r="AG68" s="57">
        <f>ROUND(供應率!AB5,1)</f>
        <v>98.3</v>
      </c>
      <c r="AH68" s="57">
        <f>ROUND(供應率!AC5,1)</f>
        <v>98.7</v>
      </c>
      <c r="AI68" s="57">
        <f>ROUND(供應率!AD5,1)</f>
        <v>98.1</v>
      </c>
      <c r="AJ68" s="57">
        <f>ROUND(供應率!AE5,1)</f>
        <v>98.5</v>
      </c>
      <c r="AK68" s="57">
        <f>ROUND(供應率!AF5,1)</f>
        <v>0</v>
      </c>
      <c r="AL68" s="57">
        <f>ROUND(供應率!AG5,1)</f>
        <v>98.7</v>
      </c>
      <c r="AM68" s="57">
        <f>ROUND(供應率!AH5,1)</f>
        <v>98.7</v>
      </c>
      <c r="AN68" s="216">
        <f>ROUND(供應率!AI5,1)</f>
        <v>98.1</v>
      </c>
      <c r="AO68" s="55"/>
    </row>
    <row r="69" spans="1:41" s="11" customFormat="1" ht="21.95" customHeight="1">
      <c r="A69" s="540" t="s">
        <v>12</v>
      </c>
      <c r="B69" s="541"/>
      <c r="C69" s="541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58">
        <f>ROUND(當年月推移!P128,1)</f>
        <v>99.9</v>
      </c>
      <c r="H69" s="559"/>
      <c r="I69" s="47">
        <f>ROUND(供應率!D7,1)</f>
        <v>0</v>
      </c>
      <c r="J69" s="47">
        <f>ROUND(供應率!E7,1)</f>
        <v>99.6</v>
      </c>
      <c r="K69" s="47">
        <f>ROUND(供應率!F7,1)</f>
        <v>100</v>
      </c>
      <c r="L69" s="47">
        <f>ROUND(供應率!G7,1)</f>
        <v>99.8</v>
      </c>
      <c r="M69" s="47">
        <f>ROUND(供應率!H7,1)</f>
        <v>99.7</v>
      </c>
      <c r="N69" s="47">
        <f>ROUND(供應率!I7,1)</f>
        <v>100</v>
      </c>
      <c r="O69" s="47">
        <f>ROUND(供應率!J7,1)</f>
        <v>100</v>
      </c>
      <c r="P69" s="47">
        <f>ROUND(供應率!K7,1)</f>
        <v>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99.8</v>
      </c>
      <c r="U69" s="47">
        <f>ROUND(供應率!P7,1)</f>
        <v>100</v>
      </c>
      <c r="V69" s="47">
        <f>ROUND(供應率!Q7,1)</f>
        <v>100</v>
      </c>
      <c r="W69" s="47">
        <f>ROUND(供應率!R7,1)</f>
        <v>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540" t="s">
        <v>13</v>
      </c>
      <c r="B70" s="541"/>
      <c r="C70" s="541"/>
      <c r="D70" s="311" t="str">
        <f>HLOOKUP(MONTH(日期!$C$2),去年月推移!$D$1:$O$200,127,TRUE)</f>
        <v>92</v>
      </c>
      <c r="E70" s="49">
        <v>80</v>
      </c>
      <c r="F70" s="49" t="s">
        <v>45</v>
      </c>
      <c r="G70" s="558">
        <f>ROUND(當年月推移!P129,1)</f>
        <v>92.8</v>
      </c>
      <c r="H70" s="559"/>
      <c r="I70" s="47">
        <f>ROUND(供應率!D8,1)</f>
        <v>0</v>
      </c>
      <c r="J70" s="47">
        <f>ROUND(供應率!E8,1)</f>
        <v>75</v>
      </c>
      <c r="K70" s="47">
        <f>ROUND(供應率!F8,1)</f>
        <v>71.400000000000006</v>
      </c>
      <c r="L70" s="47">
        <f>ROUND(供應率!G8,1)</f>
        <v>88.8</v>
      </c>
      <c r="M70" s="47">
        <f>ROUND(供應率!H8,1)</f>
        <v>100</v>
      </c>
      <c r="N70" s="47">
        <f>ROUND(供應率!I8,1)</f>
        <v>81.8</v>
      </c>
      <c r="O70" s="47">
        <f>ROUND(供應率!J8,1)</f>
        <v>87.5</v>
      </c>
      <c r="P70" s="47">
        <f>ROUND(供應率!K8,1)</f>
        <v>0</v>
      </c>
      <c r="Q70" s="47">
        <f>ROUND(供應率!L8,1)</f>
        <v>100</v>
      </c>
      <c r="R70" s="47">
        <f>ROUND(供應率!M8,1)</f>
        <v>100</v>
      </c>
      <c r="S70" s="47">
        <f>ROUND(供應率!N8,1)</f>
        <v>100</v>
      </c>
      <c r="T70" s="47">
        <f>ROUND(供應率!O8,1)</f>
        <v>87.5</v>
      </c>
      <c r="U70" s="47">
        <f>ROUND(供應率!P8,1)</f>
        <v>57.1</v>
      </c>
      <c r="V70" s="47">
        <f>ROUND(供應率!Q8,1)</f>
        <v>100</v>
      </c>
      <c r="W70" s="47">
        <f>ROUND(供應率!R8,1)</f>
        <v>0</v>
      </c>
      <c r="X70" s="47">
        <f>ROUND(供應率!S8,1)</f>
        <v>100</v>
      </c>
      <c r="Y70" s="47">
        <f>ROUND(供應率!T8,1)</f>
        <v>90.9</v>
      </c>
      <c r="Z70" s="47">
        <f>ROUND(供應率!U8,1)</f>
        <v>88.8</v>
      </c>
      <c r="AA70" s="47">
        <f>ROUND(供應率!V8,1)</f>
        <v>62.5</v>
      </c>
      <c r="AB70" s="47">
        <f>ROUND(供應率!W8,1)</f>
        <v>70</v>
      </c>
      <c r="AC70" s="47">
        <f>ROUND(供應率!X8,1)</f>
        <v>80</v>
      </c>
      <c r="AD70" s="47">
        <f>ROUND(供應率!Y8,1)</f>
        <v>0</v>
      </c>
      <c r="AE70" s="47">
        <f>ROUND(供應率!Z8,1)</f>
        <v>80</v>
      </c>
      <c r="AF70" s="47">
        <f>ROUND(供應率!AA8,1)</f>
        <v>100</v>
      </c>
      <c r="AG70" s="47">
        <f>ROUND(供應率!AB8,1)</f>
        <v>100</v>
      </c>
      <c r="AH70" s="47">
        <f>ROUND(供應率!AC8,1)</f>
        <v>100</v>
      </c>
      <c r="AI70" s="47">
        <f>ROUND(供應率!AD8,1)</f>
        <v>100</v>
      </c>
      <c r="AJ70" s="47">
        <f>ROUND(供應率!AE8,1)</f>
        <v>85.7</v>
      </c>
      <c r="AK70" s="47">
        <f>ROUND(供應率!AF8,1)</f>
        <v>0</v>
      </c>
      <c r="AL70" s="47">
        <f>ROUND(供應率!AG8,1)</f>
        <v>81.8</v>
      </c>
      <c r="AM70" s="47">
        <f>ROUND(供應率!AH8,1)</f>
        <v>100</v>
      </c>
      <c r="AN70" s="214">
        <f>ROUND(供應率!AI8,1)</f>
        <v>86</v>
      </c>
      <c r="AO70" s="55"/>
    </row>
    <row r="71" spans="1:41" s="11" customFormat="1" ht="21.75" customHeight="1">
      <c r="A71" s="540" t="s">
        <v>14</v>
      </c>
      <c r="B71" s="541"/>
      <c r="C71" s="541"/>
      <c r="D71" s="311" t="str">
        <f>HLOOKUP(MONTH(日期!$C$2),去年月推移!$D$1:$O$200,128,TRUE)</f>
        <v>99.5</v>
      </c>
      <c r="E71" s="49">
        <v>99.2</v>
      </c>
      <c r="F71" s="49" t="s">
        <v>45</v>
      </c>
      <c r="G71" s="558">
        <f>ROUND(當年月推移!P130,1)</f>
        <v>99.4</v>
      </c>
      <c r="H71" s="559"/>
      <c r="I71" s="47">
        <f>ROUND(供應率!D9,1)</f>
        <v>0</v>
      </c>
      <c r="J71" s="47">
        <f>ROUND(供應率!E9,1)</f>
        <v>98.9</v>
      </c>
      <c r="K71" s="47">
        <f>ROUND(供應率!F9,1)</f>
        <v>99</v>
      </c>
      <c r="L71" s="47">
        <f>ROUND(供應率!G9,1)</f>
        <v>99.1</v>
      </c>
      <c r="M71" s="47">
        <f>ROUND(供應率!H9,1)</f>
        <v>99.3</v>
      </c>
      <c r="N71" s="47">
        <f>ROUND(供應率!I9,1)</f>
        <v>99.8</v>
      </c>
      <c r="O71" s="47">
        <f>ROUND(供應率!J9,1)</f>
        <v>99.7</v>
      </c>
      <c r="P71" s="47">
        <f>ROUND(供應率!K9,1)</f>
        <v>0</v>
      </c>
      <c r="Q71" s="47">
        <f>ROUND(供應率!L9,1)</f>
        <v>99.7</v>
      </c>
      <c r="R71" s="47">
        <f>ROUND(供應率!M9,1)</f>
        <v>99</v>
      </c>
      <c r="S71" s="47">
        <f>ROUND(供應率!N9,1)</f>
        <v>99.4</v>
      </c>
      <c r="T71" s="47">
        <f>ROUND(供應率!O9,1)</f>
        <v>99.7</v>
      </c>
      <c r="U71" s="47">
        <f>ROUND(供應率!P9,1)</f>
        <v>99.3</v>
      </c>
      <c r="V71" s="47">
        <f>ROUND(供應率!Q9,1)</f>
        <v>99.8</v>
      </c>
      <c r="W71" s="47">
        <f>ROUND(供應率!R9,1)</f>
        <v>0</v>
      </c>
      <c r="X71" s="47">
        <f>ROUND(供應率!S9,1)</f>
        <v>99.6</v>
      </c>
      <c r="Y71" s="47">
        <f>ROUND(供應率!T9,1)</f>
        <v>99.4</v>
      </c>
      <c r="Z71" s="47">
        <f>ROUND(供應率!U9,1)</f>
        <v>99.5</v>
      </c>
      <c r="AA71" s="47">
        <f>ROUND(供應率!V9,1)</f>
        <v>99.4</v>
      </c>
      <c r="AB71" s="47">
        <f>ROUND(供應率!W9,1)</f>
        <v>99.6</v>
      </c>
      <c r="AC71" s="47">
        <f>ROUND(供應率!X9,1)</f>
        <v>99.8</v>
      </c>
      <c r="AD71" s="47">
        <f>ROUND(供應率!Y9,1)</f>
        <v>0</v>
      </c>
      <c r="AE71" s="47">
        <f>ROUND(供應率!Z9,1)</f>
        <v>99.5</v>
      </c>
      <c r="AF71" s="47">
        <f>ROUND(供應率!AA9,1)</f>
        <v>99.8</v>
      </c>
      <c r="AG71" s="47">
        <f>ROUND(供應率!AB9,1)</f>
        <v>99.6</v>
      </c>
      <c r="AH71" s="47">
        <f>ROUND(供應率!AC9,1)</f>
        <v>99.4</v>
      </c>
      <c r="AI71" s="47">
        <f>ROUND(供應率!AD9,1)</f>
        <v>99.7</v>
      </c>
      <c r="AJ71" s="47">
        <f>ROUND(供應率!AE9,1)</f>
        <v>99.8</v>
      </c>
      <c r="AK71" s="47">
        <f>ROUND(供應率!AF9,1)</f>
        <v>0</v>
      </c>
      <c r="AL71" s="47">
        <f>ROUND(供應率!AG9,1)</f>
        <v>99.8</v>
      </c>
      <c r="AM71" s="47">
        <f>ROUND(供應率!AH9,1)</f>
        <v>98.8</v>
      </c>
      <c r="AN71" s="214">
        <f>ROUND(供應率!AI9,1)</f>
        <v>99.5</v>
      </c>
      <c r="AO71" s="55"/>
    </row>
    <row r="72" spans="1:41" s="11" customFormat="1" ht="21.95" customHeight="1">
      <c r="A72" s="540" t="s">
        <v>56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45</v>
      </c>
      <c r="G72" s="558">
        <f>ROUND(當年月推移!P131,1)</f>
        <v>94.7</v>
      </c>
      <c r="H72" s="559"/>
      <c r="I72" s="47">
        <f>ROUND(供應率!D22,1)</f>
        <v>0</v>
      </c>
      <c r="J72" s="47">
        <f>ROUND(供應率!E22,1)</f>
        <v>93.9</v>
      </c>
      <c r="K72" s="47">
        <f>ROUND(供應率!F22,1)</f>
        <v>92.3</v>
      </c>
      <c r="L72" s="47">
        <f>ROUND(供應率!G22,1)</f>
        <v>96.1</v>
      </c>
      <c r="M72" s="47">
        <f>ROUND(供應率!H22,1)</f>
        <v>95.5</v>
      </c>
      <c r="N72" s="47">
        <f>ROUND(供應率!I22,1)</f>
        <v>94.8</v>
      </c>
      <c r="O72" s="47">
        <f>ROUND(供應率!J22,1)</f>
        <v>84</v>
      </c>
      <c r="P72" s="47">
        <f>ROUND(供應率!K22,1)</f>
        <v>0</v>
      </c>
      <c r="Q72" s="47">
        <f>ROUND(供應率!L22,1)</f>
        <v>77.5</v>
      </c>
      <c r="R72" s="47">
        <f>ROUND(供應率!M22,1)</f>
        <v>85.1</v>
      </c>
      <c r="S72" s="47">
        <f>ROUND(供應率!N22,1)</f>
        <v>90</v>
      </c>
      <c r="T72" s="47">
        <f>ROUND(供應率!O22,1)</f>
        <v>94.5</v>
      </c>
      <c r="U72" s="47">
        <f>ROUND(供應率!P22,1)</f>
        <v>89.5</v>
      </c>
      <c r="V72" s="47">
        <f>ROUND(供應率!Q22,1)</f>
        <v>90.7</v>
      </c>
      <c r="W72" s="47">
        <f>ROUND(供應率!R22,1)</f>
        <v>0</v>
      </c>
      <c r="X72" s="47">
        <f>ROUND(供應率!S22,1)</f>
        <v>92.1</v>
      </c>
      <c r="Y72" s="47">
        <f>ROUND(供應率!T22,1)</f>
        <v>94.9</v>
      </c>
      <c r="Z72" s="47">
        <f>ROUND(供應率!U22,1)</f>
        <v>96.3</v>
      </c>
      <c r="AA72" s="47">
        <f>ROUND(供應率!V22,1)</f>
        <v>96</v>
      </c>
      <c r="AB72" s="47">
        <f>ROUND(供應率!W22,1)</f>
        <v>95.9</v>
      </c>
      <c r="AC72" s="47">
        <f>ROUND(供應率!X22,1)</f>
        <v>96.6</v>
      </c>
      <c r="AD72" s="47">
        <f>ROUND(供應率!Y22,1)</f>
        <v>0</v>
      </c>
      <c r="AE72" s="47">
        <f>ROUND(供應率!Z22,1)</f>
        <v>95.9</v>
      </c>
      <c r="AF72" s="47">
        <f>ROUND(供應率!AA22,1)</f>
        <v>95.3</v>
      </c>
      <c r="AG72" s="47">
        <f>ROUND(供應率!AB22,1)</f>
        <v>96.8</v>
      </c>
      <c r="AH72" s="47">
        <f>ROUND(供應率!AC22,1)</f>
        <v>96.3</v>
      </c>
      <c r="AI72" s="47">
        <f>ROUND(供應率!AD22,1)</f>
        <v>95.6</v>
      </c>
      <c r="AJ72" s="47">
        <f>ROUND(供應率!AE22,1)</f>
        <v>97.3</v>
      </c>
      <c r="AK72" s="47">
        <f>ROUND(供應率!AF22,1)</f>
        <v>0</v>
      </c>
      <c r="AL72" s="47">
        <f>ROUND(供應率!AG22,1)</f>
        <v>98.3</v>
      </c>
      <c r="AM72" s="47">
        <f>ROUND(供應率!AH22,1)</f>
        <v>97.2</v>
      </c>
      <c r="AN72" s="214">
        <f>ROUND(供應率!AI22,1)</f>
        <v>93.2</v>
      </c>
      <c r="AO72" s="55"/>
    </row>
    <row r="73" spans="1:41" s="11" customFormat="1" ht="21.95" customHeight="1" thickBot="1">
      <c r="A73" s="585" t="s">
        <v>16</v>
      </c>
      <c r="B73" s="586"/>
      <c r="C73" s="586"/>
      <c r="D73" s="320" t="str">
        <f>HLOOKUP(MONTH(日期!$C$2),去年月推移!$D$1:$O$200,130,TRUE)</f>
        <v>98.8</v>
      </c>
      <c r="E73" s="58">
        <v>97</v>
      </c>
      <c r="F73" s="58" t="s">
        <v>45</v>
      </c>
      <c r="G73" s="554">
        <f>ROUND(當年月推移!P132,1)</f>
        <v>98.2</v>
      </c>
      <c r="H73" s="555"/>
      <c r="I73" s="59">
        <f>ROUND(供應率!D11,1)</f>
        <v>0</v>
      </c>
      <c r="J73" s="59">
        <f>ROUND(供應率!E11,1)</f>
        <v>99.5</v>
      </c>
      <c r="K73" s="59">
        <f>ROUND(供應率!F11,1)</f>
        <v>99.7</v>
      </c>
      <c r="L73" s="59">
        <f>ROUND(供應率!G11,1)</f>
        <v>99.7</v>
      </c>
      <c r="M73" s="59">
        <f>ROUND(供應率!H11,1)</f>
        <v>93.7</v>
      </c>
      <c r="N73" s="59">
        <f>ROUND(供應率!I11,1)</f>
        <v>99.3</v>
      </c>
      <c r="O73" s="59">
        <f>ROUND(供應率!J11,1)</f>
        <v>98.9</v>
      </c>
      <c r="P73" s="59">
        <f>ROUND(供應率!K11,1)</f>
        <v>0</v>
      </c>
      <c r="Q73" s="59">
        <f>ROUND(供應率!L11,1)</f>
        <v>99.7</v>
      </c>
      <c r="R73" s="59">
        <f>ROUND(供應率!M11,1)</f>
        <v>99</v>
      </c>
      <c r="S73" s="59">
        <f>ROUND(供應率!N11,1)</f>
        <v>99.2</v>
      </c>
      <c r="T73" s="59">
        <f>ROUND(供應率!O11,1)</f>
        <v>99.2</v>
      </c>
      <c r="U73" s="59">
        <f>ROUND(供應率!P11,1)</f>
        <v>98.8</v>
      </c>
      <c r="V73" s="59">
        <f>ROUND(供應率!Q11,1)</f>
        <v>100</v>
      </c>
      <c r="W73" s="59">
        <f>ROUND(供應率!R11,1)</f>
        <v>0</v>
      </c>
      <c r="X73" s="59">
        <f>ROUND(供應率!S11,1)</f>
        <v>99.1</v>
      </c>
      <c r="Y73" s="59">
        <f>ROUND(供應率!T11,1)</f>
        <v>97.3</v>
      </c>
      <c r="Z73" s="59">
        <f>ROUND(供應率!U11,1)</f>
        <v>98.8</v>
      </c>
      <c r="AA73" s="59">
        <f>ROUND(供應率!V11,1)</f>
        <v>98.7</v>
      </c>
      <c r="AB73" s="59">
        <f>ROUND(供應率!W11,1)</f>
        <v>97.8</v>
      </c>
      <c r="AC73" s="59">
        <f>ROUND(供應率!X11,1)</f>
        <v>97.6</v>
      </c>
      <c r="AD73" s="59">
        <f>ROUND(供應率!Y11,1)</f>
        <v>0</v>
      </c>
      <c r="AE73" s="59">
        <f>ROUND(供應率!Z11,1)</f>
        <v>99.3</v>
      </c>
      <c r="AF73" s="59">
        <f>ROUND(供應率!AA11,1)</f>
        <v>100</v>
      </c>
      <c r="AG73" s="59">
        <f>ROUND(供應率!AB11,1)</f>
        <v>99.4</v>
      </c>
      <c r="AH73" s="59">
        <f>ROUND(供應率!AC11,1)</f>
        <v>99.2</v>
      </c>
      <c r="AI73" s="59">
        <f>ROUND(供應率!AD11,1)</f>
        <v>99.1</v>
      </c>
      <c r="AJ73" s="59">
        <f>ROUND(供應率!AE11,1)</f>
        <v>99.4</v>
      </c>
      <c r="AK73" s="59">
        <f>ROUND(供應率!AF11,1)</f>
        <v>0</v>
      </c>
      <c r="AL73" s="59">
        <f>ROUND(供應率!AG11,1)</f>
        <v>97.7</v>
      </c>
      <c r="AM73" s="59">
        <f>ROUND(供應率!AH11,1)</f>
        <v>99.6</v>
      </c>
      <c r="AN73" s="217">
        <f>ROUND(供應率!AI11,1)</f>
        <v>98.8</v>
      </c>
      <c r="AO73" s="55"/>
    </row>
    <row r="74" spans="1:41" s="11" customFormat="1" ht="21.95" customHeight="1">
      <c r="A74" s="540" t="s">
        <v>23</v>
      </c>
      <c r="B74" s="541"/>
      <c r="C74" s="541"/>
      <c r="D74" s="313" t="str">
        <f>HLOOKUP(MONTH(日期!$C$2),去年月推移!$D$1:$O$200,131,TRUE)</f>
        <v>99</v>
      </c>
      <c r="E74" s="49">
        <v>98.559727106188546</v>
      </c>
      <c r="F74" s="49" t="s">
        <v>45</v>
      </c>
      <c r="G74" s="558">
        <f>ROUND(當年月推移!P133,1)</f>
        <v>97.5</v>
      </c>
      <c r="H74" s="559"/>
      <c r="I74" s="47">
        <f>ROUND(供應率!D6,1)</f>
        <v>0</v>
      </c>
      <c r="J74" s="47">
        <f>ROUND(供應率!E6,1)</f>
        <v>98.4</v>
      </c>
      <c r="K74" s="47">
        <f>ROUND(供應率!F6,1)</f>
        <v>97.8</v>
      </c>
      <c r="L74" s="47">
        <f>ROUND(供應率!G6,1)</f>
        <v>97.6</v>
      </c>
      <c r="M74" s="47">
        <f>ROUND(供應率!H6,1)</f>
        <v>98</v>
      </c>
      <c r="N74" s="47">
        <f>ROUND(供應率!I6,1)</f>
        <v>96.7</v>
      </c>
      <c r="O74" s="47">
        <f>ROUND(供應率!J6,1)</f>
        <v>97.5</v>
      </c>
      <c r="P74" s="47">
        <f>ROUND(供應率!K6,1)</f>
        <v>0</v>
      </c>
      <c r="Q74" s="47">
        <f>ROUND(供應率!L6,1)</f>
        <v>97.9</v>
      </c>
      <c r="R74" s="47">
        <f>ROUND(供應率!M6,1)</f>
        <v>97.3</v>
      </c>
      <c r="S74" s="47">
        <f>ROUND(供應率!N6,1)</f>
        <v>98</v>
      </c>
      <c r="T74" s="47">
        <f>ROUND(供應率!O6,1)</f>
        <v>97.2</v>
      </c>
      <c r="U74" s="47">
        <f>ROUND(供應率!P6,1)</f>
        <v>97.8</v>
      </c>
      <c r="V74" s="47">
        <f>ROUND(供應率!Q6,1)</f>
        <v>98.5</v>
      </c>
      <c r="W74" s="47">
        <f>ROUND(供應率!R6,1)</f>
        <v>0</v>
      </c>
      <c r="X74" s="47">
        <f>ROUND(供應率!S6,1)</f>
        <v>98.2</v>
      </c>
      <c r="Y74" s="47">
        <f>ROUND(供應率!T6,1)</f>
        <v>97.8</v>
      </c>
      <c r="Z74" s="47">
        <f>ROUND(供應率!U6,1)</f>
        <v>97.4</v>
      </c>
      <c r="AA74" s="47">
        <f>ROUND(供應率!V6,1)</f>
        <v>98.5</v>
      </c>
      <c r="AB74" s="47">
        <f>ROUND(供應率!W6,1)</f>
        <v>98</v>
      </c>
      <c r="AC74" s="47">
        <f>ROUND(供應率!X6,1)</f>
        <v>98.1</v>
      </c>
      <c r="AD74" s="47">
        <f>ROUND(供應率!Y6,1)</f>
        <v>0</v>
      </c>
      <c r="AE74" s="47">
        <f>ROUND(供應率!Z6,1)</f>
        <v>97.9</v>
      </c>
      <c r="AF74" s="47">
        <f>ROUND(供應率!AA6,1)</f>
        <v>98.2</v>
      </c>
      <c r="AG74" s="47">
        <f>ROUND(供應率!AB6,1)</f>
        <v>98.2</v>
      </c>
      <c r="AH74" s="47">
        <f>ROUND(供應率!AC6,1)</f>
        <v>98.1</v>
      </c>
      <c r="AI74" s="47">
        <f>ROUND(供應率!AD6,1)</f>
        <v>98.6</v>
      </c>
      <c r="AJ74" s="47">
        <f>ROUND(供應率!AE6,1)</f>
        <v>98.5</v>
      </c>
      <c r="AK74" s="47">
        <f>ROUND(供應率!AF6,1)</f>
        <v>0</v>
      </c>
      <c r="AL74" s="47">
        <f>ROUND(供應率!AG6,1)</f>
        <v>98.1</v>
      </c>
      <c r="AM74" s="47">
        <f>ROUND(供應率!AH6,1)</f>
        <v>98.8</v>
      </c>
      <c r="AN74" s="214">
        <f>ROUND(供應率!AI6,1)</f>
        <v>97.9</v>
      </c>
      <c r="AO74" s="55"/>
    </row>
    <row r="75" spans="1:41" s="11" customFormat="1" ht="21.95" customHeight="1">
      <c r="A75" s="542" t="s">
        <v>24</v>
      </c>
      <c r="B75" s="543"/>
      <c r="C75" s="544"/>
      <c r="D75" s="310" t="str">
        <f>HLOOKUP(MONTH(日期!$C$2),去年月推移!$D$1:$O$200,132,TRUE)</f>
        <v>100</v>
      </c>
      <c r="E75" s="243"/>
      <c r="F75" s="243"/>
      <c r="G75" s="558">
        <f>ROUND(當年月推移!P134,1)</f>
        <v>99.8</v>
      </c>
      <c r="H75" s="559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100</v>
      </c>
      <c r="AO75" s="55"/>
    </row>
    <row r="76" spans="1:41" s="11" customFormat="1" ht="21.95" customHeight="1">
      <c r="A76" s="542" t="s">
        <v>25</v>
      </c>
      <c r="B76" s="543"/>
      <c r="C76" s="544"/>
      <c r="D76" s="310" t="str">
        <f>HLOOKUP(MONTH(日期!$C$2),去年月推移!$D$1:$O$200,133,TRUE)</f>
        <v>97</v>
      </c>
      <c r="E76" s="243"/>
      <c r="F76" s="243"/>
      <c r="G76" s="558">
        <f>ROUND(當年月推移!P135,1)</f>
        <v>95.3</v>
      </c>
      <c r="H76" s="559"/>
      <c r="I76" s="244">
        <f>ROUND(供應率!D13,1)</f>
        <v>0</v>
      </c>
      <c r="J76" s="244">
        <f>ROUND(供應率!E13,1)</f>
        <v>81.2</v>
      </c>
      <c r="K76" s="244">
        <f>ROUND(供應率!F13,1)</f>
        <v>100</v>
      </c>
      <c r="L76" s="244">
        <f>ROUND(供應率!G13,1)</f>
        <v>100</v>
      </c>
      <c r="M76" s="244">
        <f>ROUND(供應率!H13,1)</f>
        <v>100</v>
      </c>
      <c r="N76" s="244">
        <f>ROUND(供應率!I13,1)</f>
        <v>100</v>
      </c>
      <c r="O76" s="244">
        <f>ROUND(供應率!J13,1)</f>
        <v>88.8</v>
      </c>
      <c r="P76" s="244">
        <f>ROUND(供應率!K13,1)</f>
        <v>0</v>
      </c>
      <c r="Q76" s="244">
        <f>ROUND(供應率!L13,1)</f>
        <v>100</v>
      </c>
      <c r="R76" s="244">
        <f>ROUND(供應率!M13,1)</f>
        <v>100</v>
      </c>
      <c r="S76" s="244">
        <f>ROUND(供應率!N13,1)</f>
        <v>100</v>
      </c>
      <c r="T76" s="244">
        <f>ROUND(供應率!O13,1)</f>
        <v>100</v>
      </c>
      <c r="U76" s="244">
        <f>ROUND(供應率!P13,1)</f>
        <v>90</v>
      </c>
      <c r="V76" s="244">
        <f>ROUND(供應率!Q13,1)</f>
        <v>80</v>
      </c>
      <c r="W76" s="244">
        <f>ROUND(供應率!R13,1)</f>
        <v>0</v>
      </c>
      <c r="X76" s="244">
        <f>ROUND(供應率!S13,1)</f>
        <v>100</v>
      </c>
      <c r="Y76" s="244">
        <f>ROUND(供應率!T13,1)</f>
        <v>92.3</v>
      </c>
      <c r="Z76" s="244">
        <f>ROUND(供應率!U13,1)</f>
        <v>100</v>
      </c>
      <c r="AA76" s="244">
        <f>ROUND(供應率!V13,1)</f>
        <v>100</v>
      </c>
      <c r="AB76" s="244">
        <f>ROUND(供應率!W13,1)</f>
        <v>92.8</v>
      </c>
      <c r="AC76" s="244">
        <f>ROUND(供應率!X13,1)</f>
        <v>100</v>
      </c>
      <c r="AD76" s="244">
        <f>ROUND(供應率!Y13,1)</f>
        <v>0</v>
      </c>
      <c r="AE76" s="244">
        <f>ROUND(供應率!Z13,1)</f>
        <v>100</v>
      </c>
      <c r="AF76" s="244">
        <f>ROUND(供應率!AA13,1)</f>
        <v>100</v>
      </c>
      <c r="AG76" s="244">
        <f>ROUND(供應率!AB13,1)</f>
        <v>100</v>
      </c>
      <c r="AH76" s="244">
        <f>ROUND(供應率!AC13,1)</f>
        <v>95.4</v>
      </c>
      <c r="AI76" s="244">
        <f>ROUND(供應率!AD13,1)</f>
        <v>100</v>
      </c>
      <c r="AJ76" s="244">
        <f>ROUND(供應率!AE13,1)</f>
        <v>87.5</v>
      </c>
      <c r="AK76" s="244">
        <f>ROUND(供應率!AF13,1)</f>
        <v>0</v>
      </c>
      <c r="AL76" s="244">
        <f>ROUND(供應率!AG13,1)</f>
        <v>100</v>
      </c>
      <c r="AM76" s="244">
        <f>ROUND(供應率!AH13,1)</f>
        <v>100</v>
      </c>
      <c r="AN76" s="246">
        <f>ROUND(供應率!AI13,1)</f>
        <v>96.7</v>
      </c>
      <c r="AO76" s="55"/>
    </row>
    <row r="77" spans="1:41" s="11" customFormat="1" ht="21.95" customHeight="1">
      <c r="A77" s="542" t="s">
        <v>26</v>
      </c>
      <c r="B77" s="543"/>
      <c r="C77" s="544"/>
      <c r="D77" s="310" t="str">
        <f>HLOOKUP(MONTH(日期!$C$2),去年月推移!$D$1:$O$200,134,TRUE)</f>
        <v>95.8</v>
      </c>
      <c r="E77" s="243"/>
      <c r="F77" s="243"/>
      <c r="G77" s="558">
        <f>ROUND(當年月推移!P136,1)</f>
        <v>97.1</v>
      </c>
      <c r="H77" s="559"/>
      <c r="I77" s="244">
        <f>ROUND(供應率!D14,1)</f>
        <v>0</v>
      </c>
      <c r="J77" s="244">
        <f>ROUND(供應率!E14,1)</f>
        <v>94.6</v>
      </c>
      <c r="K77" s="244">
        <f>ROUND(供應率!F14,1)</f>
        <v>92.8</v>
      </c>
      <c r="L77" s="244">
        <f>ROUND(供應率!G14,1)</f>
        <v>96.2</v>
      </c>
      <c r="M77" s="244">
        <f>ROUND(供應率!H14,1)</f>
        <v>96.8</v>
      </c>
      <c r="N77" s="244">
        <f>ROUND(供應率!I14,1)</f>
        <v>95.4</v>
      </c>
      <c r="O77" s="244">
        <f>ROUND(供應率!J14,1)</f>
        <v>95.8</v>
      </c>
      <c r="P77" s="244">
        <f>ROUND(供應率!K14,1)</f>
        <v>0</v>
      </c>
      <c r="Q77" s="244">
        <f>ROUND(供應率!L14,1)</f>
        <v>93.9</v>
      </c>
      <c r="R77" s="244">
        <f>ROUND(供應率!M14,1)</f>
        <v>96.8</v>
      </c>
      <c r="S77" s="244">
        <f>ROUND(供應率!N14,1)</f>
        <v>96.5</v>
      </c>
      <c r="T77" s="244">
        <f>ROUND(供應率!O14,1)</f>
        <v>95.1</v>
      </c>
      <c r="U77" s="244">
        <f>ROUND(供應率!P14,1)</f>
        <v>96</v>
      </c>
      <c r="V77" s="244">
        <f>ROUND(供應率!Q14,1)</f>
        <v>97.1</v>
      </c>
      <c r="W77" s="244">
        <f>ROUND(供應率!R14,1)</f>
        <v>0</v>
      </c>
      <c r="X77" s="244">
        <f>ROUND(供應率!S14,1)</f>
        <v>99</v>
      </c>
      <c r="Y77" s="244">
        <f>ROUND(供應率!T14,1)</f>
        <v>96.6</v>
      </c>
      <c r="Z77" s="244">
        <f>ROUND(供應率!U14,1)</f>
        <v>96.5</v>
      </c>
      <c r="AA77" s="244">
        <f>ROUND(供應率!V14,1)</f>
        <v>97.3</v>
      </c>
      <c r="AB77" s="244">
        <f>ROUND(供應率!W14,1)</f>
        <v>98.2</v>
      </c>
      <c r="AC77" s="244">
        <f>ROUND(供應率!X14,1)</f>
        <v>99.3</v>
      </c>
      <c r="AD77" s="244">
        <f>ROUND(供應率!Y14,1)</f>
        <v>0</v>
      </c>
      <c r="AE77" s="244">
        <f>ROUND(供應率!Z14,1)</f>
        <v>98.2</v>
      </c>
      <c r="AF77" s="244">
        <f>ROUND(供應率!AA14,1)</f>
        <v>97.7</v>
      </c>
      <c r="AG77" s="244">
        <f>ROUND(供應率!AB14,1)</f>
        <v>97.9</v>
      </c>
      <c r="AH77" s="244">
        <f>ROUND(供應率!AC14,1)</f>
        <v>96.1</v>
      </c>
      <c r="AI77" s="244">
        <f>ROUND(供應率!AD14,1)</f>
        <v>94.6</v>
      </c>
      <c r="AJ77" s="244">
        <f>ROUND(供應率!AE14,1)</f>
        <v>96.3</v>
      </c>
      <c r="AK77" s="244">
        <f>ROUND(供應率!AF14,1)</f>
        <v>0</v>
      </c>
      <c r="AL77" s="244">
        <f>ROUND(供應率!AG14,1)</f>
        <v>95.5</v>
      </c>
      <c r="AM77" s="244">
        <f>ROUND(供應率!AH14,1)</f>
        <v>98.3</v>
      </c>
      <c r="AN77" s="246">
        <f>ROUND(供應率!AI14,1)</f>
        <v>96.4</v>
      </c>
      <c r="AO77" s="55"/>
    </row>
    <row r="78" spans="1:41" s="11" customFormat="1" ht="21.95" customHeight="1">
      <c r="A78" s="542" t="s">
        <v>27</v>
      </c>
      <c r="B78" s="543"/>
      <c r="C78" s="544"/>
      <c r="D78" s="310" t="str">
        <f>HLOOKUP(MONTH(日期!$C$2),去年月推移!$D$1:$O$200,135,TRUE)</f>
        <v>94.2</v>
      </c>
      <c r="E78" s="243"/>
      <c r="F78" s="243"/>
      <c r="G78" s="558">
        <f>ROUND(當年月推移!P137,1)</f>
        <v>94.5</v>
      </c>
      <c r="H78" s="559"/>
      <c r="I78" s="244">
        <f>ROUND(供應率!D15,1)</f>
        <v>0</v>
      </c>
      <c r="J78" s="244">
        <f>ROUND(供應率!E15,1)</f>
        <v>90.5</v>
      </c>
      <c r="K78" s="244">
        <f>ROUND(供應率!F15,1)</f>
        <v>89.4</v>
      </c>
      <c r="L78" s="244">
        <f>ROUND(供應率!G15,1)</f>
        <v>98.4</v>
      </c>
      <c r="M78" s="244">
        <f>ROUND(供應率!H15,1)</f>
        <v>98.2</v>
      </c>
      <c r="N78" s="244">
        <f>ROUND(供應率!I15,1)</f>
        <v>100</v>
      </c>
      <c r="O78" s="244">
        <f>ROUND(供應率!J15,1)</f>
        <v>100</v>
      </c>
      <c r="P78" s="244">
        <f>ROUND(供應率!K15,1)</f>
        <v>0</v>
      </c>
      <c r="Q78" s="244">
        <f>ROUND(供應率!L15,1)</f>
        <v>100</v>
      </c>
      <c r="R78" s="244">
        <f>ROUND(供應率!M15,1)</f>
        <v>93.2</v>
      </c>
      <c r="S78" s="244">
        <f>ROUND(供應率!N15,1)</f>
        <v>83.9</v>
      </c>
      <c r="T78" s="244">
        <f>ROUND(供應率!O15,1)</f>
        <v>87</v>
      </c>
      <c r="U78" s="244">
        <f>ROUND(供應率!P15,1)</f>
        <v>90.9</v>
      </c>
      <c r="V78" s="244">
        <f>ROUND(供應率!Q15,1)</f>
        <v>85.2</v>
      </c>
      <c r="W78" s="244">
        <f>ROUND(供應率!R15,1)</f>
        <v>0</v>
      </c>
      <c r="X78" s="244">
        <f>ROUND(供應率!S15,1)</f>
        <v>81.8</v>
      </c>
      <c r="Y78" s="244">
        <f>ROUND(供應率!T15,1)</f>
        <v>95.8</v>
      </c>
      <c r="Z78" s="244">
        <f>ROUND(供應率!U15,1)</f>
        <v>89.3</v>
      </c>
      <c r="AA78" s="244">
        <f>ROUND(供應率!V15,1)</f>
        <v>93.8</v>
      </c>
      <c r="AB78" s="244">
        <f>ROUND(供應率!W15,1)</f>
        <v>100</v>
      </c>
      <c r="AC78" s="244">
        <f>ROUND(供應率!X15,1)</f>
        <v>100</v>
      </c>
      <c r="AD78" s="244">
        <f>ROUND(供應率!Y15,1)</f>
        <v>0</v>
      </c>
      <c r="AE78" s="244">
        <f>ROUND(供應率!Z15,1)</f>
        <v>98.3</v>
      </c>
      <c r="AF78" s="244">
        <f>ROUND(供應率!AA15,1)</f>
        <v>94.1</v>
      </c>
      <c r="AG78" s="244">
        <f>ROUND(供應率!AB15,1)</f>
        <v>91.4</v>
      </c>
      <c r="AH78" s="244">
        <f>ROUND(供應率!AC15,1)</f>
        <v>95.3</v>
      </c>
      <c r="AI78" s="244">
        <f>ROUND(供應率!AD15,1)</f>
        <v>100</v>
      </c>
      <c r="AJ78" s="244">
        <f>ROUND(供應率!AE15,1)</f>
        <v>98.3</v>
      </c>
      <c r="AK78" s="244">
        <f>ROUND(供應率!AF15,1)</f>
        <v>0</v>
      </c>
      <c r="AL78" s="244">
        <f>ROUND(供應率!AG15,1)</f>
        <v>98.6</v>
      </c>
      <c r="AM78" s="244">
        <f>ROUND(供應率!AH15,1)</f>
        <v>100</v>
      </c>
      <c r="AN78" s="246">
        <f>ROUND(供應率!AI15,1)</f>
        <v>94.1</v>
      </c>
      <c r="AO78" s="55"/>
    </row>
    <row r="79" spans="1:41" s="11" customFormat="1" ht="21.95" customHeight="1" thickBot="1">
      <c r="A79" s="580" t="s">
        <v>28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73" t="s">
        <v>31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49" t="s">
        <v>32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49" t="s">
        <v>33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49" t="s">
        <v>34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56" t="s">
        <v>35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1</v>
      </c>
      <c r="B87" s="565"/>
      <c r="C87" s="565"/>
      <c r="D87" s="568" t="str">
        <f>D3</f>
        <v>2025/3</v>
      </c>
      <c r="E87" s="568" t="str">
        <f>E3</f>
        <v>2026/3</v>
      </c>
      <c r="F87" s="335">
        <f>YEAR(日期!C2)-1</f>
        <v>2025</v>
      </c>
      <c r="G87" s="583">
        <f>YEAR(日期!C2)</f>
        <v>2026</v>
      </c>
      <c r="H87" s="584"/>
      <c r="I87" s="490" t="str">
        <f>日期!C2</f>
        <v>2026/03/01</v>
      </c>
      <c r="J87" s="490" t="str">
        <f>日期!D2</f>
        <v>2026/03/02</v>
      </c>
      <c r="K87" s="490" t="str">
        <f>日期!E2</f>
        <v>2026/03/03</v>
      </c>
      <c r="L87" s="490" t="str">
        <f>日期!F2</f>
        <v>2026/03/04</v>
      </c>
      <c r="M87" s="490" t="str">
        <f>日期!G2</f>
        <v>2026/03/05</v>
      </c>
      <c r="N87" s="490" t="str">
        <f>日期!H2</f>
        <v>2026/03/06</v>
      </c>
      <c r="O87" s="490" t="str">
        <f>日期!I2</f>
        <v>2026/03/07</v>
      </c>
      <c r="P87" s="490" t="str">
        <f>日期!J2</f>
        <v>2026/03/08</v>
      </c>
      <c r="Q87" s="490" t="str">
        <f>日期!K2</f>
        <v>2026/03/09</v>
      </c>
      <c r="R87" s="490" t="str">
        <f>日期!L2</f>
        <v>2026/03/10</v>
      </c>
      <c r="S87" s="490" t="str">
        <f>日期!M2</f>
        <v>2026/03/11</v>
      </c>
      <c r="T87" s="490" t="str">
        <f>日期!N2</f>
        <v>2026/03/12</v>
      </c>
      <c r="U87" s="490" t="str">
        <f>日期!O2</f>
        <v>2026/03/13</v>
      </c>
      <c r="V87" s="490" t="str">
        <f>日期!P2</f>
        <v>2026/03/14</v>
      </c>
      <c r="W87" s="490" t="str">
        <f>日期!Q2</f>
        <v>2026/03/15</v>
      </c>
      <c r="X87" s="490" t="str">
        <f>日期!R2</f>
        <v>2026/03/16</v>
      </c>
      <c r="Y87" s="490" t="str">
        <f>日期!S2</f>
        <v>2026/03/17</v>
      </c>
      <c r="Z87" s="490" t="str">
        <f>日期!T2</f>
        <v>2026/03/18</v>
      </c>
      <c r="AA87" s="490" t="str">
        <f>日期!U2</f>
        <v>2026/03/19</v>
      </c>
      <c r="AB87" s="490" t="str">
        <f>日期!V2</f>
        <v>2026/03/20</v>
      </c>
      <c r="AC87" s="490" t="str">
        <f>日期!W2</f>
        <v>2026/03/21</v>
      </c>
      <c r="AD87" s="490" t="str">
        <f>日期!X2</f>
        <v>2026/03/22</v>
      </c>
      <c r="AE87" s="490" t="str">
        <f>日期!Y2</f>
        <v>2026/03/23</v>
      </c>
      <c r="AF87" s="490" t="str">
        <f>日期!Z2</f>
        <v>2026/03/24</v>
      </c>
      <c r="AG87" s="490" t="str">
        <f>日期!AA2</f>
        <v>2026/03/25</v>
      </c>
      <c r="AH87" s="490" t="str">
        <f>日期!AB2</f>
        <v>2026/03/26</v>
      </c>
      <c r="AI87" s="490" t="str">
        <f>日期!AC2</f>
        <v>2026/03/27</v>
      </c>
      <c r="AJ87" s="490" t="str">
        <f>日期!AD2</f>
        <v>2026/03/28</v>
      </c>
      <c r="AK87" s="490" t="str">
        <f>日期!AE2</f>
        <v>2026/03/29</v>
      </c>
      <c r="AL87" s="490" t="str">
        <f>日期!AF2</f>
        <v>2026/03/30</v>
      </c>
      <c r="AM87" s="490" t="str">
        <f>日期!AG2</f>
        <v>2026/03/31</v>
      </c>
      <c r="AN87" s="560" t="s">
        <v>42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58</v>
      </c>
      <c r="G88" s="571" t="s">
        <v>59</v>
      </c>
      <c r="H88" s="572"/>
      <c r="I88" s="12" t="str">
        <f>日期!C3</f>
        <v>Sun</v>
      </c>
      <c r="J88" s="12" t="str">
        <f>日期!D3</f>
        <v>Mon</v>
      </c>
      <c r="K88" s="12" t="str">
        <f>日期!E3</f>
        <v>Tue</v>
      </c>
      <c r="L88" s="12" t="str">
        <f>日期!F3</f>
        <v>Wed</v>
      </c>
      <c r="M88" s="12" t="str">
        <f>日期!G3</f>
        <v>Thu</v>
      </c>
      <c r="N88" s="12" t="str">
        <f>日期!H3</f>
        <v>Fri</v>
      </c>
      <c r="O88" s="12" t="str">
        <f>日期!I3</f>
        <v>Sat</v>
      </c>
      <c r="P88" s="12" t="str">
        <f>日期!J3</f>
        <v>Sun</v>
      </c>
      <c r="Q88" s="12" t="str">
        <f>日期!K3</f>
        <v>Mon</v>
      </c>
      <c r="R88" s="12" t="str">
        <f>日期!L3</f>
        <v>Tue</v>
      </c>
      <c r="S88" s="12" t="str">
        <f>日期!M3</f>
        <v>Wed</v>
      </c>
      <c r="T88" s="12" t="str">
        <f>日期!N3</f>
        <v>Thu</v>
      </c>
      <c r="U88" s="12" t="str">
        <f>日期!O3</f>
        <v>Fri</v>
      </c>
      <c r="V88" s="12" t="str">
        <f>日期!P3</f>
        <v>Sat</v>
      </c>
      <c r="W88" s="12" t="str">
        <f>日期!Q3</f>
        <v>Sun</v>
      </c>
      <c r="X88" s="12" t="str">
        <f>日期!R3</f>
        <v>Mon</v>
      </c>
      <c r="Y88" s="12" t="str">
        <f>日期!S3</f>
        <v>Tue</v>
      </c>
      <c r="Z88" s="12" t="str">
        <f>日期!T3</f>
        <v>Wed</v>
      </c>
      <c r="AA88" s="12" t="str">
        <f>日期!U3</f>
        <v>Thu</v>
      </c>
      <c r="AB88" s="12" t="str">
        <f>日期!V3</f>
        <v>Fri</v>
      </c>
      <c r="AC88" s="12" t="str">
        <f>日期!W3</f>
        <v>Sat</v>
      </c>
      <c r="AD88" s="12" t="str">
        <f>日期!X3</f>
        <v>Sun</v>
      </c>
      <c r="AE88" s="12" t="str">
        <f>日期!Y3</f>
        <v>Mon</v>
      </c>
      <c r="AF88" s="12" t="str">
        <f>日期!Z3</f>
        <v>Tue</v>
      </c>
      <c r="AG88" s="12" t="str">
        <f>日期!AA3</f>
        <v>Wed</v>
      </c>
      <c r="AH88" s="12" t="str">
        <f>日期!AB3</f>
        <v>Thu</v>
      </c>
      <c r="AI88" s="12" t="str">
        <f>日期!AC3</f>
        <v>Fri</v>
      </c>
      <c r="AJ88" s="12" t="str">
        <f>日期!AD3</f>
        <v>Sat</v>
      </c>
      <c r="AK88" s="12" t="str">
        <f>日期!AE3</f>
        <v>Sun</v>
      </c>
      <c r="AL88" s="12" t="str">
        <f>日期!AF3</f>
        <v>Mon</v>
      </c>
      <c r="AM88" s="12" t="str">
        <f>日期!AG3</f>
        <v>Tue</v>
      </c>
      <c r="AN88" s="561"/>
    </row>
    <row r="89" spans="1:41" s="35" customFormat="1" ht="21.95" customHeight="1">
      <c r="A89" s="562" t="s">
        <v>11</v>
      </c>
      <c r="B89" s="563"/>
      <c r="C89" s="563"/>
      <c r="D89" s="314">
        <f>HLOOKUP(MONTH(日期!$C$2),去年月推移!$D$1:$O$200,145,TRUE)</f>
        <v>4253</v>
      </c>
      <c r="E89" s="62" t="s">
        <v>45</v>
      </c>
      <c r="F89" s="62" t="s">
        <v>45</v>
      </c>
      <c r="G89" s="528">
        <f>當年月推移!P147</f>
        <v>4718</v>
      </c>
      <c r="H89" s="529"/>
      <c r="I89" s="63">
        <f>VALUE(點數BO!C2)</f>
        <v>0</v>
      </c>
      <c r="J89" s="63">
        <f>VALUE(點數BO!D2)</f>
        <v>411</v>
      </c>
      <c r="K89" s="63">
        <f>VALUE(點數BO!E2)</f>
        <v>299</v>
      </c>
      <c r="L89" s="63">
        <f>VALUE(點數BO!F2)</f>
        <v>279</v>
      </c>
      <c r="M89" s="63">
        <f>VALUE(點數BO!G2)</f>
        <v>231</v>
      </c>
      <c r="N89" s="63">
        <f>VALUE(點數BO!H2)</f>
        <v>193</v>
      </c>
      <c r="O89" s="63">
        <f>VALUE(點數BO!I2)</f>
        <v>0</v>
      </c>
      <c r="P89" s="63">
        <f>VALUE(點數BO!J2)</f>
        <v>0</v>
      </c>
      <c r="Q89" s="63">
        <f>VALUE(點數BO!K2)</f>
        <v>257</v>
      </c>
      <c r="R89" s="63">
        <f>VALUE(點數BO!L2)</f>
        <v>247</v>
      </c>
      <c r="S89" s="63">
        <f>VALUE(點數BO!M2)</f>
        <v>284</v>
      </c>
      <c r="T89" s="63">
        <f>VALUE(點數BO!N2)</f>
        <v>249</v>
      </c>
      <c r="U89" s="63">
        <f>VALUE(點數BO!O2)</f>
        <v>229</v>
      </c>
      <c r="V89" s="63">
        <f>VALUE(點數BO!P2)</f>
        <v>234</v>
      </c>
      <c r="W89" s="63">
        <f>VALUE(點數BO!Q2)</f>
        <v>0</v>
      </c>
      <c r="X89" s="63">
        <f>VALUE(點數BO!R2)</f>
        <v>279</v>
      </c>
      <c r="Y89" s="63">
        <f>VALUE(點數BO!S2)</f>
        <v>264</v>
      </c>
      <c r="Z89" s="63">
        <f>VALUE(點數BO!T2)</f>
        <v>291</v>
      </c>
      <c r="AA89" s="63">
        <f>VALUE(點數BO!U2)</f>
        <v>270</v>
      </c>
      <c r="AB89" s="63">
        <f>VALUE(點數BO!V2)</f>
        <v>216</v>
      </c>
      <c r="AC89" s="63">
        <f>VALUE(點數BO!W2)</f>
        <v>162</v>
      </c>
      <c r="AD89" s="63">
        <f>VALUE(點數BO!X2)</f>
        <v>0</v>
      </c>
      <c r="AE89" s="63">
        <f>VALUE(點數BO!Y2)</f>
        <v>259</v>
      </c>
      <c r="AF89" s="63">
        <f>VALUE(點數BO!Z2)</f>
        <v>287</v>
      </c>
      <c r="AG89" s="63">
        <f>VALUE(點數BO!AA2)</f>
        <v>214</v>
      </c>
      <c r="AH89" s="63">
        <f>VALUE(點數BO!AB2)</f>
        <v>154</v>
      </c>
      <c r="AI89" s="63">
        <f>VALUE(點數BO!AC2)</f>
        <v>188</v>
      </c>
      <c r="AJ89" s="63">
        <f>VALUE(點數BO!AD2)</f>
        <v>131</v>
      </c>
      <c r="AK89" s="63">
        <f>VALUE(點數BO!AE2)</f>
        <v>0</v>
      </c>
      <c r="AL89" s="63">
        <f>VALUE(點數BO!AF2)</f>
        <v>182</v>
      </c>
      <c r="AM89" s="63">
        <f>VALUE(點數BO!AG2)</f>
        <v>162</v>
      </c>
      <c r="AN89" s="479">
        <f>VALUE(點數BO!AH2)</f>
        <v>6159</v>
      </c>
    </row>
    <row r="90" spans="1:41" s="35" customFormat="1" ht="21.95" customHeight="1">
      <c r="A90" s="540" t="s">
        <v>12</v>
      </c>
      <c r="B90" s="541"/>
      <c r="C90" s="541"/>
      <c r="D90" s="314">
        <f>HLOOKUP(MONTH(日期!$C$2),去年月推移!$D$1:$O$200,146,TRUE)</f>
        <v>3</v>
      </c>
      <c r="E90" s="64" t="s">
        <v>45</v>
      </c>
      <c r="F90" s="64" t="s">
        <v>45</v>
      </c>
      <c r="G90" s="530">
        <f>當年月推移!P148</f>
        <v>3</v>
      </c>
      <c r="H90" s="531"/>
      <c r="I90" s="63">
        <f>VALUE(點數BO!C4)</f>
        <v>0</v>
      </c>
      <c r="J90" s="63">
        <f>VALUE(點數BO!D4)</f>
        <v>2</v>
      </c>
      <c r="K90" s="63">
        <f>VALUE(點數BO!E4)</f>
        <v>0</v>
      </c>
      <c r="L90" s="63">
        <f>VALUE(點數BO!F4)</f>
        <v>1</v>
      </c>
      <c r="M90" s="63">
        <f>VALUE(點數BO!G4)</f>
        <v>1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1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5</v>
      </c>
    </row>
    <row r="91" spans="1:41" s="35" customFormat="1" ht="21.95" customHeight="1">
      <c r="A91" s="540" t="s">
        <v>13</v>
      </c>
      <c r="B91" s="541"/>
      <c r="C91" s="541"/>
      <c r="D91" s="314">
        <f>HLOOKUP(MONTH(日期!$C$2),去年月推移!$D$1:$O$200,147,TRUE)</f>
        <v>18</v>
      </c>
      <c r="E91" s="64" t="s">
        <v>45</v>
      </c>
      <c r="F91" s="64" t="s">
        <v>45</v>
      </c>
      <c r="G91" s="530">
        <f>當年月推移!P149</f>
        <v>16</v>
      </c>
      <c r="H91" s="531"/>
      <c r="I91" s="63">
        <f>VALUE(點數BO!C5)</f>
        <v>0</v>
      </c>
      <c r="J91" s="63">
        <f>VALUE(點數BO!D5)</f>
        <v>4</v>
      </c>
      <c r="K91" s="63">
        <f>VALUE(點數BO!E5)</f>
        <v>2</v>
      </c>
      <c r="L91" s="63">
        <f>VALUE(點數BO!F5)</f>
        <v>1</v>
      </c>
      <c r="M91" s="63">
        <f>VALUE(點數BO!G5)</f>
        <v>0</v>
      </c>
      <c r="N91" s="63">
        <f>VALUE(點數BO!H5)</f>
        <v>2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0</v>
      </c>
      <c r="S91" s="63">
        <f>VALUE(點數BO!M5)</f>
        <v>1</v>
      </c>
      <c r="T91" s="63">
        <f>VALUE(點數BO!N5)</f>
        <v>1</v>
      </c>
      <c r="U91" s="63">
        <f>VALUE(點數BO!O5)</f>
        <v>4</v>
      </c>
      <c r="V91" s="63">
        <f>VALUE(點數BO!P5)</f>
        <v>0</v>
      </c>
      <c r="W91" s="63">
        <f>VALUE(點數BO!Q5)</f>
        <v>0</v>
      </c>
      <c r="X91" s="63">
        <f>VALUE(點數BO!R5)</f>
        <v>0</v>
      </c>
      <c r="Y91" s="63">
        <f>VALUE(點數BO!S5)</f>
        <v>1</v>
      </c>
      <c r="Z91" s="63">
        <f>VALUE(點數BO!T5)</f>
        <v>1</v>
      </c>
      <c r="AA91" s="63">
        <f>VALUE(點數BO!U5)</f>
        <v>5</v>
      </c>
      <c r="AB91" s="63">
        <f>VALUE(點數BO!V5)</f>
        <v>4</v>
      </c>
      <c r="AC91" s="63">
        <f>VALUE(點數BO!W5)</f>
        <v>2</v>
      </c>
      <c r="AD91" s="63">
        <f>VALUE(點數BO!X5)</f>
        <v>0</v>
      </c>
      <c r="AE91" s="63">
        <f>VALUE(點數BO!Y5)</f>
        <v>1</v>
      </c>
      <c r="AF91" s="63">
        <f>VALUE(點數BO!Z5)</f>
        <v>0</v>
      </c>
      <c r="AG91" s="63">
        <f>VALUE(點數BO!AA5)</f>
        <v>0</v>
      </c>
      <c r="AH91" s="63">
        <f>VALUE(點數BO!AB5)</f>
        <v>1</v>
      </c>
      <c r="AI91" s="63">
        <f>VALUE(點數BO!AC5)</f>
        <v>0</v>
      </c>
      <c r="AJ91" s="63">
        <f>VALUE(點數BO!AD5)</f>
        <v>1</v>
      </c>
      <c r="AK91" s="63">
        <f>VALUE(點數BO!AE5)</f>
        <v>0</v>
      </c>
      <c r="AL91" s="63">
        <f>VALUE(點數BO!AF5)</f>
        <v>2</v>
      </c>
      <c r="AM91" s="63">
        <f>VALUE(點數BO!AG5)</f>
        <v>0</v>
      </c>
      <c r="AN91" s="480">
        <f>VALUE(點數BO!AH5)</f>
        <v>34</v>
      </c>
    </row>
    <row r="92" spans="1:41" s="35" customFormat="1" ht="21.95" customHeight="1">
      <c r="A92" s="540" t="s">
        <v>14</v>
      </c>
      <c r="B92" s="541"/>
      <c r="C92" s="541"/>
      <c r="D92" s="314">
        <f>HLOOKUP(MONTH(日期!$C$2),去年月推移!$D$1:$O$200,148,TRUE)</f>
        <v>239</v>
      </c>
      <c r="E92" s="64" t="s">
        <v>45</v>
      </c>
      <c r="F92" s="64" t="s">
        <v>45</v>
      </c>
      <c r="G92" s="530">
        <f>當年月推移!P150</f>
        <v>360</v>
      </c>
      <c r="H92" s="531"/>
      <c r="I92" s="63">
        <f>VALUE(點數BO!C6)</f>
        <v>0</v>
      </c>
      <c r="J92" s="63">
        <f>VALUE(點數BO!D6)</f>
        <v>38</v>
      </c>
      <c r="K92" s="63">
        <f>VALUE(點數BO!E6)</f>
        <v>19</v>
      </c>
      <c r="L92" s="63">
        <f>VALUE(點數BO!F6)</f>
        <v>19</v>
      </c>
      <c r="M92" s="63">
        <f>VALUE(點數BO!G6)</f>
        <v>15</v>
      </c>
      <c r="N92" s="63">
        <f>VALUE(點數BO!H6)</f>
        <v>7</v>
      </c>
      <c r="O92" s="63">
        <f>VALUE(點數BO!I6)</f>
        <v>0</v>
      </c>
      <c r="P92" s="63">
        <f>VALUE(點數BO!J6)</f>
        <v>0</v>
      </c>
      <c r="Q92" s="63">
        <f>VALUE(點數BO!K6)</f>
        <v>6</v>
      </c>
      <c r="R92" s="63">
        <f>VALUE(點數BO!L6)</f>
        <v>21</v>
      </c>
      <c r="S92" s="63">
        <f>VALUE(點數BO!M6)</f>
        <v>12</v>
      </c>
      <c r="T92" s="63">
        <f>VALUE(點數BO!N6)</f>
        <v>7</v>
      </c>
      <c r="U92" s="63">
        <f>VALUE(點數BO!O6)</f>
        <v>18</v>
      </c>
      <c r="V92" s="63">
        <f>VALUE(點數BO!P6)</f>
        <v>7</v>
      </c>
      <c r="W92" s="63">
        <f>VALUE(點數BO!Q6)</f>
        <v>0</v>
      </c>
      <c r="X92" s="63">
        <f>VALUE(點數BO!R6)</f>
        <v>8</v>
      </c>
      <c r="Y92" s="63">
        <f>VALUE(點數BO!S6)</f>
        <v>12</v>
      </c>
      <c r="Z92" s="63">
        <f>VALUE(點數BO!T6)</f>
        <v>13</v>
      </c>
      <c r="AA92" s="63">
        <f>VALUE(點數BO!U6)</f>
        <v>13</v>
      </c>
      <c r="AB92" s="63">
        <f>VALUE(點數BO!V6)</f>
        <v>6</v>
      </c>
      <c r="AC92" s="63">
        <f>VALUE(點數BO!W6)</f>
        <v>3</v>
      </c>
      <c r="AD92" s="63">
        <f>VALUE(點數BO!X6)</f>
        <v>0</v>
      </c>
      <c r="AE92" s="63">
        <f>VALUE(點數BO!Y6)</f>
        <v>11</v>
      </c>
      <c r="AF92" s="63">
        <f>VALUE(點數BO!Z6)</f>
        <v>4</v>
      </c>
      <c r="AG92" s="63">
        <f>VALUE(點數BO!AA6)</f>
        <v>7</v>
      </c>
      <c r="AH92" s="63">
        <f>VALUE(點數BO!AB6)</f>
        <v>10</v>
      </c>
      <c r="AI92" s="63">
        <f>VALUE(點數BO!AC6)</f>
        <v>6</v>
      </c>
      <c r="AJ92" s="63">
        <f>VALUE(點數BO!AD6)</f>
        <v>5</v>
      </c>
      <c r="AK92" s="63">
        <f>VALUE(點數BO!AE6)</f>
        <v>0</v>
      </c>
      <c r="AL92" s="63">
        <f>VALUE(點數BO!AF6)</f>
        <v>6</v>
      </c>
      <c r="AM92" s="63">
        <f>VALUE(點數BO!AG6)</f>
        <v>31</v>
      </c>
      <c r="AN92" s="480">
        <f>VALUE(點數BO!AH6)</f>
        <v>309</v>
      </c>
    </row>
    <row r="93" spans="1:41" s="35" customFormat="1" ht="21.95" customHeight="1">
      <c r="A93" s="540" t="s">
        <v>56</v>
      </c>
      <c r="B93" s="541"/>
      <c r="C93" s="541"/>
      <c r="D93" s="314">
        <f>HLOOKUP(MONTH(日期!$C$2),去年月推移!$D$1:$O$200,149,TRUE)</f>
        <v>665</v>
      </c>
      <c r="E93" s="64" t="s">
        <v>45</v>
      </c>
      <c r="F93" s="64" t="s">
        <v>45</v>
      </c>
      <c r="G93" s="530">
        <f>當年月推移!P151</f>
        <v>559</v>
      </c>
      <c r="H93" s="531"/>
      <c r="I93" s="63">
        <f>VALUE(點數BO!C20)</f>
        <v>0</v>
      </c>
      <c r="J93" s="63">
        <f>VALUE(點數BO!D20)</f>
        <v>46</v>
      </c>
      <c r="K93" s="63">
        <f>VALUE(點數BO!E20)</f>
        <v>35</v>
      </c>
      <c r="L93" s="63">
        <f>VALUE(點數BO!F20)</f>
        <v>19</v>
      </c>
      <c r="M93" s="63">
        <f>VALUE(點數BO!G20)</f>
        <v>16</v>
      </c>
      <c r="N93" s="63">
        <f>VALUE(點數BO!H20)</f>
        <v>23</v>
      </c>
      <c r="O93" s="63">
        <f>VALUE(點數BO!I20)</f>
        <v>0</v>
      </c>
      <c r="P93" s="63">
        <f>VALUE(點數BO!J20)</f>
        <v>0</v>
      </c>
      <c r="Q93" s="63">
        <f>VALUE(點數BO!K20)</f>
        <v>111</v>
      </c>
      <c r="R93" s="63">
        <f>VALUE(點數BO!L20)</f>
        <v>59</v>
      </c>
      <c r="S93" s="63">
        <f>VALUE(點數BO!M20)</f>
        <v>45</v>
      </c>
      <c r="T93" s="63">
        <f>VALUE(點數BO!N20)</f>
        <v>23</v>
      </c>
      <c r="U93" s="63">
        <f>VALUE(點數BO!O20)</f>
        <v>39</v>
      </c>
      <c r="V93" s="63">
        <f>VALUE(點數BO!P20)</f>
        <v>48</v>
      </c>
      <c r="W93" s="63">
        <f>VALUE(點數BO!Q20)</f>
        <v>0</v>
      </c>
      <c r="X93" s="63">
        <f>VALUE(點數BO!R20)</f>
        <v>37</v>
      </c>
      <c r="Y93" s="63">
        <f>VALUE(點數BO!S20)</f>
        <v>23</v>
      </c>
      <c r="Z93" s="63">
        <f>VALUE(點數BO!T20)</f>
        <v>18</v>
      </c>
      <c r="AA93" s="63">
        <f>VALUE(點數BO!U20)</f>
        <v>23</v>
      </c>
      <c r="AB93" s="63">
        <f>VALUE(點數BO!V20)</f>
        <v>16</v>
      </c>
      <c r="AC93" s="63">
        <f>VALUE(點數BO!W20)</f>
        <v>18</v>
      </c>
      <c r="AD93" s="63">
        <f>VALUE(點數BO!X20)</f>
        <v>0</v>
      </c>
      <c r="AE93" s="63">
        <f>VALUE(點數BO!Y20)</f>
        <v>21</v>
      </c>
      <c r="AF93" s="63">
        <f>VALUE(點數BO!Z20)</f>
        <v>21</v>
      </c>
      <c r="AG93" s="63">
        <f>VALUE(點數BO!AA20)</f>
        <v>18</v>
      </c>
      <c r="AH93" s="63">
        <f>VALUE(點數BO!AB20)</f>
        <v>17</v>
      </c>
      <c r="AI93" s="63">
        <f>VALUE(點數BO!AC20)</f>
        <v>17</v>
      </c>
      <c r="AJ93" s="63">
        <f>VALUE(點數BO!AD20)</f>
        <v>15</v>
      </c>
      <c r="AK93" s="63">
        <f>VALUE(點數BO!AE20)</f>
        <v>0</v>
      </c>
      <c r="AL93" s="63">
        <f>VALUE(點數BO!AF20)</f>
        <v>13</v>
      </c>
      <c r="AM93" s="63">
        <f>VALUE(點數BO!AG20)</f>
        <v>16</v>
      </c>
      <c r="AN93" s="480">
        <f>VALUE(點數BO!AH20)</f>
        <v>806</v>
      </c>
    </row>
    <row r="94" spans="1:41" s="35" customFormat="1" ht="21.95" customHeight="1">
      <c r="A94" s="540" t="s">
        <v>16</v>
      </c>
      <c r="B94" s="541"/>
      <c r="C94" s="541"/>
      <c r="D94" s="314">
        <f>HLOOKUP(MONTH(日期!$C$2),去年月推移!$D$1:$O$200,150,TRUE)</f>
        <v>140</v>
      </c>
      <c r="E94" s="64" t="s">
        <v>45</v>
      </c>
      <c r="F94" s="64" t="s">
        <v>45</v>
      </c>
      <c r="G94" s="530">
        <f>當年月推移!P152</f>
        <v>182</v>
      </c>
      <c r="H94" s="531"/>
      <c r="I94" s="63">
        <f>VALUE(點數BO!C8)</f>
        <v>0</v>
      </c>
      <c r="J94" s="63">
        <f>VALUE(點數BO!D8)</f>
        <v>3</v>
      </c>
      <c r="K94" s="63">
        <f>VALUE(點數BO!E8)</f>
        <v>1</v>
      </c>
      <c r="L94" s="63">
        <f>VALUE(點數BO!F8)</f>
        <v>1</v>
      </c>
      <c r="M94" s="63">
        <f>VALUE(點數BO!G8)</f>
        <v>25</v>
      </c>
      <c r="N94" s="63">
        <f>VALUE(點數BO!H8)</f>
        <v>2</v>
      </c>
      <c r="O94" s="63">
        <f>VALUE(點數BO!I8)</f>
        <v>0</v>
      </c>
      <c r="P94" s="63">
        <f>VALUE(點數BO!J8)</f>
        <v>0</v>
      </c>
      <c r="Q94" s="63">
        <f>VALUE(點數BO!K8)</f>
        <v>1</v>
      </c>
      <c r="R94" s="63">
        <f>VALUE(點數BO!L8)</f>
        <v>3</v>
      </c>
      <c r="S94" s="63">
        <f>VALUE(點數BO!M8)</f>
        <v>3</v>
      </c>
      <c r="T94" s="63">
        <f>VALUE(點數BO!N8)</f>
        <v>3</v>
      </c>
      <c r="U94" s="63">
        <f>VALUE(點數BO!O8)</f>
        <v>4</v>
      </c>
      <c r="V94" s="63">
        <f>VALUE(點數BO!P8)</f>
        <v>0</v>
      </c>
      <c r="W94" s="63">
        <f>VALUE(點數BO!Q8)</f>
        <v>0</v>
      </c>
      <c r="X94" s="63">
        <f>VALUE(點數BO!R8)</f>
        <v>4</v>
      </c>
      <c r="Y94" s="63">
        <f>VALUE(點數BO!S8)</f>
        <v>9</v>
      </c>
      <c r="Z94" s="63">
        <f>VALUE(點數BO!T8)</f>
        <v>4</v>
      </c>
      <c r="AA94" s="63">
        <f>VALUE(點數BO!U8)</f>
        <v>4</v>
      </c>
      <c r="AB94" s="63">
        <f>VALUE(點數BO!V8)</f>
        <v>7</v>
      </c>
      <c r="AC94" s="63">
        <f>VALUE(點數BO!W8)</f>
        <v>9</v>
      </c>
      <c r="AD94" s="63">
        <f>VALUE(點數BO!X8)</f>
        <v>0</v>
      </c>
      <c r="AE94" s="63">
        <f>VALUE(點數BO!Y8)</f>
        <v>3</v>
      </c>
      <c r="AF94" s="63">
        <f>VALUE(點數BO!Z8)</f>
        <v>0</v>
      </c>
      <c r="AG94" s="63">
        <f>VALUE(點數BO!AA8)</f>
        <v>2</v>
      </c>
      <c r="AH94" s="63">
        <f>VALUE(點數BO!AB8)</f>
        <v>3</v>
      </c>
      <c r="AI94" s="63">
        <f>VALUE(點數BO!AC8)</f>
        <v>4</v>
      </c>
      <c r="AJ94" s="63">
        <f>VALUE(點數BO!AD8)</f>
        <v>2</v>
      </c>
      <c r="AK94" s="63">
        <f>VALUE(點數BO!AE8)</f>
        <v>0</v>
      </c>
      <c r="AL94" s="63">
        <f>VALUE(點數BO!AF8)</f>
        <v>16</v>
      </c>
      <c r="AM94" s="63">
        <f>VALUE(點數BO!AG8)</f>
        <v>2</v>
      </c>
      <c r="AN94" s="480">
        <f>VALUE(點數BO!AH8)</f>
        <v>119</v>
      </c>
    </row>
    <row r="95" spans="1:41" s="35" customFormat="1" ht="21.95" customHeight="1">
      <c r="A95" s="549" t="s">
        <v>17</v>
      </c>
      <c r="B95" s="550"/>
      <c r="C95" s="550"/>
      <c r="D95" s="314">
        <f>HLOOKUP(MONTH(日期!$C$2),去年月推移!$D$1:$O$200,151,TRUE)</f>
        <v>26</v>
      </c>
      <c r="E95" s="65" t="s">
        <v>45</v>
      </c>
      <c r="F95" s="65" t="s">
        <v>45</v>
      </c>
      <c r="G95" s="530">
        <f>當年月推移!P153</f>
        <v>6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2</v>
      </c>
      <c r="U95" s="63">
        <f>VALUE(點數BO!O9)</f>
        <v>1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1</v>
      </c>
      <c r="AA95" s="63">
        <f>VALUE(點數BO!U9)</f>
        <v>0</v>
      </c>
      <c r="AB95" s="63">
        <f>VALUE(點數BO!V9)</f>
        <v>0</v>
      </c>
      <c r="AC95" s="63">
        <f>VALUE(點數BO!W9)</f>
        <v>2</v>
      </c>
      <c r="AD95" s="63">
        <f>VALUE(點數BO!X9)</f>
        <v>0</v>
      </c>
      <c r="AE95" s="63">
        <f>VALUE(點數BO!Y9)</f>
        <v>3</v>
      </c>
      <c r="AF95" s="63">
        <f>VALUE(點數BO!Z9)</f>
        <v>2</v>
      </c>
      <c r="AG95" s="63">
        <f>VALUE(點數BO!AA9)</f>
        <v>3</v>
      </c>
      <c r="AH95" s="63">
        <f>VALUE(點數BO!AB9)</f>
        <v>0</v>
      </c>
      <c r="AI95" s="63">
        <f>VALUE(點數BO!AC9)</f>
        <v>0</v>
      </c>
      <c r="AJ95" s="63">
        <f>VALUE(點數BO!AD9)</f>
        <v>2</v>
      </c>
      <c r="AK95" s="63">
        <f>VALUE(點數BO!AE9)</f>
        <v>0</v>
      </c>
      <c r="AL95" s="63">
        <f>VALUE(點數BO!AF9)</f>
        <v>1</v>
      </c>
      <c r="AM95" s="63">
        <f>VALUE(點數BO!AG9)</f>
        <v>2</v>
      </c>
      <c r="AN95" s="480">
        <f>VALUE(點數BO!AH9)</f>
        <v>19</v>
      </c>
    </row>
    <row r="96" spans="1:41" s="35" customFormat="1" ht="21.95" customHeight="1">
      <c r="A96" s="551" t="s">
        <v>49</v>
      </c>
      <c r="B96" s="552"/>
      <c r="C96" s="553"/>
      <c r="D96" s="321">
        <f>HLOOKUP(MONTH(日期!$C$2),去年月推移!$D$1:$O$200,152,TRUE)</f>
        <v>5344</v>
      </c>
      <c r="E96" s="248"/>
      <c r="F96" s="248"/>
      <c r="G96" s="545">
        <f>當年月推移!P154</f>
        <v>5844</v>
      </c>
      <c r="H96" s="546"/>
      <c r="I96" s="249">
        <f>SUM(I89:I95)</f>
        <v>0</v>
      </c>
      <c r="J96" s="249">
        <f>SUM(J89:J95)</f>
        <v>504</v>
      </c>
      <c r="K96" s="249">
        <f>SUM(K89:K95)</f>
        <v>356</v>
      </c>
      <c r="L96" s="249">
        <f t="shared" ref="L96:AN96" si="11">SUM(L89:L95)</f>
        <v>320</v>
      </c>
      <c r="M96" s="249">
        <f t="shared" si="11"/>
        <v>288</v>
      </c>
      <c r="N96" s="249">
        <f t="shared" si="11"/>
        <v>227</v>
      </c>
      <c r="O96" s="249">
        <f t="shared" si="11"/>
        <v>0</v>
      </c>
      <c r="P96" s="249">
        <f t="shared" si="11"/>
        <v>0</v>
      </c>
      <c r="Q96" s="249">
        <f t="shared" si="11"/>
        <v>375</v>
      </c>
      <c r="R96" s="249">
        <f t="shared" si="11"/>
        <v>330</v>
      </c>
      <c r="S96" s="249">
        <f t="shared" si="11"/>
        <v>345</v>
      </c>
      <c r="T96" s="249">
        <f t="shared" si="11"/>
        <v>286</v>
      </c>
      <c r="U96" s="249">
        <f t="shared" si="11"/>
        <v>295</v>
      </c>
      <c r="V96" s="249">
        <f t="shared" si="11"/>
        <v>289</v>
      </c>
      <c r="W96" s="249">
        <f t="shared" si="11"/>
        <v>0</v>
      </c>
      <c r="X96" s="249">
        <f t="shared" si="11"/>
        <v>328</v>
      </c>
      <c r="Y96" s="249">
        <f t="shared" si="11"/>
        <v>309</v>
      </c>
      <c r="Z96" s="249">
        <f t="shared" si="11"/>
        <v>328</v>
      </c>
      <c r="AA96" s="249">
        <f t="shared" si="11"/>
        <v>315</v>
      </c>
      <c r="AB96" s="249">
        <f t="shared" si="11"/>
        <v>249</v>
      </c>
      <c r="AC96" s="249">
        <f t="shared" si="11"/>
        <v>196</v>
      </c>
      <c r="AD96" s="249">
        <f t="shared" si="11"/>
        <v>0</v>
      </c>
      <c r="AE96" s="249">
        <f t="shared" si="11"/>
        <v>298</v>
      </c>
      <c r="AF96" s="249">
        <f t="shared" si="11"/>
        <v>314</v>
      </c>
      <c r="AG96" s="249">
        <f t="shared" si="11"/>
        <v>244</v>
      </c>
      <c r="AH96" s="249">
        <f t="shared" si="11"/>
        <v>185</v>
      </c>
      <c r="AI96" s="249">
        <f t="shared" si="11"/>
        <v>215</v>
      </c>
      <c r="AJ96" s="249">
        <f t="shared" si="11"/>
        <v>156</v>
      </c>
      <c r="AK96" s="249">
        <f t="shared" si="11"/>
        <v>0</v>
      </c>
      <c r="AL96" s="249">
        <f t="shared" si="11"/>
        <v>220</v>
      </c>
      <c r="AM96" s="249">
        <f t="shared" si="11"/>
        <v>213</v>
      </c>
      <c r="AN96" s="250">
        <f t="shared" si="11"/>
        <v>7451</v>
      </c>
    </row>
    <row r="97" spans="1:41" s="35" customFormat="1" ht="21.95" customHeight="1">
      <c r="A97" s="540" t="s">
        <v>23</v>
      </c>
      <c r="B97" s="541"/>
      <c r="C97" s="541"/>
      <c r="D97" s="316">
        <f>HLOOKUP(MONTH(日期!$C$2),去年月推移!$D$1:$O$200,153,TRUE)</f>
        <v>727</v>
      </c>
      <c r="E97" s="64" t="s">
        <v>45</v>
      </c>
      <c r="F97" s="64" t="s">
        <v>45</v>
      </c>
      <c r="G97" s="530">
        <f>當年月推移!P155</f>
        <v>1207</v>
      </c>
      <c r="H97" s="531"/>
      <c r="I97" s="63">
        <f>VALUE(點數BO!C3)</f>
        <v>0</v>
      </c>
      <c r="J97" s="63">
        <f>VALUE(點數BO!D3)</f>
        <v>73</v>
      </c>
      <c r="K97" s="63">
        <f>VALUE(點數BO!E3)</f>
        <v>76</v>
      </c>
      <c r="L97" s="63">
        <f>VALUE(點數BO!F3)</f>
        <v>66</v>
      </c>
      <c r="M97" s="63">
        <f>VALUE(點數BO!G3)</f>
        <v>44</v>
      </c>
      <c r="N97" s="63">
        <f>VALUE(點數BO!H3)</f>
        <v>68</v>
      </c>
      <c r="O97" s="63">
        <f>VALUE(點數BO!I3)</f>
        <v>0</v>
      </c>
      <c r="P97" s="63">
        <f>VALUE(點數BO!J3)</f>
        <v>0</v>
      </c>
      <c r="Q97" s="63">
        <f>VALUE(點數BO!K3)</f>
        <v>50</v>
      </c>
      <c r="R97" s="63">
        <f>VALUE(點數BO!L3)</f>
        <v>67</v>
      </c>
      <c r="S97" s="63">
        <f>VALUE(點數BO!M3)</f>
        <v>53</v>
      </c>
      <c r="T97" s="63">
        <f>VALUE(點數BO!N3)</f>
        <v>110</v>
      </c>
      <c r="U97" s="63">
        <f>VALUE(點數BO!O3)</f>
        <v>47</v>
      </c>
      <c r="V97" s="63">
        <f>VALUE(點數BO!P3)</f>
        <v>21</v>
      </c>
      <c r="W97" s="63">
        <f>VALUE(點數BO!Q3)</f>
        <v>0</v>
      </c>
      <c r="X97" s="63">
        <f>VALUE(點數BO!R3)</f>
        <v>43</v>
      </c>
      <c r="Y97" s="63">
        <f>VALUE(點數BO!S3)</f>
        <v>59</v>
      </c>
      <c r="Z97" s="63">
        <f>VALUE(點數BO!T3)</f>
        <v>61</v>
      </c>
      <c r="AA97" s="63">
        <f>VALUE(點數BO!U3)</f>
        <v>34</v>
      </c>
      <c r="AB97" s="63">
        <f>VALUE(點數BO!V3)</f>
        <v>54</v>
      </c>
      <c r="AC97" s="63">
        <f>VALUE(點數BO!W3)</f>
        <v>29</v>
      </c>
      <c r="AD97" s="63">
        <f>VALUE(點數BO!X3)</f>
        <v>0</v>
      </c>
      <c r="AE97" s="63">
        <f>VALUE(點數BO!Y3)</f>
        <v>56</v>
      </c>
      <c r="AF97" s="63">
        <f>VALUE(點數BO!Z3)</f>
        <v>47</v>
      </c>
      <c r="AG97" s="63">
        <f>VALUE(點數BO!AA3)</f>
        <v>40</v>
      </c>
      <c r="AH97" s="63">
        <f>VALUE(點數BO!AB3)</f>
        <v>36</v>
      </c>
      <c r="AI97" s="63">
        <f>VALUE(點數BO!AC3)</f>
        <v>32</v>
      </c>
      <c r="AJ97" s="63">
        <f>VALUE(點數BO!AD3)</f>
        <v>21</v>
      </c>
      <c r="AK97" s="63">
        <f>VALUE(點數BO!AE3)</f>
        <v>0</v>
      </c>
      <c r="AL97" s="63">
        <f>VALUE(點數BO!AF3)</f>
        <v>37</v>
      </c>
      <c r="AM97" s="63">
        <f>VALUE(點數BO!AG3)</f>
        <v>27</v>
      </c>
      <c r="AN97" s="480">
        <f>VALUE(點數BO!AH3)</f>
        <v>1284</v>
      </c>
    </row>
    <row r="98" spans="1:41" s="35" customFormat="1" ht="21.95" customHeight="1">
      <c r="A98" s="542" t="s">
        <v>24</v>
      </c>
      <c r="B98" s="543"/>
      <c r="C98" s="544"/>
      <c r="D98" s="314">
        <f>HLOOKUP(MONTH(日期!$C$2),去年月推移!$D$1:$O$200,154,TRUE)</f>
        <v>0</v>
      </c>
      <c r="E98" s="65"/>
      <c r="F98" s="65"/>
      <c r="G98" s="530">
        <f>當年月推移!P156</f>
        <v>1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542" t="s">
        <v>25</v>
      </c>
      <c r="B99" s="543"/>
      <c r="C99" s="544"/>
      <c r="D99" s="314">
        <f>HLOOKUP(MONTH(日期!$C$2),去年月推移!$D$1:$O$200,155,TRUE)</f>
        <v>30</v>
      </c>
      <c r="E99" s="65"/>
      <c r="F99" s="65"/>
      <c r="G99" s="530">
        <f>當年月推移!P157</f>
        <v>25</v>
      </c>
      <c r="H99" s="531"/>
      <c r="I99" s="63">
        <f>VALUE(點數BO!C11)</f>
        <v>0</v>
      </c>
      <c r="J99" s="63">
        <f>VALUE(點數BO!D11)</f>
        <v>3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1</v>
      </c>
      <c r="V99" s="63">
        <f>VALUE(點數BO!P11)</f>
        <v>1</v>
      </c>
      <c r="W99" s="63">
        <f>VALUE(點數BO!Q11)</f>
        <v>0</v>
      </c>
      <c r="X99" s="63">
        <f>VALUE(點數BO!R11)</f>
        <v>0</v>
      </c>
      <c r="Y99" s="63">
        <f>VALUE(點數BO!S11)</f>
        <v>1</v>
      </c>
      <c r="Z99" s="63">
        <f>VALUE(點數BO!T11)</f>
        <v>1</v>
      </c>
      <c r="AA99" s="63">
        <f>VALUE(點數BO!U11)</f>
        <v>0</v>
      </c>
      <c r="AB99" s="63">
        <f>VALUE(點數BO!V11)</f>
        <v>1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1</v>
      </c>
      <c r="AI99" s="63">
        <f>VALUE(點數BO!AC11)</f>
        <v>0</v>
      </c>
      <c r="AJ99" s="63">
        <f>VALUE(點數BO!AD11)</f>
        <v>1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12</v>
      </c>
    </row>
    <row r="100" spans="1:41" s="35" customFormat="1" ht="21.95" customHeight="1">
      <c r="A100" s="542" t="s">
        <v>26</v>
      </c>
      <c r="B100" s="543"/>
      <c r="C100" s="544"/>
      <c r="D100" s="314">
        <f>HLOOKUP(MONTH(日期!$C$2),去年月推移!$D$1:$O$200,156,TRUE)</f>
        <v>394</v>
      </c>
      <c r="E100" s="65"/>
      <c r="F100" s="65"/>
      <c r="G100" s="530">
        <f>當年月推移!P158</f>
        <v>258</v>
      </c>
      <c r="H100" s="531"/>
      <c r="I100" s="63">
        <f>VALUE(點數BO!C12)</f>
        <v>0</v>
      </c>
      <c r="J100" s="63">
        <f>VALUE(點數BO!D12)</f>
        <v>37</v>
      </c>
      <c r="K100" s="63">
        <f>VALUE(點數BO!E12)</f>
        <v>26</v>
      </c>
      <c r="L100" s="63">
        <f>VALUE(點數BO!F12)</f>
        <v>16</v>
      </c>
      <c r="M100" s="63">
        <f>VALUE(點數BO!G12)</f>
        <v>13</v>
      </c>
      <c r="N100" s="63">
        <f>VALUE(點數BO!H12)</f>
        <v>18</v>
      </c>
      <c r="O100" s="63">
        <f>VALUE(點數BO!I12)</f>
        <v>0</v>
      </c>
      <c r="P100" s="63">
        <f>VALUE(點數BO!J12)</f>
        <v>0</v>
      </c>
      <c r="Q100" s="63">
        <f>VALUE(點數BO!K12)</f>
        <v>23</v>
      </c>
      <c r="R100" s="63">
        <f>VALUE(點數BO!L12)</f>
        <v>12</v>
      </c>
      <c r="S100" s="63">
        <f>VALUE(點數BO!M12)</f>
        <v>13</v>
      </c>
      <c r="T100" s="63">
        <f>VALUE(點數BO!N12)</f>
        <v>22</v>
      </c>
      <c r="U100" s="63">
        <f>VALUE(點數BO!O12)</f>
        <v>18</v>
      </c>
      <c r="V100" s="63">
        <f>VALUE(點數BO!P12)</f>
        <v>10</v>
      </c>
      <c r="W100" s="63">
        <f>VALUE(點數BO!Q12)</f>
        <v>0</v>
      </c>
      <c r="X100" s="63">
        <f>VALUE(點數BO!R12)</f>
        <v>8</v>
      </c>
      <c r="Y100" s="63">
        <f>VALUE(點數BO!S12)</f>
        <v>15</v>
      </c>
      <c r="Z100" s="63">
        <f>VALUE(點數BO!T12)</f>
        <v>14</v>
      </c>
      <c r="AA100" s="63">
        <f>VALUE(點數BO!U12)</f>
        <v>13</v>
      </c>
      <c r="AB100" s="63">
        <f>VALUE(點數BO!V12)</f>
        <v>8</v>
      </c>
      <c r="AC100" s="63">
        <f>VALUE(點數BO!W12)</f>
        <v>2</v>
      </c>
      <c r="AD100" s="63">
        <f>VALUE(點數BO!X12)</f>
        <v>0</v>
      </c>
      <c r="AE100" s="63">
        <f>VALUE(點數BO!Y12)</f>
        <v>7</v>
      </c>
      <c r="AF100" s="63">
        <f>VALUE(點數BO!Z12)</f>
        <v>9</v>
      </c>
      <c r="AG100" s="63">
        <f>VALUE(點數BO!AA12)</f>
        <v>7</v>
      </c>
      <c r="AH100" s="63">
        <f>VALUE(點數BO!AB12)</f>
        <v>20</v>
      </c>
      <c r="AI100" s="63">
        <f>VALUE(點數BO!AC12)</f>
        <v>25</v>
      </c>
      <c r="AJ100" s="63">
        <f>VALUE(點數BO!AD12)</f>
        <v>14</v>
      </c>
      <c r="AK100" s="63">
        <f>VALUE(點數BO!AE12)</f>
        <v>0</v>
      </c>
      <c r="AL100" s="63">
        <f>VALUE(點數BO!AF12)</f>
        <v>21</v>
      </c>
      <c r="AM100" s="63">
        <f>VALUE(點數BO!AG12)</f>
        <v>7</v>
      </c>
      <c r="AN100" s="480">
        <f>VALUE(點數BO!AH12)</f>
        <v>394</v>
      </c>
    </row>
    <row r="101" spans="1:41" s="35" customFormat="1" ht="21.95" customHeight="1">
      <c r="A101" s="542" t="s">
        <v>27</v>
      </c>
      <c r="B101" s="543"/>
      <c r="C101" s="544"/>
      <c r="D101" s="314">
        <f>HLOOKUP(MONTH(日期!$C$2),去年月推移!$D$1:$O$200,157,TRUE)</f>
        <v>94</v>
      </c>
      <c r="E101" s="65" t="s">
        <v>45</v>
      </c>
      <c r="F101" s="65" t="s">
        <v>45</v>
      </c>
      <c r="G101" s="530">
        <f>當年月推移!P159</f>
        <v>81</v>
      </c>
      <c r="H101" s="531"/>
      <c r="I101" s="63">
        <f>VALUE(點數BO!C13)</f>
        <v>0</v>
      </c>
      <c r="J101" s="63">
        <f>VALUE(點數BO!D13)</f>
        <v>12</v>
      </c>
      <c r="K101" s="63">
        <f>VALUE(點數BO!E13)</f>
        <v>6</v>
      </c>
      <c r="L101" s="63">
        <f>VALUE(點數BO!F13)</f>
        <v>1</v>
      </c>
      <c r="M101" s="63">
        <f>VALUE(點數BO!G13)</f>
        <v>1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5</v>
      </c>
      <c r="S101" s="63">
        <f>VALUE(點數BO!M13)</f>
        <v>10</v>
      </c>
      <c r="T101" s="63">
        <f>VALUE(點數BO!N13)</f>
        <v>10</v>
      </c>
      <c r="U101" s="63">
        <f>VALUE(點數BO!O13)</f>
        <v>5</v>
      </c>
      <c r="V101" s="63">
        <f>VALUE(點數BO!P13)</f>
        <v>10</v>
      </c>
      <c r="W101" s="63">
        <f>VALUE(點數BO!Q13)</f>
        <v>0</v>
      </c>
      <c r="X101" s="63">
        <f>VALUE(點數BO!R13)</f>
        <v>10</v>
      </c>
      <c r="Y101" s="63">
        <f>VALUE(點數BO!S13)</f>
        <v>2</v>
      </c>
      <c r="Z101" s="63">
        <f>VALUE(點數BO!T13)</f>
        <v>8</v>
      </c>
      <c r="AA101" s="63">
        <f>VALUE(點數BO!U13)</f>
        <v>3</v>
      </c>
      <c r="AB101" s="63">
        <f>VALUE(點數BO!V13)</f>
        <v>0</v>
      </c>
      <c r="AC101" s="63">
        <f>VALUE(點數BO!W13)</f>
        <v>0</v>
      </c>
      <c r="AD101" s="63">
        <f>VALUE(點數BO!X13)</f>
        <v>0</v>
      </c>
      <c r="AE101" s="63">
        <f>VALUE(點數BO!Y13)</f>
        <v>1</v>
      </c>
      <c r="AF101" s="63">
        <f>VALUE(點數BO!Z13)</f>
        <v>3</v>
      </c>
      <c r="AG101" s="63">
        <f>VALUE(點數BO!AA13)</f>
        <v>4</v>
      </c>
      <c r="AH101" s="63">
        <f>VALUE(點數BO!AB13)</f>
        <v>3</v>
      </c>
      <c r="AI101" s="63">
        <f>VALUE(點數BO!AC13)</f>
        <v>0</v>
      </c>
      <c r="AJ101" s="63">
        <f>VALUE(點數BO!AD13)</f>
        <v>1</v>
      </c>
      <c r="AK101" s="63">
        <f>VALUE(點數BO!AE13)</f>
        <v>0</v>
      </c>
      <c r="AL101" s="63">
        <f>VALUE(點數BO!AF13)</f>
        <v>1</v>
      </c>
      <c r="AM101" s="63">
        <f>VALUE(點數BO!AG13)</f>
        <v>0</v>
      </c>
      <c r="AN101" s="480">
        <f>VALUE(點數BO!AH13)</f>
        <v>96</v>
      </c>
    </row>
    <row r="102" spans="1:41" s="35" customFormat="1" ht="21.95" customHeight="1">
      <c r="A102" s="542" t="s">
        <v>28</v>
      </c>
      <c r="B102" s="543"/>
      <c r="C102" s="544"/>
      <c r="D102" s="315">
        <f>HLOOKUP(MONTH(日期!$C$2),去年月推移!$D$1:$O$200,158,TRUE)</f>
        <v>0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1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1</v>
      </c>
    </row>
    <row r="103" spans="1:41" s="67" customFormat="1" ht="21.95" customHeight="1" thickBot="1">
      <c r="A103" s="547" t="s">
        <v>50</v>
      </c>
      <c r="B103" s="548"/>
      <c r="C103" s="548"/>
      <c r="D103" s="66">
        <f>HLOOKUP(MONTH(日期!$C$2),去年月推移!$D$1:$O$200,159,TRUE)</f>
        <v>1245</v>
      </c>
      <c r="E103" s="66" t="s">
        <v>45</v>
      </c>
      <c r="F103" s="66" t="s">
        <v>45</v>
      </c>
      <c r="G103" s="532">
        <f>當年月推移!P161</f>
        <v>1572</v>
      </c>
      <c r="H103" s="533"/>
      <c r="I103" s="66">
        <f>SUM(I97:I102)</f>
        <v>0</v>
      </c>
      <c r="J103" s="66">
        <f>SUM(J97:J102)</f>
        <v>125</v>
      </c>
      <c r="K103" s="66">
        <f t="shared" ref="K103:AN103" si="12">SUM(K97:K102)</f>
        <v>108</v>
      </c>
      <c r="L103" s="66">
        <f t="shared" si="12"/>
        <v>83</v>
      </c>
      <c r="M103" s="66">
        <f t="shared" si="12"/>
        <v>58</v>
      </c>
      <c r="N103" s="66">
        <f t="shared" si="12"/>
        <v>86</v>
      </c>
      <c r="O103" s="66">
        <f t="shared" si="12"/>
        <v>0</v>
      </c>
      <c r="P103" s="66">
        <f t="shared" si="12"/>
        <v>0</v>
      </c>
      <c r="Q103" s="66">
        <f t="shared" si="12"/>
        <v>73</v>
      </c>
      <c r="R103" s="66">
        <f t="shared" si="12"/>
        <v>84</v>
      </c>
      <c r="S103" s="66">
        <f t="shared" si="12"/>
        <v>76</v>
      </c>
      <c r="T103" s="66">
        <f t="shared" si="12"/>
        <v>142</v>
      </c>
      <c r="U103" s="66">
        <f t="shared" si="12"/>
        <v>71</v>
      </c>
      <c r="V103" s="66">
        <f t="shared" si="12"/>
        <v>42</v>
      </c>
      <c r="W103" s="66">
        <f t="shared" si="12"/>
        <v>0</v>
      </c>
      <c r="X103" s="66">
        <f t="shared" si="12"/>
        <v>61</v>
      </c>
      <c r="Y103" s="66">
        <f t="shared" si="12"/>
        <v>77</v>
      </c>
      <c r="Z103" s="66">
        <f t="shared" si="12"/>
        <v>85</v>
      </c>
      <c r="AA103" s="66">
        <f t="shared" si="12"/>
        <v>50</v>
      </c>
      <c r="AB103" s="66">
        <f t="shared" si="12"/>
        <v>63</v>
      </c>
      <c r="AC103" s="66">
        <f t="shared" si="12"/>
        <v>31</v>
      </c>
      <c r="AD103" s="66">
        <f t="shared" si="12"/>
        <v>0</v>
      </c>
      <c r="AE103" s="66">
        <f t="shared" si="12"/>
        <v>64</v>
      </c>
      <c r="AF103" s="66">
        <f t="shared" si="12"/>
        <v>59</v>
      </c>
      <c r="AG103" s="66">
        <f t="shared" si="12"/>
        <v>51</v>
      </c>
      <c r="AH103" s="66">
        <f t="shared" si="12"/>
        <v>60</v>
      </c>
      <c r="AI103" s="66">
        <f t="shared" si="12"/>
        <v>57</v>
      </c>
      <c r="AJ103" s="66">
        <f t="shared" si="12"/>
        <v>37</v>
      </c>
      <c r="AK103" s="66">
        <f t="shared" si="12"/>
        <v>0</v>
      </c>
      <c r="AL103" s="66">
        <f t="shared" si="12"/>
        <v>59</v>
      </c>
      <c r="AM103" s="66">
        <f t="shared" si="12"/>
        <v>34</v>
      </c>
      <c r="AN103" s="218">
        <f t="shared" si="12"/>
        <v>1787</v>
      </c>
      <c r="AO103" s="16">
        <f>SUM(I103:AM103)</f>
        <v>1736</v>
      </c>
    </row>
    <row r="104" spans="1:41" s="67" customFormat="1" ht="21.95" customHeight="1">
      <c r="A104" s="534" t="s">
        <v>31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37" t="s">
        <v>32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37" t="s">
        <v>33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37" t="s">
        <v>34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37" t="s">
        <v>35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25" t="s">
        <v>30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C9" sqref="C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2026年3月</v>
      </c>
      <c r="D4" s="508" t="str">
        <f>日期!C2</f>
        <v>2026/03/01</v>
      </c>
      <c r="E4" s="508" t="str">
        <f>日期!D2</f>
        <v>2026/03/02</v>
      </c>
      <c r="F4" s="508" t="str">
        <f>日期!E2</f>
        <v>2026/03/03</v>
      </c>
      <c r="G4" s="508" t="str">
        <f>日期!F2</f>
        <v>2026/03/04</v>
      </c>
      <c r="H4" s="508" t="str">
        <f>日期!G2</f>
        <v>2026/03/05</v>
      </c>
      <c r="I4" s="508" t="str">
        <f>日期!H2</f>
        <v>2026/03/06</v>
      </c>
      <c r="J4" s="508" t="str">
        <f>日期!I2</f>
        <v>2026/03/07</v>
      </c>
      <c r="K4" s="508" t="str">
        <f>日期!J2</f>
        <v>2026/03/08</v>
      </c>
      <c r="L4" s="508" t="str">
        <f>日期!K2</f>
        <v>2026/03/09</v>
      </c>
      <c r="M4" s="508" t="str">
        <f>日期!L2</f>
        <v>2026/03/10</v>
      </c>
      <c r="N4" s="508" t="str">
        <f>日期!M2</f>
        <v>2026/03/11</v>
      </c>
      <c r="O4" s="508" t="str">
        <f>日期!N2</f>
        <v>2026/03/12</v>
      </c>
      <c r="P4" s="508" t="str">
        <f>日期!O2</f>
        <v>2026/03/13</v>
      </c>
      <c r="Q4" s="508" t="str">
        <f>日期!P2</f>
        <v>2026/03/14</v>
      </c>
      <c r="R4" s="508" t="str">
        <f>日期!Q2</f>
        <v>2026/03/15</v>
      </c>
      <c r="S4" s="508" t="str">
        <f>日期!R2</f>
        <v>2026/03/16</v>
      </c>
      <c r="T4" s="508" t="str">
        <f>日期!S2</f>
        <v>2026/03/17</v>
      </c>
      <c r="U4" s="508" t="str">
        <f>日期!T2</f>
        <v>2026/03/18</v>
      </c>
      <c r="V4" s="508" t="str">
        <f>日期!U2</f>
        <v>2026/03/19</v>
      </c>
      <c r="W4" s="508" t="str">
        <f>日期!V2</f>
        <v>2026/03/20</v>
      </c>
      <c r="X4" s="508" t="str">
        <f>日期!W2</f>
        <v>2026/03/21</v>
      </c>
      <c r="Y4" s="508" t="str">
        <f>日期!X2</f>
        <v>2026/03/22</v>
      </c>
      <c r="Z4" s="508" t="str">
        <f>日期!Y2</f>
        <v>2026/03/23</v>
      </c>
      <c r="AA4" s="508" t="str">
        <f>日期!Z2</f>
        <v>2026/03/24</v>
      </c>
      <c r="AB4" s="508" t="str">
        <f>日期!AA2</f>
        <v>2026/03/25</v>
      </c>
      <c r="AC4" s="508" t="str">
        <f>日期!AB2</f>
        <v>2026/03/26</v>
      </c>
      <c r="AD4" s="508" t="str">
        <f>日期!AC2</f>
        <v>2026/03/27</v>
      </c>
      <c r="AE4" s="508" t="str">
        <f>日期!AD2</f>
        <v>2026/03/28</v>
      </c>
      <c r="AF4" s="508" t="str">
        <f>日期!AE2</f>
        <v>2026/03/29</v>
      </c>
      <c r="AG4" s="508" t="str">
        <f>日期!AF2</f>
        <v>2026/03/30</v>
      </c>
      <c r="AH4" s="508" t="str">
        <f>日期!AG2</f>
        <v>2026/03/31</v>
      </c>
      <c r="AI4" s="642" t="s">
        <v>68</v>
      </c>
      <c r="AJ4" s="642" t="s">
        <v>69</v>
      </c>
      <c r="AK4" s="507" t="str">
        <f>YEAR(日期!C2)&amp;"年"&amp;MONTH(日期!C2)+1&amp;"月"</f>
        <v>2026年4月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Sun</v>
      </c>
      <c r="E5" s="510" t="str">
        <f>日期!D3</f>
        <v>Mon</v>
      </c>
      <c r="F5" s="510" t="str">
        <f>日期!E3</f>
        <v>Tue</v>
      </c>
      <c r="G5" s="510" t="str">
        <f>日期!F3</f>
        <v>Wed</v>
      </c>
      <c r="H5" s="510" t="str">
        <f>日期!G3</f>
        <v>Thu</v>
      </c>
      <c r="I5" s="510" t="str">
        <f>日期!H3</f>
        <v>Fri</v>
      </c>
      <c r="J5" s="510" t="str">
        <f>日期!I3</f>
        <v>Sat</v>
      </c>
      <c r="K5" s="510" t="str">
        <f>日期!J3</f>
        <v>Sun</v>
      </c>
      <c r="L5" s="510" t="str">
        <f>日期!K3</f>
        <v>Mon</v>
      </c>
      <c r="M5" s="510" t="str">
        <f>日期!L3</f>
        <v>Tue</v>
      </c>
      <c r="N5" s="510" t="str">
        <f>日期!M3</f>
        <v>Wed</v>
      </c>
      <c r="O5" s="510" t="str">
        <f>日期!N3</f>
        <v>Thu</v>
      </c>
      <c r="P5" s="510" t="str">
        <f>日期!O3</f>
        <v>Fri</v>
      </c>
      <c r="Q5" s="510" t="str">
        <f>日期!P3</f>
        <v>Sat</v>
      </c>
      <c r="R5" s="510" t="str">
        <f>日期!Q3</f>
        <v>Sun</v>
      </c>
      <c r="S5" s="510" t="str">
        <f>日期!R3</f>
        <v>Mon</v>
      </c>
      <c r="T5" s="510" t="str">
        <f>日期!S3</f>
        <v>Tue</v>
      </c>
      <c r="U5" s="510" t="str">
        <f>日期!T3</f>
        <v>Wed</v>
      </c>
      <c r="V5" s="510" t="str">
        <f>日期!U3</f>
        <v>Thu</v>
      </c>
      <c r="W5" s="510" t="str">
        <f>日期!V3</f>
        <v>Fri</v>
      </c>
      <c r="X5" s="510" t="str">
        <f>日期!W3</f>
        <v>Sat</v>
      </c>
      <c r="Y5" s="510" t="str">
        <f>日期!X3</f>
        <v>Sun</v>
      </c>
      <c r="Z5" s="510" t="str">
        <f>日期!Y3</f>
        <v>Mon</v>
      </c>
      <c r="AA5" s="510" t="str">
        <f>日期!Z3</f>
        <v>Tue</v>
      </c>
      <c r="AB5" s="510" t="str">
        <f>日期!AA3</f>
        <v>Wed</v>
      </c>
      <c r="AC5" s="510" t="str">
        <f>日期!AB3</f>
        <v>Thu</v>
      </c>
      <c r="AD5" s="510" t="str">
        <f>日期!AC3</f>
        <v>Fri</v>
      </c>
      <c r="AE5" s="510" t="str">
        <f>日期!AD3</f>
        <v>Sat</v>
      </c>
      <c r="AF5" s="510" t="str">
        <f>日期!AE3</f>
        <v>Sun</v>
      </c>
      <c r="AG5" s="510" t="str">
        <f>日期!AF3</f>
        <v>Mon</v>
      </c>
      <c r="AH5" s="510" t="str">
        <f>日期!AG3</f>
        <v>Tue</v>
      </c>
      <c r="AI5" s="643"/>
      <c r="AJ5" s="643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134364133.09543201</v>
      </c>
      <c r="D6" s="88">
        <f>VALUE(庫存金額A類!C2)</f>
        <v>138892914</v>
      </c>
      <c r="E6" s="88">
        <f>VALUE(庫存金額A類!D2)</f>
        <v>135196457</v>
      </c>
      <c r="F6" s="88">
        <f>VALUE(庫存金額A類!E2)</f>
        <v>135923960</v>
      </c>
      <c r="G6" s="88">
        <f>VALUE(庫存金額A類!F2)</f>
        <v>136505720</v>
      </c>
      <c r="H6" s="88">
        <f>VALUE(庫存金額A類!G2)</f>
        <v>138166246</v>
      </c>
      <c r="I6" s="88">
        <f>VALUE(庫存金額A類!H2)</f>
        <v>140647269</v>
      </c>
      <c r="J6" s="88">
        <f>VALUE(庫存金額A類!I2)</f>
        <v>137517387</v>
      </c>
      <c r="K6" s="88">
        <f>VALUE(庫存金額A類!J2)</f>
        <v>137517353</v>
      </c>
      <c r="L6" s="88">
        <f>VALUE(庫存金額A類!K2)</f>
        <v>139720867</v>
      </c>
      <c r="M6" s="88">
        <f>VALUE(庫存金額A類!L2)</f>
        <v>138737464</v>
      </c>
      <c r="N6" s="88">
        <f>VALUE(庫存金額A類!M2)</f>
        <v>137222751</v>
      </c>
      <c r="O6" s="88">
        <f>VALUE(庫存金額A類!N2)</f>
        <v>139621462</v>
      </c>
      <c r="P6" s="88">
        <f>VALUE(庫存金額A類!O2)</f>
        <v>141253687</v>
      </c>
      <c r="Q6" s="88">
        <f>VALUE(庫存金額A類!P2)</f>
        <v>138112809</v>
      </c>
      <c r="R6" s="88">
        <f>VALUE(庫存金額A類!Q2)</f>
        <v>138112809</v>
      </c>
      <c r="S6" s="88">
        <f>VALUE(庫存金額A類!R2)</f>
        <v>137772128</v>
      </c>
      <c r="T6" s="88">
        <f>VALUE(庫存金額A類!S2)</f>
        <v>138993056</v>
      </c>
      <c r="U6" s="88">
        <f>VALUE(庫存金額A類!T2)</f>
        <v>138403537</v>
      </c>
      <c r="V6" s="88">
        <f>VALUE(庫存金額A類!U2)</f>
        <v>142187139</v>
      </c>
      <c r="W6" s="88">
        <f>VALUE(庫存金額A類!V2)</f>
        <v>143773327</v>
      </c>
      <c r="X6" s="88">
        <f>VALUE(庫存金額A類!W2)</f>
        <v>141366344</v>
      </c>
      <c r="Y6" s="88">
        <f>VALUE(庫存金額A類!X2)</f>
        <v>141366344</v>
      </c>
      <c r="Z6" s="88">
        <f>VALUE(庫存金額A類!Y2)</f>
        <v>146382645</v>
      </c>
      <c r="AA6" s="88">
        <f>VALUE(庫存金額A類!Z2)</f>
        <v>148352264</v>
      </c>
      <c r="AB6" s="88">
        <f>VALUE(庫存金額A類!AA2)</f>
        <v>149956055</v>
      </c>
      <c r="AC6" s="88">
        <f>VALUE(庫存金額A類!AB2)</f>
        <v>154725189</v>
      </c>
      <c r="AD6" s="88">
        <f>VALUE(庫存金額A類!AC2)</f>
        <v>155289040</v>
      </c>
      <c r="AE6" s="88">
        <f>VALUE(庫存金額A類!AD2)</f>
        <v>152767329</v>
      </c>
      <c r="AF6" s="88">
        <f>VALUE(庫存金額A類!AE2)</f>
        <v>152757486</v>
      </c>
      <c r="AG6" s="88">
        <f>VALUE(庫存金額A類!AF2)</f>
        <v>153822861</v>
      </c>
      <c r="AH6" s="88">
        <f>VALUE(庫存金額A類!AG2)</f>
        <v>155408573</v>
      </c>
      <c r="AI6" s="88">
        <f>VALUE(庫存金額A類!AH2)</f>
        <v>142789434.58000001</v>
      </c>
      <c r="AJ6" s="512">
        <f>AI6/AI9</f>
        <v>0.48542460026849976</v>
      </c>
      <c r="AK6" s="82">
        <f>HLOOKUP(MONTH(日期!$C$2)+1,A類各進口別庫存金額目標!$B$2:$M$7,4,TRUE)</f>
        <v>132853451.14518028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115169222.33219373</v>
      </c>
      <c r="D7" s="88">
        <f>VALUE(庫存金額A類!C3)</f>
        <v>132027393</v>
      </c>
      <c r="E7" s="88">
        <f>VALUE(庫存金額A類!D3)</f>
        <v>127874719</v>
      </c>
      <c r="F7" s="88">
        <f>VALUE(庫存金額A類!E3)</f>
        <v>125207197</v>
      </c>
      <c r="G7" s="88">
        <f>VALUE(庫存金額A類!F3)</f>
        <v>124591275</v>
      </c>
      <c r="H7" s="88">
        <f>VALUE(庫存金額A類!G3)</f>
        <v>125184964</v>
      </c>
      <c r="I7" s="88">
        <f>VALUE(庫存金額A類!H3)</f>
        <v>125168631</v>
      </c>
      <c r="J7" s="88">
        <f>VALUE(庫存金額A類!I3)</f>
        <v>121876614</v>
      </c>
      <c r="K7" s="88">
        <f>VALUE(庫存金額A類!J3)</f>
        <v>121874377</v>
      </c>
      <c r="L7" s="88">
        <f>VALUE(庫存金額A類!K3)</f>
        <v>120647746</v>
      </c>
      <c r="M7" s="88">
        <f>VALUE(庫存金額A類!L3)</f>
        <v>118654547</v>
      </c>
      <c r="N7" s="88">
        <f>VALUE(庫存金額A類!M3)</f>
        <v>118290910</v>
      </c>
      <c r="O7" s="88">
        <f>VALUE(庫存金額A類!N3)</f>
        <v>118363245</v>
      </c>
      <c r="P7" s="88">
        <f>VALUE(庫存金額A類!O3)</f>
        <v>118463726</v>
      </c>
      <c r="Q7" s="88">
        <f>VALUE(庫存金額A類!P3)</f>
        <v>115648836</v>
      </c>
      <c r="R7" s="88">
        <f>VALUE(庫存金額A類!Q3)</f>
        <v>115633058</v>
      </c>
      <c r="S7" s="88">
        <f>VALUE(庫存金額A類!R3)</f>
        <v>115307555</v>
      </c>
      <c r="T7" s="88">
        <f>VALUE(庫存金額A類!S3)</f>
        <v>114050020</v>
      </c>
      <c r="U7" s="88">
        <f>VALUE(庫存金額A類!T3)</f>
        <v>112950690</v>
      </c>
      <c r="V7" s="88">
        <f>VALUE(庫存金額A類!U3)</f>
        <v>113717730</v>
      </c>
      <c r="W7" s="88">
        <f>VALUE(庫存金額A類!V3)</f>
        <v>114415589</v>
      </c>
      <c r="X7" s="88">
        <f>VALUE(庫存金額A類!W3)</f>
        <v>111936616</v>
      </c>
      <c r="Y7" s="88">
        <f>VALUE(庫存金額A類!X3)</f>
        <v>111936361</v>
      </c>
      <c r="Z7" s="88">
        <f>VALUE(庫存金額A類!Y3)</f>
        <v>113676386</v>
      </c>
      <c r="AA7" s="88">
        <f>VALUE(庫存金額A類!Z3)</f>
        <v>113030584</v>
      </c>
      <c r="AB7" s="88">
        <f>VALUE(庫存金額A類!AA3)</f>
        <v>113937572</v>
      </c>
      <c r="AC7" s="88">
        <f>VALUE(庫存金額A類!AB3)</f>
        <v>115024199</v>
      </c>
      <c r="AD7" s="88">
        <f>VALUE(庫存金額A類!AC3)</f>
        <v>117932331</v>
      </c>
      <c r="AE7" s="88">
        <f>VALUE(庫存金額A類!AD3)</f>
        <v>115687646</v>
      </c>
      <c r="AF7" s="88">
        <f>VALUE(庫存金額A類!AE3)</f>
        <v>115687646</v>
      </c>
      <c r="AG7" s="88">
        <f>VALUE(庫存金額A類!AF3)</f>
        <v>115506291</v>
      </c>
      <c r="AH7" s="88">
        <f>VALUE(庫存金額A類!AG3)</f>
        <v>116580722</v>
      </c>
      <c r="AI7" s="88">
        <f>VALUE(庫存金額A類!AH3)</f>
        <v>118093070.19</v>
      </c>
      <c r="AJ7" s="512">
        <f>AI7/AI9</f>
        <v>0.40146724833022046</v>
      </c>
      <c r="AK7" s="82">
        <f>HLOOKUP(MONTH(日期!$C$2)+1,A類各進口別庫存金額目標!$B$2:$M$7,5,TRUE)</f>
        <v>114833391.60042042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38350455.532630704</v>
      </c>
      <c r="D8" s="88">
        <f>VALUE(庫存金額A類!C4)</f>
        <v>32479922</v>
      </c>
      <c r="E8" s="88">
        <f>VALUE(庫存金額A類!D4)</f>
        <v>30884772</v>
      </c>
      <c r="F8" s="88">
        <f>VALUE(庫存金額A類!E4)</f>
        <v>31523052</v>
      </c>
      <c r="G8" s="88">
        <f>VALUE(庫存金額A類!F4)</f>
        <v>33054637</v>
      </c>
      <c r="H8" s="88">
        <f>VALUE(庫存金額A類!G4)</f>
        <v>33022740</v>
      </c>
      <c r="I8" s="88">
        <f>VALUE(庫存金額A類!H4)</f>
        <v>33331956</v>
      </c>
      <c r="J8" s="88">
        <f>VALUE(庫存金額A類!I4)</f>
        <v>32230564</v>
      </c>
      <c r="K8" s="88">
        <f>VALUE(庫存金額A類!J4)</f>
        <v>32228189</v>
      </c>
      <c r="L8" s="88">
        <f>VALUE(庫存金額A類!K4)</f>
        <v>32465691</v>
      </c>
      <c r="M8" s="88">
        <f>VALUE(庫存金額A類!L4)</f>
        <v>33380699</v>
      </c>
      <c r="N8" s="88">
        <f>VALUE(庫存金額A類!M4)</f>
        <v>32766730</v>
      </c>
      <c r="O8" s="88">
        <f>VALUE(庫存金額A類!N4)</f>
        <v>31998138</v>
      </c>
      <c r="P8" s="88">
        <f>VALUE(庫存金額A類!O4)</f>
        <v>33006588</v>
      </c>
      <c r="Q8" s="88">
        <f>VALUE(庫存金額A類!P4)</f>
        <v>32131003</v>
      </c>
      <c r="R8" s="88">
        <f>VALUE(庫存金額A類!Q4)</f>
        <v>32128768</v>
      </c>
      <c r="S8" s="88">
        <f>VALUE(庫存金額A類!R4)</f>
        <v>31472331</v>
      </c>
      <c r="T8" s="88">
        <f>VALUE(庫存金額A類!S4)</f>
        <v>31930227</v>
      </c>
      <c r="U8" s="88">
        <f>VALUE(庫存金額A類!T4)</f>
        <v>31019490</v>
      </c>
      <c r="V8" s="88">
        <f>VALUE(庫存金額A類!U4)</f>
        <v>32841228</v>
      </c>
      <c r="W8" s="88">
        <f>VALUE(庫存金額A類!V4)</f>
        <v>35343451</v>
      </c>
      <c r="X8" s="88">
        <f>VALUE(庫存金額A類!W4)</f>
        <v>34325069</v>
      </c>
      <c r="Y8" s="88">
        <f>VALUE(庫存金額A類!X4)</f>
        <v>34325069</v>
      </c>
      <c r="Z8" s="88">
        <f>VALUE(庫存金額A類!Y4)</f>
        <v>36990885</v>
      </c>
      <c r="AA8" s="88">
        <f>VALUE(庫存金額A類!Z4)</f>
        <v>36564968</v>
      </c>
      <c r="AB8" s="88">
        <f>VALUE(庫存金額A類!AA4)</f>
        <v>35424368</v>
      </c>
      <c r="AC8" s="88">
        <f>VALUE(庫存金額A類!AB4)</f>
        <v>34194929</v>
      </c>
      <c r="AD8" s="88">
        <f>VALUE(庫存金額A類!AC4)</f>
        <v>34106301</v>
      </c>
      <c r="AE8" s="88">
        <f>VALUE(庫存金額A類!AD4)</f>
        <v>33306645</v>
      </c>
      <c r="AF8" s="88">
        <f>VALUE(庫存金額A類!AE4)</f>
        <v>33306505</v>
      </c>
      <c r="AG8" s="88">
        <f>VALUE(庫存金額A類!AF4)</f>
        <v>34758352</v>
      </c>
      <c r="AH8" s="88">
        <f>VALUE(庫存金額A類!AG4)</f>
        <v>34863296</v>
      </c>
      <c r="AI8" s="88">
        <f>VALUE(庫存金額A類!AH4)</f>
        <v>33271179.449999999</v>
      </c>
      <c r="AJ8" s="512">
        <f>AI8/AI9</f>
        <v>0.11310815140127976</v>
      </c>
      <c r="AK8" s="82">
        <f>HLOOKUP(MONTH(日期!$C$2)+1,A類各進口別庫存金額目標!$B$2:$M$7,6,TRUE)</f>
        <v>38845973.225311361</v>
      </c>
    </row>
    <row r="9" spans="1:37" ht="19.5">
      <c r="A9" s="652" t="s">
        <v>73</v>
      </c>
      <c r="B9" s="652"/>
      <c r="C9" s="83">
        <f>SUM(C6:C8)</f>
        <v>287883810.96025646</v>
      </c>
      <c r="D9" s="84">
        <f t="shared" ref="D9:AH9" si="0">SUM(D6:D8)</f>
        <v>303400229</v>
      </c>
      <c r="E9" s="84">
        <f t="shared" si="0"/>
        <v>293955948</v>
      </c>
      <c r="F9" s="84">
        <f t="shared" si="0"/>
        <v>292654209</v>
      </c>
      <c r="G9" s="84">
        <f t="shared" si="0"/>
        <v>294151632</v>
      </c>
      <c r="H9" s="84">
        <f t="shared" si="0"/>
        <v>296373950</v>
      </c>
      <c r="I9" s="84">
        <f t="shared" si="0"/>
        <v>299147856</v>
      </c>
      <c r="J9" s="84">
        <f t="shared" si="0"/>
        <v>291624565</v>
      </c>
      <c r="K9" s="84">
        <f t="shared" si="0"/>
        <v>291619919</v>
      </c>
      <c r="L9" s="84">
        <f t="shared" si="0"/>
        <v>292834304</v>
      </c>
      <c r="M9" s="84">
        <f t="shared" si="0"/>
        <v>290772710</v>
      </c>
      <c r="N9" s="84">
        <f t="shared" si="0"/>
        <v>288280391</v>
      </c>
      <c r="O9" s="84">
        <f t="shared" si="0"/>
        <v>289982845</v>
      </c>
      <c r="P9" s="84">
        <f t="shared" si="0"/>
        <v>292724001</v>
      </c>
      <c r="Q9" s="84">
        <f>SUM(Q6:Q8)</f>
        <v>285892648</v>
      </c>
      <c r="R9" s="84">
        <f t="shared" si="0"/>
        <v>285874635</v>
      </c>
      <c r="S9" s="84">
        <f t="shared" si="0"/>
        <v>284552014</v>
      </c>
      <c r="T9" s="84">
        <f t="shared" si="0"/>
        <v>284973303</v>
      </c>
      <c r="U9" s="84">
        <f t="shared" si="0"/>
        <v>282373717</v>
      </c>
      <c r="V9" s="84">
        <f t="shared" si="0"/>
        <v>288746097</v>
      </c>
      <c r="W9" s="84">
        <f t="shared" si="0"/>
        <v>293532367</v>
      </c>
      <c r="X9" s="84">
        <f t="shared" si="0"/>
        <v>287628029</v>
      </c>
      <c r="Y9" s="84">
        <f t="shared" si="0"/>
        <v>287627774</v>
      </c>
      <c r="Z9" s="84">
        <f t="shared" si="0"/>
        <v>297049916</v>
      </c>
      <c r="AA9" s="84">
        <f t="shared" si="0"/>
        <v>297947816</v>
      </c>
      <c r="AB9" s="84">
        <f>SUM(AB6:AB8)</f>
        <v>299317995</v>
      </c>
      <c r="AC9" s="84">
        <f t="shared" si="0"/>
        <v>303944317</v>
      </c>
      <c r="AD9" s="84">
        <f t="shared" si="0"/>
        <v>307327672</v>
      </c>
      <c r="AE9" s="84">
        <f t="shared" si="0"/>
        <v>301761620</v>
      </c>
      <c r="AF9" s="84">
        <f t="shared" si="0"/>
        <v>301751637</v>
      </c>
      <c r="AG9" s="84">
        <f t="shared" si="0"/>
        <v>304087504</v>
      </c>
      <c r="AH9" s="84">
        <f t="shared" si="0"/>
        <v>306852591</v>
      </c>
      <c r="AI9" s="84">
        <f>SUM(AI6:AI8)</f>
        <v>294153684.22000003</v>
      </c>
      <c r="AJ9" s="513">
        <f>AI9/AI$9</f>
        <v>1</v>
      </c>
      <c r="AK9" s="83">
        <f>SUM(AK6:AK8)</f>
        <v>286532815.97091204</v>
      </c>
    </row>
    <row r="10" spans="1:37">
      <c r="AI10" s="98">
        <f>AI9-C9</f>
        <v>6269873.2597435713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50" t="s">
        <v>68</v>
      </c>
      <c r="AJ14" s="640" t="s">
        <v>69</v>
      </c>
    </row>
    <row r="15" spans="1:37" s="77" customFormat="1" ht="18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51"/>
      <c r="AJ15" s="641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50" t="s">
        <v>68</v>
      </c>
      <c r="AJ24" s="640" t="s">
        <v>69</v>
      </c>
    </row>
    <row r="25" spans="1:36" s="77" customFormat="1" ht="18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51"/>
      <c r="AJ25" s="641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2026/03/01</v>
      </c>
      <c r="D4" s="491" t="str">
        <f>日期!D2</f>
        <v>2026/03/02</v>
      </c>
      <c r="E4" s="491" t="str">
        <f>日期!E2</f>
        <v>2026/03/03</v>
      </c>
      <c r="F4" s="491" t="str">
        <f>日期!F2</f>
        <v>2026/03/04</v>
      </c>
      <c r="G4" s="491" t="str">
        <f>日期!G2</f>
        <v>2026/03/05</v>
      </c>
      <c r="H4" s="491" t="str">
        <f>日期!H2</f>
        <v>2026/03/06</v>
      </c>
      <c r="I4" s="491" t="str">
        <f>日期!I2</f>
        <v>2026/03/07</v>
      </c>
      <c r="J4" s="491" t="str">
        <f>日期!J2</f>
        <v>2026/03/08</v>
      </c>
      <c r="K4" s="491" t="str">
        <f>日期!K2</f>
        <v>2026/03/09</v>
      </c>
      <c r="L4" s="491" t="str">
        <f>日期!L2</f>
        <v>2026/03/10</v>
      </c>
      <c r="M4" s="491" t="str">
        <f>日期!M2</f>
        <v>2026/03/11</v>
      </c>
      <c r="N4" s="491" t="str">
        <f>日期!N2</f>
        <v>2026/03/12</v>
      </c>
      <c r="O4" s="491" t="str">
        <f>日期!O2</f>
        <v>2026/03/13</v>
      </c>
      <c r="P4" s="491" t="str">
        <f>日期!P2</f>
        <v>2026/03/14</v>
      </c>
      <c r="Q4" s="491" t="str">
        <f>日期!Q2</f>
        <v>2026/03/15</v>
      </c>
      <c r="R4" s="491" t="str">
        <f>日期!R2</f>
        <v>2026/03/16</v>
      </c>
      <c r="S4" s="491" t="str">
        <f>日期!S2</f>
        <v>2026/03/17</v>
      </c>
      <c r="T4" s="491" t="str">
        <f>日期!T2</f>
        <v>2026/03/18</v>
      </c>
      <c r="U4" s="491" t="str">
        <f>日期!U2</f>
        <v>2026/03/19</v>
      </c>
      <c r="V4" s="491" t="str">
        <f>日期!V2</f>
        <v>2026/03/20</v>
      </c>
      <c r="W4" s="491" t="str">
        <f>日期!W2</f>
        <v>2026/03/21</v>
      </c>
      <c r="X4" s="491" t="str">
        <f>日期!X2</f>
        <v>2026/03/22</v>
      </c>
      <c r="Y4" s="491" t="str">
        <f>日期!Y2</f>
        <v>2026/03/23</v>
      </c>
      <c r="Z4" s="491" t="str">
        <f>日期!Z2</f>
        <v>2026/03/24</v>
      </c>
      <c r="AA4" s="491" t="str">
        <f>日期!AA2</f>
        <v>2026/03/25</v>
      </c>
      <c r="AB4" s="491" t="str">
        <f>日期!AB2</f>
        <v>2026/03/26</v>
      </c>
      <c r="AC4" s="491" t="str">
        <f>日期!AC2</f>
        <v>2026/03/27</v>
      </c>
      <c r="AD4" s="491" t="str">
        <f>日期!AD2</f>
        <v>2026/03/28</v>
      </c>
      <c r="AE4" s="491" t="str">
        <f>日期!AE2</f>
        <v>2026/03/29</v>
      </c>
      <c r="AF4" s="491" t="str">
        <f>日期!AF2</f>
        <v>2026/03/30</v>
      </c>
      <c r="AG4" s="491" t="str">
        <f>日期!AG2</f>
        <v>2026/03/31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Sun</v>
      </c>
      <c r="D5" s="485" t="str">
        <f>日期!D3</f>
        <v>Mon</v>
      </c>
      <c r="E5" s="485" t="str">
        <f>日期!E3</f>
        <v>Tue</v>
      </c>
      <c r="F5" s="485" t="str">
        <f>日期!F3</f>
        <v>Wed</v>
      </c>
      <c r="G5" s="485" t="str">
        <f>日期!G3</f>
        <v>Thu</v>
      </c>
      <c r="H5" s="485" t="str">
        <f>日期!H3</f>
        <v>Fri</v>
      </c>
      <c r="I5" s="485" t="str">
        <f>日期!I3</f>
        <v>Sat</v>
      </c>
      <c r="J5" s="485" t="str">
        <f>日期!J3</f>
        <v>Sun</v>
      </c>
      <c r="K5" s="485" t="str">
        <f>日期!K3</f>
        <v>Mon</v>
      </c>
      <c r="L5" s="485" t="str">
        <f>日期!L3</f>
        <v>Tue</v>
      </c>
      <c r="M5" s="485" t="str">
        <f>日期!M3</f>
        <v>Wed</v>
      </c>
      <c r="N5" s="485" t="str">
        <f>日期!N3</f>
        <v>Thu</v>
      </c>
      <c r="O5" s="485" t="str">
        <f>日期!O3</f>
        <v>Fri</v>
      </c>
      <c r="P5" s="485" t="str">
        <f>日期!P3</f>
        <v>Sat</v>
      </c>
      <c r="Q5" s="485" t="str">
        <f>日期!Q3</f>
        <v>Sun</v>
      </c>
      <c r="R5" s="485" t="str">
        <f>日期!R3</f>
        <v>Mon</v>
      </c>
      <c r="S5" s="485" t="str">
        <f>日期!S3</f>
        <v>Tue</v>
      </c>
      <c r="T5" s="485" t="str">
        <f>日期!T3</f>
        <v>Wed</v>
      </c>
      <c r="U5" s="485" t="str">
        <f>日期!U3</f>
        <v>Thu</v>
      </c>
      <c r="V5" s="485" t="str">
        <f>日期!V3</f>
        <v>Fri</v>
      </c>
      <c r="W5" s="485" t="str">
        <f>日期!W3</f>
        <v>Sat</v>
      </c>
      <c r="X5" s="485" t="str">
        <f>日期!X3</f>
        <v>Sun</v>
      </c>
      <c r="Y5" s="485" t="str">
        <f>日期!Y3</f>
        <v>Mon</v>
      </c>
      <c r="Z5" s="485" t="str">
        <f>日期!Z3</f>
        <v>Tue</v>
      </c>
      <c r="AA5" s="485" t="str">
        <f>日期!AA3</f>
        <v>Wed</v>
      </c>
      <c r="AB5" s="485" t="str">
        <f>日期!AB3</f>
        <v>Thu</v>
      </c>
      <c r="AC5" s="485" t="str">
        <f>日期!AC3</f>
        <v>Fri</v>
      </c>
      <c r="AD5" s="485" t="str">
        <f>日期!AD3</f>
        <v>Sat</v>
      </c>
      <c r="AE5" s="485" t="str">
        <f>日期!AE3</f>
        <v>Sun</v>
      </c>
      <c r="AF5" s="485" t="str">
        <f>日期!AF3</f>
        <v>Mon</v>
      </c>
      <c r="AG5" s="485" t="str">
        <f>日期!AG3</f>
        <v>Tue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6366909</v>
      </c>
      <c r="D6" s="103">
        <f>VALUE(期貨金額!E2)</f>
        <v>6257863</v>
      </c>
      <c r="E6" s="103">
        <f>VALUE(期貨金額!F2)</f>
        <v>6204907</v>
      </c>
      <c r="F6" s="103">
        <f>VALUE(期貨金額!G2)</f>
        <v>6281464</v>
      </c>
      <c r="G6" s="103">
        <f>VALUE(期貨金額!H2)</f>
        <v>6358500</v>
      </c>
      <c r="H6" s="103">
        <f>VALUE(期貨金額!I2)</f>
        <v>6610499</v>
      </c>
      <c r="I6" s="103">
        <f>VALUE(期貨金額!J2)</f>
        <v>6577879</v>
      </c>
      <c r="J6" s="103">
        <f>VALUE(期貨金額!K2)</f>
        <v>6577879</v>
      </c>
      <c r="K6" s="103">
        <f>VALUE(期貨金額!L2)</f>
        <v>6675950</v>
      </c>
      <c r="L6" s="103">
        <f>VALUE(期貨金額!M2)</f>
        <v>6736031</v>
      </c>
      <c r="M6" s="103">
        <f>VALUE(期貨金額!N2)</f>
        <v>6573815</v>
      </c>
      <c r="N6" s="103">
        <f>VALUE(期貨金額!O2)</f>
        <v>6621578</v>
      </c>
      <c r="O6" s="103">
        <f>VALUE(期貨金額!P2)</f>
        <v>6641068</v>
      </c>
      <c r="P6" s="103">
        <f>VALUE(期貨金額!Q2)</f>
        <v>6642089</v>
      </c>
      <c r="Q6" s="103">
        <f>VALUE(期貨金額!R2)</f>
        <v>6642089</v>
      </c>
      <c r="R6" s="103">
        <f>VALUE(期貨金額!S2)</f>
        <v>6756792</v>
      </c>
      <c r="S6" s="103">
        <f>VALUE(期貨金額!T2)</f>
        <v>7564541</v>
      </c>
      <c r="T6" s="103">
        <f>VALUE(期貨金額!U2)</f>
        <v>7431245</v>
      </c>
      <c r="U6" s="103">
        <f>VALUE(期貨金額!V2)</f>
        <v>7578712</v>
      </c>
      <c r="V6" s="103">
        <f>VALUE(期貨金額!W2)</f>
        <v>7735075</v>
      </c>
      <c r="W6" s="103">
        <f>VALUE(期貨金額!X2)</f>
        <v>7751416</v>
      </c>
      <c r="X6" s="103">
        <f>VALUE(期貨金額!Y2)</f>
        <v>7751416</v>
      </c>
      <c r="Y6" s="103">
        <f>VALUE(期貨金額!Z2)</f>
        <v>7889500</v>
      </c>
      <c r="Z6" s="103">
        <f>VALUE(期貨金額!AA2)</f>
        <v>8160777</v>
      </c>
      <c r="AA6" s="103">
        <f>VALUE(期貨金額!AB2)</f>
        <v>8322531</v>
      </c>
      <c r="AB6" s="103">
        <f>VALUE(期貨金額!AC2)</f>
        <v>8347614</v>
      </c>
      <c r="AC6" s="103">
        <f>VALUE(期貨金額!AD2)</f>
        <v>7989629</v>
      </c>
      <c r="AD6" s="103">
        <f>VALUE(期貨金額!AE2)</f>
        <v>7997684</v>
      </c>
      <c r="AE6" s="103">
        <f>VALUE(期貨金額!AF2)</f>
        <v>7997684</v>
      </c>
      <c r="AF6" s="103">
        <f>VALUE(期貨金額!AG2)</f>
        <v>8143002</v>
      </c>
      <c r="AG6" s="103">
        <f>VALUE(期貨金額!AH2)</f>
        <v>8404677</v>
      </c>
      <c r="AH6" s="103">
        <f>VALUE(期貨金額!AI2)</f>
        <v>7212606.9400000004</v>
      </c>
      <c r="AI6" s="467">
        <f>AH6/$AH$19</f>
        <v>0.58124244373361411</v>
      </c>
    </row>
    <row r="7" spans="1:35" ht="17.45">
      <c r="A7" s="105" t="s">
        <v>72</v>
      </c>
      <c r="B7" s="106" t="s">
        <v>237</v>
      </c>
      <c r="C7" s="103">
        <f>VALUE(期貨金額!D3)</f>
        <v>4969841</v>
      </c>
      <c r="D7" s="103">
        <f>VALUE(期貨金額!E3)</f>
        <v>4951501</v>
      </c>
      <c r="E7" s="103">
        <f>VALUE(期貨金額!F3)</f>
        <v>4930538</v>
      </c>
      <c r="F7" s="103">
        <f>VALUE(期貨金額!G3)</f>
        <v>4994977</v>
      </c>
      <c r="G7" s="103">
        <f>VALUE(期貨金額!H3)</f>
        <v>5369523</v>
      </c>
      <c r="H7" s="103">
        <f>VALUE(期貨金額!I3)</f>
        <v>5499558</v>
      </c>
      <c r="I7" s="103">
        <f>VALUE(期貨金額!J3)</f>
        <v>5496918</v>
      </c>
      <c r="J7" s="103">
        <f>VALUE(期貨金額!K3)</f>
        <v>5496918</v>
      </c>
      <c r="K7" s="103">
        <f>VALUE(期貨金額!L3)</f>
        <v>5508889</v>
      </c>
      <c r="L7" s="103">
        <f>VALUE(期貨金額!M3)</f>
        <v>5411984</v>
      </c>
      <c r="M7" s="103">
        <f>VALUE(期貨金額!N3)</f>
        <v>5411799</v>
      </c>
      <c r="N7" s="103">
        <f>VALUE(期貨金額!O3)</f>
        <v>5371385</v>
      </c>
      <c r="O7" s="103">
        <f>VALUE(期貨金額!P3)</f>
        <v>5346119</v>
      </c>
      <c r="P7" s="103">
        <f>VALUE(期貨金額!Q3)</f>
        <v>5346119</v>
      </c>
      <c r="Q7" s="103">
        <f>VALUE(期貨金額!R3)</f>
        <v>5346119</v>
      </c>
      <c r="R7" s="103">
        <f>VALUE(期貨金額!S3)</f>
        <v>5175913</v>
      </c>
      <c r="S7" s="103">
        <f>VALUE(期貨金額!T3)</f>
        <v>5273934</v>
      </c>
      <c r="T7" s="103">
        <f>VALUE(期貨金額!U3)</f>
        <v>5201759</v>
      </c>
      <c r="U7" s="103">
        <f>VALUE(期貨金額!V3)</f>
        <v>5218757</v>
      </c>
      <c r="V7" s="103">
        <f>VALUE(期貨金額!W3)</f>
        <v>4372145</v>
      </c>
      <c r="W7" s="103">
        <f>VALUE(期貨金額!X3)</f>
        <v>4372145</v>
      </c>
      <c r="X7" s="103">
        <f>VALUE(期貨金額!Y3)</f>
        <v>4372145</v>
      </c>
      <c r="Y7" s="103">
        <f>VALUE(期貨金額!Z3)</f>
        <v>4329586</v>
      </c>
      <c r="Z7" s="103">
        <f>VALUE(期貨金額!AA3)</f>
        <v>4305506</v>
      </c>
      <c r="AA7" s="103">
        <f>VALUE(期貨金額!AB3)</f>
        <v>4244835</v>
      </c>
      <c r="AB7" s="103">
        <f>VALUE(期貨金額!AC3)</f>
        <v>4288309</v>
      </c>
      <c r="AC7" s="103">
        <f>VALUE(期貨金額!AD3)</f>
        <v>4250361</v>
      </c>
      <c r="AD7" s="103">
        <f>VALUE(期貨金額!AE3)</f>
        <v>4247642</v>
      </c>
      <c r="AE7" s="103">
        <f>VALUE(期貨金額!AF3)</f>
        <v>4247642</v>
      </c>
      <c r="AF7" s="103">
        <f>VALUE(期貨金額!AG3)</f>
        <v>4396610</v>
      </c>
      <c r="AG7" s="103">
        <f>VALUE(期貨金額!AH3)</f>
        <v>4647839</v>
      </c>
      <c r="AH7" s="103">
        <f>VALUE(期貨金額!AI3)</f>
        <v>4916042.45</v>
      </c>
      <c r="AI7" s="467">
        <f t="shared" ref="AI7:AI17" si="0">AH7/$AH$19</f>
        <v>0.39616917307519095</v>
      </c>
    </row>
    <row r="8" spans="1:35" ht="17.45">
      <c r="A8" s="105" t="s">
        <v>72</v>
      </c>
      <c r="B8" s="106">
        <v>4</v>
      </c>
      <c r="C8" s="103">
        <f>VALUE(期貨金額!D4)</f>
        <v>13377</v>
      </c>
      <c r="D8" s="103">
        <f>VALUE(期貨金額!E4)</f>
        <v>10316</v>
      </c>
      <c r="E8" s="103">
        <f>VALUE(期貨金額!F4)</f>
        <v>45231</v>
      </c>
      <c r="F8" s="103">
        <f>VALUE(期貨金額!G4)</f>
        <v>132239</v>
      </c>
      <c r="G8" s="103">
        <f>VALUE(期貨金額!H4)</f>
        <v>133519</v>
      </c>
      <c r="H8" s="103">
        <f>VALUE(期貨金額!I4)</f>
        <v>390443</v>
      </c>
      <c r="I8" s="103">
        <f>VALUE(期貨金額!J4)</f>
        <v>390443</v>
      </c>
      <c r="J8" s="103">
        <f>VALUE(期貨金額!K4)</f>
        <v>390443</v>
      </c>
      <c r="K8" s="103">
        <f>VALUE(期貨金額!L4)</f>
        <v>271607</v>
      </c>
      <c r="L8" s="103">
        <f>VALUE(期貨金額!M4)</f>
        <v>257764</v>
      </c>
      <c r="M8" s="103">
        <f>VALUE(期貨金額!N4)</f>
        <v>318190</v>
      </c>
      <c r="N8" s="103">
        <f>VALUE(期貨金額!O4)</f>
        <v>318190</v>
      </c>
      <c r="O8" s="103">
        <f>VALUE(期貨金額!P4)</f>
        <v>320212</v>
      </c>
      <c r="P8" s="103">
        <f>VALUE(期貨金額!Q4)</f>
        <v>320212</v>
      </c>
      <c r="Q8" s="103">
        <f>VALUE(期貨金額!R4)</f>
        <v>320212</v>
      </c>
      <c r="R8" s="103">
        <f>VALUE(期貨金額!S4)</f>
        <v>323344</v>
      </c>
      <c r="S8" s="103">
        <f>VALUE(期貨金額!T4)</f>
        <v>325438</v>
      </c>
      <c r="T8" s="103">
        <f>VALUE(期貨金額!U4)</f>
        <v>317860</v>
      </c>
      <c r="U8" s="103">
        <f>VALUE(期貨金額!V4)</f>
        <v>165290</v>
      </c>
      <c r="V8" s="103">
        <f>VALUE(期貨金額!W4)</f>
        <v>180548</v>
      </c>
      <c r="W8" s="103">
        <f>VALUE(期貨金額!X4)</f>
        <v>180548</v>
      </c>
      <c r="X8" s="103">
        <f>VALUE(期貨金額!Y4)</f>
        <v>180548</v>
      </c>
      <c r="Y8" s="103">
        <f>VALUE(期貨金額!Z4)</f>
        <v>244566</v>
      </c>
      <c r="Z8" s="103">
        <f>VALUE(期貨金額!AA4)</f>
        <v>247118</v>
      </c>
      <c r="AA8" s="103">
        <f>VALUE(期貨金額!AB4)</f>
        <v>247118</v>
      </c>
      <c r="AB8" s="103">
        <f>VALUE(期貨金額!AC4)</f>
        <v>246453</v>
      </c>
      <c r="AC8" s="103">
        <f>VALUE(期貨金額!AD4)</f>
        <v>677169</v>
      </c>
      <c r="AD8" s="103">
        <f>VALUE(期貨金額!AE4)</f>
        <v>677169</v>
      </c>
      <c r="AE8" s="103">
        <f>VALUE(期貨金額!AF4)</f>
        <v>677169</v>
      </c>
      <c r="AF8" s="103">
        <f>VALUE(期貨金額!AG4)</f>
        <v>275597</v>
      </c>
      <c r="AG8" s="103">
        <f>VALUE(期貨金額!AH4)</f>
        <v>11798</v>
      </c>
      <c r="AH8" s="103">
        <f>VALUE(期貨金額!AI4)</f>
        <v>277746.15999999997</v>
      </c>
      <c r="AI8" s="467">
        <f t="shared" si="0"/>
        <v>2.2382733194667527E-2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4300</v>
      </c>
      <c r="D17" s="103">
        <f>VALUE(期貨金額!E15)</f>
        <v>4300</v>
      </c>
      <c r="E17" s="103">
        <f>VALUE(期貨金額!F15)</f>
        <v>4300</v>
      </c>
      <c r="F17" s="103">
        <f>VALUE(期貨金額!G15)</f>
        <v>4300</v>
      </c>
      <c r="G17" s="103">
        <f>VALUE(期貨金額!H15)</f>
        <v>4300</v>
      </c>
      <c r="H17" s="103">
        <f>VALUE(期貨金額!I15)</f>
        <v>4300</v>
      </c>
      <c r="I17" s="103">
        <f>VALUE(期貨金額!J15)</f>
        <v>4300</v>
      </c>
      <c r="J17" s="103">
        <f>VALUE(期貨金額!K15)</f>
        <v>4300</v>
      </c>
      <c r="K17" s="103">
        <f>VALUE(期貨金額!L15)</f>
        <v>4300</v>
      </c>
      <c r="L17" s="103">
        <f>VALUE(期貨金額!M15)</f>
        <v>4300</v>
      </c>
      <c r="M17" s="103">
        <f>VALUE(期貨金額!N15)</f>
        <v>4300</v>
      </c>
      <c r="N17" s="103">
        <f>VALUE(期貨金額!O15)</f>
        <v>2169</v>
      </c>
      <c r="O17" s="103">
        <f>VALUE(期貨金額!P15)</f>
        <v>1560</v>
      </c>
      <c r="P17" s="103">
        <f>VALUE(期貨金額!Q15)</f>
        <v>1560</v>
      </c>
      <c r="Q17" s="103">
        <f>VALUE(期貨金額!R15)</f>
        <v>1560</v>
      </c>
      <c r="R17" s="103">
        <f>VALUE(期貨金額!S15)</f>
        <v>1560</v>
      </c>
      <c r="S17" s="103">
        <f>VALUE(期貨金額!T15)</f>
        <v>1560</v>
      </c>
      <c r="T17" s="103">
        <f>VALUE(期貨金額!U15)</f>
        <v>1560</v>
      </c>
      <c r="U17" s="103">
        <f>VALUE(期貨金額!V15)</f>
        <v>1560</v>
      </c>
      <c r="V17" s="103">
        <f>VALUE(期貨金額!W15)</f>
        <v>1560</v>
      </c>
      <c r="W17" s="103">
        <f>VALUE(期貨金額!X15)</f>
        <v>1560</v>
      </c>
      <c r="X17" s="103">
        <f>VALUE(期貨金額!Y15)</f>
        <v>1560</v>
      </c>
      <c r="Y17" s="103">
        <f>VALUE(期貨金額!Z15)</f>
        <v>1560</v>
      </c>
      <c r="Z17" s="103">
        <f>VALUE(期貨金額!AA15)</f>
        <v>1560</v>
      </c>
      <c r="AA17" s="103">
        <f>VALUE(期貨金額!AB15)</f>
        <v>1560</v>
      </c>
      <c r="AB17" s="103">
        <f>VALUE(期貨金額!AC15)</f>
        <v>1560</v>
      </c>
      <c r="AC17" s="103">
        <f>VALUE(期貨金額!AD15)</f>
        <v>1560</v>
      </c>
      <c r="AD17" s="103">
        <f>VALUE(期貨金額!AE15)</f>
        <v>1560</v>
      </c>
      <c r="AE17" s="103">
        <f>VALUE(期貨金額!AF15)</f>
        <v>1560</v>
      </c>
      <c r="AF17" s="103">
        <f>VALUE(期貨金額!AG15)</f>
        <v>1560</v>
      </c>
      <c r="AG17" s="103">
        <f>VALUE(期貨金額!AH15)</f>
        <v>1560</v>
      </c>
      <c r="AH17" s="103">
        <f>VALUE(期貨金額!AI15)</f>
        <v>2551.9</v>
      </c>
      <c r="AI17" s="467">
        <f t="shared" si="0"/>
        <v>2.0564999652730417E-4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11354427</v>
      </c>
      <c r="D19" s="107">
        <f t="shared" si="1"/>
        <v>11223980</v>
      </c>
      <c r="E19" s="107">
        <f t="shared" si="1"/>
        <v>11184976</v>
      </c>
      <c r="F19" s="107">
        <f t="shared" si="1"/>
        <v>11412980</v>
      </c>
      <c r="G19" s="107">
        <f t="shared" si="1"/>
        <v>11865842</v>
      </c>
      <c r="H19" s="107">
        <f t="shared" si="1"/>
        <v>12504800</v>
      </c>
      <c r="I19" s="107">
        <f t="shared" si="1"/>
        <v>12469540</v>
      </c>
      <c r="J19" s="107">
        <f t="shared" si="1"/>
        <v>12469540</v>
      </c>
      <c r="K19" s="107">
        <f t="shared" si="1"/>
        <v>12460746</v>
      </c>
      <c r="L19" s="107">
        <f t="shared" si="1"/>
        <v>12410079</v>
      </c>
      <c r="M19" s="107">
        <f t="shared" si="1"/>
        <v>12308104</v>
      </c>
      <c r="N19" s="107">
        <f t="shared" si="1"/>
        <v>12313322</v>
      </c>
      <c r="O19" s="107">
        <f t="shared" si="1"/>
        <v>12308959</v>
      </c>
      <c r="P19" s="107">
        <f t="shared" si="1"/>
        <v>12309980</v>
      </c>
      <c r="Q19" s="107">
        <f t="shared" si="1"/>
        <v>12309980</v>
      </c>
      <c r="R19" s="107">
        <f t="shared" si="1"/>
        <v>12257609</v>
      </c>
      <c r="S19" s="107">
        <f t="shared" si="1"/>
        <v>13165473</v>
      </c>
      <c r="T19" s="107">
        <f t="shared" si="1"/>
        <v>12952424</v>
      </c>
      <c r="U19" s="107">
        <f t="shared" si="1"/>
        <v>12964319</v>
      </c>
      <c r="V19" s="107">
        <f t="shared" si="1"/>
        <v>12289328</v>
      </c>
      <c r="W19" s="107">
        <f t="shared" si="1"/>
        <v>12305669</v>
      </c>
      <c r="X19" s="107">
        <f>SUM(X6:X18)</f>
        <v>12305669</v>
      </c>
      <c r="Y19" s="107">
        <f t="shared" si="1"/>
        <v>12465212</v>
      </c>
      <c r="Z19" s="107">
        <f t="shared" si="1"/>
        <v>12714961</v>
      </c>
      <c r="AA19" s="107">
        <f t="shared" si="1"/>
        <v>12816044</v>
      </c>
      <c r="AB19" s="107">
        <f t="shared" si="1"/>
        <v>12883936</v>
      </c>
      <c r="AC19" s="107">
        <f t="shared" si="1"/>
        <v>12918719</v>
      </c>
      <c r="AD19" s="107">
        <f t="shared" si="1"/>
        <v>12924055</v>
      </c>
      <c r="AE19" s="107">
        <f t="shared" si="1"/>
        <v>12924055</v>
      </c>
      <c r="AF19" s="107">
        <f t="shared" si="1"/>
        <v>12816769</v>
      </c>
      <c r="AG19" s="107">
        <f t="shared" si="1"/>
        <v>13065874</v>
      </c>
      <c r="AH19" s="107">
        <f t="shared" si="1"/>
        <v>12408947.450000001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2037174</v>
      </c>
      <c r="D20" s="103">
        <f>VALUE(期貨金額!E7)</f>
        <v>2109175</v>
      </c>
      <c r="E20" s="103">
        <f>VALUE(期貨金額!F7)</f>
        <v>1977560</v>
      </c>
      <c r="F20" s="103">
        <f>VALUE(期貨金額!G7)</f>
        <v>1980285</v>
      </c>
      <c r="G20" s="103">
        <f>VALUE(期貨金額!H7)</f>
        <v>1999126</v>
      </c>
      <c r="H20" s="103">
        <f>VALUE(期貨金額!I7)</f>
        <v>2006048</v>
      </c>
      <c r="I20" s="103">
        <f>VALUE(期貨金額!J7)</f>
        <v>2006157</v>
      </c>
      <c r="J20" s="103">
        <f>VALUE(期貨金額!K7)</f>
        <v>2006157</v>
      </c>
      <c r="K20" s="103">
        <f>VALUE(期貨金額!L7)</f>
        <v>2009455</v>
      </c>
      <c r="L20" s="103">
        <f>VALUE(期貨金額!M7)</f>
        <v>1949340</v>
      </c>
      <c r="M20" s="103">
        <f>VALUE(期貨金額!N7)</f>
        <v>1908869</v>
      </c>
      <c r="N20" s="103">
        <f>VALUE(期貨金額!O7)</f>
        <v>1911586</v>
      </c>
      <c r="O20" s="103">
        <f>VALUE(期貨金額!P7)</f>
        <v>1926628</v>
      </c>
      <c r="P20" s="103">
        <f>VALUE(期貨金額!Q7)</f>
        <v>1926628</v>
      </c>
      <c r="Q20" s="103">
        <f>VALUE(期貨金額!R7)</f>
        <v>1926628</v>
      </c>
      <c r="R20" s="103">
        <f>VALUE(期貨金額!S7)</f>
        <v>1931255</v>
      </c>
      <c r="S20" s="103">
        <f>VALUE(期貨金額!T7)</f>
        <v>1946702</v>
      </c>
      <c r="T20" s="103">
        <f>VALUE(期貨金額!U7)</f>
        <v>1937910</v>
      </c>
      <c r="U20" s="103">
        <f>VALUE(期貨金額!V7)</f>
        <v>1942205</v>
      </c>
      <c r="V20" s="103">
        <f>VALUE(期貨金額!W7)</f>
        <v>1944213</v>
      </c>
      <c r="W20" s="103">
        <f>VALUE(期貨金額!X7)</f>
        <v>1944268</v>
      </c>
      <c r="X20" s="103">
        <f>VALUE(期貨金額!Y7)</f>
        <v>1944268</v>
      </c>
      <c r="Y20" s="103">
        <f>VALUE(期貨金額!Z7)</f>
        <v>1951923</v>
      </c>
      <c r="Z20" s="103">
        <f>VALUE(期貨金額!AA7)</f>
        <v>1917382</v>
      </c>
      <c r="AA20" s="103">
        <f>VALUE(期貨金額!AB7)</f>
        <v>1931039</v>
      </c>
      <c r="AB20" s="103">
        <f>VALUE(期貨金額!AC7)</f>
        <v>1926899</v>
      </c>
      <c r="AC20" s="103">
        <f>VALUE(期貨金額!AD7)</f>
        <v>1927513</v>
      </c>
      <c r="AD20" s="103">
        <f>VALUE(期貨金額!AE7)</f>
        <v>1927571</v>
      </c>
      <c r="AE20" s="103">
        <f>VALUE(期貨金額!AF7)</f>
        <v>1927571</v>
      </c>
      <c r="AF20" s="103">
        <f>VALUE(期貨金額!AG7)</f>
        <v>1897920</v>
      </c>
      <c r="AG20" s="103">
        <f>VALUE(期貨金額!AH7)</f>
        <v>1891092</v>
      </c>
      <c r="AH20" s="103">
        <f>VALUE(期貨金額!AI7)</f>
        <v>1953888.61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2037174</v>
      </c>
      <c r="D26" s="107">
        <f>SUM(D20:D25)</f>
        <v>2109175</v>
      </c>
      <c r="E26" s="107">
        <f>SUM(E20:E25)</f>
        <v>1977560</v>
      </c>
      <c r="F26" s="107">
        <f t="shared" ref="F26:AH26" si="3">SUM(F20:F25)</f>
        <v>1980285</v>
      </c>
      <c r="G26" s="107">
        <f t="shared" si="3"/>
        <v>1999126</v>
      </c>
      <c r="H26" s="107">
        <f t="shared" si="3"/>
        <v>2006048</v>
      </c>
      <c r="I26" s="107">
        <f t="shared" si="3"/>
        <v>2006157</v>
      </c>
      <c r="J26" s="107">
        <f t="shared" si="3"/>
        <v>2006157</v>
      </c>
      <c r="K26" s="107">
        <f t="shared" si="3"/>
        <v>2009455</v>
      </c>
      <c r="L26" s="107">
        <f t="shared" si="3"/>
        <v>1949340</v>
      </c>
      <c r="M26" s="107">
        <f t="shared" si="3"/>
        <v>1908869</v>
      </c>
      <c r="N26" s="107">
        <f t="shared" si="3"/>
        <v>1911586</v>
      </c>
      <c r="O26" s="107">
        <f t="shared" si="3"/>
        <v>1926628</v>
      </c>
      <c r="P26" s="107">
        <f t="shared" si="3"/>
        <v>1926628</v>
      </c>
      <c r="Q26" s="107">
        <f t="shared" si="3"/>
        <v>1926628</v>
      </c>
      <c r="R26" s="107">
        <f t="shared" si="3"/>
        <v>1931255</v>
      </c>
      <c r="S26" s="107">
        <f t="shared" si="3"/>
        <v>1946702</v>
      </c>
      <c r="T26" s="107">
        <f t="shared" si="3"/>
        <v>1937910</v>
      </c>
      <c r="U26" s="107">
        <f t="shared" si="3"/>
        <v>1942205</v>
      </c>
      <c r="V26" s="107">
        <f t="shared" si="3"/>
        <v>1944213</v>
      </c>
      <c r="W26" s="107">
        <f t="shared" si="3"/>
        <v>1944268</v>
      </c>
      <c r="X26" s="107">
        <f t="shared" si="3"/>
        <v>1944268</v>
      </c>
      <c r="Y26" s="107">
        <f t="shared" si="3"/>
        <v>1951923</v>
      </c>
      <c r="Z26" s="107">
        <f t="shared" si="3"/>
        <v>1917382</v>
      </c>
      <c r="AA26" s="107">
        <f t="shared" si="3"/>
        <v>1931039</v>
      </c>
      <c r="AB26" s="107">
        <f t="shared" si="3"/>
        <v>1926899</v>
      </c>
      <c r="AC26" s="107">
        <f t="shared" si="3"/>
        <v>1927513</v>
      </c>
      <c r="AD26" s="107">
        <f t="shared" si="3"/>
        <v>1927571</v>
      </c>
      <c r="AE26" s="107">
        <f t="shared" si="3"/>
        <v>1927571</v>
      </c>
      <c r="AF26" s="107">
        <f t="shared" si="3"/>
        <v>1897920</v>
      </c>
      <c r="AG26" s="107">
        <f t="shared" si="3"/>
        <v>1891092</v>
      </c>
      <c r="AH26" s="107">
        <f t="shared" si="3"/>
        <v>1953888.61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534991831</v>
      </c>
      <c r="Q3" s="492">
        <v>464677576.2836622</v>
      </c>
    </row>
    <row r="4" spans="1:17" ht="13.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354465469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303529843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6503296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4618059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27657031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12157240</v>
      </c>
      <c r="Q10" s="494">
        <v>7409428.2792333327</v>
      </c>
    </row>
    <row r="11" spans="1:17" ht="13.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1781041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1493526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287515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178745321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168516892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1922919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7865414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106839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156297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9916017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5151991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4764026</v>
      </c>
      <c r="Q28" s="494"/>
    </row>
    <row r="29" spans="1:17" ht="13.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103859</v>
      </c>
      <c r="Q29" s="496"/>
    </row>
    <row r="30" spans="1:17" ht="13.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6384323</v>
      </c>
      <c r="Q31" s="497"/>
    </row>
    <row r="32" spans="1:17" ht="14.1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10178942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533543366</v>
      </c>
      <c r="Q37" s="121"/>
    </row>
    <row r="38" spans="1:17" ht="13.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354770760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303670823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6920313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4428247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28235964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11515413</v>
      </c>
      <c r="Q44" s="121"/>
    </row>
    <row r="45" spans="1:17" ht="13.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1646850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1331722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315128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177125756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166984879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1956695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7738224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162159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10939352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5500705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5438647</v>
      </c>
      <c r="Q62" s="121"/>
    </row>
    <row r="63" spans="1:17" ht="13.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102662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7220563</v>
      </c>
      <c r="Q65" s="121"/>
    </row>
    <row r="66" spans="1:17" ht="14.1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10885988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</v>
      </c>
      <c r="Q99" s="500">
        <v>97.9</v>
      </c>
      <c r="R99" s="681"/>
      <c r="S99" s="682"/>
    </row>
    <row r="100" spans="1:19" ht="13.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100</v>
      </c>
      <c r="Q100" s="500">
        <v>99</v>
      </c>
      <c r="R100" s="681"/>
      <c r="S100" s="682"/>
    </row>
    <row r="101" spans="1:19" ht="13.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92.9</v>
      </c>
      <c r="Q101" s="500">
        <v>75</v>
      </c>
      <c r="R101" s="681"/>
      <c r="S101" s="682"/>
    </row>
    <row r="102" spans="1:19" ht="13.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3.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0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93.5</v>
      </c>
      <c r="Q103" s="500">
        <v>92</v>
      </c>
      <c r="R103" s="681"/>
      <c r="S103" s="682"/>
    </row>
    <row r="104" spans="1:19" ht="13.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98.1</v>
      </c>
      <c r="Q104" s="500">
        <v>95</v>
      </c>
      <c r="R104" s="681"/>
      <c r="S104" s="682"/>
    </row>
    <row r="105" spans="1:19" ht="13.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95.8</v>
      </c>
      <c r="Q105" s="500">
        <v>95</v>
      </c>
      <c r="R105" s="681"/>
      <c r="S105" s="682"/>
    </row>
    <row r="106" spans="1:19" ht="13.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98.1</v>
      </c>
      <c r="Q106" s="501">
        <v>97.8</v>
      </c>
      <c r="R106" s="240"/>
      <c r="S106" s="241"/>
    </row>
    <row r="107" spans="1:19" ht="13.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99.8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94.3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96.7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94.3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0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96.8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0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87.6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97.9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98.4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99.1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92.8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0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94.7</v>
      </c>
      <c r="Q131" s="197"/>
      <c r="R131" s="681"/>
      <c r="S131" s="682"/>
      <c r="T131" s="114"/>
      <c r="U131" s="114"/>
    </row>
    <row r="132" spans="1:21" s="198" customFormat="1" ht="12.9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98.2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97.5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99.8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0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95.3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0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97.1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0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94.5</v>
      </c>
      <c r="Q137" s="197"/>
      <c r="R137" s="240"/>
      <c r="S137" s="241"/>
      <c r="T137" s="114"/>
      <c r="U137" s="114"/>
    </row>
    <row r="138" spans="1:21" s="198" customFormat="1" ht="12.9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4718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3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16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360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559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182</v>
      </c>
      <c r="R152" s="681"/>
      <c r="S152" s="682"/>
    </row>
    <row r="153" spans="1:19" ht="13.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6</v>
      </c>
      <c r="R153" s="681"/>
      <c r="S153" s="682"/>
    </row>
    <row r="154" spans="1:19" ht="13.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5844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1207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25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258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81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1572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.1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2.9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.1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8" si="11">AVERAGE(D99:O99)</f>
        <v>100</v>
      </c>
    </row>
    <row r="100" spans="1:18" ht="13.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P4" sqref="P4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552441493.45188653</v>
      </c>
      <c r="I3" s="431">
        <f t="shared" si="0"/>
        <v>541160747.80289149</v>
      </c>
      <c r="J3" s="431">
        <f t="shared" si="0"/>
        <v>545633929.14141428</v>
      </c>
      <c r="K3" s="431">
        <f t="shared" si="0"/>
        <v>562252665.25418806</v>
      </c>
      <c r="L3" s="431">
        <f t="shared" si="0"/>
        <v>539362609.57837629</v>
      </c>
      <c r="M3" s="431">
        <f t="shared" si="0"/>
        <v>534426352.9279694</v>
      </c>
      <c r="N3" s="431">
        <f t="shared" si="0"/>
        <v>546436332.64244449</v>
      </c>
      <c r="O3" s="431">
        <f t="shared" si="0"/>
        <v>560873900.46204019</v>
      </c>
      <c r="P3" s="431">
        <f>P4+P11+P16+P24</f>
        <v>616886537.2661047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332209810.18562704</v>
      </c>
      <c r="I4" s="351">
        <f t="shared" si="1"/>
        <v>326219959.59254318</v>
      </c>
      <c r="J4" s="351">
        <f t="shared" si="1"/>
        <v>333664689.34997547</v>
      </c>
      <c r="K4" s="351">
        <f t="shared" si="1"/>
        <v>342165875.91485548</v>
      </c>
      <c r="L4" s="351">
        <f t="shared" si="1"/>
        <v>324622413.05917668</v>
      </c>
      <c r="M4" s="351">
        <f t="shared" si="1"/>
        <v>321736960.78214312</v>
      </c>
      <c r="N4" s="351">
        <f t="shared" si="1"/>
        <v>333254025.48368216</v>
      </c>
      <c r="O4" s="351">
        <f t="shared" si="1"/>
        <v>344981788.94679707</v>
      </c>
      <c r="P4" s="351">
        <f>SUM(P5:P10)</f>
        <v>334678448.42079377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285000240.25110579</v>
      </c>
      <c r="I5" s="350">
        <v>280251024.60584056</v>
      </c>
      <c r="J5" s="350">
        <v>287403249.08621657</v>
      </c>
      <c r="K5" s="350">
        <v>294871324.98995745</v>
      </c>
      <c r="L5" s="350">
        <v>278068711.53800219</v>
      </c>
      <c r="M5" s="350">
        <v>276219281.62307173</v>
      </c>
      <c r="N5" s="350">
        <v>287810507.24077827</v>
      </c>
      <c r="O5" s="350">
        <v>297220663.45697415</v>
      </c>
      <c r="P5" s="350">
        <f t="shared" ref="P5:P10" si="2">AVERAGE(D5:O5)</f>
        <v>286568975.71258837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287396589.20204395</v>
      </c>
      <c r="X5" s="433">
        <f>SUM($D5:$I5)/6</f>
        <v>286205661.76934338</v>
      </c>
      <c r="Y5" s="433">
        <f t="shared" ref="Y5:Y10" si="3">SUM($D5:$J5)/7</f>
        <v>286376745.67175382</v>
      </c>
      <c r="Z5" s="433">
        <f>SUM($D5:$K5)/8</f>
        <v>287438568.08652925</v>
      </c>
      <c r="AA5" s="433">
        <f>SUM($D5:$L5)/9</f>
        <v>286397472.91447067</v>
      </c>
      <c r="AB5" s="433">
        <f>SUM($D5:$M5)/10</f>
        <v>285379653.78533077</v>
      </c>
      <c r="AC5" s="433">
        <f>SUM($D5:$N5)/11</f>
        <v>285600640.46309876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17: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N7" sqref="N7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285000240.25110579</v>
      </c>
      <c r="G4" s="456">
        <v>280251024.60584056</v>
      </c>
      <c r="H4" s="456">
        <v>287403249.08621657</v>
      </c>
      <c r="I4" s="456">
        <v>294871324.98995745</v>
      </c>
      <c r="J4" s="456">
        <v>278068711.53800219</v>
      </c>
      <c r="K4" s="456">
        <v>276219281.62307173</v>
      </c>
      <c r="L4" s="456">
        <v>287810507.24077827</v>
      </c>
      <c r="M4" s="456">
        <v>297220663.45697415</v>
      </c>
      <c r="N4" s="457">
        <f>SUM(B4:M4)/12</f>
        <v>286568975.71258837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131375568.84340306</v>
      </c>
      <c r="G5" s="456">
        <v>128120301.16633192</v>
      </c>
      <c r="H5" s="456">
        <v>132741566.45200273</v>
      </c>
      <c r="I5" s="456">
        <v>135174134.72660196</v>
      </c>
      <c r="J5" s="456">
        <v>123053852.60801971</v>
      </c>
      <c r="K5" s="456">
        <v>127393676.93540111</v>
      </c>
      <c r="L5" s="456">
        <v>133776197.88999315</v>
      </c>
      <c r="M5" s="456">
        <v>137528786.12489027</v>
      </c>
      <c r="N5" s="457">
        <f>SUM(B5:M5)/12</f>
        <v>132024159.37313312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116035269.58497599</v>
      </c>
      <c r="G6" s="456">
        <v>116329254.49511206</v>
      </c>
      <c r="H6" s="456">
        <v>119690585.41289341</v>
      </c>
      <c r="I6" s="456">
        <v>124935986.66631274</v>
      </c>
      <c r="J6" s="456">
        <v>120556961.15525174</v>
      </c>
      <c r="K6" s="456">
        <v>114401408.99439159</v>
      </c>
      <c r="L6" s="456">
        <v>118477151.6333124</v>
      </c>
      <c r="M6" s="456">
        <v>122950367.68944396</v>
      </c>
      <c r="N6" s="457">
        <f>SUM(B6:M6)/12</f>
        <v>118285922.0252474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106</v>
      </c>
      <c r="D3" s="466" t="s">
        <v>107</v>
      </c>
      <c r="E3" s="466" t="s">
        <v>108</v>
      </c>
      <c r="F3" s="466" t="s">
        <v>109</v>
      </c>
      <c r="G3" s="466" t="s">
        <v>110</v>
      </c>
      <c r="H3" s="466" t="s">
        <v>111</v>
      </c>
      <c r="I3" s="466" t="s">
        <v>112</v>
      </c>
      <c r="J3" s="466" t="s">
        <v>106</v>
      </c>
      <c r="K3" s="466" t="s">
        <v>107</v>
      </c>
      <c r="L3" s="466" t="s">
        <v>108</v>
      </c>
      <c r="M3" s="466" t="s">
        <v>109</v>
      </c>
      <c r="N3" s="466" t="s">
        <v>110</v>
      </c>
      <c r="O3" s="466" t="s">
        <v>111</v>
      </c>
      <c r="P3" s="466" t="s">
        <v>112</v>
      </c>
      <c r="Q3" s="466" t="s">
        <v>106</v>
      </c>
      <c r="R3" s="466" t="s">
        <v>107</v>
      </c>
      <c r="S3" s="466" t="s">
        <v>108</v>
      </c>
      <c r="T3" s="466" t="s">
        <v>109</v>
      </c>
      <c r="U3" s="466" t="s">
        <v>110</v>
      </c>
      <c r="V3" s="466" t="s">
        <v>111</v>
      </c>
      <c r="W3" s="466" t="s">
        <v>112</v>
      </c>
      <c r="X3" s="466" t="s">
        <v>106</v>
      </c>
      <c r="Y3" s="466" t="s">
        <v>107</v>
      </c>
      <c r="Z3" s="466" t="s">
        <v>108</v>
      </c>
      <c r="AA3" s="466" t="s">
        <v>109</v>
      </c>
      <c r="AB3" s="466" t="s">
        <v>110</v>
      </c>
      <c r="AC3" s="466" t="s">
        <v>111</v>
      </c>
      <c r="AD3" s="466" t="s">
        <v>112</v>
      </c>
      <c r="AE3" s="466" t="s">
        <v>106</v>
      </c>
      <c r="AF3" s="466" t="s">
        <v>107</v>
      </c>
      <c r="AG3" s="466" t="s">
        <v>108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463</v>
      </c>
      <c r="M2" s="1" t="s">
        <v>464</v>
      </c>
      <c r="N2" s="1" t="s">
        <v>465</v>
      </c>
      <c r="O2" s="1" t="s">
        <v>466</v>
      </c>
      <c r="P2" s="1" t="s">
        <v>467</v>
      </c>
      <c r="Q2" s="1" t="s">
        <v>468</v>
      </c>
      <c r="R2" s="1" t="s">
        <v>469</v>
      </c>
      <c r="S2" s="1" t="s">
        <v>470</v>
      </c>
      <c r="T2" s="1" t="s">
        <v>471</v>
      </c>
      <c r="U2" s="1" t="s">
        <v>472</v>
      </c>
      <c r="V2" s="1" t="s">
        <v>473</v>
      </c>
      <c r="W2" s="1" t="s">
        <v>474</v>
      </c>
      <c r="X2" s="1" t="s">
        <v>475</v>
      </c>
      <c r="Y2" s="1" t="s">
        <v>476</v>
      </c>
      <c r="Z2" s="1" t="s">
        <v>477</v>
      </c>
      <c r="AA2" s="306" t="s">
        <v>478</v>
      </c>
      <c r="AB2" s="1" t="s">
        <v>479</v>
      </c>
      <c r="AC2" s="1" t="s">
        <v>480</v>
      </c>
      <c r="AD2" s="1" t="s">
        <v>481</v>
      </c>
      <c r="AE2" s="1" t="s">
        <v>482</v>
      </c>
      <c r="AF2" s="1" t="s">
        <v>483</v>
      </c>
      <c r="AG2" s="1" t="s">
        <v>484</v>
      </c>
      <c r="AH2" s="1" t="s">
        <v>485</v>
      </c>
      <c r="AI2" s="1" t="s">
        <v>486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487</v>
      </c>
      <c r="C3" s="1" t="s">
        <v>488</v>
      </c>
      <c r="D3" s="1" t="s">
        <v>489</v>
      </c>
      <c r="E3" s="1" t="s">
        <v>490</v>
      </c>
      <c r="F3" s="1" t="s">
        <v>491</v>
      </c>
      <c r="G3" s="1" t="s">
        <v>492</v>
      </c>
      <c r="H3" s="1" t="s">
        <v>493</v>
      </c>
      <c r="I3" s="1" t="s">
        <v>494</v>
      </c>
      <c r="J3" s="1" t="s">
        <v>494</v>
      </c>
      <c r="K3" s="1" t="s">
        <v>495</v>
      </c>
      <c r="L3" s="1" t="s">
        <v>496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500</v>
      </c>
      <c r="R3" s="1" t="s">
        <v>501</v>
      </c>
      <c r="S3" s="1" t="s">
        <v>502</v>
      </c>
      <c r="T3" s="1" t="s">
        <v>503</v>
      </c>
      <c r="U3" s="1" t="s">
        <v>504</v>
      </c>
      <c r="V3" s="1" t="s">
        <v>505</v>
      </c>
      <c r="W3" s="1" t="s">
        <v>506</v>
      </c>
      <c r="X3" s="1" t="s">
        <v>507</v>
      </c>
      <c r="Y3" s="1" t="s">
        <v>508</v>
      </c>
      <c r="Z3" s="1" t="s">
        <v>509</v>
      </c>
      <c r="AA3" s="1" t="s">
        <v>510</v>
      </c>
      <c r="AB3" s="1" t="s">
        <v>511</v>
      </c>
      <c r="AC3" s="1" t="s">
        <v>512</v>
      </c>
      <c r="AD3" s="1" t="s">
        <v>513</v>
      </c>
      <c r="AE3" s="1" t="s">
        <v>513</v>
      </c>
      <c r="AF3" s="1" t="s">
        <v>514</v>
      </c>
      <c r="AG3" s="1" t="s">
        <v>515</v>
      </c>
      <c r="AH3" s="1" t="s">
        <v>516</v>
      </c>
      <c r="AI3" s="1" t="s">
        <v>517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518</v>
      </c>
      <c r="C4" s="1" t="s">
        <v>519</v>
      </c>
      <c r="D4" s="1" t="s">
        <v>520</v>
      </c>
      <c r="E4" s="1" t="s">
        <v>521</v>
      </c>
      <c r="F4" s="1" t="s">
        <v>522</v>
      </c>
      <c r="G4" s="1" t="s">
        <v>523</v>
      </c>
      <c r="H4" s="1" t="s">
        <v>524</v>
      </c>
      <c r="I4" s="1" t="s">
        <v>525</v>
      </c>
      <c r="J4" s="1" t="s">
        <v>525</v>
      </c>
      <c r="K4" s="1" t="s">
        <v>526</v>
      </c>
      <c r="L4" s="1" t="s">
        <v>527</v>
      </c>
      <c r="M4" s="1" t="s">
        <v>528</v>
      </c>
      <c r="N4" s="1" t="s">
        <v>529</v>
      </c>
      <c r="O4" s="1" t="s">
        <v>530</v>
      </c>
      <c r="P4" s="1" t="s">
        <v>531</v>
      </c>
      <c r="Q4" s="1" t="s">
        <v>531</v>
      </c>
      <c r="R4" s="1" t="s">
        <v>532</v>
      </c>
      <c r="S4" s="1" t="s">
        <v>533</v>
      </c>
      <c r="T4" s="1" t="s">
        <v>534</v>
      </c>
      <c r="U4" s="1" t="s">
        <v>535</v>
      </c>
      <c r="V4" s="1" t="s">
        <v>536</v>
      </c>
      <c r="W4" s="1" t="s">
        <v>537</v>
      </c>
      <c r="X4" s="1" t="s">
        <v>537</v>
      </c>
      <c r="Y4" s="1" t="s">
        <v>538</v>
      </c>
      <c r="Z4" s="1" t="s">
        <v>539</v>
      </c>
      <c r="AA4" s="1" t="s">
        <v>540</v>
      </c>
      <c r="AB4" s="1" t="s">
        <v>541</v>
      </c>
      <c r="AC4" s="1" t="s">
        <v>542</v>
      </c>
      <c r="AD4" s="1" t="s">
        <v>543</v>
      </c>
      <c r="AE4" s="1" t="s">
        <v>543</v>
      </c>
      <c r="AF4" s="1" t="s">
        <v>544</v>
      </c>
      <c r="AG4" s="1" t="s">
        <v>545</v>
      </c>
      <c r="AH4" s="1" t="s">
        <v>546</v>
      </c>
      <c r="AI4" s="1" t="s">
        <v>547</v>
      </c>
      <c r="AJ4">
        <v>7407477</v>
      </c>
      <c r="AK4" s="465">
        <v>43056.229202361101</v>
      </c>
    </row>
    <row r="5" spans="1:37">
      <c r="A5" s="1" t="s">
        <v>417</v>
      </c>
      <c r="B5" s="1" t="s">
        <v>548</v>
      </c>
      <c r="C5" s="1" t="s">
        <v>549</v>
      </c>
      <c r="D5" s="1" t="s">
        <v>550</v>
      </c>
      <c r="E5" s="1" t="s">
        <v>551</v>
      </c>
      <c r="F5" s="1" t="s">
        <v>552</v>
      </c>
      <c r="G5" s="1" t="s">
        <v>553</v>
      </c>
      <c r="H5" s="1" t="s">
        <v>554</v>
      </c>
      <c r="I5" s="1" t="s">
        <v>555</v>
      </c>
      <c r="J5" s="1" t="s">
        <v>555</v>
      </c>
      <c r="K5" s="1" t="s">
        <v>556</v>
      </c>
      <c r="L5" s="1" t="s">
        <v>557</v>
      </c>
      <c r="M5" s="1" t="s">
        <v>558</v>
      </c>
      <c r="N5" s="1" t="s">
        <v>559</v>
      </c>
      <c r="O5" s="1" t="s">
        <v>560</v>
      </c>
      <c r="P5" s="1" t="s">
        <v>561</v>
      </c>
      <c r="Q5" s="1" t="s">
        <v>561</v>
      </c>
      <c r="R5" s="1" t="s">
        <v>562</v>
      </c>
      <c r="S5" s="1" t="s">
        <v>563</v>
      </c>
      <c r="T5" s="1" t="s">
        <v>564</v>
      </c>
      <c r="U5" s="1" t="s">
        <v>565</v>
      </c>
      <c r="V5" s="1" t="s">
        <v>566</v>
      </c>
      <c r="W5" s="1" t="s">
        <v>567</v>
      </c>
      <c r="X5" s="1" t="s">
        <v>567</v>
      </c>
      <c r="Y5" s="1" t="s">
        <v>568</v>
      </c>
      <c r="Z5" s="1" t="s">
        <v>569</v>
      </c>
      <c r="AA5" s="1" t="s">
        <v>570</v>
      </c>
      <c r="AB5" s="1" t="s">
        <v>571</v>
      </c>
      <c r="AC5" s="1" t="s">
        <v>572</v>
      </c>
      <c r="AD5" s="1" t="s">
        <v>573</v>
      </c>
      <c r="AE5" s="1" t="s">
        <v>573</v>
      </c>
      <c r="AF5" s="1" t="s">
        <v>574</v>
      </c>
      <c r="AG5" s="1" t="s">
        <v>575</v>
      </c>
      <c r="AH5" s="1" t="s">
        <v>576</v>
      </c>
      <c r="AI5" s="1" t="s">
        <v>577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578</v>
      </c>
      <c r="C6" s="1" t="s">
        <v>579</v>
      </c>
      <c r="D6" s="1" t="s">
        <v>580</v>
      </c>
      <c r="E6" s="1" t="s">
        <v>581</v>
      </c>
      <c r="F6" s="1" t="s">
        <v>582</v>
      </c>
      <c r="G6" s="1" t="s">
        <v>583</v>
      </c>
      <c r="H6" s="1" t="s">
        <v>584</v>
      </c>
      <c r="I6" s="1" t="s">
        <v>585</v>
      </c>
      <c r="J6" s="1" t="s">
        <v>586</v>
      </c>
      <c r="K6" s="1" t="s">
        <v>587</v>
      </c>
      <c r="L6" s="1" t="s">
        <v>588</v>
      </c>
      <c r="M6" s="1" t="s">
        <v>589</v>
      </c>
      <c r="N6" s="1" t="s">
        <v>590</v>
      </c>
      <c r="O6" s="1" t="s">
        <v>591</v>
      </c>
      <c r="P6" s="1" t="s">
        <v>592</v>
      </c>
      <c r="Q6" s="1" t="s">
        <v>593</v>
      </c>
      <c r="R6" s="1" t="s">
        <v>594</v>
      </c>
      <c r="S6" s="1" t="s">
        <v>595</v>
      </c>
      <c r="T6" s="1" t="s">
        <v>596</v>
      </c>
      <c r="U6" s="1" t="s">
        <v>597</v>
      </c>
      <c r="V6" s="1" t="s">
        <v>598</v>
      </c>
      <c r="W6" s="1" t="s">
        <v>599</v>
      </c>
      <c r="X6" s="1" t="s">
        <v>600</v>
      </c>
      <c r="Y6" s="1" t="s">
        <v>601</v>
      </c>
      <c r="Z6" s="1" t="s">
        <v>602</v>
      </c>
      <c r="AA6" s="1" t="s">
        <v>603</v>
      </c>
      <c r="AB6" s="1" t="s">
        <v>604</v>
      </c>
      <c r="AC6" s="1" t="s">
        <v>605</v>
      </c>
      <c r="AD6" s="1" t="s">
        <v>606</v>
      </c>
      <c r="AE6" s="1" t="s">
        <v>606</v>
      </c>
      <c r="AF6" s="1" t="s">
        <v>607</v>
      </c>
      <c r="AG6" s="1" t="s">
        <v>608</v>
      </c>
      <c r="AH6" s="1" t="s">
        <v>609</v>
      </c>
      <c r="AI6" s="1" t="s">
        <v>610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 t="s">
        <v>612</v>
      </c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1" t="s">
        <v>612</v>
      </c>
      <c r="AD7" s="1" t="s">
        <v>612</v>
      </c>
      <c r="AE7" s="1" t="s">
        <v>612</v>
      </c>
      <c r="AF7" s="1" t="s">
        <v>612</v>
      </c>
      <c r="AG7" s="1" t="s">
        <v>612</v>
      </c>
      <c r="AH7" s="1" t="s">
        <v>612</v>
      </c>
      <c r="AI7" s="1" t="s">
        <v>612</v>
      </c>
      <c r="AJ7">
        <v>0</v>
      </c>
      <c r="AK7" s="465">
        <v>43056.229202361101</v>
      </c>
    </row>
    <row r="8" spans="1:37">
      <c r="A8" s="1" t="s">
        <v>417</v>
      </c>
      <c r="B8" s="1" t="s">
        <v>613</v>
      </c>
      <c r="C8" s="1" t="s">
        <v>614</v>
      </c>
      <c r="D8" s="1" t="s">
        <v>615</v>
      </c>
      <c r="E8" s="1" t="s">
        <v>616</v>
      </c>
      <c r="F8" s="1" t="s">
        <v>617</v>
      </c>
      <c r="G8" s="1" t="s">
        <v>618</v>
      </c>
      <c r="H8" s="1" t="s">
        <v>619</v>
      </c>
      <c r="I8" s="1" t="s">
        <v>620</v>
      </c>
      <c r="J8" s="1" t="s">
        <v>620</v>
      </c>
      <c r="K8" s="1" t="s">
        <v>621</v>
      </c>
      <c r="L8" s="1" t="s">
        <v>622</v>
      </c>
      <c r="M8" s="1" t="s">
        <v>623</v>
      </c>
      <c r="N8" s="1" t="s">
        <v>624</v>
      </c>
      <c r="O8" s="1" t="s">
        <v>625</v>
      </c>
      <c r="P8" s="1" t="s">
        <v>626</v>
      </c>
      <c r="Q8" s="1" t="s">
        <v>626</v>
      </c>
      <c r="R8" s="1" t="s">
        <v>627</v>
      </c>
      <c r="S8" s="1" t="s">
        <v>628</v>
      </c>
      <c r="T8" s="1" t="s">
        <v>629</v>
      </c>
      <c r="U8" s="1" t="s">
        <v>630</v>
      </c>
      <c r="V8" s="1" t="s">
        <v>631</v>
      </c>
      <c r="W8" s="1" t="s">
        <v>632</v>
      </c>
      <c r="X8" s="1" t="s">
        <v>632</v>
      </c>
      <c r="Y8" s="1" t="s">
        <v>633</v>
      </c>
      <c r="Z8" s="1" t="s">
        <v>634</v>
      </c>
      <c r="AA8" s="1" t="s">
        <v>635</v>
      </c>
      <c r="AB8" s="1" t="s">
        <v>636</v>
      </c>
      <c r="AC8" s="1" t="s">
        <v>637</v>
      </c>
      <c r="AD8" s="1" t="s">
        <v>638</v>
      </c>
      <c r="AE8" s="1" t="s">
        <v>638</v>
      </c>
      <c r="AF8" s="1" t="s">
        <v>639</v>
      </c>
      <c r="AG8" s="1" t="s">
        <v>640</v>
      </c>
      <c r="AH8" s="1" t="s">
        <v>641</v>
      </c>
      <c r="AI8" s="1" t="s">
        <v>642</v>
      </c>
      <c r="AJ8">
        <v>7768697</v>
      </c>
      <c r="AK8" s="465">
        <v>43056.229202361101</v>
      </c>
    </row>
    <row r="9" spans="1:37">
      <c r="A9" s="1" t="s">
        <v>417</v>
      </c>
      <c r="B9" s="1" t="s">
        <v>643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1" t="s">
        <v>612</v>
      </c>
      <c r="AD9" s="1" t="s">
        <v>612</v>
      </c>
      <c r="AE9" s="1" t="s">
        <v>612</v>
      </c>
      <c r="AF9" s="1" t="s">
        <v>612</v>
      </c>
      <c r="AG9" s="1" t="s">
        <v>612</v>
      </c>
      <c r="AH9" s="1" t="s">
        <v>612</v>
      </c>
      <c r="AI9" s="1" t="s">
        <v>612</v>
      </c>
      <c r="AJ9">
        <v>0</v>
      </c>
      <c r="AK9" s="465">
        <v>43056.229202361101</v>
      </c>
    </row>
    <row r="10" spans="1:37">
      <c r="A10" s="1" t="s">
        <v>417</v>
      </c>
      <c r="B10" s="1" t="s">
        <v>644</v>
      </c>
      <c r="C10" s="1" t="s">
        <v>645</v>
      </c>
      <c r="D10" s="1" t="s">
        <v>646</v>
      </c>
      <c r="E10" s="1" t="s">
        <v>647</v>
      </c>
      <c r="F10" s="1" t="s">
        <v>648</v>
      </c>
      <c r="G10" s="1" t="s">
        <v>649</v>
      </c>
      <c r="H10" s="1" t="s">
        <v>650</v>
      </c>
      <c r="I10" s="1" t="s">
        <v>651</v>
      </c>
      <c r="J10" s="1" t="s">
        <v>651</v>
      </c>
      <c r="K10" s="1" t="s">
        <v>652</v>
      </c>
      <c r="L10" s="1" t="s">
        <v>653</v>
      </c>
      <c r="M10" s="1" t="s">
        <v>654</v>
      </c>
      <c r="N10" s="1" t="s">
        <v>655</v>
      </c>
      <c r="O10" s="1" t="s">
        <v>656</v>
      </c>
      <c r="P10" s="1" t="s">
        <v>657</v>
      </c>
      <c r="Q10" s="1" t="s">
        <v>657</v>
      </c>
      <c r="R10" s="1" t="s">
        <v>658</v>
      </c>
      <c r="S10" s="1" t="s">
        <v>659</v>
      </c>
      <c r="T10" s="1" t="s">
        <v>660</v>
      </c>
      <c r="U10" s="1" t="s">
        <v>661</v>
      </c>
      <c r="V10" s="1" t="s">
        <v>661</v>
      </c>
      <c r="W10" s="1" t="s">
        <v>662</v>
      </c>
      <c r="X10" s="1" t="s">
        <v>662</v>
      </c>
      <c r="Y10" s="1" t="s">
        <v>663</v>
      </c>
      <c r="Z10" s="1" t="s">
        <v>664</v>
      </c>
      <c r="AA10" s="1" t="s">
        <v>665</v>
      </c>
      <c r="AB10" s="1" t="s">
        <v>666</v>
      </c>
      <c r="AC10" s="1" t="s">
        <v>667</v>
      </c>
      <c r="AD10" s="1" t="s">
        <v>668</v>
      </c>
      <c r="AE10" s="1" t="s">
        <v>668</v>
      </c>
      <c r="AF10" s="1" t="s">
        <v>669</v>
      </c>
      <c r="AG10" s="1" t="s">
        <v>670</v>
      </c>
      <c r="AH10" s="1" t="s">
        <v>671</v>
      </c>
      <c r="AI10" s="1" t="s">
        <v>672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673</v>
      </c>
      <c r="C11" s="1" t="s">
        <v>674</v>
      </c>
      <c r="D11" s="1" t="s">
        <v>674</v>
      </c>
      <c r="E11" s="1" t="s">
        <v>674</v>
      </c>
      <c r="F11" s="1" t="s">
        <v>674</v>
      </c>
      <c r="G11" s="1" t="s">
        <v>674</v>
      </c>
      <c r="H11" s="1" t="s">
        <v>674</v>
      </c>
      <c r="I11" s="1" t="s">
        <v>674</v>
      </c>
      <c r="J11" s="1" t="s">
        <v>674</v>
      </c>
      <c r="K11" s="1" t="s">
        <v>674</v>
      </c>
      <c r="L11" s="1" t="s">
        <v>674</v>
      </c>
      <c r="M11" s="1" t="s">
        <v>674</v>
      </c>
      <c r="N11" s="1" t="s">
        <v>674</v>
      </c>
      <c r="O11" s="1" t="s">
        <v>674</v>
      </c>
      <c r="P11" s="1" t="s">
        <v>674</v>
      </c>
      <c r="Q11" s="1" t="s">
        <v>674</v>
      </c>
      <c r="R11" s="1" t="s">
        <v>674</v>
      </c>
      <c r="S11" s="1" t="s">
        <v>674</v>
      </c>
      <c r="T11" s="1" t="s">
        <v>674</v>
      </c>
      <c r="U11" s="1" t="s">
        <v>674</v>
      </c>
      <c r="V11" s="1" t="s">
        <v>674</v>
      </c>
      <c r="W11" s="1" t="s">
        <v>674</v>
      </c>
      <c r="X11" s="1" t="s">
        <v>674</v>
      </c>
      <c r="Y11" s="1" t="s">
        <v>674</v>
      </c>
      <c r="Z11" s="1" t="s">
        <v>674</v>
      </c>
      <c r="AA11" s="1" t="s">
        <v>674</v>
      </c>
      <c r="AB11" s="1" t="s">
        <v>674</v>
      </c>
      <c r="AC11" s="1" t="s">
        <v>675</v>
      </c>
      <c r="AD11" s="1" t="s">
        <v>675</v>
      </c>
      <c r="AE11" s="1" t="s">
        <v>675</v>
      </c>
      <c r="AF11" s="1" t="s">
        <v>674</v>
      </c>
      <c r="AG11" s="1" t="s">
        <v>674</v>
      </c>
      <c r="AH11" s="1" t="s">
        <v>612</v>
      </c>
      <c r="AI11" s="1" t="s">
        <v>676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677</v>
      </c>
      <c r="C12" s="1" t="s">
        <v>612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678</v>
      </c>
      <c r="M12" s="1" t="s">
        <v>678</v>
      </c>
      <c r="N12" s="1" t="s">
        <v>678</v>
      </c>
      <c r="O12" s="1" t="s">
        <v>679</v>
      </c>
      <c r="P12" s="1" t="s">
        <v>679</v>
      </c>
      <c r="Q12" s="1" t="s">
        <v>679</v>
      </c>
      <c r="R12" s="1" t="s">
        <v>679</v>
      </c>
      <c r="S12" s="1" t="s">
        <v>679</v>
      </c>
      <c r="T12" s="1" t="s">
        <v>680</v>
      </c>
      <c r="U12" s="1" t="s">
        <v>680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1" t="s">
        <v>612</v>
      </c>
      <c r="AD12" s="1" t="s">
        <v>612</v>
      </c>
      <c r="AE12" s="1" t="s">
        <v>612</v>
      </c>
      <c r="AF12" s="1" t="s">
        <v>612</v>
      </c>
      <c r="AG12" s="1" t="s">
        <v>612</v>
      </c>
      <c r="AH12" s="1" t="s">
        <v>612</v>
      </c>
      <c r="AI12" s="1" t="s">
        <v>681</v>
      </c>
      <c r="AJ12">
        <v>0</v>
      </c>
      <c r="AK12" s="465">
        <v>43056.229202361101</v>
      </c>
    </row>
    <row r="13" spans="1:37">
      <c r="A13" s="1" t="s">
        <v>417</v>
      </c>
      <c r="B13" s="1" t="s">
        <v>682</v>
      </c>
      <c r="C13" s="1" t="s">
        <v>683</v>
      </c>
      <c r="D13" s="1" t="s">
        <v>684</v>
      </c>
      <c r="E13" s="1" t="s">
        <v>685</v>
      </c>
      <c r="F13" s="1" t="s">
        <v>686</v>
      </c>
      <c r="G13" s="1" t="s">
        <v>687</v>
      </c>
      <c r="H13" s="1" t="s">
        <v>688</v>
      </c>
      <c r="I13" s="1" t="s">
        <v>689</v>
      </c>
      <c r="J13" s="1" t="s">
        <v>689</v>
      </c>
      <c r="K13" s="1" t="s">
        <v>690</v>
      </c>
      <c r="L13" s="1" t="s">
        <v>691</v>
      </c>
      <c r="M13" s="1" t="s">
        <v>692</v>
      </c>
      <c r="N13" s="1" t="s">
        <v>693</v>
      </c>
      <c r="O13" s="1" t="s">
        <v>694</v>
      </c>
      <c r="P13" s="1" t="s">
        <v>695</v>
      </c>
      <c r="Q13" s="1" t="s">
        <v>695</v>
      </c>
      <c r="R13" s="1" t="s">
        <v>696</v>
      </c>
      <c r="S13" s="1" t="s">
        <v>697</v>
      </c>
      <c r="T13" s="1" t="s">
        <v>698</v>
      </c>
      <c r="U13" s="1" t="s">
        <v>699</v>
      </c>
      <c r="V13" s="1" t="s">
        <v>700</v>
      </c>
      <c r="W13" s="1" t="s">
        <v>701</v>
      </c>
      <c r="X13" s="1" t="s">
        <v>701</v>
      </c>
      <c r="Y13" s="1" t="s">
        <v>702</v>
      </c>
      <c r="Z13" s="1" t="s">
        <v>703</v>
      </c>
      <c r="AA13" s="1" t="s">
        <v>704</v>
      </c>
      <c r="AB13" s="1" t="s">
        <v>705</v>
      </c>
      <c r="AC13" s="1" t="s">
        <v>706</v>
      </c>
      <c r="AD13" s="1" t="s">
        <v>707</v>
      </c>
      <c r="AE13" s="1" t="s">
        <v>707</v>
      </c>
      <c r="AF13" s="1" t="s">
        <v>708</v>
      </c>
      <c r="AG13" s="1" t="s">
        <v>709</v>
      </c>
      <c r="AH13" s="1" t="s">
        <v>710</v>
      </c>
      <c r="AI13" s="1" t="s">
        <v>711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712</v>
      </c>
      <c r="C14" s="1" t="s">
        <v>713</v>
      </c>
      <c r="D14" s="1" t="s">
        <v>714</v>
      </c>
      <c r="E14" s="1" t="s">
        <v>715</v>
      </c>
      <c r="F14" s="1" t="s">
        <v>716</v>
      </c>
      <c r="G14" s="1" t="s">
        <v>717</v>
      </c>
      <c r="H14" s="1" t="s">
        <v>717</v>
      </c>
      <c r="I14" s="1" t="s">
        <v>717</v>
      </c>
      <c r="J14" s="1" t="s">
        <v>717</v>
      </c>
      <c r="K14" s="1" t="s">
        <v>718</v>
      </c>
      <c r="L14" s="1" t="s">
        <v>719</v>
      </c>
      <c r="M14" s="1" t="s">
        <v>720</v>
      </c>
      <c r="N14" s="1" t="s">
        <v>721</v>
      </c>
      <c r="O14" s="1" t="s">
        <v>722</v>
      </c>
      <c r="P14" s="1" t="s">
        <v>723</v>
      </c>
      <c r="Q14" s="1" t="s">
        <v>723</v>
      </c>
      <c r="R14" s="1" t="s">
        <v>724</v>
      </c>
      <c r="S14" s="1" t="s">
        <v>725</v>
      </c>
      <c r="T14" s="1" t="s">
        <v>726</v>
      </c>
      <c r="U14" s="1" t="s">
        <v>727</v>
      </c>
      <c r="V14" s="1" t="s">
        <v>728</v>
      </c>
      <c r="W14" s="1" t="s">
        <v>729</v>
      </c>
      <c r="X14" s="1" t="s">
        <v>729</v>
      </c>
      <c r="Y14" s="1" t="s">
        <v>730</v>
      </c>
      <c r="Z14" s="1" t="s">
        <v>731</v>
      </c>
      <c r="AA14" s="1" t="s">
        <v>731</v>
      </c>
      <c r="AB14" s="1" t="s">
        <v>732</v>
      </c>
      <c r="AC14" s="1" t="s">
        <v>733</v>
      </c>
      <c r="AD14" s="1" t="s">
        <v>734</v>
      </c>
      <c r="AE14" s="1" t="s">
        <v>734</v>
      </c>
      <c r="AF14" s="1" t="s">
        <v>735</v>
      </c>
      <c r="AG14" s="1" t="s">
        <v>736</v>
      </c>
      <c r="AH14" s="1" t="s">
        <v>737</v>
      </c>
      <c r="AI14" s="1" t="s">
        <v>738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739</v>
      </c>
      <c r="C15" s="1" t="s">
        <v>740</v>
      </c>
      <c r="D15" s="1" t="s">
        <v>741</v>
      </c>
      <c r="E15" s="1" t="s">
        <v>742</v>
      </c>
      <c r="F15" s="1" t="s">
        <v>742</v>
      </c>
      <c r="G15" s="1" t="s">
        <v>743</v>
      </c>
      <c r="H15" s="1" t="s">
        <v>743</v>
      </c>
      <c r="I15" s="1" t="s">
        <v>744</v>
      </c>
      <c r="J15" s="1" t="s">
        <v>744</v>
      </c>
      <c r="K15" s="1" t="s">
        <v>745</v>
      </c>
      <c r="L15" s="1" t="s">
        <v>745</v>
      </c>
      <c r="M15" s="1" t="s">
        <v>745</v>
      </c>
      <c r="N15" s="1" t="s">
        <v>746</v>
      </c>
      <c r="O15" s="1" t="s">
        <v>747</v>
      </c>
      <c r="P15" s="1" t="s">
        <v>748</v>
      </c>
      <c r="Q15" s="1" t="s">
        <v>748</v>
      </c>
      <c r="R15" s="1" t="s">
        <v>748</v>
      </c>
      <c r="S15" s="1" t="s">
        <v>749</v>
      </c>
      <c r="T15" s="1" t="s">
        <v>750</v>
      </c>
      <c r="U15" s="1" t="s">
        <v>751</v>
      </c>
      <c r="V15" s="1" t="s">
        <v>752</v>
      </c>
      <c r="W15" s="1" t="s">
        <v>753</v>
      </c>
      <c r="X15" s="1" t="s">
        <v>753</v>
      </c>
      <c r="Y15" s="1" t="s">
        <v>753</v>
      </c>
      <c r="Z15" s="1" t="s">
        <v>754</v>
      </c>
      <c r="AA15" s="1" t="s">
        <v>755</v>
      </c>
      <c r="AB15" s="1" t="s">
        <v>756</v>
      </c>
      <c r="AC15" s="1" t="s">
        <v>756</v>
      </c>
      <c r="AD15" s="1" t="s">
        <v>757</v>
      </c>
      <c r="AE15" s="1" t="s">
        <v>757</v>
      </c>
      <c r="AF15" s="1" t="s">
        <v>758</v>
      </c>
      <c r="AG15" s="1" t="s">
        <v>759</v>
      </c>
      <c r="AH15" s="1" t="s">
        <v>760</v>
      </c>
      <c r="AI15" s="1" t="s">
        <v>761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762</v>
      </c>
      <c r="C16" s="1" t="s">
        <v>763</v>
      </c>
      <c r="D16" s="1" t="s">
        <v>764</v>
      </c>
      <c r="E16" s="1" t="s">
        <v>765</v>
      </c>
      <c r="F16" s="1" t="s">
        <v>766</v>
      </c>
      <c r="G16" s="1" t="s">
        <v>767</v>
      </c>
      <c r="H16" s="1" t="s">
        <v>768</v>
      </c>
      <c r="I16" s="1" t="s">
        <v>769</v>
      </c>
      <c r="J16" s="1" t="s">
        <v>769</v>
      </c>
      <c r="K16" s="1" t="s">
        <v>770</v>
      </c>
      <c r="L16" s="1" t="s">
        <v>771</v>
      </c>
      <c r="M16" s="1" t="s">
        <v>772</v>
      </c>
      <c r="N16" s="1" t="s">
        <v>773</v>
      </c>
      <c r="O16" s="1" t="s">
        <v>774</v>
      </c>
      <c r="P16" s="1" t="s">
        <v>775</v>
      </c>
      <c r="Q16" s="1" t="s">
        <v>775</v>
      </c>
      <c r="R16" s="1" t="s">
        <v>776</v>
      </c>
      <c r="S16" s="1" t="s">
        <v>777</v>
      </c>
      <c r="T16" s="1" t="s">
        <v>778</v>
      </c>
      <c r="U16" s="1" t="s">
        <v>779</v>
      </c>
      <c r="V16" s="1" t="s">
        <v>780</v>
      </c>
      <c r="W16" s="1" t="s">
        <v>781</v>
      </c>
      <c r="X16" s="1" t="s">
        <v>781</v>
      </c>
      <c r="Y16" s="1" t="s">
        <v>782</v>
      </c>
      <c r="Z16" s="1" t="s">
        <v>783</v>
      </c>
      <c r="AA16" s="1" t="s">
        <v>784</v>
      </c>
      <c r="AB16" s="1" t="s">
        <v>785</v>
      </c>
      <c r="AC16" s="1" t="s">
        <v>786</v>
      </c>
      <c r="AD16" s="1" t="s">
        <v>787</v>
      </c>
      <c r="AE16" s="1" t="s">
        <v>787</v>
      </c>
      <c r="AF16" s="1" t="s">
        <v>788</v>
      </c>
      <c r="AG16" s="1" t="s">
        <v>789</v>
      </c>
      <c r="AH16" s="1" t="s">
        <v>790</v>
      </c>
      <c r="AI16" s="1" t="s">
        <v>791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792</v>
      </c>
      <c r="C17" s="1" t="s">
        <v>793</v>
      </c>
      <c r="D17" s="1" t="s">
        <v>794</v>
      </c>
      <c r="E17" s="1" t="s">
        <v>795</v>
      </c>
      <c r="F17" s="1" t="s">
        <v>796</v>
      </c>
      <c r="G17" s="1" t="s">
        <v>797</v>
      </c>
      <c r="H17" s="1" t="s">
        <v>798</v>
      </c>
      <c r="I17" s="1" t="s">
        <v>799</v>
      </c>
      <c r="J17" s="1" t="s">
        <v>799</v>
      </c>
      <c r="K17" s="1" t="s">
        <v>800</v>
      </c>
      <c r="L17" s="1" t="s">
        <v>801</v>
      </c>
      <c r="M17" s="1" t="s">
        <v>802</v>
      </c>
      <c r="N17" s="1" t="s">
        <v>803</v>
      </c>
      <c r="O17" s="1" t="s">
        <v>804</v>
      </c>
      <c r="P17" s="1" t="s">
        <v>805</v>
      </c>
      <c r="Q17" s="1" t="s">
        <v>805</v>
      </c>
      <c r="R17" s="1" t="s">
        <v>806</v>
      </c>
      <c r="S17" s="1" t="s">
        <v>807</v>
      </c>
      <c r="T17" s="1" t="s">
        <v>808</v>
      </c>
      <c r="U17" s="1" t="s">
        <v>809</v>
      </c>
      <c r="V17" s="1" t="s">
        <v>810</v>
      </c>
      <c r="W17" s="1" t="s">
        <v>811</v>
      </c>
      <c r="X17" s="1" t="s">
        <v>812</v>
      </c>
      <c r="Y17" s="1" t="s">
        <v>813</v>
      </c>
      <c r="Z17" s="1" t="s">
        <v>814</v>
      </c>
      <c r="AA17" s="1" t="s">
        <v>815</v>
      </c>
      <c r="AB17" s="1" t="s">
        <v>816</v>
      </c>
      <c r="AC17" s="1" t="s">
        <v>817</v>
      </c>
      <c r="AD17" s="1" t="s">
        <v>818</v>
      </c>
      <c r="AE17" s="1" t="s">
        <v>818</v>
      </c>
      <c r="AF17" s="1" t="s">
        <v>819</v>
      </c>
      <c r="AG17" s="1" t="s">
        <v>820</v>
      </c>
      <c r="AH17" s="1" t="s">
        <v>821</v>
      </c>
      <c r="AI17" s="1" t="s">
        <v>822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823</v>
      </c>
      <c r="C18" s="1" t="s">
        <v>824</v>
      </c>
      <c r="D18" s="1" t="s">
        <v>825</v>
      </c>
      <c r="E18" s="1" t="s">
        <v>826</v>
      </c>
      <c r="F18" s="1" t="s">
        <v>827</v>
      </c>
      <c r="G18" s="1" t="s">
        <v>828</v>
      </c>
      <c r="H18" s="1" t="s">
        <v>829</v>
      </c>
      <c r="I18" s="1" t="s">
        <v>830</v>
      </c>
      <c r="J18" s="1" t="s">
        <v>830</v>
      </c>
      <c r="K18" s="1" t="s">
        <v>831</v>
      </c>
      <c r="L18" s="1" t="s">
        <v>832</v>
      </c>
      <c r="M18" s="1" t="s">
        <v>833</v>
      </c>
      <c r="N18" s="1" t="s">
        <v>834</v>
      </c>
      <c r="O18" s="1" t="s">
        <v>835</v>
      </c>
      <c r="P18" s="1" t="s">
        <v>836</v>
      </c>
      <c r="Q18" s="1" t="s">
        <v>836</v>
      </c>
      <c r="R18" s="1" t="s">
        <v>837</v>
      </c>
      <c r="S18" s="1" t="s">
        <v>838</v>
      </c>
      <c r="T18" s="1" t="s">
        <v>839</v>
      </c>
      <c r="U18" s="1" t="s">
        <v>840</v>
      </c>
      <c r="V18" s="1" t="s">
        <v>841</v>
      </c>
      <c r="W18" s="1" t="s">
        <v>842</v>
      </c>
      <c r="X18" s="1" t="s">
        <v>842</v>
      </c>
      <c r="Y18" s="1" t="s">
        <v>843</v>
      </c>
      <c r="Z18" s="1" t="s">
        <v>844</v>
      </c>
      <c r="AA18" s="1" t="s">
        <v>845</v>
      </c>
      <c r="AB18" s="1" t="s">
        <v>846</v>
      </c>
      <c r="AC18" s="1" t="s">
        <v>847</v>
      </c>
      <c r="AD18" s="1" t="s">
        <v>848</v>
      </c>
      <c r="AE18" s="1" t="s">
        <v>848</v>
      </c>
      <c r="AF18" s="1" t="s">
        <v>849</v>
      </c>
      <c r="AG18" s="1" t="s">
        <v>850</v>
      </c>
      <c r="AH18" s="1" t="s">
        <v>851</v>
      </c>
      <c r="AI18" s="1" t="s">
        <v>852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853</v>
      </c>
      <c r="C19" s="1" t="s">
        <v>854</v>
      </c>
      <c r="D19" s="1" t="s">
        <v>854</v>
      </c>
      <c r="E19" s="1" t="s">
        <v>854</v>
      </c>
      <c r="F19" s="1" t="s">
        <v>854</v>
      </c>
      <c r="G19" s="1" t="s">
        <v>854</v>
      </c>
      <c r="H19" s="1" t="s">
        <v>854</v>
      </c>
      <c r="I19" s="1" t="s">
        <v>854</v>
      </c>
      <c r="J19" s="1" t="s">
        <v>854</v>
      </c>
      <c r="K19" s="1" t="s">
        <v>854</v>
      </c>
      <c r="L19" s="1" t="s">
        <v>854</v>
      </c>
      <c r="M19" s="1" t="s">
        <v>854</v>
      </c>
      <c r="N19" s="1" t="s">
        <v>854</v>
      </c>
      <c r="O19" s="1" t="s">
        <v>854</v>
      </c>
      <c r="P19" s="1" t="s">
        <v>854</v>
      </c>
      <c r="Q19" s="1" t="s">
        <v>854</v>
      </c>
      <c r="R19" s="1" t="s">
        <v>854</v>
      </c>
      <c r="S19" s="1" t="s">
        <v>854</v>
      </c>
      <c r="T19" s="1" t="s">
        <v>854</v>
      </c>
      <c r="U19" s="1" t="s">
        <v>854</v>
      </c>
      <c r="V19" s="1" t="s">
        <v>854</v>
      </c>
      <c r="W19" s="1" t="s">
        <v>854</v>
      </c>
      <c r="X19" s="1" t="s">
        <v>854</v>
      </c>
      <c r="Y19" s="1" t="s">
        <v>854</v>
      </c>
      <c r="Z19" s="1" t="s">
        <v>854</v>
      </c>
      <c r="AA19" s="1" t="s">
        <v>854</v>
      </c>
      <c r="AB19" s="1" t="s">
        <v>854</v>
      </c>
      <c r="AC19" s="1" t="s">
        <v>854</v>
      </c>
      <c r="AD19" s="1" t="s">
        <v>854</v>
      </c>
      <c r="AE19" s="1" t="s">
        <v>854</v>
      </c>
      <c r="AF19" s="1" t="s">
        <v>854</v>
      </c>
      <c r="AG19" s="1" t="s">
        <v>854</v>
      </c>
      <c r="AH19" s="1" t="s">
        <v>612</v>
      </c>
      <c r="AI19" s="1" t="s">
        <v>854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855</v>
      </c>
      <c r="C20" s="1" t="s">
        <v>856</v>
      </c>
      <c r="D20" s="1" t="s">
        <v>856</v>
      </c>
      <c r="E20" s="1" t="s">
        <v>856</v>
      </c>
      <c r="F20" s="1" t="s">
        <v>856</v>
      </c>
      <c r="G20" s="1" t="s">
        <v>856</v>
      </c>
      <c r="H20" s="1" t="s">
        <v>856</v>
      </c>
      <c r="I20" s="1" t="s">
        <v>856</v>
      </c>
      <c r="J20" s="1" t="s">
        <v>856</v>
      </c>
      <c r="K20" s="1" t="s">
        <v>856</v>
      </c>
      <c r="L20" s="1" t="s">
        <v>856</v>
      </c>
      <c r="M20" s="1" t="s">
        <v>856</v>
      </c>
      <c r="N20" s="1" t="s">
        <v>856</v>
      </c>
      <c r="O20" s="1" t="s">
        <v>856</v>
      </c>
      <c r="P20" s="1" t="s">
        <v>856</v>
      </c>
      <c r="Q20" s="1" t="s">
        <v>856</v>
      </c>
      <c r="R20" s="1" t="s">
        <v>856</v>
      </c>
      <c r="S20" s="1" t="s">
        <v>856</v>
      </c>
      <c r="T20" s="1" t="s">
        <v>856</v>
      </c>
      <c r="U20" s="1" t="s">
        <v>856</v>
      </c>
      <c r="V20" s="1" t="s">
        <v>856</v>
      </c>
      <c r="W20" s="1" t="s">
        <v>856</v>
      </c>
      <c r="X20" s="1" t="s">
        <v>856</v>
      </c>
      <c r="Y20" s="1" t="s">
        <v>856</v>
      </c>
      <c r="Z20" s="1" t="s">
        <v>856</v>
      </c>
      <c r="AA20" s="1" t="s">
        <v>856</v>
      </c>
      <c r="AB20" s="1" t="s">
        <v>856</v>
      </c>
      <c r="AC20" s="1" t="s">
        <v>856</v>
      </c>
      <c r="AD20" s="1" t="s">
        <v>856</v>
      </c>
      <c r="AE20" s="1" t="s">
        <v>856</v>
      </c>
      <c r="AF20" s="1" t="s">
        <v>856</v>
      </c>
      <c r="AG20" s="1" t="s">
        <v>856</v>
      </c>
      <c r="AH20" s="1" t="s">
        <v>612</v>
      </c>
      <c r="AI20" s="1" t="s">
        <v>856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857</v>
      </c>
      <c r="C21" s="1" t="s">
        <v>858</v>
      </c>
      <c r="D21" s="1" t="s">
        <v>858</v>
      </c>
      <c r="E21" s="1" t="s">
        <v>859</v>
      </c>
      <c r="F21" s="1" t="s">
        <v>860</v>
      </c>
      <c r="G21" s="1" t="s">
        <v>860</v>
      </c>
      <c r="H21" s="1" t="s">
        <v>860</v>
      </c>
      <c r="I21" s="1" t="s">
        <v>860</v>
      </c>
      <c r="J21" s="1" t="s">
        <v>860</v>
      </c>
      <c r="K21" s="1" t="s">
        <v>860</v>
      </c>
      <c r="L21" s="1" t="s">
        <v>860</v>
      </c>
      <c r="M21" s="1" t="s">
        <v>860</v>
      </c>
      <c r="N21" s="1" t="s">
        <v>861</v>
      </c>
      <c r="O21" s="1" t="s">
        <v>862</v>
      </c>
      <c r="P21" s="1" t="s">
        <v>862</v>
      </c>
      <c r="Q21" s="1" t="s">
        <v>862</v>
      </c>
      <c r="R21" s="1" t="s">
        <v>862</v>
      </c>
      <c r="S21" s="1" t="s">
        <v>862</v>
      </c>
      <c r="T21" s="1" t="s">
        <v>862</v>
      </c>
      <c r="U21" s="1" t="s">
        <v>862</v>
      </c>
      <c r="V21" s="1" t="s">
        <v>862</v>
      </c>
      <c r="W21" s="1" t="s">
        <v>862</v>
      </c>
      <c r="X21" s="1" t="s">
        <v>862</v>
      </c>
      <c r="Y21" s="1" t="s">
        <v>863</v>
      </c>
      <c r="Z21" s="1" t="s">
        <v>863</v>
      </c>
      <c r="AA21" s="1" t="s">
        <v>863</v>
      </c>
      <c r="AB21" s="1" t="s">
        <v>863</v>
      </c>
      <c r="AC21" s="1" t="s">
        <v>863</v>
      </c>
      <c r="AD21" s="1" t="s">
        <v>863</v>
      </c>
      <c r="AE21" s="1" t="s">
        <v>863</v>
      </c>
      <c r="AF21" s="1" t="s">
        <v>863</v>
      </c>
      <c r="AG21" s="1" t="s">
        <v>864</v>
      </c>
      <c r="AH21" s="1" t="s">
        <v>865</v>
      </c>
      <c r="AI21" s="1" t="s">
        <v>866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867</v>
      </c>
      <c r="C22" s="1" t="s">
        <v>612</v>
      </c>
      <c r="D22" s="1" t="s">
        <v>612</v>
      </c>
      <c r="E22" s="1" t="s">
        <v>612</v>
      </c>
      <c r="F22" s="1" t="s">
        <v>612</v>
      </c>
      <c r="G22" s="1" t="s">
        <v>612</v>
      </c>
      <c r="H22" s="1" t="s">
        <v>612</v>
      </c>
      <c r="I22" s="1" t="s">
        <v>612</v>
      </c>
      <c r="J22" s="1" t="s">
        <v>612</v>
      </c>
      <c r="K22" s="1" t="s">
        <v>612</v>
      </c>
      <c r="L22" s="1" t="s">
        <v>612</v>
      </c>
      <c r="M22" s="1" t="s">
        <v>612</v>
      </c>
      <c r="N22" s="1" t="s">
        <v>612</v>
      </c>
      <c r="O22" s="1" t="s">
        <v>612</v>
      </c>
      <c r="P22" s="1" t="s">
        <v>612</v>
      </c>
      <c r="Q22" s="1" t="s">
        <v>612</v>
      </c>
      <c r="R22" s="1" t="s">
        <v>612</v>
      </c>
      <c r="S22" s="1" t="s">
        <v>612</v>
      </c>
      <c r="T22" s="1" t="s">
        <v>612</v>
      </c>
      <c r="U22" s="1" t="s">
        <v>612</v>
      </c>
      <c r="V22" s="1" t="s">
        <v>612</v>
      </c>
      <c r="W22" s="1" t="s">
        <v>612</v>
      </c>
      <c r="X22" s="1" t="s">
        <v>612</v>
      </c>
      <c r="Y22" s="1" t="s">
        <v>612</v>
      </c>
      <c r="Z22" s="1" t="s">
        <v>612</v>
      </c>
      <c r="AA22" s="1" t="s">
        <v>612</v>
      </c>
      <c r="AB22" s="1" t="s">
        <v>612</v>
      </c>
      <c r="AC22" s="1" t="s">
        <v>612</v>
      </c>
      <c r="AD22" s="1" t="s">
        <v>612</v>
      </c>
      <c r="AE22" s="1" t="s">
        <v>612</v>
      </c>
      <c r="AF22" s="1" t="s">
        <v>612</v>
      </c>
      <c r="AG22" s="1" t="s">
        <v>612</v>
      </c>
      <c r="AH22" s="1" t="s">
        <v>612</v>
      </c>
      <c r="AI22" s="1" t="s">
        <v>612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868</v>
      </c>
      <c r="C23" s="1" t="s">
        <v>612</v>
      </c>
      <c r="D23" s="1" t="s">
        <v>612</v>
      </c>
      <c r="E23" s="1" t="s">
        <v>612</v>
      </c>
      <c r="F23" s="1" t="s">
        <v>612</v>
      </c>
      <c r="G23" s="1" t="s">
        <v>612</v>
      </c>
      <c r="H23" s="1" t="s">
        <v>612</v>
      </c>
      <c r="I23" s="1" t="s">
        <v>612</v>
      </c>
      <c r="J23" s="1" t="s">
        <v>612</v>
      </c>
      <c r="K23" s="1" t="s">
        <v>612</v>
      </c>
      <c r="L23" s="1" t="s">
        <v>612</v>
      </c>
      <c r="M23" s="1" t="s">
        <v>612</v>
      </c>
      <c r="N23" s="1" t="s">
        <v>612</v>
      </c>
      <c r="O23" s="1" t="s">
        <v>612</v>
      </c>
      <c r="P23" s="1" t="s">
        <v>612</v>
      </c>
      <c r="Q23" s="1" t="s">
        <v>612</v>
      </c>
      <c r="R23" s="1" t="s">
        <v>612</v>
      </c>
      <c r="S23" s="1" t="s">
        <v>612</v>
      </c>
      <c r="T23" s="1" t="s">
        <v>612</v>
      </c>
      <c r="U23" s="1" t="s">
        <v>612</v>
      </c>
      <c r="V23" s="1" t="s">
        <v>612</v>
      </c>
      <c r="W23" s="1" t="s">
        <v>612</v>
      </c>
      <c r="X23" s="1" t="s">
        <v>612</v>
      </c>
      <c r="Y23" s="1" t="s">
        <v>612</v>
      </c>
      <c r="Z23" s="1" t="s">
        <v>612</v>
      </c>
      <c r="AA23" s="1" t="s">
        <v>612</v>
      </c>
      <c r="AB23" s="1" t="s">
        <v>612</v>
      </c>
      <c r="AC23" s="1" t="s">
        <v>612</v>
      </c>
      <c r="AD23" s="1" t="s">
        <v>612</v>
      </c>
      <c r="AE23" s="1" t="s">
        <v>612</v>
      </c>
      <c r="AF23" s="1" t="s">
        <v>612</v>
      </c>
      <c r="AG23" s="1" t="s">
        <v>612</v>
      </c>
      <c r="AH23" s="1" t="s">
        <v>612</v>
      </c>
      <c r="AI23" s="1" t="s">
        <v>612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869</v>
      </c>
      <c r="C24" s="1" t="s">
        <v>870</v>
      </c>
      <c r="D24" s="1" t="s">
        <v>871</v>
      </c>
      <c r="E24" s="1" t="s">
        <v>872</v>
      </c>
      <c r="F24" s="1" t="s">
        <v>873</v>
      </c>
      <c r="G24" s="1" t="s">
        <v>874</v>
      </c>
      <c r="H24" s="1" t="s">
        <v>875</v>
      </c>
      <c r="I24" s="1" t="s">
        <v>876</v>
      </c>
      <c r="J24" s="1" t="s">
        <v>876</v>
      </c>
      <c r="K24" s="1" t="s">
        <v>877</v>
      </c>
      <c r="L24" s="1" t="s">
        <v>878</v>
      </c>
      <c r="M24" s="1" t="s">
        <v>879</v>
      </c>
      <c r="N24" s="1" t="s">
        <v>880</v>
      </c>
      <c r="O24" s="1" t="s">
        <v>881</v>
      </c>
      <c r="P24" s="1" t="s">
        <v>882</v>
      </c>
      <c r="Q24" s="1" t="s">
        <v>882</v>
      </c>
      <c r="R24" s="1" t="s">
        <v>883</v>
      </c>
      <c r="S24" s="1" t="s">
        <v>884</v>
      </c>
      <c r="T24" s="1" t="s">
        <v>885</v>
      </c>
      <c r="U24" s="1" t="s">
        <v>886</v>
      </c>
      <c r="V24" s="1" t="s">
        <v>887</v>
      </c>
      <c r="W24" s="1" t="s">
        <v>888</v>
      </c>
      <c r="X24" s="1" t="s">
        <v>888</v>
      </c>
      <c r="Y24" s="1" t="s">
        <v>889</v>
      </c>
      <c r="Z24" s="1" t="s">
        <v>890</v>
      </c>
      <c r="AA24" s="1" t="s">
        <v>891</v>
      </c>
      <c r="AB24" s="1" t="s">
        <v>892</v>
      </c>
      <c r="AC24" s="1" t="s">
        <v>893</v>
      </c>
      <c r="AD24" s="1" t="s">
        <v>894</v>
      </c>
      <c r="AE24" s="1" t="s">
        <v>895</v>
      </c>
      <c r="AF24" s="1" t="s">
        <v>896</v>
      </c>
      <c r="AG24" s="1" t="s">
        <v>897</v>
      </c>
      <c r="AH24" s="1" t="s">
        <v>898</v>
      </c>
      <c r="AI24" s="1" t="s">
        <v>899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900</v>
      </c>
      <c r="C25" s="1" t="s">
        <v>901</v>
      </c>
      <c r="D25" s="1" t="s">
        <v>902</v>
      </c>
      <c r="E25" s="1" t="s">
        <v>903</v>
      </c>
      <c r="F25" s="1" t="s">
        <v>904</v>
      </c>
      <c r="G25" s="1" t="s">
        <v>905</v>
      </c>
      <c r="H25" s="1" t="s">
        <v>906</v>
      </c>
      <c r="I25" s="1" t="s">
        <v>907</v>
      </c>
      <c r="J25" s="1" t="s">
        <v>907</v>
      </c>
      <c r="K25" s="1" t="s">
        <v>908</v>
      </c>
      <c r="L25" s="1" t="s">
        <v>909</v>
      </c>
      <c r="M25" s="1" t="s">
        <v>910</v>
      </c>
      <c r="N25" s="1" t="s">
        <v>911</v>
      </c>
      <c r="O25" s="1" t="s">
        <v>912</v>
      </c>
      <c r="P25" s="1" t="s">
        <v>913</v>
      </c>
      <c r="Q25" s="1" t="s">
        <v>913</v>
      </c>
      <c r="R25" s="1" t="s">
        <v>914</v>
      </c>
      <c r="S25" s="1" t="s">
        <v>915</v>
      </c>
      <c r="T25" s="1" t="s">
        <v>916</v>
      </c>
      <c r="U25" s="1" t="s">
        <v>917</v>
      </c>
      <c r="V25" s="1" t="s">
        <v>918</v>
      </c>
      <c r="W25" s="1" t="s">
        <v>919</v>
      </c>
      <c r="X25" s="1" t="s">
        <v>919</v>
      </c>
      <c r="Y25" s="1" t="s">
        <v>920</v>
      </c>
      <c r="Z25" s="1" t="s">
        <v>921</v>
      </c>
      <c r="AA25" s="1" t="s">
        <v>922</v>
      </c>
      <c r="AB25" s="1" t="s">
        <v>923</v>
      </c>
      <c r="AC25" s="1" t="s">
        <v>924</v>
      </c>
      <c r="AD25" s="1" t="s">
        <v>925</v>
      </c>
      <c r="AE25" s="1" t="s">
        <v>925</v>
      </c>
      <c r="AF25" s="1" t="s">
        <v>926</v>
      </c>
      <c r="AG25" s="1" t="s">
        <v>927</v>
      </c>
      <c r="AH25" s="1" t="s">
        <v>928</v>
      </c>
      <c r="AI25" s="1" t="s">
        <v>929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930</v>
      </c>
    </row>
    <row r="2" spans="1:35">
      <c r="A2" s="1" t="s">
        <v>417</v>
      </c>
      <c r="B2" s="285" t="s">
        <v>453</v>
      </c>
      <c r="C2" s="1" t="s">
        <v>356</v>
      </c>
      <c r="D2" s="1" t="s">
        <v>321</v>
      </c>
      <c r="E2" s="1" t="s">
        <v>321</v>
      </c>
      <c r="F2" s="1" t="s">
        <v>290</v>
      </c>
      <c r="G2" s="1" t="s">
        <v>289</v>
      </c>
      <c r="H2" s="1" t="s">
        <v>287</v>
      </c>
      <c r="I2" s="1" t="s">
        <v>290</v>
      </c>
      <c r="J2" s="1" t="s">
        <v>356</v>
      </c>
      <c r="K2" s="1" t="s">
        <v>287</v>
      </c>
      <c r="L2" s="1" t="s">
        <v>289</v>
      </c>
      <c r="M2" s="1" t="s">
        <v>340</v>
      </c>
      <c r="N2" s="1" t="s">
        <v>290</v>
      </c>
      <c r="O2" s="1" t="s">
        <v>333</v>
      </c>
      <c r="P2" s="1" t="s">
        <v>342</v>
      </c>
      <c r="Q2" s="1" t="s">
        <v>356</v>
      </c>
      <c r="R2" s="1" t="s">
        <v>333</v>
      </c>
      <c r="S2" s="1" t="s">
        <v>290</v>
      </c>
      <c r="T2" s="1" t="s">
        <v>332</v>
      </c>
      <c r="U2" s="1" t="s">
        <v>340</v>
      </c>
      <c r="V2" s="1" t="s">
        <v>333</v>
      </c>
      <c r="W2" s="1" t="s">
        <v>290</v>
      </c>
      <c r="X2" s="1" t="s">
        <v>356</v>
      </c>
      <c r="Y2" s="1" t="s">
        <v>290</v>
      </c>
      <c r="Z2" s="1" t="s">
        <v>332</v>
      </c>
      <c r="AA2" s="1" t="s">
        <v>330</v>
      </c>
      <c r="AB2" s="1" t="s">
        <v>331</v>
      </c>
      <c r="AC2" s="1" t="s">
        <v>289</v>
      </c>
      <c r="AD2" s="1" t="s">
        <v>330</v>
      </c>
      <c r="AE2" s="1" t="s">
        <v>356</v>
      </c>
      <c r="AF2" s="1" t="s">
        <v>331</v>
      </c>
      <c r="AG2" s="1" t="s">
        <v>288</v>
      </c>
      <c r="AH2" s="1" t="s">
        <v>289</v>
      </c>
      <c r="AI2" s="465">
        <v>44412.229194178202</v>
      </c>
    </row>
    <row r="3" spans="1:35">
      <c r="A3" s="1" t="s">
        <v>417</v>
      </c>
      <c r="B3" s="285" t="s">
        <v>487</v>
      </c>
      <c r="C3" s="1" t="s">
        <v>356</v>
      </c>
      <c r="D3" s="1" t="s">
        <v>333</v>
      </c>
      <c r="E3" s="1" t="s">
        <v>323</v>
      </c>
      <c r="F3" s="1" t="s">
        <v>322</v>
      </c>
      <c r="G3" s="1" t="s">
        <v>290</v>
      </c>
      <c r="H3" s="1" t="s">
        <v>353</v>
      </c>
      <c r="I3" s="1" t="s">
        <v>340</v>
      </c>
      <c r="J3" s="1" t="s">
        <v>356</v>
      </c>
      <c r="K3" s="1" t="s">
        <v>323</v>
      </c>
      <c r="L3" s="1" t="s">
        <v>342</v>
      </c>
      <c r="M3" s="1" t="s">
        <v>323</v>
      </c>
      <c r="N3" s="1" t="s">
        <v>309</v>
      </c>
      <c r="O3" s="1" t="s">
        <v>346</v>
      </c>
      <c r="P3" s="1" t="s">
        <v>287</v>
      </c>
      <c r="Q3" s="1" t="s">
        <v>356</v>
      </c>
      <c r="R3" s="1" t="s">
        <v>333</v>
      </c>
      <c r="S3" s="1" t="s">
        <v>346</v>
      </c>
      <c r="T3" s="1" t="s">
        <v>342</v>
      </c>
      <c r="U3" s="1" t="s">
        <v>330</v>
      </c>
      <c r="V3" s="1" t="s">
        <v>370</v>
      </c>
      <c r="W3" s="1" t="s">
        <v>332</v>
      </c>
      <c r="X3" s="1" t="s">
        <v>356</v>
      </c>
      <c r="Y3" s="1" t="s">
        <v>322</v>
      </c>
      <c r="Z3" s="1" t="s">
        <v>289</v>
      </c>
      <c r="AA3" s="1" t="s">
        <v>289</v>
      </c>
      <c r="AB3" s="1" t="s">
        <v>289</v>
      </c>
      <c r="AC3" s="1" t="s">
        <v>286</v>
      </c>
      <c r="AD3" s="1" t="s">
        <v>287</v>
      </c>
      <c r="AE3" s="1" t="s">
        <v>356</v>
      </c>
      <c r="AF3" s="1" t="s">
        <v>287</v>
      </c>
      <c r="AG3" s="1" t="s">
        <v>331</v>
      </c>
      <c r="AH3" s="1" t="s">
        <v>346</v>
      </c>
      <c r="AI3" s="465">
        <v>44412.229194178202</v>
      </c>
    </row>
    <row r="4" spans="1:35">
      <c r="A4" s="1" t="s">
        <v>417</v>
      </c>
      <c r="B4" s="285" t="s">
        <v>518</v>
      </c>
      <c r="C4" s="1" t="s">
        <v>356</v>
      </c>
      <c r="D4" s="1" t="s">
        <v>335</v>
      </c>
      <c r="E4" s="1" t="s">
        <v>293</v>
      </c>
      <c r="F4" s="1" t="s">
        <v>336</v>
      </c>
      <c r="G4" s="1" t="s">
        <v>304</v>
      </c>
      <c r="H4" s="1" t="s">
        <v>293</v>
      </c>
      <c r="I4" s="1" t="s">
        <v>293</v>
      </c>
      <c r="J4" s="1" t="s">
        <v>356</v>
      </c>
      <c r="K4" s="1" t="s">
        <v>293</v>
      </c>
      <c r="L4" s="1" t="s">
        <v>293</v>
      </c>
      <c r="M4" s="1" t="s">
        <v>293</v>
      </c>
      <c r="N4" s="1" t="s">
        <v>336</v>
      </c>
      <c r="O4" s="1" t="s">
        <v>293</v>
      </c>
      <c r="P4" s="1" t="s">
        <v>293</v>
      </c>
      <c r="Q4" s="1" t="s">
        <v>356</v>
      </c>
      <c r="R4" s="1" t="s">
        <v>293</v>
      </c>
      <c r="S4" s="1" t="s">
        <v>293</v>
      </c>
      <c r="T4" s="1" t="s">
        <v>293</v>
      </c>
      <c r="U4" s="1" t="s">
        <v>293</v>
      </c>
      <c r="V4" s="1" t="s">
        <v>293</v>
      </c>
      <c r="W4" s="1" t="s">
        <v>293</v>
      </c>
      <c r="X4" s="1" t="s">
        <v>356</v>
      </c>
      <c r="Y4" s="1" t="s">
        <v>293</v>
      </c>
      <c r="Z4" s="1" t="s">
        <v>293</v>
      </c>
      <c r="AA4" s="1" t="s">
        <v>293</v>
      </c>
      <c r="AB4" s="1" t="s">
        <v>293</v>
      </c>
      <c r="AC4" s="1" t="s">
        <v>293</v>
      </c>
      <c r="AD4" s="1" t="s">
        <v>293</v>
      </c>
      <c r="AE4" s="1" t="s">
        <v>356</v>
      </c>
      <c r="AF4" s="1" t="s">
        <v>293</v>
      </c>
      <c r="AG4" s="1" t="s">
        <v>293</v>
      </c>
      <c r="AH4" s="1" t="s">
        <v>293</v>
      </c>
      <c r="AI4" s="465">
        <v>44412.229194178202</v>
      </c>
    </row>
    <row r="5" spans="1:35">
      <c r="A5" s="1" t="s">
        <v>417</v>
      </c>
      <c r="B5" s="285" t="s">
        <v>548</v>
      </c>
      <c r="C5" s="1" t="s">
        <v>356</v>
      </c>
      <c r="D5" s="1" t="s">
        <v>931</v>
      </c>
      <c r="E5" s="1" t="s">
        <v>932</v>
      </c>
      <c r="F5" s="1" t="s">
        <v>933</v>
      </c>
      <c r="G5" s="1" t="s">
        <v>293</v>
      </c>
      <c r="H5" s="1" t="s">
        <v>934</v>
      </c>
      <c r="I5" s="1" t="s">
        <v>935</v>
      </c>
      <c r="J5" s="1" t="s">
        <v>356</v>
      </c>
      <c r="K5" s="1" t="s">
        <v>293</v>
      </c>
      <c r="L5" s="1" t="s">
        <v>293</v>
      </c>
      <c r="M5" s="1" t="s">
        <v>935</v>
      </c>
      <c r="N5" s="1" t="s">
        <v>935</v>
      </c>
      <c r="O5" s="1" t="s">
        <v>357</v>
      </c>
      <c r="P5" s="1" t="s">
        <v>293</v>
      </c>
      <c r="Q5" s="1" t="s">
        <v>356</v>
      </c>
      <c r="R5" s="1" t="s">
        <v>293</v>
      </c>
      <c r="S5" s="1" t="s">
        <v>936</v>
      </c>
      <c r="T5" s="1" t="s">
        <v>933</v>
      </c>
      <c r="U5" s="1" t="s">
        <v>357</v>
      </c>
      <c r="V5" s="1" t="s">
        <v>937</v>
      </c>
      <c r="W5" s="1" t="s">
        <v>938</v>
      </c>
      <c r="X5" s="1" t="s">
        <v>356</v>
      </c>
      <c r="Y5" s="1" t="s">
        <v>939</v>
      </c>
      <c r="Z5" s="1" t="s">
        <v>293</v>
      </c>
      <c r="AA5" s="1" t="s">
        <v>293</v>
      </c>
      <c r="AB5" s="1" t="s">
        <v>940</v>
      </c>
      <c r="AC5" s="1" t="s">
        <v>293</v>
      </c>
      <c r="AD5" s="1" t="s">
        <v>940</v>
      </c>
      <c r="AE5" s="1" t="s">
        <v>356</v>
      </c>
      <c r="AF5" s="1" t="s">
        <v>934</v>
      </c>
      <c r="AG5" s="1" t="s">
        <v>293</v>
      </c>
      <c r="AH5" s="1" t="s">
        <v>301</v>
      </c>
      <c r="AI5" s="465">
        <v>44412.229194178202</v>
      </c>
    </row>
    <row r="6" spans="1:35">
      <c r="A6" s="1" t="s">
        <v>417</v>
      </c>
      <c r="B6" s="285" t="s">
        <v>578</v>
      </c>
      <c r="C6" s="1" t="s">
        <v>356</v>
      </c>
      <c r="D6" s="1" t="s">
        <v>319</v>
      </c>
      <c r="E6" s="1" t="s">
        <v>358</v>
      </c>
      <c r="F6" s="1" t="s">
        <v>358</v>
      </c>
      <c r="G6" s="1" t="s">
        <v>305</v>
      </c>
      <c r="H6" s="1" t="s">
        <v>335</v>
      </c>
      <c r="I6" s="1" t="s">
        <v>304</v>
      </c>
      <c r="J6" s="1" t="s">
        <v>356</v>
      </c>
      <c r="K6" s="1" t="s">
        <v>304</v>
      </c>
      <c r="L6" s="1" t="s">
        <v>319</v>
      </c>
      <c r="M6" s="1" t="s">
        <v>307</v>
      </c>
      <c r="N6" s="1" t="s">
        <v>335</v>
      </c>
      <c r="O6" s="1" t="s">
        <v>291</v>
      </c>
      <c r="P6" s="1" t="s">
        <v>335</v>
      </c>
      <c r="Q6" s="1" t="s">
        <v>356</v>
      </c>
      <c r="R6" s="1" t="s">
        <v>335</v>
      </c>
      <c r="S6" s="1" t="s">
        <v>308</v>
      </c>
      <c r="T6" s="1" t="s">
        <v>307</v>
      </c>
      <c r="U6" s="1" t="s">
        <v>307</v>
      </c>
      <c r="V6" s="1" t="s">
        <v>335</v>
      </c>
      <c r="W6" s="1" t="s">
        <v>336</v>
      </c>
      <c r="X6" s="1" t="s">
        <v>356</v>
      </c>
      <c r="Y6" s="1" t="s">
        <v>306</v>
      </c>
      <c r="Z6" s="1" t="s">
        <v>304</v>
      </c>
      <c r="AA6" s="1" t="s">
        <v>335</v>
      </c>
      <c r="AB6" s="1" t="s">
        <v>308</v>
      </c>
      <c r="AC6" s="1" t="s">
        <v>335</v>
      </c>
      <c r="AD6" s="1" t="s">
        <v>304</v>
      </c>
      <c r="AE6" s="1" t="s">
        <v>356</v>
      </c>
      <c r="AF6" s="1" t="s">
        <v>336</v>
      </c>
      <c r="AG6" s="1" t="s">
        <v>318</v>
      </c>
      <c r="AH6" s="1" t="s">
        <v>308</v>
      </c>
      <c r="AI6" s="465">
        <v>44412.229194178202</v>
      </c>
    </row>
    <row r="7" spans="1:35">
      <c r="A7" s="1" t="s">
        <v>417</v>
      </c>
      <c r="B7" s="285" t="s">
        <v>611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613</v>
      </c>
      <c r="C8" s="1" t="s">
        <v>356</v>
      </c>
      <c r="D8" s="1" t="s">
        <v>306</v>
      </c>
      <c r="E8" s="1" t="s">
        <v>304</v>
      </c>
      <c r="F8" s="1" t="s">
        <v>304</v>
      </c>
      <c r="G8" s="1" t="s">
        <v>368</v>
      </c>
      <c r="H8" s="1" t="s">
        <v>307</v>
      </c>
      <c r="I8" s="1" t="s">
        <v>319</v>
      </c>
      <c r="J8" s="1" t="s">
        <v>356</v>
      </c>
      <c r="K8" s="1" t="s">
        <v>304</v>
      </c>
      <c r="L8" s="1" t="s">
        <v>358</v>
      </c>
      <c r="M8" s="1" t="s">
        <v>305</v>
      </c>
      <c r="N8" s="1" t="s">
        <v>305</v>
      </c>
      <c r="O8" s="1" t="s">
        <v>319</v>
      </c>
      <c r="P8" s="1" t="s">
        <v>293</v>
      </c>
      <c r="Q8" s="1" t="s">
        <v>356</v>
      </c>
      <c r="R8" s="1" t="s">
        <v>291</v>
      </c>
      <c r="S8" s="1" t="s">
        <v>340</v>
      </c>
      <c r="T8" s="1" t="s">
        <v>318</v>
      </c>
      <c r="U8" s="1" t="s">
        <v>341</v>
      </c>
      <c r="V8" s="1" t="s">
        <v>321</v>
      </c>
      <c r="W8" s="1" t="s">
        <v>333</v>
      </c>
      <c r="X8" s="1" t="s">
        <v>356</v>
      </c>
      <c r="Y8" s="1" t="s">
        <v>307</v>
      </c>
      <c r="Z8" s="1" t="s">
        <v>293</v>
      </c>
      <c r="AA8" s="1" t="s">
        <v>308</v>
      </c>
      <c r="AB8" s="1" t="s">
        <v>305</v>
      </c>
      <c r="AC8" s="1" t="s">
        <v>319</v>
      </c>
      <c r="AD8" s="1" t="s">
        <v>308</v>
      </c>
      <c r="AE8" s="1" t="s">
        <v>356</v>
      </c>
      <c r="AF8" s="1" t="s">
        <v>290</v>
      </c>
      <c r="AG8" s="1" t="s">
        <v>335</v>
      </c>
      <c r="AH8" s="1" t="s">
        <v>319</v>
      </c>
      <c r="AI8" s="465">
        <v>44412.229194178202</v>
      </c>
    </row>
    <row r="9" spans="1:35">
      <c r="A9" s="1" t="s">
        <v>417</v>
      </c>
      <c r="B9" s="285" t="s">
        <v>941</v>
      </c>
      <c r="C9" s="1" t="s">
        <v>356</v>
      </c>
      <c r="D9" s="1" t="s">
        <v>293</v>
      </c>
      <c r="E9" s="1" t="s">
        <v>293</v>
      </c>
      <c r="F9" s="1" t="s">
        <v>293</v>
      </c>
      <c r="G9" s="1" t="s">
        <v>293</v>
      </c>
      <c r="H9" s="1" t="s">
        <v>293</v>
      </c>
      <c r="I9" s="1" t="s">
        <v>293</v>
      </c>
      <c r="J9" s="1" t="s">
        <v>356</v>
      </c>
      <c r="K9" s="1" t="s">
        <v>293</v>
      </c>
      <c r="L9" s="1" t="s">
        <v>293</v>
      </c>
      <c r="M9" s="1" t="s">
        <v>293</v>
      </c>
      <c r="N9" s="1" t="s">
        <v>942</v>
      </c>
      <c r="O9" s="1" t="s">
        <v>328</v>
      </c>
      <c r="P9" s="1" t="s">
        <v>293</v>
      </c>
      <c r="Q9" s="1" t="s">
        <v>356</v>
      </c>
      <c r="R9" s="1" t="s">
        <v>293</v>
      </c>
      <c r="S9" s="1" t="s">
        <v>293</v>
      </c>
      <c r="T9" s="1" t="s">
        <v>943</v>
      </c>
      <c r="U9" s="1" t="s">
        <v>293</v>
      </c>
      <c r="V9" s="1" t="s">
        <v>293</v>
      </c>
      <c r="W9" s="1" t="s">
        <v>932</v>
      </c>
      <c r="X9" s="1" t="s">
        <v>356</v>
      </c>
      <c r="Y9" s="1" t="s">
        <v>944</v>
      </c>
      <c r="Z9" s="1" t="s">
        <v>934</v>
      </c>
      <c r="AA9" s="1" t="s">
        <v>938</v>
      </c>
      <c r="AB9" s="1" t="s">
        <v>293</v>
      </c>
      <c r="AC9" s="1" t="s">
        <v>293</v>
      </c>
      <c r="AD9" s="1" t="s">
        <v>944</v>
      </c>
      <c r="AE9" s="1" t="s">
        <v>356</v>
      </c>
      <c r="AF9" s="1" t="s">
        <v>328</v>
      </c>
      <c r="AG9" s="1" t="s">
        <v>940</v>
      </c>
      <c r="AH9" s="1" t="s">
        <v>945</v>
      </c>
      <c r="AI9" s="465">
        <v>44412.229194178202</v>
      </c>
    </row>
    <row r="10" spans="1:35">
      <c r="A10" s="1" t="s">
        <v>417</v>
      </c>
      <c r="B10" s="285" t="s">
        <v>946</v>
      </c>
      <c r="C10" s="1" t="s">
        <v>356</v>
      </c>
      <c r="D10" s="1" t="s">
        <v>289</v>
      </c>
      <c r="E10" s="1" t="s">
        <v>289</v>
      </c>
      <c r="F10" s="1" t="s">
        <v>289</v>
      </c>
      <c r="G10" s="1" t="s">
        <v>289</v>
      </c>
      <c r="H10" s="1" t="s">
        <v>286</v>
      </c>
      <c r="I10" s="1" t="s">
        <v>290</v>
      </c>
      <c r="J10" s="1" t="s">
        <v>356</v>
      </c>
      <c r="K10" s="1" t="s">
        <v>290</v>
      </c>
      <c r="L10" s="1" t="s">
        <v>321</v>
      </c>
      <c r="M10" s="1" t="s">
        <v>332</v>
      </c>
      <c r="N10" s="1" t="s">
        <v>287</v>
      </c>
      <c r="O10" s="1" t="s">
        <v>290</v>
      </c>
      <c r="P10" s="1" t="s">
        <v>340</v>
      </c>
      <c r="Q10" s="1" t="s">
        <v>356</v>
      </c>
      <c r="R10" s="1" t="s">
        <v>289</v>
      </c>
      <c r="S10" s="1" t="s">
        <v>289</v>
      </c>
      <c r="T10" s="1" t="s">
        <v>321</v>
      </c>
      <c r="U10" s="1" t="s">
        <v>333</v>
      </c>
      <c r="V10" s="1" t="s">
        <v>289</v>
      </c>
      <c r="W10" s="1" t="s">
        <v>287</v>
      </c>
      <c r="X10" s="1" t="s">
        <v>356</v>
      </c>
      <c r="Y10" s="1" t="s">
        <v>287</v>
      </c>
      <c r="Z10" s="1" t="s">
        <v>289</v>
      </c>
      <c r="AA10" s="1" t="s">
        <v>326</v>
      </c>
      <c r="AB10" s="1" t="s">
        <v>288</v>
      </c>
      <c r="AC10" s="1" t="s">
        <v>286</v>
      </c>
      <c r="AD10" s="1" t="s">
        <v>331</v>
      </c>
      <c r="AE10" s="1" t="s">
        <v>356</v>
      </c>
      <c r="AF10" s="1" t="s">
        <v>341</v>
      </c>
      <c r="AG10" s="1" t="s">
        <v>320</v>
      </c>
      <c r="AH10" s="1" t="s">
        <v>287</v>
      </c>
      <c r="AI10" s="465">
        <v>44412.229194178202</v>
      </c>
    </row>
    <row r="11" spans="1:35">
      <c r="A11" s="1" t="s">
        <v>417</v>
      </c>
      <c r="B11" s="285" t="s">
        <v>947</v>
      </c>
      <c r="C11" s="1" t="s">
        <v>356</v>
      </c>
      <c r="D11" s="1" t="s">
        <v>293</v>
      </c>
      <c r="E11" s="1" t="s">
        <v>293</v>
      </c>
      <c r="F11" s="1" t="s">
        <v>293</v>
      </c>
      <c r="G11" s="1" t="s">
        <v>293</v>
      </c>
      <c r="H11" s="1" t="s">
        <v>293</v>
      </c>
      <c r="I11" s="1" t="s">
        <v>293</v>
      </c>
      <c r="J11" s="1" t="s">
        <v>356</v>
      </c>
      <c r="K11" s="1" t="s">
        <v>293</v>
      </c>
      <c r="L11" s="1" t="s">
        <v>293</v>
      </c>
      <c r="M11" s="1" t="s">
        <v>293</v>
      </c>
      <c r="N11" s="1" t="s">
        <v>293</v>
      </c>
      <c r="O11" s="1" t="s">
        <v>293</v>
      </c>
      <c r="P11" s="1" t="s">
        <v>293</v>
      </c>
      <c r="Q11" s="1" t="s">
        <v>356</v>
      </c>
      <c r="R11" s="1" t="s">
        <v>293</v>
      </c>
      <c r="S11" s="1" t="s">
        <v>293</v>
      </c>
      <c r="T11" s="1" t="s">
        <v>293</v>
      </c>
      <c r="U11" s="1" t="s">
        <v>293</v>
      </c>
      <c r="V11" s="1" t="s">
        <v>293</v>
      </c>
      <c r="W11" s="1" t="s">
        <v>293</v>
      </c>
      <c r="X11" s="1" t="s">
        <v>356</v>
      </c>
      <c r="Y11" s="1" t="s">
        <v>293</v>
      </c>
      <c r="Z11" s="1" t="s">
        <v>293</v>
      </c>
      <c r="AA11" s="1" t="s">
        <v>293</v>
      </c>
      <c r="AB11" s="1" t="s">
        <v>293</v>
      </c>
      <c r="AC11" s="1" t="s">
        <v>293</v>
      </c>
      <c r="AD11" s="1" t="s">
        <v>293</v>
      </c>
      <c r="AE11" s="1" t="s">
        <v>356</v>
      </c>
      <c r="AF11" s="1" t="s">
        <v>293</v>
      </c>
      <c r="AG11" s="1" t="s">
        <v>293</v>
      </c>
      <c r="AH11" s="1" t="s">
        <v>293</v>
      </c>
      <c r="AI11" s="465">
        <v>44412.229194178202</v>
      </c>
    </row>
    <row r="12" spans="1:35">
      <c r="A12" s="1" t="s">
        <v>417</v>
      </c>
      <c r="B12" s="285" t="s">
        <v>948</v>
      </c>
      <c r="C12" s="1" t="s">
        <v>356</v>
      </c>
      <c r="D12" s="1" t="s">
        <v>949</v>
      </c>
      <c r="E12" s="1" t="s">
        <v>293</v>
      </c>
      <c r="F12" s="1" t="s">
        <v>293</v>
      </c>
      <c r="G12" s="1" t="s">
        <v>293</v>
      </c>
      <c r="H12" s="1" t="s">
        <v>293</v>
      </c>
      <c r="I12" s="1" t="s">
        <v>939</v>
      </c>
      <c r="J12" s="1" t="s">
        <v>356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945</v>
      </c>
      <c r="P12" s="1" t="s">
        <v>940</v>
      </c>
      <c r="Q12" s="1" t="s">
        <v>356</v>
      </c>
      <c r="R12" s="1" t="s">
        <v>293</v>
      </c>
      <c r="S12" s="1" t="s">
        <v>950</v>
      </c>
      <c r="T12" s="1" t="s">
        <v>945</v>
      </c>
      <c r="U12" s="1" t="s">
        <v>293</v>
      </c>
      <c r="V12" s="1" t="s">
        <v>328</v>
      </c>
      <c r="W12" s="1" t="s">
        <v>293</v>
      </c>
      <c r="X12" s="1" t="s">
        <v>356</v>
      </c>
      <c r="Y12" s="1" t="s">
        <v>293</v>
      </c>
      <c r="Z12" s="1" t="s">
        <v>293</v>
      </c>
      <c r="AA12" s="1" t="s">
        <v>293</v>
      </c>
      <c r="AB12" s="1" t="s">
        <v>343</v>
      </c>
      <c r="AC12" s="1" t="s">
        <v>293</v>
      </c>
      <c r="AD12" s="1" t="s">
        <v>935</v>
      </c>
      <c r="AE12" s="1" t="s">
        <v>356</v>
      </c>
      <c r="AF12" s="1" t="s">
        <v>293</v>
      </c>
      <c r="AG12" s="1" t="s">
        <v>293</v>
      </c>
      <c r="AH12" s="1" t="s">
        <v>951</v>
      </c>
      <c r="AI12" s="465">
        <v>44412.229194178202</v>
      </c>
    </row>
    <row r="13" spans="1:35">
      <c r="A13" s="1" t="s">
        <v>417</v>
      </c>
      <c r="B13" s="285" t="s">
        <v>952</v>
      </c>
      <c r="C13" s="1" t="s">
        <v>356</v>
      </c>
      <c r="D13" s="1" t="s">
        <v>316</v>
      </c>
      <c r="E13" s="1" t="s">
        <v>950</v>
      </c>
      <c r="F13" s="1" t="s">
        <v>343</v>
      </c>
      <c r="G13" s="1" t="s">
        <v>338</v>
      </c>
      <c r="H13" s="1" t="s">
        <v>953</v>
      </c>
      <c r="I13" s="1" t="s">
        <v>344</v>
      </c>
      <c r="J13" s="1" t="s">
        <v>356</v>
      </c>
      <c r="K13" s="1" t="s">
        <v>954</v>
      </c>
      <c r="L13" s="1" t="s">
        <v>338</v>
      </c>
      <c r="M13" s="1" t="s">
        <v>325</v>
      </c>
      <c r="N13" s="1" t="s">
        <v>315</v>
      </c>
      <c r="O13" s="1" t="s">
        <v>348</v>
      </c>
      <c r="P13" s="1" t="s">
        <v>323</v>
      </c>
      <c r="Q13" s="1" t="s">
        <v>356</v>
      </c>
      <c r="R13" s="1" t="s">
        <v>333</v>
      </c>
      <c r="S13" s="1" t="s">
        <v>344</v>
      </c>
      <c r="T13" s="1" t="s">
        <v>334</v>
      </c>
      <c r="U13" s="1" t="s">
        <v>325</v>
      </c>
      <c r="V13" s="1" t="s">
        <v>333</v>
      </c>
      <c r="W13" s="1" t="s">
        <v>307</v>
      </c>
      <c r="X13" s="1" t="s">
        <v>356</v>
      </c>
      <c r="Y13" s="1" t="s">
        <v>289</v>
      </c>
      <c r="Z13" s="1" t="s">
        <v>332</v>
      </c>
      <c r="AA13" s="1" t="s">
        <v>289</v>
      </c>
      <c r="AB13" s="1" t="s">
        <v>312</v>
      </c>
      <c r="AC13" s="1" t="s">
        <v>955</v>
      </c>
      <c r="AD13" s="1" t="s">
        <v>374</v>
      </c>
      <c r="AE13" s="1" t="s">
        <v>356</v>
      </c>
      <c r="AF13" s="1" t="s">
        <v>309</v>
      </c>
      <c r="AG13" s="1" t="s">
        <v>287</v>
      </c>
      <c r="AH13" s="1" t="s">
        <v>339</v>
      </c>
      <c r="AI13" s="465">
        <v>44412.229194178202</v>
      </c>
    </row>
    <row r="14" spans="1:35">
      <c r="A14" s="1" t="s">
        <v>417</v>
      </c>
      <c r="B14" s="285" t="s">
        <v>956</v>
      </c>
      <c r="C14" s="1" t="s">
        <v>356</v>
      </c>
      <c r="D14" s="1" t="s">
        <v>957</v>
      </c>
      <c r="E14" s="1" t="s">
        <v>958</v>
      </c>
      <c r="F14" s="1" t="s">
        <v>331</v>
      </c>
      <c r="G14" s="1" t="s">
        <v>286</v>
      </c>
      <c r="H14" s="1" t="s">
        <v>293</v>
      </c>
      <c r="I14" s="1" t="s">
        <v>293</v>
      </c>
      <c r="J14" s="1" t="s">
        <v>356</v>
      </c>
      <c r="K14" s="1" t="s">
        <v>293</v>
      </c>
      <c r="L14" s="1" t="s">
        <v>316</v>
      </c>
      <c r="M14" s="1" t="s">
        <v>959</v>
      </c>
      <c r="N14" s="1" t="s">
        <v>960</v>
      </c>
      <c r="O14" s="1" t="s">
        <v>961</v>
      </c>
      <c r="P14" s="1" t="s">
        <v>962</v>
      </c>
      <c r="Q14" s="1" t="s">
        <v>356</v>
      </c>
      <c r="R14" s="1" t="s">
        <v>934</v>
      </c>
      <c r="S14" s="1" t="s">
        <v>339</v>
      </c>
      <c r="T14" s="1" t="s">
        <v>963</v>
      </c>
      <c r="U14" s="1" t="s">
        <v>354</v>
      </c>
      <c r="V14" s="1" t="s">
        <v>293</v>
      </c>
      <c r="W14" s="1" t="s">
        <v>293</v>
      </c>
      <c r="X14" s="1" t="s">
        <v>356</v>
      </c>
      <c r="Y14" s="1" t="s">
        <v>326</v>
      </c>
      <c r="Z14" s="1" t="s">
        <v>315</v>
      </c>
      <c r="AA14" s="1" t="s">
        <v>300</v>
      </c>
      <c r="AB14" s="1" t="s">
        <v>964</v>
      </c>
      <c r="AC14" s="1" t="s">
        <v>293</v>
      </c>
      <c r="AD14" s="1" t="s">
        <v>326</v>
      </c>
      <c r="AE14" s="1" t="s">
        <v>356</v>
      </c>
      <c r="AF14" s="1" t="s">
        <v>320</v>
      </c>
      <c r="AG14" s="1" t="s">
        <v>293</v>
      </c>
      <c r="AH14" s="1" t="s">
        <v>315</v>
      </c>
      <c r="AI14" s="465">
        <v>44412.229194178202</v>
      </c>
    </row>
    <row r="15" spans="1:35">
      <c r="A15" s="1" t="s">
        <v>417</v>
      </c>
      <c r="B15" s="285" t="s">
        <v>965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966</v>
      </c>
      <c r="C16" s="1" t="s">
        <v>356</v>
      </c>
      <c r="D16" s="1" t="s">
        <v>347</v>
      </c>
      <c r="E16" s="1" t="s">
        <v>338</v>
      </c>
      <c r="F16" s="1" t="s">
        <v>370</v>
      </c>
      <c r="G16" s="1" t="s">
        <v>333</v>
      </c>
      <c r="H16" s="1" t="s">
        <v>951</v>
      </c>
      <c r="I16" s="1" t="s">
        <v>342</v>
      </c>
      <c r="J16" s="1" t="s">
        <v>356</v>
      </c>
      <c r="K16" s="1" t="s">
        <v>371</v>
      </c>
      <c r="L16" s="1" t="s">
        <v>347</v>
      </c>
      <c r="M16" s="1" t="s">
        <v>345</v>
      </c>
      <c r="N16" s="1" t="s">
        <v>312</v>
      </c>
      <c r="O16" s="1" t="s">
        <v>370</v>
      </c>
      <c r="P16" s="1" t="s">
        <v>322</v>
      </c>
      <c r="Q16" s="1" t="s">
        <v>356</v>
      </c>
      <c r="R16" s="1" t="s">
        <v>340</v>
      </c>
      <c r="S16" s="1" t="s">
        <v>323</v>
      </c>
      <c r="T16" s="1" t="s">
        <v>345</v>
      </c>
      <c r="U16" s="1" t="s">
        <v>321</v>
      </c>
      <c r="V16" s="1" t="s">
        <v>322</v>
      </c>
      <c r="W16" s="1" t="s">
        <v>330</v>
      </c>
      <c r="X16" s="1" t="s">
        <v>356</v>
      </c>
      <c r="Y16" s="1" t="s">
        <v>346</v>
      </c>
      <c r="Z16" s="1" t="s">
        <v>321</v>
      </c>
      <c r="AA16" s="1" t="s">
        <v>289</v>
      </c>
      <c r="AB16" s="1" t="s">
        <v>340</v>
      </c>
      <c r="AC16" s="1" t="s">
        <v>346</v>
      </c>
      <c r="AD16" s="1" t="s">
        <v>332</v>
      </c>
      <c r="AE16" s="1" t="s">
        <v>356</v>
      </c>
      <c r="AF16" s="1" t="s">
        <v>332</v>
      </c>
      <c r="AG16" s="1" t="s">
        <v>331</v>
      </c>
      <c r="AH16" s="1" t="s">
        <v>323</v>
      </c>
      <c r="AI16" s="465">
        <v>44412.229194178202</v>
      </c>
    </row>
    <row r="17" spans="1:35">
      <c r="A17" s="1" t="s">
        <v>417</v>
      </c>
      <c r="B17" s="275" t="s">
        <v>967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968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969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970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971</v>
      </c>
      <c r="C21" s="1" t="s">
        <v>356</v>
      </c>
      <c r="D21" s="1" t="s">
        <v>293</v>
      </c>
      <c r="E21" s="1" t="s">
        <v>293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356</v>
      </c>
      <c r="K21" s="1" t="s">
        <v>293</v>
      </c>
      <c r="L21" s="1" t="s">
        <v>293</v>
      </c>
      <c r="M21" s="1" t="s">
        <v>293</v>
      </c>
      <c r="N21" s="1" t="s">
        <v>338</v>
      </c>
      <c r="O21" s="1" t="s">
        <v>293</v>
      </c>
      <c r="P21" s="1" t="s">
        <v>293</v>
      </c>
      <c r="Q21" s="1" t="s">
        <v>356</v>
      </c>
      <c r="R21" s="1" t="s">
        <v>293</v>
      </c>
      <c r="S21" s="1" t="s">
        <v>293</v>
      </c>
      <c r="T21" s="1" t="s">
        <v>293</v>
      </c>
      <c r="U21" s="1" t="s">
        <v>293</v>
      </c>
      <c r="V21" s="1" t="s">
        <v>293</v>
      </c>
      <c r="W21" s="1" t="s">
        <v>293</v>
      </c>
      <c r="X21" s="1" t="s">
        <v>356</v>
      </c>
      <c r="Y21" s="1" t="s">
        <v>293</v>
      </c>
      <c r="Z21" s="1" t="s">
        <v>293</v>
      </c>
      <c r="AA21" s="1" t="s">
        <v>293</v>
      </c>
      <c r="AB21" s="1" t="s">
        <v>293</v>
      </c>
      <c r="AC21" s="1" t="s">
        <v>293</v>
      </c>
      <c r="AD21" s="1" t="s">
        <v>293</v>
      </c>
      <c r="AE21" s="1" t="s">
        <v>356</v>
      </c>
      <c r="AF21" s="1" t="s">
        <v>293</v>
      </c>
      <c r="AG21" s="1" t="s">
        <v>293</v>
      </c>
      <c r="AH21" s="1" t="s">
        <v>292</v>
      </c>
      <c r="AI21" s="465">
        <v>44412.229194178202</v>
      </c>
    </row>
    <row r="22" spans="1:35">
      <c r="A22" s="1" t="s">
        <v>417</v>
      </c>
      <c r="B22" s="275" t="s">
        <v>972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973</v>
      </c>
      <c r="C23" s="466" t="s">
        <v>356</v>
      </c>
      <c r="D23" s="466" t="s">
        <v>974</v>
      </c>
      <c r="E23" s="466" t="s">
        <v>975</v>
      </c>
      <c r="F23" s="466" t="s">
        <v>317</v>
      </c>
      <c r="G23" s="466" t="s">
        <v>953</v>
      </c>
      <c r="H23" s="466" t="s">
        <v>368</v>
      </c>
      <c r="I23" s="466" t="s">
        <v>301</v>
      </c>
      <c r="J23" s="466" t="s">
        <v>356</v>
      </c>
      <c r="K23" s="466" t="s">
        <v>976</v>
      </c>
      <c r="L23" s="466" t="s">
        <v>977</v>
      </c>
      <c r="M23" s="466" t="s">
        <v>978</v>
      </c>
      <c r="N23" s="466" t="s">
        <v>955</v>
      </c>
      <c r="O23" s="466" t="s">
        <v>979</v>
      </c>
      <c r="P23" s="466" t="s">
        <v>980</v>
      </c>
      <c r="Q23" s="466" t="s">
        <v>356</v>
      </c>
      <c r="R23" s="466" t="s">
        <v>961</v>
      </c>
      <c r="S23" s="466" t="s">
        <v>981</v>
      </c>
      <c r="T23" s="466" t="s">
        <v>982</v>
      </c>
      <c r="U23" s="466" t="s">
        <v>368</v>
      </c>
      <c r="V23" s="466" t="s">
        <v>309</v>
      </c>
      <c r="W23" s="466" t="s">
        <v>329</v>
      </c>
      <c r="X23" s="466" t="s">
        <v>356</v>
      </c>
      <c r="Y23" s="466" t="s">
        <v>315</v>
      </c>
      <c r="Z23" s="466" t="s">
        <v>954</v>
      </c>
      <c r="AA23" s="466" t="s">
        <v>312</v>
      </c>
      <c r="AB23" s="466" t="s">
        <v>310</v>
      </c>
      <c r="AC23" s="466" t="s">
        <v>337</v>
      </c>
      <c r="AD23" s="466" t="s">
        <v>334</v>
      </c>
      <c r="AE23" s="466" t="s">
        <v>356</v>
      </c>
      <c r="AF23" s="466" t="s">
        <v>340</v>
      </c>
      <c r="AG23" s="466" t="s">
        <v>951</v>
      </c>
      <c r="AH23" s="466" t="s">
        <v>364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983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930</v>
      </c>
    </row>
    <row r="2" spans="1:36">
      <c r="A2" s="1" t="s">
        <v>417</v>
      </c>
      <c r="B2" s="275" t="s">
        <v>453</v>
      </c>
      <c r="C2" s="1" t="s">
        <v>236</v>
      </c>
      <c r="D2" s="1" t="s">
        <v>356</v>
      </c>
      <c r="E2" s="1" t="s">
        <v>346</v>
      </c>
      <c r="F2" s="1" t="s">
        <v>333</v>
      </c>
      <c r="G2" s="1" t="s">
        <v>323</v>
      </c>
      <c r="H2" s="1" t="s">
        <v>333</v>
      </c>
      <c r="I2" s="1" t="s">
        <v>330</v>
      </c>
      <c r="J2" s="1" t="s">
        <v>321</v>
      </c>
      <c r="K2" s="1" t="s">
        <v>356</v>
      </c>
      <c r="L2" s="1" t="s">
        <v>332</v>
      </c>
      <c r="M2" s="1" t="s">
        <v>340</v>
      </c>
      <c r="N2" s="1" t="s">
        <v>342</v>
      </c>
      <c r="O2" s="1" t="s">
        <v>346</v>
      </c>
      <c r="P2" s="1" t="s">
        <v>332</v>
      </c>
      <c r="Q2" s="1" t="s">
        <v>342</v>
      </c>
      <c r="R2" s="1" t="s">
        <v>356</v>
      </c>
      <c r="S2" s="1" t="s">
        <v>340</v>
      </c>
      <c r="T2" s="1" t="s">
        <v>370</v>
      </c>
      <c r="U2" s="1" t="s">
        <v>322</v>
      </c>
      <c r="V2" s="1" t="s">
        <v>333</v>
      </c>
      <c r="W2" s="1" t="s">
        <v>333</v>
      </c>
      <c r="X2" s="1" t="s">
        <v>287</v>
      </c>
      <c r="Y2" s="1" t="s">
        <v>356</v>
      </c>
      <c r="Z2" s="1" t="s">
        <v>289</v>
      </c>
      <c r="AA2" s="1" t="s">
        <v>332</v>
      </c>
      <c r="AB2" s="1" t="s">
        <v>289</v>
      </c>
      <c r="AC2" s="1" t="s">
        <v>341</v>
      </c>
      <c r="AD2" s="1" t="s">
        <v>287</v>
      </c>
      <c r="AE2" s="1" t="s">
        <v>286</v>
      </c>
      <c r="AF2" s="1" t="s">
        <v>356</v>
      </c>
      <c r="AG2" s="1" t="s">
        <v>288</v>
      </c>
      <c r="AH2" s="1" t="s">
        <v>288</v>
      </c>
      <c r="AI2" s="1" t="s">
        <v>333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356</v>
      </c>
      <c r="E3" s="1" t="s">
        <v>341</v>
      </c>
      <c r="F3" s="1" t="s">
        <v>288</v>
      </c>
      <c r="G3" s="1" t="s">
        <v>320</v>
      </c>
      <c r="H3" s="1" t="s">
        <v>341</v>
      </c>
      <c r="I3" s="1" t="s">
        <v>288</v>
      </c>
      <c r="J3" s="1" t="s">
        <v>330</v>
      </c>
      <c r="K3" s="1" t="s">
        <v>356</v>
      </c>
      <c r="L3" s="1" t="s">
        <v>341</v>
      </c>
      <c r="M3" s="1" t="s">
        <v>318</v>
      </c>
      <c r="N3" s="1" t="s">
        <v>331</v>
      </c>
      <c r="O3" s="1" t="s">
        <v>288</v>
      </c>
      <c r="P3" s="1" t="s">
        <v>330</v>
      </c>
      <c r="Q3" s="1" t="s">
        <v>321</v>
      </c>
      <c r="R3" s="1" t="s">
        <v>356</v>
      </c>
      <c r="S3" s="1" t="s">
        <v>287</v>
      </c>
      <c r="T3" s="1" t="s">
        <v>320</v>
      </c>
      <c r="U3" s="1" t="s">
        <v>289</v>
      </c>
      <c r="V3" s="1" t="s">
        <v>333</v>
      </c>
      <c r="W3" s="1" t="s">
        <v>289</v>
      </c>
      <c r="X3" s="1" t="s">
        <v>289</v>
      </c>
      <c r="Y3" s="1" t="s">
        <v>356</v>
      </c>
      <c r="Z3" s="1" t="s">
        <v>290</v>
      </c>
      <c r="AA3" s="1" t="s">
        <v>326</v>
      </c>
      <c r="AB3" s="1" t="s">
        <v>288</v>
      </c>
      <c r="AC3" s="1" t="s">
        <v>341</v>
      </c>
      <c r="AD3" s="1" t="s">
        <v>321</v>
      </c>
      <c r="AE3" s="1" t="s">
        <v>331</v>
      </c>
      <c r="AF3" s="1" t="s">
        <v>356</v>
      </c>
      <c r="AG3" s="1" t="s">
        <v>320</v>
      </c>
      <c r="AH3" s="1" t="s">
        <v>341</v>
      </c>
      <c r="AI3" s="1" t="s">
        <v>326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984</v>
      </c>
      <c r="D4" s="1" t="s">
        <v>356</v>
      </c>
      <c r="E4" s="1" t="s">
        <v>286</v>
      </c>
      <c r="F4" s="1" t="s">
        <v>331</v>
      </c>
      <c r="G4" s="1" t="s">
        <v>331</v>
      </c>
      <c r="H4" s="1" t="s">
        <v>286</v>
      </c>
      <c r="I4" s="1" t="s">
        <v>291</v>
      </c>
      <c r="J4" s="1" t="s">
        <v>341</v>
      </c>
      <c r="K4" s="1" t="s">
        <v>356</v>
      </c>
      <c r="L4" s="1" t="s">
        <v>307</v>
      </c>
      <c r="M4" s="1" t="s">
        <v>326</v>
      </c>
      <c r="N4" s="1" t="s">
        <v>319</v>
      </c>
      <c r="O4" s="1" t="s">
        <v>341</v>
      </c>
      <c r="P4" s="1" t="s">
        <v>291</v>
      </c>
      <c r="Q4" s="1" t="s">
        <v>305</v>
      </c>
      <c r="R4" s="1" t="s">
        <v>356</v>
      </c>
      <c r="S4" s="1" t="s">
        <v>308</v>
      </c>
      <c r="T4" s="1" t="s">
        <v>291</v>
      </c>
      <c r="U4" s="1" t="s">
        <v>318</v>
      </c>
      <c r="V4" s="1" t="s">
        <v>308</v>
      </c>
      <c r="W4" s="1" t="s">
        <v>319</v>
      </c>
      <c r="X4" s="1" t="s">
        <v>308</v>
      </c>
      <c r="Y4" s="1" t="s">
        <v>356</v>
      </c>
      <c r="Z4" s="1" t="s">
        <v>307</v>
      </c>
      <c r="AA4" s="1" t="s">
        <v>331</v>
      </c>
      <c r="AB4" s="1" t="s">
        <v>318</v>
      </c>
      <c r="AC4" s="1" t="s">
        <v>320</v>
      </c>
      <c r="AD4" s="1" t="s">
        <v>308</v>
      </c>
      <c r="AE4" s="1" t="s">
        <v>304</v>
      </c>
      <c r="AF4" s="1" t="s">
        <v>356</v>
      </c>
      <c r="AG4" s="1" t="s">
        <v>335</v>
      </c>
      <c r="AH4" s="1" t="s">
        <v>335</v>
      </c>
      <c r="AI4" s="1" t="s">
        <v>319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985</v>
      </c>
      <c r="D5" s="1" t="s">
        <v>356</v>
      </c>
      <c r="E5" s="1" t="s">
        <v>330</v>
      </c>
      <c r="F5" s="1" t="s">
        <v>330</v>
      </c>
      <c r="G5" s="1" t="s">
        <v>287</v>
      </c>
      <c r="H5" s="1" t="s">
        <v>286</v>
      </c>
      <c r="I5" s="1" t="s">
        <v>331</v>
      </c>
      <c r="J5" s="1" t="s">
        <v>330</v>
      </c>
      <c r="K5" s="1" t="s">
        <v>356</v>
      </c>
      <c r="L5" s="1" t="s">
        <v>326</v>
      </c>
      <c r="M5" s="1" t="s">
        <v>330</v>
      </c>
      <c r="N5" s="1" t="s">
        <v>321</v>
      </c>
      <c r="O5" s="1" t="s">
        <v>287</v>
      </c>
      <c r="P5" s="1" t="s">
        <v>287</v>
      </c>
      <c r="Q5" s="1" t="s">
        <v>333</v>
      </c>
      <c r="R5" s="1" t="s">
        <v>356</v>
      </c>
      <c r="S5" s="1" t="s">
        <v>289</v>
      </c>
      <c r="T5" s="1" t="s">
        <v>287</v>
      </c>
      <c r="U5" s="1" t="s">
        <v>290</v>
      </c>
      <c r="V5" s="1" t="s">
        <v>321</v>
      </c>
      <c r="W5" s="1" t="s">
        <v>289</v>
      </c>
      <c r="X5" s="1" t="s">
        <v>286</v>
      </c>
      <c r="Y5" s="1" t="s">
        <v>356</v>
      </c>
      <c r="Z5" s="1" t="s">
        <v>287</v>
      </c>
      <c r="AA5" s="1" t="s">
        <v>287</v>
      </c>
      <c r="AB5" s="1" t="s">
        <v>326</v>
      </c>
      <c r="AC5" s="1" t="s">
        <v>341</v>
      </c>
      <c r="AD5" s="1" t="s">
        <v>330</v>
      </c>
      <c r="AE5" s="1" t="s">
        <v>288</v>
      </c>
      <c r="AF5" s="1" t="s">
        <v>356</v>
      </c>
      <c r="AG5" s="1" t="s">
        <v>341</v>
      </c>
      <c r="AH5" s="1" t="s">
        <v>341</v>
      </c>
      <c r="AI5" s="1" t="s">
        <v>330</v>
      </c>
      <c r="AJ5" s="465">
        <v>43056.229596249999</v>
      </c>
    </row>
    <row r="6" spans="1:36">
      <c r="A6" s="1" t="s">
        <v>417</v>
      </c>
      <c r="B6" s="275" t="s">
        <v>487</v>
      </c>
      <c r="C6" s="1" t="s">
        <v>985</v>
      </c>
      <c r="D6" s="1" t="s">
        <v>356</v>
      </c>
      <c r="E6" s="1" t="s">
        <v>331</v>
      </c>
      <c r="F6" s="1" t="s">
        <v>321</v>
      </c>
      <c r="G6" s="1" t="s">
        <v>333</v>
      </c>
      <c r="H6" s="1" t="s">
        <v>287</v>
      </c>
      <c r="I6" s="1" t="s">
        <v>371</v>
      </c>
      <c r="J6" s="1" t="s">
        <v>332</v>
      </c>
      <c r="K6" s="1" t="s">
        <v>356</v>
      </c>
      <c r="L6" s="1" t="s">
        <v>289</v>
      </c>
      <c r="M6" s="1" t="s">
        <v>340</v>
      </c>
      <c r="N6" s="1" t="s">
        <v>287</v>
      </c>
      <c r="O6" s="1" t="s">
        <v>322</v>
      </c>
      <c r="P6" s="1" t="s">
        <v>321</v>
      </c>
      <c r="Q6" s="1" t="s">
        <v>288</v>
      </c>
      <c r="R6" s="1" t="s">
        <v>356</v>
      </c>
      <c r="S6" s="1" t="s">
        <v>286</v>
      </c>
      <c r="T6" s="1" t="s">
        <v>321</v>
      </c>
      <c r="U6" s="1" t="s">
        <v>346</v>
      </c>
      <c r="V6" s="1" t="s">
        <v>288</v>
      </c>
      <c r="W6" s="1" t="s">
        <v>287</v>
      </c>
      <c r="X6" s="1" t="s">
        <v>330</v>
      </c>
      <c r="Y6" s="1" t="s">
        <v>356</v>
      </c>
      <c r="Z6" s="1" t="s">
        <v>289</v>
      </c>
      <c r="AA6" s="1" t="s">
        <v>286</v>
      </c>
      <c r="AB6" s="1" t="s">
        <v>286</v>
      </c>
      <c r="AC6" s="1" t="s">
        <v>330</v>
      </c>
      <c r="AD6" s="1" t="s">
        <v>320</v>
      </c>
      <c r="AE6" s="1" t="s">
        <v>288</v>
      </c>
      <c r="AF6" s="1" t="s">
        <v>356</v>
      </c>
      <c r="AG6" s="1" t="s">
        <v>330</v>
      </c>
      <c r="AH6" s="1" t="s">
        <v>318</v>
      </c>
      <c r="AI6" s="1" t="s">
        <v>289</v>
      </c>
      <c r="AJ6" s="465">
        <v>43056.229596249999</v>
      </c>
    </row>
    <row r="7" spans="1:36">
      <c r="A7" s="1" t="s">
        <v>417</v>
      </c>
      <c r="B7" s="275" t="s">
        <v>518</v>
      </c>
      <c r="C7" s="1" t="s">
        <v>985</v>
      </c>
      <c r="D7" s="1" t="s">
        <v>356</v>
      </c>
      <c r="E7" s="1" t="s">
        <v>335</v>
      </c>
      <c r="F7" s="1" t="s">
        <v>293</v>
      </c>
      <c r="G7" s="1" t="s">
        <v>336</v>
      </c>
      <c r="H7" s="1" t="s">
        <v>304</v>
      </c>
      <c r="I7" s="1" t="s">
        <v>293</v>
      </c>
      <c r="J7" s="1" t="s">
        <v>293</v>
      </c>
      <c r="K7" s="1" t="s">
        <v>356</v>
      </c>
      <c r="L7" s="1" t="s">
        <v>293</v>
      </c>
      <c r="M7" s="1" t="s">
        <v>293</v>
      </c>
      <c r="N7" s="1" t="s">
        <v>293</v>
      </c>
      <c r="O7" s="1" t="s">
        <v>336</v>
      </c>
      <c r="P7" s="1" t="s">
        <v>293</v>
      </c>
      <c r="Q7" s="1" t="s">
        <v>293</v>
      </c>
      <c r="R7" s="1" t="s">
        <v>356</v>
      </c>
      <c r="S7" s="1" t="s">
        <v>293</v>
      </c>
      <c r="T7" s="1" t="s">
        <v>293</v>
      </c>
      <c r="U7" s="1" t="s">
        <v>293</v>
      </c>
      <c r="V7" s="1" t="s">
        <v>293</v>
      </c>
      <c r="W7" s="1" t="s">
        <v>293</v>
      </c>
      <c r="X7" s="1" t="s">
        <v>293</v>
      </c>
      <c r="Y7" s="1" t="s">
        <v>356</v>
      </c>
      <c r="Z7" s="1" t="s">
        <v>293</v>
      </c>
      <c r="AA7" s="1" t="s">
        <v>293</v>
      </c>
      <c r="AB7" s="1" t="s">
        <v>293</v>
      </c>
      <c r="AC7" s="1" t="s">
        <v>293</v>
      </c>
      <c r="AD7" s="1" t="s">
        <v>293</v>
      </c>
      <c r="AE7" s="1" t="s">
        <v>293</v>
      </c>
      <c r="AF7" s="1" t="s">
        <v>356</v>
      </c>
      <c r="AG7" s="1" t="s">
        <v>293</v>
      </c>
      <c r="AH7" s="1" t="s">
        <v>293</v>
      </c>
      <c r="AI7" s="1" t="s">
        <v>292</v>
      </c>
      <c r="AJ7" s="465">
        <v>43056.229596249999</v>
      </c>
    </row>
    <row r="8" spans="1:36">
      <c r="A8" s="1" t="s">
        <v>417</v>
      </c>
      <c r="B8" s="275" t="s">
        <v>548</v>
      </c>
      <c r="C8" s="1" t="s">
        <v>985</v>
      </c>
      <c r="D8" s="1" t="s">
        <v>356</v>
      </c>
      <c r="E8" s="1" t="s">
        <v>944</v>
      </c>
      <c r="F8" s="1" t="s">
        <v>932</v>
      </c>
      <c r="G8" s="1" t="s">
        <v>933</v>
      </c>
      <c r="H8" s="1" t="s">
        <v>293</v>
      </c>
      <c r="I8" s="1" t="s">
        <v>934</v>
      </c>
      <c r="J8" s="1" t="s">
        <v>935</v>
      </c>
      <c r="K8" s="1" t="s">
        <v>356</v>
      </c>
      <c r="L8" s="1" t="s">
        <v>293</v>
      </c>
      <c r="M8" s="1" t="s">
        <v>293</v>
      </c>
      <c r="N8" s="1" t="s">
        <v>293</v>
      </c>
      <c r="O8" s="1" t="s">
        <v>935</v>
      </c>
      <c r="P8" s="1" t="s">
        <v>986</v>
      </c>
      <c r="Q8" s="1" t="s">
        <v>293</v>
      </c>
      <c r="R8" s="1" t="s">
        <v>356</v>
      </c>
      <c r="S8" s="1" t="s">
        <v>293</v>
      </c>
      <c r="T8" s="1" t="s">
        <v>936</v>
      </c>
      <c r="U8" s="1" t="s">
        <v>933</v>
      </c>
      <c r="V8" s="1" t="s">
        <v>987</v>
      </c>
      <c r="W8" s="1" t="s">
        <v>988</v>
      </c>
      <c r="X8" s="1" t="s">
        <v>939</v>
      </c>
      <c r="Y8" s="1" t="s">
        <v>356</v>
      </c>
      <c r="Z8" s="1" t="s">
        <v>939</v>
      </c>
      <c r="AA8" s="1" t="s">
        <v>293</v>
      </c>
      <c r="AB8" s="1" t="s">
        <v>293</v>
      </c>
      <c r="AC8" s="1" t="s">
        <v>293</v>
      </c>
      <c r="AD8" s="1" t="s">
        <v>293</v>
      </c>
      <c r="AE8" s="1" t="s">
        <v>940</v>
      </c>
      <c r="AF8" s="1" t="s">
        <v>356</v>
      </c>
      <c r="AG8" s="1" t="s">
        <v>934</v>
      </c>
      <c r="AH8" s="1" t="s">
        <v>293</v>
      </c>
      <c r="AI8" s="1" t="s">
        <v>989</v>
      </c>
      <c r="AJ8" s="465">
        <v>43056.229596249999</v>
      </c>
    </row>
    <row r="9" spans="1:36">
      <c r="A9" s="1" t="s">
        <v>417</v>
      </c>
      <c r="B9" s="275" t="s">
        <v>578</v>
      </c>
      <c r="C9" s="1" t="s">
        <v>985</v>
      </c>
      <c r="D9" s="1" t="s">
        <v>356</v>
      </c>
      <c r="E9" s="1" t="s">
        <v>319</v>
      </c>
      <c r="F9" s="1" t="s">
        <v>358</v>
      </c>
      <c r="G9" s="1" t="s">
        <v>291</v>
      </c>
      <c r="H9" s="1" t="s">
        <v>307</v>
      </c>
      <c r="I9" s="1" t="s">
        <v>336</v>
      </c>
      <c r="J9" s="1" t="s">
        <v>304</v>
      </c>
      <c r="K9" s="1" t="s">
        <v>356</v>
      </c>
      <c r="L9" s="1" t="s">
        <v>304</v>
      </c>
      <c r="M9" s="1" t="s">
        <v>358</v>
      </c>
      <c r="N9" s="1" t="s">
        <v>308</v>
      </c>
      <c r="O9" s="1" t="s">
        <v>304</v>
      </c>
      <c r="P9" s="1" t="s">
        <v>307</v>
      </c>
      <c r="Q9" s="1" t="s">
        <v>336</v>
      </c>
      <c r="R9" s="1" t="s">
        <v>356</v>
      </c>
      <c r="S9" s="1" t="s">
        <v>335</v>
      </c>
      <c r="T9" s="1" t="s">
        <v>308</v>
      </c>
      <c r="U9" s="1" t="s">
        <v>306</v>
      </c>
      <c r="V9" s="1" t="s">
        <v>308</v>
      </c>
      <c r="W9" s="1" t="s">
        <v>335</v>
      </c>
      <c r="X9" s="1" t="s">
        <v>336</v>
      </c>
      <c r="Y9" s="1" t="s">
        <v>356</v>
      </c>
      <c r="Z9" s="1" t="s">
        <v>306</v>
      </c>
      <c r="AA9" s="1" t="s">
        <v>336</v>
      </c>
      <c r="AB9" s="1" t="s">
        <v>335</v>
      </c>
      <c r="AC9" s="1" t="s">
        <v>308</v>
      </c>
      <c r="AD9" s="1" t="s">
        <v>304</v>
      </c>
      <c r="AE9" s="1" t="s">
        <v>336</v>
      </c>
      <c r="AF9" s="1" t="s">
        <v>356</v>
      </c>
      <c r="AG9" s="1" t="s">
        <v>336</v>
      </c>
      <c r="AH9" s="1" t="s">
        <v>318</v>
      </c>
      <c r="AI9" s="1" t="s">
        <v>306</v>
      </c>
      <c r="AJ9" s="465">
        <v>43056.229596249999</v>
      </c>
    </row>
    <row r="10" spans="1:36">
      <c r="A10" s="1" t="s">
        <v>417</v>
      </c>
      <c r="B10" s="275" t="s">
        <v>611</v>
      </c>
      <c r="C10" s="1" t="s">
        <v>985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613</v>
      </c>
      <c r="C11" s="1" t="s">
        <v>985</v>
      </c>
      <c r="D11" s="1" t="s">
        <v>356</v>
      </c>
      <c r="E11" s="1" t="s">
        <v>306</v>
      </c>
      <c r="F11" s="1" t="s">
        <v>304</v>
      </c>
      <c r="G11" s="1" t="s">
        <v>304</v>
      </c>
      <c r="H11" s="1" t="s">
        <v>368</v>
      </c>
      <c r="I11" s="1" t="s">
        <v>307</v>
      </c>
      <c r="J11" s="1" t="s">
        <v>319</v>
      </c>
      <c r="K11" s="1" t="s">
        <v>356</v>
      </c>
      <c r="L11" s="1" t="s">
        <v>304</v>
      </c>
      <c r="M11" s="1" t="s">
        <v>358</v>
      </c>
      <c r="N11" s="1" t="s">
        <v>305</v>
      </c>
      <c r="O11" s="1" t="s">
        <v>305</v>
      </c>
      <c r="P11" s="1" t="s">
        <v>318</v>
      </c>
      <c r="Q11" s="1" t="s">
        <v>293</v>
      </c>
      <c r="R11" s="1" t="s">
        <v>356</v>
      </c>
      <c r="S11" s="1" t="s">
        <v>291</v>
      </c>
      <c r="T11" s="1" t="s">
        <v>340</v>
      </c>
      <c r="U11" s="1" t="s">
        <v>318</v>
      </c>
      <c r="V11" s="1" t="s">
        <v>341</v>
      </c>
      <c r="W11" s="1" t="s">
        <v>321</v>
      </c>
      <c r="X11" s="1" t="s">
        <v>333</v>
      </c>
      <c r="Y11" s="1" t="s">
        <v>356</v>
      </c>
      <c r="Z11" s="1" t="s">
        <v>307</v>
      </c>
      <c r="AA11" s="1" t="s">
        <v>293</v>
      </c>
      <c r="AB11" s="1" t="s">
        <v>308</v>
      </c>
      <c r="AC11" s="1" t="s">
        <v>305</v>
      </c>
      <c r="AD11" s="1" t="s">
        <v>291</v>
      </c>
      <c r="AE11" s="1" t="s">
        <v>308</v>
      </c>
      <c r="AF11" s="1" t="s">
        <v>356</v>
      </c>
      <c r="AG11" s="1" t="s">
        <v>290</v>
      </c>
      <c r="AH11" s="1" t="s">
        <v>335</v>
      </c>
      <c r="AI11" s="1" t="s">
        <v>318</v>
      </c>
      <c r="AJ11" s="465">
        <v>43056.229596249999</v>
      </c>
    </row>
    <row r="12" spans="1:36">
      <c r="A12" s="1" t="s">
        <v>417</v>
      </c>
      <c r="B12" s="275" t="s">
        <v>947</v>
      </c>
      <c r="C12" s="1" t="s">
        <v>985</v>
      </c>
      <c r="D12" s="1" t="s">
        <v>356</v>
      </c>
      <c r="E12" s="1" t="s">
        <v>293</v>
      </c>
      <c r="F12" s="1" t="s">
        <v>293</v>
      </c>
      <c r="G12" s="1" t="s">
        <v>293</v>
      </c>
      <c r="H12" s="1" t="s">
        <v>293</v>
      </c>
      <c r="I12" s="1" t="s">
        <v>293</v>
      </c>
      <c r="J12" s="1" t="s">
        <v>293</v>
      </c>
      <c r="K12" s="1" t="s">
        <v>356</v>
      </c>
      <c r="L12" s="1" t="s">
        <v>293</v>
      </c>
      <c r="M12" s="1" t="s">
        <v>293</v>
      </c>
      <c r="N12" s="1" t="s">
        <v>293</v>
      </c>
      <c r="O12" s="1" t="s">
        <v>293</v>
      </c>
      <c r="P12" s="1" t="s">
        <v>293</v>
      </c>
      <c r="Q12" s="1" t="s">
        <v>293</v>
      </c>
      <c r="R12" s="1" t="s">
        <v>356</v>
      </c>
      <c r="S12" s="1" t="s">
        <v>293</v>
      </c>
      <c r="T12" s="1" t="s">
        <v>293</v>
      </c>
      <c r="U12" s="1" t="s">
        <v>293</v>
      </c>
      <c r="V12" s="1" t="s">
        <v>293</v>
      </c>
      <c r="W12" s="1" t="s">
        <v>293</v>
      </c>
      <c r="X12" s="1" t="s">
        <v>293</v>
      </c>
      <c r="Y12" s="1" t="s">
        <v>356</v>
      </c>
      <c r="Z12" s="1" t="s">
        <v>293</v>
      </c>
      <c r="AA12" s="1" t="s">
        <v>293</v>
      </c>
      <c r="AB12" s="1" t="s">
        <v>293</v>
      </c>
      <c r="AC12" s="1" t="s">
        <v>293</v>
      </c>
      <c r="AD12" s="1" t="s">
        <v>293</v>
      </c>
      <c r="AE12" s="1" t="s">
        <v>293</v>
      </c>
      <c r="AF12" s="1" t="s">
        <v>356</v>
      </c>
      <c r="AG12" s="1" t="s">
        <v>293</v>
      </c>
      <c r="AH12" s="1" t="s">
        <v>293</v>
      </c>
      <c r="AI12" s="1" t="s">
        <v>293</v>
      </c>
      <c r="AJ12" s="465">
        <v>43056.229596249999</v>
      </c>
    </row>
    <row r="13" spans="1:36">
      <c r="A13" s="1" t="s">
        <v>417</v>
      </c>
      <c r="B13" s="275" t="s">
        <v>948</v>
      </c>
      <c r="C13" s="1" t="s">
        <v>985</v>
      </c>
      <c r="D13" s="1" t="s">
        <v>356</v>
      </c>
      <c r="E13" s="1" t="s">
        <v>949</v>
      </c>
      <c r="F13" s="1" t="s">
        <v>293</v>
      </c>
      <c r="G13" s="1" t="s">
        <v>293</v>
      </c>
      <c r="H13" s="1" t="s">
        <v>293</v>
      </c>
      <c r="I13" s="1" t="s">
        <v>293</v>
      </c>
      <c r="J13" s="1" t="s">
        <v>933</v>
      </c>
      <c r="K13" s="1" t="s">
        <v>356</v>
      </c>
      <c r="L13" s="1" t="s">
        <v>293</v>
      </c>
      <c r="M13" s="1" t="s">
        <v>293</v>
      </c>
      <c r="N13" s="1" t="s">
        <v>293</v>
      </c>
      <c r="O13" s="1" t="s">
        <v>293</v>
      </c>
      <c r="P13" s="1" t="s">
        <v>943</v>
      </c>
      <c r="Q13" s="1" t="s">
        <v>939</v>
      </c>
      <c r="R13" s="1" t="s">
        <v>356</v>
      </c>
      <c r="S13" s="1" t="s">
        <v>293</v>
      </c>
      <c r="T13" s="1" t="s">
        <v>950</v>
      </c>
      <c r="U13" s="1" t="s">
        <v>293</v>
      </c>
      <c r="V13" s="1" t="s">
        <v>293</v>
      </c>
      <c r="W13" s="1" t="s">
        <v>328</v>
      </c>
      <c r="X13" s="1" t="s">
        <v>293</v>
      </c>
      <c r="Y13" s="1" t="s">
        <v>356</v>
      </c>
      <c r="Z13" s="1" t="s">
        <v>293</v>
      </c>
      <c r="AA13" s="1" t="s">
        <v>293</v>
      </c>
      <c r="AB13" s="1" t="s">
        <v>293</v>
      </c>
      <c r="AC13" s="1" t="s">
        <v>343</v>
      </c>
      <c r="AD13" s="1" t="s">
        <v>293</v>
      </c>
      <c r="AE13" s="1" t="s">
        <v>935</v>
      </c>
      <c r="AF13" s="1" t="s">
        <v>356</v>
      </c>
      <c r="AG13" s="1" t="s">
        <v>293</v>
      </c>
      <c r="AH13" s="1" t="s">
        <v>293</v>
      </c>
      <c r="AI13" s="1" t="s">
        <v>371</v>
      </c>
      <c r="AJ13" s="465">
        <v>43056.229596249999</v>
      </c>
    </row>
    <row r="14" spans="1:36">
      <c r="A14" s="1" t="s">
        <v>417</v>
      </c>
      <c r="B14" s="275" t="s">
        <v>952</v>
      </c>
      <c r="C14" s="1" t="s">
        <v>985</v>
      </c>
      <c r="D14" s="1" t="s">
        <v>356</v>
      </c>
      <c r="E14" s="1" t="s">
        <v>982</v>
      </c>
      <c r="F14" s="1" t="s">
        <v>328</v>
      </c>
      <c r="G14" s="1" t="s">
        <v>325</v>
      </c>
      <c r="H14" s="1" t="s">
        <v>347</v>
      </c>
      <c r="I14" s="1" t="s">
        <v>343</v>
      </c>
      <c r="J14" s="1" t="s">
        <v>339</v>
      </c>
      <c r="K14" s="1" t="s">
        <v>356</v>
      </c>
      <c r="L14" s="1" t="s">
        <v>360</v>
      </c>
      <c r="M14" s="1" t="s">
        <v>347</v>
      </c>
      <c r="N14" s="1" t="s">
        <v>338</v>
      </c>
      <c r="O14" s="1" t="s">
        <v>329</v>
      </c>
      <c r="P14" s="1" t="s">
        <v>334</v>
      </c>
      <c r="Q14" s="1" t="s">
        <v>323</v>
      </c>
      <c r="R14" s="1" t="s">
        <v>356</v>
      </c>
      <c r="S14" s="1" t="s">
        <v>358</v>
      </c>
      <c r="T14" s="1" t="s">
        <v>345</v>
      </c>
      <c r="U14" s="1" t="s">
        <v>338</v>
      </c>
      <c r="V14" s="1" t="s">
        <v>340</v>
      </c>
      <c r="W14" s="1" t="s">
        <v>286</v>
      </c>
      <c r="X14" s="1" t="s">
        <v>307</v>
      </c>
      <c r="Y14" s="1" t="s">
        <v>356</v>
      </c>
      <c r="Z14" s="1" t="s">
        <v>286</v>
      </c>
      <c r="AA14" s="1" t="s">
        <v>290</v>
      </c>
      <c r="AB14" s="1" t="s">
        <v>289</v>
      </c>
      <c r="AC14" s="1" t="s">
        <v>349</v>
      </c>
      <c r="AD14" s="1" t="s">
        <v>982</v>
      </c>
      <c r="AE14" s="1" t="s">
        <v>951</v>
      </c>
      <c r="AF14" s="1" t="s">
        <v>356</v>
      </c>
      <c r="AG14" s="1" t="s">
        <v>344</v>
      </c>
      <c r="AH14" s="1" t="s">
        <v>326</v>
      </c>
      <c r="AI14" s="1" t="s">
        <v>353</v>
      </c>
      <c r="AJ14" s="465">
        <v>43056.229596249999</v>
      </c>
    </row>
    <row r="15" spans="1:36">
      <c r="A15" s="1" t="s">
        <v>417</v>
      </c>
      <c r="B15" s="275" t="s">
        <v>956</v>
      </c>
      <c r="C15" s="1" t="s">
        <v>985</v>
      </c>
      <c r="D15" s="1" t="s">
        <v>356</v>
      </c>
      <c r="E15" s="1" t="s">
        <v>957</v>
      </c>
      <c r="F15" s="1" t="s">
        <v>958</v>
      </c>
      <c r="G15" s="1" t="s">
        <v>331</v>
      </c>
      <c r="H15" s="1" t="s">
        <v>286</v>
      </c>
      <c r="I15" s="1" t="s">
        <v>293</v>
      </c>
      <c r="J15" s="1" t="s">
        <v>293</v>
      </c>
      <c r="K15" s="1" t="s">
        <v>356</v>
      </c>
      <c r="L15" s="1" t="s">
        <v>293</v>
      </c>
      <c r="M15" s="1" t="s">
        <v>316</v>
      </c>
      <c r="N15" s="1" t="s">
        <v>990</v>
      </c>
      <c r="O15" s="1" t="s">
        <v>960</v>
      </c>
      <c r="P15" s="1" t="s">
        <v>936</v>
      </c>
      <c r="Q15" s="1" t="s">
        <v>962</v>
      </c>
      <c r="R15" s="1" t="s">
        <v>356</v>
      </c>
      <c r="S15" s="1" t="s">
        <v>934</v>
      </c>
      <c r="T15" s="1" t="s">
        <v>339</v>
      </c>
      <c r="U15" s="1" t="s">
        <v>991</v>
      </c>
      <c r="V15" s="1" t="s">
        <v>354</v>
      </c>
      <c r="W15" s="1" t="s">
        <v>293</v>
      </c>
      <c r="X15" s="1" t="s">
        <v>293</v>
      </c>
      <c r="Y15" s="1" t="s">
        <v>356</v>
      </c>
      <c r="Z15" s="1" t="s">
        <v>326</v>
      </c>
      <c r="AA15" s="1" t="s">
        <v>315</v>
      </c>
      <c r="AB15" s="1" t="s">
        <v>300</v>
      </c>
      <c r="AC15" s="1" t="s">
        <v>964</v>
      </c>
      <c r="AD15" s="1" t="s">
        <v>293</v>
      </c>
      <c r="AE15" s="1" t="s">
        <v>326</v>
      </c>
      <c r="AF15" s="1" t="s">
        <v>356</v>
      </c>
      <c r="AG15" s="1" t="s">
        <v>320</v>
      </c>
      <c r="AH15" s="1" t="s">
        <v>293</v>
      </c>
      <c r="AI15" s="1" t="s">
        <v>315</v>
      </c>
      <c r="AJ15" s="465">
        <v>43056.229596249999</v>
      </c>
    </row>
    <row r="16" spans="1:36">
      <c r="A16" s="1" t="s">
        <v>417</v>
      </c>
      <c r="B16" s="275" t="s">
        <v>965</v>
      </c>
      <c r="C16" s="1" t="s">
        <v>985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992</v>
      </c>
      <c r="C17" s="1" t="s">
        <v>985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993</v>
      </c>
      <c r="C18" s="1" t="s">
        <v>985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994</v>
      </c>
      <c r="C19" s="1" t="s">
        <v>985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995</v>
      </c>
      <c r="C20" s="1" t="s">
        <v>985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996</v>
      </c>
      <c r="C21" s="1" t="s">
        <v>985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997</v>
      </c>
      <c r="C22" s="466" t="s">
        <v>985</v>
      </c>
      <c r="D22" s="466" t="s">
        <v>356</v>
      </c>
      <c r="E22" s="466" t="s">
        <v>360</v>
      </c>
      <c r="F22" s="466" t="s">
        <v>950</v>
      </c>
      <c r="G22" s="466" t="s">
        <v>349</v>
      </c>
      <c r="H22" s="466" t="s">
        <v>344</v>
      </c>
      <c r="I22" s="466" t="s">
        <v>998</v>
      </c>
      <c r="J22" s="466" t="s">
        <v>999</v>
      </c>
      <c r="K22" s="466" t="s">
        <v>356</v>
      </c>
      <c r="L22" s="466" t="s">
        <v>1000</v>
      </c>
      <c r="M22" s="466" t="s">
        <v>1001</v>
      </c>
      <c r="N22" s="466" t="s">
        <v>943</v>
      </c>
      <c r="O22" s="466" t="s">
        <v>312</v>
      </c>
      <c r="P22" s="466" t="s">
        <v>975</v>
      </c>
      <c r="Q22" s="466" t="s">
        <v>327</v>
      </c>
      <c r="R22" s="466" t="s">
        <v>356</v>
      </c>
      <c r="S22" s="466" t="s">
        <v>1002</v>
      </c>
      <c r="T22" s="466" t="s">
        <v>953</v>
      </c>
      <c r="U22" s="466" t="s">
        <v>951</v>
      </c>
      <c r="V22" s="466" t="s">
        <v>334</v>
      </c>
      <c r="W22" s="466" t="s">
        <v>311</v>
      </c>
      <c r="X22" s="466" t="s">
        <v>345</v>
      </c>
      <c r="Y22" s="466" t="s">
        <v>356</v>
      </c>
      <c r="Z22" s="466" t="s">
        <v>311</v>
      </c>
      <c r="AA22" s="466" t="s">
        <v>964</v>
      </c>
      <c r="AB22" s="466" t="s">
        <v>347</v>
      </c>
      <c r="AC22" s="466" t="s">
        <v>951</v>
      </c>
      <c r="AD22" s="466" t="s">
        <v>348</v>
      </c>
      <c r="AE22" s="466" t="s">
        <v>340</v>
      </c>
      <c r="AF22" s="466" t="s">
        <v>356</v>
      </c>
      <c r="AG22" s="466" t="s">
        <v>326</v>
      </c>
      <c r="AH22" s="466" t="s">
        <v>322</v>
      </c>
      <c r="AI22" s="466" t="s">
        <v>316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1003</v>
      </c>
    </row>
    <row r="2" spans="1:35">
      <c r="A2" s="1" t="s">
        <v>417</v>
      </c>
      <c r="B2" s="275" t="s">
        <v>453</v>
      </c>
      <c r="C2" s="1" t="s">
        <v>612</v>
      </c>
      <c r="D2" s="1" t="s">
        <v>1004</v>
      </c>
      <c r="E2" s="1" t="s">
        <v>1005</v>
      </c>
      <c r="F2" s="1" t="s">
        <v>1006</v>
      </c>
      <c r="G2" s="1" t="s">
        <v>1007</v>
      </c>
      <c r="H2" s="1" t="s">
        <v>1008</v>
      </c>
      <c r="I2" s="1"/>
      <c r="J2" s="1" t="s">
        <v>612</v>
      </c>
      <c r="K2" s="1" t="s">
        <v>1009</v>
      </c>
      <c r="L2" s="1" t="s">
        <v>1010</v>
      </c>
      <c r="M2" s="1" t="s">
        <v>1011</v>
      </c>
      <c r="N2" s="1" t="s">
        <v>1012</v>
      </c>
      <c r="O2" s="1" t="s">
        <v>1013</v>
      </c>
      <c r="P2" s="1" t="s">
        <v>1014</v>
      </c>
      <c r="Q2" s="1" t="s">
        <v>612</v>
      </c>
      <c r="R2" s="1" t="s">
        <v>1006</v>
      </c>
      <c r="S2" s="1" t="s">
        <v>1015</v>
      </c>
      <c r="T2" s="1" t="s">
        <v>1016</v>
      </c>
      <c r="U2" s="1" t="s">
        <v>1017</v>
      </c>
      <c r="V2" s="1" t="s">
        <v>1018</v>
      </c>
      <c r="W2" s="1" t="s">
        <v>1019</v>
      </c>
      <c r="X2" s="1" t="s">
        <v>612</v>
      </c>
      <c r="Y2" s="1" t="s">
        <v>1020</v>
      </c>
      <c r="Z2" s="1" t="s">
        <v>1021</v>
      </c>
      <c r="AA2" s="1" t="s">
        <v>1022</v>
      </c>
      <c r="AB2" s="1" t="s">
        <v>1023</v>
      </c>
      <c r="AC2" s="1" t="s">
        <v>1024</v>
      </c>
      <c r="AD2" s="1" t="s">
        <v>1025</v>
      </c>
      <c r="AE2" s="1" t="s">
        <v>612</v>
      </c>
      <c r="AF2" s="1" t="s">
        <v>1026</v>
      </c>
      <c r="AG2" s="1" t="s">
        <v>1019</v>
      </c>
      <c r="AH2" s="1" t="s">
        <v>1027</v>
      </c>
      <c r="AI2" s="465">
        <v>43056.2297915741</v>
      </c>
    </row>
    <row r="3" spans="1:35">
      <c r="A3" s="1" t="s">
        <v>417</v>
      </c>
      <c r="B3" s="275" t="s">
        <v>487</v>
      </c>
      <c r="C3" s="1" t="s">
        <v>612</v>
      </c>
      <c r="D3" s="1" t="s">
        <v>1028</v>
      </c>
      <c r="E3" s="1" t="s">
        <v>1029</v>
      </c>
      <c r="F3" s="1" t="s">
        <v>1030</v>
      </c>
      <c r="G3" s="1" t="s">
        <v>1031</v>
      </c>
      <c r="H3" s="1" t="s">
        <v>1032</v>
      </c>
      <c r="I3" s="1"/>
      <c r="J3" s="1" t="s">
        <v>612</v>
      </c>
      <c r="K3" s="1" t="s">
        <v>1033</v>
      </c>
      <c r="L3" s="1" t="s">
        <v>1034</v>
      </c>
      <c r="M3" s="1" t="s">
        <v>1035</v>
      </c>
      <c r="N3" s="1" t="s">
        <v>1036</v>
      </c>
      <c r="O3" s="1" t="s">
        <v>1037</v>
      </c>
      <c r="P3" s="1" t="s">
        <v>1038</v>
      </c>
      <c r="Q3" s="1" t="s">
        <v>612</v>
      </c>
      <c r="R3" s="1" t="s">
        <v>1039</v>
      </c>
      <c r="S3" s="1" t="s">
        <v>1040</v>
      </c>
      <c r="T3" s="1" t="s">
        <v>1041</v>
      </c>
      <c r="U3" s="1" t="s">
        <v>1042</v>
      </c>
      <c r="V3" s="1" t="s">
        <v>1043</v>
      </c>
      <c r="W3" s="1" t="s">
        <v>1044</v>
      </c>
      <c r="X3" s="1" t="s">
        <v>612</v>
      </c>
      <c r="Y3" s="1" t="s">
        <v>1045</v>
      </c>
      <c r="Z3" s="1" t="s">
        <v>1037</v>
      </c>
      <c r="AA3" s="1" t="s">
        <v>1046</v>
      </c>
      <c r="AB3" s="1" t="s">
        <v>1047</v>
      </c>
      <c r="AC3" s="1" t="s">
        <v>1048</v>
      </c>
      <c r="AD3" s="1" t="s">
        <v>1038</v>
      </c>
      <c r="AE3" s="1" t="s">
        <v>612</v>
      </c>
      <c r="AF3" s="1" t="s">
        <v>1049</v>
      </c>
      <c r="AG3" s="1" t="s">
        <v>1050</v>
      </c>
      <c r="AH3" s="1" t="s">
        <v>1051</v>
      </c>
      <c r="AI3" s="465">
        <v>43056.2297915741</v>
      </c>
    </row>
    <row r="4" spans="1:35">
      <c r="A4" s="1" t="s">
        <v>417</v>
      </c>
      <c r="B4" s="275" t="s">
        <v>518</v>
      </c>
      <c r="C4" s="1" t="s">
        <v>612</v>
      </c>
      <c r="D4" s="1" t="s">
        <v>1052</v>
      </c>
      <c r="E4" s="1" t="s">
        <v>612</v>
      </c>
      <c r="F4" s="1" t="s">
        <v>1053</v>
      </c>
      <c r="G4" s="1" t="s">
        <v>1053</v>
      </c>
      <c r="H4" s="1" t="s">
        <v>612</v>
      </c>
      <c r="I4" s="1"/>
      <c r="J4" s="1" t="s">
        <v>612</v>
      </c>
      <c r="K4" s="1" t="s">
        <v>612</v>
      </c>
      <c r="L4" s="1" t="s">
        <v>612</v>
      </c>
      <c r="M4" s="1" t="s">
        <v>612</v>
      </c>
      <c r="N4" s="1" t="s">
        <v>1053</v>
      </c>
      <c r="O4" s="1" t="s">
        <v>612</v>
      </c>
      <c r="P4" s="1" t="s">
        <v>612</v>
      </c>
      <c r="Q4" s="1" t="s">
        <v>612</v>
      </c>
      <c r="R4" s="1" t="s">
        <v>612</v>
      </c>
      <c r="S4" s="1" t="s">
        <v>612</v>
      </c>
      <c r="T4" s="1" t="s">
        <v>612</v>
      </c>
      <c r="U4" s="1" t="s">
        <v>612</v>
      </c>
      <c r="V4" s="1" t="s">
        <v>612</v>
      </c>
      <c r="W4" s="1" t="s">
        <v>612</v>
      </c>
      <c r="X4" s="1" t="s">
        <v>612</v>
      </c>
      <c r="Y4" s="1" t="s">
        <v>612</v>
      </c>
      <c r="Z4" s="1" t="s">
        <v>612</v>
      </c>
      <c r="AA4" s="1" t="s">
        <v>612</v>
      </c>
      <c r="AB4" s="1" t="s">
        <v>612</v>
      </c>
      <c r="AC4" s="1" t="s">
        <v>612</v>
      </c>
      <c r="AD4" s="1" t="s">
        <v>612</v>
      </c>
      <c r="AE4" s="1" t="s">
        <v>612</v>
      </c>
      <c r="AF4" s="1" t="s">
        <v>612</v>
      </c>
      <c r="AG4" s="1" t="s">
        <v>612</v>
      </c>
      <c r="AH4" s="1" t="s">
        <v>1054</v>
      </c>
      <c r="AI4" s="465">
        <v>43056.2297915741</v>
      </c>
    </row>
    <row r="5" spans="1:35">
      <c r="A5" s="1" t="s">
        <v>417</v>
      </c>
      <c r="B5" s="275" t="s">
        <v>548</v>
      </c>
      <c r="C5" s="1" t="s">
        <v>612</v>
      </c>
      <c r="D5" s="1" t="s">
        <v>1055</v>
      </c>
      <c r="E5" s="1" t="s">
        <v>1052</v>
      </c>
      <c r="F5" s="1" t="s">
        <v>1053</v>
      </c>
      <c r="G5" s="1" t="s">
        <v>612</v>
      </c>
      <c r="H5" s="1" t="s">
        <v>1052</v>
      </c>
      <c r="I5" s="1"/>
      <c r="J5" s="1" t="s">
        <v>612</v>
      </c>
      <c r="K5" s="1" t="s">
        <v>612</v>
      </c>
      <c r="L5" s="1" t="s">
        <v>612</v>
      </c>
      <c r="M5" s="1" t="s">
        <v>1053</v>
      </c>
      <c r="N5" s="1" t="s">
        <v>1053</v>
      </c>
      <c r="O5" s="1" t="s">
        <v>1055</v>
      </c>
      <c r="P5" s="1" t="s">
        <v>612</v>
      </c>
      <c r="Q5" s="1" t="s">
        <v>612</v>
      </c>
      <c r="R5" s="1" t="s">
        <v>612</v>
      </c>
      <c r="S5" s="1" t="s">
        <v>1053</v>
      </c>
      <c r="T5" s="1" t="s">
        <v>1053</v>
      </c>
      <c r="U5" s="1" t="s">
        <v>1056</v>
      </c>
      <c r="V5" s="1" t="s">
        <v>1055</v>
      </c>
      <c r="W5" s="1" t="s">
        <v>1052</v>
      </c>
      <c r="X5" s="1" t="s">
        <v>612</v>
      </c>
      <c r="Y5" s="1" t="s">
        <v>1053</v>
      </c>
      <c r="Z5" s="1" t="s">
        <v>612</v>
      </c>
      <c r="AA5" s="1" t="s">
        <v>612</v>
      </c>
      <c r="AB5" s="1" t="s">
        <v>1053</v>
      </c>
      <c r="AC5" s="1" t="s">
        <v>612</v>
      </c>
      <c r="AD5" s="1" t="s">
        <v>1053</v>
      </c>
      <c r="AE5" s="1" t="s">
        <v>612</v>
      </c>
      <c r="AF5" s="1" t="s">
        <v>1052</v>
      </c>
      <c r="AG5" s="1" t="s">
        <v>612</v>
      </c>
      <c r="AH5" s="1" t="s">
        <v>1057</v>
      </c>
      <c r="AI5" s="465">
        <v>43056.2297915741</v>
      </c>
    </row>
    <row r="6" spans="1:35">
      <c r="A6" s="1" t="s">
        <v>417</v>
      </c>
      <c r="B6" s="275" t="s">
        <v>578</v>
      </c>
      <c r="C6" s="1" t="s">
        <v>612</v>
      </c>
      <c r="D6" s="1" t="s">
        <v>1058</v>
      </c>
      <c r="E6" s="1" t="s">
        <v>1059</v>
      </c>
      <c r="F6" s="1" t="s">
        <v>1059</v>
      </c>
      <c r="G6" s="1" t="s">
        <v>1060</v>
      </c>
      <c r="H6" s="1" t="s">
        <v>1061</v>
      </c>
      <c r="I6" s="1"/>
      <c r="J6" s="1" t="s">
        <v>612</v>
      </c>
      <c r="K6" s="1" t="s">
        <v>1062</v>
      </c>
      <c r="L6" s="1" t="s">
        <v>1038</v>
      </c>
      <c r="M6" s="1" t="s">
        <v>1063</v>
      </c>
      <c r="N6" s="1" t="s">
        <v>1061</v>
      </c>
      <c r="O6" s="1" t="s">
        <v>1064</v>
      </c>
      <c r="P6" s="1" t="s">
        <v>1061</v>
      </c>
      <c r="Q6" s="1" t="s">
        <v>612</v>
      </c>
      <c r="R6" s="1" t="s">
        <v>1065</v>
      </c>
      <c r="S6" s="1" t="s">
        <v>1063</v>
      </c>
      <c r="T6" s="1" t="s">
        <v>1066</v>
      </c>
      <c r="U6" s="1" t="s">
        <v>1066</v>
      </c>
      <c r="V6" s="1" t="s">
        <v>1062</v>
      </c>
      <c r="W6" s="1" t="s">
        <v>1067</v>
      </c>
      <c r="X6" s="1" t="s">
        <v>612</v>
      </c>
      <c r="Y6" s="1" t="s">
        <v>1068</v>
      </c>
      <c r="Z6" s="1" t="s">
        <v>1055</v>
      </c>
      <c r="AA6" s="1" t="s">
        <v>1061</v>
      </c>
      <c r="AB6" s="1" t="s">
        <v>1069</v>
      </c>
      <c r="AC6" s="1" t="s">
        <v>1062</v>
      </c>
      <c r="AD6" s="1" t="s">
        <v>1056</v>
      </c>
      <c r="AE6" s="1" t="s">
        <v>612</v>
      </c>
      <c r="AF6" s="1" t="s">
        <v>1062</v>
      </c>
      <c r="AG6" s="1" t="s">
        <v>1070</v>
      </c>
      <c r="AH6" s="1" t="s">
        <v>1071</v>
      </c>
      <c r="AI6" s="465">
        <v>43056.2297915741</v>
      </c>
    </row>
    <row r="7" spans="1:35">
      <c r="A7" s="1" t="s">
        <v>417</v>
      </c>
      <c r="B7" s="275" t="s">
        <v>611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/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1" t="s">
        <v>612</v>
      </c>
      <c r="AD7" s="1" t="s">
        <v>612</v>
      </c>
      <c r="AE7" s="1" t="s">
        <v>612</v>
      </c>
      <c r="AF7" s="1" t="s">
        <v>612</v>
      </c>
      <c r="AG7" s="1" t="s">
        <v>612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613</v>
      </c>
      <c r="C8" s="1" t="s">
        <v>612</v>
      </c>
      <c r="D8" s="1" t="s">
        <v>1067</v>
      </c>
      <c r="E8" s="1" t="s">
        <v>1053</v>
      </c>
      <c r="F8" s="1" t="s">
        <v>1053</v>
      </c>
      <c r="G8" s="1" t="s">
        <v>1072</v>
      </c>
      <c r="H8" s="1" t="s">
        <v>1052</v>
      </c>
      <c r="I8" s="1"/>
      <c r="J8" s="1" t="s">
        <v>612</v>
      </c>
      <c r="K8" s="1" t="s">
        <v>1053</v>
      </c>
      <c r="L8" s="1" t="s">
        <v>1067</v>
      </c>
      <c r="M8" s="1" t="s">
        <v>1067</v>
      </c>
      <c r="N8" s="1" t="s">
        <v>1067</v>
      </c>
      <c r="O8" s="1" t="s">
        <v>1055</v>
      </c>
      <c r="P8" s="1" t="s">
        <v>612</v>
      </c>
      <c r="Q8" s="1" t="s">
        <v>612</v>
      </c>
      <c r="R8" s="1" t="s">
        <v>1055</v>
      </c>
      <c r="S8" s="1" t="s">
        <v>1073</v>
      </c>
      <c r="T8" s="1" t="s">
        <v>1055</v>
      </c>
      <c r="U8" s="1" t="s">
        <v>1055</v>
      </c>
      <c r="V8" s="1" t="s">
        <v>1061</v>
      </c>
      <c r="W8" s="1" t="s">
        <v>1073</v>
      </c>
      <c r="X8" s="1" t="s">
        <v>612</v>
      </c>
      <c r="Y8" s="1" t="s">
        <v>1067</v>
      </c>
      <c r="Z8" s="1" t="s">
        <v>612</v>
      </c>
      <c r="AA8" s="1" t="s">
        <v>1052</v>
      </c>
      <c r="AB8" s="1" t="s">
        <v>1067</v>
      </c>
      <c r="AC8" s="1" t="s">
        <v>1055</v>
      </c>
      <c r="AD8" s="1" t="s">
        <v>1052</v>
      </c>
      <c r="AE8" s="1" t="s">
        <v>612</v>
      </c>
      <c r="AF8" s="1" t="s">
        <v>1074</v>
      </c>
      <c r="AG8" s="1" t="s">
        <v>1052</v>
      </c>
      <c r="AH8" s="1" t="s">
        <v>1075</v>
      </c>
      <c r="AI8" s="465">
        <v>43056.2297915741</v>
      </c>
    </row>
    <row r="9" spans="1:35">
      <c r="A9" s="1" t="s">
        <v>417</v>
      </c>
      <c r="B9" s="275" t="s">
        <v>941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/>
      <c r="J9" s="1" t="s">
        <v>612</v>
      </c>
      <c r="K9" s="1" t="s">
        <v>612</v>
      </c>
      <c r="L9" s="1" t="s">
        <v>612</v>
      </c>
      <c r="M9" s="1" t="s">
        <v>612</v>
      </c>
      <c r="N9" s="1" t="s">
        <v>1052</v>
      </c>
      <c r="O9" s="1" t="s">
        <v>1053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1053</v>
      </c>
      <c r="U9" s="1" t="s">
        <v>612</v>
      </c>
      <c r="V9" s="1" t="s">
        <v>612</v>
      </c>
      <c r="W9" s="1" t="s">
        <v>1052</v>
      </c>
      <c r="X9" s="1" t="s">
        <v>612</v>
      </c>
      <c r="Y9" s="1" t="s">
        <v>1067</v>
      </c>
      <c r="Z9" s="1" t="s">
        <v>1052</v>
      </c>
      <c r="AA9" s="1" t="s">
        <v>1067</v>
      </c>
      <c r="AB9" s="1" t="s">
        <v>612</v>
      </c>
      <c r="AC9" s="1" t="s">
        <v>612</v>
      </c>
      <c r="AD9" s="1" t="s">
        <v>1052</v>
      </c>
      <c r="AE9" s="1" t="s">
        <v>612</v>
      </c>
      <c r="AF9" s="1" t="s">
        <v>1053</v>
      </c>
      <c r="AG9" s="1" t="s">
        <v>1052</v>
      </c>
      <c r="AH9" s="1" t="s">
        <v>1076</v>
      </c>
      <c r="AI9" s="465">
        <v>43056.2297915741</v>
      </c>
    </row>
    <row r="10" spans="1:35">
      <c r="A10" s="1" t="s">
        <v>417</v>
      </c>
      <c r="B10" s="275" t="s">
        <v>947</v>
      </c>
      <c r="C10" s="1" t="s">
        <v>612</v>
      </c>
      <c r="D10" s="1" t="s">
        <v>612</v>
      </c>
      <c r="E10" s="1" t="s">
        <v>612</v>
      </c>
      <c r="F10" s="1" t="s">
        <v>612</v>
      </c>
      <c r="G10" s="1" t="s">
        <v>612</v>
      </c>
      <c r="H10" s="1" t="s">
        <v>612</v>
      </c>
      <c r="I10" s="1"/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612</v>
      </c>
      <c r="P10" s="1" t="s">
        <v>612</v>
      </c>
      <c r="Q10" s="1" t="s">
        <v>612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612</v>
      </c>
      <c r="AC10" s="1" t="s">
        <v>612</v>
      </c>
      <c r="AD10" s="1" t="s">
        <v>612</v>
      </c>
      <c r="AE10" s="1" t="s">
        <v>612</v>
      </c>
      <c r="AF10" s="1" t="s">
        <v>612</v>
      </c>
      <c r="AG10" s="1" t="s">
        <v>612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948</v>
      </c>
      <c r="C11" s="1" t="s">
        <v>612</v>
      </c>
      <c r="D11" s="1" t="s">
        <v>1067</v>
      </c>
      <c r="E11" s="1" t="s">
        <v>612</v>
      </c>
      <c r="F11" s="1" t="s">
        <v>612</v>
      </c>
      <c r="G11" s="1" t="s">
        <v>612</v>
      </c>
      <c r="H11" s="1" t="s">
        <v>612</v>
      </c>
      <c r="I11" s="1"/>
      <c r="J11" s="1" t="s">
        <v>612</v>
      </c>
      <c r="K11" s="1" t="s">
        <v>612</v>
      </c>
      <c r="L11" s="1" t="s">
        <v>612</v>
      </c>
      <c r="M11" s="1" t="s">
        <v>612</v>
      </c>
      <c r="N11" s="1" t="s">
        <v>612</v>
      </c>
      <c r="O11" s="1" t="s">
        <v>1053</v>
      </c>
      <c r="P11" s="1" t="s">
        <v>1053</v>
      </c>
      <c r="Q11" s="1" t="s">
        <v>612</v>
      </c>
      <c r="R11" s="1" t="s">
        <v>612</v>
      </c>
      <c r="S11" s="1" t="s">
        <v>1053</v>
      </c>
      <c r="T11" s="1" t="s">
        <v>1053</v>
      </c>
      <c r="U11" s="1" t="s">
        <v>612</v>
      </c>
      <c r="V11" s="1" t="s">
        <v>1053</v>
      </c>
      <c r="W11" s="1" t="s">
        <v>612</v>
      </c>
      <c r="X11" s="1" t="s">
        <v>612</v>
      </c>
      <c r="Y11" s="1" t="s">
        <v>612</v>
      </c>
      <c r="Z11" s="1" t="s">
        <v>612</v>
      </c>
      <c r="AA11" s="1" t="s">
        <v>612</v>
      </c>
      <c r="AB11" s="1" t="s">
        <v>1053</v>
      </c>
      <c r="AC11" s="1" t="s">
        <v>612</v>
      </c>
      <c r="AD11" s="1" t="s">
        <v>1053</v>
      </c>
      <c r="AE11" s="1" t="s">
        <v>612</v>
      </c>
      <c r="AF11" s="1" t="s">
        <v>612</v>
      </c>
      <c r="AG11" s="1" t="s">
        <v>612</v>
      </c>
      <c r="AH11" s="1" t="s">
        <v>1077</v>
      </c>
      <c r="AI11" s="465">
        <v>43056.2297915741</v>
      </c>
    </row>
    <row r="12" spans="1:35">
      <c r="A12" s="1" t="s">
        <v>417</v>
      </c>
      <c r="B12" s="275" t="s">
        <v>952</v>
      </c>
      <c r="C12" s="1" t="s">
        <v>612</v>
      </c>
      <c r="D12" s="1" t="s">
        <v>1049</v>
      </c>
      <c r="E12" s="1" t="s">
        <v>1078</v>
      </c>
      <c r="F12" s="1" t="s">
        <v>1074</v>
      </c>
      <c r="G12" s="1" t="s">
        <v>1066</v>
      </c>
      <c r="H12" s="1" t="s">
        <v>1064</v>
      </c>
      <c r="I12" s="1"/>
      <c r="J12" s="1" t="s">
        <v>612</v>
      </c>
      <c r="K12" s="1" t="s">
        <v>1079</v>
      </c>
      <c r="L12" s="1" t="s">
        <v>1063</v>
      </c>
      <c r="M12" s="1" t="s">
        <v>1066</v>
      </c>
      <c r="N12" s="1" t="s">
        <v>1080</v>
      </c>
      <c r="O12" s="1" t="s">
        <v>1064</v>
      </c>
      <c r="P12" s="1" t="s">
        <v>1069</v>
      </c>
      <c r="Q12" s="1" t="s">
        <v>612</v>
      </c>
      <c r="R12" s="1" t="s">
        <v>1065</v>
      </c>
      <c r="S12" s="1" t="s">
        <v>1060</v>
      </c>
      <c r="T12" s="1" t="s">
        <v>1081</v>
      </c>
      <c r="U12" s="1" t="s">
        <v>1066</v>
      </c>
      <c r="V12" s="1" t="s">
        <v>1065</v>
      </c>
      <c r="W12" s="1" t="s">
        <v>1052</v>
      </c>
      <c r="X12" s="1" t="s">
        <v>612</v>
      </c>
      <c r="Y12" s="1" t="s">
        <v>1061</v>
      </c>
      <c r="Z12" s="1" t="s">
        <v>1073</v>
      </c>
      <c r="AA12" s="1" t="s">
        <v>1061</v>
      </c>
      <c r="AB12" s="1" t="s">
        <v>1082</v>
      </c>
      <c r="AC12" s="1" t="s">
        <v>1072</v>
      </c>
      <c r="AD12" s="1" t="s">
        <v>1081</v>
      </c>
      <c r="AE12" s="1" t="s">
        <v>612</v>
      </c>
      <c r="AF12" s="1" t="s">
        <v>1038</v>
      </c>
      <c r="AG12" s="1" t="s">
        <v>1061</v>
      </c>
      <c r="AH12" s="1" t="s">
        <v>1083</v>
      </c>
      <c r="AI12" s="465">
        <v>43056.2297915741</v>
      </c>
    </row>
    <row r="13" spans="1:35">
      <c r="A13" s="1" t="s">
        <v>417</v>
      </c>
      <c r="B13" s="275" t="s">
        <v>956</v>
      </c>
      <c r="C13" s="1" t="s">
        <v>612</v>
      </c>
      <c r="D13" s="1" t="s">
        <v>1063</v>
      </c>
      <c r="E13" s="1" t="s">
        <v>1062</v>
      </c>
      <c r="F13" s="1" t="s">
        <v>1053</v>
      </c>
      <c r="G13" s="1" t="s">
        <v>1053</v>
      </c>
      <c r="H13" s="1" t="s">
        <v>612</v>
      </c>
      <c r="I13" s="1"/>
      <c r="J13" s="1" t="s">
        <v>612</v>
      </c>
      <c r="K13" s="1" t="s">
        <v>612</v>
      </c>
      <c r="L13" s="1" t="s">
        <v>1056</v>
      </c>
      <c r="M13" s="1" t="s">
        <v>1069</v>
      </c>
      <c r="N13" s="1" t="s">
        <v>1069</v>
      </c>
      <c r="O13" s="1" t="s">
        <v>1056</v>
      </c>
      <c r="P13" s="1" t="s">
        <v>1069</v>
      </c>
      <c r="Q13" s="1" t="s">
        <v>612</v>
      </c>
      <c r="R13" s="1" t="s">
        <v>1069</v>
      </c>
      <c r="S13" s="1" t="s">
        <v>1052</v>
      </c>
      <c r="T13" s="1" t="s">
        <v>1065</v>
      </c>
      <c r="U13" s="1" t="s">
        <v>1067</v>
      </c>
      <c r="V13" s="1" t="s">
        <v>612</v>
      </c>
      <c r="W13" s="1" t="s">
        <v>612</v>
      </c>
      <c r="X13" s="1" t="s">
        <v>612</v>
      </c>
      <c r="Y13" s="1" t="s">
        <v>1053</v>
      </c>
      <c r="Z13" s="1" t="s">
        <v>1067</v>
      </c>
      <c r="AA13" s="1" t="s">
        <v>1055</v>
      </c>
      <c r="AB13" s="1" t="s">
        <v>1067</v>
      </c>
      <c r="AC13" s="1" t="s">
        <v>612</v>
      </c>
      <c r="AD13" s="1" t="s">
        <v>1053</v>
      </c>
      <c r="AE13" s="1" t="s">
        <v>612</v>
      </c>
      <c r="AF13" s="1" t="s">
        <v>1053</v>
      </c>
      <c r="AG13" s="1" t="s">
        <v>612</v>
      </c>
      <c r="AH13" s="1" t="s">
        <v>334</v>
      </c>
      <c r="AI13" s="465">
        <v>43056.2297915741</v>
      </c>
    </row>
    <row r="14" spans="1:35">
      <c r="A14" s="1" t="s">
        <v>417</v>
      </c>
      <c r="B14" s="275" t="s">
        <v>965</v>
      </c>
      <c r="C14" s="1" t="s">
        <v>612</v>
      </c>
      <c r="D14" s="1" t="s">
        <v>612</v>
      </c>
      <c r="E14" s="1" t="s">
        <v>612</v>
      </c>
      <c r="F14" s="1" t="s">
        <v>612</v>
      </c>
      <c r="G14" s="1" t="s">
        <v>612</v>
      </c>
      <c r="H14" s="1" t="s">
        <v>612</v>
      </c>
      <c r="I14" s="1"/>
      <c r="J14" s="1" t="s">
        <v>612</v>
      </c>
      <c r="K14" s="1" t="s">
        <v>612</v>
      </c>
      <c r="L14" s="1" t="s">
        <v>612</v>
      </c>
      <c r="M14" s="1" t="s">
        <v>612</v>
      </c>
      <c r="N14" s="1" t="s">
        <v>612</v>
      </c>
      <c r="O14" s="1" t="s">
        <v>612</v>
      </c>
      <c r="P14" s="1" t="s">
        <v>612</v>
      </c>
      <c r="Q14" s="1" t="s">
        <v>612</v>
      </c>
      <c r="R14" s="1" t="s">
        <v>612</v>
      </c>
      <c r="S14" s="1" t="s">
        <v>612</v>
      </c>
      <c r="T14" s="1" t="s">
        <v>1053</v>
      </c>
      <c r="U14" s="1" t="s">
        <v>612</v>
      </c>
      <c r="V14" s="1" t="s">
        <v>612</v>
      </c>
      <c r="W14" s="1" t="s">
        <v>612</v>
      </c>
      <c r="X14" s="1" t="s">
        <v>612</v>
      </c>
      <c r="Y14" s="1" t="s">
        <v>612</v>
      </c>
      <c r="Z14" s="1" t="s">
        <v>612</v>
      </c>
      <c r="AA14" s="1" t="s">
        <v>612</v>
      </c>
      <c r="AB14" s="1" t="s">
        <v>612</v>
      </c>
      <c r="AC14" s="1" t="s">
        <v>612</v>
      </c>
      <c r="AD14" s="1" t="s">
        <v>612</v>
      </c>
      <c r="AE14" s="1" t="s">
        <v>612</v>
      </c>
      <c r="AF14" s="1" t="s">
        <v>612</v>
      </c>
      <c r="AG14" s="1" t="s">
        <v>612</v>
      </c>
      <c r="AH14" s="1" t="s">
        <v>236</v>
      </c>
      <c r="AI14" s="465">
        <v>43056.2297915741</v>
      </c>
    </row>
    <row r="15" spans="1:35">
      <c r="A15" s="1" t="s">
        <v>417</v>
      </c>
      <c r="B15" s="275" t="s">
        <v>992</v>
      </c>
      <c r="C15" s="1" t="s">
        <v>612</v>
      </c>
      <c r="D15" s="1" t="s">
        <v>612</v>
      </c>
      <c r="E15" s="1" t="s">
        <v>612</v>
      </c>
      <c r="F15" s="1" t="s">
        <v>612</v>
      </c>
      <c r="G15" s="1" t="s">
        <v>612</v>
      </c>
      <c r="H15" s="1" t="s">
        <v>612</v>
      </c>
      <c r="I15" s="1"/>
      <c r="J15" s="1" t="s">
        <v>612</v>
      </c>
      <c r="K15" s="1" t="s">
        <v>612</v>
      </c>
      <c r="L15" s="1" t="s">
        <v>612</v>
      </c>
      <c r="M15" s="1" t="s">
        <v>612</v>
      </c>
      <c r="N15" s="1" t="s">
        <v>612</v>
      </c>
      <c r="O15" s="1" t="s">
        <v>612</v>
      </c>
      <c r="P15" s="1" t="s">
        <v>612</v>
      </c>
      <c r="Q15" s="1" t="s">
        <v>612</v>
      </c>
      <c r="R15" s="1" t="s">
        <v>612</v>
      </c>
      <c r="S15" s="1" t="s">
        <v>612</v>
      </c>
      <c r="T15" s="1" t="s">
        <v>612</v>
      </c>
      <c r="U15" s="1" t="s">
        <v>612</v>
      </c>
      <c r="V15" s="1" t="s">
        <v>612</v>
      </c>
      <c r="W15" s="1" t="s">
        <v>612</v>
      </c>
      <c r="X15" s="1" t="s">
        <v>612</v>
      </c>
      <c r="Y15" s="1" t="s">
        <v>612</v>
      </c>
      <c r="Z15" s="1" t="s">
        <v>612</v>
      </c>
      <c r="AA15" s="1" t="s">
        <v>612</v>
      </c>
      <c r="AB15" s="1" t="s">
        <v>612</v>
      </c>
      <c r="AC15" s="1" t="s">
        <v>612</v>
      </c>
      <c r="AD15" s="1" t="s">
        <v>612</v>
      </c>
      <c r="AE15" s="1" t="s">
        <v>612</v>
      </c>
      <c r="AF15" s="1" t="s">
        <v>612</v>
      </c>
      <c r="AG15" s="1" t="s">
        <v>612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993</v>
      </c>
      <c r="C16" s="1" t="s">
        <v>612</v>
      </c>
      <c r="D16" s="1" t="s">
        <v>612</v>
      </c>
      <c r="E16" s="1" t="s">
        <v>612</v>
      </c>
      <c r="F16" s="1" t="s">
        <v>612</v>
      </c>
      <c r="G16" s="1" t="s">
        <v>612</v>
      </c>
      <c r="H16" s="1" t="s">
        <v>612</v>
      </c>
      <c r="I16" s="1"/>
      <c r="J16" s="1" t="s">
        <v>612</v>
      </c>
      <c r="K16" s="1" t="s">
        <v>612</v>
      </c>
      <c r="L16" s="1" t="s">
        <v>612</v>
      </c>
      <c r="M16" s="1" t="s">
        <v>612</v>
      </c>
      <c r="N16" s="1" t="s">
        <v>612</v>
      </c>
      <c r="O16" s="1" t="s">
        <v>612</v>
      </c>
      <c r="P16" s="1" t="s">
        <v>612</v>
      </c>
      <c r="Q16" s="1" t="s">
        <v>612</v>
      </c>
      <c r="R16" s="1" t="s">
        <v>612</v>
      </c>
      <c r="S16" s="1" t="s">
        <v>612</v>
      </c>
      <c r="T16" s="1" t="s">
        <v>612</v>
      </c>
      <c r="U16" s="1" t="s">
        <v>612</v>
      </c>
      <c r="V16" s="1" t="s">
        <v>612</v>
      </c>
      <c r="W16" s="1" t="s">
        <v>612</v>
      </c>
      <c r="X16" s="1" t="s">
        <v>612</v>
      </c>
      <c r="Y16" s="1" t="s">
        <v>612</v>
      </c>
      <c r="Z16" s="1" t="s">
        <v>612</v>
      </c>
      <c r="AA16" s="1" t="s">
        <v>612</v>
      </c>
      <c r="AB16" s="1" t="s">
        <v>612</v>
      </c>
      <c r="AC16" s="1" t="s">
        <v>612</v>
      </c>
      <c r="AD16" s="1" t="s">
        <v>612</v>
      </c>
      <c r="AE16" s="1" t="s">
        <v>612</v>
      </c>
      <c r="AF16" s="1" t="s">
        <v>612</v>
      </c>
      <c r="AG16" s="1" t="s">
        <v>612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994</v>
      </c>
      <c r="C17" s="1" t="s">
        <v>612</v>
      </c>
      <c r="D17" s="1" t="s">
        <v>612</v>
      </c>
      <c r="E17" s="1" t="s">
        <v>612</v>
      </c>
      <c r="F17" s="1" t="s">
        <v>612</v>
      </c>
      <c r="G17" s="1" t="s">
        <v>612</v>
      </c>
      <c r="H17" s="1" t="s">
        <v>612</v>
      </c>
      <c r="I17" s="1"/>
      <c r="J17" s="1" t="s">
        <v>612</v>
      </c>
      <c r="K17" s="1" t="s">
        <v>612</v>
      </c>
      <c r="L17" s="1" t="s">
        <v>612</v>
      </c>
      <c r="M17" s="1" t="s">
        <v>612</v>
      </c>
      <c r="N17" s="1" t="s">
        <v>612</v>
      </c>
      <c r="O17" s="1" t="s">
        <v>612</v>
      </c>
      <c r="P17" s="1" t="s">
        <v>612</v>
      </c>
      <c r="Q17" s="1" t="s">
        <v>612</v>
      </c>
      <c r="R17" s="1" t="s">
        <v>612</v>
      </c>
      <c r="S17" s="1" t="s">
        <v>612</v>
      </c>
      <c r="T17" s="1" t="s">
        <v>612</v>
      </c>
      <c r="U17" s="1" t="s">
        <v>612</v>
      </c>
      <c r="V17" s="1" t="s">
        <v>612</v>
      </c>
      <c r="W17" s="1" t="s">
        <v>612</v>
      </c>
      <c r="X17" s="1" t="s">
        <v>612</v>
      </c>
      <c r="Y17" s="1" t="s">
        <v>612</v>
      </c>
      <c r="Z17" s="1" t="s">
        <v>612</v>
      </c>
      <c r="AA17" s="1" t="s">
        <v>612</v>
      </c>
      <c r="AB17" s="1" t="s">
        <v>612</v>
      </c>
      <c r="AC17" s="1" t="s">
        <v>612</v>
      </c>
      <c r="AD17" s="1" t="s">
        <v>612</v>
      </c>
      <c r="AE17" s="1" t="s">
        <v>612</v>
      </c>
      <c r="AF17" s="1" t="s">
        <v>612</v>
      </c>
      <c r="AG17" s="1" t="s">
        <v>612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995</v>
      </c>
      <c r="C18" s="1" t="s">
        <v>612</v>
      </c>
      <c r="D18" s="1" t="s">
        <v>612</v>
      </c>
      <c r="E18" s="1" t="s">
        <v>612</v>
      </c>
      <c r="F18" s="1" t="s">
        <v>612</v>
      </c>
      <c r="G18" s="1" t="s">
        <v>612</v>
      </c>
      <c r="H18" s="1" t="s">
        <v>612</v>
      </c>
      <c r="I18" s="1"/>
      <c r="J18" s="1" t="s">
        <v>612</v>
      </c>
      <c r="K18" s="1" t="s">
        <v>612</v>
      </c>
      <c r="L18" s="1" t="s">
        <v>612</v>
      </c>
      <c r="M18" s="1" t="s">
        <v>612</v>
      </c>
      <c r="N18" s="1" t="s">
        <v>612</v>
      </c>
      <c r="O18" s="1" t="s">
        <v>612</v>
      </c>
      <c r="P18" s="1" t="s">
        <v>612</v>
      </c>
      <c r="Q18" s="1" t="s">
        <v>612</v>
      </c>
      <c r="R18" s="1" t="s">
        <v>612</v>
      </c>
      <c r="S18" s="1" t="s">
        <v>612</v>
      </c>
      <c r="T18" s="1" t="s">
        <v>612</v>
      </c>
      <c r="U18" s="1" t="s">
        <v>612</v>
      </c>
      <c r="V18" s="1" t="s">
        <v>612</v>
      </c>
      <c r="W18" s="1" t="s">
        <v>612</v>
      </c>
      <c r="X18" s="1" t="s">
        <v>612</v>
      </c>
      <c r="Y18" s="1" t="s">
        <v>612</v>
      </c>
      <c r="Z18" s="1" t="s">
        <v>612</v>
      </c>
      <c r="AA18" s="1" t="s">
        <v>612</v>
      </c>
      <c r="AB18" s="1" t="s">
        <v>612</v>
      </c>
      <c r="AC18" s="1" t="s">
        <v>612</v>
      </c>
      <c r="AD18" s="1" t="s">
        <v>612</v>
      </c>
      <c r="AE18" s="1" t="s">
        <v>612</v>
      </c>
      <c r="AF18" s="1" t="s">
        <v>612</v>
      </c>
      <c r="AG18" s="1" t="s">
        <v>612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996</v>
      </c>
      <c r="C19" s="1" t="s">
        <v>612</v>
      </c>
      <c r="D19" s="1" t="s">
        <v>612</v>
      </c>
      <c r="E19" s="1" t="s">
        <v>612</v>
      </c>
      <c r="F19" s="1" t="s">
        <v>612</v>
      </c>
      <c r="G19" s="1" t="s">
        <v>612</v>
      </c>
      <c r="H19" s="1" t="s">
        <v>612</v>
      </c>
      <c r="I19" s="1"/>
      <c r="J19" s="1" t="s">
        <v>612</v>
      </c>
      <c r="K19" s="1" t="s">
        <v>612</v>
      </c>
      <c r="L19" s="1" t="s">
        <v>612</v>
      </c>
      <c r="M19" s="1" t="s">
        <v>612</v>
      </c>
      <c r="N19" s="1" t="s">
        <v>612</v>
      </c>
      <c r="O19" s="1" t="s">
        <v>612</v>
      </c>
      <c r="P19" s="1" t="s">
        <v>612</v>
      </c>
      <c r="Q19" s="1" t="s">
        <v>612</v>
      </c>
      <c r="R19" s="1" t="s">
        <v>612</v>
      </c>
      <c r="S19" s="1" t="s">
        <v>612</v>
      </c>
      <c r="T19" s="1" t="s">
        <v>612</v>
      </c>
      <c r="U19" s="1" t="s">
        <v>612</v>
      </c>
      <c r="V19" s="1" t="s">
        <v>612</v>
      </c>
      <c r="W19" s="1" t="s">
        <v>612</v>
      </c>
      <c r="X19" s="1" t="s">
        <v>612</v>
      </c>
      <c r="Y19" s="1" t="s">
        <v>612</v>
      </c>
      <c r="Z19" s="1" t="s">
        <v>612</v>
      </c>
      <c r="AA19" s="1" t="s">
        <v>612</v>
      </c>
      <c r="AB19" s="1" t="s">
        <v>612</v>
      </c>
      <c r="AC19" s="1" t="s">
        <v>612</v>
      </c>
      <c r="AD19" s="1" t="s">
        <v>612</v>
      </c>
      <c r="AE19" s="1" t="s">
        <v>612</v>
      </c>
      <c r="AF19" s="1" t="s">
        <v>612</v>
      </c>
      <c r="AG19" s="1" t="s">
        <v>612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997</v>
      </c>
      <c r="C20" s="466" t="s">
        <v>612</v>
      </c>
      <c r="D20" s="466" t="s">
        <v>1084</v>
      </c>
      <c r="E20" s="466" t="s">
        <v>1085</v>
      </c>
      <c r="F20" s="466" t="s">
        <v>1059</v>
      </c>
      <c r="G20" s="466" t="s">
        <v>1074</v>
      </c>
      <c r="H20" s="466" t="s">
        <v>1079</v>
      </c>
      <c r="I20" s="466"/>
      <c r="J20" s="466" t="s">
        <v>612</v>
      </c>
      <c r="K20" s="466" t="s">
        <v>1086</v>
      </c>
      <c r="L20" s="466" t="s">
        <v>1040</v>
      </c>
      <c r="M20" s="466" t="s">
        <v>1087</v>
      </c>
      <c r="N20" s="466" t="s">
        <v>1079</v>
      </c>
      <c r="O20" s="466" t="s">
        <v>1088</v>
      </c>
      <c r="P20" s="466" t="s">
        <v>1089</v>
      </c>
      <c r="Q20" s="466" t="s">
        <v>612</v>
      </c>
      <c r="R20" s="466" t="s">
        <v>1049</v>
      </c>
      <c r="S20" s="466" t="s">
        <v>1079</v>
      </c>
      <c r="T20" s="466" t="s">
        <v>1064</v>
      </c>
      <c r="U20" s="466" t="s">
        <v>1079</v>
      </c>
      <c r="V20" s="466" t="s">
        <v>1074</v>
      </c>
      <c r="W20" s="466" t="s">
        <v>1064</v>
      </c>
      <c r="X20" s="466" t="s">
        <v>612</v>
      </c>
      <c r="Y20" s="466" t="s">
        <v>1038</v>
      </c>
      <c r="Z20" s="466" t="s">
        <v>1038</v>
      </c>
      <c r="AA20" s="466" t="s">
        <v>1064</v>
      </c>
      <c r="AB20" s="466" t="s">
        <v>1090</v>
      </c>
      <c r="AC20" s="466" t="s">
        <v>1090</v>
      </c>
      <c r="AD20" s="466" t="s">
        <v>1060</v>
      </c>
      <c r="AE20" s="466" t="s">
        <v>612</v>
      </c>
      <c r="AF20" s="466" t="s">
        <v>1066</v>
      </c>
      <c r="AG20" s="466" t="s">
        <v>1074</v>
      </c>
      <c r="AH20" s="466" t="s">
        <v>1091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983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1092</v>
      </c>
      <c r="D2" s="1" t="s">
        <v>1093</v>
      </c>
      <c r="E2" s="1" t="s">
        <v>1094</v>
      </c>
      <c r="F2" s="1" t="s">
        <v>1095</v>
      </c>
      <c r="G2" s="1" t="s">
        <v>1096</v>
      </c>
      <c r="H2" s="1" t="s">
        <v>1097</v>
      </c>
      <c r="I2" s="1" t="s">
        <v>1098</v>
      </c>
      <c r="J2" s="1" t="s">
        <v>1099</v>
      </c>
      <c r="K2" s="1" t="s">
        <v>1100</v>
      </c>
      <c r="L2" s="1" t="s">
        <v>1101</v>
      </c>
      <c r="M2" s="1" t="s">
        <v>1102</v>
      </c>
      <c r="N2" s="1" t="s">
        <v>1103</v>
      </c>
      <c r="O2" s="1" t="s">
        <v>1104</v>
      </c>
      <c r="P2" s="1" t="s">
        <v>1105</v>
      </c>
      <c r="Q2" s="1" t="s">
        <v>1105</v>
      </c>
      <c r="R2" s="1" t="s">
        <v>1106</v>
      </c>
      <c r="S2" s="1" t="s">
        <v>1107</v>
      </c>
      <c r="T2" s="1" t="s">
        <v>1108</v>
      </c>
      <c r="U2" s="1" t="s">
        <v>1109</v>
      </c>
      <c r="V2" s="1" t="s">
        <v>1110</v>
      </c>
      <c r="W2" s="1" t="s">
        <v>1111</v>
      </c>
      <c r="X2" s="1" t="s">
        <v>1111</v>
      </c>
      <c r="Y2" s="1" t="s">
        <v>1112</v>
      </c>
      <c r="Z2" s="1" t="s">
        <v>1113</v>
      </c>
      <c r="AA2" s="1" t="s">
        <v>1114</v>
      </c>
      <c r="AB2" s="1" t="s">
        <v>1115</v>
      </c>
      <c r="AC2" s="1" t="s">
        <v>1116</v>
      </c>
      <c r="AD2" s="1" t="s">
        <v>1117</v>
      </c>
      <c r="AE2" s="1" t="s">
        <v>1118</v>
      </c>
      <c r="AF2" s="1" t="s">
        <v>1119</v>
      </c>
      <c r="AG2" s="1" t="s">
        <v>1120</v>
      </c>
      <c r="AH2" s="1" t="s">
        <v>1121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1122</v>
      </c>
      <c r="D3" s="1" t="s">
        <v>1123</v>
      </c>
      <c r="E3" s="1" t="s">
        <v>1124</v>
      </c>
      <c r="F3" s="1" t="s">
        <v>1125</v>
      </c>
      <c r="G3" s="1" t="s">
        <v>1126</v>
      </c>
      <c r="H3" s="1" t="s">
        <v>1127</v>
      </c>
      <c r="I3" s="1" t="s">
        <v>1128</v>
      </c>
      <c r="J3" s="1" t="s">
        <v>1129</v>
      </c>
      <c r="K3" s="1" t="s">
        <v>1130</v>
      </c>
      <c r="L3" s="1" t="s">
        <v>1131</v>
      </c>
      <c r="M3" s="1" t="s">
        <v>1132</v>
      </c>
      <c r="N3" s="1" t="s">
        <v>1133</v>
      </c>
      <c r="O3" s="1" t="s">
        <v>1134</v>
      </c>
      <c r="P3" s="1" t="s">
        <v>1135</v>
      </c>
      <c r="Q3" s="1" t="s">
        <v>1136</v>
      </c>
      <c r="R3" s="1" t="s">
        <v>1137</v>
      </c>
      <c r="S3" s="1" t="s">
        <v>1138</v>
      </c>
      <c r="T3" s="1" t="s">
        <v>1139</v>
      </c>
      <c r="U3" s="1" t="s">
        <v>1140</v>
      </c>
      <c r="V3" s="1" t="s">
        <v>1141</v>
      </c>
      <c r="W3" s="1" t="s">
        <v>1142</v>
      </c>
      <c r="X3" s="1" t="s">
        <v>1143</v>
      </c>
      <c r="Y3" s="1" t="s">
        <v>1144</v>
      </c>
      <c r="Z3" s="1" t="s">
        <v>1145</v>
      </c>
      <c r="AA3" s="1" t="s">
        <v>1146</v>
      </c>
      <c r="AB3" s="1" t="s">
        <v>1147</v>
      </c>
      <c r="AC3" s="1" t="s">
        <v>1148</v>
      </c>
      <c r="AD3" s="1" t="s">
        <v>1149</v>
      </c>
      <c r="AE3" s="1" t="s">
        <v>1149</v>
      </c>
      <c r="AF3" s="1" t="s">
        <v>1150</v>
      </c>
      <c r="AG3" s="1" t="s">
        <v>1151</v>
      </c>
      <c r="AH3" s="1" t="s">
        <v>1152</v>
      </c>
      <c r="AI3" s="465">
        <v>43056.229888680602</v>
      </c>
    </row>
    <row r="4" spans="1:35">
      <c r="A4" s="1" t="s">
        <v>417</v>
      </c>
      <c r="B4" s="1" t="s">
        <v>984</v>
      </c>
      <c r="C4" s="1" t="s">
        <v>1153</v>
      </c>
      <c r="D4" s="1" t="s">
        <v>1154</v>
      </c>
      <c r="E4" s="1" t="s">
        <v>1155</v>
      </c>
      <c r="F4" s="1" t="s">
        <v>1156</v>
      </c>
      <c r="G4" s="1" t="s">
        <v>1157</v>
      </c>
      <c r="H4" s="1" t="s">
        <v>1158</v>
      </c>
      <c r="I4" s="1" t="s">
        <v>1159</v>
      </c>
      <c r="J4" s="1" t="s">
        <v>1160</v>
      </c>
      <c r="K4" s="1" t="s">
        <v>1161</v>
      </c>
      <c r="L4" s="1" t="s">
        <v>1162</v>
      </c>
      <c r="M4" s="1" t="s">
        <v>1163</v>
      </c>
      <c r="N4" s="1" t="s">
        <v>1164</v>
      </c>
      <c r="O4" s="1" t="s">
        <v>1165</v>
      </c>
      <c r="P4" s="1" t="s">
        <v>1166</v>
      </c>
      <c r="Q4" s="1" t="s">
        <v>1167</v>
      </c>
      <c r="R4" s="1" t="s">
        <v>1168</v>
      </c>
      <c r="S4" s="1" t="s">
        <v>1169</v>
      </c>
      <c r="T4" s="1" t="s">
        <v>1170</v>
      </c>
      <c r="U4" s="1" t="s">
        <v>1171</v>
      </c>
      <c r="V4" s="1" t="s">
        <v>1172</v>
      </c>
      <c r="W4" s="1" t="s">
        <v>1173</v>
      </c>
      <c r="X4" s="1" t="s">
        <v>1173</v>
      </c>
      <c r="Y4" s="1" t="s">
        <v>1174</v>
      </c>
      <c r="Z4" s="1" t="s">
        <v>1175</v>
      </c>
      <c r="AA4" s="306" t="s">
        <v>1176</v>
      </c>
      <c r="AB4" s="1" t="s">
        <v>1177</v>
      </c>
      <c r="AC4" s="1" t="s">
        <v>1178</v>
      </c>
      <c r="AD4" s="1" t="s">
        <v>1179</v>
      </c>
      <c r="AE4" s="1" t="s">
        <v>1180</v>
      </c>
      <c r="AF4" s="1" t="s">
        <v>1181</v>
      </c>
      <c r="AG4" s="1" t="s">
        <v>1182</v>
      </c>
      <c r="AH4" s="1" t="s">
        <v>1183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983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1184</v>
      </c>
      <c r="E2" s="1" t="s">
        <v>1185</v>
      </c>
      <c r="F2" s="1" t="s">
        <v>1186</v>
      </c>
      <c r="G2" s="1" t="s">
        <v>1187</v>
      </c>
      <c r="H2" s="1" t="s">
        <v>1188</v>
      </c>
      <c r="I2" s="1" t="s">
        <v>1189</v>
      </c>
      <c r="J2" s="1" t="s">
        <v>1190</v>
      </c>
      <c r="K2" s="1" t="s">
        <v>1190</v>
      </c>
      <c r="L2" s="1" t="s">
        <v>1191</v>
      </c>
      <c r="M2" s="1" t="s">
        <v>1192</v>
      </c>
      <c r="N2" s="1" t="s">
        <v>1193</v>
      </c>
      <c r="O2" s="1" t="s">
        <v>1194</v>
      </c>
      <c r="P2" s="1" t="s">
        <v>1195</v>
      </c>
      <c r="Q2" s="1" t="s">
        <v>1196</v>
      </c>
      <c r="R2" s="1" t="s">
        <v>1196</v>
      </c>
      <c r="S2" s="1" t="s">
        <v>1197</v>
      </c>
      <c r="T2" s="1" t="s">
        <v>1198</v>
      </c>
      <c r="U2" s="1" t="s">
        <v>1199</v>
      </c>
      <c r="V2" s="1" t="s">
        <v>1200</v>
      </c>
      <c r="W2" s="1" t="s">
        <v>1201</v>
      </c>
      <c r="X2" s="1" t="s">
        <v>1202</v>
      </c>
      <c r="Y2" s="1" t="s">
        <v>1202</v>
      </c>
      <c r="Z2" s="1" t="s">
        <v>1203</v>
      </c>
      <c r="AA2" s="1" t="s">
        <v>1204</v>
      </c>
      <c r="AB2" s="1" t="s">
        <v>1205</v>
      </c>
      <c r="AC2" s="1" t="s">
        <v>1206</v>
      </c>
      <c r="AD2" s="1" t="s">
        <v>1207</v>
      </c>
      <c r="AE2" s="1" t="s">
        <v>1208</v>
      </c>
      <c r="AF2" s="1" t="s">
        <v>1208</v>
      </c>
      <c r="AG2" s="1" t="s">
        <v>1209</v>
      </c>
      <c r="AH2" s="1" t="s">
        <v>1210</v>
      </c>
      <c r="AI2" s="1" t="s">
        <v>1211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1212</v>
      </c>
      <c r="E3" s="1" t="s">
        <v>1213</v>
      </c>
      <c r="F3" s="1" t="s">
        <v>1214</v>
      </c>
      <c r="G3" s="1" t="s">
        <v>1215</v>
      </c>
      <c r="H3" s="1" t="s">
        <v>1216</v>
      </c>
      <c r="I3" s="1" t="s">
        <v>1217</v>
      </c>
      <c r="J3" s="1" t="s">
        <v>1218</v>
      </c>
      <c r="K3" s="1" t="s">
        <v>1218</v>
      </c>
      <c r="L3" s="1" t="s">
        <v>1219</v>
      </c>
      <c r="M3" s="1" t="s">
        <v>1220</v>
      </c>
      <c r="N3" s="1" t="s">
        <v>1221</v>
      </c>
      <c r="O3" s="1" t="s">
        <v>1222</v>
      </c>
      <c r="P3" s="1" t="s">
        <v>1223</v>
      </c>
      <c r="Q3" s="1" t="s">
        <v>1223</v>
      </c>
      <c r="R3" s="1" t="s">
        <v>1223</v>
      </c>
      <c r="S3" s="1" t="s">
        <v>1224</v>
      </c>
      <c r="T3" s="1" t="s">
        <v>1225</v>
      </c>
      <c r="U3" s="1" t="s">
        <v>1226</v>
      </c>
      <c r="V3" s="1" t="s">
        <v>1227</v>
      </c>
      <c r="W3" s="1" t="s">
        <v>1228</v>
      </c>
      <c r="X3" s="1" t="s">
        <v>1228</v>
      </c>
      <c r="Y3" s="1" t="s">
        <v>1228</v>
      </c>
      <c r="Z3" s="1" t="s">
        <v>1229</v>
      </c>
      <c r="AA3" s="1" t="s">
        <v>1230</v>
      </c>
      <c r="AB3" s="1" t="s">
        <v>1231</v>
      </c>
      <c r="AC3" s="1" t="s">
        <v>1232</v>
      </c>
      <c r="AD3" s="1" t="s">
        <v>1233</v>
      </c>
      <c r="AE3" s="1" t="s">
        <v>1234</v>
      </c>
      <c r="AF3" s="1" t="s">
        <v>1234</v>
      </c>
      <c r="AG3" s="1" t="s">
        <v>1235</v>
      </c>
      <c r="AH3" s="1" t="s">
        <v>1236</v>
      </c>
      <c r="AI3" s="1" t="s">
        <v>1237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984</v>
      </c>
      <c r="D4" s="1" t="s">
        <v>1238</v>
      </c>
      <c r="E4" s="1" t="s">
        <v>1239</v>
      </c>
      <c r="F4" s="1" t="s">
        <v>1240</v>
      </c>
      <c r="G4" s="1" t="s">
        <v>1241</v>
      </c>
      <c r="H4" s="1" t="s">
        <v>1242</v>
      </c>
      <c r="I4" s="1" t="s">
        <v>1243</v>
      </c>
      <c r="J4" s="1" t="s">
        <v>1243</v>
      </c>
      <c r="K4" s="1" t="s">
        <v>1243</v>
      </c>
      <c r="L4" s="1" t="s">
        <v>1244</v>
      </c>
      <c r="M4" s="1" t="s">
        <v>1245</v>
      </c>
      <c r="N4" s="1" t="s">
        <v>1246</v>
      </c>
      <c r="O4" s="1" t="s">
        <v>1246</v>
      </c>
      <c r="P4" s="1" t="s">
        <v>1247</v>
      </c>
      <c r="Q4" s="1" t="s">
        <v>1247</v>
      </c>
      <c r="R4" s="1" t="s">
        <v>1247</v>
      </c>
      <c r="S4" s="1" t="s">
        <v>1248</v>
      </c>
      <c r="T4" s="1" t="s">
        <v>1249</v>
      </c>
      <c r="U4" s="1" t="s">
        <v>1250</v>
      </c>
      <c r="V4" s="1" t="s">
        <v>1251</v>
      </c>
      <c r="W4" s="1" t="s">
        <v>1252</v>
      </c>
      <c r="X4" s="1" t="s">
        <v>1252</v>
      </c>
      <c r="Y4" s="1" t="s">
        <v>1252</v>
      </c>
      <c r="Z4" s="1" t="s">
        <v>1253</v>
      </c>
      <c r="AA4" s="1" t="s">
        <v>1254</v>
      </c>
      <c r="AB4" s="1" t="s">
        <v>1254</v>
      </c>
      <c r="AC4" s="1" t="s">
        <v>1255</v>
      </c>
      <c r="AD4" s="1" t="s">
        <v>1256</v>
      </c>
      <c r="AE4" s="1" t="s">
        <v>1256</v>
      </c>
      <c r="AF4" s="1" t="s">
        <v>1256</v>
      </c>
      <c r="AG4" s="1" t="s">
        <v>1257</v>
      </c>
      <c r="AH4" s="1" t="s">
        <v>1258</v>
      </c>
      <c r="AI4" s="1" t="s">
        <v>1259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612</v>
      </c>
      <c r="E5" s="1" t="s">
        <v>612</v>
      </c>
      <c r="F5" s="1" t="s">
        <v>612</v>
      </c>
      <c r="G5" s="1" t="s">
        <v>612</v>
      </c>
      <c r="H5" s="1" t="s">
        <v>612</v>
      </c>
      <c r="I5" s="1" t="s">
        <v>612</v>
      </c>
      <c r="J5" s="1" t="s">
        <v>612</v>
      </c>
      <c r="K5" s="1" t="s">
        <v>612</v>
      </c>
      <c r="L5" s="1" t="s">
        <v>612</v>
      </c>
      <c r="M5" s="1" t="s">
        <v>612</v>
      </c>
      <c r="N5" s="1" t="s">
        <v>612</v>
      </c>
      <c r="O5" s="1" t="s">
        <v>612</v>
      </c>
      <c r="P5" s="1" t="s">
        <v>612</v>
      </c>
      <c r="Q5" s="1" t="s">
        <v>612</v>
      </c>
      <c r="R5" s="1" t="s">
        <v>612</v>
      </c>
      <c r="S5" s="1" t="s">
        <v>612</v>
      </c>
      <c r="T5" s="1" t="s">
        <v>612</v>
      </c>
      <c r="U5" s="1" t="s">
        <v>612</v>
      </c>
      <c r="V5" s="1" t="s">
        <v>612</v>
      </c>
      <c r="W5" s="1" t="s">
        <v>612</v>
      </c>
      <c r="X5" s="1" t="s">
        <v>612</v>
      </c>
      <c r="Y5" s="1" t="s">
        <v>612</v>
      </c>
      <c r="Z5" s="1" t="s">
        <v>612</v>
      </c>
      <c r="AA5" s="1" t="s">
        <v>612</v>
      </c>
      <c r="AB5" s="1" t="s">
        <v>612</v>
      </c>
      <c r="AC5" s="1" t="s">
        <v>612</v>
      </c>
      <c r="AD5" s="1" t="s">
        <v>612</v>
      </c>
      <c r="AE5" s="1" t="s">
        <v>612</v>
      </c>
      <c r="AF5" s="1" t="s">
        <v>612</v>
      </c>
      <c r="AG5" s="1" t="s">
        <v>612</v>
      </c>
      <c r="AH5" s="1" t="s">
        <v>612</v>
      </c>
      <c r="AI5" s="1" t="s">
        <v>612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612</v>
      </c>
      <c r="E6" s="1" t="s">
        <v>612</v>
      </c>
      <c r="F6" s="1" t="s">
        <v>612</v>
      </c>
      <c r="G6" s="1" t="s">
        <v>612</v>
      </c>
      <c r="H6" s="1" t="s">
        <v>612</v>
      </c>
      <c r="I6" s="1" t="s">
        <v>612</v>
      </c>
      <c r="J6" s="1" t="s">
        <v>612</v>
      </c>
      <c r="K6" s="1" t="s">
        <v>612</v>
      </c>
      <c r="L6" s="1" t="s">
        <v>612</v>
      </c>
      <c r="M6" s="1" t="s">
        <v>612</v>
      </c>
      <c r="N6" s="1" t="s">
        <v>612</v>
      </c>
      <c r="O6" s="1" t="s">
        <v>612</v>
      </c>
      <c r="P6" s="1" t="s">
        <v>612</v>
      </c>
      <c r="Q6" s="1" t="s">
        <v>612</v>
      </c>
      <c r="R6" s="1" t="s">
        <v>612</v>
      </c>
      <c r="S6" s="1" t="s">
        <v>612</v>
      </c>
      <c r="T6" s="1" t="s">
        <v>612</v>
      </c>
      <c r="U6" s="1" t="s">
        <v>612</v>
      </c>
      <c r="V6" s="1" t="s">
        <v>612</v>
      </c>
      <c r="W6" s="1" t="s">
        <v>612</v>
      </c>
      <c r="X6" s="1" t="s">
        <v>612</v>
      </c>
      <c r="Y6" s="1" t="s">
        <v>612</v>
      </c>
      <c r="Z6" s="1" t="s">
        <v>612</v>
      </c>
      <c r="AA6" s="1" t="s">
        <v>612</v>
      </c>
      <c r="AB6" s="1" t="s">
        <v>612</v>
      </c>
      <c r="AC6" s="1" t="s">
        <v>612</v>
      </c>
      <c r="AD6" s="1" t="s">
        <v>612</v>
      </c>
      <c r="AE6" s="1" t="s">
        <v>612</v>
      </c>
      <c r="AF6" s="1" t="s">
        <v>612</v>
      </c>
      <c r="AG6" s="1" t="s">
        <v>612</v>
      </c>
      <c r="AH6" s="1" t="s">
        <v>612</v>
      </c>
      <c r="AI6" s="1" t="s">
        <v>612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1260</v>
      </c>
      <c r="E7" s="1" t="s">
        <v>1261</v>
      </c>
      <c r="F7" s="1" t="s">
        <v>1262</v>
      </c>
      <c r="G7" s="1" t="s">
        <v>1263</v>
      </c>
      <c r="H7" s="1" t="s">
        <v>1264</v>
      </c>
      <c r="I7" s="1" t="s">
        <v>1265</v>
      </c>
      <c r="J7" s="1" t="s">
        <v>1266</v>
      </c>
      <c r="K7" s="1" t="s">
        <v>1266</v>
      </c>
      <c r="L7" s="1" t="s">
        <v>1267</v>
      </c>
      <c r="M7" s="1" t="s">
        <v>1268</v>
      </c>
      <c r="N7" s="1" t="s">
        <v>1269</v>
      </c>
      <c r="O7" s="1" t="s">
        <v>1270</v>
      </c>
      <c r="P7" s="1" t="s">
        <v>1271</v>
      </c>
      <c r="Q7" s="1" t="s">
        <v>1271</v>
      </c>
      <c r="R7" s="1" t="s">
        <v>1271</v>
      </c>
      <c r="S7" s="1" t="s">
        <v>1272</v>
      </c>
      <c r="T7" s="1" t="s">
        <v>1273</v>
      </c>
      <c r="U7" s="1" t="s">
        <v>1274</v>
      </c>
      <c r="V7" s="1" t="s">
        <v>1275</v>
      </c>
      <c r="W7" s="1" t="s">
        <v>1276</v>
      </c>
      <c r="X7" s="1" t="s">
        <v>1277</v>
      </c>
      <c r="Y7" s="1" t="s">
        <v>1277</v>
      </c>
      <c r="Z7" s="1" t="s">
        <v>1278</v>
      </c>
      <c r="AA7" s="1" t="s">
        <v>1279</v>
      </c>
      <c r="AB7" s="1" t="s">
        <v>1280</v>
      </c>
      <c r="AC7" s="1" t="s">
        <v>1281</v>
      </c>
      <c r="AD7" s="1" t="s">
        <v>1282</v>
      </c>
      <c r="AE7" s="1" t="s">
        <v>1283</v>
      </c>
      <c r="AF7" s="1" t="s">
        <v>1283</v>
      </c>
      <c r="AG7" s="1" t="s">
        <v>1284</v>
      </c>
      <c r="AH7" s="1" t="s">
        <v>1285</v>
      </c>
      <c r="AI7" s="1" t="s">
        <v>1286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612</v>
      </c>
      <c r="E8" s="1" t="s">
        <v>612</v>
      </c>
      <c r="F8" s="1" t="s">
        <v>612</v>
      </c>
      <c r="G8" s="1" t="s">
        <v>612</v>
      </c>
      <c r="H8" s="1" t="s">
        <v>612</v>
      </c>
      <c r="I8" s="1" t="s">
        <v>612</v>
      </c>
      <c r="J8" s="1" t="s">
        <v>612</v>
      </c>
      <c r="K8" s="1" t="s">
        <v>612</v>
      </c>
      <c r="L8" s="1" t="s">
        <v>612</v>
      </c>
      <c r="M8" s="1" t="s">
        <v>612</v>
      </c>
      <c r="N8" s="1" t="s">
        <v>612</v>
      </c>
      <c r="O8" s="1" t="s">
        <v>612</v>
      </c>
      <c r="P8" s="1" t="s">
        <v>612</v>
      </c>
      <c r="Q8" s="1" t="s">
        <v>612</v>
      </c>
      <c r="R8" s="1" t="s">
        <v>612</v>
      </c>
      <c r="S8" s="1" t="s">
        <v>612</v>
      </c>
      <c r="T8" s="1" t="s">
        <v>612</v>
      </c>
      <c r="U8" s="1" t="s">
        <v>612</v>
      </c>
      <c r="V8" s="1" t="s">
        <v>612</v>
      </c>
      <c r="W8" s="1" t="s">
        <v>612</v>
      </c>
      <c r="X8" s="1" t="s">
        <v>612</v>
      </c>
      <c r="Y8" s="1" t="s">
        <v>612</v>
      </c>
      <c r="Z8" s="1" t="s">
        <v>612</v>
      </c>
      <c r="AA8" s="1" t="s">
        <v>612</v>
      </c>
      <c r="AB8" s="1" t="s">
        <v>612</v>
      </c>
      <c r="AC8" s="1" t="s">
        <v>612</v>
      </c>
      <c r="AD8" s="1" t="s">
        <v>612</v>
      </c>
      <c r="AE8" s="1" t="s">
        <v>612</v>
      </c>
      <c r="AF8" s="1" t="s">
        <v>612</v>
      </c>
      <c r="AG8" s="1" t="s">
        <v>612</v>
      </c>
      <c r="AH8" s="1" t="s">
        <v>612</v>
      </c>
      <c r="AI8" s="1" t="s">
        <v>612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1" t="s">
        <v>612</v>
      </c>
      <c r="AD9" s="1" t="s">
        <v>612</v>
      </c>
      <c r="AE9" s="1" t="s">
        <v>612</v>
      </c>
      <c r="AF9" s="1" t="s">
        <v>612</v>
      </c>
      <c r="AG9" s="1" t="s">
        <v>612</v>
      </c>
      <c r="AH9" s="1" t="s">
        <v>612</v>
      </c>
      <c r="AI9" s="1" t="s">
        <v>612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612</v>
      </c>
      <c r="E10" s="1" t="s">
        <v>612</v>
      </c>
      <c r="F10" s="1" t="s">
        <v>612</v>
      </c>
      <c r="G10" s="1" t="s">
        <v>612</v>
      </c>
      <c r="H10" s="1" t="s">
        <v>612</v>
      </c>
      <c r="I10" s="1" t="s">
        <v>612</v>
      </c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612</v>
      </c>
      <c r="P10" s="1" t="s">
        <v>612</v>
      </c>
      <c r="Q10" s="1" t="s">
        <v>612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612</v>
      </c>
      <c r="AC10" s="1" t="s">
        <v>612</v>
      </c>
      <c r="AD10" s="1" t="s">
        <v>612</v>
      </c>
      <c r="AE10" s="1" t="s">
        <v>612</v>
      </c>
      <c r="AF10" s="1" t="s">
        <v>612</v>
      </c>
      <c r="AG10" s="1" t="s">
        <v>612</v>
      </c>
      <c r="AH10" s="1" t="s">
        <v>612</v>
      </c>
      <c r="AI10" s="1" t="s">
        <v>612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612</v>
      </c>
      <c r="E11" s="1" t="s">
        <v>612</v>
      </c>
      <c r="F11" s="1" t="s">
        <v>612</v>
      </c>
      <c r="G11" s="1" t="s">
        <v>612</v>
      </c>
      <c r="H11" s="1" t="s">
        <v>612</v>
      </c>
      <c r="I11" s="1" t="s">
        <v>612</v>
      </c>
      <c r="J11" s="1" t="s">
        <v>612</v>
      </c>
      <c r="K11" s="1" t="s">
        <v>612</v>
      </c>
      <c r="L11" s="1" t="s">
        <v>612</v>
      </c>
      <c r="M11" s="1" t="s">
        <v>612</v>
      </c>
      <c r="N11" s="1" t="s">
        <v>612</v>
      </c>
      <c r="O11" s="1" t="s">
        <v>612</v>
      </c>
      <c r="P11" s="1" t="s">
        <v>612</v>
      </c>
      <c r="Q11" s="1" t="s">
        <v>612</v>
      </c>
      <c r="R11" s="1" t="s">
        <v>612</v>
      </c>
      <c r="S11" s="1" t="s">
        <v>612</v>
      </c>
      <c r="T11" s="1" t="s">
        <v>612</v>
      </c>
      <c r="U11" s="1" t="s">
        <v>612</v>
      </c>
      <c r="V11" s="1" t="s">
        <v>612</v>
      </c>
      <c r="W11" s="1" t="s">
        <v>612</v>
      </c>
      <c r="X11" s="1" t="s">
        <v>612</v>
      </c>
      <c r="Y11" s="1" t="s">
        <v>612</v>
      </c>
      <c r="Z11" s="1" t="s">
        <v>612</v>
      </c>
      <c r="AA11" s="1" t="s">
        <v>612</v>
      </c>
      <c r="AB11" s="1" t="s">
        <v>612</v>
      </c>
      <c r="AC11" s="1" t="s">
        <v>612</v>
      </c>
      <c r="AD11" s="1" t="s">
        <v>612</v>
      </c>
      <c r="AE11" s="1" t="s">
        <v>612</v>
      </c>
      <c r="AF11" s="1" t="s">
        <v>612</v>
      </c>
      <c r="AG11" s="1" t="s">
        <v>612</v>
      </c>
      <c r="AH11" s="1" t="s">
        <v>612</v>
      </c>
      <c r="AI11" s="1" t="s">
        <v>612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612</v>
      </c>
      <c r="M12" s="1" t="s">
        <v>612</v>
      </c>
      <c r="N12" s="1" t="s">
        <v>612</v>
      </c>
      <c r="O12" s="1" t="s">
        <v>612</v>
      </c>
      <c r="P12" s="1" t="s">
        <v>612</v>
      </c>
      <c r="Q12" s="1" t="s">
        <v>612</v>
      </c>
      <c r="R12" s="1" t="s">
        <v>612</v>
      </c>
      <c r="S12" s="1" t="s">
        <v>612</v>
      </c>
      <c r="T12" s="1" t="s">
        <v>612</v>
      </c>
      <c r="U12" s="1" t="s">
        <v>612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1" t="s">
        <v>612</v>
      </c>
      <c r="AD12" s="1" t="s">
        <v>612</v>
      </c>
      <c r="AE12" s="1" t="s">
        <v>612</v>
      </c>
      <c r="AF12" s="1" t="s">
        <v>612</v>
      </c>
      <c r="AG12" s="1" t="s">
        <v>612</v>
      </c>
      <c r="AH12" s="1" t="s">
        <v>612</v>
      </c>
      <c r="AI12" s="1" t="s">
        <v>612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612</v>
      </c>
      <c r="E13" s="1" t="s">
        <v>612</v>
      </c>
      <c r="F13" s="1" t="s">
        <v>612</v>
      </c>
      <c r="G13" s="1" t="s">
        <v>612</v>
      </c>
      <c r="H13" s="1" t="s">
        <v>612</v>
      </c>
      <c r="I13" s="1" t="s">
        <v>612</v>
      </c>
      <c r="J13" s="1" t="s">
        <v>612</v>
      </c>
      <c r="K13" s="1" t="s">
        <v>612</v>
      </c>
      <c r="L13" s="1" t="s">
        <v>612</v>
      </c>
      <c r="M13" s="1" t="s">
        <v>612</v>
      </c>
      <c r="N13" s="1" t="s">
        <v>612</v>
      </c>
      <c r="O13" s="1" t="s">
        <v>612</v>
      </c>
      <c r="P13" s="1" t="s">
        <v>612</v>
      </c>
      <c r="Q13" s="1" t="s">
        <v>612</v>
      </c>
      <c r="R13" s="1" t="s">
        <v>612</v>
      </c>
      <c r="S13" s="1" t="s">
        <v>612</v>
      </c>
      <c r="T13" s="1" t="s">
        <v>612</v>
      </c>
      <c r="U13" s="1" t="s">
        <v>612</v>
      </c>
      <c r="V13" s="1" t="s">
        <v>612</v>
      </c>
      <c r="W13" s="1" t="s">
        <v>612</v>
      </c>
      <c r="X13" s="1" t="s">
        <v>612</v>
      </c>
      <c r="Y13" s="1" t="s">
        <v>612</v>
      </c>
      <c r="Z13" s="1" t="s">
        <v>612</v>
      </c>
      <c r="AA13" s="1" t="s">
        <v>612</v>
      </c>
      <c r="AB13" s="1" t="s">
        <v>612</v>
      </c>
      <c r="AC13" s="1" t="s">
        <v>612</v>
      </c>
      <c r="AD13" s="1" t="s">
        <v>612</v>
      </c>
      <c r="AE13" s="1" t="s">
        <v>612</v>
      </c>
      <c r="AF13" s="1" t="s">
        <v>612</v>
      </c>
      <c r="AG13" s="1" t="s">
        <v>612</v>
      </c>
      <c r="AH13" s="1" t="s">
        <v>612</v>
      </c>
      <c r="AI13" s="1" t="s">
        <v>612</v>
      </c>
      <c r="AJ13" s="465">
        <v>43056.229889050897</v>
      </c>
    </row>
    <row r="14" spans="1:36">
      <c r="A14" s="1" t="s">
        <v>417</v>
      </c>
      <c r="B14" s="1" t="s">
        <v>1287</v>
      </c>
      <c r="C14" s="1" t="s">
        <v>237</v>
      </c>
      <c r="D14" s="1" t="s">
        <v>612</v>
      </c>
      <c r="E14" s="1" t="s">
        <v>612</v>
      </c>
      <c r="F14" s="1" t="s">
        <v>612</v>
      </c>
      <c r="G14" s="1" t="s">
        <v>612</v>
      </c>
      <c r="H14" s="1" t="s">
        <v>612</v>
      </c>
      <c r="I14" s="1" t="s">
        <v>612</v>
      </c>
      <c r="J14" s="1" t="s">
        <v>612</v>
      </c>
      <c r="K14" s="1" t="s">
        <v>612</v>
      </c>
      <c r="L14" s="1" t="s">
        <v>612</v>
      </c>
      <c r="M14" s="1" t="s">
        <v>612</v>
      </c>
      <c r="N14" s="1" t="s">
        <v>612</v>
      </c>
      <c r="O14" s="1" t="s">
        <v>612</v>
      </c>
      <c r="P14" s="1" t="s">
        <v>612</v>
      </c>
      <c r="Q14" s="1" t="s">
        <v>612</v>
      </c>
      <c r="R14" s="1" t="s">
        <v>612</v>
      </c>
      <c r="S14" s="1" t="s">
        <v>612</v>
      </c>
      <c r="T14" s="1" t="s">
        <v>612</v>
      </c>
      <c r="U14" s="1" t="s">
        <v>612</v>
      </c>
      <c r="V14" s="1" t="s">
        <v>612</v>
      </c>
      <c r="W14" s="1" t="s">
        <v>612</v>
      </c>
      <c r="X14" s="1" t="s">
        <v>612</v>
      </c>
      <c r="Y14" s="1" t="s">
        <v>612</v>
      </c>
      <c r="Z14" s="1" t="s">
        <v>612</v>
      </c>
      <c r="AA14" s="1" t="s">
        <v>612</v>
      </c>
      <c r="AB14" s="1" t="s">
        <v>612</v>
      </c>
      <c r="AC14" s="1" t="s">
        <v>612</v>
      </c>
      <c r="AD14" s="1" t="s">
        <v>612</v>
      </c>
      <c r="AE14" s="1" t="s">
        <v>612</v>
      </c>
      <c r="AF14" s="1" t="s">
        <v>612</v>
      </c>
      <c r="AG14" s="1" t="s">
        <v>612</v>
      </c>
      <c r="AH14" s="1" t="s">
        <v>612</v>
      </c>
      <c r="AI14" s="1" t="s">
        <v>612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1288</v>
      </c>
      <c r="E15" s="1" t="s">
        <v>1288</v>
      </c>
      <c r="F15" s="1" t="s">
        <v>1288</v>
      </c>
      <c r="G15" s="1" t="s">
        <v>1288</v>
      </c>
      <c r="H15" s="1" t="s">
        <v>1288</v>
      </c>
      <c r="I15" s="1" t="s">
        <v>1288</v>
      </c>
      <c r="J15" s="1" t="s">
        <v>1288</v>
      </c>
      <c r="K15" s="1" t="s">
        <v>1288</v>
      </c>
      <c r="L15" s="1" t="s">
        <v>1288</v>
      </c>
      <c r="M15" s="1" t="s">
        <v>1288</v>
      </c>
      <c r="N15" s="1" t="s">
        <v>1288</v>
      </c>
      <c r="O15" s="1" t="s">
        <v>1289</v>
      </c>
      <c r="P15" s="1" t="s">
        <v>1290</v>
      </c>
      <c r="Q15" s="1" t="s">
        <v>1290</v>
      </c>
      <c r="R15" s="1" t="s">
        <v>1290</v>
      </c>
      <c r="S15" s="1" t="s">
        <v>1290</v>
      </c>
      <c r="T15" s="1" t="s">
        <v>1290</v>
      </c>
      <c r="U15" s="1" t="s">
        <v>1290</v>
      </c>
      <c r="V15" s="1" t="s">
        <v>1290</v>
      </c>
      <c r="W15" s="1" t="s">
        <v>1290</v>
      </c>
      <c r="X15" s="1" t="s">
        <v>1290</v>
      </c>
      <c r="Y15" s="1" t="s">
        <v>1290</v>
      </c>
      <c r="Z15" s="1" t="s">
        <v>1290</v>
      </c>
      <c r="AA15" s="1" t="s">
        <v>1290</v>
      </c>
      <c r="AB15" s="1" t="s">
        <v>1290</v>
      </c>
      <c r="AC15" s="1" t="s">
        <v>1290</v>
      </c>
      <c r="AD15" s="1" t="s">
        <v>1290</v>
      </c>
      <c r="AE15" s="1" t="s">
        <v>1290</v>
      </c>
      <c r="AF15" s="1" t="s">
        <v>1290</v>
      </c>
      <c r="AG15" s="1" t="s">
        <v>1290</v>
      </c>
      <c r="AH15" s="1" t="s">
        <v>1290</v>
      </c>
      <c r="AI15" s="1" t="s">
        <v>1291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612</v>
      </c>
      <c r="E16" s="1" t="s">
        <v>612</v>
      </c>
      <c r="F16" s="1" t="s">
        <v>612</v>
      </c>
      <c r="G16" s="1" t="s">
        <v>612</v>
      </c>
      <c r="H16" s="1" t="s">
        <v>612</v>
      </c>
      <c r="I16" s="1" t="s">
        <v>612</v>
      </c>
      <c r="J16" s="1" t="s">
        <v>612</v>
      </c>
      <c r="K16" s="1" t="s">
        <v>612</v>
      </c>
      <c r="L16" s="1" t="s">
        <v>612</v>
      </c>
      <c r="M16" s="1" t="s">
        <v>612</v>
      </c>
      <c r="N16" s="1" t="s">
        <v>612</v>
      </c>
      <c r="O16" s="1" t="s">
        <v>612</v>
      </c>
      <c r="P16" s="1" t="s">
        <v>612</v>
      </c>
      <c r="Q16" s="1" t="s">
        <v>612</v>
      </c>
      <c r="R16" s="1" t="s">
        <v>612</v>
      </c>
      <c r="S16" s="1" t="s">
        <v>612</v>
      </c>
      <c r="T16" s="1" t="s">
        <v>612</v>
      </c>
      <c r="U16" s="1" t="s">
        <v>612</v>
      </c>
      <c r="V16" s="1" t="s">
        <v>612</v>
      </c>
      <c r="W16" s="1" t="s">
        <v>612</v>
      </c>
      <c r="X16" s="1" t="s">
        <v>612</v>
      </c>
      <c r="Y16" s="1" t="s">
        <v>612</v>
      </c>
      <c r="Z16" s="1" t="s">
        <v>612</v>
      </c>
      <c r="AA16" s="1" t="s">
        <v>612</v>
      </c>
      <c r="AB16" s="1" t="s">
        <v>612</v>
      </c>
      <c r="AC16" s="1" t="s">
        <v>612</v>
      </c>
      <c r="AD16" s="1" t="s">
        <v>612</v>
      </c>
      <c r="AE16" s="1" t="s">
        <v>612</v>
      </c>
      <c r="AF16" s="1" t="s">
        <v>612</v>
      </c>
      <c r="AG16" s="1" t="s">
        <v>612</v>
      </c>
      <c r="AH16" s="1" t="s">
        <v>612</v>
      </c>
      <c r="AI16" s="1" t="s">
        <v>612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612</v>
      </c>
      <c r="E17" s="1" t="s">
        <v>612</v>
      </c>
      <c r="F17" s="1" t="s">
        <v>612</v>
      </c>
      <c r="G17" s="1" t="s">
        <v>612</v>
      </c>
      <c r="H17" s="1" t="s">
        <v>612</v>
      </c>
      <c r="I17" s="1" t="s">
        <v>612</v>
      </c>
      <c r="J17" s="1" t="s">
        <v>612</v>
      </c>
      <c r="K17" s="1" t="s">
        <v>612</v>
      </c>
      <c r="L17" s="1" t="s">
        <v>612</v>
      </c>
      <c r="M17" s="1" t="s">
        <v>612</v>
      </c>
      <c r="N17" s="1" t="s">
        <v>612</v>
      </c>
      <c r="O17" s="1" t="s">
        <v>612</v>
      </c>
      <c r="P17" s="1" t="s">
        <v>612</v>
      </c>
      <c r="Q17" s="1" t="s">
        <v>612</v>
      </c>
      <c r="R17" s="1" t="s">
        <v>612</v>
      </c>
      <c r="S17" s="1" t="s">
        <v>612</v>
      </c>
      <c r="T17" s="1" t="s">
        <v>612</v>
      </c>
      <c r="U17" s="1" t="s">
        <v>612</v>
      </c>
      <c r="V17" s="1" t="s">
        <v>612</v>
      </c>
      <c r="W17" s="1" t="s">
        <v>612</v>
      </c>
      <c r="X17" s="1" t="s">
        <v>612</v>
      </c>
      <c r="Y17" s="1" t="s">
        <v>612</v>
      </c>
      <c r="Z17" s="1" t="s">
        <v>612</v>
      </c>
      <c r="AA17" s="1" t="s">
        <v>612</v>
      </c>
      <c r="AB17" s="1" t="s">
        <v>612</v>
      </c>
      <c r="AC17" s="1" t="s">
        <v>612</v>
      </c>
      <c r="AD17" s="1" t="s">
        <v>612</v>
      </c>
      <c r="AE17" s="1" t="s">
        <v>612</v>
      </c>
      <c r="AF17" s="1" t="s">
        <v>612</v>
      </c>
      <c r="AG17" s="1" t="s">
        <v>612</v>
      </c>
      <c r="AH17" s="1" t="s">
        <v>612</v>
      </c>
      <c r="AI17" s="1" t="s">
        <v>612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612</v>
      </c>
      <c r="E18" s="1" t="s">
        <v>612</v>
      </c>
      <c r="F18" s="1" t="s">
        <v>612</v>
      </c>
      <c r="G18" s="1" t="s">
        <v>612</v>
      </c>
      <c r="H18" s="1" t="s">
        <v>612</v>
      </c>
      <c r="I18" s="1" t="s">
        <v>612</v>
      </c>
      <c r="J18" s="1" t="s">
        <v>612</v>
      </c>
      <c r="K18" s="1" t="s">
        <v>612</v>
      </c>
      <c r="L18" s="1" t="s">
        <v>612</v>
      </c>
      <c r="M18" s="1" t="s">
        <v>612</v>
      </c>
      <c r="N18" s="1" t="s">
        <v>612</v>
      </c>
      <c r="O18" s="1" t="s">
        <v>612</v>
      </c>
      <c r="P18" s="1" t="s">
        <v>612</v>
      </c>
      <c r="Q18" s="1" t="s">
        <v>612</v>
      </c>
      <c r="R18" s="1" t="s">
        <v>612</v>
      </c>
      <c r="S18" s="1" t="s">
        <v>612</v>
      </c>
      <c r="T18" s="1" t="s">
        <v>612</v>
      </c>
      <c r="U18" s="1" t="s">
        <v>612</v>
      </c>
      <c r="V18" s="1" t="s">
        <v>612</v>
      </c>
      <c r="W18" s="1" t="s">
        <v>612</v>
      </c>
      <c r="X18" s="1" t="s">
        <v>612</v>
      </c>
      <c r="Y18" s="1" t="s">
        <v>612</v>
      </c>
      <c r="Z18" s="1" t="s">
        <v>612</v>
      </c>
      <c r="AA18" s="1" t="s">
        <v>612</v>
      </c>
      <c r="AB18" s="1" t="s">
        <v>612</v>
      </c>
      <c r="AC18" s="1" t="s">
        <v>612</v>
      </c>
      <c r="AD18" s="1" t="s">
        <v>612</v>
      </c>
      <c r="AE18" s="1" t="s">
        <v>612</v>
      </c>
      <c r="AF18" s="1" t="s">
        <v>612</v>
      </c>
      <c r="AG18" s="1" t="s">
        <v>612</v>
      </c>
      <c r="AH18" s="1" t="s">
        <v>612</v>
      </c>
      <c r="AI18" s="1" t="s">
        <v>612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612</v>
      </c>
      <c r="E19" s="1" t="s">
        <v>612</v>
      </c>
      <c r="F19" s="1" t="s">
        <v>612</v>
      </c>
      <c r="G19" s="1" t="s">
        <v>612</v>
      </c>
      <c r="H19" s="1" t="s">
        <v>612</v>
      </c>
      <c r="I19" s="1" t="s">
        <v>612</v>
      </c>
      <c r="J19" s="1" t="s">
        <v>612</v>
      </c>
      <c r="K19" s="1" t="s">
        <v>612</v>
      </c>
      <c r="L19" s="1" t="s">
        <v>612</v>
      </c>
      <c r="M19" s="1" t="s">
        <v>612</v>
      </c>
      <c r="N19" s="1" t="s">
        <v>612</v>
      </c>
      <c r="O19" s="1" t="s">
        <v>612</v>
      </c>
      <c r="P19" s="1" t="s">
        <v>612</v>
      </c>
      <c r="Q19" s="1" t="s">
        <v>612</v>
      </c>
      <c r="R19" s="1" t="s">
        <v>612</v>
      </c>
      <c r="S19" s="1" t="s">
        <v>612</v>
      </c>
      <c r="T19" s="1" t="s">
        <v>612</v>
      </c>
      <c r="U19" s="1" t="s">
        <v>612</v>
      </c>
      <c r="V19" s="1" t="s">
        <v>612</v>
      </c>
      <c r="W19" s="1" t="s">
        <v>612</v>
      </c>
      <c r="X19" s="1" t="s">
        <v>612</v>
      </c>
      <c r="Y19" s="1" t="s">
        <v>612</v>
      </c>
      <c r="Z19" s="1" t="s">
        <v>612</v>
      </c>
      <c r="AA19" s="1" t="s">
        <v>612</v>
      </c>
      <c r="AB19" s="1" t="s">
        <v>612</v>
      </c>
      <c r="AC19" s="1" t="s">
        <v>612</v>
      </c>
      <c r="AD19" s="1" t="s">
        <v>612</v>
      </c>
      <c r="AE19" s="1" t="s">
        <v>612</v>
      </c>
      <c r="AF19" s="1" t="s">
        <v>612</v>
      </c>
      <c r="AG19" s="1" t="s">
        <v>612</v>
      </c>
      <c r="AH19" s="1" t="s">
        <v>612</v>
      </c>
      <c r="AI19" s="1" t="s">
        <v>612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612</v>
      </c>
      <c r="E20" s="1" t="s">
        <v>612</v>
      </c>
      <c r="F20" s="1" t="s">
        <v>612</v>
      </c>
      <c r="G20" s="1" t="s">
        <v>612</v>
      </c>
      <c r="H20" s="1" t="s">
        <v>612</v>
      </c>
      <c r="I20" s="1" t="s">
        <v>612</v>
      </c>
      <c r="J20" s="1" t="s">
        <v>612</v>
      </c>
      <c r="K20" s="1" t="s">
        <v>612</v>
      </c>
      <c r="L20" s="1" t="s">
        <v>612</v>
      </c>
      <c r="M20" s="1" t="s">
        <v>612</v>
      </c>
      <c r="N20" s="1" t="s">
        <v>612</v>
      </c>
      <c r="O20" s="1" t="s">
        <v>612</v>
      </c>
      <c r="P20" s="1" t="s">
        <v>612</v>
      </c>
      <c r="Q20" s="1" t="s">
        <v>612</v>
      </c>
      <c r="R20" s="1" t="s">
        <v>612</v>
      </c>
      <c r="S20" s="1" t="s">
        <v>612</v>
      </c>
      <c r="T20" s="1" t="s">
        <v>612</v>
      </c>
      <c r="U20" s="1" t="s">
        <v>612</v>
      </c>
      <c r="V20" s="1" t="s">
        <v>612</v>
      </c>
      <c r="W20" s="1" t="s">
        <v>612</v>
      </c>
      <c r="X20" s="1" t="s">
        <v>612</v>
      </c>
      <c r="Y20" s="1" t="s">
        <v>612</v>
      </c>
      <c r="Z20" s="1" t="s">
        <v>612</v>
      </c>
      <c r="AA20" s="1" t="s">
        <v>612</v>
      </c>
      <c r="AB20" s="1" t="s">
        <v>612</v>
      </c>
      <c r="AC20" s="1" t="s">
        <v>612</v>
      </c>
      <c r="AD20" s="1" t="s">
        <v>612</v>
      </c>
      <c r="AE20" s="1" t="s">
        <v>612</v>
      </c>
      <c r="AF20" s="1" t="s">
        <v>612</v>
      </c>
      <c r="AG20" s="1" t="s">
        <v>612</v>
      </c>
      <c r="AH20" s="1" t="s">
        <v>612</v>
      </c>
      <c r="AI20" s="1" t="s">
        <v>612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612</v>
      </c>
      <c r="E21" s="1" t="s">
        <v>612</v>
      </c>
      <c r="F21" s="1" t="s">
        <v>612</v>
      </c>
      <c r="G21" s="1" t="s">
        <v>612</v>
      </c>
      <c r="H21" s="1" t="s">
        <v>612</v>
      </c>
      <c r="I21" s="1" t="s">
        <v>612</v>
      </c>
      <c r="J21" s="1" t="s">
        <v>612</v>
      </c>
      <c r="K21" s="1" t="s">
        <v>612</v>
      </c>
      <c r="L21" s="1" t="s">
        <v>612</v>
      </c>
      <c r="M21" s="1" t="s">
        <v>612</v>
      </c>
      <c r="N21" s="1" t="s">
        <v>612</v>
      </c>
      <c r="O21" s="1" t="s">
        <v>612</v>
      </c>
      <c r="P21" s="1" t="s">
        <v>612</v>
      </c>
      <c r="Q21" s="1" t="s">
        <v>612</v>
      </c>
      <c r="R21" s="1" t="s">
        <v>612</v>
      </c>
      <c r="S21" s="1" t="s">
        <v>612</v>
      </c>
      <c r="T21" s="1" t="s">
        <v>612</v>
      </c>
      <c r="U21" s="1" t="s">
        <v>612</v>
      </c>
      <c r="V21" s="1" t="s">
        <v>612</v>
      </c>
      <c r="W21" s="1" t="s">
        <v>612</v>
      </c>
      <c r="X21" s="1" t="s">
        <v>612</v>
      </c>
      <c r="Y21" s="1" t="s">
        <v>612</v>
      </c>
      <c r="Z21" s="1" t="s">
        <v>612</v>
      </c>
      <c r="AA21" s="1" t="s">
        <v>612</v>
      </c>
      <c r="AB21" s="1" t="s">
        <v>612</v>
      </c>
      <c r="AC21" s="1" t="s">
        <v>612</v>
      </c>
      <c r="AD21" s="1" t="s">
        <v>612</v>
      </c>
      <c r="AE21" s="1" t="s">
        <v>612</v>
      </c>
      <c r="AF21" s="1" t="s">
        <v>612</v>
      </c>
      <c r="AG21" s="1" t="s">
        <v>612</v>
      </c>
      <c r="AH21" s="1" t="s">
        <v>612</v>
      </c>
      <c r="AI21" s="1" t="s">
        <v>612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6" max="16" width="10.75" customWidth="1"/>
    <col min="17" max="17" width="11.75" customWidth="1"/>
    <col min="21" max="21" width="16.125" customWidth="1"/>
  </cols>
  <sheetData>
    <row r="1" spans="1:29">
      <c r="A1" s="1" t="s">
        <v>1292</v>
      </c>
      <c r="B1" s="1" t="s">
        <v>450</v>
      </c>
      <c r="C1" s="1" t="s">
        <v>1293</v>
      </c>
      <c r="D1" s="1" t="s">
        <v>1294</v>
      </c>
      <c r="E1" s="1" t="s">
        <v>1295</v>
      </c>
      <c r="F1" s="1" t="s">
        <v>1296</v>
      </c>
      <c r="G1" s="1" t="s">
        <v>1297</v>
      </c>
      <c r="H1" s="1" t="s">
        <v>1298</v>
      </c>
      <c r="I1" s="1" t="s">
        <v>1299</v>
      </c>
      <c r="J1" s="1" t="s">
        <v>1300</v>
      </c>
      <c r="K1" s="1" t="s">
        <v>1301</v>
      </c>
      <c r="L1" s="1" t="s">
        <v>1302</v>
      </c>
      <c r="M1" s="1" t="s">
        <v>1303</v>
      </c>
      <c r="N1" s="1" t="s">
        <v>1304</v>
      </c>
      <c r="O1" s="1" t="s">
        <v>452</v>
      </c>
      <c r="P1" s="1" t="s">
        <v>1305</v>
      </c>
      <c r="Q1" s="1" t="s">
        <v>1306</v>
      </c>
      <c r="R1" s="1" t="s">
        <v>1307</v>
      </c>
      <c r="S1" s="1" t="s">
        <v>1308</v>
      </c>
      <c r="T1" s="1" t="s">
        <v>1309</v>
      </c>
      <c r="U1" s="1" t="s">
        <v>1310</v>
      </c>
      <c r="V1" s="1" t="s">
        <v>1311</v>
      </c>
      <c r="W1" s="1" t="s">
        <v>1312</v>
      </c>
      <c r="X1" s="1" t="s">
        <v>1313</v>
      </c>
      <c r="Y1" s="1" t="s">
        <v>1314</v>
      </c>
      <c r="Z1" s="1" t="s">
        <v>1315</v>
      </c>
      <c r="AA1" s="1" t="s">
        <v>1316</v>
      </c>
      <c r="AB1" s="1" t="s">
        <v>1317</v>
      </c>
    </row>
    <row r="2" spans="1:29">
      <c r="A2" s="1" t="s">
        <v>1318</v>
      </c>
      <c r="B2" s="1" t="s">
        <v>453</v>
      </c>
      <c r="C2" s="1" t="s">
        <v>1319</v>
      </c>
      <c r="D2" s="1" t="s">
        <v>1320</v>
      </c>
      <c r="E2" s="1" t="s">
        <v>612</v>
      </c>
      <c r="F2" s="1" t="s">
        <v>612</v>
      </c>
      <c r="G2" s="1" t="s">
        <v>612</v>
      </c>
      <c r="H2" s="1" t="s">
        <v>612</v>
      </c>
      <c r="I2" s="1" t="s">
        <v>612</v>
      </c>
      <c r="J2" s="1" t="s">
        <v>612</v>
      </c>
      <c r="K2" s="1" t="s">
        <v>612</v>
      </c>
      <c r="L2" s="1" t="s">
        <v>612</v>
      </c>
      <c r="M2" s="1" t="s">
        <v>612</v>
      </c>
      <c r="N2" s="1" t="s">
        <v>612</v>
      </c>
      <c r="O2" s="1" t="s">
        <v>1321</v>
      </c>
      <c r="P2" s="1" t="s">
        <v>1322</v>
      </c>
      <c r="Q2" s="1" t="s">
        <v>1323</v>
      </c>
      <c r="R2" s="1" t="s">
        <v>612</v>
      </c>
      <c r="S2" s="1" t="s">
        <v>612</v>
      </c>
      <c r="T2" s="1" t="s">
        <v>612</v>
      </c>
      <c r="U2" s="1" t="s">
        <v>612</v>
      </c>
      <c r="V2" s="1" t="s">
        <v>612</v>
      </c>
      <c r="W2" s="1" t="s">
        <v>612</v>
      </c>
      <c r="X2" s="1" t="s">
        <v>612</v>
      </c>
      <c r="Y2" s="1" t="s">
        <v>612</v>
      </c>
      <c r="Z2" s="1" t="s">
        <v>612</v>
      </c>
      <c r="AA2" s="1" t="s">
        <v>612</v>
      </c>
      <c r="AB2" s="1" t="s">
        <v>1324</v>
      </c>
      <c r="AC2" s="465">
        <v>43045.229882731503</v>
      </c>
    </row>
    <row r="3" spans="1:29">
      <c r="A3" s="1" t="s">
        <v>1318</v>
      </c>
      <c r="B3" s="1" t="s">
        <v>487</v>
      </c>
      <c r="C3" s="1" t="s">
        <v>1325</v>
      </c>
      <c r="D3" s="1" t="s">
        <v>1326</v>
      </c>
      <c r="E3" s="1" t="s">
        <v>612</v>
      </c>
      <c r="F3" s="1" t="s">
        <v>612</v>
      </c>
      <c r="G3" s="1" t="s">
        <v>612</v>
      </c>
      <c r="H3" s="1" t="s">
        <v>612</v>
      </c>
      <c r="I3" s="1" t="s">
        <v>612</v>
      </c>
      <c r="J3" s="1" t="s">
        <v>612</v>
      </c>
      <c r="K3" s="1" t="s">
        <v>612</v>
      </c>
      <c r="L3" s="1" t="s">
        <v>612</v>
      </c>
      <c r="M3" s="1" t="s">
        <v>612</v>
      </c>
      <c r="N3" s="1" t="s">
        <v>612</v>
      </c>
      <c r="O3" s="1" t="s">
        <v>1327</v>
      </c>
      <c r="P3" s="1" t="s">
        <v>1328</v>
      </c>
      <c r="Q3" s="1" t="s">
        <v>1329</v>
      </c>
      <c r="R3" s="1" t="s">
        <v>612</v>
      </c>
      <c r="S3" s="1" t="s">
        <v>612</v>
      </c>
      <c r="T3" s="1" t="s">
        <v>612</v>
      </c>
      <c r="U3" s="1" t="s">
        <v>612</v>
      </c>
      <c r="V3" s="1" t="s">
        <v>612</v>
      </c>
      <c r="W3" s="1" t="s">
        <v>612</v>
      </c>
      <c r="X3" s="1" t="s">
        <v>612</v>
      </c>
      <c r="Y3" s="1" t="s">
        <v>612</v>
      </c>
      <c r="Z3" s="1" t="s">
        <v>612</v>
      </c>
      <c r="AA3" s="1" t="s">
        <v>612</v>
      </c>
      <c r="AB3" s="1" t="s">
        <v>1330</v>
      </c>
      <c r="AC3" s="465">
        <v>43045.229882731503</v>
      </c>
    </row>
    <row r="4" spans="1:29">
      <c r="A4" s="1" t="s">
        <v>1318</v>
      </c>
      <c r="B4" s="1" t="s">
        <v>518</v>
      </c>
      <c r="C4" s="1" t="s">
        <v>1331</v>
      </c>
      <c r="D4" s="1" t="s">
        <v>1332</v>
      </c>
      <c r="E4" s="1" t="s">
        <v>612</v>
      </c>
      <c r="F4" s="1" t="s">
        <v>612</v>
      </c>
      <c r="G4" s="1" t="s">
        <v>612</v>
      </c>
      <c r="H4" s="1" t="s">
        <v>612</v>
      </c>
      <c r="I4" s="1" t="s">
        <v>612</v>
      </c>
      <c r="J4" s="1" t="s">
        <v>612</v>
      </c>
      <c r="K4" s="1" t="s">
        <v>612</v>
      </c>
      <c r="L4" s="1" t="s">
        <v>612</v>
      </c>
      <c r="M4" s="1" t="s">
        <v>612</v>
      </c>
      <c r="N4" s="1" t="s">
        <v>612</v>
      </c>
      <c r="O4" s="1" t="s">
        <v>1333</v>
      </c>
      <c r="P4" s="1" t="s">
        <v>1334</v>
      </c>
      <c r="Q4" s="1" t="s">
        <v>519</v>
      </c>
      <c r="R4" s="1" t="s">
        <v>612</v>
      </c>
      <c r="S4" s="1" t="s">
        <v>612</v>
      </c>
      <c r="T4" s="1" t="s">
        <v>612</v>
      </c>
      <c r="U4" s="1" t="s">
        <v>612</v>
      </c>
      <c r="V4" s="1" t="s">
        <v>612</v>
      </c>
      <c r="W4" s="1" t="s">
        <v>612</v>
      </c>
      <c r="X4" s="1" t="s">
        <v>612</v>
      </c>
      <c r="Y4" s="1" t="s">
        <v>612</v>
      </c>
      <c r="Z4" s="1" t="s">
        <v>612</v>
      </c>
      <c r="AA4" s="1" t="s">
        <v>612</v>
      </c>
      <c r="AB4" s="1" t="s">
        <v>1335</v>
      </c>
      <c r="AC4" s="465">
        <v>43045.229882731503</v>
      </c>
    </row>
    <row r="5" spans="1:29">
      <c r="A5" s="1" t="s">
        <v>1318</v>
      </c>
      <c r="B5" s="1" t="s">
        <v>548</v>
      </c>
      <c r="C5" s="1" t="s">
        <v>1336</v>
      </c>
      <c r="D5" s="1" t="s">
        <v>1337</v>
      </c>
      <c r="E5" s="1" t="s">
        <v>612</v>
      </c>
      <c r="F5" s="1" t="s">
        <v>612</v>
      </c>
      <c r="G5" s="1" t="s">
        <v>612</v>
      </c>
      <c r="H5" s="1" t="s">
        <v>612</v>
      </c>
      <c r="I5" s="1" t="s">
        <v>612</v>
      </c>
      <c r="J5" s="1" t="s">
        <v>612</v>
      </c>
      <c r="K5" s="1" t="s">
        <v>612</v>
      </c>
      <c r="L5" s="1" t="s">
        <v>612</v>
      </c>
      <c r="M5" s="1" t="s">
        <v>612</v>
      </c>
      <c r="N5" s="1" t="s">
        <v>612</v>
      </c>
      <c r="O5" s="1" t="s">
        <v>1338</v>
      </c>
      <c r="P5" s="1" t="s">
        <v>1339</v>
      </c>
      <c r="Q5" s="1" t="s">
        <v>1340</v>
      </c>
      <c r="R5" s="1" t="s">
        <v>612</v>
      </c>
      <c r="S5" s="1" t="s">
        <v>612</v>
      </c>
      <c r="T5" s="1" t="s">
        <v>612</v>
      </c>
      <c r="U5" s="1" t="s">
        <v>612</v>
      </c>
      <c r="V5" s="1" t="s">
        <v>612</v>
      </c>
      <c r="W5" s="1" t="s">
        <v>612</v>
      </c>
      <c r="X5" s="1" t="s">
        <v>612</v>
      </c>
      <c r="Y5" s="1" t="s">
        <v>612</v>
      </c>
      <c r="Z5" s="1" t="s">
        <v>612</v>
      </c>
      <c r="AA5" s="1" t="s">
        <v>612</v>
      </c>
      <c r="AB5" s="1" t="s">
        <v>1341</v>
      </c>
      <c r="AC5" s="465">
        <v>43045.229882731503</v>
      </c>
    </row>
    <row r="6" spans="1:29">
      <c r="A6" s="1" t="s">
        <v>1318</v>
      </c>
      <c r="B6" s="1" t="s">
        <v>578</v>
      </c>
      <c r="C6" s="1" t="s">
        <v>1342</v>
      </c>
      <c r="D6" s="1" t="s">
        <v>1343</v>
      </c>
      <c r="E6" s="1" t="s">
        <v>612</v>
      </c>
      <c r="F6" s="1" t="s">
        <v>612</v>
      </c>
      <c r="G6" s="1" t="s">
        <v>612</v>
      </c>
      <c r="H6" s="1" t="s">
        <v>612</v>
      </c>
      <c r="I6" s="1" t="s">
        <v>612</v>
      </c>
      <c r="J6" s="1" t="s">
        <v>612</v>
      </c>
      <c r="K6" s="1" t="s">
        <v>612</v>
      </c>
      <c r="L6" s="1" t="s">
        <v>612</v>
      </c>
      <c r="M6" s="1" t="s">
        <v>612</v>
      </c>
      <c r="N6" s="1" t="s">
        <v>612</v>
      </c>
      <c r="O6" s="1" t="s">
        <v>1344</v>
      </c>
      <c r="P6" s="1" t="s">
        <v>1345</v>
      </c>
      <c r="Q6" s="1" t="s">
        <v>1346</v>
      </c>
      <c r="R6" s="1" t="s">
        <v>612</v>
      </c>
      <c r="S6" s="1" t="s">
        <v>612</v>
      </c>
      <c r="T6" s="1" t="s">
        <v>612</v>
      </c>
      <c r="U6" s="1" t="s">
        <v>612</v>
      </c>
      <c r="V6" s="1" t="s">
        <v>612</v>
      </c>
      <c r="W6" s="1" t="s">
        <v>612</v>
      </c>
      <c r="X6" s="1" t="s">
        <v>612</v>
      </c>
      <c r="Y6" s="1" t="s">
        <v>612</v>
      </c>
      <c r="Z6" s="1" t="s">
        <v>612</v>
      </c>
      <c r="AA6" s="1" t="s">
        <v>612</v>
      </c>
      <c r="AB6" s="1" t="s">
        <v>1347</v>
      </c>
      <c r="AC6" s="465">
        <v>43045.229882731503</v>
      </c>
    </row>
    <row r="7" spans="1:29">
      <c r="A7" s="1" t="s">
        <v>1318</v>
      </c>
      <c r="B7" s="1" t="s">
        <v>611</v>
      </c>
      <c r="C7" s="1" t="s">
        <v>612</v>
      </c>
      <c r="D7" s="1" t="s">
        <v>612</v>
      </c>
      <c r="E7" s="1" t="s">
        <v>612</v>
      </c>
      <c r="F7" s="1" t="s">
        <v>612</v>
      </c>
      <c r="G7" s="1" t="s">
        <v>612</v>
      </c>
      <c r="H7" s="1" t="s">
        <v>612</v>
      </c>
      <c r="I7" s="1" t="s">
        <v>612</v>
      </c>
      <c r="J7" s="1" t="s">
        <v>612</v>
      </c>
      <c r="K7" s="1" t="s">
        <v>612</v>
      </c>
      <c r="L7" s="1" t="s">
        <v>612</v>
      </c>
      <c r="M7" s="1" t="s">
        <v>612</v>
      </c>
      <c r="N7" s="1" t="s">
        <v>612</v>
      </c>
      <c r="O7" s="1" t="s">
        <v>612</v>
      </c>
      <c r="P7" s="1" t="s">
        <v>612</v>
      </c>
      <c r="Q7" s="1" t="s">
        <v>612</v>
      </c>
      <c r="R7" s="1" t="s">
        <v>612</v>
      </c>
      <c r="S7" s="1" t="s">
        <v>612</v>
      </c>
      <c r="T7" s="1" t="s">
        <v>612</v>
      </c>
      <c r="U7" s="1" t="s">
        <v>612</v>
      </c>
      <c r="V7" s="1" t="s">
        <v>612</v>
      </c>
      <c r="W7" s="1" t="s">
        <v>612</v>
      </c>
      <c r="X7" s="1" t="s">
        <v>612</v>
      </c>
      <c r="Y7" s="1" t="s">
        <v>612</v>
      </c>
      <c r="Z7" s="1" t="s">
        <v>612</v>
      </c>
      <c r="AA7" s="1" t="s">
        <v>612</v>
      </c>
      <c r="AB7" s="1" t="s">
        <v>612</v>
      </c>
      <c r="AC7" s="465">
        <v>43045.229882731503</v>
      </c>
    </row>
    <row r="8" spans="1:29">
      <c r="A8" s="1" t="s">
        <v>1318</v>
      </c>
      <c r="B8" s="1" t="s">
        <v>613</v>
      </c>
      <c r="C8" s="1" t="s">
        <v>1348</v>
      </c>
      <c r="D8" s="1" t="s">
        <v>1349</v>
      </c>
      <c r="E8" s="1" t="s">
        <v>612</v>
      </c>
      <c r="F8" s="1" t="s">
        <v>612</v>
      </c>
      <c r="G8" s="1" t="s">
        <v>612</v>
      </c>
      <c r="H8" s="1" t="s">
        <v>612</v>
      </c>
      <c r="I8" s="1" t="s">
        <v>612</v>
      </c>
      <c r="J8" s="1" t="s">
        <v>612</v>
      </c>
      <c r="K8" s="1" t="s">
        <v>612</v>
      </c>
      <c r="L8" s="1" t="s">
        <v>612</v>
      </c>
      <c r="M8" s="1" t="s">
        <v>612</v>
      </c>
      <c r="N8" s="1" t="s">
        <v>612</v>
      </c>
      <c r="O8" s="1" t="s">
        <v>1350</v>
      </c>
      <c r="P8" s="1" t="s">
        <v>1351</v>
      </c>
      <c r="Q8" s="1" t="s">
        <v>1352</v>
      </c>
      <c r="R8" s="1" t="s">
        <v>612</v>
      </c>
      <c r="S8" s="1" t="s">
        <v>612</v>
      </c>
      <c r="T8" s="1" t="s">
        <v>612</v>
      </c>
      <c r="U8" s="1" t="s">
        <v>612</v>
      </c>
      <c r="V8" s="1" t="s">
        <v>612</v>
      </c>
      <c r="W8" s="1" t="s">
        <v>612</v>
      </c>
      <c r="X8" s="1" t="s">
        <v>612</v>
      </c>
      <c r="Y8" s="1" t="s">
        <v>612</v>
      </c>
      <c r="Z8" s="1" t="s">
        <v>612</v>
      </c>
      <c r="AA8" s="1" t="s">
        <v>612</v>
      </c>
      <c r="AB8" s="1" t="s">
        <v>1353</v>
      </c>
      <c r="AC8" s="465">
        <v>43045.229882731503</v>
      </c>
    </row>
    <row r="9" spans="1:29">
      <c r="A9" s="1" t="s">
        <v>1318</v>
      </c>
      <c r="B9" s="1" t="s">
        <v>643</v>
      </c>
      <c r="C9" s="1" t="s">
        <v>612</v>
      </c>
      <c r="D9" s="1" t="s">
        <v>612</v>
      </c>
      <c r="E9" s="1" t="s">
        <v>612</v>
      </c>
      <c r="F9" s="1" t="s">
        <v>612</v>
      </c>
      <c r="G9" s="1" t="s">
        <v>612</v>
      </c>
      <c r="H9" s="1" t="s">
        <v>612</v>
      </c>
      <c r="I9" s="1" t="s">
        <v>612</v>
      </c>
      <c r="J9" s="1" t="s">
        <v>612</v>
      </c>
      <c r="K9" s="1" t="s">
        <v>612</v>
      </c>
      <c r="L9" s="1" t="s">
        <v>612</v>
      </c>
      <c r="M9" s="1" t="s">
        <v>612</v>
      </c>
      <c r="N9" s="1" t="s">
        <v>612</v>
      </c>
      <c r="O9" s="1" t="s">
        <v>612</v>
      </c>
      <c r="P9" s="1" t="s">
        <v>612</v>
      </c>
      <c r="Q9" s="1" t="s">
        <v>612</v>
      </c>
      <c r="R9" s="1" t="s">
        <v>612</v>
      </c>
      <c r="S9" s="1" t="s">
        <v>612</v>
      </c>
      <c r="T9" s="1" t="s">
        <v>612</v>
      </c>
      <c r="U9" s="1" t="s">
        <v>612</v>
      </c>
      <c r="V9" s="1" t="s">
        <v>612</v>
      </c>
      <c r="W9" s="1" t="s">
        <v>612</v>
      </c>
      <c r="X9" s="1" t="s">
        <v>612</v>
      </c>
      <c r="Y9" s="1" t="s">
        <v>612</v>
      </c>
      <c r="Z9" s="1" t="s">
        <v>612</v>
      </c>
      <c r="AA9" s="1" t="s">
        <v>612</v>
      </c>
      <c r="AB9" s="1" t="s">
        <v>612</v>
      </c>
      <c r="AC9" s="465">
        <v>43045.229882731503</v>
      </c>
    </row>
    <row r="10" spans="1:29">
      <c r="A10" s="1" t="s">
        <v>1318</v>
      </c>
      <c r="B10" s="1" t="s">
        <v>644</v>
      </c>
      <c r="C10" s="1" t="s">
        <v>1354</v>
      </c>
      <c r="D10" s="1" t="s">
        <v>1355</v>
      </c>
      <c r="E10" s="1" t="s">
        <v>612</v>
      </c>
      <c r="F10" s="1" t="s">
        <v>612</v>
      </c>
      <c r="G10" s="1" t="s">
        <v>612</v>
      </c>
      <c r="H10" s="1" t="s">
        <v>612</v>
      </c>
      <c r="I10" s="1" t="s">
        <v>612</v>
      </c>
      <c r="J10" s="1" t="s">
        <v>612</v>
      </c>
      <c r="K10" s="1" t="s">
        <v>612</v>
      </c>
      <c r="L10" s="1" t="s">
        <v>612</v>
      </c>
      <c r="M10" s="1" t="s">
        <v>612</v>
      </c>
      <c r="N10" s="1" t="s">
        <v>612</v>
      </c>
      <c r="O10" s="1" t="s">
        <v>1356</v>
      </c>
      <c r="P10" s="1" t="s">
        <v>1357</v>
      </c>
      <c r="Q10" s="1" t="s">
        <v>1358</v>
      </c>
      <c r="R10" s="1" t="s">
        <v>612</v>
      </c>
      <c r="S10" s="1" t="s">
        <v>612</v>
      </c>
      <c r="T10" s="1" t="s">
        <v>612</v>
      </c>
      <c r="U10" s="1" t="s">
        <v>612</v>
      </c>
      <c r="V10" s="1" t="s">
        <v>612</v>
      </c>
      <c r="W10" s="1" t="s">
        <v>612</v>
      </c>
      <c r="X10" s="1" t="s">
        <v>612</v>
      </c>
      <c r="Y10" s="1" t="s">
        <v>612</v>
      </c>
      <c r="Z10" s="1" t="s">
        <v>612</v>
      </c>
      <c r="AA10" s="1" t="s">
        <v>612</v>
      </c>
      <c r="AB10" s="1" t="s">
        <v>1359</v>
      </c>
      <c r="AC10" s="465">
        <v>43045.229882731503</v>
      </c>
    </row>
    <row r="11" spans="1:29">
      <c r="A11" s="1" t="s">
        <v>1318</v>
      </c>
      <c r="B11" s="1" t="s">
        <v>673</v>
      </c>
      <c r="C11" s="1" t="s">
        <v>674</v>
      </c>
      <c r="D11" s="1" t="s">
        <v>674</v>
      </c>
      <c r="E11" s="1" t="s">
        <v>612</v>
      </c>
      <c r="F11" s="1" t="s">
        <v>612</v>
      </c>
      <c r="G11" s="1" t="s">
        <v>612</v>
      </c>
      <c r="H11" s="1" t="s">
        <v>612</v>
      </c>
      <c r="I11" s="1" t="s">
        <v>612</v>
      </c>
      <c r="J11" s="1" t="s">
        <v>612</v>
      </c>
      <c r="K11" s="1" t="s">
        <v>612</v>
      </c>
      <c r="L11" s="1" t="s">
        <v>612</v>
      </c>
      <c r="M11" s="1" t="s">
        <v>612</v>
      </c>
      <c r="N11" s="1" t="s">
        <v>612</v>
      </c>
      <c r="O11" s="1" t="s">
        <v>674</v>
      </c>
      <c r="P11" s="1" t="s">
        <v>674</v>
      </c>
      <c r="Q11" s="1" t="s">
        <v>674</v>
      </c>
      <c r="R11" s="1" t="s">
        <v>612</v>
      </c>
      <c r="S11" s="1" t="s">
        <v>612</v>
      </c>
      <c r="T11" s="1" t="s">
        <v>612</v>
      </c>
      <c r="U11" s="1" t="s">
        <v>612</v>
      </c>
      <c r="V11" s="1" t="s">
        <v>612</v>
      </c>
      <c r="W11" s="1" t="s">
        <v>612</v>
      </c>
      <c r="X11" s="1" t="s">
        <v>612</v>
      </c>
      <c r="Y11" s="1" t="s">
        <v>612</v>
      </c>
      <c r="Z11" s="1" t="s">
        <v>612</v>
      </c>
      <c r="AA11" s="1" t="s">
        <v>612</v>
      </c>
      <c r="AB11" s="1" t="s">
        <v>674</v>
      </c>
      <c r="AC11" s="465">
        <v>43045.229882731503</v>
      </c>
    </row>
    <row r="12" spans="1:29">
      <c r="A12" s="1" t="s">
        <v>1318</v>
      </c>
      <c r="B12" s="1" t="s">
        <v>677</v>
      </c>
      <c r="C12" s="1" t="s">
        <v>612</v>
      </c>
      <c r="D12" s="1" t="s">
        <v>612</v>
      </c>
      <c r="E12" s="1" t="s">
        <v>612</v>
      </c>
      <c r="F12" s="1" t="s">
        <v>612</v>
      </c>
      <c r="G12" s="1" t="s">
        <v>612</v>
      </c>
      <c r="H12" s="1" t="s">
        <v>612</v>
      </c>
      <c r="I12" s="1" t="s">
        <v>612</v>
      </c>
      <c r="J12" s="1" t="s">
        <v>612</v>
      </c>
      <c r="K12" s="1" t="s">
        <v>612</v>
      </c>
      <c r="L12" s="1" t="s">
        <v>612</v>
      </c>
      <c r="M12" s="1" t="s">
        <v>612</v>
      </c>
      <c r="N12" s="1" t="s">
        <v>612</v>
      </c>
      <c r="O12" s="1" t="s">
        <v>612</v>
      </c>
      <c r="P12" s="1" t="s">
        <v>612</v>
      </c>
      <c r="Q12" s="1" t="s">
        <v>612</v>
      </c>
      <c r="R12" s="1" t="s">
        <v>612</v>
      </c>
      <c r="S12" s="1" t="s">
        <v>612</v>
      </c>
      <c r="T12" s="1" t="s">
        <v>612</v>
      </c>
      <c r="U12" s="1" t="s">
        <v>612</v>
      </c>
      <c r="V12" s="1" t="s">
        <v>612</v>
      </c>
      <c r="W12" s="1" t="s">
        <v>612</v>
      </c>
      <c r="X12" s="1" t="s">
        <v>612</v>
      </c>
      <c r="Y12" s="1" t="s">
        <v>612</v>
      </c>
      <c r="Z12" s="1" t="s">
        <v>612</v>
      </c>
      <c r="AA12" s="1" t="s">
        <v>612</v>
      </c>
      <c r="AB12" s="1" t="s">
        <v>612</v>
      </c>
      <c r="AC12" s="465">
        <v>43045.229882731503</v>
      </c>
    </row>
    <row r="13" spans="1:29">
      <c r="A13" s="1" t="s">
        <v>1318</v>
      </c>
      <c r="B13" s="1" t="s">
        <v>682</v>
      </c>
      <c r="C13" s="1" t="s">
        <v>1360</v>
      </c>
      <c r="D13" s="1" t="s">
        <v>1361</v>
      </c>
      <c r="E13" s="1" t="s">
        <v>612</v>
      </c>
      <c r="F13" s="1" t="s">
        <v>612</v>
      </c>
      <c r="G13" s="1" t="s">
        <v>612</v>
      </c>
      <c r="H13" s="1" t="s">
        <v>612</v>
      </c>
      <c r="I13" s="1" t="s">
        <v>612</v>
      </c>
      <c r="J13" s="1" t="s">
        <v>612</v>
      </c>
      <c r="K13" s="1" t="s">
        <v>612</v>
      </c>
      <c r="L13" s="1" t="s">
        <v>612</v>
      </c>
      <c r="M13" s="1" t="s">
        <v>612</v>
      </c>
      <c r="N13" s="1" t="s">
        <v>612</v>
      </c>
      <c r="O13" s="1" t="s">
        <v>1362</v>
      </c>
      <c r="P13" s="1" t="s">
        <v>1363</v>
      </c>
      <c r="Q13" s="1" t="s">
        <v>1364</v>
      </c>
      <c r="R13" s="1" t="s">
        <v>612</v>
      </c>
      <c r="S13" s="1" t="s">
        <v>612</v>
      </c>
      <c r="T13" s="1" t="s">
        <v>612</v>
      </c>
      <c r="U13" s="1" t="s">
        <v>612</v>
      </c>
      <c r="V13" s="1" t="s">
        <v>612</v>
      </c>
      <c r="W13" s="1" t="s">
        <v>612</v>
      </c>
      <c r="X13" s="1" t="s">
        <v>612</v>
      </c>
      <c r="Y13" s="1" t="s">
        <v>612</v>
      </c>
      <c r="Z13" s="1" t="s">
        <v>612</v>
      </c>
      <c r="AA13" s="1" t="s">
        <v>612</v>
      </c>
      <c r="AB13" s="1" t="s">
        <v>1365</v>
      </c>
      <c r="AC13" s="465">
        <v>43045.229882731503</v>
      </c>
    </row>
    <row r="14" spans="1:29">
      <c r="A14" s="1" t="s">
        <v>1318</v>
      </c>
      <c r="B14" s="1" t="s">
        <v>712</v>
      </c>
      <c r="C14" s="1" t="s">
        <v>1366</v>
      </c>
      <c r="D14" s="1" t="s">
        <v>1367</v>
      </c>
      <c r="E14" s="1" t="s">
        <v>612</v>
      </c>
      <c r="F14" s="1" t="s">
        <v>612</v>
      </c>
      <c r="G14" s="1" t="s">
        <v>612</v>
      </c>
      <c r="H14" s="1" t="s">
        <v>612</v>
      </c>
      <c r="I14" s="1" t="s">
        <v>612</v>
      </c>
      <c r="J14" s="1" t="s">
        <v>612</v>
      </c>
      <c r="K14" s="1" t="s">
        <v>612</v>
      </c>
      <c r="L14" s="1" t="s">
        <v>612</v>
      </c>
      <c r="M14" s="1" t="s">
        <v>612</v>
      </c>
      <c r="N14" s="1" t="s">
        <v>612</v>
      </c>
      <c r="O14" s="1" t="s">
        <v>1368</v>
      </c>
      <c r="P14" s="1" t="s">
        <v>1369</v>
      </c>
      <c r="Q14" s="1" t="s">
        <v>713</v>
      </c>
      <c r="R14" s="1" t="s">
        <v>612</v>
      </c>
      <c r="S14" s="1" t="s">
        <v>612</v>
      </c>
      <c r="T14" s="1" t="s">
        <v>612</v>
      </c>
      <c r="U14" s="1" t="s">
        <v>612</v>
      </c>
      <c r="V14" s="1" t="s">
        <v>612</v>
      </c>
      <c r="W14" s="1" t="s">
        <v>612</v>
      </c>
      <c r="X14" s="1" t="s">
        <v>612</v>
      </c>
      <c r="Y14" s="1" t="s">
        <v>612</v>
      </c>
      <c r="Z14" s="1" t="s">
        <v>612</v>
      </c>
      <c r="AA14" s="1" t="s">
        <v>612</v>
      </c>
      <c r="AB14" s="1" t="s">
        <v>1370</v>
      </c>
      <c r="AC14" s="465">
        <v>43045.229882731503</v>
      </c>
    </row>
    <row r="15" spans="1:29">
      <c r="A15" s="1" t="s">
        <v>1318</v>
      </c>
      <c r="B15" s="1" t="s">
        <v>739</v>
      </c>
      <c r="C15" s="1" t="s">
        <v>1371</v>
      </c>
      <c r="D15" s="1" t="s">
        <v>1372</v>
      </c>
      <c r="E15" s="1" t="s">
        <v>612</v>
      </c>
      <c r="F15" s="1" t="s">
        <v>612</v>
      </c>
      <c r="G15" s="1" t="s">
        <v>612</v>
      </c>
      <c r="H15" s="1" t="s">
        <v>612</v>
      </c>
      <c r="I15" s="1" t="s">
        <v>612</v>
      </c>
      <c r="J15" s="1" t="s">
        <v>612</v>
      </c>
      <c r="K15" s="1" t="s">
        <v>612</v>
      </c>
      <c r="L15" s="1" t="s">
        <v>612</v>
      </c>
      <c r="M15" s="1" t="s">
        <v>612</v>
      </c>
      <c r="N15" s="1" t="s">
        <v>612</v>
      </c>
      <c r="O15" s="1" t="s">
        <v>1373</v>
      </c>
      <c r="P15" s="1" t="s">
        <v>1374</v>
      </c>
      <c r="Q15" s="1" t="s">
        <v>740</v>
      </c>
      <c r="R15" s="1" t="s">
        <v>612</v>
      </c>
      <c r="S15" s="1" t="s">
        <v>612</v>
      </c>
      <c r="T15" s="1" t="s">
        <v>612</v>
      </c>
      <c r="U15" s="1" t="s">
        <v>612</v>
      </c>
      <c r="V15" s="1" t="s">
        <v>612</v>
      </c>
      <c r="W15" s="1" t="s">
        <v>612</v>
      </c>
      <c r="X15" s="1" t="s">
        <v>612</v>
      </c>
      <c r="Y15" s="1" t="s">
        <v>612</v>
      </c>
      <c r="Z15" s="1" t="s">
        <v>612</v>
      </c>
      <c r="AA15" s="1" t="s">
        <v>612</v>
      </c>
      <c r="AB15" s="1" t="s">
        <v>1375</v>
      </c>
      <c r="AC15" s="465">
        <v>43045.229882731503</v>
      </c>
    </row>
    <row r="16" spans="1:29">
      <c r="A16" s="1" t="s">
        <v>1318</v>
      </c>
      <c r="B16" s="1" t="s">
        <v>1376</v>
      </c>
      <c r="C16" s="1" t="s">
        <v>612</v>
      </c>
      <c r="D16" s="1" t="s">
        <v>612</v>
      </c>
      <c r="E16" s="1" t="s">
        <v>612</v>
      </c>
      <c r="F16" s="1" t="s">
        <v>612</v>
      </c>
      <c r="G16" s="1" t="s">
        <v>612</v>
      </c>
      <c r="H16" s="1" t="s">
        <v>612</v>
      </c>
      <c r="I16" s="1" t="s">
        <v>612</v>
      </c>
      <c r="J16" s="1" t="s">
        <v>612</v>
      </c>
      <c r="K16" s="1" t="s">
        <v>612</v>
      </c>
      <c r="L16" s="1" t="s">
        <v>612</v>
      </c>
      <c r="M16" s="1" t="s">
        <v>612</v>
      </c>
      <c r="N16" s="1" t="s">
        <v>612</v>
      </c>
      <c r="O16" s="1" t="s">
        <v>612</v>
      </c>
      <c r="P16" s="1" t="s">
        <v>612</v>
      </c>
      <c r="Q16" s="1" t="s">
        <v>612</v>
      </c>
      <c r="R16" s="1" t="s">
        <v>612</v>
      </c>
      <c r="S16" s="1" t="s">
        <v>612</v>
      </c>
      <c r="T16" s="1" t="s">
        <v>612</v>
      </c>
      <c r="U16" s="1" t="s">
        <v>612</v>
      </c>
      <c r="V16" s="1" t="s">
        <v>612</v>
      </c>
      <c r="W16" s="1" t="s">
        <v>612</v>
      </c>
      <c r="X16" s="1" t="s">
        <v>612</v>
      </c>
      <c r="Y16" s="1" t="s">
        <v>612</v>
      </c>
      <c r="Z16" s="1" t="s">
        <v>612</v>
      </c>
      <c r="AA16" s="1" t="s">
        <v>612</v>
      </c>
      <c r="AB16" s="1" t="s">
        <v>612</v>
      </c>
      <c r="AC16" s="465">
        <v>43045.229882731503</v>
      </c>
    </row>
    <row r="17" spans="1:29">
      <c r="A17" s="1" t="s">
        <v>1318</v>
      </c>
      <c r="B17" s="1" t="s">
        <v>762</v>
      </c>
      <c r="C17" s="1" t="s">
        <v>1377</v>
      </c>
      <c r="D17" s="1" t="s">
        <v>1378</v>
      </c>
      <c r="E17" s="1" t="s">
        <v>612</v>
      </c>
      <c r="F17" s="1" t="s">
        <v>612</v>
      </c>
      <c r="G17" s="1" t="s">
        <v>612</v>
      </c>
      <c r="H17" s="1" t="s">
        <v>612</v>
      </c>
      <c r="I17" s="1" t="s">
        <v>612</v>
      </c>
      <c r="J17" s="1" t="s">
        <v>612</v>
      </c>
      <c r="K17" s="1" t="s">
        <v>612</v>
      </c>
      <c r="L17" s="1" t="s">
        <v>612</v>
      </c>
      <c r="M17" s="1" t="s">
        <v>612</v>
      </c>
      <c r="N17" s="1" t="s">
        <v>612</v>
      </c>
      <c r="O17" s="1" t="s">
        <v>1379</v>
      </c>
      <c r="P17" s="1" t="s">
        <v>1380</v>
      </c>
      <c r="Q17" s="1" t="s">
        <v>1381</v>
      </c>
      <c r="R17" s="1" t="s">
        <v>612</v>
      </c>
      <c r="S17" s="1" t="s">
        <v>612</v>
      </c>
      <c r="T17" s="1" t="s">
        <v>612</v>
      </c>
      <c r="U17" s="1" t="s">
        <v>612</v>
      </c>
      <c r="V17" s="1" t="s">
        <v>612</v>
      </c>
      <c r="W17" s="1" t="s">
        <v>612</v>
      </c>
      <c r="X17" s="1" t="s">
        <v>612</v>
      </c>
      <c r="Y17" s="1" t="s">
        <v>612</v>
      </c>
      <c r="Z17" s="1" t="s">
        <v>612</v>
      </c>
      <c r="AA17" s="1" t="s">
        <v>612</v>
      </c>
      <c r="AB17" s="1" t="s">
        <v>1382</v>
      </c>
      <c r="AC17" s="465">
        <v>43045.229882731503</v>
      </c>
    </row>
    <row r="18" spans="1:29">
      <c r="A18" s="1" t="s">
        <v>1318</v>
      </c>
      <c r="B18" s="464" t="s">
        <v>792</v>
      </c>
      <c r="C18" s="1" t="s">
        <v>1383</v>
      </c>
      <c r="D18" s="1" t="s">
        <v>1384</v>
      </c>
      <c r="E18" s="1" t="s">
        <v>612</v>
      </c>
      <c r="F18" s="1" t="s">
        <v>612</v>
      </c>
      <c r="G18" s="1" t="s">
        <v>612</v>
      </c>
      <c r="H18" s="1" t="s">
        <v>612</v>
      </c>
      <c r="I18" s="1" t="s">
        <v>612</v>
      </c>
      <c r="J18" s="1" t="s">
        <v>612</v>
      </c>
      <c r="K18" s="1" t="s">
        <v>612</v>
      </c>
      <c r="L18" s="1" t="s">
        <v>612</v>
      </c>
      <c r="M18" s="1" t="s">
        <v>612</v>
      </c>
      <c r="N18" s="1" t="s">
        <v>612</v>
      </c>
      <c r="O18" s="1" t="s">
        <v>1385</v>
      </c>
      <c r="P18" s="1" t="s">
        <v>1386</v>
      </c>
      <c r="Q18" s="1" t="s">
        <v>1387</v>
      </c>
      <c r="R18" s="1" t="s">
        <v>612</v>
      </c>
      <c r="S18" s="1" t="s">
        <v>612</v>
      </c>
      <c r="T18" s="1" t="s">
        <v>612</v>
      </c>
      <c r="U18" s="1" t="s">
        <v>612</v>
      </c>
      <c r="V18" s="1" t="s">
        <v>612</v>
      </c>
      <c r="W18" s="1" t="s">
        <v>612</v>
      </c>
      <c r="X18" s="1" t="s">
        <v>612</v>
      </c>
      <c r="Y18" s="1" t="s">
        <v>612</v>
      </c>
      <c r="Z18" s="1" t="s">
        <v>612</v>
      </c>
      <c r="AA18" s="1" t="s">
        <v>612</v>
      </c>
      <c r="AB18" s="1" t="s">
        <v>1388</v>
      </c>
      <c r="AC18" s="465">
        <v>43045.229882731503</v>
      </c>
    </row>
    <row r="19" spans="1:29">
      <c r="A19" s="1" t="s">
        <v>1318</v>
      </c>
      <c r="B19" s="1" t="s">
        <v>823</v>
      </c>
      <c r="C19" s="1" t="s">
        <v>1389</v>
      </c>
      <c r="D19" s="1" t="s">
        <v>1390</v>
      </c>
      <c r="E19" s="1" t="s">
        <v>612</v>
      </c>
      <c r="F19" s="1" t="s">
        <v>612</v>
      </c>
      <c r="G19" s="1" t="s">
        <v>612</v>
      </c>
      <c r="H19" s="1" t="s">
        <v>612</v>
      </c>
      <c r="I19" s="1" t="s">
        <v>612</v>
      </c>
      <c r="J19" s="1" t="s">
        <v>612</v>
      </c>
      <c r="K19" s="1" t="s">
        <v>612</v>
      </c>
      <c r="L19" s="1" t="s">
        <v>612</v>
      </c>
      <c r="M19" s="1" t="s">
        <v>612</v>
      </c>
      <c r="N19" s="1" t="s">
        <v>612</v>
      </c>
      <c r="O19" s="1" t="s">
        <v>1391</v>
      </c>
      <c r="P19" s="1" t="s">
        <v>1392</v>
      </c>
      <c r="Q19" s="1" t="s">
        <v>1393</v>
      </c>
      <c r="R19" s="1" t="s">
        <v>612</v>
      </c>
      <c r="S19" s="1" t="s">
        <v>612</v>
      </c>
      <c r="T19" s="1" t="s">
        <v>612</v>
      </c>
      <c r="U19" s="1" t="s">
        <v>612</v>
      </c>
      <c r="V19" s="1" t="s">
        <v>612</v>
      </c>
      <c r="W19" s="1" t="s">
        <v>612</v>
      </c>
      <c r="X19" s="1" t="s">
        <v>612</v>
      </c>
      <c r="Y19" s="1" t="s">
        <v>612</v>
      </c>
      <c r="Z19" s="1" t="s">
        <v>612</v>
      </c>
      <c r="AA19" s="1" t="s">
        <v>612</v>
      </c>
      <c r="AB19" s="1" t="s">
        <v>1394</v>
      </c>
      <c r="AC19" s="465">
        <v>43045.229882731503</v>
      </c>
    </row>
    <row r="20" spans="1:29">
      <c r="A20" s="1" t="s">
        <v>1318</v>
      </c>
      <c r="B20" s="1" t="s">
        <v>853</v>
      </c>
      <c r="C20" s="1" t="s">
        <v>854</v>
      </c>
      <c r="D20" s="1" t="s">
        <v>854</v>
      </c>
      <c r="E20" s="1" t="s">
        <v>612</v>
      </c>
      <c r="F20" s="1" t="s">
        <v>612</v>
      </c>
      <c r="G20" s="1" t="s">
        <v>612</v>
      </c>
      <c r="H20" s="1" t="s">
        <v>612</v>
      </c>
      <c r="I20" s="1" t="s">
        <v>612</v>
      </c>
      <c r="J20" s="1" t="s">
        <v>612</v>
      </c>
      <c r="K20" s="1" t="s">
        <v>612</v>
      </c>
      <c r="L20" s="1" t="s">
        <v>612</v>
      </c>
      <c r="M20" s="1" t="s">
        <v>612</v>
      </c>
      <c r="N20" s="1" t="s">
        <v>612</v>
      </c>
      <c r="O20" s="1" t="s">
        <v>854</v>
      </c>
      <c r="P20" s="1" t="s">
        <v>854</v>
      </c>
      <c r="Q20" s="1" t="s">
        <v>854</v>
      </c>
      <c r="R20" s="1" t="s">
        <v>612</v>
      </c>
      <c r="S20" s="1" t="s">
        <v>612</v>
      </c>
      <c r="T20" s="1" t="s">
        <v>612</v>
      </c>
      <c r="U20" s="1" t="s">
        <v>612</v>
      </c>
      <c r="V20" s="1" t="s">
        <v>612</v>
      </c>
      <c r="W20" s="1" t="s">
        <v>612</v>
      </c>
      <c r="X20" s="1" t="s">
        <v>612</v>
      </c>
      <c r="Y20" s="1" t="s">
        <v>612</v>
      </c>
      <c r="Z20" s="1" t="s">
        <v>612</v>
      </c>
      <c r="AA20" s="1" t="s">
        <v>612</v>
      </c>
      <c r="AB20" s="1" t="s">
        <v>854</v>
      </c>
      <c r="AC20" s="465">
        <v>43045.229882731503</v>
      </c>
    </row>
    <row r="21" spans="1:29">
      <c r="A21" s="1" t="s">
        <v>1318</v>
      </c>
      <c r="B21" s="1" t="s">
        <v>855</v>
      </c>
      <c r="C21" s="1" t="s">
        <v>856</v>
      </c>
      <c r="D21" s="1" t="s">
        <v>856</v>
      </c>
      <c r="E21" s="1" t="s">
        <v>612</v>
      </c>
      <c r="F21" s="1" t="s">
        <v>612</v>
      </c>
      <c r="G21" s="1" t="s">
        <v>612</v>
      </c>
      <c r="H21" s="1" t="s">
        <v>612</v>
      </c>
      <c r="I21" s="1" t="s">
        <v>612</v>
      </c>
      <c r="J21" s="1" t="s">
        <v>612</v>
      </c>
      <c r="K21" s="1" t="s">
        <v>612</v>
      </c>
      <c r="L21" s="1" t="s">
        <v>612</v>
      </c>
      <c r="M21" s="1" t="s">
        <v>612</v>
      </c>
      <c r="N21" s="1" t="s">
        <v>612</v>
      </c>
      <c r="O21" s="1" t="s">
        <v>856</v>
      </c>
      <c r="P21" s="1" t="s">
        <v>856</v>
      </c>
      <c r="Q21" s="1" t="s">
        <v>856</v>
      </c>
      <c r="R21" s="1" t="s">
        <v>612</v>
      </c>
      <c r="S21" s="1" t="s">
        <v>612</v>
      </c>
      <c r="T21" s="1" t="s">
        <v>612</v>
      </c>
      <c r="U21" s="1" t="s">
        <v>612</v>
      </c>
      <c r="V21" s="1" t="s">
        <v>612</v>
      </c>
      <c r="W21" s="1" t="s">
        <v>612</v>
      </c>
      <c r="X21" s="1" t="s">
        <v>612</v>
      </c>
      <c r="Y21" s="1" t="s">
        <v>612</v>
      </c>
      <c r="Z21" s="1" t="s">
        <v>612</v>
      </c>
      <c r="AA21" s="1" t="s">
        <v>612</v>
      </c>
      <c r="AB21" s="1" t="s">
        <v>856</v>
      </c>
      <c r="AC21" s="465">
        <v>43045.229882731503</v>
      </c>
    </row>
    <row r="22" spans="1:29">
      <c r="A22" s="1" t="s">
        <v>1318</v>
      </c>
      <c r="B22" s="1" t="s">
        <v>857</v>
      </c>
      <c r="C22" s="1" t="s">
        <v>1395</v>
      </c>
      <c r="D22" s="1" t="s">
        <v>1396</v>
      </c>
      <c r="E22" s="1" t="s">
        <v>612</v>
      </c>
      <c r="F22" s="1" t="s">
        <v>612</v>
      </c>
      <c r="G22" s="1" t="s">
        <v>612</v>
      </c>
      <c r="H22" s="1" t="s">
        <v>612</v>
      </c>
      <c r="I22" s="1" t="s">
        <v>612</v>
      </c>
      <c r="J22" s="1" t="s">
        <v>612</v>
      </c>
      <c r="K22" s="1" t="s">
        <v>612</v>
      </c>
      <c r="L22" s="1" t="s">
        <v>612</v>
      </c>
      <c r="M22" s="1" t="s">
        <v>612</v>
      </c>
      <c r="N22" s="1" t="s">
        <v>612</v>
      </c>
      <c r="O22" s="1" t="s">
        <v>1397</v>
      </c>
      <c r="P22" s="1" t="s">
        <v>1398</v>
      </c>
      <c r="Q22" s="1" t="s">
        <v>858</v>
      </c>
      <c r="R22" s="1" t="s">
        <v>612</v>
      </c>
      <c r="S22" s="1" t="s">
        <v>612</v>
      </c>
      <c r="T22" s="1" t="s">
        <v>612</v>
      </c>
      <c r="U22" s="1" t="s">
        <v>612</v>
      </c>
      <c r="V22" s="1" t="s">
        <v>612</v>
      </c>
      <c r="W22" s="1" t="s">
        <v>612</v>
      </c>
      <c r="X22" s="1" t="s">
        <v>612</v>
      </c>
      <c r="Y22" s="1" t="s">
        <v>612</v>
      </c>
      <c r="Z22" s="1" t="s">
        <v>612</v>
      </c>
      <c r="AA22" s="1" t="s">
        <v>612</v>
      </c>
      <c r="AB22" s="1" t="s">
        <v>1399</v>
      </c>
      <c r="AC22" s="465">
        <v>43045.229882731503</v>
      </c>
    </row>
    <row r="23" spans="1:29">
      <c r="A23" s="1" t="s">
        <v>1318</v>
      </c>
      <c r="B23" s="464" t="s">
        <v>867</v>
      </c>
      <c r="C23" s="1" t="s">
        <v>612</v>
      </c>
      <c r="D23" s="1" t="s">
        <v>612</v>
      </c>
      <c r="E23" s="1" t="s">
        <v>612</v>
      </c>
      <c r="F23" s="1" t="s">
        <v>612</v>
      </c>
      <c r="G23" s="1" t="s">
        <v>612</v>
      </c>
      <c r="H23" s="1" t="s">
        <v>612</v>
      </c>
      <c r="I23" s="1" t="s">
        <v>612</v>
      </c>
      <c r="J23" s="1" t="s">
        <v>612</v>
      </c>
      <c r="K23" s="1" t="s">
        <v>612</v>
      </c>
      <c r="L23" s="1" t="s">
        <v>612</v>
      </c>
      <c r="M23" s="1" t="s">
        <v>612</v>
      </c>
      <c r="N23" s="1" t="s">
        <v>612</v>
      </c>
      <c r="O23" s="1" t="s">
        <v>612</v>
      </c>
      <c r="P23" s="1" t="s">
        <v>612</v>
      </c>
      <c r="Q23" s="1" t="s">
        <v>612</v>
      </c>
      <c r="R23" s="1" t="s">
        <v>612</v>
      </c>
      <c r="S23" s="1" t="s">
        <v>612</v>
      </c>
      <c r="T23" s="1" t="s">
        <v>612</v>
      </c>
      <c r="U23" s="1" t="s">
        <v>612</v>
      </c>
      <c r="V23" s="1" t="s">
        <v>612</v>
      </c>
      <c r="W23" s="1" t="s">
        <v>612</v>
      </c>
      <c r="X23" s="1" t="s">
        <v>612</v>
      </c>
      <c r="Y23" s="1" t="s">
        <v>612</v>
      </c>
      <c r="Z23" s="1" t="s">
        <v>612</v>
      </c>
      <c r="AA23" s="1" t="s">
        <v>612</v>
      </c>
      <c r="AB23" s="1" t="s">
        <v>612</v>
      </c>
      <c r="AC23" s="465">
        <v>43045.229882731503</v>
      </c>
    </row>
    <row r="24" spans="1:29">
      <c r="A24" s="1" t="s">
        <v>1318</v>
      </c>
      <c r="B24" s="464" t="s">
        <v>868</v>
      </c>
      <c r="C24" s="1" t="s">
        <v>612</v>
      </c>
      <c r="D24" s="1" t="s">
        <v>612</v>
      </c>
      <c r="E24" s="1" t="s">
        <v>612</v>
      </c>
      <c r="F24" s="1" t="s">
        <v>612</v>
      </c>
      <c r="G24" s="1" t="s">
        <v>612</v>
      </c>
      <c r="H24" s="1" t="s">
        <v>612</v>
      </c>
      <c r="I24" s="1" t="s">
        <v>612</v>
      </c>
      <c r="J24" s="1" t="s">
        <v>612</v>
      </c>
      <c r="K24" s="1" t="s">
        <v>612</v>
      </c>
      <c r="L24" s="1" t="s">
        <v>612</v>
      </c>
      <c r="M24" s="1" t="s">
        <v>612</v>
      </c>
      <c r="N24" s="1" t="s">
        <v>612</v>
      </c>
      <c r="O24" s="1" t="s">
        <v>612</v>
      </c>
      <c r="P24" s="1" t="s">
        <v>612</v>
      </c>
      <c r="Q24" s="1" t="s">
        <v>612</v>
      </c>
      <c r="R24" s="1" t="s">
        <v>612</v>
      </c>
      <c r="S24" s="1" t="s">
        <v>612</v>
      </c>
      <c r="T24" s="1" t="s">
        <v>612</v>
      </c>
      <c r="U24" s="1" t="s">
        <v>612</v>
      </c>
      <c r="V24" s="1" t="s">
        <v>612</v>
      </c>
      <c r="W24" s="1" t="s">
        <v>612</v>
      </c>
      <c r="X24" s="1" t="s">
        <v>612</v>
      </c>
      <c r="Y24" s="1" t="s">
        <v>612</v>
      </c>
      <c r="Z24" s="1" t="s">
        <v>612</v>
      </c>
      <c r="AA24" s="1" t="s">
        <v>612</v>
      </c>
      <c r="AB24" s="1" t="s">
        <v>612</v>
      </c>
      <c r="AC24" s="465">
        <v>43045.229882731503</v>
      </c>
    </row>
    <row r="25" spans="1:29">
      <c r="A25" s="1" t="s">
        <v>1318</v>
      </c>
      <c r="B25" s="464" t="s">
        <v>869</v>
      </c>
      <c r="C25" s="1" t="s">
        <v>1400</v>
      </c>
      <c r="D25" s="1" t="s">
        <v>1401</v>
      </c>
      <c r="E25" s="1" t="s">
        <v>612</v>
      </c>
      <c r="F25" s="1" t="s">
        <v>612</v>
      </c>
      <c r="G25" s="1" t="s">
        <v>612</v>
      </c>
      <c r="H25" s="1" t="s">
        <v>612</v>
      </c>
      <c r="I25" s="1" t="s">
        <v>612</v>
      </c>
      <c r="J25" s="1" t="s">
        <v>612</v>
      </c>
      <c r="K25" s="1" t="s">
        <v>612</v>
      </c>
      <c r="L25" s="1" t="s">
        <v>612</v>
      </c>
      <c r="M25" s="1" t="s">
        <v>612</v>
      </c>
      <c r="N25" s="1" t="s">
        <v>612</v>
      </c>
      <c r="O25" s="1" t="s">
        <v>1402</v>
      </c>
      <c r="P25" s="1" t="s">
        <v>1403</v>
      </c>
      <c r="Q25" s="1" t="s">
        <v>1404</v>
      </c>
      <c r="R25" s="1" t="s">
        <v>612</v>
      </c>
      <c r="S25" s="1" t="s">
        <v>612</v>
      </c>
      <c r="T25" s="1" t="s">
        <v>612</v>
      </c>
      <c r="U25" s="1" t="s">
        <v>612</v>
      </c>
      <c r="V25" s="1" t="s">
        <v>612</v>
      </c>
      <c r="W25" s="1" t="s">
        <v>612</v>
      </c>
      <c r="X25" s="1" t="s">
        <v>612</v>
      </c>
      <c r="Y25" s="1" t="s">
        <v>612</v>
      </c>
      <c r="Z25" s="1" t="s">
        <v>612</v>
      </c>
      <c r="AA25" s="1" t="s">
        <v>612</v>
      </c>
      <c r="AB25" s="1" t="s">
        <v>1405</v>
      </c>
      <c r="AC25" s="465">
        <v>43045.229882731503</v>
      </c>
    </row>
    <row r="26" spans="1:29">
      <c r="A26" s="1" t="s">
        <v>1318</v>
      </c>
      <c r="B26" s="464" t="s">
        <v>900</v>
      </c>
      <c r="C26" s="1" t="s">
        <v>1406</v>
      </c>
      <c r="D26" s="1" t="s">
        <v>1407</v>
      </c>
      <c r="E26" s="1" t="s">
        <v>612</v>
      </c>
      <c r="F26" s="1" t="s">
        <v>612</v>
      </c>
      <c r="G26" s="1" t="s">
        <v>612</v>
      </c>
      <c r="H26" s="1" t="s">
        <v>612</v>
      </c>
      <c r="I26" s="1" t="s">
        <v>612</v>
      </c>
      <c r="J26" s="1" t="s">
        <v>612</v>
      </c>
      <c r="K26" s="1" t="s">
        <v>612</v>
      </c>
      <c r="L26" s="1" t="s">
        <v>612</v>
      </c>
      <c r="M26" s="1" t="s">
        <v>612</v>
      </c>
      <c r="N26" s="1" t="s">
        <v>612</v>
      </c>
      <c r="O26" s="1" t="s">
        <v>1408</v>
      </c>
      <c r="P26" s="1" t="s">
        <v>1409</v>
      </c>
      <c r="Q26" s="1" t="s">
        <v>901</v>
      </c>
      <c r="R26" s="1" t="s">
        <v>612</v>
      </c>
      <c r="S26" s="1" t="s">
        <v>612</v>
      </c>
      <c r="T26" s="1" t="s">
        <v>612</v>
      </c>
      <c r="U26" s="1" t="s">
        <v>612</v>
      </c>
      <c r="V26" s="1" t="s">
        <v>612</v>
      </c>
      <c r="W26" s="1" t="s">
        <v>612</v>
      </c>
      <c r="X26" s="1" t="s">
        <v>612</v>
      </c>
      <c r="Y26" s="1" t="s">
        <v>612</v>
      </c>
      <c r="Z26" s="1" t="s">
        <v>612</v>
      </c>
      <c r="AA26" s="1" t="s">
        <v>612</v>
      </c>
      <c r="AB26" s="1" t="s">
        <v>1410</v>
      </c>
      <c r="AC26" s="465">
        <v>43045.229882731503</v>
      </c>
    </row>
    <row r="27" spans="1:29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43045.229882731503</v>
      </c>
    </row>
    <row r="28" spans="1:29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43045.229882731503</v>
      </c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7.100000000000001"/>
  <cols>
    <col min="3" max="3" width="11.875" customWidth="1"/>
    <col min="10" max="10" width="11.25" customWidth="1"/>
  </cols>
  <sheetData>
    <row r="1" spans="1:17">
      <c r="A1" s="1" t="s">
        <v>1292</v>
      </c>
      <c r="B1" s="1" t="s">
        <v>450</v>
      </c>
      <c r="C1" s="1" t="s">
        <v>1293</v>
      </c>
      <c r="D1" s="1" t="s">
        <v>1294</v>
      </c>
      <c r="E1" s="1" t="s">
        <v>1295</v>
      </c>
      <c r="F1" s="1" t="s">
        <v>1296</v>
      </c>
      <c r="G1" s="1" t="s">
        <v>1297</v>
      </c>
      <c r="H1" s="1" t="s">
        <v>1298</v>
      </c>
      <c r="I1" s="1" t="s">
        <v>1299</v>
      </c>
      <c r="J1" s="1" t="s">
        <v>1300</v>
      </c>
      <c r="K1" s="1" t="s">
        <v>1301</v>
      </c>
      <c r="L1" s="1" t="s">
        <v>1302</v>
      </c>
      <c r="M1" s="1" t="s">
        <v>1303</v>
      </c>
      <c r="N1" s="1" t="s">
        <v>1304</v>
      </c>
      <c r="O1" s="1" t="s">
        <v>930</v>
      </c>
    </row>
    <row r="2" spans="1:17">
      <c r="A2" s="1" t="s">
        <v>1318</v>
      </c>
      <c r="B2" s="275" t="s">
        <v>453</v>
      </c>
      <c r="C2" s="1" t="s">
        <v>289</v>
      </c>
      <c r="D2" s="1" t="s">
        <v>286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287</v>
      </c>
      <c r="P2" s="465"/>
      <c r="Q2" s="465"/>
    </row>
    <row r="3" spans="1:17">
      <c r="A3" s="1" t="s">
        <v>1318</v>
      </c>
      <c r="B3" s="275" t="s">
        <v>487</v>
      </c>
      <c r="C3" s="1" t="s">
        <v>347</v>
      </c>
      <c r="D3" s="1" t="s">
        <v>322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370</v>
      </c>
      <c r="P3" s="465"/>
      <c r="Q3" s="465"/>
    </row>
    <row r="4" spans="1:17">
      <c r="A4" s="1" t="s">
        <v>1318</v>
      </c>
      <c r="B4" s="275" t="s">
        <v>518</v>
      </c>
      <c r="C4" s="1" t="s">
        <v>293</v>
      </c>
      <c r="D4" s="1" t="s">
        <v>293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293</v>
      </c>
      <c r="P4" s="465"/>
      <c r="Q4" s="465"/>
    </row>
    <row r="5" spans="1:17">
      <c r="A5" s="1" t="s">
        <v>1318</v>
      </c>
      <c r="B5" s="275" t="s">
        <v>548</v>
      </c>
      <c r="C5" s="1" t="s">
        <v>1411</v>
      </c>
      <c r="D5" s="1" t="s">
        <v>371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974</v>
      </c>
      <c r="P5" s="465"/>
      <c r="Q5" s="465"/>
    </row>
    <row r="6" spans="1:17">
      <c r="A6" s="1" t="s">
        <v>1318</v>
      </c>
      <c r="B6" s="275" t="s">
        <v>578</v>
      </c>
      <c r="C6" s="1" t="s">
        <v>307</v>
      </c>
      <c r="D6" s="1" t="s">
        <v>307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1318</v>
      </c>
      <c r="B7" s="275" t="s">
        <v>611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1318</v>
      </c>
      <c r="B8" s="275" t="s">
        <v>613</v>
      </c>
      <c r="C8" s="1" t="s">
        <v>290</v>
      </c>
      <c r="D8" s="1" t="s">
        <v>320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330</v>
      </c>
      <c r="P8" s="465"/>
      <c r="Q8" s="465"/>
    </row>
    <row r="9" spans="1:17">
      <c r="A9" s="1" t="s">
        <v>1318</v>
      </c>
      <c r="B9" s="275" t="s">
        <v>941</v>
      </c>
      <c r="C9" s="1" t="s">
        <v>339</v>
      </c>
      <c r="D9" s="1" t="s">
        <v>339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339</v>
      </c>
      <c r="P9" s="465"/>
      <c r="Q9" s="465"/>
    </row>
    <row r="10" spans="1:17">
      <c r="A10" s="1" t="s">
        <v>1318</v>
      </c>
      <c r="B10" s="275" t="s">
        <v>946</v>
      </c>
      <c r="C10" s="1" t="s">
        <v>287</v>
      </c>
      <c r="D10" s="1" t="s">
        <v>326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330</v>
      </c>
      <c r="P10" s="465"/>
      <c r="Q10" s="465"/>
    </row>
    <row r="11" spans="1:17">
      <c r="A11" s="1" t="s">
        <v>1318</v>
      </c>
      <c r="B11" s="275" t="s">
        <v>947</v>
      </c>
      <c r="C11" s="1" t="s">
        <v>304</v>
      </c>
      <c r="D11" s="1" t="s">
        <v>293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336</v>
      </c>
      <c r="P11" s="465"/>
      <c r="Q11" s="465"/>
    </row>
    <row r="12" spans="1:17">
      <c r="A12" s="1" t="s">
        <v>1318</v>
      </c>
      <c r="B12" s="275" t="s">
        <v>948</v>
      </c>
      <c r="C12" s="1" t="s">
        <v>315</v>
      </c>
      <c r="D12" s="1" t="s">
        <v>982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1412</v>
      </c>
      <c r="P12" s="465"/>
      <c r="Q12" s="465"/>
    </row>
    <row r="13" spans="1:17">
      <c r="A13" s="1" t="s">
        <v>1318</v>
      </c>
      <c r="B13" s="275" t="s">
        <v>952</v>
      </c>
      <c r="C13" s="1" t="s">
        <v>323</v>
      </c>
      <c r="D13" s="1" t="s">
        <v>353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371</v>
      </c>
      <c r="P13" s="465"/>
      <c r="Q13" s="465"/>
    </row>
    <row r="14" spans="1:17">
      <c r="A14" s="1" t="s">
        <v>1318</v>
      </c>
      <c r="B14" s="275" t="s">
        <v>956</v>
      </c>
      <c r="C14" s="1" t="s">
        <v>374</v>
      </c>
      <c r="D14" s="1" t="s">
        <v>974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1412</v>
      </c>
      <c r="P14" s="465"/>
      <c r="Q14" s="465"/>
    </row>
    <row r="15" spans="1:17">
      <c r="A15" s="1" t="s">
        <v>1318</v>
      </c>
      <c r="B15" s="275" t="s">
        <v>965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1318</v>
      </c>
      <c r="B16" s="275" t="s">
        <v>966</v>
      </c>
      <c r="C16" s="1" t="s">
        <v>345</v>
      </c>
      <c r="D16" s="1" t="s">
        <v>370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347</v>
      </c>
      <c r="P16" s="465"/>
      <c r="Q16" s="465"/>
    </row>
    <row r="17" spans="1:17">
      <c r="A17" s="1" t="s">
        <v>1318</v>
      </c>
      <c r="B17" s="275" t="s">
        <v>967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1318</v>
      </c>
      <c r="B18" s="275" t="s">
        <v>968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1318</v>
      </c>
      <c r="B19" s="275" t="s">
        <v>969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1318</v>
      </c>
      <c r="B20" s="275" t="s">
        <v>970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1318</v>
      </c>
      <c r="B21" s="275" t="s">
        <v>971</v>
      </c>
      <c r="C21" s="1" t="s">
        <v>1413</v>
      </c>
      <c r="D21" s="1" t="s">
        <v>289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1414</v>
      </c>
      <c r="P21" s="465"/>
      <c r="Q21" s="465"/>
    </row>
    <row r="22" spans="1:17">
      <c r="A22" s="1" t="s">
        <v>1318</v>
      </c>
      <c r="B22" s="275" t="s">
        <v>972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1318</v>
      </c>
      <c r="B23" s="275" t="s">
        <v>973</v>
      </c>
      <c r="C23" s="1" t="s">
        <v>955</v>
      </c>
      <c r="D23" s="1" t="s">
        <v>360</v>
      </c>
      <c r="E23" s="1" t="s">
        <v>356</v>
      </c>
      <c r="F23" s="1" t="s">
        <v>356</v>
      </c>
      <c r="G23" s="1" t="s">
        <v>356</v>
      </c>
      <c r="H23" s="1" t="s">
        <v>356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296</v>
      </c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7.100000000000001"/>
  <sheetData>
    <row r="1" spans="1:17">
      <c r="A1" s="1" t="s">
        <v>1292</v>
      </c>
      <c r="B1" s="1" t="s">
        <v>450</v>
      </c>
      <c r="C1" s="1" t="s">
        <v>983</v>
      </c>
      <c r="D1" s="1" t="s">
        <v>1293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 t="s">
        <v>1304</v>
      </c>
      <c r="P1" s="1" t="s">
        <v>930</v>
      </c>
    </row>
    <row r="2" spans="1:17">
      <c r="A2" s="1" t="s">
        <v>1318</v>
      </c>
      <c r="B2" s="275" t="s">
        <v>453</v>
      </c>
      <c r="C2" s="1" t="s">
        <v>236</v>
      </c>
      <c r="D2" s="1" t="s">
        <v>321</v>
      </c>
      <c r="E2" s="1" t="s">
        <v>287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289</v>
      </c>
      <c r="Q2" s="465">
        <v>43045.229883090302</v>
      </c>
    </row>
    <row r="3" spans="1:17">
      <c r="A3" s="1" t="s">
        <v>1318</v>
      </c>
      <c r="B3" s="275" t="s">
        <v>453</v>
      </c>
      <c r="C3" s="1" t="s">
        <v>237</v>
      </c>
      <c r="D3" s="1" t="s">
        <v>286</v>
      </c>
      <c r="E3" s="1" t="s">
        <v>341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331</v>
      </c>
      <c r="Q3" s="465">
        <v>43045.229883090302</v>
      </c>
    </row>
    <row r="4" spans="1:17">
      <c r="A4" s="1" t="s">
        <v>1318</v>
      </c>
      <c r="B4" s="275" t="s">
        <v>453</v>
      </c>
      <c r="C4" s="1" t="s">
        <v>984</v>
      </c>
      <c r="D4" s="1" t="s">
        <v>319</v>
      </c>
      <c r="E4" s="1" t="s">
        <v>308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291</v>
      </c>
      <c r="Q4" s="465">
        <v>43045.229883090302</v>
      </c>
    </row>
    <row r="5" spans="1:17">
      <c r="A5" s="1" t="s">
        <v>1318</v>
      </c>
      <c r="B5" s="275" t="s">
        <v>453</v>
      </c>
      <c r="C5" s="1" t="s">
        <v>985</v>
      </c>
      <c r="D5" s="1" t="s">
        <v>330</v>
      </c>
      <c r="E5" s="1" t="s">
        <v>288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326</v>
      </c>
      <c r="Q5" s="465">
        <v>43045.229883090302</v>
      </c>
    </row>
    <row r="6" spans="1:17">
      <c r="A6" s="1" t="s">
        <v>1318</v>
      </c>
      <c r="B6" s="275" t="s">
        <v>487</v>
      </c>
      <c r="C6" s="1" t="s">
        <v>985</v>
      </c>
      <c r="D6" s="1" t="s">
        <v>322</v>
      </c>
      <c r="E6" s="1" t="s">
        <v>321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332</v>
      </c>
      <c r="Q6" s="465">
        <v>43045.229883090302</v>
      </c>
    </row>
    <row r="7" spans="1:17">
      <c r="A7" s="1" t="s">
        <v>1318</v>
      </c>
      <c r="B7" s="275" t="s">
        <v>518</v>
      </c>
      <c r="C7" s="1" t="s">
        <v>985</v>
      </c>
      <c r="D7" s="1" t="s">
        <v>292</v>
      </c>
      <c r="E7" s="1" t="s">
        <v>293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1318</v>
      </c>
      <c r="B8" s="275" t="s">
        <v>548</v>
      </c>
      <c r="C8" s="1" t="s">
        <v>985</v>
      </c>
      <c r="D8" s="1" t="s">
        <v>295</v>
      </c>
      <c r="E8" s="1" t="s">
        <v>310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328</v>
      </c>
      <c r="Q8" s="465">
        <v>43045.229883090302</v>
      </c>
    </row>
    <row r="9" spans="1:17">
      <c r="A9" s="1" t="s">
        <v>1318</v>
      </c>
      <c r="B9" s="275" t="s">
        <v>578</v>
      </c>
      <c r="C9" s="1" t="s">
        <v>985</v>
      </c>
      <c r="D9" s="1" t="s">
        <v>308</v>
      </c>
      <c r="E9" s="1" t="s">
        <v>307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1318</v>
      </c>
      <c r="B10" s="275" t="s">
        <v>611</v>
      </c>
      <c r="C10" s="1" t="s">
        <v>985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1318</v>
      </c>
      <c r="B11" s="275" t="s">
        <v>613</v>
      </c>
      <c r="C11" s="1" t="s">
        <v>985</v>
      </c>
      <c r="D11" s="1" t="s">
        <v>290</v>
      </c>
      <c r="E11" s="1" t="s">
        <v>320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286</v>
      </c>
      <c r="Q11" s="465">
        <v>43045.229883090302</v>
      </c>
    </row>
    <row r="12" spans="1:17">
      <c r="A12" s="1" t="s">
        <v>1318</v>
      </c>
      <c r="B12" s="275" t="s">
        <v>947</v>
      </c>
      <c r="C12" s="1" t="s">
        <v>985</v>
      </c>
      <c r="D12" s="1" t="s">
        <v>335</v>
      </c>
      <c r="E12" s="1" t="s">
        <v>293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336</v>
      </c>
      <c r="Q12" s="465">
        <v>43045.229883090302</v>
      </c>
    </row>
    <row r="13" spans="1:17">
      <c r="A13" s="1" t="s">
        <v>1318</v>
      </c>
      <c r="B13" s="275" t="s">
        <v>948</v>
      </c>
      <c r="C13" s="1" t="s">
        <v>985</v>
      </c>
      <c r="D13" s="1" t="s">
        <v>953</v>
      </c>
      <c r="E13" s="1" t="s">
        <v>374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964</v>
      </c>
      <c r="Q13" s="465">
        <v>43045.229883090302</v>
      </c>
    </row>
    <row r="14" spans="1:17">
      <c r="A14" s="1" t="s">
        <v>1318</v>
      </c>
      <c r="B14" s="275" t="s">
        <v>952</v>
      </c>
      <c r="C14" s="1" t="s">
        <v>985</v>
      </c>
      <c r="D14" s="1" t="s">
        <v>332</v>
      </c>
      <c r="E14" s="1" t="s">
        <v>371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323</v>
      </c>
      <c r="Q14" s="465">
        <v>43045.229883090302</v>
      </c>
    </row>
    <row r="15" spans="1:17">
      <c r="A15" s="1" t="s">
        <v>1318</v>
      </c>
      <c r="B15" s="275" t="s">
        <v>956</v>
      </c>
      <c r="C15" s="1" t="s">
        <v>985</v>
      </c>
      <c r="D15" s="1" t="s">
        <v>334</v>
      </c>
      <c r="E15" s="1" t="s">
        <v>974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312</v>
      </c>
      <c r="Q15" s="465">
        <v>43045.229883090302</v>
      </c>
    </row>
    <row r="16" spans="1:17">
      <c r="A16" s="1" t="s">
        <v>1318</v>
      </c>
      <c r="B16" s="275" t="s">
        <v>965</v>
      </c>
      <c r="C16" s="1" t="s">
        <v>985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1318</v>
      </c>
      <c r="B17" s="275" t="s">
        <v>992</v>
      </c>
      <c r="C17" s="1" t="s">
        <v>985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1318</v>
      </c>
      <c r="B18" s="275" t="s">
        <v>993</v>
      </c>
      <c r="C18" s="1" t="s">
        <v>985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1318</v>
      </c>
      <c r="B19" s="275" t="s">
        <v>994</v>
      </c>
      <c r="C19" s="1" t="s">
        <v>985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1318</v>
      </c>
      <c r="B20" s="275" t="s">
        <v>995</v>
      </c>
      <c r="C20" s="1" t="s">
        <v>985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1318</v>
      </c>
      <c r="B21" s="275" t="s">
        <v>996</v>
      </c>
      <c r="C21" s="1" t="s">
        <v>985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1318</v>
      </c>
      <c r="B22" s="275" t="s">
        <v>997</v>
      </c>
      <c r="C22" s="1" t="s">
        <v>985</v>
      </c>
      <c r="D22" s="1" t="s">
        <v>1412</v>
      </c>
      <c r="E22" s="1" t="s">
        <v>329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309</v>
      </c>
    </row>
    <row r="23" spans="1:17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1292</v>
      </c>
      <c r="B1" s="466" t="s">
        <v>450</v>
      </c>
      <c r="C1" s="466" t="s">
        <v>1293</v>
      </c>
      <c r="D1" s="466" t="s">
        <v>1294</v>
      </c>
      <c r="E1" s="466" t="s">
        <v>1295</v>
      </c>
      <c r="F1" s="466" t="s">
        <v>1296</v>
      </c>
      <c r="G1" s="466" t="s">
        <v>1297</v>
      </c>
      <c r="H1" s="466" t="s">
        <v>1298</v>
      </c>
      <c r="I1" s="466" t="s">
        <v>1299</v>
      </c>
      <c r="J1" s="466" t="s">
        <v>1300</v>
      </c>
      <c r="K1" s="466" t="s">
        <v>1301</v>
      </c>
      <c r="L1" s="466" t="s">
        <v>1302</v>
      </c>
      <c r="M1" s="466" t="s">
        <v>1303</v>
      </c>
      <c r="N1" s="466" t="s">
        <v>1304</v>
      </c>
      <c r="O1" s="466" t="s">
        <v>1415</v>
      </c>
    </row>
    <row r="2" spans="1:15">
      <c r="A2" s="466" t="s">
        <v>1318</v>
      </c>
      <c r="B2" s="466" t="s">
        <v>453</v>
      </c>
      <c r="C2" s="466" t="s">
        <v>1416</v>
      </c>
      <c r="D2" s="466" t="s">
        <v>1417</v>
      </c>
      <c r="E2" s="466" t="s">
        <v>356</v>
      </c>
      <c r="F2" s="466" t="s">
        <v>356</v>
      </c>
      <c r="G2" s="466" t="s">
        <v>356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1418</v>
      </c>
    </row>
    <row r="3" spans="1:15">
      <c r="A3" s="466" t="s">
        <v>1318</v>
      </c>
      <c r="B3" s="466" t="s">
        <v>487</v>
      </c>
      <c r="C3" s="466" t="s">
        <v>1419</v>
      </c>
      <c r="D3" s="466" t="s">
        <v>1420</v>
      </c>
      <c r="E3" s="466" t="s">
        <v>356</v>
      </c>
      <c r="F3" s="466" t="s">
        <v>356</v>
      </c>
      <c r="G3" s="466" t="s">
        <v>356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1421</v>
      </c>
    </row>
    <row r="4" spans="1:15">
      <c r="A4" s="466" t="s">
        <v>1318</v>
      </c>
      <c r="B4" s="466" t="s">
        <v>518</v>
      </c>
      <c r="C4" s="466" t="s">
        <v>1422</v>
      </c>
      <c r="D4" s="466" t="s">
        <v>356</v>
      </c>
      <c r="E4" s="466" t="s">
        <v>356</v>
      </c>
      <c r="F4" s="466" t="s">
        <v>356</v>
      </c>
      <c r="G4" s="466" t="s">
        <v>356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237</v>
      </c>
    </row>
    <row r="5" spans="1:15">
      <c r="A5" s="466" t="s">
        <v>1318</v>
      </c>
      <c r="B5" s="466" t="s">
        <v>548</v>
      </c>
      <c r="C5" s="466" t="s">
        <v>1423</v>
      </c>
      <c r="D5" s="466" t="s">
        <v>1424</v>
      </c>
      <c r="E5" s="466" t="s">
        <v>356</v>
      </c>
      <c r="F5" s="466" t="s">
        <v>356</v>
      </c>
      <c r="G5" s="466" t="s">
        <v>356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1425</v>
      </c>
    </row>
    <row r="6" spans="1:15">
      <c r="A6" s="466" t="s">
        <v>1318</v>
      </c>
      <c r="B6" s="466" t="s">
        <v>578</v>
      </c>
      <c r="C6" s="466" t="s">
        <v>1426</v>
      </c>
      <c r="D6" s="466" t="s">
        <v>1427</v>
      </c>
      <c r="E6" s="466" t="s">
        <v>356</v>
      </c>
      <c r="F6" s="466" t="s">
        <v>356</v>
      </c>
      <c r="G6" s="466" t="s">
        <v>356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1428</v>
      </c>
    </row>
    <row r="7" spans="1:15">
      <c r="A7" s="466" t="s">
        <v>1318</v>
      </c>
      <c r="B7" s="466" t="s">
        <v>611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1318</v>
      </c>
      <c r="B8" s="466" t="s">
        <v>613</v>
      </c>
      <c r="C8" s="466" t="s">
        <v>1429</v>
      </c>
      <c r="D8" s="466" t="s">
        <v>1430</v>
      </c>
      <c r="E8" s="466" t="s">
        <v>356</v>
      </c>
      <c r="F8" s="466" t="s">
        <v>356</v>
      </c>
      <c r="G8" s="466" t="s">
        <v>356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1431</v>
      </c>
    </row>
    <row r="9" spans="1:15">
      <c r="A9" s="466" t="s">
        <v>1318</v>
      </c>
      <c r="B9" s="466" t="s">
        <v>941</v>
      </c>
      <c r="C9" s="466" t="s">
        <v>1432</v>
      </c>
      <c r="D9" s="466" t="s">
        <v>1054</v>
      </c>
      <c r="E9" s="466" t="s">
        <v>356</v>
      </c>
      <c r="F9" s="466" t="s">
        <v>356</v>
      </c>
      <c r="G9" s="466" t="s">
        <v>356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1422</v>
      </c>
    </row>
    <row r="10" spans="1:15">
      <c r="A10" s="466" t="s">
        <v>1318</v>
      </c>
      <c r="B10" s="466" t="s">
        <v>947</v>
      </c>
      <c r="C10" s="466" t="s">
        <v>449</v>
      </c>
      <c r="D10" s="466" t="s">
        <v>356</v>
      </c>
      <c r="E10" s="466" t="s">
        <v>356</v>
      </c>
      <c r="F10" s="466" t="s">
        <v>356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236</v>
      </c>
    </row>
    <row r="11" spans="1:15">
      <c r="A11" s="466" t="s">
        <v>1318</v>
      </c>
      <c r="B11" s="466" t="s">
        <v>948</v>
      </c>
      <c r="C11" s="466" t="s">
        <v>1433</v>
      </c>
      <c r="D11" s="466" t="s">
        <v>1434</v>
      </c>
      <c r="E11" s="466" t="s">
        <v>356</v>
      </c>
      <c r="F11" s="466" t="s">
        <v>356</v>
      </c>
      <c r="G11" s="466" t="s">
        <v>356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1435</v>
      </c>
    </row>
    <row r="12" spans="1:15">
      <c r="A12" s="466" t="s">
        <v>1318</v>
      </c>
      <c r="B12" s="466" t="s">
        <v>952</v>
      </c>
      <c r="C12" s="466" t="s">
        <v>1436</v>
      </c>
      <c r="D12" s="466" t="s">
        <v>1437</v>
      </c>
      <c r="E12" s="466" t="s">
        <v>356</v>
      </c>
      <c r="F12" s="466" t="s">
        <v>356</v>
      </c>
      <c r="G12" s="466" t="s">
        <v>356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1427</v>
      </c>
    </row>
    <row r="13" spans="1:15">
      <c r="A13" s="466" t="s">
        <v>1318</v>
      </c>
      <c r="B13" s="466" t="s">
        <v>956</v>
      </c>
      <c r="C13" s="466" t="s">
        <v>1438</v>
      </c>
      <c r="D13" s="466" t="s">
        <v>963</v>
      </c>
      <c r="E13" s="466" t="s">
        <v>356</v>
      </c>
      <c r="F13" s="466" t="s">
        <v>356</v>
      </c>
      <c r="G13" s="466" t="s">
        <v>356</v>
      </c>
      <c r="H13" s="466" t="s">
        <v>356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1439</v>
      </c>
    </row>
    <row r="14" spans="1:15">
      <c r="A14" s="466" t="s">
        <v>1318</v>
      </c>
      <c r="B14" s="466" t="s">
        <v>965</v>
      </c>
      <c r="C14" s="466" t="s">
        <v>356</v>
      </c>
      <c r="D14" s="466" t="s">
        <v>356</v>
      </c>
      <c r="E14" s="466" t="s">
        <v>356</v>
      </c>
      <c r="F14" s="466" t="s">
        <v>356</v>
      </c>
      <c r="G14" s="466" t="s">
        <v>356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1318</v>
      </c>
      <c r="B15" s="466" t="s">
        <v>992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1318</v>
      </c>
      <c r="B16" s="466" t="s">
        <v>993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1318</v>
      </c>
      <c r="B17" s="466" t="s">
        <v>994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1318</v>
      </c>
      <c r="B18" s="466" t="s">
        <v>995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1318</v>
      </c>
      <c r="B19" s="466" t="s">
        <v>996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1318</v>
      </c>
      <c r="B20" s="466" t="s">
        <v>997</v>
      </c>
      <c r="C20" s="466" t="s">
        <v>1440</v>
      </c>
      <c r="D20" s="466" t="s">
        <v>1441</v>
      </c>
      <c r="E20" s="466" t="s">
        <v>356</v>
      </c>
      <c r="F20" s="466" t="s">
        <v>356</v>
      </c>
      <c r="G20" s="466" t="s">
        <v>356</v>
      </c>
      <c r="H20" s="466" t="s">
        <v>356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1442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A4D27ABE-9306-4B5C-AF27-9F1856A4D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蔡晉毅</cp:lastModifiedBy>
  <cp:revision/>
  <dcterms:created xsi:type="dcterms:W3CDTF">2010-08-05T03:30:00Z</dcterms:created>
  <dcterms:modified xsi:type="dcterms:W3CDTF">2026-04-13T01:40:34Z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