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03"/>
  <workbookPr defaultThemeVersion="124226"/>
  <mc:AlternateContent xmlns:mc="http://schemas.openxmlformats.org/markup-compatibility/2006">
    <mc:Choice Requires="x15">
      <x15ac:absPath xmlns:x15ac="http://schemas.microsoft.com/office/spreadsheetml/2010/11/ac" url="\\wbyakg03\d$\需給日報\需給日報template\"/>
    </mc:Choice>
  </mc:AlternateContent>
  <xr:revisionPtr revIDLastSave="2" documentId="13_ncr:1_{77B3424A-8DDF-4E1A-AA0F-CEB0079AB084}" xr6:coauthVersionLast="47" xr6:coauthVersionMax="47" xr10:uidLastSave="{5C14472A-F3F1-435D-8DDD-94DD9203EFD3}"/>
  <bookViews>
    <workbookView xWindow="28680" yWindow="-120" windowWidth="29040" windowHeight="15720" tabRatio="908" activeTab="3" xr2:uid="{00000000-000D-0000-FFFF-FFFF00000000}"/>
  </bookViews>
  <sheets>
    <sheet name="當月份" sheetId="1" r:id="rId1"/>
    <sheet name="附件一(A庫存金額)" sheetId="2" r:id="rId2"/>
    <sheet name="附件二(期貨)" sheetId="9" r:id="rId3"/>
    <sheet name="當年月推移" sheetId="8" r:id="rId4"/>
    <sheet name="去年月推移_old" sheetId="3" state="hidden" r:id="rId5"/>
    <sheet name="去年月推移" sheetId="20" r:id="rId6"/>
    <sheet name="當年目標設定" sheetId="19" r:id="rId7"/>
    <sheet name="A類各進口別庫存金額目標" sheetId="22" r:id="rId8"/>
    <sheet name="日期" sheetId="23" r:id="rId9"/>
    <sheet name="庫存金額" sheetId="5" r:id="rId10"/>
    <sheet name="供應率ALL" sheetId="6" r:id="rId11"/>
    <sheet name="供應率" sheetId="7" r:id="rId12"/>
    <sheet name="點數BO" sheetId="11" r:id="rId13"/>
    <sheet name="庫存金額A類" sheetId="12" r:id="rId14"/>
    <sheet name="期貨金額" sheetId="14" r:id="rId15"/>
    <sheet name="月庫存金額" sheetId="15" r:id="rId16"/>
    <sheet name="月供應率ALL" sheetId="16" r:id="rId17"/>
    <sheet name="月供應率" sheetId="17" r:id="rId18"/>
    <sheet name="月點數BO" sheetId="24" r:id="rId19"/>
  </sheets>
  <externalReferences>
    <externalReference r:id="rId20"/>
    <externalReference r:id="rId21"/>
  </externalReferences>
  <definedNames>
    <definedName name="BO">#REF!</definedName>
    <definedName name="BO點數">[1]期貨!$A$1:$AH$1</definedName>
    <definedName name="DATE">#REF!</definedName>
    <definedName name="日期">日期!$A$1:$AG$3</definedName>
    <definedName name="月供應率">月供應率!$A$1:$P$22</definedName>
    <definedName name="月供應率ALL">月供應率ALL!$A$1:$O$23</definedName>
    <definedName name="月庫存金額">月庫存金額!$A$1:$AB$26</definedName>
    <definedName name="月點數BO">月點數BO!$A$1:$O$20</definedName>
    <definedName name="供應率">供應率!$A$1:$AI$22</definedName>
    <definedName name="供應率ALL">供應率ALL!$A$1:$AH$23</definedName>
    <definedName name="庫存金額">庫存金額!$A$1:$AI$25</definedName>
    <definedName name="庫存金額A類">庫存金額A類!$A$1:$AH$4</definedName>
    <definedName name="期貨">[1]當年月推移!$A$1:$AI$1</definedName>
    <definedName name="期貨金額">期貨金額!$A$1:$AI$21</definedName>
    <definedName name="點數BO">點數BO!$A$1:$AH$20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L38" i="1"/>
  <c r="P33" i="19" l="1"/>
  <c r="P32" i="19"/>
  <c r="P31" i="19"/>
  <c r="P30" i="19"/>
  <c r="P29" i="19"/>
  <c r="P28" i="19"/>
  <c r="P27" i="19"/>
  <c r="P26" i="19"/>
  <c r="P25" i="19"/>
  <c r="P23" i="19"/>
  <c r="P22" i="19"/>
  <c r="P21" i="19"/>
  <c r="P20" i="19"/>
  <c r="P19" i="19"/>
  <c r="P18" i="19"/>
  <c r="P17" i="19"/>
  <c r="P15" i="19"/>
  <c r="P14" i="19"/>
  <c r="P13" i="19"/>
  <c r="P12" i="19"/>
  <c r="P10" i="19"/>
  <c r="P9" i="19"/>
  <c r="P8" i="19"/>
  <c r="P7" i="19"/>
  <c r="P6" i="19"/>
  <c r="P5" i="19"/>
  <c r="N7" i="22"/>
  <c r="N6" i="22"/>
  <c r="N5" i="22"/>
  <c r="N4" i="22"/>
  <c r="P11" i="19" l="1"/>
  <c r="P24" i="19"/>
  <c r="P16" i="19"/>
  <c r="D4" i="19"/>
  <c r="D9" i="1" l="1"/>
  <c r="AK4" i="2" l="1"/>
  <c r="C4" i="2"/>
  <c r="AK8" i="2"/>
  <c r="AK7" i="2"/>
  <c r="AK6" i="2"/>
  <c r="AK9" i="2" l="1"/>
  <c r="E4" i="19"/>
  <c r="E3" i="19" s="1"/>
  <c r="F4" i="19"/>
  <c r="F3" i="19" s="1"/>
  <c r="G4" i="19"/>
  <c r="G3" i="19" s="1"/>
  <c r="H4" i="19"/>
  <c r="H3" i="19" s="1"/>
  <c r="I4" i="19"/>
  <c r="I3" i="19" s="1"/>
  <c r="J4" i="19"/>
  <c r="J3" i="19" s="1"/>
  <c r="K4" i="19"/>
  <c r="K3" i="19" s="1"/>
  <c r="L4" i="19"/>
  <c r="L3" i="19" s="1"/>
  <c r="M4" i="19"/>
  <c r="M3" i="19" s="1"/>
  <c r="N4" i="19"/>
  <c r="N3" i="19" s="1"/>
  <c r="O4" i="19"/>
  <c r="O3" i="19" s="1"/>
  <c r="D3" i="19"/>
  <c r="AN17" i="1" l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O17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I35" i="1"/>
  <c r="I34" i="1"/>
  <c r="I33" i="1"/>
  <c r="I32" i="1"/>
  <c r="I31" i="1"/>
  <c r="I30" i="1"/>
  <c r="I29" i="1"/>
  <c r="I28" i="1"/>
  <c r="I27" i="1"/>
  <c r="I25" i="1"/>
  <c r="I24" i="1"/>
  <c r="I23" i="1"/>
  <c r="I22" i="1"/>
  <c r="I21" i="1"/>
  <c r="I20" i="1"/>
  <c r="I19" i="1"/>
  <c r="I17" i="1"/>
  <c r="I16" i="1"/>
  <c r="I15" i="1"/>
  <c r="I14" i="1"/>
  <c r="I12" i="1"/>
  <c r="I11" i="1"/>
  <c r="I10" i="1"/>
  <c r="I9" i="1"/>
  <c r="I8" i="1"/>
  <c r="I7" i="1"/>
  <c r="AK26" i="1" l="1"/>
  <c r="AC26" i="1"/>
  <c r="U26" i="1"/>
  <c r="M26" i="1"/>
  <c r="AO18" i="1"/>
  <c r="AC18" i="1"/>
  <c r="U18" i="1"/>
  <c r="M18" i="1"/>
  <c r="AJ13" i="1"/>
  <c r="AB13" i="1"/>
  <c r="T13" i="1"/>
  <c r="L13" i="1"/>
  <c r="AN26" i="1"/>
  <c r="AF26" i="1"/>
  <c r="X26" i="1"/>
  <c r="P26" i="1"/>
  <c r="AJ18" i="1"/>
  <c r="AB18" i="1"/>
  <c r="T18" i="1"/>
  <c r="L18" i="1"/>
  <c r="AI13" i="1"/>
  <c r="AA13" i="1"/>
  <c r="S13" i="1"/>
  <c r="K13" i="1"/>
  <c r="AM26" i="1"/>
  <c r="AI26" i="1"/>
  <c r="AE26" i="1"/>
  <c r="AA26" i="1"/>
  <c r="W26" i="1"/>
  <c r="S26" i="1"/>
  <c r="O26" i="1"/>
  <c r="K26" i="1"/>
  <c r="AM18" i="1"/>
  <c r="AI18" i="1"/>
  <c r="AE18" i="1"/>
  <c r="AA18" i="1"/>
  <c r="W18" i="1"/>
  <c r="S18" i="1"/>
  <c r="O18" i="1"/>
  <c r="K18" i="1"/>
  <c r="AL13" i="1"/>
  <c r="AH13" i="1"/>
  <c r="AD13" i="1"/>
  <c r="Z13" i="1"/>
  <c r="V13" i="1"/>
  <c r="R13" i="1"/>
  <c r="N13" i="1"/>
  <c r="J13" i="1"/>
  <c r="AO26" i="1"/>
  <c r="AG26" i="1"/>
  <c r="Y26" i="1"/>
  <c r="Q26" i="1"/>
  <c r="AK18" i="1"/>
  <c r="AG18" i="1"/>
  <c r="Y18" i="1"/>
  <c r="Q18" i="1"/>
  <c r="AF13" i="1"/>
  <c r="X13" i="1"/>
  <c r="P13" i="1"/>
  <c r="AJ26" i="1"/>
  <c r="AB26" i="1"/>
  <c r="T26" i="1"/>
  <c r="L26" i="1"/>
  <c r="AN18" i="1"/>
  <c r="AF18" i="1"/>
  <c r="X18" i="1"/>
  <c r="P18" i="1"/>
  <c r="AM13" i="1"/>
  <c r="AE13" i="1"/>
  <c r="W13" i="1"/>
  <c r="O13" i="1"/>
  <c r="AL26" i="1"/>
  <c r="AH26" i="1"/>
  <c r="AD26" i="1"/>
  <c r="Z26" i="1"/>
  <c r="V26" i="1"/>
  <c r="R26" i="1"/>
  <c r="N26" i="1"/>
  <c r="J26" i="1"/>
  <c r="AL18" i="1"/>
  <c r="AH18" i="1"/>
  <c r="AD18" i="1"/>
  <c r="Z18" i="1"/>
  <c r="V18" i="1"/>
  <c r="R18" i="1"/>
  <c r="N18" i="1"/>
  <c r="J18" i="1"/>
  <c r="AO13" i="1"/>
  <c r="AK13" i="1"/>
  <c r="AG13" i="1"/>
  <c r="AC13" i="1"/>
  <c r="Y13" i="1"/>
  <c r="U13" i="1"/>
  <c r="Q13" i="1"/>
  <c r="M13" i="1"/>
  <c r="AN13" i="1"/>
  <c r="D3" i="1"/>
  <c r="AN93" i="1" l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I93" i="1"/>
  <c r="P151" i="8"/>
  <c r="E151" i="8"/>
  <c r="F151" i="8"/>
  <c r="G151" i="8"/>
  <c r="H151" i="8"/>
  <c r="I151" i="8"/>
  <c r="J151" i="8"/>
  <c r="K151" i="8"/>
  <c r="L151" i="8"/>
  <c r="M151" i="8"/>
  <c r="N151" i="8"/>
  <c r="O151" i="8"/>
  <c r="D151" i="8"/>
  <c r="J44" i="1" l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I44" i="1"/>
  <c r="P131" i="8" l="1"/>
  <c r="G72" i="1" s="1"/>
  <c r="O131" i="8"/>
  <c r="N131" i="8"/>
  <c r="M131" i="8"/>
  <c r="L131" i="8"/>
  <c r="K131" i="8"/>
  <c r="J131" i="8"/>
  <c r="I131" i="8"/>
  <c r="H131" i="8"/>
  <c r="G131" i="8"/>
  <c r="F131" i="8"/>
  <c r="E131" i="8"/>
  <c r="D131" i="8"/>
  <c r="D103" i="8"/>
  <c r="P103" i="8"/>
  <c r="O103" i="8"/>
  <c r="N103" i="8"/>
  <c r="M103" i="8"/>
  <c r="L103" i="8"/>
  <c r="K103" i="8"/>
  <c r="J103" i="8"/>
  <c r="I103" i="8"/>
  <c r="H103" i="8"/>
  <c r="G103" i="8"/>
  <c r="F103" i="8"/>
  <c r="E103" i="8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D72" i="1"/>
  <c r="AN65" i="1" l="1"/>
  <c r="AN66" i="1"/>
  <c r="AN67" i="1"/>
  <c r="AN68" i="1"/>
  <c r="AN69" i="1"/>
  <c r="AN70" i="1"/>
  <c r="AN71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I80" i="1"/>
  <c r="I81" i="1"/>
  <c r="I82" i="1"/>
  <c r="I83" i="1"/>
  <c r="I84" i="1"/>
  <c r="I76" i="1"/>
  <c r="I77" i="1"/>
  <c r="I78" i="1"/>
  <c r="I79" i="1"/>
  <c r="I75" i="1"/>
  <c r="I74" i="1"/>
  <c r="I70" i="1"/>
  <c r="I71" i="1"/>
  <c r="I73" i="1"/>
  <c r="I69" i="1"/>
  <c r="I68" i="1"/>
  <c r="I67" i="1"/>
  <c r="I66" i="1"/>
  <c r="I65" i="1"/>
  <c r="AN60" i="1"/>
  <c r="AN59" i="1"/>
  <c r="AN57" i="1"/>
  <c r="AN58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6" i="1"/>
  <c r="AN55" i="1"/>
  <c r="AN54" i="1"/>
  <c r="AN50" i="1"/>
  <c r="AN51" i="1"/>
  <c r="AN52" i="1"/>
  <c r="AN53" i="1"/>
  <c r="AN49" i="1"/>
  <c r="AN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I60" i="1"/>
  <c r="I56" i="1"/>
  <c r="I57" i="1"/>
  <c r="I58" i="1"/>
  <c r="I55" i="1"/>
  <c r="I54" i="1"/>
  <c r="I50" i="1"/>
  <c r="I51" i="1"/>
  <c r="I52" i="1"/>
  <c r="I53" i="1"/>
  <c r="I49" i="1"/>
  <c r="I48" i="1"/>
  <c r="AN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I47" i="1"/>
  <c r="AN41" i="1"/>
  <c r="AN42" i="1"/>
  <c r="AN43" i="1"/>
  <c r="AN45" i="1"/>
  <c r="AN46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I42" i="1"/>
  <c r="I43" i="1"/>
  <c r="I45" i="1"/>
  <c r="I46" i="1"/>
  <c r="I41" i="1"/>
  <c r="I40" i="1"/>
  <c r="D109" i="1" l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4" i="1"/>
  <c r="D83" i="1"/>
  <c r="D82" i="1"/>
  <c r="D81" i="1"/>
  <c r="D80" i="1"/>
  <c r="D79" i="1"/>
  <c r="D78" i="1"/>
  <c r="D77" i="1"/>
  <c r="D76" i="1"/>
  <c r="D75" i="1"/>
  <c r="D74" i="1"/>
  <c r="D73" i="1"/>
  <c r="D71" i="1"/>
  <c r="D70" i="1"/>
  <c r="D69" i="1"/>
  <c r="D68" i="1"/>
  <c r="D67" i="1"/>
  <c r="D66" i="1"/>
  <c r="D65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5" i="1"/>
  <c r="D34" i="1"/>
  <c r="D33" i="1"/>
  <c r="D32" i="1"/>
  <c r="D31" i="1"/>
  <c r="D30" i="1"/>
  <c r="D29" i="1"/>
  <c r="D28" i="1"/>
  <c r="D27" i="1"/>
  <c r="D25" i="1"/>
  <c r="D24" i="1"/>
  <c r="D23" i="1"/>
  <c r="D22" i="1"/>
  <c r="D21" i="1"/>
  <c r="D20" i="1"/>
  <c r="D19" i="1"/>
  <c r="D17" i="1"/>
  <c r="D16" i="1"/>
  <c r="D15" i="1"/>
  <c r="D14" i="1"/>
  <c r="D12" i="1"/>
  <c r="D11" i="1"/>
  <c r="D10" i="1"/>
  <c r="D8" i="1"/>
  <c r="D7" i="1"/>
  <c r="D99" i="8"/>
  <c r="J40" i="1" l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P34" i="8" l="1"/>
  <c r="P33" i="8"/>
  <c r="P68" i="8"/>
  <c r="P67" i="8"/>
  <c r="E162" i="8" l="1"/>
  <c r="F162" i="8"/>
  <c r="G162" i="8"/>
  <c r="H162" i="8"/>
  <c r="I162" i="8"/>
  <c r="J162" i="8"/>
  <c r="K162" i="8"/>
  <c r="L162" i="8"/>
  <c r="M162" i="8"/>
  <c r="N162" i="8"/>
  <c r="O162" i="8"/>
  <c r="P162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D166" i="8"/>
  <c r="D165" i="8"/>
  <c r="D164" i="8"/>
  <c r="D163" i="8"/>
  <c r="D162" i="8"/>
  <c r="D160" i="8"/>
  <c r="D159" i="8"/>
  <c r="D158" i="8"/>
  <c r="D157" i="8"/>
  <c r="D156" i="8"/>
  <c r="D155" i="8"/>
  <c r="D153" i="8"/>
  <c r="D152" i="8"/>
  <c r="D150" i="8"/>
  <c r="D149" i="8"/>
  <c r="D148" i="8"/>
  <c r="D147" i="8"/>
  <c r="E63" i="8"/>
  <c r="F63" i="8"/>
  <c r="G63" i="8"/>
  <c r="H63" i="8"/>
  <c r="I63" i="8"/>
  <c r="J63" i="8"/>
  <c r="K63" i="8"/>
  <c r="L63" i="8"/>
  <c r="M63" i="8"/>
  <c r="N63" i="8"/>
  <c r="O63" i="8"/>
  <c r="P63" i="8"/>
  <c r="E64" i="8"/>
  <c r="F64" i="8"/>
  <c r="G64" i="8"/>
  <c r="H64" i="8"/>
  <c r="I64" i="8"/>
  <c r="J64" i="8"/>
  <c r="K64" i="8"/>
  <c r="L64" i="8"/>
  <c r="M64" i="8"/>
  <c r="N64" i="8"/>
  <c r="O64" i="8"/>
  <c r="P64" i="8"/>
  <c r="E65" i="8"/>
  <c r="F65" i="8"/>
  <c r="G65" i="8"/>
  <c r="H65" i="8"/>
  <c r="I65" i="8"/>
  <c r="J65" i="8"/>
  <c r="K65" i="8"/>
  <c r="L65" i="8"/>
  <c r="M65" i="8"/>
  <c r="N65" i="8"/>
  <c r="O65" i="8"/>
  <c r="P65" i="8"/>
  <c r="E66" i="8"/>
  <c r="F66" i="8"/>
  <c r="G66" i="8"/>
  <c r="H66" i="8"/>
  <c r="I66" i="8"/>
  <c r="J66" i="8"/>
  <c r="K66" i="8"/>
  <c r="L66" i="8"/>
  <c r="M66" i="8"/>
  <c r="N66" i="8"/>
  <c r="O66" i="8"/>
  <c r="P66" i="8"/>
  <c r="E59" i="8"/>
  <c r="F59" i="8"/>
  <c r="G59" i="8"/>
  <c r="H59" i="8"/>
  <c r="I59" i="8"/>
  <c r="J59" i="8"/>
  <c r="K59" i="8"/>
  <c r="L59" i="8"/>
  <c r="M59" i="8"/>
  <c r="N59" i="8"/>
  <c r="O59" i="8"/>
  <c r="P59" i="8"/>
  <c r="E60" i="8"/>
  <c r="F60" i="8"/>
  <c r="G60" i="8"/>
  <c r="H60" i="8"/>
  <c r="I60" i="8"/>
  <c r="J60" i="8"/>
  <c r="K60" i="8"/>
  <c r="L60" i="8"/>
  <c r="M60" i="8"/>
  <c r="N60" i="8"/>
  <c r="O60" i="8"/>
  <c r="P60" i="8"/>
  <c r="E61" i="8"/>
  <c r="F61" i="8"/>
  <c r="G61" i="8"/>
  <c r="H61" i="8"/>
  <c r="I61" i="8"/>
  <c r="J61" i="8"/>
  <c r="K61" i="8"/>
  <c r="L61" i="8"/>
  <c r="M61" i="8"/>
  <c r="N61" i="8"/>
  <c r="O61" i="8"/>
  <c r="P61" i="8"/>
  <c r="E62" i="8"/>
  <c r="F62" i="8"/>
  <c r="G62" i="8"/>
  <c r="H62" i="8"/>
  <c r="I62" i="8"/>
  <c r="J62" i="8"/>
  <c r="K62" i="8"/>
  <c r="L62" i="8"/>
  <c r="M62" i="8"/>
  <c r="N62" i="8"/>
  <c r="O62" i="8"/>
  <c r="P62" i="8"/>
  <c r="E51" i="8"/>
  <c r="F51" i="8"/>
  <c r="G51" i="8"/>
  <c r="H51" i="8"/>
  <c r="I51" i="8"/>
  <c r="J51" i="8"/>
  <c r="K51" i="8"/>
  <c r="L51" i="8"/>
  <c r="M51" i="8"/>
  <c r="N51" i="8"/>
  <c r="O51" i="8"/>
  <c r="P51" i="8"/>
  <c r="E52" i="8"/>
  <c r="F52" i="8"/>
  <c r="G52" i="8"/>
  <c r="H52" i="8"/>
  <c r="I52" i="8"/>
  <c r="J52" i="8"/>
  <c r="K52" i="8"/>
  <c r="L52" i="8"/>
  <c r="M52" i="8"/>
  <c r="N52" i="8"/>
  <c r="O52" i="8"/>
  <c r="P52" i="8"/>
  <c r="E53" i="8"/>
  <c r="F53" i="8"/>
  <c r="G53" i="8"/>
  <c r="H53" i="8"/>
  <c r="I53" i="8"/>
  <c r="J53" i="8"/>
  <c r="K53" i="8"/>
  <c r="L53" i="8"/>
  <c r="M53" i="8"/>
  <c r="N53" i="8"/>
  <c r="O53" i="8"/>
  <c r="P53" i="8"/>
  <c r="E54" i="8"/>
  <c r="F54" i="8"/>
  <c r="G54" i="8"/>
  <c r="H54" i="8"/>
  <c r="I54" i="8"/>
  <c r="J54" i="8"/>
  <c r="K54" i="8"/>
  <c r="L54" i="8"/>
  <c r="M54" i="8"/>
  <c r="N54" i="8"/>
  <c r="O54" i="8"/>
  <c r="P54" i="8"/>
  <c r="E55" i="8"/>
  <c r="F55" i="8"/>
  <c r="G55" i="8"/>
  <c r="H55" i="8"/>
  <c r="I55" i="8"/>
  <c r="J55" i="8"/>
  <c r="K55" i="8"/>
  <c r="L55" i="8"/>
  <c r="M55" i="8"/>
  <c r="N55" i="8"/>
  <c r="O55" i="8"/>
  <c r="P55" i="8"/>
  <c r="E56" i="8"/>
  <c r="F56" i="8"/>
  <c r="G56" i="8"/>
  <c r="H56" i="8"/>
  <c r="I56" i="8"/>
  <c r="J56" i="8"/>
  <c r="K56" i="8"/>
  <c r="L56" i="8"/>
  <c r="M56" i="8"/>
  <c r="N56" i="8"/>
  <c r="O56" i="8"/>
  <c r="P56" i="8"/>
  <c r="E57" i="8"/>
  <c r="F57" i="8"/>
  <c r="G57" i="8"/>
  <c r="H57" i="8"/>
  <c r="I57" i="8"/>
  <c r="J57" i="8"/>
  <c r="K57" i="8"/>
  <c r="L57" i="8"/>
  <c r="M57" i="8"/>
  <c r="N57" i="8"/>
  <c r="O57" i="8"/>
  <c r="P57" i="8"/>
  <c r="E46" i="8"/>
  <c r="F46" i="8"/>
  <c r="G46" i="8"/>
  <c r="H46" i="8"/>
  <c r="I46" i="8"/>
  <c r="J46" i="8"/>
  <c r="K46" i="8"/>
  <c r="L46" i="8"/>
  <c r="M46" i="8"/>
  <c r="N46" i="8"/>
  <c r="O46" i="8"/>
  <c r="P46" i="8"/>
  <c r="E47" i="8"/>
  <c r="F47" i="8"/>
  <c r="G47" i="8"/>
  <c r="H47" i="8"/>
  <c r="I47" i="8"/>
  <c r="J47" i="8"/>
  <c r="K47" i="8"/>
  <c r="L47" i="8"/>
  <c r="M47" i="8"/>
  <c r="N47" i="8"/>
  <c r="O47" i="8"/>
  <c r="P47" i="8"/>
  <c r="E48" i="8"/>
  <c r="F48" i="8"/>
  <c r="G48" i="8"/>
  <c r="H48" i="8"/>
  <c r="I48" i="8"/>
  <c r="J48" i="8"/>
  <c r="K48" i="8"/>
  <c r="L48" i="8"/>
  <c r="M48" i="8"/>
  <c r="N48" i="8"/>
  <c r="O48" i="8"/>
  <c r="P48" i="8"/>
  <c r="E49" i="8"/>
  <c r="F49" i="8"/>
  <c r="G49" i="8"/>
  <c r="H49" i="8"/>
  <c r="I49" i="8"/>
  <c r="J49" i="8"/>
  <c r="K49" i="8"/>
  <c r="L49" i="8"/>
  <c r="M49" i="8"/>
  <c r="N49" i="8"/>
  <c r="O49" i="8"/>
  <c r="P49" i="8"/>
  <c r="E39" i="8"/>
  <c r="F39" i="8"/>
  <c r="G39" i="8"/>
  <c r="H39" i="8"/>
  <c r="I39" i="8"/>
  <c r="J39" i="8"/>
  <c r="K39" i="8"/>
  <c r="L39" i="8"/>
  <c r="M39" i="8"/>
  <c r="N39" i="8"/>
  <c r="O39" i="8"/>
  <c r="P39" i="8"/>
  <c r="E40" i="8"/>
  <c r="F40" i="8"/>
  <c r="G40" i="8"/>
  <c r="H40" i="8"/>
  <c r="I40" i="8"/>
  <c r="J40" i="8"/>
  <c r="K40" i="8"/>
  <c r="L40" i="8"/>
  <c r="M40" i="8"/>
  <c r="N40" i="8"/>
  <c r="O40" i="8"/>
  <c r="P40" i="8"/>
  <c r="E41" i="8"/>
  <c r="F41" i="8"/>
  <c r="G41" i="8"/>
  <c r="H41" i="8"/>
  <c r="I41" i="8"/>
  <c r="J41" i="8"/>
  <c r="K41" i="8"/>
  <c r="L41" i="8"/>
  <c r="M41" i="8"/>
  <c r="N41" i="8"/>
  <c r="O41" i="8"/>
  <c r="P41" i="8"/>
  <c r="E42" i="8"/>
  <c r="F42" i="8"/>
  <c r="G42" i="8"/>
  <c r="H42" i="8"/>
  <c r="I42" i="8"/>
  <c r="J42" i="8"/>
  <c r="K42" i="8"/>
  <c r="L42" i="8"/>
  <c r="M42" i="8"/>
  <c r="N42" i="8"/>
  <c r="O42" i="8"/>
  <c r="P42" i="8"/>
  <c r="E43" i="8"/>
  <c r="F43" i="8"/>
  <c r="G43" i="8"/>
  <c r="H43" i="8"/>
  <c r="I43" i="8"/>
  <c r="J43" i="8"/>
  <c r="K43" i="8"/>
  <c r="L43" i="8"/>
  <c r="M43" i="8"/>
  <c r="N43" i="8"/>
  <c r="O43" i="8"/>
  <c r="P43" i="8"/>
  <c r="E44" i="8"/>
  <c r="F44" i="8"/>
  <c r="G44" i="8"/>
  <c r="H44" i="8"/>
  <c r="I44" i="8"/>
  <c r="J44" i="8"/>
  <c r="K44" i="8"/>
  <c r="L44" i="8"/>
  <c r="M44" i="8"/>
  <c r="N44" i="8"/>
  <c r="O44" i="8"/>
  <c r="P44" i="8"/>
  <c r="D66" i="8"/>
  <c r="D65" i="8"/>
  <c r="D64" i="8"/>
  <c r="D63" i="8"/>
  <c r="D62" i="8"/>
  <c r="D61" i="8"/>
  <c r="D60" i="8"/>
  <c r="D59" i="8"/>
  <c r="D57" i="8"/>
  <c r="D56" i="8"/>
  <c r="D55" i="8"/>
  <c r="D54" i="8"/>
  <c r="D53" i="8"/>
  <c r="D52" i="8"/>
  <c r="D51" i="8"/>
  <c r="D49" i="8"/>
  <c r="D48" i="8"/>
  <c r="D47" i="8"/>
  <c r="D46" i="8"/>
  <c r="D44" i="8"/>
  <c r="D43" i="8"/>
  <c r="D42" i="8"/>
  <c r="D41" i="8"/>
  <c r="D40" i="8"/>
  <c r="D39" i="8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I108" i="1"/>
  <c r="I107" i="1"/>
  <c r="I106" i="1"/>
  <c r="I105" i="1"/>
  <c r="I104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I102" i="1"/>
  <c r="I101" i="1"/>
  <c r="I100" i="1"/>
  <c r="I99" i="1"/>
  <c r="I98" i="1"/>
  <c r="I97" i="1"/>
  <c r="AN89" i="1"/>
  <c r="AN90" i="1"/>
  <c r="AN91" i="1"/>
  <c r="AN92" i="1"/>
  <c r="AN94" i="1"/>
  <c r="AN95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I95" i="1"/>
  <c r="I94" i="1"/>
  <c r="I92" i="1"/>
  <c r="I89" i="1"/>
  <c r="E32" i="8"/>
  <c r="F32" i="8"/>
  <c r="G32" i="8"/>
  <c r="H32" i="8"/>
  <c r="I32" i="8"/>
  <c r="J32" i="8"/>
  <c r="K32" i="8"/>
  <c r="L32" i="8"/>
  <c r="M32" i="8"/>
  <c r="N32" i="8"/>
  <c r="O32" i="8"/>
  <c r="P32" i="8"/>
  <c r="E31" i="8"/>
  <c r="F31" i="8"/>
  <c r="G31" i="8"/>
  <c r="H31" i="8"/>
  <c r="I31" i="8"/>
  <c r="J31" i="8"/>
  <c r="K31" i="8"/>
  <c r="L31" i="8"/>
  <c r="M31" i="8"/>
  <c r="N31" i="8"/>
  <c r="O31" i="8"/>
  <c r="P31" i="8"/>
  <c r="E30" i="8"/>
  <c r="F30" i="8"/>
  <c r="G30" i="8"/>
  <c r="H30" i="8"/>
  <c r="I30" i="8"/>
  <c r="J30" i="8"/>
  <c r="K30" i="8"/>
  <c r="L30" i="8"/>
  <c r="M30" i="8"/>
  <c r="N30" i="8"/>
  <c r="O30" i="8"/>
  <c r="P30" i="8"/>
  <c r="E29" i="8"/>
  <c r="F29" i="8"/>
  <c r="G29" i="8"/>
  <c r="H29" i="8"/>
  <c r="I29" i="8"/>
  <c r="J29" i="8"/>
  <c r="K29" i="8"/>
  <c r="L29" i="8"/>
  <c r="M29" i="8"/>
  <c r="N29" i="8"/>
  <c r="O29" i="8"/>
  <c r="P29" i="8"/>
  <c r="E28" i="8"/>
  <c r="F28" i="8"/>
  <c r="G28" i="8"/>
  <c r="H28" i="8"/>
  <c r="I28" i="8"/>
  <c r="J28" i="8"/>
  <c r="K28" i="8"/>
  <c r="L28" i="8"/>
  <c r="M28" i="8"/>
  <c r="N28" i="8"/>
  <c r="O28" i="8"/>
  <c r="P28" i="8"/>
  <c r="E27" i="8"/>
  <c r="F27" i="8"/>
  <c r="G27" i="8"/>
  <c r="H27" i="8"/>
  <c r="I27" i="8"/>
  <c r="J27" i="8"/>
  <c r="K27" i="8"/>
  <c r="L27" i="8"/>
  <c r="M27" i="8"/>
  <c r="N27" i="8"/>
  <c r="O27" i="8"/>
  <c r="P27" i="8"/>
  <c r="E26" i="8"/>
  <c r="F26" i="8"/>
  <c r="G26" i="8"/>
  <c r="H26" i="8"/>
  <c r="I26" i="8"/>
  <c r="J26" i="8"/>
  <c r="K26" i="8"/>
  <c r="L26" i="8"/>
  <c r="M26" i="8"/>
  <c r="N26" i="8"/>
  <c r="O26" i="8"/>
  <c r="P26" i="8"/>
  <c r="E25" i="8"/>
  <c r="F25" i="8"/>
  <c r="G25" i="8"/>
  <c r="H25" i="8"/>
  <c r="I25" i="8"/>
  <c r="J25" i="8"/>
  <c r="K25" i="8"/>
  <c r="L25" i="8"/>
  <c r="M25" i="8"/>
  <c r="N25" i="8"/>
  <c r="O25" i="8"/>
  <c r="P25" i="8"/>
  <c r="E23" i="8"/>
  <c r="F23" i="8"/>
  <c r="G23" i="8"/>
  <c r="H23" i="8"/>
  <c r="I23" i="8"/>
  <c r="J23" i="8"/>
  <c r="K23" i="8"/>
  <c r="L23" i="8"/>
  <c r="M23" i="8"/>
  <c r="N23" i="8"/>
  <c r="O23" i="8"/>
  <c r="P23" i="8"/>
  <c r="E22" i="8"/>
  <c r="F22" i="8"/>
  <c r="G22" i="8"/>
  <c r="H22" i="8"/>
  <c r="I22" i="8"/>
  <c r="J22" i="8"/>
  <c r="K22" i="8"/>
  <c r="L22" i="8"/>
  <c r="M22" i="8"/>
  <c r="N22" i="8"/>
  <c r="O22" i="8"/>
  <c r="P22" i="8"/>
  <c r="E21" i="8"/>
  <c r="F21" i="8"/>
  <c r="G21" i="8"/>
  <c r="H21" i="8"/>
  <c r="I21" i="8"/>
  <c r="J21" i="8"/>
  <c r="K21" i="8"/>
  <c r="L21" i="8"/>
  <c r="M21" i="8"/>
  <c r="N21" i="8"/>
  <c r="O21" i="8"/>
  <c r="P21" i="8"/>
  <c r="P20" i="8"/>
  <c r="E20" i="8"/>
  <c r="F20" i="8"/>
  <c r="G20" i="8"/>
  <c r="H20" i="8"/>
  <c r="I20" i="8"/>
  <c r="J20" i="8"/>
  <c r="K20" i="8"/>
  <c r="L20" i="8"/>
  <c r="M20" i="8"/>
  <c r="N20" i="8"/>
  <c r="O20" i="8"/>
  <c r="E19" i="8"/>
  <c r="F19" i="8"/>
  <c r="G19" i="8"/>
  <c r="H19" i="8"/>
  <c r="I19" i="8"/>
  <c r="J19" i="8"/>
  <c r="K19" i="8"/>
  <c r="L19" i="8"/>
  <c r="M19" i="8"/>
  <c r="N19" i="8"/>
  <c r="O19" i="8"/>
  <c r="P19" i="8"/>
  <c r="E18" i="8"/>
  <c r="F18" i="8"/>
  <c r="G18" i="8"/>
  <c r="H18" i="8"/>
  <c r="I18" i="8"/>
  <c r="J18" i="8"/>
  <c r="K18" i="8"/>
  <c r="L18" i="8"/>
  <c r="M18" i="8"/>
  <c r="N18" i="8"/>
  <c r="O18" i="8"/>
  <c r="P18" i="8"/>
  <c r="E17" i="8"/>
  <c r="F17" i="8"/>
  <c r="G17" i="8"/>
  <c r="H17" i="8"/>
  <c r="I17" i="8"/>
  <c r="J17" i="8"/>
  <c r="K17" i="8"/>
  <c r="L17" i="8"/>
  <c r="M17" i="8"/>
  <c r="N17" i="8"/>
  <c r="O17" i="8"/>
  <c r="P17" i="8"/>
  <c r="E15" i="8"/>
  <c r="F15" i="8"/>
  <c r="G15" i="8"/>
  <c r="H15" i="8"/>
  <c r="I15" i="8"/>
  <c r="J15" i="8"/>
  <c r="K15" i="8"/>
  <c r="L15" i="8"/>
  <c r="M15" i="8"/>
  <c r="N15" i="8"/>
  <c r="O15" i="8"/>
  <c r="P15" i="8"/>
  <c r="E14" i="8"/>
  <c r="F14" i="8"/>
  <c r="G14" i="8"/>
  <c r="H14" i="8"/>
  <c r="I14" i="8"/>
  <c r="J14" i="8"/>
  <c r="K14" i="8"/>
  <c r="L14" i="8"/>
  <c r="M14" i="8"/>
  <c r="N14" i="8"/>
  <c r="O14" i="8"/>
  <c r="P14" i="8"/>
  <c r="E13" i="8"/>
  <c r="F13" i="8"/>
  <c r="G13" i="8"/>
  <c r="H13" i="8"/>
  <c r="I13" i="8"/>
  <c r="J13" i="8"/>
  <c r="K13" i="8"/>
  <c r="L13" i="8"/>
  <c r="M13" i="8"/>
  <c r="N13" i="8"/>
  <c r="O13" i="8"/>
  <c r="P13" i="8"/>
  <c r="E12" i="8"/>
  <c r="F12" i="8"/>
  <c r="G12" i="8"/>
  <c r="H12" i="8"/>
  <c r="I12" i="8"/>
  <c r="J12" i="8"/>
  <c r="K12" i="8"/>
  <c r="L12" i="8"/>
  <c r="M12" i="8"/>
  <c r="N12" i="8"/>
  <c r="O12" i="8"/>
  <c r="P12" i="8"/>
  <c r="E10" i="8"/>
  <c r="F10" i="8"/>
  <c r="G10" i="8"/>
  <c r="H10" i="8"/>
  <c r="I10" i="8"/>
  <c r="J10" i="8"/>
  <c r="K10" i="8"/>
  <c r="L10" i="8"/>
  <c r="M10" i="8"/>
  <c r="N10" i="8"/>
  <c r="O10" i="8"/>
  <c r="P10" i="8"/>
  <c r="E9" i="8"/>
  <c r="F9" i="8"/>
  <c r="G9" i="8"/>
  <c r="H9" i="8"/>
  <c r="I9" i="8"/>
  <c r="J9" i="8"/>
  <c r="K9" i="8"/>
  <c r="L9" i="8"/>
  <c r="M9" i="8"/>
  <c r="N9" i="8"/>
  <c r="O9" i="8"/>
  <c r="P9" i="8"/>
  <c r="E8" i="8"/>
  <c r="F8" i="8"/>
  <c r="G8" i="8"/>
  <c r="H8" i="8"/>
  <c r="I8" i="8"/>
  <c r="J8" i="8"/>
  <c r="K8" i="8"/>
  <c r="L8" i="8"/>
  <c r="M8" i="8"/>
  <c r="N8" i="8"/>
  <c r="O8" i="8"/>
  <c r="P8" i="8"/>
  <c r="E7" i="8"/>
  <c r="F7" i="8"/>
  <c r="G7" i="8"/>
  <c r="H7" i="8"/>
  <c r="I7" i="8"/>
  <c r="J7" i="8"/>
  <c r="K7" i="8"/>
  <c r="L7" i="8"/>
  <c r="M7" i="8"/>
  <c r="N7" i="8"/>
  <c r="O7" i="8"/>
  <c r="P7" i="8"/>
  <c r="E6" i="8"/>
  <c r="F6" i="8"/>
  <c r="G6" i="8"/>
  <c r="H6" i="8"/>
  <c r="I6" i="8"/>
  <c r="J6" i="8"/>
  <c r="K6" i="8"/>
  <c r="L6" i="8"/>
  <c r="M6" i="8"/>
  <c r="N6" i="8"/>
  <c r="O6" i="8"/>
  <c r="P6" i="8"/>
  <c r="E5" i="8"/>
  <c r="F5" i="8"/>
  <c r="G5" i="8"/>
  <c r="H5" i="8"/>
  <c r="I5" i="8"/>
  <c r="J5" i="8"/>
  <c r="K5" i="8"/>
  <c r="L5" i="8"/>
  <c r="M5" i="8"/>
  <c r="N5" i="8"/>
  <c r="O5" i="8"/>
  <c r="P5" i="8"/>
  <c r="D32" i="8"/>
  <c r="D31" i="8"/>
  <c r="D30" i="8"/>
  <c r="D29" i="8"/>
  <c r="D28" i="8"/>
  <c r="D27" i="8"/>
  <c r="D26" i="8"/>
  <c r="D25" i="8"/>
  <c r="D23" i="8"/>
  <c r="D22" i="8"/>
  <c r="D21" i="8"/>
  <c r="D20" i="8"/>
  <c r="D19" i="8"/>
  <c r="D18" i="8"/>
  <c r="D17" i="8"/>
  <c r="D15" i="8"/>
  <c r="D14" i="8"/>
  <c r="D13" i="8"/>
  <c r="D12" i="8"/>
  <c r="D10" i="8"/>
  <c r="D9" i="8"/>
  <c r="D8" i="8"/>
  <c r="D7" i="8"/>
  <c r="D6" i="8"/>
  <c r="D5" i="8"/>
  <c r="D25" i="9"/>
  <c r="E25" i="9"/>
  <c r="F25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D24" i="9"/>
  <c r="E24" i="9"/>
  <c r="F24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D23" i="9"/>
  <c r="E23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D22" i="9"/>
  <c r="E22" i="9"/>
  <c r="F22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D21" i="9"/>
  <c r="E21" i="9"/>
  <c r="F21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C25" i="9"/>
  <c r="C24" i="9"/>
  <c r="C23" i="9"/>
  <c r="C22" i="9"/>
  <c r="C21" i="9"/>
  <c r="D20" i="9"/>
  <c r="E20" i="9"/>
  <c r="F20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D18" i="9"/>
  <c r="E18" i="9"/>
  <c r="F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D17" i="9"/>
  <c r="E17" i="9"/>
  <c r="F17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D16" i="9"/>
  <c r="E16" i="9"/>
  <c r="F16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D15" i="9"/>
  <c r="E15" i="9"/>
  <c r="F15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D14" i="9"/>
  <c r="E14" i="9"/>
  <c r="F14" i="9"/>
  <c r="G14" i="9"/>
  <c r="H14" i="9"/>
  <c r="I14" i="9"/>
  <c r="J14" i="9"/>
  <c r="K14" i="9"/>
  <c r="L14" i="9"/>
  <c r="M14" i="9"/>
  <c r="N14" i="9"/>
  <c r="O14" i="9"/>
  <c r="P14" i="9"/>
  <c r="Q14" i="9"/>
  <c r="R14" i="9"/>
  <c r="S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D13" i="9"/>
  <c r="E13" i="9"/>
  <c r="F13" i="9"/>
  <c r="G13" i="9"/>
  <c r="H13" i="9"/>
  <c r="I13" i="9"/>
  <c r="J13" i="9"/>
  <c r="K13" i="9"/>
  <c r="L13" i="9"/>
  <c r="M13" i="9"/>
  <c r="N13" i="9"/>
  <c r="O13" i="9"/>
  <c r="P13" i="9"/>
  <c r="Q13" i="9"/>
  <c r="R13" i="9"/>
  <c r="S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D12" i="9"/>
  <c r="E12" i="9"/>
  <c r="F12" i="9"/>
  <c r="G12" i="9"/>
  <c r="H12" i="9"/>
  <c r="I12" i="9"/>
  <c r="J12" i="9"/>
  <c r="K12" i="9"/>
  <c r="L12" i="9"/>
  <c r="M12" i="9"/>
  <c r="N12" i="9"/>
  <c r="O12" i="9"/>
  <c r="P12" i="9"/>
  <c r="Q12" i="9"/>
  <c r="R12" i="9"/>
  <c r="S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D11" i="9"/>
  <c r="E11" i="9"/>
  <c r="F11" i="9"/>
  <c r="G11" i="9"/>
  <c r="H11" i="9"/>
  <c r="I11" i="9"/>
  <c r="J11" i="9"/>
  <c r="K11" i="9"/>
  <c r="L11" i="9"/>
  <c r="M11" i="9"/>
  <c r="N11" i="9"/>
  <c r="O11" i="9"/>
  <c r="P11" i="9"/>
  <c r="Q11" i="9"/>
  <c r="R11" i="9"/>
  <c r="S11" i="9"/>
  <c r="T11" i="9"/>
  <c r="U11" i="9"/>
  <c r="V11" i="9"/>
  <c r="W11" i="9"/>
  <c r="X11" i="9"/>
  <c r="Y11" i="9"/>
  <c r="Z11" i="9"/>
  <c r="AA11" i="9"/>
  <c r="AB11" i="9"/>
  <c r="AC11" i="9"/>
  <c r="AD11" i="9"/>
  <c r="AE11" i="9"/>
  <c r="AF11" i="9"/>
  <c r="AG11" i="9"/>
  <c r="AH11" i="9"/>
  <c r="D10" i="9"/>
  <c r="E10" i="9"/>
  <c r="F10" i="9"/>
  <c r="G10" i="9"/>
  <c r="H10" i="9"/>
  <c r="I10" i="9"/>
  <c r="J10" i="9"/>
  <c r="K10" i="9"/>
  <c r="L10" i="9"/>
  <c r="M10" i="9"/>
  <c r="N10" i="9"/>
  <c r="O10" i="9"/>
  <c r="P10" i="9"/>
  <c r="Q10" i="9"/>
  <c r="R10" i="9"/>
  <c r="S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D9" i="9"/>
  <c r="E9" i="9"/>
  <c r="F9" i="9"/>
  <c r="G9" i="9"/>
  <c r="H9" i="9"/>
  <c r="I9" i="9"/>
  <c r="J9" i="9"/>
  <c r="K9" i="9"/>
  <c r="L9" i="9"/>
  <c r="M9" i="9"/>
  <c r="N9" i="9"/>
  <c r="O9" i="9"/>
  <c r="P9" i="9"/>
  <c r="Q9" i="9"/>
  <c r="R9" i="9"/>
  <c r="S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D8" i="9"/>
  <c r="E8" i="9"/>
  <c r="F8" i="9"/>
  <c r="G8" i="9"/>
  <c r="H8" i="9"/>
  <c r="I8" i="9"/>
  <c r="J8" i="9"/>
  <c r="K8" i="9"/>
  <c r="L8" i="9"/>
  <c r="M8" i="9"/>
  <c r="N8" i="9"/>
  <c r="O8" i="9"/>
  <c r="P8" i="9"/>
  <c r="Q8" i="9"/>
  <c r="R8" i="9"/>
  <c r="S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H7" i="9"/>
  <c r="AH6" i="9"/>
  <c r="D7" i="9"/>
  <c r="E7" i="9"/>
  <c r="F7" i="9"/>
  <c r="G7" i="9"/>
  <c r="H7" i="9"/>
  <c r="I7" i="9"/>
  <c r="J7" i="9"/>
  <c r="K7" i="9"/>
  <c r="L7" i="9"/>
  <c r="M7" i="9"/>
  <c r="N7" i="9"/>
  <c r="O7" i="9"/>
  <c r="P7" i="9"/>
  <c r="Q7" i="9"/>
  <c r="R7" i="9"/>
  <c r="S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C18" i="9"/>
  <c r="C17" i="9"/>
  <c r="K6" i="9"/>
  <c r="L6" i="9"/>
  <c r="M6" i="9"/>
  <c r="N6" i="9"/>
  <c r="O6" i="9"/>
  <c r="P6" i="9"/>
  <c r="Q6" i="9"/>
  <c r="R6" i="9"/>
  <c r="S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J6" i="9"/>
  <c r="I6" i="9"/>
  <c r="H6" i="9"/>
  <c r="D6" i="9"/>
  <c r="E6" i="9"/>
  <c r="F6" i="9"/>
  <c r="G6" i="9"/>
  <c r="C20" i="9"/>
  <c r="C12" i="9"/>
  <c r="C13" i="9"/>
  <c r="C14" i="9"/>
  <c r="C15" i="9"/>
  <c r="C16" i="9"/>
  <c r="C11" i="9"/>
  <c r="C10" i="9"/>
  <c r="C9" i="9"/>
  <c r="C8" i="9"/>
  <c r="C7" i="9"/>
  <c r="C6" i="9"/>
  <c r="X19" i="9" l="1"/>
  <c r="D24" i="8"/>
  <c r="D11" i="8"/>
  <c r="J103" i="1"/>
  <c r="J96" i="1"/>
  <c r="I91" i="1"/>
  <c r="I90" i="1"/>
  <c r="I8" i="2" l="1"/>
  <c r="AI8" i="2"/>
  <c r="AI7" i="2"/>
  <c r="AI6" i="2"/>
  <c r="AH8" i="2"/>
  <c r="AH7" i="2"/>
  <c r="AH6" i="2"/>
  <c r="AG8" i="2"/>
  <c r="AG7" i="2"/>
  <c r="AG6" i="2"/>
  <c r="AF8" i="2"/>
  <c r="AF7" i="2"/>
  <c r="AF6" i="2"/>
  <c r="AE8" i="2"/>
  <c r="AE7" i="2"/>
  <c r="AE6" i="2"/>
  <c r="AD8" i="2"/>
  <c r="AD7" i="2"/>
  <c r="AD6" i="2"/>
  <c r="AC8" i="2"/>
  <c r="AC7" i="2"/>
  <c r="AC6" i="2"/>
  <c r="AB8" i="2"/>
  <c r="AB7" i="2"/>
  <c r="AB6" i="2"/>
  <c r="AA8" i="2"/>
  <c r="AA7" i="2"/>
  <c r="AA6" i="2"/>
  <c r="Z8" i="2"/>
  <c r="Z7" i="2"/>
  <c r="Z6" i="2"/>
  <c r="Y8" i="2"/>
  <c r="Y7" i="2"/>
  <c r="Y6" i="2"/>
  <c r="X8" i="2"/>
  <c r="X7" i="2"/>
  <c r="X6" i="2"/>
  <c r="W8" i="2"/>
  <c r="W7" i="2"/>
  <c r="W6" i="2"/>
  <c r="V8" i="2"/>
  <c r="V7" i="2"/>
  <c r="V6" i="2"/>
  <c r="U8" i="2"/>
  <c r="U7" i="2"/>
  <c r="U6" i="2"/>
  <c r="T8" i="2"/>
  <c r="T7" i="2"/>
  <c r="T6" i="2"/>
  <c r="S8" i="2"/>
  <c r="S7" i="2"/>
  <c r="S6" i="2"/>
  <c r="R8" i="2"/>
  <c r="R7" i="2"/>
  <c r="R6" i="2"/>
  <c r="Q8" i="2"/>
  <c r="Q7" i="2"/>
  <c r="Q6" i="2"/>
  <c r="P8" i="2"/>
  <c r="P7" i="2"/>
  <c r="P6" i="2"/>
  <c r="O8" i="2"/>
  <c r="O7" i="2"/>
  <c r="O6" i="2"/>
  <c r="N8" i="2"/>
  <c r="N7" i="2"/>
  <c r="N6" i="2"/>
  <c r="M8" i="2"/>
  <c r="M7" i="2"/>
  <c r="M6" i="2"/>
  <c r="L8" i="2"/>
  <c r="L7" i="2"/>
  <c r="L6" i="2"/>
  <c r="K8" i="2"/>
  <c r="K7" i="2"/>
  <c r="K6" i="2"/>
  <c r="J8" i="2"/>
  <c r="J7" i="2"/>
  <c r="J6" i="2"/>
  <c r="I7" i="2"/>
  <c r="I6" i="2"/>
  <c r="H8" i="2"/>
  <c r="H7" i="2"/>
  <c r="H6" i="2"/>
  <c r="G8" i="2"/>
  <c r="G7" i="2"/>
  <c r="G6" i="2"/>
  <c r="F8" i="2"/>
  <c r="F7" i="2"/>
  <c r="F6" i="2"/>
  <c r="E8" i="2"/>
  <c r="E7" i="2"/>
  <c r="E6" i="2"/>
  <c r="D8" i="2"/>
  <c r="D7" i="2"/>
  <c r="D6" i="2"/>
  <c r="Q9" i="2" l="1"/>
  <c r="C8" i="2"/>
  <c r="C7" i="2"/>
  <c r="C6" i="2"/>
  <c r="C9" i="2" l="1"/>
  <c r="D4" i="9"/>
  <c r="E4" i="9"/>
  <c r="F4" i="9"/>
  <c r="G4" i="9"/>
  <c r="H4" i="9"/>
  <c r="I4" i="9"/>
  <c r="J4" i="9"/>
  <c r="K4" i="9"/>
  <c r="L4" i="9"/>
  <c r="M4" i="9"/>
  <c r="N4" i="9"/>
  <c r="O4" i="9"/>
  <c r="P4" i="9"/>
  <c r="Q4" i="9"/>
  <c r="R4" i="9"/>
  <c r="S4" i="9"/>
  <c r="T4" i="9"/>
  <c r="U4" i="9"/>
  <c r="V4" i="9"/>
  <c r="W4" i="9"/>
  <c r="X4" i="9"/>
  <c r="Y4" i="9"/>
  <c r="Z4" i="9"/>
  <c r="AA4" i="9"/>
  <c r="AB4" i="9"/>
  <c r="AC4" i="9"/>
  <c r="AD4" i="9"/>
  <c r="AE4" i="9"/>
  <c r="AF4" i="9"/>
  <c r="AG4" i="9"/>
  <c r="D5" i="9"/>
  <c r="E5" i="9"/>
  <c r="F5" i="9"/>
  <c r="G5" i="9"/>
  <c r="H5" i="9"/>
  <c r="I5" i="9"/>
  <c r="J5" i="9"/>
  <c r="K5" i="9"/>
  <c r="L5" i="9"/>
  <c r="M5" i="9"/>
  <c r="N5" i="9"/>
  <c r="O5" i="9"/>
  <c r="P5" i="9"/>
  <c r="Q5" i="9"/>
  <c r="R5" i="9"/>
  <c r="S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C5" i="9"/>
  <c r="C4" i="9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D5" i="2"/>
  <c r="D4" i="2"/>
  <c r="G89" i="1" l="1"/>
  <c r="F87" i="1"/>
  <c r="G38" i="1"/>
  <c r="G63" i="1"/>
  <c r="G87" i="1"/>
  <c r="F3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I88" i="1"/>
  <c r="I87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I64" i="1"/>
  <c r="I63" i="1"/>
  <c r="J38" i="1"/>
  <c r="K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I39" i="1"/>
  <c r="I38" i="1"/>
  <c r="I4" i="1"/>
  <c r="E35" i="1"/>
  <c r="E34" i="1"/>
  <c r="E33" i="1"/>
  <c r="E32" i="1"/>
  <c r="E31" i="1"/>
  <c r="E30" i="1"/>
  <c r="E29" i="1"/>
  <c r="E28" i="1"/>
  <c r="E27" i="1"/>
  <c r="E25" i="1"/>
  <c r="E24" i="1"/>
  <c r="E23" i="1"/>
  <c r="E22" i="1"/>
  <c r="E21" i="1"/>
  <c r="E20" i="1"/>
  <c r="E19" i="1"/>
  <c r="E17" i="1"/>
  <c r="E16" i="1"/>
  <c r="E15" i="1"/>
  <c r="E14" i="1"/>
  <c r="E12" i="1"/>
  <c r="E11" i="1"/>
  <c r="E10" i="1"/>
  <c r="E9" i="1"/>
  <c r="E8" i="1"/>
  <c r="E7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J3" i="1"/>
  <c r="J4" i="1"/>
  <c r="H3" i="1"/>
  <c r="G3" i="1"/>
  <c r="E3" i="1"/>
  <c r="E38" i="1" s="1"/>
  <c r="J6" i="1" l="1"/>
  <c r="D154" i="8"/>
  <c r="AH5" i="12"/>
  <c r="AP8" i="1"/>
  <c r="AQ8" i="1"/>
  <c r="AP9" i="1"/>
  <c r="AQ9" i="1"/>
  <c r="AP10" i="1"/>
  <c r="AQ10" i="1"/>
  <c r="AP11" i="1"/>
  <c r="AQ11" i="1"/>
  <c r="AI6" i="1"/>
  <c r="AP12" i="1"/>
  <c r="AM6" i="1"/>
  <c r="AQ12" i="1"/>
  <c r="D38" i="1"/>
  <c r="D63" i="1"/>
  <c r="E63" i="1"/>
  <c r="D87" i="1"/>
  <c r="E87" i="1"/>
  <c r="O103" i="1"/>
  <c r="AI16" i="2"/>
  <c r="AI19" i="2" s="1"/>
  <c r="AI17" i="2"/>
  <c r="AI18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26" i="2"/>
  <c r="AI29" i="2" s="1"/>
  <c r="AJ29" i="2" s="1"/>
  <c r="AI27" i="2"/>
  <c r="AI28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36" i="2"/>
  <c r="AI37" i="2"/>
  <c r="AI38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46" i="2"/>
  <c r="AI49" i="2" s="1"/>
  <c r="AJ49" i="2" s="1"/>
  <c r="AI47" i="2"/>
  <c r="AJ47" i="2" s="1"/>
  <c r="AI48" i="2"/>
  <c r="AJ48" i="2" s="1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AF49" i="2"/>
  <c r="AG49" i="2"/>
  <c r="AH49" i="2"/>
  <c r="AI56" i="2"/>
  <c r="AI59" i="2" s="1"/>
  <c r="AJ59" i="2" s="1"/>
  <c r="AI57" i="2"/>
  <c r="AJ57" i="2" s="1"/>
  <c r="AI58" i="2"/>
  <c r="AJ58" i="2" s="1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AE59" i="2"/>
  <c r="AF59" i="2"/>
  <c r="AG59" i="2"/>
  <c r="AH59" i="2"/>
  <c r="AF26" i="9"/>
  <c r="G7" i="1"/>
  <c r="G8" i="1"/>
  <c r="G9" i="1"/>
  <c r="G10" i="1"/>
  <c r="G11" i="1"/>
  <c r="G12" i="1"/>
  <c r="G14" i="1"/>
  <c r="G15" i="1"/>
  <c r="G16" i="1"/>
  <c r="G19" i="1"/>
  <c r="G20" i="1"/>
  <c r="G21" i="1"/>
  <c r="G22" i="1"/>
  <c r="G23" i="1"/>
  <c r="G24" i="1"/>
  <c r="G25" i="1"/>
  <c r="G27" i="1"/>
  <c r="G28" i="1"/>
  <c r="G29" i="1"/>
  <c r="G30" i="1"/>
  <c r="G32" i="1"/>
  <c r="G33" i="1"/>
  <c r="G34" i="1"/>
  <c r="G35" i="1"/>
  <c r="G17" i="1"/>
  <c r="G31" i="1"/>
  <c r="H7" i="1"/>
  <c r="H8" i="1"/>
  <c r="H9" i="1"/>
  <c r="H10" i="1"/>
  <c r="H11" i="1"/>
  <c r="H12" i="1"/>
  <c r="H14" i="1"/>
  <c r="H15" i="1"/>
  <c r="H16" i="1"/>
  <c r="H19" i="1"/>
  <c r="H20" i="1"/>
  <c r="H21" i="1"/>
  <c r="H22" i="1"/>
  <c r="H23" i="1"/>
  <c r="H24" i="1"/>
  <c r="H25" i="1"/>
  <c r="H27" i="1"/>
  <c r="H28" i="1"/>
  <c r="H29" i="1"/>
  <c r="H30" i="1"/>
  <c r="H32" i="1"/>
  <c r="H33" i="1"/>
  <c r="H34" i="1"/>
  <c r="H35" i="1"/>
  <c r="H17" i="1"/>
  <c r="H31" i="1"/>
  <c r="P71" i="8"/>
  <c r="P72" i="8"/>
  <c r="P73" i="8"/>
  <c r="P74" i="8"/>
  <c r="P75" i="8"/>
  <c r="P76" i="8"/>
  <c r="P77" i="8"/>
  <c r="P78" i="8"/>
  <c r="P79" i="8"/>
  <c r="P80" i="8"/>
  <c r="P81" i="8"/>
  <c r="P83" i="8"/>
  <c r="P84" i="8"/>
  <c r="P85" i="8"/>
  <c r="P86" i="8"/>
  <c r="P87" i="8"/>
  <c r="P88" i="8"/>
  <c r="P89" i="8"/>
  <c r="P90" i="8"/>
  <c r="P91" i="8"/>
  <c r="P92" i="8"/>
  <c r="P93" i="8"/>
  <c r="P94" i="8"/>
  <c r="P95" i="8"/>
  <c r="E99" i="8"/>
  <c r="F99" i="8"/>
  <c r="G99" i="8"/>
  <c r="H99" i="8"/>
  <c r="I99" i="8"/>
  <c r="J99" i="8"/>
  <c r="K99" i="8"/>
  <c r="L99" i="8"/>
  <c r="M99" i="8"/>
  <c r="N99" i="8"/>
  <c r="O99" i="8"/>
  <c r="P99" i="8"/>
  <c r="G40" i="1" s="1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G41" i="1" s="1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G42" i="1" s="1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G43" i="1" s="1"/>
  <c r="G44" i="1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G45" i="1" s="1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G46" i="1" s="1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G47" i="1" s="1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G48" i="1" s="1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G49" i="1" s="1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G50" i="1" s="1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G51" i="1" s="1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G52" i="1" s="1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G53" i="1" s="1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G54" i="1" s="1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G55" i="1" s="1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G56" i="1" s="1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G57" i="1" s="1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G58" i="1" s="1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G59" i="1" s="1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G60" i="1" s="1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G65" i="1" s="1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G66" i="1" s="1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G67" i="1" s="1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G68" i="1" s="1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G69" i="1" s="1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G70" i="1" s="1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G71" i="1" s="1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G73" i="1" s="1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G74" i="1" s="1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G75" i="1" s="1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G76" i="1" s="1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G77" i="1" s="1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G78" i="1" s="1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G79" i="1" s="1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G80" i="1" s="1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G81" i="1" s="1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G82" i="1" s="1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G83" i="1" s="1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G84" i="1" s="1"/>
  <c r="G90" i="1"/>
  <c r="G91" i="1"/>
  <c r="G92" i="1"/>
  <c r="G93" i="1"/>
  <c r="G94" i="1"/>
  <c r="G95" i="1"/>
  <c r="D161" i="8"/>
  <c r="I161" i="8"/>
  <c r="M161" i="8"/>
  <c r="G97" i="1"/>
  <c r="G98" i="1"/>
  <c r="G99" i="1"/>
  <c r="G100" i="1"/>
  <c r="G101" i="1"/>
  <c r="G102" i="1"/>
  <c r="L167" i="8"/>
  <c r="N167" i="8"/>
  <c r="G104" i="1"/>
  <c r="G105" i="1"/>
  <c r="G106" i="1"/>
  <c r="G108" i="1"/>
  <c r="H4" i="3"/>
  <c r="P4" i="3" s="1"/>
  <c r="P5" i="3"/>
  <c r="P6" i="3"/>
  <c r="P7" i="3"/>
  <c r="P8" i="3"/>
  <c r="P9" i="3"/>
  <c r="P10" i="3"/>
  <c r="P11" i="3"/>
  <c r="H12" i="3"/>
  <c r="P12" i="3" s="1"/>
  <c r="P13" i="3"/>
  <c r="P14" i="3"/>
  <c r="P15" i="3"/>
  <c r="P16" i="3"/>
  <c r="P17" i="3"/>
  <c r="P18" i="3"/>
  <c r="P19" i="3"/>
  <c r="P20" i="3"/>
  <c r="P21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7" i="3"/>
  <c r="P48" i="3"/>
  <c r="P49" i="3"/>
  <c r="P50" i="3"/>
  <c r="P51" i="3"/>
  <c r="P52" i="3"/>
  <c r="P53" i="3"/>
  <c r="P54" i="3"/>
  <c r="P55" i="3"/>
  <c r="P56" i="3"/>
  <c r="P57" i="3"/>
  <c r="P58" i="3"/>
  <c r="P62" i="3"/>
  <c r="P63" i="3"/>
  <c r="P64" i="3"/>
  <c r="P69" i="3"/>
  <c r="P70" i="3"/>
  <c r="P71" i="3"/>
  <c r="P72" i="3"/>
  <c r="P73" i="3"/>
  <c r="P74" i="3"/>
  <c r="P75" i="3"/>
  <c r="P76" i="3"/>
  <c r="P77" i="3"/>
  <c r="P82" i="3"/>
  <c r="P83" i="3"/>
  <c r="P84" i="3"/>
  <c r="P85" i="3"/>
  <c r="P86" i="3"/>
  <c r="P87" i="3"/>
  <c r="P88" i="3"/>
  <c r="P89" i="3"/>
  <c r="P90" i="3"/>
  <c r="P91" i="3"/>
  <c r="P95" i="3"/>
  <c r="P96" i="3"/>
  <c r="P97" i="3"/>
  <c r="P98" i="3"/>
  <c r="P99" i="3"/>
  <c r="P100" i="3"/>
  <c r="P101" i="3"/>
  <c r="P102" i="3"/>
  <c r="P103" i="3"/>
  <c r="P5" i="20"/>
  <c r="P6" i="20"/>
  <c r="P7" i="20"/>
  <c r="P8" i="20"/>
  <c r="P9" i="20"/>
  <c r="P10" i="20"/>
  <c r="P12" i="20"/>
  <c r="P13" i="20"/>
  <c r="P14" i="20"/>
  <c r="P15" i="20"/>
  <c r="P17" i="20"/>
  <c r="P18" i="20"/>
  <c r="P19" i="20"/>
  <c r="P20" i="20"/>
  <c r="P21" i="20"/>
  <c r="P22" i="20"/>
  <c r="P23" i="20"/>
  <c r="P25" i="20"/>
  <c r="P26" i="20"/>
  <c r="P27" i="20"/>
  <c r="P28" i="20"/>
  <c r="P29" i="20"/>
  <c r="P30" i="20"/>
  <c r="P31" i="20"/>
  <c r="P32" i="20"/>
  <c r="P33" i="20"/>
  <c r="P39" i="20"/>
  <c r="P40" i="20"/>
  <c r="P41" i="20"/>
  <c r="P42" i="20"/>
  <c r="P43" i="20"/>
  <c r="P44" i="20"/>
  <c r="P46" i="20"/>
  <c r="P47" i="20"/>
  <c r="P48" i="20"/>
  <c r="P49" i="20"/>
  <c r="P51" i="20"/>
  <c r="P52" i="20"/>
  <c r="P53" i="20"/>
  <c r="P54" i="20"/>
  <c r="P55" i="20"/>
  <c r="P56" i="20"/>
  <c r="P57" i="20"/>
  <c r="P59" i="20"/>
  <c r="P60" i="20"/>
  <c r="P61" i="20"/>
  <c r="P62" i="20"/>
  <c r="P63" i="20"/>
  <c r="P64" i="20"/>
  <c r="P65" i="20"/>
  <c r="P66" i="20"/>
  <c r="P67" i="20"/>
  <c r="P71" i="20"/>
  <c r="P72" i="20"/>
  <c r="P73" i="20"/>
  <c r="P74" i="20"/>
  <c r="P75" i="20"/>
  <c r="P76" i="20"/>
  <c r="P77" i="20"/>
  <c r="P78" i="20"/>
  <c r="P79" i="20"/>
  <c r="P80" i="20"/>
  <c r="P81" i="20"/>
  <c r="P82" i="20"/>
  <c r="P83" i="20"/>
  <c r="P84" i="20"/>
  <c r="P85" i="20"/>
  <c r="P86" i="20"/>
  <c r="P87" i="20"/>
  <c r="P88" i="20"/>
  <c r="P89" i="20"/>
  <c r="P90" i="20"/>
  <c r="P91" i="20"/>
  <c r="P92" i="20"/>
  <c r="P93" i="20"/>
  <c r="P94" i="20"/>
  <c r="R5" i="19"/>
  <c r="S5" i="19"/>
  <c r="T5" i="19"/>
  <c r="U5" i="19"/>
  <c r="V5" i="19"/>
  <c r="W5" i="19"/>
  <c r="X5" i="19"/>
  <c r="Y5" i="19"/>
  <c r="Z5" i="19"/>
  <c r="AA5" i="19"/>
  <c r="AB5" i="19"/>
  <c r="AC5" i="19"/>
  <c r="R6" i="19"/>
  <c r="S6" i="19"/>
  <c r="T6" i="19"/>
  <c r="U6" i="19"/>
  <c r="V6" i="19"/>
  <c r="W6" i="19"/>
  <c r="X6" i="19"/>
  <c r="Y6" i="19"/>
  <c r="Z6" i="19"/>
  <c r="AA6" i="19"/>
  <c r="AB6" i="19"/>
  <c r="AC6" i="19"/>
  <c r="R7" i="19"/>
  <c r="S7" i="19"/>
  <c r="T7" i="19"/>
  <c r="U7" i="19"/>
  <c r="V7" i="19"/>
  <c r="W7" i="19"/>
  <c r="X7" i="19"/>
  <c r="Y7" i="19"/>
  <c r="Z7" i="19"/>
  <c r="AA7" i="19"/>
  <c r="AB7" i="19"/>
  <c r="AC7" i="19"/>
  <c r="R8" i="19"/>
  <c r="S8" i="19"/>
  <c r="T8" i="19"/>
  <c r="U8" i="19"/>
  <c r="V8" i="19"/>
  <c r="W8" i="19"/>
  <c r="X8" i="19"/>
  <c r="Y8" i="19"/>
  <c r="Z8" i="19"/>
  <c r="AA8" i="19"/>
  <c r="AB8" i="19"/>
  <c r="AC8" i="19"/>
  <c r="R9" i="19"/>
  <c r="S9" i="19"/>
  <c r="T9" i="19"/>
  <c r="U9" i="19"/>
  <c r="V9" i="19"/>
  <c r="W9" i="19"/>
  <c r="X9" i="19"/>
  <c r="Y9" i="19"/>
  <c r="Z9" i="19"/>
  <c r="AA9" i="19"/>
  <c r="AB9" i="19"/>
  <c r="AC9" i="19"/>
  <c r="R10" i="19"/>
  <c r="S10" i="19"/>
  <c r="T10" i="19"/>
  <c r="U10" i="19"/>
  <c r="V10" i="19"/>
  <c r="W10" i="19"/>
  <c r="X10" i="19"/>
  <c r="Y10" i="19"/>
  <c r="Z10" i="19"/>
  <c r="AA10" i="19"/>
  <c r="AB10" i="19"/>
  <c r="AC10" i="19"/>
  <c r="R12" i="19"/>
  <c r="S12" i="19"/>
  <c r="T12" i="19"/>
  <c r="U12" i="19"/>
  <c r="V12" i="19"/>
  <c r="W12" i="19"/>
  <c r="X12" i="19"/>
  <c r="Y12" i="19"/>
  <c r="Z12" i="19"/>
  <c r="AA12" i="19"/>
  <c r="AB12" i="19"/>
  <c r="AC12" i="19"/>
  <c r="R13" i="19"/>
  <c r="S13" i="19"/>
  <c r="T13" i="19"/>
  <c r="U13" i="19"/>
  <c r="V13" i="19"/>
  <c r="W13" i="19"/>
  <c r="X13" i="19"/>
  <c r="Y13" i="19"/>
  <c r="Z13" i="19"/>
  <c r="AA13" i="19"/>
  <c r="AB13" i="19"/>
  <c r="AC13" i="19"/>
  <c r="R14" i="19"/>
  <c r="S14" i="19"/>
  <c r="T14" i="19"/>
  <c r="U14" i="19"/>
  <c r="V14" i="19"/>
  <c r="W14" i="19"/>
  <c r="X14" i="19"/>
  <c r="Y14" i="19"/>
  <c r="Z14" i="19"/>
  <c r="AA14" i="19"/>
  <c r="AB14" i="19"/>
  <c r="AC14" i="19"/>
  <c r="R15" i="19"/>
  <c r="S15" i="19"/>
  <c r="T15" i="19"/>
  <c r="U15" i="19"/>
  <c r="V15" i="19"/>
  <c r="W15" i="19"/>
  <c r="X15" i="19"/>
  <c r="Y15" i="19"/>
  <c r="Z15" i="19"/>
  <c r="AA15" i="19"/>
  <c r="AB15" i="19"/>
  <c r="AC15" i="19"/>
  <c r="R17" i="19"/>
  <c r="S17" i="19"/>
  <c r="T17" i="19"/>
  <c r="U17" i="19"/>
  <c r="V17" i="19"/>
  <c r="W17" i="19"/>
  <c r="X17" i="19"/>
  <c r="Y17" i="19"/>
  <c r="Z17" i="19"/>
  <c r="AA17" i="19"/>
  <c r="AB17" i="19"/>
  <c r="AC17" i="19"/>
  <c r="R18" i="19"/>
  <c r="S18" i="19"/>
  <c r="T18" i="19"/>
  <c r="U18" i="19"/>
  <c r="V18" i="19"/>
  <c r="W18" i="19"/>
  <c r="X18" i="19"/>
  <c r="Y18" i="19"/>
  <c r="Z18" i="19"/>
  <c r="AA18" i="19"/>
  <c r="AB18" i="19"/>
  <c r="AC18" i="19"/>
  <c r="R19" i="19"/>
  <c r="S19" i="19"/>
  <c r="T19" i="19"/>
  <c r="U19" i="19"/>
  <c r="V19" i="19"/>
  <c r="W19" i="19"/>
  <c r="X19" i="19"/>
  <c r="Y19" i="19"/>
  <c r="Z19" i="19"/>
  <c r="AA19" i="19"/>
  <c r="AB19" i="19"/>
  <c r="AC19" i="19"/>
  <c r="R20" i="19"/>
  <c r="S20" i="19"/>
  <c r="T20" i="19"/>
  <c r="U20" i="19"/>
  <c r="V20" i="19"/>
  <c r="W20" i="19"/>
  <c r="X20" i="19"/>
  <c r="Y20" i="19"/>
  <c r="Z20" i="19"/>
  <c r="AA20" i="19"/>
  <c r="AB20" i="19"/>
  <c r="AC20" i="19"/>
  <c r="R21" i="19"/>
  <c r="S21" i="19"/>
  <c r="T21" i="19"/>
  <c r="U21" i="19"/>
  <c r="V21" i="19"/>
  <c r="W21" i="19"/>
  <c r="X21" i="19"/>
  <c r="Y21" i="19"/>
  <c r="Z21" i="19"/>
  <c r="AA21" i="19"/>
  <c r="AB21" i="19"/>
  <c r="AC21" i="19"/>
  <c r="R22" i="19"/>
  <c r="S22" i="19"/>
  <c r="T22" i="19"/>
  <c r="U22" i="19"/>
  <c r="V22" i="19"/>
  <c r="W22" i="19"/>
  <c r="X22" i="19"/>
  <c r="Y22" i="19"/>
  <c r="Z22" i="19"/>
  <c r="AA22" i="19"/>
  <c r="AB22" i="19"/>
  <c r="AC22" i="19"/>
  <c r="R23" i="19"/>
  <c r="S23" i="19"/>
  <c r="T23" i="19"/>
  <c r="U23" i="19"/>
  <c r="V23" i="19"/>
  <c r="W23" i="19"/>
  <c r="X23" i="19"/>
  <c r="Y23" i="19"/>
  <c r="Z23" i="19"/>
  <c r="AA23" i="19"/>
  <c r="AB23" i="19"/>
  <c r="AC23" i="19"/>
  <c r="R25" i="19"/>
  <c r="S25" i="19"/>
  <c r="T25" i="19"/>
  <c r="U25" i="19"/>
  <c r="V25" i="19"/>
  <c r="W25" i="19"/>
  <c r="X25" i="19"/>
  <c r="Y25" i="19"/>
  <c r="Z25" i="19"/>
  <c r="AA25" i="19"/>
  <c r="AB25" i="19"/>
  <c r="AC25" i="19"/>
  <c r="R26" i="19"/>
  <c r="S26" i="19"/>
  <c r="T26" i="19"/>
  <c r="U26" i="19"/>
  <c r="V26" i="19"/>
  <c r="W26" i="19"/>
  <c r="X26" i="19"/>
  <c r="Y26" i="19"/>
  <c r="Z26" i="19"/>
  <c r="AA26" i="19"/>
  <c r="AB26" i="19"/>
  <c r="AC26" i="19"/>
  <c r="R27" i="19"/>
  <c r="S27" i="19"/>
  <c r="T27" i="19"/>
  <c r="U27" i="19"/>
  <c r="V27" i="19"/>
  <c r="W27" i="19"/>
  <c r="X27" i="19"/>
  <c r="Y27" i="19"/>
  <c r="Z27" i="19"/>
  <c r="AA27" i="19"/>
  <c r="AB27" i="19"/>
  <c r="AC27" i="19"/>
  <c r="R28" i="19"/>
  <c r="S28" i="19"/>
  <c r="T28" i="19"/>
  <c r="U28" i="19"/>
  <c r="V28" i="19"/>
  <c r="W28" i="19"/>
  <c r="X28" i="19"/>
  <c r="Y28" i="19"/>
  <c r="Z28" i="19"/>
  <c r="AA28" i="19"/>
  <c r="AB28" i="19"/>
  <c r="AC28" i="19"/>
  <c r="R29" i="19"/>
  <c r="S29" i="19"/>
  <c r="T29" i="19"/>
  <c r="U29" i="19"/>
  <c r="V29" i="19"/>
  <c r="W29" i="19"/>
  <c r="X29" i="19"/>
  <c r="Y29" i="19"/>
  <c r="Z29" i="19"/>
  <c r="AA29" i="19"/>
  <c r="AB29" i="19"/>
  <c r="AC29" i="19"/>
  <c r="R30" i="19"/>
  <c r="S30" i="19"/>
  <c r="T30" i="19"/>
  <c r="U30" i="19"/>
  <c r="V30" i="19"/>
  <c r="W30" i="19"/>
  <c r="X30" i="19"/>
  <c r="Y30" i="19"/>
  <c r="Z30" i="19"/>
  <c r="AA30" i="19"/>
  <c r="AB30" i="19"/>
  <c r="AC30" i="19"/>
  <c r="R31" i="19"/>
  <c r="S31" i="19"/>
  <c r="T31" i="19"/>
  <c r="U31" i="19"/>
  <c r="V31" i="19"/>
  <c r="W31" i="19"/>
  <c r="X31" i="19"/>
  <c r="Y31" i="19"/>
  <c r="Z31" i="19"/>
  <c r="AA31" i="19"/>
  <c r="AB31" i="19"/>
  <c r="AC31" i="19"/>
  <c r="R32" i="19"/>
  <c r="S32" i="19"/>
  <c r="T32" i="19"/>
  <c r="U32" i="19"/>
  <c r="V32" i="19"/>
  <c r="W32" i="19"/>
  <c r="X32" i="19"/>
  <c r="Y32" i="19"/>
  <c r="Z32" i="19"/>
  <c r="AA32" i="19"/>
  <c r="AB32" i="19"/>
  <c r="AC32" i="19"/>
  <c r="R33" i="19"/>
  <c r="S33" i="19"/>
  <c r="T33" i="19"/>
  <c r="U33" i="19"/>
  <c r="V33" i="19"/>
  <c r="W33" i="19"/>
  <c r="X33" i="19"/>
  <c r="Y33" i="19"/>
  <c r="Z33" i="19"/>
  <c r="AA33" i="19"/>
  <c r="AB33" i="19"/>
  <c r="AC33" i="19"/>
  <c r="AE9" i="2"/>
  <c r="W9" i="2"/>
  <c r="O9" i="2"/>
  <c r="AD6" i="1"/>
  <c r="AO6" i="1"/>
  <c r="AQ6" i="1" s="1"/>
  <c r="AK6" i="1"/>
  <c r="AC6" i="1"/>
  <c r="U6" i="1"/>
  <c r="Q6" i="1"/>
  <c r="AI39" i="2"/>
  <c r="AJ39" i="2" s="1"/>
  <c r="D6" i="1"/>
  <c r="E13" i="1"/>
  <c r="D18" i="1"/>
  <c r="AN6" i="1"/>
  <c r="AP7" i="1"/>
  <c r="AF6" i="1"/>
  <c r="E26" i="1"/>
  <c r="AQ7" i="1"/>
  <c r="O154" i="8"/>
  <c r="K161" i="8"/>
  <c r="G107" i="1"/>
  <c r="J154" i="8"/>
  <c r="H167" i="8"/>
  <c r="AF109" i="1"/>
  <c r="AB6" i="1"/>
  <c r="X6" i="1"/>
  <c r="T6" i="1"/>
  <c r="P6" i="1"/>
  <c r="L6" i="1"/>
  <c r="AL6" i="1"/>
  <c r="AH6" i="1"/>
  <c r="Z6" i="1"/>
  <c r="V6" i="1"/>
  <c r="R6" i="1"/>
  <c r="AP18" i="1"/>
  <c r="I18" i="1"/>
  <c r="AJ6" i="1"/>
  <c r="AP6" i="1" s="1"/>
  <c r="AQ18" i="1"/>
  <c r="AP13" i="1"/>
  <c r="I13" i="1"/>
  <c r="AQ13" i="1"/>
  <c r="Y6" i="1"/>
  <c r="M6" i="1"/>
  <c r="AG6" i="1"/>
  <c r="F34" i="1" l="1"/>
  <c r="F30" i="1"/>
  <c r="F25" i="1"/>
  <c r="F21" i="1"/>
  <c r="F16" i="1"/>
  <c r="P4" i="20"/>
  <c r="F11" i="1"/>
  <c r="F7" i="1"/>
  <c r="F32" i="1"/>
  <c r="F28" i="1"/>
  <c r="F23" i="1"/>
  <c r="F19" i="1"/>
  <c r="F14" i="1"/>
  <c r="F9" i="1"/>
  <c r="F33" i="1"/>
  <c r="F29" i="1"/>
  <c r="F24" i="1"/>
  <c r="F20" i="1"/>
  <c r="F15" i="1"/>
  <c r="F10" i="1"/>
  <c r="F35" i="1"/>
  <c r="F31" i="1"/>
  <c r="F27" i="1"/>
  <c r="F22" i="1"/>
  <c r="F17" i="1"/>
  <c r="F12" i="1"/>
  <c r="F8" i="1"/>
  <c r="O109" i="1"/>
  <c r="I11" i="8"/>
  <c r="AJ109" i="1"/>
  <c r="W6" i="1"/>
  <c r="H45" i="8"/>
  <c r="N38" i="8"/>
  <c r="Y26" i="9"/>
  <c r="Z26" i="9"/>
  <c r="AD109" i="1"/>
  <c r="Z109" i="1"/>
  <c r="U103" i="1"/>
  <c r="AF103" i="1"/>
  <c r="AA6" i="1"/>
  <c r="O6" i="1"/>
  <c r="S6" i="1"/>
  <c r="P16" i="8"/>
  <c r="AJ28" i="2"/>
  <c r="AJ26" i="2"/>
  <c r="AJ27" i="2"/>
  <c r="O58" i="8"/>
  <c r="I24" i="8"/>
  <c r="L45" i="8"/>
  <c r="I45" i="8"/>
  <c r="O11" i="8"/>
  <c r="H11" i="8"/>
  <c r="O4" i="8"/>
  <c r="N4" i="8"/>
  <c r="D4" i="8"/>
  <c r="AB26" i="9"/>
  <c r="T26" i="9"/>
  <c r="AG26" i="9"/>
  <c r="AE26" i="9"/>
  <c r="AA26" i="9"/>
  <c r="W26" i="9"/>
  <c r="V26" i="9"/>
  <c r="R26" i="9"/>
  <c r="M26" i="9"/>
  <c r="J26" i="9"/>
  <c r="F26" i="9"/>
  <c r="AH19" i="9"/>
  <c r="T19" i="9"/>
  <c r="AD19" i="9"/>
  <c r="AI9" i="2"/>
  <c r="AA9" i="2"/>
  <c r="S9" i="2"/>
  <c r="K9" i="2"/>
  <c r="X109" i="1"/>
  <c r="AA109" i="1"/>
  <c r="S109" i="1"/>
  <c r="K109" i="1"/>
  <c r="N96" i="1"/>
  <c r="AI103" i="1"/>
  <c r="M103" i="1"/>
  <c r="AL96" i="1"/>
  <c r="M96" i="1"/>
  <c r="P58" i="8"/>
  <c r="H58" i="8"/>
  <c r="G9" i="2"/>
  <c r="P50" i="8"/>
  <c r="P24" i="8"/>
  <c r="I58" i="8"/>
  <c r="E58" i="8"/>
  <c r="K16" i="8"/>
  <c r="M16" i="8"/>
  <c r="O16" i="8"/>
  <c r="L4" i="8"/>
  <c r="J4" i="8"/>
  <c r="Y96" i="1"/>
  <c r="K6" i="1"/>
  <c r="H24" i="8"/>
  <c r="J58" i="8"/>
  <c r="N24" i="8"/>
  <c r="D45" i="8"/>
  <c r="F11" i="8"/>
  <c r="H50" i="8"/>
  <c r="H13" i="1"/>
  <c r="G11" i="8"/>
  <c r="O45" i="8"/>
  <c r="M45" i="8"/>
  <c r="G45" i="8"/>
  <c r="N11" i="8"/>
  <c r="M11" i="8"/>
  <c r="E4" i="8"/>
  <c r="G38" i="8"/>
  <c r="M4" i="8"/>
  <c r="G50" i="8"/>
  <c r="F50" i="8"/>
  <c r="J16" i="8"/>
  <c r="I16" i="8"/>
  <c r="D16" i="8"/>
  <c r="E38" i="8"/>
  <c r="AD26" i="9"/>
  <c r="AH26" i="9"/>
  <c r="AB19" i="9"/>
  <c r="AG19" i="9"/>
  <c r="J19" i="9"/>
  <c r="W19" i="9"/>
  <c r="Q26" i="9"/>
  <c r="P26" i="9"/>
  <c r="O26" i="9"/>
  <c r="L26" i="9"/>
  <c r="G26" i="9"/>
  <c r="D26" i="9"/>
  <c r="Z19" i="9"/>
  <c r="L19" i="9"/>
  <c r="E19" i="9"/>
  <c r="R19" i="9"/>
  <c r="O19" i="9"/>
  <c r="S19" i="9"/>
  <c r="G19" i="9"/>
  <c r="Q19" i="9"/>
  <c r="X103" i="1"/>
  <c r="I26" i="1"/>
  <c r="AL5" i="1"/>
  <c r="V5" i="1"/>
  <c r="J5" i="1"/>
  <c r="I6" i="1"/>
  <c r="AE6" i="1"/>
  <c r="P4" i="8"/>
  <c r="P11" i="8"/>
  <c r="F16" i="8"/>
  <c r="M50" i="8"/>
  <c r="J50" i="8"/>
  <c r="L16" i="8"/>
  <c r="K50" i="8"/>
  <c r="I50" i="8"/>
  <c r="G18" i="1"/>
  <c r="G16" i="8"/>
  <c r="K4" i="8"/>
  <c r="K38" i="8"/>
  <c r="M38" i="8"/>
  <c r="I4" i="8"/>
  <c r="K26" i="9"/>
  <c r="AC19" i="9"/>
  <c r="N19" i="9"/>
  <c r="U19" i="9"/>
  <c r="C19" i="9"/>
  <c r="D19" i="9"/>
  <c r="H19" i="9"/>
  <c r="AM96" i="1"/>
  <c r="AF5" i="1"/>
  <c r="AK5" i="1"/>
  <c r="P5" i="1"/>
  <c r="L5" i="1"/>
  <c r="AH5" i="1"/>
  <c r="N6" i="1"/>
  <c r="N5" i="1" s="1"/>
  <c r="K58" i="8"/>
  <c r="G58" i="8"/>
  <c r="N45" i="8"/>
  <c r="E11" i="8"/>
  <c r="H18" i="1"/>
  <c r="H26" i="1"/>
  <c r="G13" i="1"/>
  <c r="L58" i="8"/>
  <c r="D58" i="8"/>
  <c r="M58" i="8"/>
  <c r="N58" i="8"/>
  <c r="F58" i="8"/>
  <c r="N50" i="8"/>
  <c r="O50" i="8"/>
  <c r="L50" i="8"/>
  <c r="D50" i="8"/>
  <c r="E50" i="8"/>
  <c r="K45" i="8"/>
  <c r="E45" i="8"/>
  <c r="I38" i="8"/>
  <c r="J38" i="8"/>
  <c r="F38" i="8"/>
  <c r="O38" i="8"/>
  <c r="J24" i="8"/>
  <c r="F24" i="8"/>
  <c r="O24" i="8"/>
  <c r="K24" i="8"/>
  <c r="G24" i="8"/>
  <c r="L24" i="8"/>
  <c r="M24" i="8"/>
  <c r="E24" i="8"/>
  <c r="H16" i="8"/>
  <c r="N16" i="8"/>
  <c r="E16" i="8"/>
  <c r="K11" i="8"/>
  <c r="F4" i="8"/>
  <c r="G4" i="8"/>
  <c r="H4" i="8"/>
  <c r="N26" i="9"/>
  <c r="S26" i="9"/>
  <c r="C26" i="9"/>
  <c r="H26" i="9"/>
  <c r="AC26" i="9"/>
  <c r="I26" i="9"/>
  <c r="K19" i="9"/>
  <c r="AF19" i="9"/>
  <c r="P19" i="9"/>
  <c r="Y19" i="9"/>
  <c r="M19" i="9"/>
  <c r="V19" i="9"/>
  <c r="F19" i="9"/>
  <c r="AE19" i="9"/>
  <c r="AA19" i="9"/>
  <c r="P38" i="8"/>
  <c r="P45" i="8"/>
  <c r="X5" i="1"/>
  <c r="T9" i="2"/>
  <c r="N154" i="8"/>
  <c r="F154" i="8"/>
  <c r="AJ19" i="2"/>
  <c r="AJ18" i="2"/>
  <c r="AJ17" i="2"/>
  <c r="AJ16" i="2"/>
  <c r="H154" i="8"/>
  <c r="M154" i="8"/>
  <c r="E154" i="8"/>
  <c r="M167" i="8"/>
  <c r="I167" i="8"/>
  <c r="J167" i="8"/>
  <c r="F167" i="8"/>
  <c r="L161" i="8"/>
  <c r="N161" i="8"/>
  <c r="G161" i="8"/>
  <c r="H161" i="8"/>
  <c r="E161" i="8"/>
  <c r="D9" i="2"/>
  <c r="M9" i="2"/>
  <c r="I9" i="2"/>
  <c r="Z5" i="1"/>
  <c r="V9" i="2"/>
  <c r="N9" i="2"/>
  <c r="F9" i="2"/>
  <c r="AF9" i="2"/>
  <c r="X9" i="2"/>
  <c r="N109" i="1"/>
  <c r="W103" i="1"/>
  <c r="AE103" i="1"/>
  <c r="U109" i="1"/>
  <c r="L109" i="1"/>
  <c r="AB109" i="1"/>
  <c r="P109" i="1"/>
  <c r="Q5" i="1"/>
  <c r="R5" i="1"/>
  <c r="U9" i="2"/>
  <c r="AB103" i="1"/>
  <c r="P103" i="1"/>
  <c r="D38" i="8"/>
  <c r="I19" i="9"/>
  <c r="AH109" i="1"/>
  <c r="Y109" i="1"/>
  <c r="Y103" i="1"/>
  <c r="AH96" i="1"/>
  <c r="AD96" i="1"/>
  <c r="AG5" i="1"/>
  <c r="H6" i="1"/>
  <c r="U26" i="9"/>
  <c r="AG9" i="2"/>
  <c r="AC9" i="2"/>
  <c r="Y9" i="2"/>
  <c r="AC96" i="1"/>
  <c r="P161" i="8"/>
  <c r="G103" i="1" s="1"/>
  <c r="U5" i="1"/>
  <c r="K154" i="8"/>
  <c r="G154" i="8"/>
  <c r="J45" i="8"/>
  <c r="G26" i="1"/>
  <c r="AG109" i="1"/>
  <c r="Z103" i="1"/>
  <c r="K103" i="1"/>
  <c r="L96" i="1"/>
  <c r="AJ96" i="1"/>
  <c r="K167" i="8"/>
  <c r="Y5" i="1"/>
  <c r="AO5" i="1"/>
  <c r="AQ5" i="1" s="1"/>
  <c r="AN5" i="1"/>
  <c r="J161" i="8"/>
  <c r="F161" i="8"/>
  <c r="O161" i="8"/>
  <c r="E9" i="2"/>
  <c r="AE109" i="1"/>
  <c r="V109" i="1"/>
  <c r="I109" i="1"/>
  <c r="AA96" i="1"/>
  <c r="W96" i="1"/>
  <c r="G6" i="1"/>
  <c r="M5" i="1"/>
  <c r="AD5" i="1"/>
  <c r="T5" i="1"/>
  <c r="P167" i="8"/>
  <c r="G109" i="1" s="1"/>
  <c r="P154" i="8"/>
  <c r="G96" i="1" s="1"/>
  <c r="P4" i="19"/>
  <c r="P16" i="20"/>
  <c r="P11" i="20"/>
  <c r="F45" i="8"/>
  <c r="L11" i="8"/>
  <c r="AJ56" i="2"/>
  <c r="AD9" i="2"/>
  <c r="L9" i="2"/>
  <c r="AM109" i="1"/>
  <c r="AA103" i="1"/>
  <c r="Z96" i="1"/>
  <c r="R96" i="1"/>
  <c r="I96" i="1"/>
  <c r="O96" i="1"/>
  <c r="AI96" i="1"/>
  <c r="AE96" i="1"/>
  <c r="S96" i="1"/>
  <c r="K96" i="1"/>
  <c r="P58" i="20"/>
  <c r="P50" i="20"/>
  <c r="P45" i="20"/>
  <c r="P24" i="20"/>
  <c r="L38" i="8"/>
  <c r="H38" i="8"/>
  <c r="J11" i="8"/>
  <c r="AJ46" i="2"/>
  <c r="AB9" i="2"/>
  <c r="AL109" i="1"/>
  <c r="I103" i="1"/>
  <c r="AL103" i="1"/>
  <c r="AH103" i="1"/>
  <c r="AD103" i="1"/>
  <c r="V103" i="1"/>
  <c r="R103" i="1"/>
  <c r="N103" i="1"/>
  <c r="U96" i="1"/>
  <c r="V96" i="1"/>
  <c r="AJ36" i="2"/>
  <c r="M109" i="1"/>
  <c r="AK109" i="1"/>
  <c r="R109" i="1"/>
  <c r="T103" i="1"/>
  <c r="L103" i="1"/>
  <c r="AK103" i="1"/>
  <c r="AG103" i="1"/>
  <c r="AC103" i="1"/>
  <c r="Q103" i="1"/>
  <c r="Q96" i="1"/>
  <c r="AK96" i="1"/>
  <c r="AG96" i="1"/>
  <c r="D26" i="1"/>
  <c r="D13" i="1"/>
  <c r="E6" i="1"/>
  <c r="AB5" i="1"/>
  <c r="AC5" i="1"/>
  <c r="P38" i="20"/>
  <c r="O167" i="8"/>
  <c r="X26" i="9"/>
  <c r="P9" i="2"/>
  <c r="H9" i="2"/>
  <c r="AH9" i="2"/>
  <c r="Z9" i="2"/>
  <c r="R9" i="2"/>
  <c r="J9" i="2"/>
  <c r="W109" i="1"/>
  <c r="Q109" i="1"/>
  <c r="AI109" i="1"/>
  <c r="T109" i="1"/>
  <c r="AN109" i="1"/>
  <c r="AC109" i="1"/>
  <c r="AM103" i="1"/>
  <c r="S103" i="1"/>
  <c r="AN103" i="1"/>
  <c r="AJ103" i="1"/>
  <c r="AN96" i="1"/>
  <c r="AF96" i="1"/>
  <c r="AB96" i="1"/>
  <c r="X96" i="1"/>
  <c r="T96" i="1"/>
  <c r="P96" i="1"/>
  <c r="E18" i="1"/>
  <c r="D167" i="8"/>
  <c r="E26" i="9"/>
  <c r="AJ5" i="1"/>
  <c r="AP5" i="1" s="1"/>
  <c r="AJ38" i="2"/>
  <c r="H3" i="3"/>
  <c r="P3" i="3" s="1"/>
  <c r="I154" i="8"/>
  <c r="AJ37" i="2"/>
  <c r="G167" i="8"/>
  <c r="L154" i="8"/>
  <c r="E167" i="8"/>
  <c r="P3" i="19" l="1"/>
  <c r="P37" i="20"/>
  <c r="AI10" i="2"/>
  <c r="F13" i="1"/>
  <c r="F18" i="1"/>
  <c r="F6" i="1"/>
  <c r="F26" i="1"/>
  <c r="AJ9" i="2"/>
  <c r="AJ6" i="2"/>
  <c r="AJ8" i="2"/>
  <c r="AJ7" i="2"/>
  <c r="AI26" i="9"/>
  <c r="AI21" i="9"/>
  <c r="AI25" i="9"/>
  <c r="AI24" i="9"/>
  <c r="AI22" i="9"/>
  <c r="AI20" i="9"/>
  <c r="AI23" i="9"/>
  <c r="AI19" i="9"/>
  <c r="AI8" i="9"/>
  <c r="AI14" i="9"/>
  <c r="AI9" i="9"/>
  <c r="AI12" i="9"/>
  <c r="AI11" i="9"/>
  <c r="AI18" i="9"/>
  <c r="AI13" i="9"/>
  <c r="AI16" i="9"/>
  <c r="AI15" i="9"/>
  <c r="AI6" i="9"/>
  <c r="AI17" i="9"/>
  <c r="AI10" i="9"/>
  <c r="AI7" i="9"/>
  <c r="O3" i="8"/>
  <c r="W5" i="1"/>
  <c r="AA5" i="1"/>
  <c r="D3" i="8"/>
  <c r="K5" i="1"/>
  <c r="S5" i="1"/>
  <c r="I5" i="1"/>
  <c r="AM5" i="1"/>
  <c r="AE5" i="1"/>
  <c r="M3" i="8"/>
  <c r="AI5" i="1"/>
  <c r="N3" i="8"/>
  <c r="H37" i="8"/>
  <c r="G37" i="8"/>
  <c r="J3" i="8"/>
  <c r="I3" i="8"/>
  <c r="P3" i="8"/>
  <c r="J37" i="8"/>
  <c r="K37" i="8"/>
  <c r="H5" i="1"/>
  <c r="F3" i="8"/>
  <c r="O5" i="1"/>
  <c r="G3" i="8"/>
  <c r="L3" i="8"/>
  <c r="M37" i="8"/>
  <c r="D37" i="8"/>
  <c r="E37" i="8"/>
  <c r="O37" i="8"/>
  <c r="L37" i="8"/>
  <c r="K3" i="8"/>
  <c r="N37" i="8"/>
  <c r="I37" i="8"/>
  <c r="P37" i="8"/>
  <c r="E3" i="8"/>
  <c r="H3" i="8"/>
  <c r="F37" i="8"/>
  <c r="D5" i="1"/>
  <c r="AO103" i="1"/>
  <c r="G5" i="1"/>
  <c r="P3" i="20"/>
  <c r="E5" i="1"/>
  <c r="F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35" authorId="0" shapeId="0" xr:uid="{00000000-0006-0000-0500-000001000000}">
      <text>
        <r>
          <rPr>
            <b/>
            <sz val="9"/>
            <color indexed="81"/>
            <rFont val="新細明體"/>
            <family val="1"/>
            <charset val="136"/>
          </rPr>
          <t>作者:</t>
        </r>
        <r>
          <rPr>
            <sz val="9"/>
            <color indexed="81"/>
            <rFont val="新細明體"/>
            <family val="1"/>
            <charset val="136"/>
          </rPr>
          <t xml:space="preserve">
上個月最後一天的庫存金額貼上</t>
        </r>
      </text>
    </comment>
  </commentList>
</comments>
</file>

<file path=xl/sharedStrings.xml><?xml version="1.0" encoding="utf-8"?>
<sst xmlns="http://schemas.openxmlformats.org/spreadsheetml/2006/main" count="7071" uniqueCount="1824">
  <si>
    <t>ㄧ、庫存金額日推移123</t>
    <phoneticPr fontId="2" type="noConversion"/>
  </si>
  <si>
    <t>商品別</t>
  </si>
  <si>
    <t>日推移增減</t>
  </si>
  <si>
    <t>本月庫存平均</t>
  </si>
  <si>
    <t>實績</t>
  </si>
  <si>
    <t>目標</t>
  </si>
  <si>
    <t>至前月目標平均</t>
  </si>
  <si>
    <t>至前月實績(平均)</t>
  </si>
  <si>
    <t>至前月實績(月底)</t>
  </si>
  <si>
    <t>管理全商品</t>
  </si>
  <si>
    <t>主商品</t>
  </si>
  <si>
    <t>A 豐  田</t>
  </si>
  <si>
    <t>J 油  料</t>
  </si>
  <si>
    <t>O 工具對策</t>
  </si>
  <si>
    <t>N 用品補修件</t>
  </si>
  <si>
    <t>C 日  野</t>
  </si>
  <si>
    <t>H 輪  胎</t>
  </si>
  <si>
    <t>其他</t>
  </si>
  <si>
    <t>E 噴射泵</t>
  </si>
  <si>
    <t>F 電  裝</t>
  </si>
  <si>
    <t>U 咖啡</t>
  </si>
  <si>
    <t>6 國採用品零件</t>
  </si>
  <si>
    <t>LEXUS零件</t>
  </si>
  <si>
    <t>D LEXUS</t>
  </si>
  <si>
    <t>M 油   料</t>
  </si>
  <si>
    <t>S 工具對策</t>
  </si>
  <si>
    <t>V 用品補修件</t>
  </si>
  <si>
    <t>T 輪   胎</t>
  </si>
  <si>
    <t>P 電   裝</t>
  </si>
  <si>
    <t>Q 咖   啡</t>
  </si>
  <si>
    <t>二通路零件</t>
  </si>
  <si>
    <t>2 二品牌零件(HOT專用)</t>
  </si>
  <si>
    <t>3 二品牌油料(HOT專用)</t>
  </si>
  <si>
    <t>4 二品牌零件(CPO專用)</t>
  </si>
  <si>
    <t>5 二品牌油料(CPO專用)</t>
  </si>
  <si>
    <t>7 二品牌零件(車美仕專用)</t>
  </si>
  <si>
    <t>非管理</t>
  </si>
  <si>
    <t>L 小車用品</t>
  </si>
  <si>
    <t>W 服務商品</t>
  </si>
  <si>
    <t>X Lexus精品</t>
  </si>
  <si>
    <t>8 活動贈品</t>
  </si>
  <si>
    <t>二、全省供應率日推移(異動等級='全部')</t>
  </si>
  <si>
    <t>合計</t>
  </si>
  <si>
    <t>1~12月實績</t>
  </si>
  <si>
    <t>A 豐田</t>
  </si>
  <si>
    <t>-</t>
  </si>
  <si>
    <t>J 油料</t>
  </si>
  <si>
    <t>6 國採用品零件</t>
    <phoneticPr fontId="2" type="noConversion"/>
  </si>
  <si>
    <t>H 輪胎</t>
  </si>
  <si>
    <t>TOYOTA全商品</t>
  </si>
  <si>
    <t>LEXUS全商品</t>
  </si>
  <si>
    <t>三、主商品異動等級全省供應率日推移(異動等級='A~E')</t>
  </si>
  <si>
    <t>A1 豐  田</t>
  </si>
  <si>
    <t>A3 豐  田</t>
  </si>
  <si>
    <t>A4 豐  田</t>
  </si>
  <si>
    <t>A 豐田小計</t>
  </si>
  <si>
    <r>
      <t xml:space="preserve">6 </t>
    </r>
    <r>
      <rPr>
        <sz val="14"/>
        <rFont val="細明體"/>
        <family val="3"/>
        <charset val="136"/>
      </rPr>
      <t>國採用品零件</t>
    </r>
    <phoneticPr fontId="2" type="noConversion"/>
  </si>
  <si>
    <t>四、BO點數日推移</t>
  </si>
  <si>
    <t>1~ 月目標平均</t>
  </si>
  <si>
    <t>1~12月實績平均</t>
  </si>
  <si>
    <t>Ps.</t>
  </si>
  <si>
    <t>1. 庫存金額的base，已包含各種暫存量、在途量、輸出共用件。</t>
  </si>
  <si>
    <t>2. 供應率日推移中，如果其中有欄位為NA (not available)，表示無issue實績。</t>
  </si>
  <si>
    <t>3. 09年1月起：供應率由CPD SR改為 National SR；L小車用品改列入「非管理」商品。</t>
  </si>
  <si>
    <t>4. 凌志供應率計算，已扣除DLR誤訂的點數(本月累計   點)。</t>
  </si>
  <si>
    <t>5.Q(咖啡類)供應非直接與顧客有關，故不計算Q類供應率。</t>
  </si>
  <si>
    <t>ㄧ、豐田件庫存金額日推移</t>
  </si>
  <si>
    <t>進口別</t>
  </si>
  <si>
    <t>Average</t>
  </si>
  <si>
    <t>比例</t>
  </si>
  <si>
    <r>
      <rPr>
        <sz val="14"/>
        <rFont val="標楷體"/>
        <family val="4"/>
        <charset val="136"/>
      </rPr>
      <t>目標</t>
    </r>
  </si>
  <si>
    <t>目標</t>
    <phoneticPr fontId="2" type="noConversion"/>
  </si>
  <si>
    <t>A</t>
  </si>
  <si>
    <t>總計</t>
  </si>
  <si>
    <t>10年6月目標</t>
  </si>
  <si>
    <t>2010/8/1</t>
  </si>
  <si>
    <t>2010/8/2</t>
  </si>
  <si>
    <t>2010/8/3</t>
  </si>
  <si>
    <t>2010/8/4</t>
  </si>
  <si>
    <t>2010/8/5</t>
  </si>
  <si>
    <t>2010/8/6</t>
  </si>
  <si>
    <t>2010/8/7</t>
  </si>
  <si>
    <t>2010/8/8</t>
  </si>
  <si>
    <t>2010/8/9</t>
  </si>
  <si>
    <t>2010/8/10</t>
  </si>
  <si>
    <t>2010/8/11</t>
  </si>
  <si>
    <t>2010/8/12</t>
  </si>
  <si>
    <t>2010/8/13</t>
  </si>
  <si>
    <t>2010/8/14</t>
  </si>
  <si>
    <t>2010/8/15</t>
  </si>
  <si>
    <t>2010/8/16</t>
  </si>
  <si>
    <t>2010/8/17</t>
  </si>
  <si>
    <t>2010/8/18</t>
  </si>
  <si>
    <t>2010/8/19</t>
  </si>
  <si>
    <t>2010/8/20</t>
  </si>
  <si>
    <t>2010/8/21</t>
  </si>
  <si>
    <t>2010/8/22</t>
  </si>
  <si>
    <t>2010/8/23</t>
  </si>
  <si>
    <t>2010/8/24</t>
  </si>
  <si>
    <t>2010/8/25</t>
  </si>
  <si>
    <t>2010/8/26</t>
  </si>
  <si>
    <t>2010/8/27</t>
  </si>
  <si>
    <t>2010/8/28</t>
  </si>
  <si>
    <t>2010/8/29</t>
  </si>
  <si>
    <t>2010/8/30</t>
  </si>
  <si>
    <t>2010/8/31</t>
  </si>
  <si>
    <t>Sun</t>
  </si>
  <si>
    <t>Mon</t>
  </si>
  <si>
    <t>Tue</t>
  </si>
  <si>
    <t>Wed</t>
  </si>
  <si>
    <t>Thu</t>
  </si>
  <si>
    <t>Fri</t>
  </si>
  <si>
    <t>Sat</t>
  </si>
  <si>
    <t>2010/9/1</t>
  </si>
  <si>
    <t>2010/9/2</t>
  </si>
  <si>
    <t>2010/9/3</t>
  </si>
  <si>
    <t>2010/9/4</t>
  </si>
  <si>
    <t>2010/9/5</t>
  </si>
  <si>
    <t>2010/9/6</t>
  </si>
  <si>
    <t>2010/9/7</t>
  </si>
  <si>
    <t>2010/9/8</t>
  </si>
  <si>
    <t>2010/9/9</t>
  </si>
  <si>
    <t>2010/9/10</t>
  </si>
  <si>
    <t>2010/9/11</t>
  </si>
  <si>
    <t>2010/9/12</t>
  </si>
  <si>
    <t>2010/9/13</t>
  </si>
  <si>
    <t>2010/9/14</t>
  </si>
  <si>
    <t>2010/9/15</t>
  </si>
  <si>
    <t>2010/9/16</t>
  </si>
  <si>
    <t>2010/9/17</t>
  </si>
  <si>
    <t>2010/9/18</t>
  </si>
  <si>
    <t>2010/9/19</t>
  </si>
  <si>
    <t>2010/9/20</t>
  </si>
  <si>
    <t>2010/9/21</t>
  </si>
  <si>
    <t>2010/9/22</t>
  </si>
  <si>
    <t>2010/9/23</t>
  </si>
  <si>
    <t>2010/9/24</t>
  </si>
  <si>
    <t>2010/9/25</t>
  </si>
  <si>
    <t>2010/9/26</t>
  </si>
  <si>
    <t>2010/9/27</t>
  </si>
  <si>
    <t>2010/9/28</t>
  </si>
  <si>
    <t>2010/9/29</t>
  </si>
  <si>
    <t>2010/9/30</t>
  </si>
  <si>
    <t>2010/10/1</t>
  </si>
  <si>
    <t>2010/10/2</t>
  </si>
  <si>
    <t>2010/10/3</t>
  </si>
  <si>
    <t>2010/10/4</t>
  </si>
  <si>
    <t>2010/10/5</t>
  </si>
  <si>
    <t>2010/10/6</t>
  </si>
  <si>
    <t>2010/10/7</t>
  </si>
  <si>
    <t>2010/10/8</t>
  </si>
  <si>
    <t>2010/10/9</t>
  </si>
  <si>
    <t>2010/10/10</t>
  </si>
  <si>
    <t>2010/10/11</t>
  </si>
  <si>
    <t>2010/10/12</t>
  </si>
  <si>
    <t>2010/10/13</t>
  </si>
  <si>
    <t>2010/10/14</t>
  </si>
  <si>
    <t>2010/10/15</t>
  </si>
  <si>
    <t>2010/10/16</t>
  </si>
  <si>
    <t>2010/10/17</t>
  </si>
  <si>
    <t>2010/10/18</t>
  </si>
  <si>
    <t>2010/10/19</t>
  </si>
  <si>
    <t>2010/10/20</t>
  </si>
  <si>
    <t>2010/10/21</t>
  </si>
  <si>
    <t>2010/10/22</t>
  </si>
  <si>
    <t>2010/10/23</t>
  </si>
  <si>
    <t>2010/10/24</t>
  </si>
  <si>
    <t>2010/10/25</t>
  </si>
  <si>
    <t>2010/10/26</t>
  </si>
  <si>
    <t>2010/10/27</t>
  </si>
  <si>
    <t>2010/10/28</t>
  </si>
  <si>
    <t>2010/10/29</t>
  </si>
  <si>
    <t>2010/10/30</t>
  </si>
  <si>
    <t>2010/10/31</t>
  </si>
  <si>
    <t>2010/11/1</t>
  </si>
  <si>
    <t>2010/11/2</t>
  </si>
  <si>
    <t>2010/11/3</t>
  </si>
  <si>
    <t>2010/11/4</t>
  </si>
  <si>
    <t>2010/11/5</t>
  </si>
  <si>
    <t>2010/11/6</t>
  </si>
  <si>
    <t>2010/11/7</t>
  </si>
  <si>
    <t>2010/11/8</t>
  </si>
  <si>
    <t>2010/11/9</t>
  </si>
  <si>
    <t>2010/11/10</t>
  </si>
  <si>
    <t>2010/11/11</t>
  </si>
  <si>
    <t>2010/11/12</t>
  </si>
  <si>
    <t>2010/11/13</t>
  </si>
  <si>
    <t>2010/11/14</t>
  </si>
  <si>
    <t>2010/11/15</t>
  </si>
  <si>
    <t>2010/11/16</t>
  </si>
  <si>
    <t>2010/11/17</t>
  </si>
  <si>
    <t>2010/11/18</t>
  </si>
  <si>
    <t>2010/11/19</t>
  </si>
  <si>
    <t>2010/11/20</t>
  </si>
  <si>
    <t>2010/11/21</t>
  </si>
  <si>
    <t>2010/11/22</t>
  </si>
  <si>
    <t>2010/11/23</t>
  </si>
  <si>
    <t>2010/11/24</t>
  </si>
  <si>
    <t>2010/11/25</t>
  </si>
  <si>
    <t>2010/11/26</t>
  </si>
  <si>
    <t>2010/11/27</t>
  </si>
  <si>
    <t>2010/11/28</t>
  </si>
  <si>
    <t>2010/11/29</t>
  </si>
  <si>
    <t>2010/11/30</t>
  </si>
  <si>
    <t>2010/12/1</t>
  </si>
  <si>
    <t>2010/12/2</t>
  </si>
  <si>
    <t>2010/12/3</t>
  </si>
  <si>
    <t>2010/12/4</t>
  </si>
  <si>
    <t>2010/12/5</t>
  </si>
  <si>
    <t>2010/12/6</t>
  </si>
  <si>
    <t>2010/12/7</t>
  </si>
  <si>
    <t>2010/12/8</t>
  </si>
  <si>
    <t>2010/12/9</t>
  </si>
  <si>
    <t>2010/12/10</t>
  </si>
  <si>
    <t>2010/12/11</t>
  </si>
  <si>
    <t>2010/12/12</t>
  </si>
  <si>
    <t>2010/12/13</t>
  </si>
  <si>
    <t>2010/12/14</t>
  </si>
  <si>
    <t>2010/12/15</t>
  </si>
  <si>
    <t>2010/12/16</t>
  </si>
  <si>
    <t>2010/12/17</t>
  </si>
  <si>
    <t>2010/12/18</t>
  </si>
  <si>
    <t>2010/12/19</t>
  </si>
  <si>
    <t>2010/12/20</t>
  </si>
  <si>
    <t>2010/12/21</t>
  </si>
  <si>
    <t>2010/12/22</t>
  </si>
  <si>
    <t>2010/12/23</t>
  </si>
  <si>
    <t>2010/12/24</t>
  </si>
  <si>
    <t>2010/12/25</t>
  </si>
  <si>
    <t>2010/12/26</t>
  </si>
  <si>
    <t>2010/12/27</t>
  </si>
  <si>
    <t>2010/12/28</t>
  </si>
  <si>
    <t>2010/12/29</t>
  </si>
  <si>
    <t>2010/12/30</t>
  </si>
  <si>
    <t>2010/12/31</t>
  </si>
  <si>
    <t>二、期貨庫存金額日推移</t>
  </si>
  <si>
    <t>1</t>
  </si>
  <si>
    <t>3</t>
  </si>
  <si>
    <t>C</t>
  </si>
  <si>
    <t>E</t>
  </si>
  <si>
    <t>F</t>
  </si>
  <si>
    <t>H</t>
  </si>
  <si>
    <t>J</t>
  </si>
  <si>
    <t>N</t>
  </si>
  <si>
    <t>O</t>
  </si>
  <si>
    <t>D</t>
  </si>
  <si>
    <t>S</t>
  </si>
  <si>
    <t>V</t>
  </si>
  <si>
    <t>T</t>
  </si>
  <si>
    <t>P</t>
  </si>
  <si>
    <t>Q</t>
  </si>
  <si>
    <t>一、庫存金額(平均)</t>
  </si>
  <si>
    <t>一月</t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</si>
  <si>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</si>
  <si>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</si>
  <si>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</si>
  <si>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</si>
  <si>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</si>
  <si>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</si>
  <si>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</si>
  <si>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</si>
  <si>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</si>
  <si>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</si>
  <si>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</si>
  <si>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平均</t>
  </si>
  <si>
    <t>目標平均</t>
    <phoneticPr fontId="2" type="noConversion"/>
  </si>
  <si>
    <t>G 貨車冷氣</t>
  </si>
  <si>
    <t>2 二品牌一般</t>
  </si>
  <si>
    <t>3 二品牌油料</t>
  </si>
  <si>
    <t>4 二品牌輪胎</t>
  </si>
  <si>
    <t>5 二品牌化學品</t>
  </si>
  <si>
    <t>二、庫存金額(期末)</t>
  </si>
  <si>
    <t>三、庫存月數</t>
  </si>
  <si>
    <t>Q 咖啡</t>
  </si>
  <si>
    <t>四、全省供應率</t>
  </si>
  <si>
    <t>累計</t>
  </si>
  <si>
    <t>D LEXUS零件</t>
  </si>
  <si>
    <t>五、主商品高銷件全省供應率</t>
  </si>
  <si>
    <t>六、BO點數</t>
  </si>
  <si>
    <t>P 政  策</t>
  </si>
  <si>
    <t>M 開勵委託</t>
  </si>
  <si>
    <t xml:space="preserve">PS.  L小車用品改列入『非管理』商品。 </t>
  </si>
  <si>
    <t xml:space="preserve">PS.『其他』商品不含L小車用品。 </t>
  </si>
  <si>
    <t xml:space="preserve">PS. 『其他』商品不含L小車用品。 </t>
  </si>
  <si>
    <t>全商品</t>
  </si>
  <si>
    <t xml:space="preserve">PS. (1) 調整為 National SR；(2) 『其他』商品不含L小車用品。 </t>
  </si>
  <si>
    <t>一、目標設定</t>
  </si>
  <si>
    <t>月平均計算</t>
  </si>
  <si>
    <t>右表請誤異動</t>
  </si>
  <si>
    <t>A類各進口別庫存金額目標</t>
  </si>
  <si>
    <t>豐田零件(A)</t>
  </si>
  <si>
    <t>A1 TMC</t>
  </si>
  <si>
    <t>A3 KZ</t>
  </si>
  <si>
    <t>A4 TMAP</t>
  </si>
  <si>
    <t>YYMM</t>
  </si>
  <si>
    <t>SNO</t>
  </si>
  <si>
    <t>DATE01</t>
  </si>
  <si>
    <t>DATE02</t>
  </si>
  <si>
    <t>DATE03</t>
  </si>
  <si>
    <t>DATE04</t>
  </si>
  <si>
    <t>DATE05</t>
  </si>
  <si>
    <t>DATE06</t>
  </si>
  <si>
    <t>DATE07</t>
  </si>
  <si>
    <t>DATE08</t>
  </si>
  <si>
    <t>DATE09</t>
  </si>
  <si>
    <t>DATE10</t>
  </si>
  <si>
    <t>DATE11</t>
  </si>
  <si>
    <t>DATE12</t>
  </si>
  <si>
    <t>DATE13</t>
  </si>
  <si>
    <t>DATE14</t>
  </si>
  <si>
    <t>DATE15</t>
  </si>
  <si>
    <t>DATE16</t>
  </si>
  <si>
    <t>DATE17</t>
  </si>
  <si>
    <t>DATE18</t>
  </si>
  <si>
    <t>DATE19</t>
  </si>
  <si>
    <t>DATE20</t>
  </si>
  <si>
    <t>DATE21</t>
  </si>
  <si>
    <t>DATE22</t>
  </si>
  <si>
    <t>DATE23</t>
  </si>
  <si>
    <t>DATE24</t>
  </si>
  <si>
    <t>DATE25</t>
  </si>
  <si>
    <t>DATE26</t>
  </si>
  <si>
    <t>DATE27</t>
  </si>
  <si>
    <t>DATE28</t>
  </si>
  <si>
    <t>DATE29</t>
  </si>
  <si>
    <t>DATE30</t>
  </si>
  <si>
    <t>DATE31</t>
  </si>
  <si>
    <t>MTDT</t>
  </si>
  <si>
    <t>202412</t>
  </si>
  <si>
    <t>2024/12/01</t>
  </si>
  <si>
    <t>2024/12/02</t>
  </si>
  <si>
    <t>2024/12/03</t>
  </si>
  <si>
    <t>2024/12/04</t>
  </si>
  <si>
    <t>2024/12/05</t>
  </si>
  <si>
    <t>2024/12/06</t>
  </si>
  <si>
    <t>2024/12/07</t>
  </si>
  <si>
    <t>2024/12/08</t>
  </si>
  <si>
    <t>2024/12/09</t>
  </si>
  <si>
    <t>2024/12/10</t>
  </si>
  <si>
    <t>2024/12/11</t>
  </si>
  <si>
    <t>2024/12/12</t>
  </si>
  <si>
    <t>2024/12/13</t>
  </si>
  <si>
    <t>2024/12/14</t>
  </si>
  <si>
    <t>2024/12/15</t>
  </si>
  <si>
    <t>2024/12/16</t>
  </si>
  <si>
    <t>2024/12/17</t>
  </si>
  <si>
    <t>2024/12/18</t>
  </si>
  <si>
    <t>2024/12/19</t>
  </si>
  <si>
    <t>2024/12/20</t>
  </si>
  <si>
    <t>2024/12/21</t>
  </si>
  <si>
    <t>2024/12/22</t>
  </si>
  <si>
    <t>2024/12/23</t>
  </si>
  <si>
    <t>2024/12/24</t>
  </si>
  <si>
    <t>2024/12/25</t>
  </si>
  <si>
    <t>2024/12/26</t>
  </si>
  <si>
    <t>2024/12/27</t>
  </si>
  <si>
    <t>2024/12/28</t>
  </si>
  <si>
    <t>2024/12/29</t>
  </si>
  <si>
    <t>2024/12/30</t>
  </si>
  <si>
    <t>2024/12/31</t>
  </si>
  <si>
    <t>2</t>
  </si>
  <si>
    <t>FRCD</t>
  </si>
  <si>
    <t>DIFFAMT</t>
  </si>
  <si>
    <t>AVGAMT</t>
  </si>
  <si>
    <t>01-A</t>
  </si>
  <si>
    <t>275724028.00</t>
  </si>
  <si>
    <t>274015037.00</t>
  </si>
  <si>
    <t>268835538.00</t>
  </si>
  <si>
    <t>270748480.00</t>
  </si>
  <si>
    <t>272909004.00</t>
  </si>
  <si>
    <t>277259307.00</t>
  </si>
  <si>
    <t>270302358.00</t>
  </si>
  <si>
    <t>270271671.00</t>
  </si>
  <si>
    <t>270641795.00</t>
  </si>
  <si>
    <t>268101474.00</t>
  </si>
  <si>
    <t>268325581.00</t>
  </si>
  <si>
    <t>265895099.00</t>
  </si>
  <si>
    <t>269690607.00</t>
  </si>
  <si>
    <t>269693657.00</t>
  </si>
  <si>
    <t>268327831.00</t>
  </si>
  <si>
    <t>266287523.00</t>
  </si>
  <si>
    <t>270510115.00</t>
  </si>
  <si>
    <t>275979437.00</t>
  </si>
  <si>
    <t>277424983.00</t>
  </si>
  <si>
    <t>278406750.00</t>
  </si>
  <si>
    <t>275767354.00</t>
  </si>
  <si>
    <t>275754971.00</t>
  </si>
  <si>
    <t>277510569.00</t>
  </si>
  <si>
    <t>282782916.00</t>
  </si>
  <si>
    <t>288176048.00</t>
  </si>
  <si>
    <t>291339490.00</t>
  </si>
  <si>
    <t>297913479.00</t>
  </si>
  <si>
    <t>296308568.00</t>
  </si>
  <si>
    <t>296276393.00</t>
  </si>
  <si>
    <t>300563003.00</t>
  </si>
  <si>
    <t>298032355.00</t>
  </si>
  <si>
    <t>-2530648.00</t>
  </si>
  <si>
    <t>277734691.00</t>
  </si>
  <si>
    <t>02-D</t>
  </si>
  <si>
    <t>203510851.00</t>
  </si>
  <si>
    <t>204818450.00</t>
  </si>
  <si>
    <t>203044770.00</t>
  </si>
  <si>
    <t>204623669.00</t>
  </si>
  <si>
    <t>208497218.00</t>
  </si>
  <si>
    <t>213814499.00</t>
  </si>
  <si>
    <t>210308244.00</t>
  </si>
  <si>
    <t>210301325.00</t>
  </si>
  <si>
    <t>212554877.00</t>
  </si>
  <si>
    <t>212887724.00</t>
  </si>
  <si>
    <t>210687902.00</t>
  </si>
  <si>
    <t>208786683.00</t>
  </si>
  <si>
    <t>210753682.00</t>
  </si>
  <si>
    <t>210423305.00</t>
  </si>
  <si>
    <t>210885913.00</t>
  </si>
  <si>
    <t>210486091.00</t>
  </si>
  <si>
    <t>214017720.00</t>
  </si>
  <si>
    <t>212664747.00</t>
  </si>
  <si>
    <t>215076129.00</t>
  </si>
  <si>
    <t>212112468.00</t>
  </si>
  <si>
    <t>210903351.00</t>
  </si>
  <si>
    <t>209924502.00</t>
  </si>
  <si>
    <t>210832174.00</t>
  </si>
  <si>
    <t>212199166.00</t>
  </si>
  <si>
    <t>214046259.00</t>
  </si>
  <si>
    <t>212009821.00</t>
  </si>
  <si>
    <t>212775224.00</t>
  </si>
  <si>
    <t>211921446.00</t>
  </si>
  <si>
    <t>-853778.00</t>
  </si>
  <si>
    <t>210636909.06</t>
  </si>
  <si>
    <t>03-J</t>
  </si>
  <si>
    <t>6251011.00</t>
  </si>
  <si>
    <t>4596540.00</t>
  </si>
  <si>
    <t>5467039.00</t>
  </si>
  <si>
    <t>6169820.00</t>
  </si>
  <si>
    <t>5509489.00</t>
  </si>
  <si>
    <t>5955988.00</t>
  </si>
  <si>
    <t>3675714.00</t>
  </si>
  <si>
    <t>2812912.00</t>
  </si>
  <si>
    <t>4633832.00</t>
  </si>
  <si>
    <t>3970477.00</t>
  </si>
  <si>
    <t>5518455.00</t>
  </si>
  <si>
    <t>5809653.00</t>
  </si>
  <si>
    <t>5787913.00</t>
  </si>
  <si>
    <t>7971901.00</t>
  </si>
  <si>
    <t>8473567.00</t>
  </si>
  <si>
    <t>9076432.00</t>
  </si>
  <si>
    <t>10850846.00</t>
  </si>
  <si>
    <t>8592295.00</t>
  </si>
  <si>
    <t>7057194.00</t>
  </si>
  <si>
    <t>7596983.00</t>
  </si>
  <si>
    <t>8424496.00</t>
  </si>
  <si>
    <t>8084835.00</t>
  </si>
  <si>
    <t>11176573.00</t>
  </si>
  <si>
    <t>9446018.00</t>
  </si>
  <si>
    <t>7064296.00</t>
  </si>
  <si>
    <t>7859992.00</t>
  </si>
  <si>
    <t>795696.00</t>
  </si>
  <si>
    <t>6811858.19</t>
  </si>
  <si>
    <t>04-O</t>
  </si>
  <si>
    <t>9867686.00</t>
  </si>
  <si>
    <t>10286433.00</t>
  </si>
  <si>
    <t>10250984.00</t>
  </si>
  <si>
    <t>10363358.00</t>
  </si>
  <si>
    <t>10491032.00</t>
  </si>
  <si>
    <t>10601022.00</t>
  </si>
  <si>
    <t>10586961.00</t>
  </si>
  <si>
    <t>10830440.00</t>
  </si>
  <si>
    <t>10814779.00</t>
  </si>
  <si>
    <t>10830659.00</t>
  </si>
  <si>
    <t>10797406.00</t>
  </si>
  <si>
    <t>10782400.00</t>
  </si>
  <si>
    <t>10779340.00</t>
  </si>
  <si>
    <t>10723117.00</t>
  </si>
  <si>
    <t>10820057.00</t>
  </si>
  <si>
    <t>10953385.00</t>
  </si>
  <si>
    <t>10939979.00</t>
  </si>
  <si>
    <t>10933293.00</t>
  </si>
  <si>
    <t>10897950.00</t>
  </si>
  <si>
    <t>10826613.00</t>
  </si>
  <si>
    <t>10773931.00</t>
  </si>
  <si>
    <t>10770714.00</t>
  </si>
  <si>
    <t>10700986.00</t>
  </si>
  <si>
    <t>10654377.00</t>
  </si>
  <si>
    <t>10613513.00</t>
  </si>
  <si>
    <t>10537040.00</t>
  </si>
  <si>
    <t>10640583.00</t>
  </si>
  <si>
    <t>103543.00</t>
  </si>
  <si>
    <t>10675769.74</t>
  </si>
  <si>
    <t>05-N</t>
  </si>
  <si>
    <t>20590809.00</t>
  </si>
  <si>
    <t>19468701.00</t>
  </si>
  <si>
    <t>19856784.00</t>
  </si>
  <si>
    <t>19638833.00</t>
  </si>
  <si>
    <t>20924871.00</t>
  </si>
  <si>
    <t>21528774.00</t>
  </si>
  <si>
    <t>19009883.00</t>
  </si>
  <si>
    <t>19006863.00</t>
  </si>
  <si>
    <t>18719761.00</t>
  </si>
  <si>
    <t>20229090.00</t>
  </si>
  <si>
    <t>20970784.00</t>
  </si>
  <si>
    <t>20217155.00</t>
  </si>
  <si>
    <t>18549218.00</t>
  </si>
  <si>
    <t>18473465.00</t>
  </si>
  <si>
    <t>18549753.00</t>
  </si>
  <si>
    <t>20234674.00</t>
  </si>
  <si>
    <t>22148476.00</t>
  </si>
  <si>
    <t>21134608.00</t>
  </si>
  <si>
    <t>22990332.00</t>
  </si>
  <si>
    <t>20710118.00</t>
  </si>
  <si>
    <t>20706532.00</t>
  </si>
  <si>
    <t>19893556.00</t>
  </si>
  <si>
    <t>21706408.00</t>
  </si>
  <si>
    <t>22208975.00</t>
  </si>
  <si>
    <t>25857121.00</t>
  </si>
  <si>
    <t>25880146.00</t>
  </si>
  <si>
    <t>23513354.00</t>
  </si>
  <si>
    <t>23513135.00</t>
  </si>
  <si>
    <t>24765851.00</t>
  </si>
  <si>
    <t>24989891.00</t>
  </si>
  <si>
    <t>224040.00</t>
  </si>
  <si>
    <t>21114101.26</t>
  </si>
  <si>
    <t>06-C</t>
  </si>
  <si>
    <t>.00</t>
  </si>
  <si>
    <t>07-H</t>
  </si>
  <si>
    <t>12188965.00</t>
  </si>
  <si>
    <t>10420565.00</t>
  </si>
  <si>
    <t>10413393.00</t>
  </si>
  <si>
    <t>11892467.00</t>
  </si>
  <si>
    <t>12075670.00</t>
  </si>
  <si>
    <t>11874048.00</t>
  </si>
  <si>
    <t>7702089.00</t>
  </si>
  <si>
    <t>6760506.00</t>
  </si>
  <si>
    <t>7594787.00</t>
  </si>
  <si>
    <t>8958655.00</t>
  </si>
  <si>
    <t>9995670.00</t>
  </si>
  <si>
    <t>9502950.00</t>
  </si>
  <si>
    <t>9470261.00</t>
  </si>
  <si>
    <t>9169370.00</t>
  </si>
  <si>
    <t>10364690.00</t>
  </si>
  <si>
    <t>11906284.00</t>
  </si>
  <si>
    <t>12266956.00</t>
  </si>
  <si>
    <t>12962787.00</t>
  </si>
  <si>
    <t>9010134.00</t>
  </si>
  <si>
    <t>8114967.00</t>
  </si>
  <si>
    <t>8381228.00</t>
  </si>
  <si>
    <t>10473301.00</t>
  </si>
  <si>
    <t>10058590.00</t>
  </si>
  <si>
    <t>10510818.00</t>
  </si>
  <si>
    <t>6646323.00</t>
  </si>
  <si>
    <t>5735297.00</t>
  </si>
  <si>
    <t>4985322.00</t>
  </si>
  <si>
    <t>-749975.00</t>
  </si>
  <si>
    <t>9428954.48</t>
  </si>
  <si>
    <t>08-E</t>
  </si>
  <si>
    <t>09-F</t>
  </si>
  <si>
    <t>1687825.00</t>
  </si>
  <si>
    <t>1625230.00</t>
  </si>
  <si>
    <t>1565475.00</t>
  </si>
  <si>
    <t>1525335.00</t>
  </si>
  <si>
    <t>1472730.00</t>
  </si>
  <si>
    <t>1467475.00</t>
  </si>
  <si>
    <t>1436601.00</t>
  </si>
  <si>
    <t>1377701.00</t>
  </si>
  <si>
    <t>1326686.00</t>
  </si>
  <si>
    <t>1306881.00</t>
  </si>
  <si>
    <t>1650966.00</t>
  </si>
  <si>
    <t>1643801.00</t>
  </si>
  <si>
    <t>1618156.00</t>
  </si>
  <si>
    <t>1575736.00</t>
  </si>
  <si>
    <t>1562032.00</t>
  </si>
  <si>
    <t>1550532.00</t>
  </si>
  <si>
    <t>1517847.00</t>
  </si>
  <si>
    <t>1483462.00</t>
  </si>
  <si>
    <t>1435592.00</t>
  </si>
  <si>
    <t>1433417.00</t>
  </si>
  <si>
    <t>1410947.00</t>
  </si>
  <si>
    <t>1936062.00</t>
  </si>
  <si>
    <t>1903007.00</t>
  </si>
  <si>
    <t>1854337.00</t>
  </si>
  <si>
    <t>1833732.00</t>
  </si>
  <si>
    <t>1833297.00</t>
  </si>
  <si>
    <t>-435.00</t>
  </si>
  <si>
    <t>1583769.81</t>
  </si>
  <si>
    <t>10-P</t>
  </si>
  <si>
    <t>106839.00</t>
  </si>
  <si>
    <t>181839.00</t>
  </si>
  <si>
    <t>109258.35</t>
  </si>
  <si>
    <t>11-G</t>
  </si>
  <si>
    <t>12-M</t>
  </si>
  <si>
    <t>2029081.00</t>
  </si>
  <si>
    <t>1958784.00</t>
  </si>
  <si>
    <t>2026897.00</t>
  </si>
  <si>
    <t>2108689.00</t>
  </si>
  <si>
    <t>2159149.00</t>
  </si>
  <si>
    <t>2330163.00</t>
  </si>
  <si>
    <t>2054274.00</t>
  </si>
  <si>
    <t>1243525.00</t>
  </si>
  <si>
    <t>1711077.00</t>
  </si>
  <si>
    <t>1406327.00</t>
  </si>
  <si>
    <t>1694790.00</t>
  </si>
  <si>
    <t>1599916.00</t>
  </si>
  <si>
    <t>1544760.00</t>
  </si>
  <si>
    <t>1633980.00</t>
  </si>
  <si>
    <t>1631465.00</t>
  </si>
  <si>
    <t>1466288.00</t>
  </si>
  <si>
    <t>1496606.00</t>
  </si>
  <si>
    <t>2061724.00</t>
  </si>
  <si>
    <t>1749845.00</t>
  </si>
  <si>
    <t>1605266.00</t>
  </si>
  <si>
    <t>1766608.00</t>
  </si>
  <si>
    <t>1591909.00</t>
  </si>
  <si>
    <t>1325418.00</t>
  </si>
  <si>
    <t>2628086.00</t>
  </si>
  <si>
    <t>1951279.00</t>
  </si>
  <si>
    <t>1647021.00</t>
  </si>
  <si>
    <t>1938950.00</t>
  </si>
  <si>
    <t>291929.00</t>
  </si>
  <si>
    <t>1797328.74</t>
  </si>
  <si>
    <t>13-U</t>
  </si>
  <si>
    <t>212328.00</t>
  </si>
  <si>
    <t>210168.00</t>
  </si>
  <si>
    <t>187298.00</t>
  </si>
  <si>
    <t>228338.00</t>
  </si>
  <si>
    <t>225028.00</t>
  </si>
  <si>
    <t>220628.00</t>
  </si>
  <si>
    <t>214448.00</t>
  </si>
  <si>
    <t>288708.00</t>
  </si>
  <si>
    <t>286548.00</t>
  </si>
  <si>
    <t>275268.00</t>
  </si>
  <si>
    <t>266438.00</t>
  </si>
  <si>
    <t>261088.00</t>
  </si>
  <si>
    <t>258388.00</t>
  </si>
  <si>
    <t>254608.00</t>
  </si>
  <si>
    <t>252448.00</t>
  </si>
  <si>
    <t>250828.00</t>
  </si>
  <si>
    <t>249208.00</t>
  </si>
  <si>
    <t>247588.00</t>
  </si>
  <si>
    <t>244348.00</t>
  </si>
  <si>
    <t>241138.00</t>
  </si>
  <si>
    <t>240058.00</t>
  </si>
  <si>
    <t>238438.00</t>
  </si>
  <si>
    <t>234498.00</t>
  </si>
  <si>
    <t>232878.00</t>
  </si>
  <si>
    <t>275538.00</t>
  </si>
  <si>
    <t>42660.00</t>
  </si>
  <si>
    <t>243658.00</t>
  </si>
  <si>
    <t>14-L</t>
  </si>
  <si>
    <t>3523222.00</t>
  </si>
  <si>
    <t>3452026.00</t>
  </si>
  <si>
    <t>3401770.00</t>
  </si>
  <si>
    <t>3271941.00</t>
  </si>
  <si>
    <t>3179805.00</t>
  </si>
  <si>
    <t>3083480.00</t>
  </si>
  <si>
    <t>2999720.00</t>
  </si>
  <si>
    <t>2903395.00</t>
  </si>
  <si>
    <t>2861514.00</t>
  </si>
  <si>
    <t>2802883.00</t>
  </si>
  <si>
    <t>2761191.00</t>
  </si>
  <si>
    <t>2652302.00</t>
  </si>
  <si>
    <t>2635550.00</t>
  </si>
  <si>
    <t>2501534.00</t>
  </si>
  <si>
    <t>2421960.00</t>
  </si>
  <si>
    <t>2354952.00</t>
  </si>
  <si>
    <t>2275380.00</t>
  </si>
  <si>
    <t>2204184.00</t>
  </si>
  <si>
    <t>2158116.00</t>
  </si>
  <si>
    <t>2074355.00</t>
  </si>
  <si>
    <t>2030849.00</t>
  </si>
  <si>
    <t>1969655.00</t>
  </si>
  <si>
    <t>1936151.00</t>
  </si>
  <si>
    <t>1869142.00</t>
  </si>
  <si>
    <t>1814698.00</t>
  </si>
  <si>
    <t>1764630.00</t>
  </si>
  <si>
    <t>1726938.00</t>
  </si>
  <si>
    <t>-37692.00</t>
  </si>
  <si>
    <t>2524392.87</t>
  </si>
  <si>
    <t>18-T</t>
  </si>
  <si>
    <t>6381701.00</t>
  </si>
  <si>
    <t>6279719.00</t>
  </si>
  <si>
    <t>5978593.00</t>
  </si>
  <si>
    <t>5712116.00</t>
  </si>
  <si>
    <t>5730174.00</t>
  </si>
  <si>
    <t>6000689.00</t>
  </si>
  <si>
    <t>5209268.00</t>
  </si>
  <si>
    <t>4695212.00</t>
  </si>
  <si>
    <t>4695711.00</t>
  </si>
  <si>
    <t>4351168.00</t>
  </si>
  <si>
    <t>5088389.00</t>
  </si>
  <si>
    <t>5249817.00</t>
  </si>
  <si>
    <t>5231547.00</t>
  </si>
  <si>
    <t>5054281.00</t>
  </si>
  <si>
    <t>5128963.00</t>
  </si>
  <si>
    <t>5700691.00</t>
  </si>
  <si>
    <t>5681931.00</t>
  </si>
  <si>
    <t>5820360.00</t>
  </si>
  <si>
    <t>5147686.00</t>
  </si>
  <si>
    <t>4765256.00</t>
  </si>
  <si>
    <t>4755316.00</t>
  </si>
  <si>
    <t>4679375.00</t>
  </si>
  <si>
    <t>4467541.00</t>
  </si>
  <si>
    <t>4452438.00</t>
  </si>
  <si>
    <t>3969708.00</t>
  </si>
  <si>
    <t>3926186.00</t>
  </si>
  <si>
    <t>2766771.00</t>
  </si>
  <si>
    <t>-1159415.00</t>
  </si>
  <si>
    <t>5048293.10</t>
  </si>
  <si>
    <t>19-V</t>
  </si>
  <si>
    <t>12432559.00</t>
  </si>
  <si>
    <t>12098147.00</t>
  </si>
  <si>
    <t>11641411.00</t>
  </si>
  <si>
    <t>11477714.00</t>
  </si>
  <si>
    <t>12725353.00</t>
  </si>
  <si>
    <t>13331021.00</t>
  </si>
  <si>
    <t>12371050.00</t>
  </si>
  <si>
    <t>12095648.00</t>
  </si>
  <si>
    <t>12398315.00</t>
  </si>
  <si>
    <t>11742340.00</t>
  </si>
  <si>
    <t>12061188.00</t>
  </si>
  <si>
    <t>11703303.00</t>
  </si>
  <si>
    <t>11707417.00</t>
  </si>
  <si>
    <t>11686819.00</t>
  </si>
  <si>
    <t>11569922.00</t>
  </si>
  <si>
    <t>11941311.00</t>
  </si>
  <si>
    <t>12096758.00</t>
  </si>
  <si>
    <t>12261475.00</t>
  </si>
  <si>
    <t>13452273.00</t>
  </si>
  <si>
    <t>12406762.00</t>
  </si>
  <si>
    <t>11856559.00</t>
  </si>
  <si>
    <t>11039973.00</t>
  </si>
  <si>
    <t>11512562.00</t>
  </si>
  <si>
    <t>12516269.00</t>
  </si>
  <si>
    <t>13211556.00</t>
  </si>
  <si>
    <t>12279378.00</t>
  </si>
  <si>
    <t>12192245.00</t>
  </si>
  <si>
    <t>12310878.00</t>
  </si>
  <si>
    <t>118633.00</t>
  </si>
  <si>
    <t>12167012.77</t>
  </si>
  <si>
    <t>20-S</t>
  </si>
  <si>
    <t>8808880.00</t>
  </si>
  <si>
    <t>8758173.00</t>
  </si>
  <si>
    <t>8721497.00</t>
  </si>
  <si>
    <t>8680232.00</t>
  </si>
  <si>
    <t>8643507.00</t>
  </si>
  <si>
    <t>8625524.00</t>
  </si>
  <si>
    <t>8575184.00</t>
  </si>
  <si>
    <t>8502998.00</t>
  </si>
  <si>
    <t>8475776.00</t>
  </si>
  <si>
    <t>8467141.00</t>
  </si>
  <si>
    <t>8423486.00</t>
  </si>
  <si>
    <t>8372327.00</t>
  </si>
  <si>
    <t>8368647.00</t>
  </si>
  <si>
    <t>8296930.00</t>
  </si>
  <si>
    <t>8270645.00</t>
  </si>
  <si>
    <t>8239732.00</t>
  </si>
  <si>
    <t>8199541.00</t>
  </si>
  <si>
    <t>8180698.00</t>
  </si>
  <si>
    <t>8156382.00</t>
  </si>
  <si>
    <t>8131876.00</t>
  </si>
  <si>
    <t>8102209.00</t>
  </si>
  <si>
    <t>8092891.00</t>
  </si>
  <si>
    <t>8057102.00</t>
  </si>
  <si>
    <t>8003140.00</t>
  </si>
  <si>
    <t>7968806.00</t>
  </si>
  <si>
    <t>7972832.00</t>
  </si>
  <si>
    <t>7943480.00</t>
  </si>
  <si>
    <t>-29352.00</t>
  </si>
  <si>
    <t>8326204.35</t>
  </si>
  <si>
    <t>21-Q</t>
  </si>
  <si>
    <t>162800.00</t>
  </si>
  <si>
    <t>22-2</t>
  </si>
  <si>
    <t>161176.00</t>
  </si>
  <si>
    <t>23-3</t>
  </si>
  <si>
    <t>114778.00</t>
  </si>
  <si>
    <t>214042.00</t>
  </si>
  <si>
    <t>185242.00</t>
  </si>
  <si>
    <t>312406.00</t>
  </si>
  <si>
    <t>138994.00</t>
  </si>
  <si>
    <t>152002.77</t>
  </si>
  <si>
    <t>24-4</t>
  </si>
  <si>
    <t>25-5</t>
  </si>
  <si>
    <t>26-6</t>
  </si>
  <si>
    <t>9890075.00</t>
  </si>
  <si>
    <t>8408894.00</t>
  </si>
  <si>
    <t>8148562.00</t>
  </si>
  <si>
    <t>10075839.00</t>
  </si>
  <si>
    <t>8643692.00</t>
  </si>
  <si>
    <t>10160181.00</t>
  </si>
  <si>
    <t>8484502.00</t>
  </si>
  <si>
    <t>7059338.00</t>
  </si>
  <si>
    <t>9374553.00</t>
  </si>
  <si>
    <t>7740490.00</t>
  </si>
  <si>
    <t>6342694.00</t>
  </si>
  <si>
    <t>7855995.00</t>
  </si>
  <si>
    <t>7793916.00</t>
  </si>
  <si>
    <t>6743858.00</t>
  </si>
  <si>
    <t>8939900.00</t>
  </si>
  <si>
    <t>8950502.00</t>
  </si>
  <si>
    <t>7271027.00</t>
  </si>
  <si>
    <t>11196253.00</t>
  </si>
  <si>
    <t>9329815.00</t>
  </si>
  <si>
    <t>7841782.00</t>
  </si>
  <si>
    <t>6674068.00</t>
  </si>
  <si>
    <t>9964746.00</t>
  </si>
  <si>
    <t>8810191.00</t>
  </si>
  <si>
    <t>11399722.00</t>
  </si>
  <si>
    <t>9813061.00</t>
  </si>
  <si>
    <t>9250897.00</t>
  </si>
  <si>
    <t>8240844.00</t>
  </si>
  <si>
    <t>-1010053.00</t>
  </si>
  <si>
    <t>8706089.35</t>
  </si>
  <si>
    <t>27-7</t>
  </si>
  <si>
    <t>2660114.00</t>
  </si>
  <si>
    <t>3266742.00</t>
  </si>
  <si>
    <t>2830952.00</t>
  </si>
  <si>
    <t>2698941.00</t>
  </si>
  <si>
    <t>2755905.00</t>
  </si>
  <si>
    <t>2601899.00</t>
  </si>
  <si>
    <t>2611409.00</t>
  </si>
  <si>
    <t>4782958.00</t>
  </si>
  <si>
    <t>4622872.00</t>
  </si>
  <si>
    <t>4781752.00</t>
  </si>
  <si>
    <t>4995336.00</t>
  </si>
  <si>
    <t>4854550.00</t>
  </si>
  <si>
    <t>4962595.00</t>
  </si>
  <si>
    <t>3746557.00</t>
  </si>
  <si>
    <t>4399649.00</t>
  </si>
  <si>
    <t>4316935.00</t>
  </si>
  <si>
    <t>4853859.00</t>
  </si>
  <si>
    <t>4748259.00</t>
  </si>
  <si>
    <t>5526159.00</t>
  </si>
  <si>
    <t>4361110.00</t>
  </si>
  <si>
    <t>4289689.00</t>
  </si>
  <si>
    <t>4200569.00</t>
  </si>
  <si>
    <t>4145580.00</t>
  </si>
  <si>
    <t>4044780.00</t>
  </si>
  <si>
    <t>3918780.00</t>
  </si>
  <si>
    <t>3932660.00</t>
  </si>
  <si>
    <t>13880.00</t>
  </si>
  <si>
    <t>4065295.45</t>
  </si>
  <si>
    <t>AVGSR</t>
  </si>
  <si>
    <t>0</t>
  </si>
  <si>
    <t>98.2</t>
  </si>
  <si>
    <t>98</t>
  </si>
  <si>
    <t>97.6</t>
  </si>
  <si>
    <t>98.1</t>
  </si>
  <si>
    <t>98.7</t>
  </si>
  <si>
    <t>98.6</t>
  </si>
  <si>
    <t>97.8</t>
  </si>
  <si>
    <t>97.7</t>
  </si>
  <si>
    <t>97.3</t>
  </si>
  <si>
    <t>98.3</t>
  </si>
  <si>
    <t>97.9</t>
  </si>
  <si>
    <t>98.4</t>
  </si>
  <si>
    <t>96.8</t>
  </si>
  <si>
    <t>96.9</t>
  </si>
  <si>
    <t>97.5</t>
  </si>
  <si>
    <t>96.4</t>
  </si>
  <si>
    <t>97.2</t>
  </si>
  <si>
    <t>96.2</t>
  </si>
  <si>
    <t>96.5</t>
  </si>
  <si>
    <t>95.8</t>
  </si>
  <si>
    <t>96.7</t>
  </si>
  <si>
    <t>97</t>
  </si>
  <si>
    <t>96.1</t>
  </si>
  <si>
    <t>97.4</t>
  </si>
  <si>
    <t>98.8</t>
  </si>
  <si>
    <t>97.1</t>
  </si>
  <si>
    <t>100</t>
  </si>
  <si>
    <t>99.8</t>
  </si>
  <si>
    <t>99.9</t>
  </si>
  <si>
    <t>72.7</t>
  </si>
  <si>
    <t>85.7</t>
  </si>
  <si>
    <t>76.9</t>
  </si>
  <si>
    <t>94.4</t>
  </si>
  <si>
    <t>73.6</t>
  </si>
  <si>
    <t>81.2</t>
  </si>
  <si>
    <t>77.2</t>
  </si>
  <si>
    <t>86.6</t>
  </si>
  <si>
    <t>88.8</t>
  </si>
  <si>
    <t>63.6</t>
  </si>
  <si>
    <t>75</t>
  </si>
  <si>
    <t>84.6</t>
  </si>
  <si>
    <t>45.4</t>
  </si>
  <si>
    <t>58.8</t>
  </si>
  <si>
    <t>53.3</t>
  </si>
  <si>
    <t>66.6</t>
  </si>
  <si>
    <t>83.3</t>
  </si>
  <si>
    <t>91.6</t>
  </si>
  <si>
    <t>82.7</t>
  </si>
  <si>
    <t>99</t>
  </si>
  <si>
    <t>99.4</t>
  </si>
  <si>
    <t>99.6</t>
  </si>
  <si>
    <t>99.7</t>
  </si>
  <si>
    <t>99.3</t>
  </si>
  <si>
    <t>99.2</t>
  </si>
  <si>
    <t>99.5</t>
  </si>
  <si>
    <t>98.9</t>
  </si>
  <si>
    <t>95</t>
  </si>
  <si>
    <t>93</t>
  </si>
  <si>
    <t>94.6</t>
  </si>
  <si>
    <t>99.1</t>
  </si>
  <si>
    <t>08-Z</t>
  </si>
  <si>
    <t>81.8</t>
  </si>
  <si>
    <t>71.4</t>
  </si>
  <si>
    <t>80</t>
  </si>
  <si>
    <t>90.9</t>
  </si>
  <si>
    <t>93.8</t>
  </si>
  <si>
    <t>09-@</t>
  </si>
  <si>
    <t>98.5</t>
  </si>
  <si>
    <t>10-M</t>
  </si>
  <si>
    <t>11-S</t>
  </si>
  <si>
    <t>93.3</t>
  </si>
  <si>
    <t>85</t>
  </si>
  <si>
    <t>88</t>
  </si>
  <si>
    <t>94.2</t>
  </si>
  <si>
    <t>76.4</t>
  </si>
  <si>
    <t>94.1</t>
  </si>
  <si>
    <t>92.8</t>
  </si>
  <si>
    <t>12-V</t>
  </si>
  <si>
    <t>96.6</t>
  </si>
  <si>
    <t>13-T</t>
  </si>
  <si>
    <t>95.7</t>
  </si>
  <si>
    <t>94.8</t>
  </si>
  <si>
    <t>95.4</t>
  </si>
  <si>
    <t>75.9</t>
  </si>
  <si>
    <t>75.7</t>
  </si>
  <si>
    <t>96</t>
  </si>
  <si>
    <t>14-P</t>
  </si>
  <si>
    <t>16-#</t>
  </si>
  <si>
    <t>17-2</t>
  </si>
  <si>
    <t>18-3</t>
  </si>
  <si>
    <t>19-4</t>
  </si>
  <si>
    <t>20-5</t>
  </si>
  <si>
    <t>21-$</t>
  </si>
  <si>
    <t>22-7</t>
  </si>
  <si>
    <t>23-6</t>
  </si>
  <si>
    <t>94.5</t>
  </si>
  <si>
    <t>88.9</t>
  </si>
  <si>
    <t>92.1</t>
  </si>
  <si>
    <t>93.2</t>
  </si>
  <si>
    <t>94.3</t>
  </si>
  <si>
    <t>93.9</t>
  </si>
  <si>
    <t>94.9</t>
  </si>
  <si>
    <t>90.8</t>
  </si>
  <si>
    <t>91.5</t>
  </si>
  <si>
    <t>95.6</t>
  </si>
  <si>
    <t>93.1</t>
  </si>
  <si>
    <t>94</t>
  </si>
  <si>
    <t>92</t>
  </si>
  <si>
    <t>IMPCD</t>
  </si>
  <si>
    <t>4</t>
  </si>
  <si>
    <t>ALL</t>
  </si>
  <si>
    <t>70</t>
  </si>
  <si>
    <t>62.5</t>
  </si>
  <si>
    <t>46.1</t>
  </si>
  <si>
    <t>83.9</t>
  </si>
  <si>
    <t>95.1</t>
  </si>
  <si>
    <t>95.2</t>
  </si>
  <si>
    <t>84.2</t>
  </si>
  <si>
    <t>94.7</t>
  </si>
  <si>
    <t>76.8</t>
  </si>
  <si>
    <t>16-2</t>
  </si>
  <si>
    <t>17-3</t>
  </si>
  <si>
    <t>18-4</t>
  </si>
  <si>
    <t>19-5</t>
  </si>
  <si>
    <t>20-7</t>
  </si>
  <si>
    <t>21-6</t>
  </si>
  <si>
    <t>95.9</t>
  </si>
  <si>
    <t>93.5</t>
  </si>
  <si>
    <t>95.5</t>
  </si>
  <si>
    <t>96.3</t>
  </si>
  <si>
    <t>SUMITEMS</t>
  </si>
  <si>
    <t>221.00</t>
  </si>
  <si>
    <t>272.00</t>
  </si>
  <si>
    <t>297.00</t>
  </si>
  <si>
    <t>219.00</t>
  </si>
  <si>
    <t>203.00</t>
  </si>
  <si>
    <t>162.00</t>
  </si>
  <si>
    <t>258.00</t>
  </si>
  <si>
    <t>241.00</t>
  </si>
  <si>
    <t>247.00</t>
  </si>
  <si>
    <t>283.00</t>
  </si>
  <si>
    <t>312.00</t>
  </si>
  <si>
    <t>329.00</t>
  </si>
  <si>
    <t>275.00</t>
  </si>
  <si>
    <t>253.00</t>
  </si>
  <si>
    <t>229.00</t>
  </si>
  <si>
    <t>132.00</t>
  </si>
  <si>
    <t>222.00</t>
  </si>
  <si>
    <t>238.00</t>
  </si>
  <si>
    <t>232.00</t>
  </si>
  <si>
    <t>175.00</t>
  </si>
  <si>
    <t>128.00</t>
  </si>
  <si>
    <t>205.00</t>
  </si>
  <si>
    <t>192.00</t>
  </si>
  <si>
    <t>5686</t>
  </si>
  <si>
    <t>36.00</t>
  </si>
  <si>
    <t>69.00</t>
  </si>
  <si>
    <t>66.00</t>
  </si>
  <si>
    <t>55.00</t>
  </si>
  <si>
    <t>40.00</t>
  </si>
  <si>
    <t>39.00</t>
  </si>
  <si>
    <t>74.00</t>
  </si>
  <si>
    <t>65.00</t>
  </si>
  <si>
    <t>76.00</t>
  </si>
  <si>
    <t>85.00</t>
  </si>
  <si>
    <t>86.00</t>
  </si>
  <si>
    <t>57.00</t>
  </si>
  <si>
    <t>51.00</t>
  </si>
  <si>
    <t>48.00</t>
  </si>
  <si>
    <t>67.00</t>
  </si>
  <si>
    <t>59.00</t>
  </si>
  <si>
    <t>64.00</t>
  </si>
  <si>
    <t>38.00</t>
  </si>
  <si>
    <t>49.00</t>
  </si>
  <si>
    <t>15.00</t>
  </si>
  <si>
    <t>31.00</t>
  </si>
  <si>
    <t>1379</t>
  </si>
  <si>
    <t>1.00</t>
  </si>
  <si>
    <t>9.00</t>
  </si>
  <si>
    <t>10</t>
  </si>
  <si>
    <t>6.00</t>
  </si>
  <si>
    <t>2.00</t>
  </si>
  <si>
    <t>3.00</t>
  </si>
  <si>
    <t>5.00</t>
  </si>
  <si>
    <t>4.00</t>
  </si>
  <si>
    <t>7.00</t>
  </si>
  <si>
    <t>62</t>
  </si>
  <si>
    <t>24.00</t>
  </si>
  <si>
    <t>13.00</t>
  </si>
  <si>
    <t>12.00</t>
  </si>
  <si>
    <t>16.00</t>
  </si>
  <si>
    <t>18.00</t>
  </si>
  <si>
    <t>52.00</t>
  </si>
  <si>
    <t>41.00</t>
  </si>
  <si>
    <t>8.00</t>
  </si>
  <si>
    <t>10.00</t>
  </si>
  <si>
    <t>26.00</t>
  </si>
  <si>
    <t>322</t>
  </si>
  <si>
    <t>32.00</t>
  </si>
  <si>
    <t>14.00</t>
  </si>
  <si>
    <t>54.00</t>
  </si>
  <si>
    <t>30.00</t>
  </si>
  <si>
    <t>253</t>
  </si>
  <si>
    <t>12</t>
  </si>
  <si>
    <t>30</t>
  </si>
  <si>
    <t>11.00</t>
  </si>
  <si>
    <t>203</t>
  </si>
  <si>
    <t>17.00</t>
  </si>
  <si>
    <t>64</t>
  </si>
  <si>
    <t>28.00</t>
  </si>
  <si>
    <t>56.00</t>
  </si>
  <si>
    <t>42.00</t>
  </si>
  <si>
    <t>27.00</t>
  </si>
  <si>
    <t>37.00</t>
  </si>
  <si>
    <t>33.00</t>
  </si>
  <si>
    <t>78.00</t>
  </si>
  <si>
    <t>44.00</t>
  </si>
  <si>
    <t>22.00</t>
  </si>
  <si>
    <t>19.00</t>
  </si>
  <si>
    <t>823</t>
  </si>
  <si>
    <t>115039794.00</t>
  </si>
  <si>
    <t>114562073.00</t>
  </si>
  <si>
    <t>113954915.00</t>
  </si>
  <si>
    <t>116540171.00</t>
  </si>
  <si>
    <t>121335879.00</t>
  </si>
  <si>
    <t>126274020.00</t>
  </si>
  <si>
    <t>123571625.00</t>
  </si>
  <si>
    <t>123566056.00</t>
  </si>
  <si>
    <t>123887029.00</t>
  </si>
  <si>
    <t>122218016.00</t>
  </si>
  <si>
    <t>121827250.00</t>
  </si>
  <si>
    <t>120290627.00</t>
  </si>
  <si>
    <t>121561086.00</t>
  </si>
  <si>
    <t>121562851.00</t>
  </si>
  <si>
    <t>121011381.00</t>
  </si>
  <si>
    <t>119694976.00</t>
  </si>
  <si>
    <t>121762650.00</t>
  </si>
  <si>
    <t>126781925.00</t>
  </si>
  <si>
    <t>126453070.00</t>
  </si>
  <si>
    <t>127499981.00</t>
  </si>
  <si>
    <t>125081541.00</t>
  </si>
  <si>
    <t>125081790.00</t>
  </si>
  <si>
    <t>125120712.00</t>
  </si>
  <si>
    <t>124925519.00</t>
  </si>
  <si>
    <t>128324063.00</t>
  </si>
  <si>
    <t>129688441.00</t>
  </si>
  <si>
    <t>132411459.00</t>
  </si>
  <si>
    <t>129523806.00</t>
  </si>
  <si>
    <t>129516616.00</t>
  </si>
  <si>
    <t>131362406.00</t>
  </si>
  <si>
    <t>132005294.00</t>
  </si>
  <si>
    <t>123949581.35</t>
  </si>
  <si>
    <t>122165839.00</t>
  </si>
  <si>
    <t>122381209.00</t>
  </si>
  <si>
    <t>119057946.00</t>
  </si>
  <si>
    <t>119799112.00</t>
  </si>
  <si>
    <t>118247834.00</t>
  </si>
  <si>
    <t>118927084.00</t>
  </si>
  <si>
    <t>115749023.00</t>
  </si>
  <si>
    <t>115724595.00</t>
  </si>
  <si>
    <t>117126150.00</t>
  </si>
  <si>
    <t>115656918.00</t>
  </si>
  <si>
    <t>116485832.00</t>
  </si>
  <si>
    <t>115441584.00</t>
  </si>
  <si>
    <t>116128158.00</t>
  </si>
  <si>
    <t>116129443.00</t>
  </si>
  <si>
    <t>115360460.00</t>
  </si>
  <si>
    <t>115977339.00</t>
  </si>
  <si>
    <t>115752538.00</t>
  </si>
  <si>
    <t>115850088.00</t>
  </si>
  <si>
    <t>117177098.00</t>
  </si>
  <si>
    <t>116611091.00</t>
  </si>
  <si>
    <t>117328405.00</t>
  </si>
  <si>
    <t>117318090.00</t>
  </si>
  <si>
    <t>119231881.00</t>
  </si>
  <si>
    <t>118636462.00</t>
  </si>
  <si>
    <t>119593258.00</t>
  </si>
  <si>
    <t>122288170.00</t>
  </si>
  <si>
    <t>123710986.00</t>
  </si>
  <si>
    <t>125669186.00</t>
  </si>
  <si>
    <t>125644721.00</t>
  </si>
  <si>
    <t>125104507.00</t>
  </si>
  <si>
    <t>123221540.00</t>
  </si>
  <si>
    <t>118822469.26</t>
  </si>
  <si>
    <t>38518395.00</t>
  </si>
  <si>
    <t>37071755.00</t>
  </si>
  <si>
    <t>35822677.00</t>
  </si>
  <si>
    <t>34409197.00</t>
  </si>
  <si>
    <t>33325291.00</t>
  </si>
  <si>
    <t>32058203.00</t>
  </si>
  <si>
    <t>30981710.00</t>
  </si>
  <si>
    <t>30981020.00</t>
  </si>
  <si>
    <t>29628616.00</t>
  </si>
  <si>
    <t>30226540.00</t>
  </si>
  <si>
    <t>30012499.00</t>
  </si>
  <si>
    <t>30162888.00</t>
  </si>
  <si>
    <t>32001363.00</t>
  </si>
  <si>
    <t>31955990.00</t>
  </si>
  <si>
    <t>30615208.00</t>
  </si>
  <si>
    <t>32994927.00</t>
  </si>
  <si>
    <t>33347424.00</t>
  </si>
  <si>
    <t>33794815.00</t>
  </si>
  <si>
    <t>34295678.00</t>
  </si>
  <si>
    <t>33357408.00</t>
  </si>
  <si>
    <t>33355091.00</t>
  </si>
  <si>
    <t>33157976.00</t>
  </si>
  <si>
    <t>39220935.00</t>
  </si>
  <si>
    <t>40258727.00</t>
  </si>
  <si>
    <t>39362879.00</t>
  </si>
  <si>
    <t>41791034.00</t>
  </si>
  <si>
    <t>41115576.00</t>
  </si>
  <si>
    <t>41115056.00</t>
  </si>
  <si>
    <t>44096090.00</t>
  </si>
  <si>
    <t>42805521.00</t>
  </si>
  <si>
    <t>34962640.39</t>
  </si>
  <si>
    <t>3617751.00</t>
  </si>
  <si>
    <t>3669929.00</t>
  </si>
  <si>
    <t>3386345.00</t>
  </si>
  <si>
    <t>3430302.00</t>
  </si>
  <si>
    <t>3439086.00</t>
  </si>
  <si>
    <t>3519868.00</t>
  </si>
  <si>
    <t>3522328.00</t>
  </si>
  <si>
    <t>3676755.00</t>
  </si>
  <si>
    <t>3663163.00</t>
  </si>
  <si>
    <t>3680222.00</t>
  </si>
  <si>
    <t>3548338.00</t>
  </si>
  <si>
    <t>3631416.00</t>
  </si>
  <si>
    <t>3558496.00</t>
  </si>
  <si>
    <t>3627392.00</t>
  </si>
  <si>
    <t>3756358.00</t>
  </si>
  <si>
    <t>3685070.00</t>
  </si>
  <si>
    <t>3759177.00</t>
  </si>
  <si>
    <t>3765956.00</t>
  </si>
  <si>
    <t>3823363.00</t>
  </si>
  <si>
    <t>3865416.00</t>
  </si>
  <si>
    <t>3982065.00</t>
  </si>
  <si>
    <t>4057866.00</t>
  </si>
  <si>
    <t>4150043.00</t>
  </si>
  <si>
    <t>4161565.00</t>
  </si>
  <si>
    <t>4299819.00</t>
  </si>
  <si>
    <t>4318723.00</t>
  </si>
  <si>
    <t>3751919.13</t>
  </si>
  <si>
    <t>5228953.00</t>
  </si>
  <si>
    <t>5468264.00</t>
  </si>
  <si>
    <t>5418579.00</t>
  </si>
  <si>
    <t>5312981.00</t>
  </si>
  <si>
    <t>5276669.00</t>
  </si>
  <si>
    <t>5233969.00</t>
  </si>
  <si>
    <t>5231984.00</t>
  </si>
  <si>
    <t>5237746.00</t>
  </si>
  <si>
    <t>5324038.00</t>
  </si>
  <si>
    <t>5312569.00</t>
  </si>
  <si>
    <t>5488913.00</t>
  </si>
  <si>
    <t>5612610.00</t>
  </si>
  <si>
    <t>6473094.00</t>
  </si>
  <si>
    <t>6275675.00</t>
  </si>
  <si>
    <t>6333610.00</t>
  </si>
  <si>
    <t>5307878.00</t>
  </si>
  <si>
    <t>4994061.00</t>
  </si>
  <si>
    <t>5076141.00</t>
  </si>
  <si>
    <t>5127793.00</t>
  </si>
  <si>
    <t>5144090.00</t>
  </si>
  <si>
    <t>5200334.00</t>
  </si>
  <si>
    <t>5471776.00</t>
  </si>
  <si>
    <t>5624702.00</t>
  </si>
  <si>
    <t>5730227.00</t>
  </si>
  <si>
    <t>5855906.00</t>
  </si>
  <si>
    <t>5912997.00</t>
  </si>
  <si>
    <t>5481907.45</t>
  </si>
  <si>
    <t>897434.00</t>
  </si>
  <si>
    <t>895732.00</t>
  </si>
  <si>
    <t>893084.00</t>
  </si>
  <si>
    <t>892928.00</t>
  </si>
  <si>
    <t>868908.00</t>
  </si>
  <si>
    <t>868983.00</t>
  </si>
  <si>
    <t>868482.00</t>
  </si>
  <si>
    <t>996772.00</t>
  </si>
  <si>
    <t>1118588.00</t>
  </si>
  <si>
    <t>1610833.00</t>
  </si>
  <si>
    <t>1609107.00</t>
  </si>
  <si>
    <t>1608680.00</t>
  </si>
  <si>
    <t>1609184.00</t>
  </si>
  <si>
    <t>1611164.00</t>
  </si>
  <si>
    <t>1756084.00</t>
  </si>
  <si>
    <t>1772949.00</t>
  </si>
  <si>
    <t>1779434.00</t>
  </si>
  <si>
    <t>1838107.00</t>
  </si>
  <si>
    <t>1809515.00</t>
  </si>
  <si>
    <t>2062248.00</t>
  </si>
  <si>
    <t>2062163.00</t>
  </si>
  <si>
    <t>2113135.00</t>
  </si>
  <si>
    <t>2113285.00</t>
  </si>
  <si>
    <t>2114920.00</t>
  </si>
  <si>
    <t>2104304.00</t>
  </si>
  <si>
    <t>1507250.71</t>
  </si>
  <si>
    <t>1956851.00</t>
  </si>
  <si>
    <t>1960258.00</t>
  </si>
  <si>
    <t>1946812.00</t>
  </si>
  <si>
    <t>1675144.00</t>
  </si>
  <si>
    <t>1679462.00</t>
  </si>
  <si>
    <t>1681936.00</t>
  </si>
  <si>
    <t>1681953.00</t>
  </si>
  <si>
    <t>1677449.00</t>
  </si>
  <si>
    <t>1889968.00</t>
  </si>
  <si>
    <t>1900310.00</t>
  </si>
  <si>
    <t>1900445.00</t>
  </si>
  <si>
    <t>1904508.00</t>
  </si>
  <si>
    <t>1980795.00</t>
  </si>
  <si>
    <t>2347032.00</t>
  </si>
  <si>
    <t>2494787.00</t>
  </si>
  <si>
    <t>2522545.00</t>
  </si>
  <si>
    <t>2586423.00</t>
  </si>
  <si>
    <t>2594065.00</t>
  </si>
  <si>
    <t>2724276.00</t>
  </si>
  <si>
    <t>2751144.00</t>
  </si>
  <si>
    <t>2769020.00</t>
  </si>
  <si>
    <t>2767699.00</t>
  </si>
  <si>
    <t>2775115.00</t>
  </si>
  <si>
    <t>2775257.00</t>
  </si>
  <si>
    <t>2779466.00</t>
  </si>
  <si>
    <t>2761570.00</t>
  </si>
  <si>
    <t>2236921.97</t>
  </si>
  <si>
    <t>872428.00</t>
  </si>
  <si>
    <t>28142.84</t>
  </si>
  <si>
    <t>M</t>
  </si>
  <si>
    <t>27148.00</t>
  </si>
  <si>
    <t>25918.00</t>
  </si>
  <si>
    <t>25070.00</t>
  </si>
  <si>
    <t>7018.00</t>
  </si>
  <si>
    <t>5787.00</t>
  </si>
  <si>
    <t>8693.00</t>
  </si>
  <si>
    <t>40229.00</t>
  </si>
  <si>
    <t>43531.00</t>
  </si>
  <si>
    <t>41971.00</t>
  </si>
  <si>
    <t>40176.00</t>
  </si>
  <si>
    <t>26895.10</t>
  </si>
  <si>
    <t>YY</t>
  </si>
  <si>
    <t>MONTH01</t>
  </si>
  <si>
    <t>MONTH02</t>
  </si>
  <si>
    <t>MONTH03</t>
  </si>
  <si>
    <t>MONTH04</t>
  </si>
  <si>
    <t>MONTH05</t>
  </si>
  <si>
    <t>MONTH06</t>
  </si>
  <si>
    <t>MONTH07</t>
  </si>
  <si>
    <t>MONTH08</t>
  </si>
  <si>
    <t>MONTH09</t>
  </si>
  <si>
    <t>MONTH10</t>
  </si>
  <si>
    <t>MONTH11</t>
  </si>
  <si>
    <t>MONTH12</t>
  </si>
  <si>
    <t>MONTH01E</t>
  </si>
  <si>
    <t>MONTH02E</t>
  </si>
  <si>
    <t>MONTH03E</t>
  </si>
  <si>
    <t>MONTH04E</t>
  </si>
  <si>
    <t>MONTH05E</t>
  </si>
  <si>
    <t>MONTH06E</t>
  </si>
  <si>
    <t>MONTH07E</t>
  </si>
  <si>
    <t>MONTH08E</t>
  </si>
  <si>
    <t>MONTH09E</t>
  </si>
  <si>
    <t>MONTH10E</t>
  </si>
  <si>
    <t>MONTH11E</t>
  </si>
  <si>
    <t>MONTH12E</t>
  </si>
  <si>
    <t>AVGAMTE</t>
  </si>
  <si>
    <t>2024</t>
  </si>
  <si>
    <t>314557533.81</t>
  </si>
  <si>
    <t>320150563.14</t>
  </si>
  <si>
    <t>299795944.48</t>
  </si>
  <si>
    <t>312587014.40</t>
  </si>
  <si>
    <t>298505561.35</t>
  </si>
  <si>
    <t>285374822.87</t>
  </si>
  <si>
    <t>278970094.55</t>
  </si>
  <si>
    <t>275823889.94</t>
  </si>
  <si>
    <t>270078075.37</t>
  </si>
  <si>
    <t>259574066.45</t>
  </si>
  <si>
    <t>277969704.87</t>
  </si>
  <si>
    <t>290307934.00</t>
  </si>
  <si>
    <t>320041916.00</t>
  </si>
  <si>
    <t>310964603.00</t>
  </si>
  <si>
    <t>296432421.00</t>
  </si>
  <si>
    <t>317597899.00</t>
  </si>
  <si>
    <t>305526976.00</t>
  </si>
  <si>
    <t>269957930.00</t>
  </si>
  <si>
    <t>289521785.00</t>
  </si>
  <si>
    <t>271305369.00</t>
  </si>
  <si>
    <t>269988390.00</t>
  </si>
  <si>
    <t>271714973.00</t>
  </si>
  <si>
    <t>275742463.00</t>
  </si>
  <si>
    <t>290799520.00</t>
  </si>
  <si>
    <t>206912123.10</t>
  </si>
  <si>
    <t>215708609.14</t>
  </si>
  <si>
    <t>207176431.06</t>
  </si>
  <si>
    <t>204282453.20</t>
  </si>
  <si>
    <t>200885550.97</t>
  </si>
  <si>
    <t>202347703.87</t>
  </si>
  <si>
    <t>208739071.29</t>
  </si>
  <si>
    <t>214166359.13</t>
  </si>
  <si>
    <t>207609539.90</t>
  </si>
  <si>
    <t>206975412.10</t>
  </si>
  <si>
    <t>212566828.17</t>
  </si>
  <si>
    <t>207942735.00</t>
  </si>
  <si>
    <t>215745402.00</t>
  </si>
  <si>
    <t>209131927.00</t>
  </si>
  <si>
    <t>200568221.00</t>
  </si>
  <si>
    <t>206201980.00</t>
  </si>
  <si>
    <t>201548832.00</t>
  </si>
  <si>
    <t>205116020.00</t>
  </si>
  <si>
    <t>210389453.00</t>
  </si>
  <si>
    <t>207252289.00</t>
  </si>
  <si>
    <t>209906729.00</t>
  </si>
  <si>
    <t>207122102.00</t>
  </si>
  <si>
    <t>203514161.00</t>
  </si>
  <si>
    <t>206954283.00</t>
  </si>
  <si>
    <t>6495886.32</t>
  </si>
  <si>
    <t>7494429.93</t>
  </si>
  <si>
    <t>6854343.61</t>
  </si>
  <si>
    <t>6053291.63</t>
  </si>
  <si>
    <t>5613134.77</t>
  </si>
  <si>
    <t>5989590.20</t>
  </si>
  <si>
    <t>5081936.26</t>
  </si>
  <si>
    <t>5519734.19</t>
  </si>
  <si>
    <t>5154897.37</t>
  </si>
  <si>
    <t>4752781.65</t>
  </si>
  <si>
    <t>6093536.90</t>
  </si>
  <si>
    <t>5918506.00</t>
  </si>
  <si>
    <t>8519446.00</t>
  </si>
  <si>
    <t>8857102.00</t>
  </si>
  <si>
    <t>7752325.00</t>
  </si>
  <si>
    <t>5965486.00</t>
  </si>
  <si>
    <t>10220835.00</t>
  </si>
  <si>
    <t>5818525.00</t>
  </si>
  <si>
    <t>5300812.00</t>
  </si>
  <si>
    <t>6322044.00</t>
  </si>
  <si>
    <t>3634575.00</t>
  </si>
  <si>
    <t>7383719.00</t>
  </si>
  <si>
    <t>6911444.00</t>
  </si>
  <si>
    <t>10135370.61</t>
  </si>
  <si>
    <t>10139790.76</t>
  </si>
  <si>
    <t>8646912.84</t>
  </si>
  <si>
    <t>8481362.60</t>
  </si>
  <si>
    <t>7583623.06</t>
  </si>
  <si>
    <t>7531368.53</t>
  </si>
  <si>
    <t>8089236.87</t>
  </si>
  <si>
    <t>7061758.97</t>
  </si>
  <si>
    <t>5167505.27</t>
  </si>
  <si>
    <t>5207362.23</t>
  </si>
  <si>
    <t>6381202.47</t>
  </si>
  <si>
    <t>7675045.00</t>
  </si>
  <si>
    <t>9491358.00</t>
  </si>
  <si>
    <t>9285181.00</t>
  </si>
  <si>
    <t>8073862.00</t>
  </si>
  <si>
    <t>8156705.00</t>
  </si>
  <si>
    <t>7192801.00</t>
  </si>
  <si>
    <t>8065885.00</t>
  </si>
  <si>
    <t>7485164.00</t>
  </si>
  <si>
    <t>5943657.00</t>
  </si>
  <si>
    <t>5323568.00</t>
  </si>
  <si>
    <t>5600103.00</t>
  </si>
  <si>
    <t>7680543.00</t>
  </si>
  <si>
    <t>20171574.48</t>
  </si>
  <si>
    <t>17560959.17</t>
  </si>
  <si>
    <t>18385537.71</t>
  </si>
  <si>
    <t>19386565.97</t>
  </si>
  <si>
    <t>17634223.77</t>
  </si>
  <si>
    <t>17733357.03</t>
  </si>
  <si>
    <t>18843175.26</t>
  </si>
  <si>
    <t>19498579.58</t>
  </si>
  <si>
    <t>18278527.00</t>
  </si>
  <si>
    <t>17949341.39</t>
  </si>
  <si>
    <t>19855334.50</t>
  </si>
  <si>
    <t>18663380.00</t>
  </si>
  <si>
    <t>19716020.00</t>
  </si>
  <si>
    <t>17301438.00</t>
  </si>
  <si>
    <t>21680892.00</t>
  </si>
  <si>
    <t>18557073.00</t>
  </si>
  <si>
    <t>20311032.00</t>
  </si>
  <si>
    <t>18159338.00</t>
  </si>
  <si>
    <t>23062546.00</t>
  </si>
  <si>
    <t>19586074.00</t>
  </si>
  <si>
    <t>18620927.00</t>
  </si>
  <si>
    <t>20375119.00</t>
  </si>
  <si>
    <t>19814661.00</t>
  </si>
  <si>
    <t>11473864.61</t>
  </si>
  <si>
    <t>12767175.41</t>
  </si>
  <si>
    <t>12065504.35</t>
  </si>
  <si>
    <t>11295529.37</t>
  </si>
  <si>
    <t>12378889.16</t>
  </si>
  <si>
    <t>11875987.47</t>
  </si>
  <si>
    <t>10160463.26</t>
  </si>
  <si>
    <t>11552000.48</t>
  </si>
  <si>
    <t>11338983.80</t>
  </si>
  <si>
    <t>10481929.52</t>
  </si>
  <si>
    <t>10645600.70</t>
  </si>
  <si>
    <t>11457812.00</t>
  </si>
  <si>
    <t>18315866.00</t>
  </si>
  <si>
    <t>19646016.00</t>
  </si>
  <si>
    <t>20355369.00</t>
  </si>
  <si>
    <t>21858223.00</t>
  </si>
  <si>
    <t>20125300.00</t>
  </si>
  <si>
    <t>17428840.00</t>
  </si>
  <si>
    <t>17093937.00</t>
  </si>
  <si>
    <t>16642849.00</t>
  </si>
  <si>
    <t>14236850.00</t>
  </si>
  <si>
    <t>16641015.00</t>
  </si>
  <si>
    <t>17684839.00</t>
  </si>
  <si>
    <t>1465750.13</t>
  </si>
  <si>
    <t>1306846.00</t>
  </si>
  <si>
    <t>1502212.29</t>
  </si>
  <si>
    <t>1973206.50</t>
  </si>
  <si>
    <t>3202960.19</t>
  </si>
  <si>
    <t>3923864.50</t>
  </si>
  <si>
    <t>2632016.00</t>
  </si>
  <si>
    <t>5048715.55</t>
  </si>
  <si>
    <t>2963393.17</t>
  </si>
  <si>
    <t>2143242.90</t>
  </si>
  <si>
    <t>1640558.07</t>
  </si>
  <si>
    <t>2527524.00</t>
  </si>
  <si>
    <t>1153561.00</t>
  </si>
  <si>
    <t>1093026.00</t>
  </si>
  <si>
    <t>1830576.00</t>
  </si>
  <si>
    <t>2195011.00</t>
  </si>
  <si>
    <t>4212366.00</t>
  </si>
  <si>
    <t>2831031.00</t>
  </si>
  <si>
    <t>3527857.00</t>
  </si>
  <si>
    <t>4337244.00</t>
  </si>
  <si>
    <t>2408410.00</t>
  </si>
  <si>
    <t>1991910.00</t>
  </si>
  <si>
    <t>2478983.00</t>
  </si>
  <si>
    <t>108451.90</t>
  </si>
  <si>
    <t>103632.55</t>
  </si>
  <si>
    <t>104485.67</t>
  </si>
  <si>
    <t>105700.29</t>
  </si>
  <si>
    <t>103309.00</t>
  </si>
  <si>
    <t>101714.81</t>
  </si>
  <si>
    <t>108372.33</t>
  </si>
  <si>
    <t>105729.00</t>
  </si>
  <si>
    <t>98014.00</t>
  </si>
  <si>
    <t>105234.00</t>
  </si>
  <si>
    <t>2270012.39</t>
  </si>
  <si>
    <t>2499969.66</t>
  </si>
  <si>
    <t>2054333.39</t>
  </si>
  <si>
    <t>2020258.00</t>
  </si>
  <si>
    <t>1922622.77</t>
  </si>
  <si>
    <t>2093974.77</t>
  </si>
  <si>
    <t>1681575.87</t>
  </si>
  <si>
    <t>1804394.48</t>
  </si>
  <si>
    <t>1659056.93</t>
  </si>
  <si>
    <t>1950907.87</t>
  </si>
  <si>
    <t>2150497.43</t>
  </si>
  <si>
    <t>2009782.00</t>
  </si>
  <si>
    <t>2503602.00</t>
  </si>
  <si>
    <t>2263935.00</t>
  </si>
  <si>
    <t>2066460.00</t>
  </si>
  <si>
    <t>1695859.00</t>
  </si>
  <si>
    <t>2648719.00</t>
  </si>
  <si>
    <t>1739655.00</t>
  </si>
  <si>
    <t>1333941.00</t>
  </si>
  <si>
    <t>1721883.00</t>
  </si>
  <si>
    <t>1705812.00</t>
  </si>
  <si>
    <t>2517979.00</t>
  </si>
  <si>
    <t>2020630.00</t>
  </si>
  <si>
    <t>400795.10</t>
  </si>
  <si>
    <t>322614.21</t>
  </si>
  <si>
    <t>348324.77</t>
  </si>
  <si>
    <t>355888.00</t>
  </si>
  <si>
    <t>295848.65</t>
  </si>
  <si>
    <t>267515.67</t>
  </si>
  <si>
    <t>340924.77</t>
  </si>
  <si>
    <t>315048.00</t>
  </si>
  <si>
    <t>270000.67</t>
  </si>
  <si>
    <t>270572.52</t>
  </si>
  <si>
    <t>250385.67</t>
  </si>
  <si>
    <t>312538.00</t>
  </si>
  <si>
    <t>356888.00</t>
  </si>
  <si>
    <t>303568.00</t>
  </si>
  <si>
    <t>415568.00</t>
  </si>
  <si>
    <t>314328.00</t>
  </si>
  <si>
    <t>288908.00</t>
  </si>
  <si>
    <t>269788.00</t>
  </si>
  <si>
    <t>367208.00</t>
  </si>
  <si>
    <t>307018.00</t>
  </si>
  <si>
    <t>276858.00</t>
  </si>
  <si>
    <t>299838.00</t>
  </si>
  <si>
    <t>310209.00</t>
  </si>
  <si>
    <t>1618314.65</t>
  </si>
  <si>
    <t>1618917.00</t>
  </si>
  <si>
    <t>1625469.81</t>
  </si>
  <si>
    <t>1625428.00</t>
  </si>
  <si>
    <t>1619820.16</t>
  </si>
  <si>
    <t>4558497.83</t>
  </si>
  <si>
    <t>11279914.65</t>
  </si>
  <si>
    <t>8378661.13</t>
  </si>
  <si>
    <t>6825755.40</t>
  </si>
  <si>
    <t>5487272.42</t>
  </si>
  <si>
    <t>4200015.10</t>
  </si>
  <si>
    <t>4439824.00</t>
  </si>
  <si>
    <t>1617673.00</t>
  </si>
  <si>
    <t>1620429.00</t>
  </si>
  <si>
    <t>15398392.00</t>
  </si>
  <si>
    <t>9419954.00</t>
  </si>
  <si>
    <t>7518594.00</t>
  </si>
  <si>
    <t>6123983.00</t>
  </si>
  <si>
    <t>4909457.00</t>
  </si>
  <si>
    <t>5000021.00</t>
  </si>
  <si>
    <t>17-8</t>
  </si>
  <si>
    <t>6155182.10</t>
  </si>
  <si>
    <t>6128761.72</t>
  </si>
  <si>
    <t>6261052.61</t>
  </si>
  <si>
    <t>5420202.47</t>
  </si>
  <si>
    <t>6493475.77</t>
  </si>
  <si>
    <t>5367658.93</t>
  </si>
  <si>
    <t>5440689.48</t>
  </si>
  <si>
    <t>5996135.16</t>
  </si>
  <si>
    <t>7195606.47</t>
  </si>
  <si>
    <t>6509718.58</t>
  </si>
  <si>
    <t>6182121.00</t>
  </si>
  <si>
    <t>6104600.00</t>
  </si>
  <si>
    <t>7043784.00</t>
  </si>
  <si>
    <t>9844788.00</t>
  </si>
  <si>
    <t>6936000.00</t>
  </si>
  <si>
    <t>10480425.00</t>
  </si>
  <si>
    <t>6099202.00</t>
  </si>
  <si>
    <t>8408873.00</t>
  </si>
  <si>
    <t>6694936.00</t>
  </si>
  <si>
    <t>8921404.00</t>
  </si>
  <si>
    <t>8857867.00</t>
  </si>
  <si>
    <t>9356675.00</t>
  </si>
  <si>
    <t>8093241.00</t>
  </si>
  <si>
    <t>12042609.42</t>
  </si>
  <si>
    <t>10437480.62</t>
  </si>
  <si>
    <t>11422439.35</t>
  </si>
  <si>
    <t>13587909.43</t>
  </si>
  <si>
    <t>11594011.58</t>
  </si>
  <si>
    <t>12046821.23</t>
  </si>
  <si>
    <t>11848238.03</t>
  </si>
  <si>
    <t>11791748.65</t>
  </si>
  <si>
    <t>11302143.77</t>
  </si>
  <si>
    <t>11180635.68</t>
  </si>
  <si>
    <t>11496396.17</t>
  </si>
  <si>
    <t>11704585.00</t>
  </si>
  <si>
    <t>11455375.00</t>
  </si>
  <si>
    <t>10525971.00</t>
  </si>
  <si>
    <t>12833619.00</t>
  </si>
  <si>
    <t>12005213.00</t>
  </si>
  <si>
    <t>13021816.00</t>
  </si>
  <si>
    <t>12045912.00</t>
  </si>
  <si>
    <t>12049234.00</t>
  </si>
  <si>
    <t>12512149.00</t>
  </si>
  <si>
    <t>11724433.00</t>
  </si>
  <si>
    <t>11370695.00</t>
  </si>
  <si>
    <t>11997907.00</t>
  </si>
  <si>
    <t>8107172.03</t>
  </si>
  <si>
    <t>8993685.07</t>
  </si>
  <si>
    <t>8422435.35</t>
  </si>
  <si>
    <t>8715484.73</t>
  </si>
  <si>
    <t>7724670.48</t>
  </si>
  <si>
    <t>8804428.33</t>
  </si>
  <si>
    <t>8796700.26</t>
  </si>
  <si>
    <t>8907951.39</t>
  </si>
  <si>
    <t>7524486.13</t>
  </si>
  <si>
    <t>9703232.90</t>
  </si>
  <si>
    <t>9283951.47</t>
  </si>
  <si>
    <t>8634927.00</t>
  </si>
  <si>
    <t>8608438.00</t>
  </si>
  <si>
    <t>9283243.00</t>
  </si>
  <si>
    <t>8908680.00</t>
  </si>
  <si>
    <t>8046467.00</t>
  </si>
  <si>
    <t>8010905.00</t>
  </si>
  <si>
    <t>8333463.00</t>
  </si>
  <si>
    <t>9465910.00</t>
  </si>
  <si>
    <t>8047541.00</t>
  </si>
  <si>
    <t>7156648.00</t>
  </si>
  <si>
    <t>9473615.00</t>
  </si>
  <si>
    <t>8558526.00</t>
  </si>
  <si>
    <t>145238.65</t>
  </si>
  <si>
    <t>203073.59</t>
  </si>
  <si>
    <t>172134.16</t>
  </si>
  <si>
    <t>214894.00</t>
  </si>
  <si>
    <t>178230.90</t>
  </si>
  <si>
    <t>143824.00</t>
  </si>
  <si>
    <t>198530.26</t>
  </si>
  <si>
    <t>204784.39</t>
  </si>
  <si>
    <t>157849.00</t>
  </si>
  <si>
    <t>170826.42</t>
  </si>
  <si>
    <t>135220.60</t>
  </si>
  <si>
    <t>174964.00</t>
  </si>
  <si>
    <t>132166.00</t>
  </si>
  <si>
    <t>140806.00</t>
  </si>
  <si>
    <t>202078.00</t>
  </si>
  <si>
    <t>163198.00</t>
  </si>
  <si>
    <t>179398.00</t>
  </si>
  <si>
    <t>187138.00</t>
  </si>
  <si>
    <t>148849.00</t>
  </si>
  <si>
    <t>154444.00</t>
  </si>
  <si>
    <t>9666211.94</t>
  </si>
  <si>
    <t>9665747.17</t>
  </si>
  <si>
    <t>8302853.29</t>
  </si>
  <si>
    <t>8758509.80</t>
  </si>
  <si>
    <t>9116051.65</t>
  </si>
  <si>
    <t>8379611.47</t>
  </si>
  <si>
    <t>7826773.45</t>
  </si>
  <si>
    <t>9554143.84</t>
  </si>
  <si>
    <t>7780853.23</t>
  </si>
  <si>
    <t>7906898.71</t>
  </si>
  <si>
    <t>9181829.70</t>
  </si>
  <si>
    <t>8739953.00</t>
  </si>
  <si>
    <t>10106785.00</t>
  </si>
  <si>
    <t>8151178.00</t>
  </si>
  <si>
    <t>10643731.00</t>
  </si>
  <si>
    <t>10967729.00</t>
  </si>
  <si>
    <t>10090440.00</t>
  </si>
  <si>
    <t>9595298.00</t>
  </si>
  <si>
    <t>10870131.00</t>
  </si>
  <si>
    <t>9930428.00</t>
  </si>
  <si>
    <t>6710340.00</t>
  </si>
  <si>
    <t>12962574.00</t>
  </si>
  <si>
    <t>9992610.00</t>
  </si>
  <si>
    <t>5635626.42</t>
  </si>
  <si>
    <t>5988343.14</t>
  </si>
  <si>
    <t>6134297.48</t>
  </si>
  <si>
    <t>5679433.57</t>
  </si>
  <si>
    <t>5329374.74</t>
  </si>
  <si>
    <t>5298088.76</t>
  </si>
  <si>
    <t>3233971.71</t>
  </si>
  <si>
    <t>2508251.39</t>
  </si>
  <si>
    <t>2083273.47</t>
  </si>
  <si>
    <t>2185932.39</t>
  </si>
  <si>
    <t>2726655.50</t>
  </si>
  <si>
    <t>4254841.00</t>
  </si>
  <si>
    <t>6458528.00</t>
  </si>
  <si>
    <t>6113407.00</t>
  </si>
  <si>
    <t>6967702.00</t>
  </si>
  <si>
    <t>6029562.00</t>
  </si>
  <si>
    <t>6991545.00</t>
  </si>
  <si>
    <t>3889535.00</t>
  </si>
  <si>
    <t>3155329.00</t>
  </si>
  <si>
    <t>1999580.00</t>
  </si>
  <si>
    <t>2443680.00</t>
  </si>
  <si>
    <t>2551193.00</t>
  </si>
  <si>
    <t>4478198.00</t>
  </si>
  <si>
    <t>87</t>
  </si>
  <si>
    <t>84.8</t>
  </si>
  <si>
    <t>91.4</t>
  </si>
  <si>
    <t>91.3</t>
  </si>
  <si>
    <t>88.4</t>
  </si>
  <si>
    <t>84.9</t>
  </si>
  <si>
    <t>90.4</t>
  </si>
  <si>
    <t>92.5</t>
  </si>
  <si>
    <t>78.6</t>
  </si>
  <si>
    <t>89.3</t>
  </si>
  <si>
    <t>90.3</t>
  </si>
  <si>
    <t>92.7</t>
  </si>
  <si>
    <t>95.3</t>
  </si>
  <si>
    <t>50</t>
  </si>
  <si>
    <t>25</t>
  </si>
  <si>
    <t>15.9</t>
  </si>
  <si>
    <t>87.5</t>
  </si>
  <si>
    <t>85.2</t>
  </si>
  <si>
    <t>92.6</t>
  </si>
  <si>
    <t>93.7</t>
  </si>
  <si>
    <t>93.4</t>
  </si>
  <si>
    <t>91.2</t>
  </si>
  <si>
    <t>92.9</t>
  </si>
  <si>
    <t>81.6</t>
  </si>
  <si>
    <t>87.1</t>
  </si>
  <si>
    <t>90.7</t>
  </si>
  <si>
    <t>91.7</t>
  </si>
  <si>
    <t>79</t>
  </si>
  <si>
    <t>89.4</t>
  </si>
  <si>
    <t>90.2</t>
  </si>
  <si>
    <t>18.1</t>
  </si>
  <si>
    <t>93.6</t>
  </si>
  <si>
    <t>AVGITEMS</t>
  </si>
  <si>
    <t>4854</t>
  </si>
  <si>
    <t>3515</t>
  </si>
  <si>
    <t>5075</t>
  </si>
  <si>
    <t>3601</t>
  </si>
  <si>
    <t>4098</t>
  </si>
  <si>
    <t>3642</t>
  </si>
  <si>
    <t>4783</t>
  </si>
  <si>
    <t>6328</t>
  </si>
  <si>
    <t>5071</t>
  </si>
  <si>
    <t>6703</t>
  </si>
  <si>
    <t>5572</t>
  </si>
  <si>
    <t>4840</t>
  </si>
  <si>
    <t>1018</t>
  </si>
  <si>
    <t>632</t>
  </si>
  <si>
    <t>672</t>
  </si>
  <si>
    <t>641</t>
  </si>
  <si>
    <t>653</t>
  </si>
  <si>
    <t>647</t>
  </si>
  <si>
    <t>806</t>
  </si>
  <si>
    <t>792</t>
  </si>
  <si>
    <t>1125</t>
  </si>
  <si>
    <t>949</t>
  </si>
  <si>
    <t>869</t>
  </si>
  <si>
    <t>800</t>
  </si>
  <si>
    <t>53</t>
  </si>
  <si>
    <t>45</t>
  </si>
  <si>
    <t>29</t>
  </si>
  <si>
    <t>16</t>
  </si>
  <si>
    <t>14</t>
  </si>
  <si>
    <t>280</t>
  </si>
  <si>
    <t>160</t>
  </si>
  <si>
    <t>245</t>
  </si>
  <si>
    <t>74</t>
  </si>
  <si>
    <t>48</t>
  </si>
  <si>
    <t>117</t>
  </si>
  <si>
    <t>165</t>
  </si>
  <si>
    <t>47</t>
  </si>
  <si>
    <t>49</t>
  </si>
  <si>
    <t>34</t>
  </si>
  <si>
    <t>120</t>
  </si>
  <si>
    <t>337</t>
  </si>
  <si>
    <t>179</t>
  </si>
  <si>
    <t>292</t>
  </si>
  <si>
    <t>197</t>
  </si>
  <si>
    <t>258</t>
  </si>
  <si>
    <t>284</t>
  </si>
  <si>
    <t>366</t>
  </si>
  <si>
    <t>250</t>
  </si>
  <si>
    <t>232</t>
  </si>
  <si>
    <t>528</t>
  </si>
  <si>
    <t>237</t>
  </si>
  <si>
    <t>287</t>
  </si>
  <si>
    <t>170</t>
  </si>
  <si>
    <t>191</t>
  </si>
  <si>
    <t>123</t>
  </si>
  <si>
    <t>146</t>
  </si>
  <si>
    <t>184</t>
  </si>
  <si>
    <t>201</t>
  </si>
  <si>
    <t>509</t>
  </si>
  <si>
    <t>178</t>
  </si>
  <si>
    <t>395</t>
  </si>
  <si>
    <t>164</t>
  </si>
  <si>
    <t>82</t>
  </si>
  <si>
    <t>213</t>
  </si>
  <si>
    <t>7</t>
  </si>
  <si>
    <t>17</t>
  </si>
  <si>
    <t>38</t>
  </si>
  <si>
    <t>71</t>
  </si>
  <si>
    <t>18</t>
  </si>
  <si>
    <t>65</t>
  </si>
  <si>
    <t>8</t>
  </si>
  <si>
    <t>5</t>
  </si>
  <si>
    <t>23</t>
  </si>
  <si>
    <t>21</t>
  </si>
  <si>
    <t>24</t>
  </si>
  <si>
    <t>42</t>
  </si>
  <si>
    <t>55</t>
  </si>
  <si>
    <t>68</t>
  </si>
  <si>
    <t>51</t>
  </si>
  <si>
    <t>76</t>
  </si>
  <si>
    <t>118</t>
  </si>
  <si>
    <t>59</t>
  </si>
  <si>
    <t>69</t>
  </si>
  <si>
    <t>424</t>
  </si>
  <si>
    <t>338</t>
  </si>
  <si>
    <t>285</t>
  </si>
  <si>
    <t>266</t>
  </si>
  <si>
    <t>303</t>
  </si>
  <si>
    <t>269</t>
  </si>
  <si>
    <t>202</t>
  </si>
  <si>
    <t>263</t>
  </si>
  <si>
    <t>294</t>
  </si>
  <si>
    <t>39</t>
  </si>
  <si>
    <t>103</t>
  </si>
  <si>
    <t>90</t>
  </si>
  <si>
    <t>52</t>
  </si>
  <si>
    <t>67</t>
  </si>
  <si>
    <t>57</t>
  </si>
  <si>
    <t>31</t>
  </si>
  <si>
    <t>19</t>
  </si>
  <si>
    <t>951</t>
  </si>
  <si>
    <t>613</t>
  </si>
  <si>
    <t>694</t>
  </si>
  <si>
    <t>726</t>
  </si>
  <si>
    <t>914</t>
  </si>
  <si>
    <t>715</t>
  </si>
  <si>
    <t>811</t>
  </si>
  <si>
    <t>808</t>
  </si>
  <si>
    <t>776</t>
  </si>
  <si>
    <t>995</t>
  </si>
  <si>
    <t>893</t>
  </si>
  <si>
    <t>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</si>
</sst>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3" formatCode="_-* #,##0.00_-;\-* #,##0.00_-;_-* &quot;-&quot;??_-;_-@_-"/>
    <numFmt numFmtId="176" formatCode="#,##0_);[Red]\(#,##0\)"/>
    <numFmt numFmtId="177" formatCode="0.00_ "/>
    <numFmt numFmtId="178" formatCode="m&quot;月&quot;d&quot;日&quot;"/>
    <numFmt numFmtId="179" formatCode="#,##0_);\(#,##0\)"/>
    <numFmt numFmtId="180" formatCode="0.0_ "/>
    <numFmt numFmtId="181" formatCode="0.0_);[Red]\(0.0\)"/>
    <numFmt numFmtId="182" formatCode="#,##0_ "/>
    <numFmt numFmtId="183" formatCode="0.0%"/>
    <numFmt numFmtId="184" formatCode="0.00_);[Red]\(0.00\)"/>
    <numFmt numFmtId="185" formatCode="#,##0.00_);[Red]\(#,##0.00\)"/>
    <numFmt numFmtId="186" formatCode="0_ "/>
    <numFmt numFmtId="187" formatCode="_-* #,##0_-;\-* #,##0_-;_-* &quot;-&quot;??_-;_-@_-"/>
  </numFmts>
  <fonts count="65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Arial"/>
      <family val="2"/>
    </font>
    <font>
      <sz val="12"/>
      <name val="Courier"/>
      <family val="3"/>
    </font>
    <font>
      <sz val="14"/>
      <name val="標楷體"/>
      <family val="4"/>
      <charset val="136"/>
    </font>
    <font>
      <sz val="14"/>
      <name val="Arial"/>
      <family val="2"/>
    </font>
    <font>
      <u/>
      <sz val="6"/>
      <color indexed="12"/>
      <name val="Courier"/>
      <family val="3"/>
    </font>
    <font>
      <sz val="16"/>
      <name val="標楷體"/>
      <family val="4"/>
      <charset val="136"/>
    </font>
    <font>
      <sz val="16"/>
      <name val="Arial"/>
      <family val="2"/>
    </font>
    <font>
      <sz val="14"/>
      <color indexed="8"/>
      <name val="Arial"/>
      <family val="2"/>
    </font>
    <font>
      <sz val="12"/>
      <color indexed="9"/>
      <name val="Arial"/>
      <family val="2"/>
    </font>
    <font>
      <b/>
      <sz val="16"/>
      <name val="標楷體"/>
      <family val="4"/>
      <charset val="136"/>
    </font>
    <font>
      <b/>
      <sz val="16"/>
      <name val="Arial"/>
      <family val="2"/>
    </font>
    <font>
      <b/>
      <sz val="14"/>
      <name val="Arial"/>
      <family val="2"/>
    </font>
    <font>
      <b/>
      <sz val="14"/>
      <name val="標楷體"/>
      <family val="4"/>
      <charset val="136"/>
    </font>
    <font>
      <sz val="16"/>
      <color indexed="10"/>
      <name val="Arial"/>
      <family val="2"/>
    </font>
    <font>
      <sz val="14"/>
      <color indexed="8"/>
      <name val="標楷體"/>
      <family val="4"/>
      <charset val="136"/>
    </font>
    <font>
      <sz val="16"/>
      <color indexed="8"/>
      <name val="Arial"/>
      <family val="2"/>
    </font>
    <font>
      <b/>
      <sz val="12"/>
      <color indexed="10"/>
      <name val="Arial"/>
      <family val="2"/>
    </font>
    <font>
      <sz val="11"/>
      <color indexed="10"/>
      <name val="Arial"/>
      <family val="2"/>
    </font>
    <font>
      <sz val="16"/>
      <color indexed="8"/>
      <name val="標楷體"/>
      <family val="4"/>
      <charset val="136"/>
    </font>
    <font>
      <sz val="14"/>
      <name val="細明體"/>
      <family val="3"/>
      <charset val="136"/>
    </font>
    <font>
      <b/>
      <sz val="14"/>
      <color indexed="10"/>
      <name val="Arial"/>
      <family val="2"/>
    </font>
    <font>
      <sz val="14"/>
      <color indexed="10"/>
      <name val="Arial"/>
      <family val="2"/>
    </font>
    <font>
      <sz val="14"/>
      <color indexed="8"/>
      <name val="細明體"/>
      <family val="3"/>
      <charset val="136"/>
    </font>
    <font>
      <sz val="10"/>
      <color indexed="8"/>
      <name val="Tahoma"/>
      <family val="2"/>
    </font>
    <font>
      <sz val="10"/>
      <name val="Tahoma"/>
      <family val="2"/>
    </font>
    <font>
      <sz val="10"/>
      <color indexed="8"/>
      <name val="Arial"/>
      <family val="2"/>
    </font>
    <font>
      <sz val="12"/>
      <color indexed="8"/>
      <name val="Tahoma"/>
      <family val="2"/>
    </font>
    <font>
      <sz val="14"/>
      <color indexed="8"/>
      <name val="Tahoma"/>
      <family val="2"/>
    </font>
    <font>
      <sz val="10"/>
      <color indexed="8"/>
      <name val="標楷體"/>
      <family val="4"/>
      <charset val="136"/>
    </font>
    <font>
      <sz val="9"/>
      <color indexed="8"/>
      <name val="Arial"/>
      <family val="2"/>
    </font>
    <font>
      <sz val="10"/>
      <name val="標楷體"/>
      <family val="4"/>
      <charset val="136"/>
    </font>
    <font>
      <b/>
      <sz val="10"/>
      <color indexed="63"/>
      <name val="標楷體"/>
      <family val="4"/>
      <charset val="136"/>
    </font>
    <font>
      <b/>
      <sz val="10"/>
      <color indexed="63"/>
      <name val="Arial"/>
      <family val="2"/>
    </font>
    <font>
      <sz val="8"/>
      <color indexed="63"/>
      <name val="Arial"/>
      <family val="2"/>
    </font>
    <font>
      <sz val="10"/>
      <color indexed="63"/>
      <name val="Arial"/>
      <family val="2"/>
    </font>
    <font>
      <sz val="10"/>
      <name val="Arial"/>
      <family val="2"/>
    </font>
    <font>
      <b/>
      <sz val="10"/>
      <name val="標楷體"/>
      <family val="4"/>
      <charset val="136"/>
    </font>
    <font>
      <sz val="8"/>
      <color indexed="8"/>
      <name val="Arial"/>
      <family val="2"/>
    </font>
    <font>
      <sz val="10"/>
      <color indexed="10"/>
      <name val="Arial"/>
      <family val="2"/>
    </font>
    <font>
      <sz val="8"/>
      <color indexed="8"/>
      <name val="Tahoma"/>
      <family val="2"/>
    </font>
    <font>
      <b/>
      <sz val="10"/>
      <color indexed="10"/>
      <name val="Arial"/>
      <family val="2"/>
    </font>
    <font>
      <sz val="10"/>
      <color indexed="9"/>
      <name val="Arial"/>
      <family val="2"/>
    </font>
    <font>
      <sz val="8"/>
      <name val="Arial"/>
      <family val="2"/>
    </font>
    <font>
      <sz val="8"/>
      <name val="新細明體"/>
      <family val="1"/>
      <charset val="136"/>
    </font>
    <font>
      <sz val="6"/>
      <name val="新細明體"/>
      <family val="1"/>
      <charset val="136"/>
    </font>
    <font>
      <b/>
      <sz val="7"/>
      <name val="Arial"/>
      <family val="2"/>
    </font>
    <font>
      <b/>
      <sz val="12"/>
      <name val="Arial"/>
      <family val="2"/>
    </font>
    <font>
      <sz val="8"/>
      <name val="細明體"/>
      <family val="3"/>
      <charset val="136"/>
    </font>
    <font>
      <b/>
      <sz val="14"/>
      <color indexed="8"/>
      <name val="Arial"/>
      <family val="2"/>
    </font>
    <font>
      <sz val="10"/>
      <name val="細明體"/>
      <family val="3"/>
      <charset val="136"/>
    </font>
    <font>
      <b/>
      <sz val="12"/>
      <name val="Times New Roman"/>
      <family val="1"/>
    </font>
    <font>
      <sz val="9"/>
      <name val="Arial"/>
      <family val="2"/>
    </font>
    <font>
      <b/>
      <sz val="10"/>
      <name val="Arial"/>
      <family val="2"/>
    </font>
    <font>
      <b/>
      <sz val="8"/>
      <color indexed="10"/>
      <name val="Arial"/>
      <family val="2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  <font>
      <sz val="10"/>
      <color indexed="8"/>
      <name val="細明體"/>
      <family val="3"/>
      <charset val="136"/>
    </font>
    <font>
      <sz val="12"/>
      <name val="華康儷中黑(P)"/>
      <family val="1"/>
      <charset val="136"/>
    </font>
    <font>
      <b/>
      <sz val="12"/>
      <name val="華康儷中黑(P)"/>
      <family val="1"/>
      <charset val="136"/>
    </font>
    <font>
      <sz val="11"/>
      <name val="華康儷中黑(P)"/>
      <family val="1"/>
      <charset val="136"/>
    </font>
    <font>
      <b/>
      <sz val="14"/>
      <color rgb="FFFF0000"/>
      <name val="Arial"/>
      <family val="2"/>
    </font>
    <font>
      <sz val="8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>
      <alignment vertical="center"/>
    </xf>
    <xf numFmtId="4" fontId="53" fillId="0" borderId="1">
      <alignment horizontal="right"/>
    </xf>
    <xf numFmtId="0" fontId="26" fillId="0" borderId="0"/>
    <xf numFmtId="0" fontId="1" fillId="0" borderId="0">
      <alignment vertical="center"/>
    </xf>
    <xf numFmtId="0" fontId="4" fillId="0" borderId="0"/>
    <xf numFmtId="0" fontId="1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790">
    <xf numFmtId="0" fontId="0" fillId="0" borderId="0" xfId="0">
      <alignment vertical="center"/>
    </xf>
    <xf numFmtId="0" fontId="0" fillId="0" borderId="0" xfId="0" quotePrefix="1">
      <alignment vertical="center"/>
    </xf>
    <xf numFmtId="0" fontId="3" fillId="2" borderId="0" xfId="4" applyFont="1" applyFill="1"/>
    <xf numFmtId="176" fontId="5" fillId="2" borderId="0" xfId="4" applyNumberFormat="1" applyFont="1" applyFill="1"/>
    <xf numFmtId="176" fontId="6" fillId="2" borderId="0" xfId="4" applyNumberFormat="1" applyFont="1" applyFill="1"/>
    <xf numFmtId="0" fontId="6" fillId="2" borderId="0" xfId="4" applyFont="1" applyFill="1"/>
    <xf numFmtId="0" fontId="7" fillId="2" borderId="0" xfId="6" applyFill="1" applyBorder="1" applyAlignment="1" applyProtection="1"/>
    <xf numFmtId="0" fontId="8" fillId="2" borderId="0" xfId="4" applyFont="1" applyFill="1"/>
    <xf numFmtId="0" fontId="9" fillId="2" borderId="0" xfId="4" applyFont="1" applyFill="1"/>
    <xf numFmtId="176" fontId="3" fillId="2" borderId="0" xfId="4" applyNumberFormat="1" applyFont="1" applyFill="1"/>
    <xf numFmtId="178" fontId="10" fillId="3" borderId="2" xfId="4" quotePrefix="1" applyNumberFormat="1" applyFont="1" applyFill="1" applyBorder="1" applyAlignment="1">
      <alignment horizontal="center" vertical="center" wrapText="1"/>
    </xf>
    <xf numFmtId="0" fontId="6" fillId="0" borderId="0" xfId="4" applyFont="1" applyAlignment="1">
      <alignment vertical="center"/>
    </xf>
    <xf numFmtId="178" fontId="6" fillId="3" borderId="3" xfId="4" applyNumberFormat="1" applyFont="1" applyFill="1" applyBorder="1" applyAlignment="1">
      <alignment horizontal="center" vertical="center" wrapText="1"/>
    </xf>
    <xf numFmtId="179" fontId="11" fillId="0" borderId="0" xfId="4" applyNumberFormat="1" applyFont="1" applyAlignment="1">
      <alignment vertical="center"/>
    </xf>
    <xf numFmtId="0" fontId="9" fillId="0" borderId="0" xfId="4" applyFont="1" applyAlignment="1">
      <alignment vertical="center"/>
    </xf>
    <xf numFmtId="176" fontId="14" fillId="4" borderId="4" xfId="4" applyNumberFormat="1" applyFont="1" applyFill="1" applyBorder="1" applyAlignment="1">
      <alignment horizontal="right"/>
    </xf>
    <xf numFmtId="176" fontId="11" fillId="0" borderId="0" xfId="4" applyNumberFormat="1" applyFont="1" applyAlignment="1">
      <alignment vertical="center"/>
    </xf>
    <xf numFmtId="176" fontId="11" fillId="0" borderId="0" xfId="4" applyNumberFormat="1" applyFont="1" applyAlignment="1">
      <alignment horizontal="right" vertical="center"/>
    </xf>
    <xf numFmtId="176" fontId="13" fillId="0" borderId="0" xfId="4" applyNumberFormat="1" applyFont="1" applyAlignment="1">
      <alignment horizontal="right" vertical="center"/>
    </xf>
    <xf numFmtId="0" fontId="9" fillId="4" borderId="5" xfId="4" applyFont="1" applyFill="1" applyBorder="1" applyAlignment="1">
      <alignment vertical="center"/>
    </xf>
    <xf numFmtId="176" fontId="14" fillId="5" borderId="6" xfId="4" applyNumberFormat="1" applyFont="1" applyFill="1" applyBorder="1" applyAlignment="1">
      <alignment horizontal="right"/>
    </xf>
    <xf numFmtId="176" fontId="14" fillId="5" borderId="7" xfId="4" applyNumberFormat="1" applyFont="1" applyFill="1" applyBorder="1" applyAlignment="1">
      <alignment horizontal="right" vertical="center"/>
    </xf>
    <xf numFmtId="176" fontId="9" fillId="0" borderId="0" xfId="4" applyNumberFormat="1" applyFont="1" applyAlignment="1">
      <alignment vertical="center"/>
    </xf>
    <xf numFmtId="0" fontId="16" fillId="4" borderId="5" xfId="4" applyFont="1" applyFill="1" applyBorder="1" applyAlignment="1">
      <alignment vertical="center"/>
    </xf>
    <xf numFmtId="0" fontId="9" fillId="5" borderId="8" xfId="4" applyFont="1" applyFill="1" applyBorder="1" applyAlignment="1">
      <alignment vertical="center"/>
    </xf>
    <xf numFmtId="0" fontId="5" fillId="0" borderId="6" xfId="4" applyFont="1" applyBorder="1"/>
    <xf numFmtId="176" fontId="6" fillId="0" borderId="6" xfId="4" applyNumberFormat="1" applyFont="1" applyBorder="1" applyAlignment="1">
      <alignment horizontal="right"/>
    </xf>
    <xf numFmtId="176" fontId="10" fillId="0" borderId="6" xfId="0" applyNumberFormat="1" applyFont="1" applyBorder="1" applyAlignment="1">
      <alignment horizontal="right" vertical="center"/>
    </xf>
    <xf numFmtId="0" fontId="9" fillId="5" borderId="9" xfId="4" applyFont="1" applyFill="1" applyBorder="1" applyAlignment="1">
      <alignment vertical="center"/>
    </xf>
    <xf numFmtId="0" fontId="5" fillId="0" borderId="6" xfId="4" applyFont="1" applyBorder="1" applyAlignment="1">
      <alignment horizontal="left"/>
    </xf>
    <xf numFmtId="0" fontId="5" fillId="0" borderId="10" xfId="4" applyFont="1" applyBorder="1" applyAlignment="1">
      <alignment horizontal="left" vertical="center" wrapText="1"/>
    </xf>
    <xf numFmtId="0" fontId="17" fillId="6" borderId="2" xfId="4" applyFont="1" applyFill="1" applyBorder="1" applyAlignment="1">
      <alignment horizontal="left"/>
    </xf>
    <xf numFmtId="0" fontId="18" fillId="0" borderId="0" xfId="4" applyFont="1"/>
    <xf numFmtId="0" fontId="17" fillId="6" borderId="10" xfId="4" applyFont="1" applyFill="1" applyBorder="1" applyAlignment="1">
      <alignment horizontal="left"/>
    </xf>
    <xf numFmtId="0" fontId="19" fillId="0" borderId="0" xfId="4" applyFont="1"/>
    <xf numFmtId="0" fontId="3" fillId="0" borderId="0" xfId="4" applyFont="1"/>
    <xf numFmtId="0" fontId="5" fillId="0" borderId="0" xfId="4" applyFont="1"/>
    <xf numFmtId="0" fontId="6" fillId="0" borderId="0" xfId="4" applyFont="1"/>
    <xf numFmtId="176" fontId="6" fillId="0" borderId="0" xfId="4" applyNumberFormat="1" applyFont="1"/>
    <xf numFmtId="3" fontId="20" fillId="0" borderId="0" xfId="0" applyNumberFormat="1" applyFont="1" applyAlignment="1"/>
    <xf numFmtId="0" fontId="3" fillId="0" borderId="11" xfId="4" applyFont="1" applyBorder="1"/>
    <xf numFmtId="0" fontId="21" fillId="0" borderId="0" xfId="4" applyFont="1"/>
    <xf numFmtId="0" fontId="9" fillId="0" borderId="0" xfId="4" applyFont="1"/>
    <xf numFmtId="0" fontId="8" fillId="0" borderId="0" xfId="4" applyFont="1"/>
    <xf numFmtId="180" fontId="6" fillId="0" borderId="4" xfId="4" applyNumberFormat="1" applyFont="1" applyBorder="1" applyAlignment="1">
      <alignment horizontal="center"/>
    </xf>
    <xf numFmtId="180" fontId="23" fillId="0" borderId="12" xfId="4" applyNumberFormat="1" applyFont="1" applyBorder="1" applyAlignment="1">
      <alignment horizontal="center"/>
    </xf>
    <xf numFmtId="180" fontId="23" fillId="0" borderId="13" xfId="4" applyNumberFormat="1" applyFont="1" applyBorder="1" applyAlignment="1">
      <alignment horizontal="center"/>
    </xf>
    <xf numFmtId="181" fontId="10" fillId="0" borderId="4" xfId="0" applyNumberFormat="1" applyFont="1" applyBorder="1" applyAlignment="1">
      <alignment horizontal="center" vertical="center"/>
    </xf>
    <xf numFmtId="180" fontId="9" fillId="0" borderId="0" xfId="4" applyNumberFormat="1" applyFont="1" applyAlignment="1">
      <alignment vertical="center"/>
    </xf>
    <xf numFmtId="180" fontId="6" fillId="0" borderId="6" xfId="4" applyNumberFormat="1" applyFont="1" applyBorder="1" applyAlignment="1">
      <alignment horizontal="center"/>
    </xf>
    <xf numFmtId="180" fontId="23" fillId="0" borderId="14" xfId="4" applyNumberFormat="1" applyFont="1" applyBorder="1" applyAlignment="1">
      <alignment horizontal="center"/>
    </xf>
    <xf numFmtId="180" fontId="23" fillId="0" borderId="15" xfId="4" applyNumberFormat="1" applyFont="1" applyBorder="1" applyAlignment="1">
      <alignment horizontal="center"/>
    </xf>
    <xf numFmtId="180" fontId="23" fillId="4" borderId="16" xfId="4" applyNumberFormat="1" applyFont="1" applyFill="1" applyBorder="1" applyAlignment="1">
      <alignment horizontal="center"/>
    </xf>
    <xf numFmtId="180" fontId="23" fillId="4" borderId="17" xfId="4" applyNumberFormat="1" applyFont="1" applyFill="1" applyBorder="1" applyAlignment="1">
      <alignment horizontal="center"/>
    </xf>
    <xf numFmtId="180" fontId="9" fillId="0" borderId="0" xfId="4" applyNumberFormat="1" applyFont="1"/>
    <xf numFmtId="180" fontId="6" fillId="0" borderId="0" xfId="4" applyNumberFormat="1" applyFont="1" applyAlignment="1">
      <alignment vertical="center"/>
    </xf>
    <xf numFmtId="180" fontId="24" fillId="4" borderId="6" xfId="4" applyNumberFormat="1" applyFont="1" applyFill="1" applyBorder="1" applyAlignment="1">
      <alignment horizontal="center"/>
    </xf>
    <xf numFmtId="181" fontId="10" fillId="4" borderId="4" xfId="0" applyNumberFormat="1" applyFont="1" applyFill="1" applyBorder="1" applyAlignment="1">
      <alignment horizontal="center" vertical="center"/>
    </xf>
    <xf numFmtId="180" fontId="6" fillId="0" borderId="3" xfId="4" applyNumberFormat="1" applyFont="1" applyBorder="1" applyAlignment="1">
      <alignment horizontal="center"/>
    </xf>
    <xf numFmtId="181" fontId="10" fillId="0" borderId="3" xfId="0" applyNumberFormat="1" applyFont="1" applyBorder="1" applyAlignment="1">
      <alignment horizontal="center" vertical="center"/>
    </xf>
    <xf numFmtId="0" fontId="5" fillId="0" borderId="0" xfId="4" applyFont="1" applyAlignment="1">
      <alignment horizontal="center"/>
    </xf>
    <xf numFmtId="181" fontId="10" fillId="0" borderId="0" xfId="4" applyNumberFormat="1" applyFont="1" applyAlignment="1">
      <alignment horizontal="right" vertical="center"/>
    </xf>
    <xf numFmtId="0" fontId="6" fillId="0" borderId="4" xfId="4" applyFont="1" applyBorder="1" applyAlignment="1">
      <alignment horizontal="center"/>
    </xf>
    <xf numFmtId="176" fontId="10" fillId="0" borderId="4" xfId="0" applyNumberFormat="1" applyFont="1" applyBorder="1" applyAlignment="1">
      <alignment horizontal="center" vertical="center"/>
    </xf>
    <xf numFmtId="0" fontId="6" fillId="0" borderId="6" xfId="4" applyFont="1" applyBorder="1" applyAlignment="1">
      <alignment horizontal="center"/>
    </xf>
    <xf numFmtId="0" fontId="6" fillId="0" borderId="1" xfId="4" applyFont="1" applyBorder="1" applyAlignment="1">
      <alignment horizontal="center"/>
    </xf>
    <xf numFmtId="176" fontId="23" fillId="4" borderId="3" xfId="4" applyNumberFormat="1" applyFont="1" applyFill="1" applyBorder="1" applyAlignment="1">
      <alignment horizontal="center" vertical="center"/>
    </xf>
    <xf numFmtId="0" fontId="3" fillId="0" borderId="0" xfId="4" applyFont="1" applyAlignment="1">
      <alignment vertical="center"/>
    </xf>
    <xf numFmtId="176" fontId="3" fillId="0" borderId="0" xfId="4" applyNumberFormat="1" applyFont="1"/>
    <xf numFmtId="176" fontId="11" fillId="0" borderId="0" xfId="4" applyNumberFormat="1" applyFont="1"/>
    <xf numFmtId="0" fontId="10" fillId="0" borderId="0" xfId="0" applyFont="1" applyAlignment="1">
      <alignment horizontal="left" indent="2"/>
    </xf>
    <xf numFmtId="0" fontId="5" fillId="2" borderId="0" xfId="4" applyFont="1" applyFill="1"/>
    <xf numFmtId="0" fontId="8" fillId="0" borderId="0" xfId="4" applyFont="1" applyAlignment="1">
      <alignment horizontal="left"/>
    </xf>
    <xf numFmtId="0" fontId="26" fillId="0" borderId="0" xfId="0" applyFont="1">
      <alignment vertical="center"/>
    </xf>
    <xf numFmtId="0" fontId="0" fillId="0" borderId="0" xfId="0" applyAlignment="1">
      <alignment horizontal="center"/>
    </xf>
    <xf numFmtId="178" fontId="6" fillId="3" borderId="2" xfId="4" applyNumberFormat="1" applyFont="1" applyFill="1" applyBorder="1" applyAlignment="1">
      <alignment horizontal="center" vertical="center" wrapText="1"/>
    </xf>
    <xf numFmtId="178" fontId="6" fillId="3" borderId="18" xfId="4" applyNumberFormat="1" applyFont="1" applyFill="1" applyBorder="1" applyAlignment="1">
      <alignment horizontal="center" vertical="center" wrapText="1"/>
    </xf>
    <xf numFmtId="0" fontId="27" fillId="0" borderId="0" xfId="0" applyFont="1">
      <alignment vertical="center"/>
    </xf>
    <xf numFmtId="178" fontId="6" fillId="3" borderId="19" xfId="4" applyNumberFormat="1" applyFont="1" applyFill="1" applyBorder="1" applyAlignment="1">
      <alignment horizontal="center" vertical="center" wrapText="1"/>
    </xf>
    <xf numFmtId="182" fontId="6" fillId="0" borderId="4" xfId="4" applyNumberFormat="1" applyFont="1" applyBorder="1" applyAlignment="1">
      <alignment horizontal="center"/>
    </xf>
    <xf numFmtId="176" fontId="10" fillId="0" borderId="4" xfId="4" applyNumberFormat="1" applyFont="1" applyBorder="1" applyAlignment="1">
      <alignment horizontal="right"/>
    </xf>
    <xf numFmtId="183" fontId="10" fillId="0" borderId="4" xfId="0" applyNumberFormat="1" applyFont="1" applyBorder="1">
      <alignment vertical="center"/>
    </xf>
    <xf numFmtId="182" fontId="6" fillId="0" borderId="6" xfId="4" applyNumberFormat="1" applyFont="1" applyBorder="1" applyAlignment="1">
      <alignment horizontal="center"/>
    </xf>
    <xf numFmtId="182" fontId="10" fillId="0" borderId="6" xfId="0" applyNumberFormat="1" applyFont="1" applyBorder="1" applyAlignment="1">
      <alignment horizontal="center"/>
    </xf>
    <xf numFmtId="176" fontId="10" fillId="0" borderId="6" xfId="0" applyNumberFormat="1" applyFont="1" applyBorder="1">
      <alignment vertical="center"/>
    </xf>
    <xf numFmtId="182" fontId="10" fillId="0" borderId="4" xfId="5" applyNumberFormat="1" applyFont="1" applyBorder="1">
      <alignment vertical="center"/>
    </xf>
    <xf numFmtId="176" fontId="10" fillId="0" borderId="4" xfId="5" applyNumberFormat="1" applyFont="1" applyBorder="1">
      <alignment vertical="center"/>
    </xf>
    <xf numFmtId="176" fontId="6" fillId="0" borderId="4" xfId="4" applyNumberFormat="1" applyFont="1" applyBorder="1" applyAlignment="1">
      <alignment horizontal="right"/>
    </xf>
    <xf numFmtId="176" fontId="10" fillId="0" borderId="6" xfId="4" applyNumberFormat="1" applyFont="1" applyBorder="1" applyAlignment="1">
      <alignment horizontal="right"/>
    </xf>
    <xf numFmtId="182" fontId="10" fillId="0" borderId="6" xfId="5" applyNumberFormat="1" applyFont="1" applyBorder="1">
      <alignment vertical="center"/>
    </xf>
    <xf numFmtId="176" fontId="10" fillId="0" borderId="6" xfId="5" applyNumberFormat="1" applyFont="1" applyBorder="1">
      <alignment vertical="center"/>
    </xf>
    <xf numFmtId="0" fontId="17" fillId="0" borderId="6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178" fontId="10" fillId="3" borderId="3" xfId="4" applyNumberFormat="1" applyFont="1" applyFill="1" applyBorder="1" applyAlignment="1">
      <alignment horizontal="center" vertical="center" wrapText="1"/>
    </xf>
    <xf numFmtId="14" fontId="26" fillId="0" borderId="0" xfId="0" applyNumberFormat="1" applyFont="1">
      <alignment vertical="center"/>
    </xf>
    <xf numFmtId="0" fontId="29" fillId="0" borderId="0" xfId="0" applyFont="1">
      <alignment vertical="center"/>
    </xf>
    <xf numFmtId="14" fontId="29" fillId="0" borderId="0" xfId="0" applyNumberFormat="1" applyFont="1">
      <alignment vertical="center"/>
    </xf>
    <xf numFmtId="0" fontId="8" fillId="0" borderId="0" xfId="4" applyFont="1" applyAlignment="1">
      <alignment horizontal="center"/>
    </xf>
    <xf numFmtId="176" fontId="0" fillId="0" borderId="0" xfId="0" applyNumberFormat="1">
      <alignment vertical="center"/>
    </xf>
    <xf numFmtId="0" fontId="25" fillId="0" borderId="0" xfId="0" applyFont="1">
      <alignment vertical="center"/>
    </xf>
    <xf numFmtId="182" fontId="30" fillId="0" borderId="0" xfId="0" applyNumberFormat="1" applyFont="1">
      <alignment vertical="center"/>
    </xf>
    <xf numFmtId="0" fontId="10" fillId="0" borderId="4" xfId="0" applyFont="1" applyBorder="1" applyAlignment="1">
      <alignment horizontal="center" vertical="top"/>
    </xf>
    <xf numFmtId="0" fontId="10" fillId="0" borderId="9" xfId="0" applyFont="1" applyBorder="1" applyAlignment="1">
      <alignment horizontal="center" vertical="top"/>
    </xf>
    <xf numFmtId="182" fontId="10" fillId="0" borderId="4" xfId="0" applyNumberFormat="1" applyFont="1" applyBorder="1">
      <alignment vertical="center"/>
    </xf>
    <xf numFmtId="183" fontId="30" fillId="0" borderId="4" xfId="0" applyNumberFormat="1" applyFont="1" applyBorder="1">
      <alignment vertical="center"/>
    </xf>
    <xf numFmtId="0" fontId="10" fillId="0" borderId="6" xfId="0" applyFont="1" applyBorder="1" applyAlignment="1">
      <alignment horizontal="center" vertical="top"/>
    </xf>
    <xf numFmtId="0" fontId="10" fillId="0" borderId="14" xfId="0" applyFont="1" applyBorder="1" applyAlignment="1">
      <alignment horizontal="center" vertical="top"/>
    </xf>
    <xf numFmtId="176" fontId="10" fillId="0" borderId="4" xfId="0" applyNumberFormat="1" applyFont="1" applyBorder="1">
      <alignment vertical="center"/>
    </xf>
    <xf numFmtId="178" fontId="6" fillId="6" borderId="18" xfId="4" applyNumberFormat="1" applyFont="1" applyFill="1" applyBorder="1" applyAlignment="1">
      <alignment horizontal="center" vertical="center" wrapText="1"/>
    </xf>
    <xf numFmtId="178" fontId="6" fillId="6" borderId="3" xfId="4" applyNumberFormat="1" applyFont="1" applyFill="1" applyBorder="1" applyAlignment="1">
      <alignment horizontal="center" vertical="center" wrapText="1"/>
    </xf>
    <xf numFmtId="176" fontId="10" fillId="0" borderId="4" xfId="0" applyNumberFormat="1" applyFont="1" applyBorder="1" applyAlignment="1">
      <alignment horizontal="right" vertical="center"/>
    </xf>
    <xf numFmtId="176" fontId="10" fillId="0" borderId="3" xfId="0" applyNumberFormat="1" applyFont="1" applyBorder="1" applyAlignment="1">
      <alignment horizontal="right" vertical="center"/>
    </xf>
    <xf numFmtId="0" fontId="31" fillId="0" borderId="0" xfId="0" applyFont="1">
      <alignment vertical="center"/>
    </xf>
    <xf numFmtId="176" fontId="32" fillId="0" borderId="0" xfId="0" applyNumberFormat="1" applyFont="1">
      <alignment vertical="center"/>
    </xf>
    <xf numFmtId="0" fontId="28" fillId="0" borderId="0" xfId="0" applyFont="1">
      <alignment vertical="center"/>
    </xf>
    <xf numFmtId="176" fontId="28" fillId="0" borderId="0" xfId="0" applyNumberFormat="1" applyFont="1">
      <alignment vertical="center"/>
    </xf>
    <xf numFmtId="0" fontId="31" fillId="3" borderId="2" xfId="0" applyFont="1" applyFill="1" applyBorder="1" applyAlignment="1">
      <alignment horizontal="center"/>
    </xf>
    <xf numFmtId="0" fontId="31" fillId="3" borderId="18" xfId="0" applyFont="1" applyFill="1" applyBorder="1" applyAlignment="1">
      <alignment horizontal="center"/>
    </xf>
    <xf numFmtId="0" fontId="28" fillId="0" borderId="0" xfId="0" applyFont="1" applyAlignment="1">
      <alignment horizontal="center"/>
    </xf>
    <xf numFmtId="176" fontId="36" fillId="4" borderId="6" xfId="0" applyNumberFormat="1" applyFont="1" applyFill="1" applyBorder="1">
      <alignment vertical="center"/>
    </xf>
    <xf numFmtId="176" fontId="36" fillId="4" borderId="7" xfId="0" applyNumberFormat="1" applyFont="1" applyFill="1" applyBorder="1">
      <alignment vertical="center"/>
    </xf>
    <xf numFmtId="176" fontId="37" fillId="0" borderId="0" xfId="0" applyNumberFormat="1" applyFont="1">
      <alignment vertical="center"/>
    </xf>
    <xf numFmtId="0" fontId="37" fillId="0" borderId="0" xfId="0" applyFont="1">
      <alignment vertical="center"/>
    </xf>
    <xf numFmtId="0" fontId="38" fillId="4" borderId="5" xfId="4" applyFont="1" applyFill="1" applyBorder="1" applyAlignment="1">
      <alignment vertical="center"/>
    </xf>
    <xf numFmtId="176" fontId="40" fillId="5" borderId="6" xfId="0" applyNumberFormat="1" applyFont="1" applyFill="1" applyBorder="1">
      <alignment vertical="center"/>
    </xf>
    <xf numFmtId="176" fontId="40" fillId="5" borderId="7" xfId="0" applyNumberFormat="1" applyFont="1" applyFill="1" applyBorder="1" applyAlignment="1">
      <alignment horizontal="right"/>
    </xf>
    <xf numFmtId="0" fontId="41" fillId="4" borderId="5" xfId="4" applyFont="1" applyFill="1" applyBorder="1" applyAlignment="1">
      <alignment vertical="center"/>
    </xf>
    <xf numFmtId="0" fontId="38" fillId="5" borderId="8" xfId="4" applyFont="1" applyFill="1" applyBorder="1" applyAlignment="1">
      <alignment vertical="center"/>
    </xf>
    <xf numFmtId="0" fontId="33" fillId="0" borderId="6" xfId="4" applyFont="1" applyBorder="1"/>
    <xf numFmtId="176" fontId="40" fillId="0" borderId="6" xfId="0" applyNumberFormat="1" applyFont="1" applyBorder="1" applyAlignment="1">
      <alignment horizontal="right"/>
    </xf>
    <xf numFmtId="176" fontId="40" fillId="0" borderId="6" xfId="0" applyNumberFormat="1" applyFont="1" applyBorder="1">
      <alignment vertical="center"/>
    </xf>
    <xf numFmtId="176" fontId="40" fillId="0" borderId="7" xfId="0" applyNumberFormat="1" applyFont="1" applyBorder="1" applyAlignment="1">
      <alignment horizontal="right"/>
    </xf>
    <xf numFmtId="0" fontId="38" fillId="5" borderId="9" xfId="4" applyFont="1" applyFill="1" applyBorder="1" applyAlignment="1">
      <alignment vertical="center"/>
    </xf>
    <xf numFmtId="176" fontId="40" fillId="5" borderId="6" xfId="0" applyNumberFormat="1" applyFont="1" applyFill="1" applyBorder="1" applyAlignment="1">
      <alignment horizontal="right"/>
    </xf>
    <xf numFmtId="0" fontId="33" fillId="0" borderId="6" xfId="4" applyFont="1" applyBorder="1" applyAlignment="1">
      <alignment horizontal="left"/>
    </xf>
    <xf numFmtId="176" fontId="40" fillId="0" borderId="6" xfId="0" applyNumberFormat="1" applyFont="1" applyBorder="1" applyAlignment="1">
      <alignment horizontal="right" vertical="center"/>
    </xf>
    <xf numFmtId="176" fontId="40" fillId="0" borderId="7" xfId="0" applyNumberFormat="1" applyFont="1" applyBorder="1" applyAlignment="1">
      <alignment horizontal="right" vertical="center"/>
    </xf>
    <xf numFmtId="176" fontId="42" fillId="0" borderId="6" xfId="0" applyNumberFormat="1" applyFont="1" applyBorder="1" applyAlignment="1">
      <alignment horizontal="right" vertical="center"/>
    </xf>
    <xf numFmtId="0" fontId="33" fillId="0" borderId="10" xfId="4" applyFont="1" applyBorder="1" applyAlignment="1">
      <alignment horizontal="left" vertical="center" wrapText="1"/>
    </xf>
    <xf numFmtId="0" fontId="31" fillId="3" borderId="6" xfId="4" applyFont="1" applyFill="1" applyBorder="1" applyAlignment="1">
      <alignment horizontal="left"/>
    </xf>
    <xf numFmtId="176" fontId="40" fillId="3" borderId="6" xfId="0" applyNumberFormat="1" applyFont="1" applyFill="1" applyBorder="1" applyAlignment="1"/>
    <xf numFmtId="176" fontId="40" fillId="3" borderId="6" xfId="0" applyNumberFormat="1" applyFont="1" applyFill="1" applyBorder="1">
      <alignment vertical="center"/>
    </xf>
    <xf numFmtId="176" fontId="40" fillId="3" borderId="7" xfId="0" applyNumberFormat="1" applyFont="1" applyFill="1" applyBorder="1" applyAlignment="1">
      <alignment horizontal="right"/>
    </xf>
    <xf numFmtId="176" fontId="40" fillId="3" borderId="1" xfId="0" applyNumberFormat="1" applyFont="1" applyFill="1" applyBorder="1" applyAlignment="1"/>
    <xf numFmtId="176" fontId="40" fillId="3" borderId="1" xfId="0" applyNumberFormat="1" applyFont="1" applyFill="1" applyBorder="1">
      <alignment vertical="center"/>
    </xf>
    <xf numFmtId="176" fontId="40" fillId="3" borderId="22" xfId="0" applyNumberFormat="1" applyFont="1" applyFill="1" applyBorder="1" applyAlignment="1">
      <alignment horizontal="right"/>
    </xf>
    <xf numFmtId="0" fontId="31" fillId="3" borderId="3" xfId="4" applyFont="1" applyFill="1" applyBorder="1" applyAlignment="1">
      <alignment horizontal="left"/>
    </xf>
    <xf numFmtId="176" fontId="40" fillId="3" borderId="3" xfId="0" applyNumberFormat="1" applyFont="1" applyFill="1" applyBorder="1" applyAlignment="1"/>
    <xf numFmtId="176" fontId="40" fillId="3" borderId="3" xfId="0" applyNumberFormat="1" applyFont="1" applyFill="1" applyBorder="1">
      <alignment vertical="center"/>
    </xf>
    <xf numFmtId="176" fontId="28" fillId="3" borderId="3" xfId="0" applyNumberFormat="1" applyFont="1" applyFill="1" applyBorder="1">
      <alignment vertical="center"/>
    </xf>
    <xf numFmtId="176" fontId="40" fillId="3" borderId="19" xfId="0" applyNumberFormat="1" applyFont="1" applyFill="1" applyBorder="1" applyAlignment="1">
      <alignment horizontal="right"/>
    </xf>
    <xf numFmtId="0" fontId="43" fillId="2" borderId="0" xfId="4" applyFont="1" applyFill="1"/>
    <xf numFmtId="0" fontId="17" fillId="0" borderId="0" xfId="4" applyFont="1" applyAlignment="1">
      <alignment horizontal="center" wrapText="1"/>
    </xf>
    <xf numFmtId="0" fontId="17" fillId="0" borderId="0" xfId="4" applyFont="1" applyAlignment="1">
      <alignment horizontal="left"/>
    </xf>
    <xf numFmtId="176" fontId="40" fillId="0" borderId="0" xfId="0" applyNumberFormat="1" applyFont="1">
      <alignment vertical="center"/>
    </xf>
    <xf numFmtId="0" fontId="40" fillId="3" borderId="3" xfId="0" applyFont="1" applyFill="1" applyBorder="1">
      <alignment vertical="center"/>
    </xf>
    <xf numFmtId="0" fontId="28" fillId="3" borderId="3" xfId="0" applyFont="1" applyFill="1" applyBorder="1">
      <alignment vertical="center"/>
    </xf>
    <xf numFmtId="0" fontId="28" fillId="3" borderId="19" xfId="0" applyFont="1" applyFill="1" applyBorder="1" applyAlignment="1">
      <alignment horizontal="right"/>
    </xf>
    <xf numFmtId="0" fontId="31" fillId="0" borderId="0" xfId="4" applyFont="1" applyAlignment="1">
      <alignment horizontal="center" wrapText="1"/>
    </xf>
    <xf numFmtId="0" fontId="31" fillId="0" borderId="0" xfId="4" applyFont="1" applyAlignment="1">
      <alignment horizontal="left"/>
    </xf>
    <xf numFmtId="184" fontId="36" fillId="4" borderId="6" xfId="0" applyNumberFormat="1" applyFont="1" applyFill="1" applyBorder="1" applyAlignment="1">
      <alignment horizontal="center"/>
    </xf>
    <xf numFmtId="184" fontId="36" fillId="4" borderId="6" xfId="0" applyNumberFormat="1" applyFont="1" applyFill="1" applyBorder="1">
      <alignment vertical="center"/>
    </xf>
    <xf numFmtId="184" fontId="36" fillId="4" borderId="7" xfId="0" applyNumberFormat="1" applyFont="1" applyFill="1" applyBorder="1">
      <alignment vertical="center"/>
    </xf>
    <xf numFmtId="184" fontId="40" fillId="5" borderId="6" xfId="0" applyNumberFormat="1" applyFont="1" applyFill="1" applyBorder="1" applyAlignment="1">
      <alignment horizontal="center"/>
    </xf>
    <xf numFmtId="184" fontId="40" fillId="5" borderId="6" xfId="0" applyNumberFormat="1" applyFont="1" applyFill="1" applyBorder="1">
      <alignment vertical="center"/>
    </xf>
    <xf numFmtId="184" fontId="40" fillId="5" borderId="7" xfId="0" applyNumberFormat="1" applyFont="1" applyFill="1" applyBorder="1" applyAlignment="1">
      <alignment horizontal="right"/>
    </xf>
    <xf numFmtId="184" fontId="40" fillId="0" borderId="6" xfId="0" applyNumberFormat="1" applyFont="1" applyBorder="1" applyAlignment="1">
      <alignment horizontal="center"/>
    </xf>
    <xf numFmtId="184" fontId="40" fillId="0" borderId="6" xfId="0" applyNumberFormat="1" applyFont="1" applyBorder="1">
      <alignment vertical="center"/>
    </xf>
    <xf numFmtId="184" fontId="40" fillId="0" borderId="7" xfId="0" applyNumberFormat="1" applyFont="1" applyBorder="1" applyAlignment="1">
      <alignment horizontal="right"/>
    </xf>
    <xf numFmtId="0" fontId="41" fillId="4" borderId="23" xfId="4" applyFont="1" applyFill="1" applyBorder="1" applyAlignment="1">
      <alignment vertical="center"/>
    </xf>
    <xf numFmtId="184" fontId="40" fillId="5" borderId="3" xfId="0" applyNumberFormat="1" applyFont="1" applyFill="1" applyBorder="1" applyAlignment="1">
      <alignment horizontal="center"/>
    </xf>
    <xf numFmtId="184" fontId="40" fillId="5" borderId="3" xfId="0" applyNumberFormat="1" applyFont="1" applyFill="1" applyBorder="1">
      <alignment vertical="center"/>
    </xf>
    <xf numFmtId="184" fontId="40" fillId="5" borderId="19" xfId="0" applyNumberFormat="1" applyFont="1" applyFill="1" applyBorder="1" applyAlignment="1">
      <alignment horizontal="right"/>
    </xf>
    <xf numFmtId="0" fontId="33" fillId="0" borderId="4" xfId="4" applyFont="1" applyBorder="1" applyAlignment="1">
      <alignment horizontal="left"/>
    </xf>
    <xf numFmtId="184" fontId="40" fillId="0" borderId="4" xfId="0" applyNumberFormat="1" applyFont="1" applyBorder="1" applyAlignment="1">
      <alignment horizontal="center"/>
    </xf>
    <xf numFmtId="184" fontId="40" fillId="0" borderId="4" xfId="0" applyNumberFormat="1" applyFont="1" applyBorder="1">
      <alignment vertical="center"/>
    </xf>
    <xf numFmtId="184" fontId="40" fillId="0" borderId="24" xfId="0" applyNumberFormat="1" applyFont="1" applyBorder="1" applyAlignment="1">
      <alignment horizontal="right"/>
    </xf>
    <xf numFmtId="184" fontId="40" fillId="0" borderId="6" xfId="0" applyNumberFormat="1" applyFont="1" applyBorder="1" applyAlignment="1">
      <alignment horizontal="center" vertical="center"/>
    </xf>
    <xf numFmtId="184" fontId="40" fillId="0" borderId="7" xfId="0" applyNumberFormat="1" applyFont="1" applyBorder="1" applyAlignment="1">
      <alignment horizontal="right" vertical="center"/>
    </xf>
    <xf numFmtId="185" fontId="40" fillId="3" borderId="6" xfId="0" applyNumberFormat="1" applyFont="1" applyFill="1" applyBorder="1" applyAlignment="1">
      <alignment horizontal="center"/>
    </xf>
    <xf numFmtId="176" fontId="40" fillId="3" borderId="6" xfId="0" applyNumberFormat="1" applyFont="1" applyFill="1" applyBorder="1" applyAlignment="1">
      <alignment horizontal="center"/>
    </xf>
    <xf numFmtId="184" fontId="40" fillId="3" borderId="6" xfId="0" applyNumberFormat="1" applyFont="1" applyFill="1" applyBorder="1" applyAlignment="1">
      <alignment horizontal="center"/>
    </xf>
    <xf numFmtId="184" fontId="40" fillId="3" borderId="6" xfId="0" applyNumberFormat="1" applyFont="1" applyFill="1" applyBorder="1">
      <alignment vertical="center"/>
    </xf>
    <xf numFmtId="184" fontId="40" fillId="3" borderId="7" xfId="0" applyNumberFormat="1" applyFont="1" applyFill="1" applyBorder="1" applyAlignment="1">
      <alignment horizontal="right"/>
    </xf>
    <xf numFmtId="184" fontId="28" fillId="3" borderId="3" xfId="0" applyNumberFormat="1" applyFont="1" applyFill="1" applyBorder="1" applyAlignment="1">
      <alignment horizontal="center"/>
    </xf>
    <xf numFmtId="184" fontId="28" fillId="3" borderId="3" xfId="0" applyNumberFormat="1" applyFont="1" applyFill="1" applyBorder="1">
      <alignment vertical="center"/>
    </xf>
    <xf numFmtId="184" fontId="28" fillId="3" borderId="19" xfId="0" applyNumberFormat="1" applyFont="1" applyFill="1" applyBorder="1" applyAlignment="1">
      <alignment horizontal="right"/>
    </xf>
    <xf numFmtId="180" fontId="40" fillId="0" borderId="6" xfId="0" applyNumberFormat="1" applyFont="1" applyBorder="1" applyAlignment="1">
      <alignment horizontal="center"/>
    </xf>
    <xf numFmtId="180" fontId="28" fillId="0" borderId="0" xfId="0" applyNumberFormat="1" applyFont="1">
      <alignment vertical="center"/>
    </xf>
    <xf numFmtId="180" fontId="40" fillId="0" borderId="1" xfId="0" applyNumberFormat="1" applyFont="1" applyBorder="1" applyAlignment="1">
      <alignment horizontal="center"/>
    </xf>
    <xf numFmtId="180" fontId="40" fillId="8" borderId="3" xfId="0" applyNumberFormat="1" applyFont="1" applyFill="1" applyBorder="1" applyAlignment="1">
      <alignment horizontal="center"/>
    </xf>
    <xf numFmtId="0" fontId="45" fillId="0" borderId="4" xfId="4" applyFont="1" applyBorder="1" applyAlignment="1">
      <alignment horizontal="center"/>
    </xf>
    <xf numFmtId="180" fontId="40" fillId="0" borderId="4" xfId="0" applyNumberFormat="1" applyFont="1" applyBorder="1" applyAlignment="1">
      <alignment horizontal="center"/>
    </xf>
    <xf numFmtId="180" fontId="40" fillId="0" borderId="4" xfId="0" applyNumberFormat="1" applyFont="1" applyBorder="1">
      <alignment vertical="center"/>
    </xf>
    <xf numFmtId="0" fontId="44" fillId="0" borderId="0" xfId="0" applyFont="1">
      <alignment vertical="center"/>
    </xf>
    <xf numFmtId="181" fontId="40" fillId="0" borderId="6" xfId="0" applyNumberFormat="1" applyFont="1" applyBorder="1" applyAlignment="1">
      <alignment horizontal="center"/>
    </xf>
    <xf numFmtId="181" fontId="40" fillId="0" borderId="7" xfId="0" applyNumberFormat="1" applyFont="1" applyBorder="1" applyAlignment="1">
      <alignment horizontal="center"/>
    </xf>
    <xf numFmtId="181" fontId="40" fillId="0" borderId="0" xfId="0" applyNumberFormat="1" applyFont="1">
      <alignment vertical="center"/>
    </xf>
    <xf numFmtId="181" fontId="28" fillId="0" borderId="0" xfId="0" applyNumberFormat="1" applyFont="1">
      <alignment vertical="center"/>
    </xf>
    <xf numFmtId="181" fontId="40" fillId="4" borderId="6" xfId="0" applyNumberFormat="1" applyFont="1" applyFill="1" applyBorder="1" applyAlignment="1">
      <alignment horizontal="center"/>
    </xf>
    <xf numFmtId="181" fontId="40" fillId="4" borderId="7" xfId="0" applyNumberFormat="1" applyFont="1" applyFill="1" applyBorder="1" applyAlignment="1">
      <alignment horizontal="center"/>
    </xf>
    <xf numFmtId="181" fontId="40" fillId="0" borderId="3" xfId="0" applyNumberFormat="1" applyFont="1" applyBorder="1" applyAlignment="1">
      <alignment horizontal="center"/>
    </xf>
    <xf numFmtId="181" fontId="40" fillId="0" borderId="19" xfId="0" applyNumberFormat="1" applyFont="1" applyBorder="1" applyAlignment="1">
      <alignment horizontal="center"/>
    </xf>
    <xf numFmtId="0" fontId="38" fillId="0" borderId="0" xfId="4" applyFont="1" applyAlignment="1">
      <alignment horizontal="left"/>
    </xf>
    <xf numFmtId="182" fontId="40" fillId="0" borderId="4" xfId="0" applyNumberFormat="1" applyFont="1" applyBorder="1" applyAlignment="1">
      <alignment horizontal="center"/>
    </xf>
    <xf numFmtId="182" fontId="40" fillId="0" borderId="24" xfId="0" applyNumberFormat="1" applyFont="1" applyBorder="1" applyAlignment="1">
      <alignment horizontal="center"/>
    </xf>
    <xf numFmtId="182" fontId="28" fillId="0" borderId="0" xfId="0" applyNumberFormat="1" applyFont="1">
      <alignment vertical="center"/>
    </xf>
    <xf numFmtId="182" fontId="40" fillId="0" borderId="6" xfId="0" applyNumberFormat="1" applyFont="1" applyBorder="1" applyAlignment="1">
      <alignment horizontal="center"/>
    </xf>
    <xf numFmtId="182" fontId="40" fillId="0" borderId="7" xfId="0" applyNumberFormat="1" applyFont="1" applyBorder="1" applyAlignment="1">
      <alignment horizontal="center"/>
    </xf>
    <xf numFmtId="182" fontId="40" fillId="0" borderId="1" xfId="0" applyNumberFormat="1" applyFont="1" applyBorder="1" applyAlignment="1">
      <alignment horizontal="center"/>
    </xf>
    <xf numFmtId="182" fontId="40" fillId="0" borderId="22" xfId="0" applyNumberFormat="1" applyFont="1" applyBorder="1" applyAlignment="1">
      <alignment horizontal="center"/>
    </xf>
    <xf numFmtId="182" fontId="40" fillId="4" borderId="3" xfId="0" applyNumberFormat="1" applyFont="1" applyFill="1" applyBorder="1" applyAlignment="1">
      <alignment horizontal="center"/>
    </xf>
    <xf numFmtId="182" fontId="40" fillId="4" borderId="19" xfId="0" applyNumberFormat="1" applyFont="1" applyFill="1" applyBorder="1" applyAlignment="1">
      <alignment horizontal="center"/>
    </xf>
    <xf numFmtId="181" fontId="10" fillId="0" borderId="18" xfId="0" applyNumberFormat="1" applyFont="1" applyBorder="1" applyAlignment="1">
      <alignment horizontal="center" vertical="center"/>
    </xf>
    <xf numFmtId="181" fontId="10" fillId="0" borderId="24" xfId="0" applyNumberFormat="1" applyFont="1" applyBorder="1" applyAlignment="1">
      <alignment horizontal="center" vertical="center"/>
    </xf>
    <xf numFmtId="181" fontId="23" fillId="4" borderId="19" xfId="4" applyNumberFormat="1" applyFont="1" applyFill="1" applyBorder="1" applyAlignment="1">
      <alignment horizontal="center" vertical="center"/>
    </xf>
    <xf numFmtId="181" fontId="10" fillId="4" borderId="24" xfId="0" applyNumberFormat="1" applyFont="1" applyFill="1" applyBorder="1" applyAlignment="1">
      <alignment horizontal="center" vertical="center"/>
    </xf>
    <xf numFmtId="181" fontId="10" fillId="0" borderId="19" xfId="0" applyNumberFormat="1" applyFont="1" applyBorder="1" applyAlignment="1">
      <alignment horizontal="center" vertical="center"/>
    </xf>
    <xf numFmtId="176" fontId="23" fillId="4" borderId="19" xfId="4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6" fillId="0" borderId="0" xfId="0" applyFont="1" applyAlignment="1">
      <alignment horizontal="left" vertical="center"/>
    </xf>
    <xf numFmtId="0" fontId="47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5" fillId="0" borderId="5" xfId="0" applyFont="1" applyBorder="1" applyAlignment="1">
      <alignment horizontal="center" vertical="center"/>
    </xf>
    <xf numFmtId="0" fontId="50" fillId="0" borderId="0" xfId="0" applyFont="1">
      <alignment vertical="center"/>
    </xf>
    <xf numFmtId="180" fontId="40" fillId="0" borderId="7" xfId="0" applyNumberFormat="1" applyFont="1" applyBorder="1" applyAlignment="1">
      <alignment horizontal="center"/>
    </xf>
    <xf numFmtId="180" fontId="40" fillId="0" borderId="22" xfId="0" applyNumberFormat="1" applyFont="1" applyBorder="1" applyAlignment="1">
      <alignment horizontal="center"/>
    </xf>
    <xf numFmtId="180" fontId="40" fillId="8" borderId="19" xfId="0" applyNumberFormat="1" applyFont="1" applyFill="1" applyBorder="1" applyAlignment="1">
      <alignment horizontal="center"/>
    </xf>
    <xf numFmtId="180" fontId="23" fillId="4" borderId="3" xfId="4" applyNumberFormat="1" applyFont="1" applyFill="1" applyBorder="1" applyAlignment="1">
      <alignment horizontal="center"/>
    </xf>
    <xf numFmtId="176" fontId="10" fillId="0" borderId="1" xfId="0" applyNumberFormat="1" applyFont="1" applyBorder="1" applyAlignment="1">
      <alignment horizontal="right" vertical="center"/>
    </xf>
    <xf numFmtId="0" fontId="33" fillId="0" borderId="1" xfId="4" applyFont="1" applyBorder="1" applyAlignment="1">
      <alignment horizontal="left"/>
    </xf>
    <xf numFmtId="0" fontId="17" fillId="6" borderId="25" xfId="4" applyFont="1" applyFill="1" applyBorder="1" applyAlignment="1">
      <alignment horizontal="left"/>
    </xf>
    <xf numFmtId="176" fontId="10" fillId="0" borderId="25" xfId="0" applyNumberFormat="1" applyFont="1" applyBorder="1" applyAlignment="1">
      <alignment horizontal="right" vertical="center"/>
    </xf>
    <xf numFmtId="0" fontId="17" fillId="6" borderId="6" xfId="4" applyFont="1" applyFill="1" applyBorder="1" applyAlignment="1">
      <alignment horizontal="left"/>
    </xf>
    <xf numFmtId="176" fontId="51" fillId="5" borderId="2" xfId="0" applyNumberFormat="1" applyFont="1" applyFill="1" applyBorder="1" applyAlignment="1">
      <alignment horizontal="right" vertical="center"/>
    </xf>
    <xf numFmtId="176" fontId="14" fillId="4" borderId="18" xfId="4" applyNumberFormat="1" applyFont="1" applyFill="1" applyBorder="1" applyAlignment="1">
      <alignment horizontal="right"/>
    </xf>
    <xf numFmtId="0" fontId="31" fillId="3" borderId="1" xfId="4" applyFont="1" applyFill="1" applyBorder="1" applyAlignment="1">
      <alignment horizontal="left"/>
    </xf>
    <xf numFmtId="180" fontId="44" fillId="0" borderId="0" xfId="0" applyNumberFormat="1" applyFont="1" applyAlignment="1">
      <alignment horizontal="center"/>
    </xf>
    <xf numFmtId="0" fontId="44" fillId="0" borderId="0" xfId="0" applyFont="1" applyAlignment="1">
      <alignment horizontal="center"/>
    </xf>
    <xf numFmtId="181" fontId="23" fillId="4" borderId="3" xfId="0" applyNumberFormat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/>
    </xf>
    <xf numFmtId="181" fontId="10" fillId="0" borderId="6" xfId="0" applyNumberFormat="1" applyFont="1" applyBorder="1" applyAlignment="1">
      <alignment horizontal="center" vertical="center"/>
    </xf>
    <xf numFmtId="181" fontId="10" fillId="0" borderId="2" xfId="0" applyNumberFormat="1" applyFont="1" applyBorder="1" applyAlignment="1">
      <alignment horizontal="center" vertical="center"/>
    </xf>
    <xf numFmtId="181" fontId="10" fillId="0" borderId="7" xfId="0" applyNumberFormat="1" applyFont="1" applyBorder="1" applyAlignment="1">
      <alignment horizontal="center" vertical="center"/>
    </xf>
    <xf numFmtId="0" fontId="5" fillId="0" borderId="1" xfId="4" applyFont="1" applyBorder="1" applyAlignment="1">
      <alignment horizontal="left"/>
    </xf>
    <xf numFmtId="0" fontId="6" fillId="4" borderId="1" xfId="4" applyFont="1" applyFill="1" applyBorder="1" applyAlignment="1">
      <alignment horizontal="center"/>
    </xf>
    <xf numFmtId="176" fontId="23" fillId="4" borderId="4" xfId="0" applyNumberFormat="1" applyFont="1" applyFill="1" applyBorder="1" applyAlignment="1">
      <alignment horizontal="center" vertical="center"/>
    </xf>
    <xf numFmtId="176" fontId="23" fillId="4" borderId="7" xfId="0" applyNumberFormat="1" applyFont="1" applyFill="1" applyBorder="1" applyAlignment="1">
      <alignment horizontal="center" vertical="center"/>
    </xf>
    <xf numFmtId="184" fontId="40" fillId="3" borderId="1" xfId="0" applyNumberFormat="1" applyFont="1" applyFill="1" applyBorder="1" applyAlignment="1">
      <alignment horizontal="center"/>
    </xf>
    <xf numFmtId="184" fontId="40" fillId="3" borderId="1" xfId="0" applyNumberFormat="1" applyFont="1" applyFill="1" applyBorder="1">
      <alignment vertical="center"/>
    </xf>
    <xf numFmtId="184" fontId="40" fillId="3" borderId="22" xfId="0" applyNumberFormat="1" applyFont="1" applyFill="1" applyBorder="1" applyAlignment="1">
      <alignment horizontal="right"/>
    </xf>
    <xf numFmtId="0" fontId="38" fillId="5" borderId="10" xfId="4" applyFont="1" applyFill="1" applyBorder="1" applyAlignment="1">
      <alignment vertical="center"/>
    </xf>
    <xf numFmtId="0" fontId="33" fillId="0" borderId="6" xfId="4" applyFont="1" applyBorder="1" applyAlignment="1">
      <alignment horizontal="left" vertical="center" wrapText="1"/>
    </xf>
    <xf numFmtId="180" fontId="40" fillId="8" borderId="1" xfId="0" applyNumberFormat="1" applyFont="1" applyFill="1" applyBorder="1" applyAlignment="1">
      <alignment horizontal="center"/>
    </xf>
    <xf numFmtId="0" fontId="33" fillId="0" borderId="27" xfId="4" applyFont="1" applyBorder="1"/>
    <xf numFmtId="0" fontId="33" fillId="0" borderId="15" xfId="4" applyFont="1" applyBorder="1"/>
    <xf numFmtId="180" fontId="45" fillId="0" borderId="4" xfId="0" applyNumberFormat="1" applyFont="1" applyBorder="1" applyAlignment="1">
      <alignment horizontal="center"/>
    </xf>
    <xf numFmtId="181" fontId="40" fillId="0" borderId="1" xfId="0" applyNumberFormat="1" applyFont="1" applyBorder="1" applyAlignment="1">
      <alignment horizontal="center"/>
    </xf>
    <xf numFmtId="182" fontId="45" fillId="4" borderId="6" xfId="0" applyNumberFormat="1" applyFont="1" applyFill="1" applyBorder="1" applyAlignment="1">
      <alignment horizontal="center"/>
    </xf>
    <xf numFmtId="0" fontId="9" fillId="5" borderId="28" xfId="4" applyFont="1" applyFill="1" applyBorder="1" applyAlignment="1">
      <alignment vertical="center"/>
    </xf>
    <xf numFmtId="0" fontId="9" fillId="5" borderId="10" xfId="4" applyFont="1" applyFill="1" applyBorder="1" applyAlignment="1">
      <alignment vertical="center"/>
    </xf>
    <xf numFmtId="0" fontId="9" fillId="5" borderId="25" xfId="4" applyFont="1" applyFill="1" applyBorder="1" applyAlignment="1">
      <alignment vertical="center"/>
    </xf>
    <xf numFmtId="0" fontId="15" fillId="5" borderId="13" xfId="4" applyFont="1" applyFill="1" applyBorder="1" applyAlignment="1">
      <alignment horizontal="left" vertical="center" wrapText="1"/>
    </xf>
    <xf numFmtId="0" fontId="38" fillId="5" borderId="4" xfId="4" applyFont="1" applyFill="1" applyBorder="1" applyAlignment="1">
      <alignment vertical="center"/>
    </xf>
    <xf numFmtId="180" fontId="23" fillId="0" borderId="2" xfId="4" applyNumberFormat="1" applyFont="1" applyBorder="1" applyAlignment="1">
      <alignment horizontal="center"/>
    </xf>
    <xf numFmtId="180" fontId="23" fillId="0" borderId="6" xfId="4" applyNumberFormat="1" applyFont="1" applyBorder="1" applyAlignment="1">
      <alignment horizontal="center"/>
    </xf>
    <xf numFmtId="180" fontId="23" fillId="0" borderId="9" xfId="4" applyNumberFormat="1" applyFont="1" applyBorder="1" applyAlignment="1">
      <alignment horizontal="center"/>
    </xf>
    <xf numFmtId="180" fontId="23" fillId="0" borderId="29" xfId="4" applyNumberFormat="1" applyFont="1" applyBorder="1" applyAlignment="1">
      <alignment horizontal="center"/>
    </xf>
    <xf numFmtId="181" fontId="23" fillId="4" borderId="19" xfId="0" applyNumberFormat="1" applyFont="1" applyFill="1" applyBorder="1" applyAlignment="1">
      <alignment horizontal="center" vertical="center"/>
    </xf>
    <xf numFmtId="180" fontId="6" fillId="0" borderId="2" xfId="4" applyNumberFormat="1" applyFont="1" applyBorder="1" applyAlignment="1">
      <alignment horizontal="center"/>
    </xf>
    <xf numFmtId="176" fontId="23" fillId="0" borderId="2" xfId="4" applyNumberFormat="1" applyFont="1" applyBorder="1" applyAlignment="1">
      <alignment horizontal="center" vertical="center"/>
    </xf>
    <xf numFmtId="176" fontId="23" fillId="0" borderId="6" xfId="4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176" fontId="6" fillId="0" borderId="2" xfId="4" applyNumberFormat="1" applyFont="1" applyBorder="1" applyAlignment="1">
      <alignment horizontal="center" vertical="center"/>
    </xf>
    <xf numFmtId="176" fontId="6" fillId="0" borderId="6" xfId="4" applyNumberFormat="1" applyFont="1" applyBorder="1" applyAlignment="1">
      <alignment horizontal="center" vertical="center"/>
    </xf>
    <xf numFmtId="0" fontId="45" fillId="0" borderId="0" xfId="4" applyFont="1" applyAlignment="1">
      <alignment horizontal="center"/>
    </xf>
    <xf numFmtId="180" fontId="40" fillId="0" borderId="0" xfId="0" applyNumberFormat="1" applyFont="1" applyAlignment="1">
      <alignment horizontal="center"/>
    </xf>
    <xf numFmtId="180" fontId="40" fillId="0" borderId="0" xfId="0" applyNumberFormat="1" applyFont="1">
      <alignment vertical="center"/>
    </xf>
    <xf numFmtId="180" fontId="40" fillId="0" borderId="2" xfId="0" applyNumberFormat="1" applyFont="1" applyBorder="1" applyAlignment="1">
      <alignment horizontal="center"/>
    </xf>
    <xf numFmtId="181" fontId="40" fillId="0" borderId="2" xfId="0" applyNumberFormat="1" applyFont="1" applyBorder="1" applyAlignment="1">
      <alignment horizontal="center"/>
    </xf>
    <xf numFmtId="0" fontId="28" fillId="0" borderId="2" xfId="0" applyFont="1" applyBorder="1">
      <alignment vertical="center"/>
    </xf>
    <xf numFmtId="0" fontId="28" fillId="4" borderId="3" xfId="0" applyFont="1" applyFill="1" applyBorder="1">
      <alignment vertical="center"/>
    </xf>
    <xf numFmtId="49" fontId="0" fillId="0" borderId="0" xfId="0" quotePrefix="1" applyNumberFormat="1">
      <alignment vertical="center"/>
    </xf>
    <xf numFmtId="0" fontId="5" fillId="0" borderId="3" xfId="4" applyFont="1" applyBorder="1" applyAlignment="1">
      <alignment horizontal="left" vertical="center" wrapText="1"/>
    </xf>
    <xf numFmtId="176" fontId="14" fillId="5" borderId="6" xfId="4" applyNumberFormat="1" applyFont="1" applyFill="1" applyBorder="1" applyAlignment="1">
      <alignment horizontal="center"/>
    </xf>
    <xf numFmtId="0" fontId="24" fillId="0" borderId="0" xfId="0" applyFont="1" applyAlignment="1">
      <alignment horizontal="left" indent="2"/>
    </xf>
    <xf numFmtId="0" fontId="9" fillId="5" borderId="30" xfId="4" applyFont="1" applyFill="1" applyBorder="1" applyAlignment="1">
      <alignment vertical="center"/>
    </xf>
    <xf numFmtId="0" fontId="5" fillId="0" borderId="4" xfId="4" applyFont="1" applyBorder="1" applyAlignment="1">
      <alignment horizontal="left"/>
    </xf>
    <xf numFmtId="0" fontId="33" fillId="0" borderId="11" xfId="4" applyFont="1" applyBorder="1" applyAlignment="1">
      <alignment horizontal="left"/>
    </xf>
    <xf numFmtId="0" fontId="33" fillId="0" borderId="31" xfId="4" applyFont="1" applyBorder="1" applyAlignment="1">
      <alignment horizontal="left"/>
    </xf>
    <xf numFmtId="0" fontId="52" fillId="0" borderId="32" xfId="4" applyFont="1" applyBorder="1" applyAlignment="1">
      <alignment horizontal="left"/>
    </xf>
    <xf numFmtId="0" fontId="52" fillId="0" borderId="11" xfId="4" applyFont="1" applyBorder="1" applyAlignment="1">
      <alignment horizontal="left"/>
    </xf>
    <xf numFmtId="0" fontId="52" fillId="0" borderId="31" xfId="4" applyFont="1" applyBorder="1" applyAlignment="1">
      <alignment horizontal="left"/>
    </xf>
    <xf numFmtId="181" fontId="40" fillId="0" borderId="18" xfId="0" applyNumberFormat="1" applyFont="1" applyBorder="1" applyAlignment="1">
      <alignment horizontal="center"/>
    </xf>
    <xf numFmtId="180" fontId="23" fillId="0" borderId="1" xfId="4" applyNumberFormat="1" applyFont="1" applyBorder="1" applyAlignment="1">
      <alignment horizontal="center"/>
    </xf>
    <xf numFmtId="176" fontId="23" fillId="0" borderId="1" xfId="4" applyNumberFormat="1" applyFont="1" applyBorder="1" applyAlignment="1">
      <alignment horizontal="center" vertical="center"/>
    </xf>
    <xf numFmtId="176" fontId="6" fillId="2" borderId="0" xfId="4" applyNumberFormat="1" applyFont="1" applyFill="1" applyAlignment="1">
      <alignment horizontal="center"/>
    </xf>
    <xf numFmtId="0" fontId="6" fillId="2" borderId="0" xfId="4" applyFont="1" applyFill="1" applyAlignment="1">
      <alignment horizontal="center"/>
    </xf>
    <xf numFmtId="176" fontId="14" fillId="4" borderId="4" xfId="4" applyNumberFormat="1" applyFont="1" applyFill="1" applyBorder="1" applyAlignment="1">
      <alignment horizontal="center"/>
    </xf>
    <xf numFmtId="0" fontId="6" fillId="0" borderId="0" xfId="4" applyFont="1" applyAlignment="1">
      <alignment horizontal="center"/>
    </xf>
    <xf numFmtId="176" fontId="6" fillId="0" borderId="0" xfId="4" applyNumberFormat="1" applyFont="1" applyAlignment="1">
      <alignment horizontal="center"/>
    </xf>
    <xf numFmtId="180" fontId="6" fillId="0" borderId="0" xfId="4" applyNumberFormat="1" applyFont="1" applyAlignment="1">
      <alignment horizontal="center"/>
    </xf>
    <xf numFmtId="181" fontId="10" fillId="0" borderId="0" xfId="4" applyNumberFormat="1" applyFont="1" applyAlignment="1">
      <alignment horizontal="center" vertical="center"/>
    </xf>
    <xf numFmtId="0" fontId="0" fillId="9" borderId="0" xfId="0" quotePrefix="1" applyFill="1">
      <alignment vertical="center"/>
    </xf>
    <xf numFmtId="0" fontId="0" fillId="9" borderId="0" xfId="0" applyFill="1">
      <alignment vertical="center"/>
    </xf>
    <xf numFmtId="176" fontId="6" fillId="0" borderId="6" xfId="4" applyNumberFormat="1" applyFont="1" applyBorder="1" applyAlignment="1">
      <alignment vertical="center"/>
    </xf>
    <xf numFmtId="176" fontId="6" fillId="0" borderId="6" xfId="4" applyNumberFormat="1" applyFont="1" applyBorder="1"/>
    <xf numFmtId="180" fontId="10" fillId="0" borderId="6" xfId="4" applyNumberFormat="1" applyFont="1" applyBorder="1" applyAlignment="1">
      <alignment horizontal="center"/>
    </xf>
    <xf numFmtId="180" fontId="10" fillId="0" borderId="4" xfId="4" applyNumberFormat="1" applyFont="1" applyBorder="1" applyAlignment="1">
      <alignment horizontal="center"/>
    </xf>
    <xf numFmtId="180" fontId="10" fillId="0" borderId="3" xfId="4" applyNumberFormat="1" applyFont="1" applyBorder="1" applyAlignment="1">
      <alignment horizontal="center"/>
    </xf>
    <xf numFmtId="180" fontId="10" fillId="0" borderId="2" xfId="4" applyNumberFormat="1" applyFont="1" applyBorder="1" applyAlignment="1">
      <alignment horizontal="center"/>
    </xf>
    <xf numFmtId="186" fontId="10" fillId="0" borderId="4" xfId="4" applyNumberFormat="1" applyFont="1" applyBorder="1" applyAlignment="1">
      <alignment horizontal="center"/>
    </xf>
    <xf numFmtId="186" fontId="10" fillId="0" borderId="10" xfId="4" applyNumberFormat="1" applyFont="1" applyBorder="1" applyAlignment="1">
      <alignment horizontal="center"/>
    </xf>
    <xf numFmtId="186" fontId="10" fillId="0" borderId="6" xfId="4" applyNumberFormat="1" applyFont="1" applyBorder="1" applyAlignment="1">
      <alignment horizontal="center"/>
    </xf>
    <xf numFmtId="176" fontId="14" fillId="5" borderId="2" xfId="4" applyNumberFormat="1" applyFont="1" applyFill="1" applyBorder="1" applyAlignment="1">
      <alignment vertical="center"/>
    </xf>
    <xf numFmtId="176" fontId="6" fillId="5" borderId="33" xfId="4" applyNumberFormat="1" applyFont="1" applyFill="1" applyBorder="1" applyAlignment="1">
      <alignment vertical="center"/>
    </xf>
    <xf numFmtId="180" fontId="10" fillId="4" borderId="4" xfId="4" applyNumberFormat="1" applyFont="1" applyFill="1" applyBorder="1" applyAlignment="1">
      <alignment horizontal="center"/>
    </xf>
    <xf numFmtId="180" fontId="10" fillId="0" borderId="1" xfId="4" applyNumberFormat="1" applyFont="1" applyBorder="1" applyAlignment="1">
      <alignment horizontal="center"/>
    </xf>
    <xf numFmtId="176" fontId="23" fillId="4" borderId="1" xfId="4" applyNumberFormat="1" applyFont="1" applyFill="1" applyBorder="1" applyAlignment="1">
      <alignment horizontal="center" vertical="center"/>
    </xf>
    <xf numFmtId="176" fontId="6" fillId="0" borderId="1" xfId="4" applyNumberFormat="1" applyFont="1" applyBorder="1"/>
    <xf numFmtId="176" fontId="14" fillId="5" borderId="6" xfId="4" applyNumberFormat="1" applyFont="1" applyFill="1" applyBorder="1"/>
    <xf numFmtId="176" fontId="14" fillId="5" borderId="2" xfId="4" applyNumberFormat="1" applyFont="1" applyFill="1" applyBorder="1"/>
    <xf numFmtId="176" fontId="6" fillId="5" borderId="2" xfId="4" applyNumberFormat="1" applyFont="1" applyFill="1" applyBorder="1"/>
    <xf numFmtId="176" fontId="6" fillId="0" borderId="4" xfId="4" applyNumberFormat="1" applyFont="1" applyBorder="1"/>
    <xf numFmtId="176" fontId="10" fillId="6" borderId="2" xfId="4" applyNumberFormat="1" applyFont="1" applyFill="1" applyBorder="1" applyAlignment="1">
      <alignment vertical="center"/>
    </xf>
    <xf numFmtId="176" fontId="10" fillId="3" borderId="4" xfId="4" applyNumberFormat="1" applyFont="1" applyFill="1" applyBorder="1" applyAlignment="1">
      <alignment vertical="center"/>
    </xf>
    <xf numFmtId="176" fontId="10" fillId="6" borderId="10" xfId="4" applyNumberFormat="1" applyFont="1" applyFill="1" applyBorder="1" applyAlignment="1">
      <alignment vertical="center"/>
    </xf>
    <xf numFmtId="176" fontId="10" fillId="6" borderId="6" xfId="4" applyNumberFormat="1" applyFont="1" applyFill="1" applyBorder="1" applyAlignment="1">
      <alignment vertical="center"/>
    </xf>
    <xf numFmtId="176" fontId="10" fillId="6" borderId="25" xfId="4" applyNumberFormat="1" applyFont="1" applyFill="1" applyBorder="1" applyAlignment="1">
      <alignment vertical="center"/>
    </xf>
    <xf numFmtId="17" fontId="6" fillId="3" borderId="34" xfId="4" quotePrefix="1" applyNumberFormat="1" applyFont="1" applyFill="1" applyBorder="1" applyAlignment="1">
      <alignment horizontal="center" vertical="center" wrapText="1"/>
    </xf>
    <xf numFmtId="17" fontId="6" fillId="3" borderId="35" xfId="4" quotePrefix="1" applyNumberFormat="1" applyFont="1" applyFill="1" applyBorder="1" applyAlignment="1">
      <alignment horizontal="center" vertical="center" wrapText="1"/>
    </xf>
    <xf numFmtId="0" fontId="0" fillId="3" borderId="25" xfId="0" applyFill="1" applyBorder="1" applyAlignment="1">
      <alignment horizontal="center" vertical="center" wrapText="1"/>
    </xf>
    <xf numFmtId="0" fontId="6" fillId="3" borderId="33" xfId="4" quotePrefix="1" applyFont="1" applyFill="1" applyBorder="1" applyAlignment="1">
      <alignment horizontal="center" vertical="center" wrapText="1"/>
    </xf>
    <xf numFmtId="0" fontId="31" fillId="0" borderId="0" xfId="4" applyFont="1" applyAlignment="1">
      <alignment horizontal="center" vertical="center" wrapText="1"/>
    </xf>
    <xf numFmtId="176" fontId="40" fillId="0" borderId="0" xfId="0" applyNumberFormat="1" applyFont="1" applyAlignment="1"/>
    <xf numFmtId="0" fontId="40" fillId="0" borderId="0" xfId="0" applyFont="1">
      <alignment vertical="center"/>
    </xf>
    <xf numFmtId="176" fontId="54" fillId="0" borderId="0" xfId="3" applyNumberFormat="1" applyFont="1">
      <alignment vertical="center"/>
    </xf>
    <xf numFmtId="0" fontId="38" fillId="0" borderId="0" xfId="3" applyFont="1">
      <alignment vertical="center"/>
    </xf>
    <xf numFmtId="176" fontId="38" fillId="0" borderId="0" xfId="3" applyNumberFormat="1" applyFont="1">
      <alignment vertical="center"/>
    </xf>
    <xf numFmtId="0" fontId="31" fillId="0" borderId="0" xfId="3" applyFont="1">
      <alignment vertical="center"/>
    </xf>
    <xf numFmtId="0" fontId="28" fillId="0" borderId="0" xfId="3" applyFont="1">
      <alignment vertical="center"/>
    </xf>
    <xf numFmtId="0" fontId="31" fillId="3" borderId="2" xfId="3" applyFont="1" applyFill="1" applyBorder="1" applyAlignment="1">
      <alignment horizontal="center"/>
    </xf>
    <xf numFmtId="0" fontId="31" fillId="3" borderId="18" xfId="3" applyFont="1" applyFill="1" applyBorder="1" applyAlignment="1">
      <alignment horizontal="center"/>
    </xf>
    <xf numFmtId="0" fontId="28" fillId="0" borderId="0" xfId="3" applyFont="1" applyAlignment="1">
      <alignment horizontal="center"/>
    </xf>
    <xf numFmtId="176" fontId="36" fillId="4" borderId="6" xfId="3" applyNumberFormat="1" applyFont="1" applyFill="1" applyBorder="1">
      <alignment vertical="center"/>
    </xf>
    <xf numFmtId="0" fontId="37" fillId="0" borderId="0" xfId="3" applyFont="1">
      <alignment vertical="center"/>
    </xf>
    <xf numFmtId="176" fontId="40" fillId="5" borderId="6" xfId="3" applyNumberFormat="1" applyFont="1" applyFill="1" applyBorder="1">
      <alignment vertical="center"/>
    </xf>
    <xf numFmtId="176" fontId="40" fillId="0" borderId="6" xfId="3" applyNumberFormat="1" applyFont="1" applyBorder="1" applyAlignment="1">
      <alignment horizontal="right"/>
    </xf>
    <xf numFmtId="176" fontId="40" fillId="5" borderId="6" xfId="3" applyNumberFormat="1" applyFont="1" applyFill="1" applyBorder="1" applyAlignment="1">
      <alignment horizontal="right"/>
    </xf>
    <xf numFmtId="0" fontId="38" fillId="5" borderId="28" xfId="4" applyFont="1" applyFill="1" applyBorder="1" applyAlignment="1">
      <alignment vertical="center"/>
    </xf>
    <xf numFmtId="0" fontId="39" fillId="5" borderId="13" xfId="4" applyFont="1" applyFill="1" applyBorder="1" applyAlignment="1">
      <alignment horizontal="left" vertical="center" wrapText="1"/>
    </xf>
    <xf numFmtId="176" fontId="38" fillId="5" borderId="2" xfId="4" applyNumberFormat="1" applyFont="1" applyFill="1" applyBorder="1" applyAlignment="1">
      <alignment horizontal="center"/>
    </xf>
    <xf numFmtId="176" fontId="55" fillId="5" borderId="18" xfId="4" applyNumberFormat="1" applyFont="1" applyFill="1" applyBorder="1" applyAlignment="1">
      <alignment horizontal="right" vertical="center"/>
    </xf>
    <xf numFmtId="0" fontId="38" fillId="0" borderId="0" xfId="4" applyFont="1" applyAlignment="1">
      <alignment vertical="center"/>
    </xf>
    <xf numFmtId="176" fontId="38" fillId="0" borderId="4" xfId="4" applyNumberFormat="1" applyFont="1" applyBorder="1" applyAlignment="1">
      <alignment horizontal="center"/>
    </xf>
    <xf numFmtId="176" fontId="45" fillId="0" borderId="4" xfId="4" applyNumberFormat="1" applyFont="1" applyBorder="1" applyAlignment="1">
      <alignment horizontal="center"/>
    </xf>
    <xf numFmtId="176" fontId="45" fillId="0" borderId="6" xfId="4" applyNumberFormat="1" applyFont="1" applyBorder="1" applyAlignment="1">
      <alignment horizontal="center" vertical="center"/>
    </xf>
    <xf numFmtId="176" fontId="45" fillId="0" borderId="6" xfId="4" applyNumberFormat="1" applyFont="1" applyBorder="1" applyAlignment="1">
      <alignment vertical="center"/>
    </xf>
    <xf numFmtId="176" fontId="38" fillId="0" borderId="6" xfId="4" applyNumberFormat="1" applyFont="1" applyBorder="1" applyAlignment="1">
      <alignment horizontal="right" vertical="center"/>
    </xf>
    <xf numFmtId="176" fontId="28" fillId="0" borderId="6" xfId="3" applyNumberFormat="1" applyFont="1" applyBorder="1" applyAlignment="1">
      <alignment horizontal="right" vertical="center"/>
    </xf>
    <xf numFmtId="176" fontId="28" fillId="0" borderId="7" xfId="3" applyNumberFormat="1" applyFont="1" applyBorder="1" applyAlignment="1">
      <alignment horizontal="right" vertical="center"/>
    </xf>
    <xf numFmtId="176" fontId="45" fillId="0" borderId="1" xfId="4" applyNumberFormat="1" applyFont="1" applyBorder="1" applyAlignment="1">
      <alignment horizontal="center" vertical="center"/>
    </xf>
    <xf numFmtId="176" fontId="45" fillId="0" borderId="1" xfId="4" applyNumberFormat="1" applyFont="1" applyBorder="1" applyAlignment="1">
      <alignment vertical="center"/>
    </xf>
    <xf numFmtId="176" fontId="38" fillId="0" borderId="1" xfId="4" applyNumberFormat="1" applyFont="1" applyBorder="1" applyAlignment="1">
      <alignment horizontal="right" vertical="center"/>
    </xf>
    <xf numFmtId="176" fontId="28" fillId="0" borderId="1" xfId="3" applyNumberFormat="1" applyFont="1" applyBorder="1" applyAlignment="1">
      <alignment horizontal="right" vertical="center"/>
    </xf>
    <xf numFmtId="0" fontId="38" fillId="5" borderId="25" xfId="4" applyFont="1" applyFill="1" applyBorder="1" applyAlignment="1">
      <alignment vertical="center"/>
    </xf>
    <xf numFmtId="176" fontId="38" fillId="0" borderId="10" xfId="4" applyNumberFormat="1" applyFont="1" applyBorder="1" applyAlignment="1">
      <alignment horizontal="center"/>
    </xf>
    <xf numFmtId="176" fontId="45" fillId="0" borderId="10" xfId="4" applyNumberFormat="1" applyFont="1" applyBorder="1" applyAlignment="1">
      <alignment horizontal="center"/>
    </xf>
    <xf numFmtId="176" fontId="45" fillId="0" borderId="3" xfId="4" applyNumberFormat="1" applyFont="1" applyBorder="1" applyAlignment="1">
      <alignment horizontal="center" vertical="center"/>
    </xf>
    <xf numFmtId="176" fontId="45" fillId="0" borderId="3" xfId="4" applyNumberFormat="1" applyFont="1" applyBorder="1" applyAlignment="1">
      <alignment vertical="center"/>
    </xf>
    <xf numFmtId="176" fontId="38" fillId="0" borderId="3" xfId="4" applyNumberFormat="1" applyFont="1" applyBorder="1" applyAlignment="1">
      <alignment horizontal="right" vertical="center"/>
    </xf>
    <xf numFmtId="176" fontId="28" fillId="0" borderId="3" xfId="3" applyNumberFormat="1" applyFont="1" applyBorder="1" applyAlignment="1">
      <alignment horizontal="right" vertical="center"/>
    </xf>
    <xf numFmtId="0" fontId="31" fillId="3" borderId="2" xfId="4" applyFont="1" applyFill="1" applyBorder="1" applyAlignment="1">
      <alignment horizontal="left"/>
    </xf>
    <xf numFmtId="176" fontId="40" fillId="3" borderId="2" xfId="3" applyNumberFormat="1" applyFont="1" applyFill="1" applyBorder="1" applyAlignment="1"/>
    <xf numFmtId="176" fontId="40" fillId="3" borderId="6" xfId="3" applyNumberFormat="1" applyFont="1" applyFill="1" applyBorder="1" applyAlignment="1"/>
    <xf numFmtId="176" fontId="40" fillId="6" borderId="6" xfId="3" applyNumberFormat="1" applyFont="1" applyFill="1" applyBorder="1" applyAlignment="1">
      <alignment horizontal="right"/>
    </xf>
    <xf numFmtId="176" fontId="40" fillId="3" borderId="1" xfId="3" applyNumberFormat="1" applyFont="1" applyFill="1" applyBorder="1" applyAlignment="1"/>
    <xf numFmtId="176" fontId="40" fillId="3" borderId="3" xfId="3" applyNumberFormat="1" applyFont="1" applyFill="1" applyBorder="1" applyAlignment="1"/>
    <xf numFmtId="176" fontId="40" fillId="0" borderId="0" xfId="3" applyNumberFormat="1" applyFont="1">
      <alignment vertical="center"/>
    </xf>
    <xf numFmtId="176" fontId="40" fillId="0" borderId="6" xfId="3" applyNumberFormat="1" applyFont="1" applyBorder="1">
      <alignment vertical="center"/>
    </xf>
    <xf numFmtId="176" fontId="38" fillId="0" borderId="6" xfId="4" applyNumberFormat="1" applyFont="1" applyBorder="1" applyAlignment="1">
      <alignment horizontal="center" vertical="center"/>
    </xf>
    <xf numFmtId="176" fontId="38" fillId="0" borderId="6" xfId="4" applyNumberFormat="1" applyFont="1" applyBorder="1" applyAlignment="1">
      <alignment vertical="center"/>
    </xf>
    <xf numFmtId="176" fontId="38" fillId="0" borderId="1" xfId="4" applyNumberFormat="1" applyFont="1" applyBorder="1" applyAlignment="1">
      <alignment horizontal="center" vertical="center"/>
    </xf>
    <xf numFmtId="176" fontId="38" fillId="0" borderId="1" xfId="4" applyNumberFormat="1" applyFont="1" applyBorder="1" applyAlignment="1">
      <alignment vertical="center"/>
    </xf>
    <xf numFmtId="176" fontId="38" fillId="0" borderId="3" xfId="4" applyNumberFormat="1" applyFont="1" applyBorder="1" applyAlignment="1">
      <alignment horizontal="center"/>
    </xf>
    <xf numFmtId="176" fontId="38" fillId="0" borderId="3" xfId="4" applyNumberFormat="1" applyFont="1" applyBorder="1" applyAlignment="1">
      <alignment vertical="center"/>
    </xf>
    <xf numFmtId="176" fontId="28" fillId="0" borderId="19" xfId="3" applyNumberFormat="1" applyFont="1" applyBorder="1" applyAlignment="1">
      <alignment horizontal="right" vertical="center"/>
    </xf>
    <xf numFmtId="176" fontId="40" fillId="3" borderId="4" xfId="3" applyNumberFormat="1" applyFont="1" applyFill="1" applyBorder="1" applyAlignment="1"/>
    <xf numFmtId="176" fontId="40" fillId="0" borderId="4" xfId="3" applyNumberFormat="1" applyFont="1" applyBorder="1">
      <alignment vertical="center"/>
    </xf>
    <xf numFmtId="184" fontId="36" fillId="4" borderId="6" xfId="3" applyNumberFormat="1" applyFont="1" applyFill="1" applyBorder="1" applyAlignment="1">
      <alignment horizontal="center"/>
    </xf>
    <xf numFmtId="184" fontId="36" fillId="4" borderId="6" xfId="3" applyNumberFormat="1" applyFont="1" applyFill="1" applyBorder="1">
      <alignment vertical="center"/>
    </xf>
    <xf numFmtId="184" fontId="36" fillId="4" borderId="7" xfId="3" applyNumberFormat="1" applyFont="1" applyFill="1" applyBorder="1">
      <alignment vertical="center"/>
    </xf>
    <xf numFmtId="184" fontId="40" fillId="5" borderId="6" xfId="3" applyNumberFormat="1" applyFont="1" applyFill="1" applyBorder="1" applyAlignment="1">
      <alignment horizontal="center"/>
    </xf>
    <xf numFmtId="184" fontId="40" fillId="5" borderId="6" xfId="3" applyNumberFormat="1" applyFont="1" applyFill="1" applyBorder="1">
      <alignment vertical="center"/>
    </xf>
    <xf numFmtId="184" fontId="40" fillId="5" borderId="7" xfId="3" applyNumberFormat="1" applyFont="1" applyFill="1" applyBorder="1" applyAlignment="1">
      <alignment horizontal="right"/>
    </xf>
    <xf numFmtId="184" fontId="40" fillId="0" borderId="6" xfId="3" applyNumberFormat="1" applyFont="1" applyBorder="1" applyAlignment="1">
      <alignment horizontal="center"/>
    </xf>
    <xf numFmtId="184" fontId="40" fillId="0" borderId="6" xfId="3" applyNumberFormat="1" applyFont="1" applyBorder="1">
      <alignment vertical="center"/>
    </xf>
    <xf numFmtId="184" fontId="40" fillId="0" borderId="7" xfId="3" applyNumberFormat="1" applyFont="1" applyBorder="1" applyAlignment="1">
      <alignment horizontal="right"/>
    </xf>
    <xf numFmtId="184" fontId="40" fillId="5" borderId="3" xfId="3" applyNumberFormat="1" applyFont="1" applyFill="1" applyBorder="1" applyAlignment="1">
      <alignment horizontal="center"/>
    </xf>
    <xf numFmtId="184" fontId="40" fillId="5" borderId="3" xfId="3" applyNumberFormat="1" applyFont="1" applyFill="1" applyBorder="1">
      <alignment vertical="center"/>
    </xf>
    <xf numFmtId="184" fontId="40" fillId="5" borderId="19" xfId="3" applyNumberFormat="1" applyFont="1" applyFill="1" applyBorder="1" applyAlignment="1">
      <alignment horizontal="right"/>
    </xf>
    <xf numFmtId="184" fontId="40" fillId="0" borderId="4" xfId="3" applyNumberFormat="1" applyFont="1" applyBorder="1" applyAlignment="1">
      <alignment horizontal="center"/>
    </xf>
    <xf numFmtId="184" fontId="40" fillId="0" borderId="4" xfId="3" applyNumberFormat="1" applyFont="1" applyBorder="1">
      <alignment vertical="center"/>
    </xf>
    <xf numFmtId="184" fontId="40" fillId="0" borderId="24" xfId="3" applyNumberFormat="1" applyFont="1" applyBorder="1" applyAlignment="1">
      <alignment horizontal="right"/>
    </xf>
    <xf numFmtId="184" fontId="40" fillId="0" borderId="6" xfId="3" applyNumberFormat="1" applyFont="1" applyBorder="1" applyAlignment="1">
      <alignment horizontal="center" vertical="center"/>
    </xf>
    <xf numFmtId="185" fontId="40" fillId="3" borderId="6" xfId="3" applyNumberFormat="1" applyFont="1" applyFill="1" applyBorder="1" applyAlignment="1">
      <alignment horizontal="center"/>
    </xf>
    <xf numFmtId="176" fontId="40" fillId="3" borderId="6" xfId="3" applyNumberFormat="1" applyFont="1" applyFill="1" applyBorder="1" applyAlignment="1">
      <alignment horizontal="center"/>
    </xf>
    <xf numFmtId="176" fontId="40" fillId="3" borderId="6" xfId="3" applyNumberFormat="1" applyFont="1" applyFill="1" applyBorder="1">
      <alignment vertical="center"/>
    </xf>
    <xf numFmtId="176" fontId="40" fillId="3" borderId="7" xfId="3" applyNumberFormat="1" applyFont="1" applyFill="1" applyBorder="1" applyAlignment="1">
      <alignment horizontal="right"/>
    </xf>
    <xf numFmtId="184" fontId="40" fillId="3" borderId="6" xfId="3" applyNumberFormat="1" applyFont="1" applyFill="1" applyBorder="1" applyAlignment="1">
      <alignment horizontal="center"/>
    </xf>
    <xf numFmtId="184" fontId="40" fillId="3" borderId="6" xfId="3" applyNumberFormat="1" applyFont="1" applyFill="1" applyBorder="1">
      <alignment vertical="center"/>
    </xf>
    <xf numFmtId="184" fontId="40" fillId="3" borderId="7" xfId="3" applyNumberFormat="1" applyFont="1" applyFill="1" applyBorder="1" applyAlignment="1">
      <alignment horizontal="right"/>
    </xf>
    <xf numFmtId="184" fontId="40" fillId="3" borderId="1" xfId="3" applyNumberFormat="1" applyFont="1" applyFill="1" applyBorder="1" applyAlignment="1">
      <alignment horizontal="center"/>
    </xf>
    <xf numFmtId="184" fontId="40" fillId="3" borderId="1" xfId="3" applyNumberFormat="1" applyFont="1" applyFill="1" applyBorder="1">
      <alignment vertical="center"/>
    </xf>
    <xf numFmtId="184" fontId="40" fillId="3" borderId="22" xfId="3" applyNumberFormat="1" applyFont="1" applyFill="1" applyBorder="1" applyAlignment="1">
      <alignment horizontal="right"/>
    </xf>
    <xf numFmtId="184" fontId="28" fillId="3" borderId="3" xfId="3" applyNumberFormat="1" applyFont="1" applyFill="1" applyBorder="1" applyAlignment="1">
      <alignment horizontal="center"/>
    </xf>
    <xf numFmtId="184" fontId="28" fillId="3" borderId="3" xfId="3" applyNumberFormat="1" applyFont="1" applyFill="1" applyBorder="1">
      <alignment vertical="center"/>
    </xf>
    <xf numFmtId="184" fontId="28" fillId="3" borderId="19" xfId="3" applyNumberFormat="1" applyFont="1" applyFill="1" applyBorder="1" applyAlignment="1">
      <alignment horizontal="right"/>
    </xf>
    <xf numFmtId="180" fontId="45" fillId="0" borderId="6" xfId="3" applyNumberFormat="1" applyFont="1" applyBorder="1" applyAlignment="1">
      <alignment horizontal="center"/>
    </xf>
    <xf numFmtId="180" fontId="40" fillId="0" borderId="6" xfId="3" applyNumberFormat="1" applyFont="1" applyBorder="1" applyAlignment="1">
      <alignment horizontal="center"/>
    </xf>
    <xf numFmtId="180" fontId="45" fillId="8" borderId="1" xfId="3" applyNumberFormat="1" applyFont="1" applyFill="1" applyBorder="1" applyAlignment="1">
      <alignment horizontal="center"/>
    </xf>
    <xf numFmtId="180" fontId="40" fillId="8" borderId="1" xfId="3" applyNumberFormat="1" applyFont="1" applyFill="1" applyBorder="1" applyAlignment="1">
      <alignment horizontal="center"/>
    </xf>
    <xf numFmtId="180" fontId="45" fillId="0" borderId="4" xfId="3" applyNumberFormat="1" applyFont="1" applyBorder="1" applyAlignment="1">
      <alignment horizontal="center"/>
    </xf>
    <xf numFmtId="180" fontId="45" fillId="0" borderId="1" xfId="3" applyNumberFormat="1" applyFont="1" applyBorder="1" applyAlignment="1">
      <alignment horizontal="center"/>
    </xf>
    <xf numFmtId="180" fontId="40" fillId="0" borderId="1" xfId="3" applyNumberFormat="1" applyFont="1" applyBorder="1" applyAlignment="1">
      <alignment horizontal="center"/>
    </xf>
    <xf numFmtId="180" fontId="45" fillId="0" borderId="6" xfId="4" applyNumberFormat="1" applyFont="1" applyBorder="1" applyAlignment="1">
      <alignment horizontal="center"/>
    </xf>
    <xf numFmtId="181" fontId="45" fillId="0" borderId="14" xfId="3" applyNumberFormat="1" applyFont="1" applyBorder="1" applyAlignment="1">
      <alignment horizontal="center" vertical="center"/>
    </xf>
    <xf numFmtId="181" fontId="45" fillId="0" borderId="6" xfId="3" applyNumberFormat="1" applyFont="1" applyBorder="1" applyAlignment="1">
      <alignment horizontal="center" vertical="center"/>
    </xf>
    <xf numFmtId="181" fontId="28" fillId="0" borderId="6" xfId="3" applyNumberFormat="1" applyFont="1" applyBorder="1" applyAlignment="1">
      <alignment horizontal="center" vertical="center"/>
    </xf>
    <xf numFmtId="181" fontId="28" fillId="0" borderId="0" xfId="3" applyNumberFormat="1" applyFont="1" applyAlignment="1">
      <alignment horizontal="center" vertical="center"/>
    </xf>
    <xf numFmtId="180" fontId="38" fillId="0" borderId="0" xfId="4" applyNumberFormat="1" applyFont="1"/>
    <xf numFmtId="0" fontId="38" fillId="0" borderId="0" xfId="4" applyFont="1"/>
    <xf numFmtId="180" fontId="45" fillId="8" borderId="6" xfId="4" applyNumberFormat="1" applyFont="1" applyFill="1" applyBorder="1" applyAlignment="1">
      <alignment horizontal="center"/>
    </xf>
    <xf numFmtId="180" fontId="56" fillId="8" borderId="6" xfId="4" applyNumberFormat="1" applyFont="1" applyFill="1" applyBorder="1" applyAlignment="1">
      <alignment horizontal="center"/>
    </xf>
    <xf numFmtId="181" fontId="56" fillId="8" borderId="14" xfId="3" applyNumberFormat="1" applyFont="1" applyFill="1" applyBorder="1" applyAlignment="1">
      <alignment horizontal="center" vertical="center"/>
    </xf>
    <xf numFmtId="181" fontId="56" fillId="8" borderId="6" xfId="3" applyNumberFormat="1" applyFont="1" applyFill="1" applyBorder="1" applyAlignment="1">
      <alignment horizontal="center" vertical="center"/>
    </xf>
    <xf numFmtId="181" fontId="43" fillId="8" borderId="6" xfId="3" applyNumberFormat="1" applyFont="1" applyFill="1" applyBorder="1" applyAlignment="1">
      <alignment horizontal="center" vertical="center"/>
    </xf>
    <xf numFmtId="180" fontId="40" fillId="8" borderId="6" xfId="3" applyNumberFormat="1" applyFont="1" applyFill="1" applyBorder="1" applyAlignment="1">
      <alignment horizontal="center"/>
    </xf>
    <xf numFmtId="181" fontId="43" fillId="0" borderId="0" xfId="3" applyNumberFormat="1" applyFont="1" applyAlignment="1">
      <alignment horizontal="center" vertical="center"/>
    </xf>
    <xf numFmtId="181" fontId="40" fillId="0" borderId="6" xfId="3" applyNumberFormat="1" applyFont="1" applyBorder="1" applyAlignment="1">
      <alignment horizontal="center"/>
    </xf>
    <xf numFmtId="181" fontId="40" fillId="0" borderId="7" xfId="3" applyNumberFormat="1" applyFont="1" applyBorder="1" applyAlignment="1">
      <alignment horizontal="center"/>
    </xf>
    <xf numFmtId="181" fontId="28" fillId="0" borderId="0" xfId="3" applyNumberFormat="1" applyFont="1">
      <alignment vertical="center"/>
    </xf>
    <xf numFmtId="181" fontId="40" fillId="4" borderId="6" xfId="3" applyNumberFormat="1" applyFont="1" applyFill="1" applyBorder="1" applyAlignment="1">
      <alignment horizontal="center"/>
    </xf>
    <xf numFmtId="181" fontId="40" fillId="4" borderId="7" xfId="3" applyNumberFormat="1" applyFont="1" applyFill="1" applyBorder="1" applyAlignment="1">
      <alignment horizontal="center"/>
    </xf>
    <xf numFmtId="181" fontId="40" fillId="0" borderId="3" xfId="3" applyNumberFormat="1" applyFont="1" applyBorder="1" applyAlignment="1">
      <alignment horizontal="center"/>
    </xf>
    <xf numFmtId="181" fontId="40" fillId="0" borderId="19" xfId="3" applyNumberFormat="1" applyFont="1" applyBorder="1" applyAlignment="1">
      <alignment horizontal="center"/>
    </xf>
    <xf numFmtId="181" fontId="40" fillId="0" borderId="24" xfId="3" applyNumberFormat="1" applyFont="1" applyBorder="1" applyAlignment="1">
      <alignment horizontal="center"/>
    </xf>
    <xf numFmtId="181" fontId="40" fillId="0" borderId="1" xfId="3" applyNumberFormat="1" applyFont="1" applyBorder="1" applyAlignment="1">
      <alignment horizontal="center"/>
    </xf>
    <xf numFmtId="181" fontId="40" fillId="0" borderId="2" xfId="3" applyNumberFormat="1" applyFont="1" applyBorder="1" applyAlignment="1">
      <alignment horizontal="center"/>
    </xf>
    <xf numFmtId="182" fontId="40" fillId="0" borderId="4" xfId="3" applyNumberFormat="1" applyFont="1" applyBorder="1" applyAlignment="1">
      <alignment horizontal="center"/>
    </xf>
    <xf numFmtId="182" fontId="45" fillId="4" borderId="6" xfId="3" applyNumberFormat="1" applyFont="1" applyFill="1" applyBorder="1" applyAlignment="1">
      <alignment horizontal="center"/>
    </xf>
    <xf numFmtId="182" fontId="40" fillId="0" borderId="6" xfId="3" applyNumberFormat="1" applyFont="1" applyBorder="1" applyAlignment="1">
      <alignment horizontal="center"/>
    </xf>
    <xf numFmtId="182" fontId="40" fillId="4" borderId="3" xfId="3" applyNumberFormat="1" applyFont="1" applyFill="1" applyBorder="1" applyAlignment="1">
      <alignment horizontal="center"/>
    </xf>
    <xf numFmtId="0" fontId="38" fillId="0" borderId="36" xfId="4" applyFont="1" applyBorder="1" applyAlignment="1">
      <alignment horizontal="left"/>
    </xf>
    <xf numFmtId="0" fontId="38" fillId="0" borderId="1" xfId="4" applyFont="1" applyBorder="1" applyAlignment="1">
      <alignment horizontal="left"/>
    </xf>
    <xf numFmtId="0" fontId="28" fillId="4" borderId="3" xfId="3" applyFont="1" applyFill="1" applyBorder="1" applyAlignment="1">
      <alignment horizontal="center" vertical="center"/>
    </xf>
    <xf numFmtId="176" fontId="54" fillId="0" borderId="0" xfId="0" applyNumberFormat="1" applyFont="1">
      <alignment vertical="center"/>
    </xf>
    <xf numFmtId="0" fontId="38" fillId="0" borderId="0" xfId="0" applyFont="1">
      <alignment vertical="center"/>
    </xf>
    <xf numFmtId="176" fontId="38" fillId="0" borderId="0" xfId="0" applyNumberFormat="1" applyFont="1">
      <alignment vertical="center"/>
    </xf>
    <xf numFmtId="0" fontId="59" fillId="0" borderId="0" xfId="3" applyFont="1" applyAlignment="1">
      <alignment horizontal="right" vertical="center"/>
    </xf>
    <xf numFmtId="176" fontId="54" fillId="0" borderId="6" xfId="0" applyNumberFormat="1" applyFont="1" applyBorder="1">
      <alignment vertical="center"/>
    </xf>
    <xf numFmtId="0" fontId="38" fillId="0" borderId="6" xfId="0" applyFont="1" applyBorder="1">
      <alignment vertical="center"/>
    </xf>
    <xf numFmtId="176" fontId="38" fillId="0" borderId="6" xfId="0" applyNumberFormat="1" applyFont="1" applyBorder="1">
      <alignment vertical="center"/>
    </xf>
    <xf numFmtId="0" fontId="38" fillId="0" borderId="6" xfId="3" applyFont="1" applyBorder="1" applyAlignment="1">
      <alignment horizontal="center"/>
    </xf>
    <xf numFmtId="176" fontId="36" fillId="4" borderId="6" xfId="3" applyNumberFormat="1" applyFont="1" applyFill="1" applyBorder="1" applyAlignment="1">
      <alignment horizontal="right"/>
    </xf>
    <xf numFmtId="0" fontId="37" fillId="0" borderId="6" xfId="3" applyFont="1" applyBorder="1">
      <alignment vertical="center"/>
    </xf>
    <xf numFmtId="0" fontId="28" fillId="0" borderId="6" xfId="3" applyFont="1" applyBorder="1">
      <alignment vertical="center"/>
    </xf>
    <xf numFmtId="176" fontId="28" fillId="0" borderId="6" xfId="3" applyNumberFormat="1" applyFont="1" applyBorder="1">
      <alignment vertical="center"/>
    </xf>
    <xf numFmtId="176" fontId="38" fillId="5" borderId="2" xfId="4" applyNumberFormat="1" applyFont="1" applyFill="1" applyBorder="1" applyAlignment="1">
      <alignment horizontal="right"/>
    </xf>
    <xf numFmtId="176" fontId="55" fillId="5" borderId="18" xfId="4" applyNumberFormat="1" applyFont="1" applyFill="1" applyBorder="1" applyAlignment="1">
      <alignment horizontal="right"/>
    </xf>
    <xf numFmtId="176" fontId="28" fillId="0" borderId="7" xfId="3" applyNumberFormat="1" applyFont="1" applyBorder="1" applyAlignment="1">
      <alignment horizontal="right"/>
    </xf>
    <xf numFmtId="176" fontId="38" fillId="0" borderId="10" xfId="4" applyNumberFormat="1" applyFont="1" applyBorder="1" applyAlignment="1">
      <alignment horizontal="right"/>
    </xf>
    <xf numFmtId="176" fontId="45" fillId="0" borderId="10" xfId="4" applyNumberFormat="1" applyFont="1" applyBorder="1" applyAlignment="1">
      <alignment horizontal="right"/>
    </xf>
    <xf numFmtId="176" fontId="45" fillId="0" borderId="1" xfId="4" applyNumberFormat="1" applyFont="1" applyBorder="1" applyAlignment="1">
      <alignment horizontal="right"/>
    </xf>
    <xf numFmtId="176" fontId="38" fillId="0" borderId="1" xfId="4" applyNumberFormat="1" applyFont="1" applyBorder="1" applyAlignment="1">
      <alignment horizontal="right"/>
    </xf>
    <xf numFmtId="176" fontId="28" fillId="0" borderId="1" xfId="3" applyNumberFormat="1" applyFont="1" applyBorder="1" applyAlignment="1">
      <alignment horizontal="right"/>
    </xf>
    <xf numFmtId="176" fontId="28" fillId="0" borderId="22" xfId="3" applyNumberFormat="1" applyFont="1" applyBorder="1" applyAlignment="1">
      <alignment horizontal="right"/>
    </xf>
    <xf numFmtId="176" fontId="40" fillId="3" borderId="2" xfId="3" applyNumberFormat="1" applyFont="1" applyFill="1" applyBorder="1" applyAlignment="1">
      <alignment horizontal="right"/>
    </xf>
    <xf numFmtId="176" fontId="40" fillId="6" borderId="18" xfId="3" applyNumberFormat="1" applyFont="1" applyFill="1" applyBorder="1" applyAlignment="1">
      <alignment horizontal="right"/>
    </xf>
    <xf numFmtId="176" fontId="40" fillId="3" borderId="1" xfId="3" applyNumberFormat="1" applyFont="1" applyFill="1" applyBorder="1" applyAlignment="1">
      <alignment horizontal="right"/>
    </xf>
    <xf numFmtId="176" fontId="40" fillId="6" borderId="7" xfId="3" applyNumberFormat="1" applyFont="1" applyFill="1" applyBorder="1" applyAlignment="1">
      <alignment horizontal="right"/>
    </xf>
    <xf numFmtId="176" fontId="40" fillId="3" borderId="3" xfId="3" applyNumberFormat="1" applyFont="1" applyFill="1" applyBorder="1" applyAlignment="1">
      <alignment horizontal="right"/>
    </xf>
    <xf numFmtId="176" fontId="40" fillId="6" borderId="19" xfId="3" applyNumberFormat="1" applyFont="1" applyFill="1" applyBorder="1" applyAlignment="1">
      <alignment horizontal="right"/>
    </xf>
    <xf numFmtId="0" fontId="0" fillId="0" borderId="0" xfId="0" applyAlignment="1"/>
    <xf numFmtId="0" fontId="60" fillId="6" borderId="37" xfId="0" applyFont="1" applyFill="1" applyBorder="1">
      <alignment vertical="center"/>
    </xf>
    <xf numFmtId="0" fontId="60" fillId="6" borderId="2" xfId="0" applyFont="1" applyFill="1" applyBorder="1" applyAlignment="1">
      <alignment horizontal="center" vertical="center"/>
    </xf>
    <xf numFmtId="0" fontId="60" fillId="6" borderId="12" xfId="0" applyFont="1" applyFill="1" applyBorder="1" applyAlignment="1">
      <alignment horizontal="center" vertical="center"/>
    </xf>
    <xf numFmtId="0" fontId="60" fillId="6" borderId="21" xfId="0" applyFont="1" applyFill="1" applyBorder="1" applyAlignment="1">
      <alignment horizontal="center" vertical="center"/>
    </xf>
    <xf numFmtId="0" fontId="61" fillId="0" borderId="38" xfId="0" applyFont="1" applyBorder="1">
      <alignment vertical="center"/>
    </xf>
    <xf numFmtId="182" fontId="62" fillId="0" borderId="6" xfId="0" applyNumberFormat="1" applyFont="1" applyBorder="1">
      <alignment vertical="center"/>
    </xf>
    <xf numFmtId="182" fontId="62" fillId="0" borderId="14" xfId="0" applyNumberFormat="1" applyFont="1" applyBorder="1">
      <alignment vertical="center"/>
    </xf>
    <xf numFmtId="182" fontId="62" fillId="0" borderId="39" xfId="0" applyNumberFormat="1" applyFont="1" applyBorder="1">
      <alignment vertical="center"/>
    </xf>
    <xf numFmtId="0" fontId="60" fillId="0" borderId="38" xfId="0" applyFont="1" applyBorder="1" applyAlignment="1">
      <alignment horizontal="left" vertical="center"/>
    </xf>
    <xf numFmtId="0" fontId="60" fillId="0" borderId="40" xfId="0" applyFont="1" applyBorder="1" applyAlignment="1">
      <alignment horizontal="left" vertical="center"/>
    </xf>
    <xf numFmtId="182" fontId="62" fillId="0" borderId="3" xfId="0" applyNumberFormat="1" applyFont="1" applyBorder="1">
      <alignment vertical="center"/>
    </xf>
    <xf numFmtId="182" fontId="62" fillId="0" borderId="16" xfId="0" applyNumberFormat="1" applyFont="1" applyBorder="1">
      <alignment vertical="center"/>
    </xf>
    <xf numFmtId="182" fontId="62" fillId="0" borderId="41" xfId="0" applyNumberFormat="1" applyFont="1" applyBorder="1">
      <alignment vertical="center"/>
    </xf>
    <xf numFmtId="0" fontId="59" fillId="0" borderId="0" xfId="3" applyFont="1" applyAlignment="1">
      <alignment horizontal="right"/>
    </xf>
    <xf numFmtId="178" fontId="0" fillId="0" borderId="0" xfId="0" quotePrefix="1" applyNumberFormat="1">
      <alignment vertical="center"/>
    </xf>
    <xf numFmtId="47" fontId="0" fillId="0" borderId="0" xfId="0" applyNumberFormat="1">
      <alignment vertical="center"/>
    </xf>
    <xf numFmtId="0" fontId="0" fillId="0" borderId="25" xfId="0" applyBorder="1" applyAlignment="1">
      <alignment horizontal="center" vertical="center"/>
    </xf>
    <xf numFmtId="183" fontId="10" fillId="0" borderId="4" xfId="7" applyNumberFormat="1" applyFont="1" applyBorder="1">
      <alignment vertical="center"/>
    </xf>
    <xf numFmtId="17" fontId="6" fillId="3" borderId="25" xfId="4" quotePrefix="1" applyNumberFormat="1" applyFont="1" applyFill="1" applyBorder="1" applyAlignment="1">
      <alignment horizontal="center" vertical="center" wrapText="1"/>
    </xf>
    <xf numFmtId="0" fontId="6" fillId="0" borderId="35" xfId="4" applyFont="1" applyBorder="1"/>
    <xf numFmtId="176" fontId="6" fillId="0" borderId="3" xfId="4" applyNumberFormat="1" applyFont="1" applyBorder="1" applyAlignment="1">
      <alignment vertical="center"/>
    </xf>
    <xf numFmtId="176" fontId="10" fillId="3" borderId="3" xfId="4" applyNumberFormat="1" applyFont="1" applyFill="1" applyBorder="1" applyAlignment="1">
      <alignment vertical="center"/>
    </xf>
    <xf numFmtId="17" fontId="6" fillId="3" borderId="10" xfId="4" quotePrefix="1" applyNumberFormat="1" applyFont="1" applyFill="1" applyBorder="1" applyAlignment="1">
      <alignment horizontal="center" vertical="center" wrapText="1"/>
    </xf>
    <xf numFmtId="0" fontId="6" fillId="3" borderId="10" xfId="4" quotePrefix="1" applyFont="1" applyFill="1" applyBorder="1" applyAlignment="1">
      <alignment horizontal="center" vertical="center" wrapText="1"/>
    </xf>
    <xf numFmtId="0" fontId="6" fillId="2" borderId="35" xfId="4" applyFont="1" applyFill="1" applyBorder="1" applyAlignment="1">
      <alignment horizontal="center"/>
    </xf>
    <xf numFmtId="176" fontId="6" fillId="2" borderId="35" xfId="4" applyNumberFormat="1" applyFont="1" applyFill="1" applyBorder="1" applyAlignment="1">
      <alignment horizontal="center"/>
    </xf>
    <xf numFmtId="0" fontId="6" fillId="2" borderId="35" xfId="4" applyFont="1" applyFill="1" applyBorder="1"/>
    <xf numFmtId="176" fontId="6" fillId="2" borderId="35" xfId="4" applyNumberFormat="1" applyFont="1" applyFill="1" applyBorder="1"/>
    <xf numFmtId="17" fontId="3" fillId="3" borderId="25" xfId="4" quotePrefix="1" applyNumberFormat="1" applyFont="1" applyFill="1" applyBorder="1" applyAlignment="1">
      <alignment horizontal="center" vertical="center" wrapText="1"/>
    </xf>
    <xf numFmtId="176" fontId="10" fillId="0" borderId="18" xfId="0" applyNumberFormat="1" applyFont="1" applyBorder="1" applyAlignment="1">
      <alignment horizontal="center" vertical="center"/>
    </xf>
    <xf numFmtId="176" fontId="10" fillId="0" borderId="24" xfId="0" applyNumberFormat="1" applyFont="1" applyBorder="1" applyAlignment="1">
      <alignment horizontal="center" vertical="center"/>
    </xf>
    <xf numFmtId="176" fontId="6" fillId="0" borderId="18" xfId="4" applyNumberFormat="1" applyFont="1" applyBorder="1" applyAlignment="1">
      <alignment horizontal="center" vertical="center"/>
    </xf>
    <xf numFmtId="176" fontId="6" fillId="0" borderId="7" xfId="4" applyNumberFormat="1" applyFont="1" applyBorder="1" applyAlignment="1">
      <alignment horizontal="center" vertical="center"/>
    </xf>
    <xf numFmtId="178" fontId="6" fillId="6" borderId="13" xfId="4" applyNumberFormat="1" applyFont="1" applyFill="1" applyBorder="1" applyAlignment="1">
      <alignment horizontal="center" vertical="center" wrapText="1"/>
    </xf>
    <xf numFmtId="178" fontId="6" fillId="6" borderId="17" xfId="4" applyNumberFormat="1" applyFont="1" applyFill="1" applyBorder="1" applyAlignment="1">
      <alignment horizontal="center" vertical="center" wrapText="1"/>
    </xf>
    <xf numFmtId="178" fontId="10" fillId="6" borderId="55" xfId="4" quotePrefix="1" applyNumberFormat="1" applyFont="1" applyFill="1" applyBorder="1" applyAlignment="1">
      <alignment horizontal="center" vertical="center" wrapText="1"/>
    </xf>
    <xf numFmtId="180" fontId="63" fillId="4" borderId="3" xfId="4" applyNumberFormat="1" applyFont="1" applyFill="1" applyBorder="1" applyAlignment="1">
      <alignment horizontal="center"/>
    </xf>
    <xf numFmtId="176" fontId="14" fillId="4" borderId="4" xfId="8" applyNumberFormat="1" applyFont="1" applyFill="1" applyBorder="1" applyAlignment="1">
      <alignment horizontal="right"/>
    </xf>
    <xf numFmtId="176" fontId="14" fillId="5" borderId="6" xfId="8" applyNumberFormat="1" applyFont="1" applyFill="1" applyBorder="1" applyAlignment="1">
      <alignment horizontal="right"/>
    </xf>
    <xf numFmtId="14" fontId="0" fillId="0" borderId="25" xfId="0" applyNumberFormat="1" applyBorder="1" applyAlignment="1">
      <alignment horizontal="center" vertical="center"/>
    </xf>
    <xf numFmtId="14" fontId="10" fillId="3" borderId="2" xfId="4" quotePrefix="1" applyNumberFormat="1" applyFont="1" applyFill="1" applyBorder="1" applyAlignment="1">
      <alignment horizontal="center" vertical="center" wrapText="1"/>
    </xf>
    <xf numFmtId="14" fontId="10" fillId="6" borderId="55" xfId="4" quotePrefix="1" applyNumberFormat="1" applyFont="1" applyFill="1" applyBorder="1" applyAlignment="1">
      <alignment horizontal="center" vertical="center" wrapText="1"/>
    </xf>
    <xf numFmtId="176" fontId="64" fillId="4" borderId="6" xfId="0" applyNumberFormat="1" applyFont="1" applyFill="1" applyBorder="1">
      <alignment vertical="center"/>
    </xf>
    <xf numFmtId="176" fontId="64" fillId="5" borderId="6" xfId="0" applyNumberFormat="1" applyFont="1" applyFill="1" applyBorder="1">
      <alignment vertical="center"/>
    </xf>
    <xf numFmtId="176" fontId="64" fillId="0" borderId="6" xfId="0" applyNumberFormat="1" applyFont="1" applyBorder="1" applyAlignment="1">
      <alignment horizontal="right"/>
    </xf>
    <xf numFmtId="176" fontId="64" fillId="5" borderId="6" xfId="0" applyNumberFormat="1" applyFont="1" applyFill="1" applyBorder="1" applyAlignment="1">
      <alignment horizontal="right"/>
    </xf>
    <xf numFmtId="176" fontId="64" fillId="3" borderId="6" xfId="0" applyNumberFormat="1" applyFont="1" applyFill="1" applyBorder="1" applyAlignment="1"/>
    <xf numFmtId="176" fontId="64" fillId="3" borderId="1" xfId="0" applyNumberFormat="1" applyFont="1" applyFill="1" applyBorder="1" applyAlignment="1"/>
    <xf numFmtId="176" fontId="64" fillId="3" borderId="3" xfId="0" applyNumberFormat="1" applyFont="1" applyFill="1" applyBorder="1" applyAlignment="1"/>
    <xf numFmtId="0" fontId="33" fillId="3" borderId="2" xfId="0" applyFont="1" applyFill="1" applyBorder="1" applyAlignment="1">
      <alignment horizontal="center"/>
    </xf>
    <xf numFmtId="180" fontId="64" fillId="0" borderId="6" xfId="0" applyNumberFormat="1" applyFont="1" applyBorder="1" applyAlignment="1">
      <alignment horizontal="center"/>
    </xf>
    <xf numFmtId="180" fontId="64" fillId="8" borderId="1" xfId="0" applyNumberFormat="1" applyFont="1" applyFill="1" applyBorder="1" applyAlignment="1">
      <alignment horizontal="center"/>
    </xf>
    <xf numFmtId="180" fontId="64" fillId="0" borderId="1" xfId="0" applyNumberFormat="1" applyFont="1" applyBorder="1" applyAlignment="1">
      <alignment horizontal="center"/>
    </xf>
    <xf numFmtId="180" fontId="64" fillId="8" borderId="3" xfId="0" applyNumberFormat="1" applyFont="1" applyFill="1" applyBorder="1" applyAlignment="1">
      <alignment horizontal="center"/>
    </xf>
    <xf numFmtId="180" fontId="64" fillId="0" borderId="2" xfId="0" applyNumberFormat="1" applyFont="1" applyBorder="1" applyAlignment="1">
      <alignment horizontal="center"/>
    </xf>
    <xf numFmtId="3" fontId="0" fillId="0" borderId="0" xfId="0" applyNumberFormat="1" applyAlignment="1"/>
    <xf numFmtId="187" fontId="0" fillId="0" borderId="0" xfId="8" applyNumberFormat="1" applyFont="1" applyAlignment="1"/>
    <xf numFmtId="0" fontId="6" fillId="7" borderId="6" xfId="4" applyFont="1" applyFill="1" applyBorder="1" applyAlignment="1">
      <alignment horizontal="center" vertical="center"/>
    </xf>
    <xf numFmtId="14" fontId="5" fillId="7" borderId="6" xfId="4" applyNumberFormat="1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5" fillId="7" borderId="6" xfId="4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183" fontId="10" fillId="0" borderId="6" xfId="7" applyNumberFormat="1" applyFont="1" applyBorder="1" applyAlignment="1">
      <alignment horizontal="right"/>
    </xf>
    <xf numFmtId="183" fontId="10" fillId="0" borderId="6" xfId="0" applyNumberFormat="1" applyFont="1" applyBorder="1">
      <alignment vertical="center"/>
    </xf>
    <xf numFmtId="14" fontId="0" fillId="0" borderId="0" xfId="0" applyNumberFormat="1">
      <alignment vertical="center"/>
    </xf>
    <xf numFmtId="43" fontId="0" fillId="0" borderId="0" xfId="8" applyFont="1" applyAlignment="1"/>
    <xf numFmtId="187" fontId="0" fillId="0" borderId="0" xfId="0" applyNumberFormat="1" applyAlignment="1"/>
    <xf numFmtId="176" fontId="51" fillId="5" borderId="2" xfId="4" applyNumberFormat="1" applyFont="1" applyFill="1" applyBorder="1"/>
    <xf numFmtId="176" fontId="10" fillId="0" borderId="6" xfId="4" applyNumberFormat="1" applyFont="1" applyBorder="1"/>
    <xf numFmtId="0" fontId="0" fillId="0" borderId="0" xfId="0" applyAlignment="1">
      <alignment horizontal="left" vertical="center"/>
    </xf>
    <xf numFmtId="0" fontId="5" fillId="0" borderId="37" xfId="4" applyFont="1" applyBorder="1" applyAlignment="1">
      <alignment horizontal="left"/>
    </xf>
    <xf numFmtId="0" fontId="5" fillId="0" borderId="2" xfId="4" applyFont="1" applyBorder="1" applyAlignment="1">
      <alignment horizontal="left"/>
    </xf>
    <xf numFmtId="181" fontId="24" fillId="0" borderId="12" xfId="0" applyNumberFormat="1" applyFont="1" applyBorder="1" applyAlignment="1">
      <alignment horizontal="center" vertical="center"/>
    </xf>
    <xf numFmtId="181" fontId="24" fillId="0" borderId="13" xfId="0" applyNumberFormat="1" applyFont="1" applyBorder="1" applyAlignment="1">
      <alignment horizontal="center" vertical="center"/>
    </xf>
    <xf numFmtId="0" fontId="5" fillId="0" borderId="38" xfId="4" applyFont="1" applyBorder="1" applyAlignment="1">
      <alignment horizontal="left"/>
    </xf>
    <xf numFmtId="0" fontId="5" fillId="0" borderId="6" xfId="4" applyFont="1" applyBorder="1" applyAlignment="1">
      <alignment horizontal="left"/>
    </xf>
    <xf numFmtId="181" fontId="24" fillId="0" borderId="9" xfId="0" applyNumberFormat="1" applyFont="1" applyBorder="1" applyAlignment="1">
      <alignment horizontal="center" vertical="center"/>
    </xf>
    <xf numFmtId="181" fontId="24" fillId="0" borderId="29" xfId="0" applyNumberFormat="1" applyFont="1" applyBorder="1" applyAlignment="1">
      <alignment horizontal="center" vertical="center"/>
    </xf>
    <xf numFmtId="0" fontId="6" fillId="3" borderId="8" xfId="4" quotePrefix="1" applyFont="1" applyFill="1" applyBorder="1" applyAlignment="1">
      <alignment horizontal="center" vertical="center" wrapText="1"/>
    </xf>
    <xf numFmtId="0" fontId="6" fillId="3" borderId="30" xfId="4" quotePrefix="1" applyFont="1" applyFill="1" applyBorder="1" applyAlignment="1">
      <alignment horizontal="center" vertical="center" wrapText="1"/>
    </xf>
    <xf numFmtId="0" fontId="6" fillId="3" borderId="50" xfId="4" quotePrefix="1" applyFont="1" applyFill="1" applyBorder="1" applyAlignment="1">
      <alignment horizontal="center" vertical="center" wrapText="1"/>
    </xf>
    <xf numFmtId="0" fontId="6" fillId="3" borderId="49" xfId="4" quotePrefix="1" applyFont="1" applyFill="1" applyBorder="1" applyAlignment="1">
      <alignment horizontal="center" vertical="center" wrapText="1"/>
    </xf>
    <xf numFmtId="0" fontId="5" fillId="0" borderId="42" xfId="4" applyFont="1" applyBorder="1" applyAlignment="1">
      <alignment horizontal="left"/>
    </xf>
    <xf numFmtId="0" fontId="5" fillId="0" borderId="27" xfId="4" applyFont="1" applyBorder="1" applyAlignment="1">
      <alignment horizontal="left"/>
    </xf>
    <xf numFmtId="0" fontId="5" fillId="0" borderId="15" xfId="4" applyFont="1" applyBorder="1" applyAlignment="1">
      <alignment horizontal="left"/>
    </xf>
    <xf numFmtId="0" fontId="5" fillId="0" borderId="45" xfId="4" applyFont="1" applyBorder="1" applyAlignment="1">
      <alignment horizontal="left"/>
    </xf>
    <xf numFmtId="0" fontId="5" fillId="0" borderId="4" xfId="4" applyFont="1" applyBorder="1" applyAlignment="1">
      <alignment horizontal="left"/>
    </xf>
    <xf numFmtId="181" fontId="23" fillId="4" borderId="16" xfId="0" applyNumberFormat="1" applyFont="1" applyFill="1" applyBorder="1" applyAlignment="1">
      <alignment horizontal="center" vertical="center"/>
    </xf>
    <xf numFmtId="181" fontId="23" fillId="4" borderId="17" xfId="0" applyNumberFormat="1" applyFont="1" applyFill="1" applyBorder="1" applyAlignment="1">
      <alignment horizontal="center" vertical="center"/>
    </xf>
    <xf numFmtId="0" fontId="15" fillId="4" borderId="43" xfId="4" applyFont="1" applyFill="1" applyBorder="1" applyAlignment="1">
      <alignment horizontal="center"/>
    </xf>
    <xf numFmtId="0" fontId="15" fillId="4" borderId="44" xfId="4" applyFont="1" applyFill="1" applyBorder="1" applyAlignment="1">
      <alignment horizontal="center"/>
    </xf>
    <xf numFmtId="0" fontId="15" fillId="4" borderId="17" xfId="4" applyFont="1" applyFill="1" applyBorder="1" applyAlignment="1">
      <alignment horizontal="center"/>
    </xf>
    <xf numFmtId="0" fontId="5" fillId="3" borderId="18" xfId="4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77" fontId="5" fillId="3" borderId="37" xfId="4" applyNumberFormat="1" applyFont="1" applyFill="1" applyBorder="1" applyAlignment="1">
      <alignment horizontal="center" vertical="center"/>
    </xf>
    <xf numFmtId="177" fontId="5" fillId="3" borderId="2" xfId="4" applyNumberFormat="1" applyFont="1" applyFill="1" applyBorder="1" applyAlignment="1">
      <alignment horizontal="center" vertical="center"/>
    </xf>
    <xf numFmtId="177" fontId="5" fillId="3" borderId="12" xfId="4" applyNumberFormat="1" applyFont="1" applyFill="1" applyBorder="1" applyAlignment="1">
      <alignment horizontal="center" vertical="center"/>
    </xf>
    <xf numFmtId="177" fontId="0" fillId="0" borderId="40" xfId="0" applyNumberFormat="1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0" fontId="5" fillId="3" borderId="2" xfId="4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6" fontId="12" fillId="4" borderId="5" xfId="4" applyNumberFormat="1" applyFont="1" applyFill="1" applyBorder="1" applyAlignment="1">
      <alignment horizontal="right" vertical="center"/>
    </xf>
    <xf numFmtId="176" fontId="13" fillId="4" borderId="0" xfId="4" applyNumberFormat="1" applyFont="1" applyFill="1" applyAlignment="1">
      <alignment horizontal="right" vertical="center"/>
    </xf>
    <xf numFmtId="176" fontId="13" fillId="4" borderId="30" xfId="4" applyNumberFormat="1" applyFont="1" applyFill="1" applyBorder="1" applyAlignment="1">
      <alignment horizontal="right" vertical="center"/>
    </xf>
    <xf numFmtId="0" fontId="15" fillId="5" borderId="46" xfId="4" applyFont="1" applyFill="1" applyBorder="1" applyAlignment="1">
      <alignment horizontal="center" vertical="center"/>
    </xf>
    <xf numFmtId="0" fontId="15" fillId="5" borderId="31" xfId="4" applyFont="1" applyFill="1" applyBorder="1" applyAlignment="1">
      <alignment horizontal="center" vertical="center"/>
    </xf>
    <xf numFmtId="0" fontId="15" fillId="5" borderId="46" xfId="4" applyFont="1" applyFill="1" applyBorder="1" applyAlignment="1">
      <alignment horizontal="center"/>
    </xf>
    <xf numFmtId="0" fontId="15" fillId="5" borderId="31" xfId="4" applyFont="1" applyFill="1" applyBorder="1" applyAlignment="1">
      <alignment horizontal="center"/>
    </xf>
    <xf numFmtId="0" fontId="17" fillId="0" borderId="47" xfId="4" applyFont="1" applyBorder="1" applyAlignment="1">
      <alignment horizontal="center" vertical="center" wrapText="1"/>
    </xf>
    <xf numFmtId="0" fontId="17" fillId="0" borderId="48" xfId="4" applyFont="1" applyBorder="1" applyAlignment="1">
      <alignment horizontal="center" vertical="center" wrapText="1"/>
    </xf>
    <xf numFmtId="0" fontId="17" fillId="0" borderId="5" xfId="4" applyFont="1" applyBorder="1" applyAlignment="1">
      <alignment horizontal="center" vertical="center" wrapText="1"/>
    </xf>
    <xf numFmtId="0" fontId="17" fillId="0" borderId="30" xfId="4" applyFont="1" applyBorder="1" applyAlignment="1">
      <alignment horizontal="center" vertical="center" wrapText="1"/>
    </xf>
    <xf numFmtId="0" fontId="17" fillId="0" borderId="23" xfId="4" applyFont="1" applyBorder="1" applyAlignment="1">
      <alignment horizontal="center" vertical="center" wrapText="1"/>
    </xf>
    <xf numFmtId="0" fontId="17" fillId="0" borderId="49" xfId="4" applyFont="1" applyBorder="1" applyAlignment="1">
      <alignment horizontal="center" vertical="center" wrapText="1"/>
    </xf>
    <xf numFmtId="0" fontId="15" fillId="5" borderId="28" xfId="4" applyFont="1" applyFill="1" applyBorder="1" applyAlignment="1">
      <alignment horizontal="center" vertical="center"/>
    </xf>
    <xf numFmtId="0" fontId="15" fillId="5" borderId="48" xfId="4" applyFont="1" applyFill="1" applyBorder="1" applyAlignment="1">
      <alignment horizontal="center" vertical="center"/>
    </xf>
    <xf numFmtId="0" fontId="22" fillId="3" borderId="18" xfId="4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5" fillId="3" borderId="37" xfId="4" applyFont="1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7" fontId="6" fillId="3" borderId="2" xfId="4" quotePrefix="1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7" fontId="6" fillId="3" borderId="28" xfId="4" quotePrefix="1" applyNumberFormat="1" applyFont="1" applyFill="1" applyBorder="1" applyAlignment="1">
      <alignment horizontal="center" vertical="center" wrapText="1"/>
    </xf>
    <xf numFmtId="17" fontId="6" fillId="3" borderId="50" xfId="4" quotePrefix="1" applyNumberFormat="1" applyFont="1" applyFill="1" applyBorder="1" applyAlignment="1">
      <alignment horizontal="center" vertical="center" wrapText="1"/>
    </xf>
    <xf numFmtId="181" fontId="24" fillId="0" borderId="14" xfId="0" applyNumberFormat="1" applyFont="1" applyBorder="1" applyAlignment="1">
      <alignment horizontal="center" vertical="center"/>
    </xf>
    <xf numFmtId="181" fontId="24" fillId="0" borderId="15" xfId="0" applyNumberFormat="1" applyFont="1" applyBorder="1" applyAlignment="1">
      <alignment horizontal="center" vertical="center"/>
    </xf>
    <xf numFmtId="0" fontId="6" fillId="0" borderId="37" xfId="4" applyFont="1" applyBorder="1" applyAlignment="1">
      <alignment horizontal="left"/>
    </xf>
    <xf numFmtId="0" fontId="6" fillId="0" borderId="2" xfId="4" applyFont="1" applyBorder="1" applyAlignment="1">
      <alignment horizontal="left"/>
    </xf>
    <xf numFmtId="0" fontId="15" fillId="4" borderId="40" xfId="4" applyFont="1" applyFill="1" applyBorder="1" applyAlignment="1">
      <alignment horizontal="center"/>
    </xf>
    <xf numFmtId="0" fontId="15" fillId="4" borderId="3" xfId="4" applyFont="1" applyFill="1" applyBorder="1" applyAlignment="1">
      <alignment horizontal="center"/>
    </xf>
    <xf numFmtId="0" fontId="5" fillId="0" borderId="51" xfId="4" applyFont="1" applyBorder="1" applyAlignment="1">
      <alignment horizontal="left"/>
    </xf>
    <xf numFmtId="0" fontId="5" fillId="0" borderId="52" xfId="4" applyFont="1" applyBorder="1" applyAlignment="1">
      <alignment horizontal="left"/>
    </xf>
    <xf numFmtId="0" fontId="5" fillId="0" borderId="13" xfId="4" applyFont="1" applyBorder="1" applyAlignment="1">
      <alignment horizontal="left"/>
    </xf>
    <xf numFmtId="0" fontId="6" fillId="0" borderId="38" xfId="4" applyFont="1" applyBorder="1" applyAlignment="1">
      <alignment horizontal="left"/>
    </xf>
    <xf numFmtId="0" fontId="6" fillId="0" borderId="6" xfId="4" applyFont="1" applyBorder="1" applyAlignment="1">
      <alignment horizontal="left"/>
    </xf>
    <xf numFmtId="17" fontId="6" fillId="3" borderId="33" xfId="4" quotePrefix="1" applyNumberFormat="1" applyFont="1" applyFill="1" applyBorder="1" applyAlignment="1">
      <alignment horizontal="center" vertical="center" wrapText="1"/>
    </xf>
    <xf numFmtId="17" fontId="6" fillId="3" borderId="25" xfId="4" quotePrefix="1" applyNumberFormat="1" applyFont="1" applyFill="1" applyBorder="1" applyAlignment="1">
      <alignment horizontal="center" vertical="center" wrapText="1"/>
    </xf>
    <xf numFmtId="0" fontId="6" fillId="4" borderId="42" xfId="4" applyFont="1" applyFill="1" applyBorder="1" applyAlignment="1">
      <alignment horizontal="left"/>
    </xf>
    <xf numFmtId="0" fontId="6" fillId="4" borderId="27" xfId="4" applyFont="1" applyFill="1" applyBorder="1" applyAlignment="1">
      <alignment horizontal="left"/>
    </xf>
    <xf numFmtId="0" fontId="6" fillId="4" borderId="15" xfId="4" applyFont="1" applyFill="1" applyBorder="1" applyAlignment="1">
      <alignment horizontal="left"/>
    </xf>
    <xf numFmtId="181" fontId="24" fillId="4" borderId="14" xfId="0" applyNumberFormat="1" applyFont="1" applyFill="1" applyBorder="1" applyAlignment="1">
      <alignment horizontal="center" vertical="center"/>
    </xf>
    <xf numFmtId="181" fontId="24" fillId="4" borderId="15" xfId="0" applyNumberFormat="1" applyFont="1" applyFill="1" applyBorder="1" applyAlignment="1">
      <alignment horizontal="center" vertical="center"/>
    </xf>
    <xf numFmtId="176" fontId="23" fillId="0" borderId="14" xfId="4" applyNumberFormat="1" applyFont="1" applyBorder="1" applyAlignment="1">
      <alignment horizontal="center" vertical="center"/>
    </xf>
    <xf numFmtId="176" fontId="23" fillId="0" borderId="15" xfId="4" applyNumberFormat="1" applyFont="1" applyBorder="1" applyAlignment="1">
      <alignment horizontal="center" vertical="center"/>
    </xf>
    <xf numFmtId="0" fontId="6" fillId="0" borderId="32" xfId="4" applyFont="1" applyBorder="1" applyAlignment="1">
      <alignment horizontal="left"/>
    </xf>
    <xf numFmtId="0" fontId="6" fillId="0" borderId="11" xfId="4" applyFont="1" applyBorder="1" applyAlignment="1">
      <alignment horizontal="left"/>
    </xf>
    <xf numFmtId="0" fontId="6" fillId="0" borderId="31" xfId="4" applyFont="1" applyBorder="1" applyAlignment="1">
      <alignment horizontal="left"/>
    </xf>
    <xf numFmtId="0" fontId="6" fillId="3" borderId="28" xfId="4" quotePrefix="1" applyFont="1" applyFill="1" applyBorder="1" applyAlignment="1">
      <alignment horizontal="center" vertical="center" wrapText="1"/>
    </xf>
    <xf numFmtId="0" fontId="6" fillId="3" borderId="48" xfId="4" quotePrefix="1" applyFont="1" applyFill="1" applyBorder="1" applyAlignment="1">
      <alignment horizontal="center" vertical="center" wrapText="1"/>
    </xf>
    <xf numFmtId="0" fontId="6" fillId="0" borderId="42" xfId="4" applyFont="1" applyBorder="1" applyAlignment="1">
      <alignment horizontal="left"/>
    </xf>
    <xf numFmtId="0" fontId="6" fillId="0" borderId="27" xfId="4" applyFont="1" applyBorder="1" applyAlignment="1">
      <alignment horizontal="left"/>
    </xf>
    <xf numFmtId="0" fontId="6" fillId="0" borderId="15" xfId="4" applyFont="1" applyBorder="1" applyAlignment="1">
      <alignment horizontal="left"/>
    </xf>
    <xf numFmtId="0" fontId="6" fillId="0" borderId="40" xfId="4" applyFont="1" applyBorder="1" applyAlignment="1">
      <alignment horizontal="left"/>
    </xf>
    <xf numFmtId="0" fontId="6" fillId="0" borderId="3" xfId="4" applyFont="1" applyBorder="1" applyAlignment="1">
      <alignment horizontal="left"/>
    </xf>
    <xf numFmtId="181" fontId="24" fillId="0" borderId="16" xfId="0" applyNumberFormat="1" applyFont="1" applyBorder="1" applyAlignment="1">
      <alignment horizontal="center" vertical="center"/>
    </xf>
    <xf numFmtId="181" fontId="24" fillId="0" borderId="17" xfId="0" applyNumberFormat="1" applyFont="1" applyBorder="1" applyAlignment="1">
      <alignment horizontal="center" vertical="center"/>
    </xf>
    <xf numFmtId="0" fontId="22" fillId="0" borderId="40" xfId="4" applyFont="1" applyBorder="1" applyAlignment="1">
      <alignment horizontal="left"/>
    </xf>
    <xf numFmtId="0" fontId="22" fillId="0" borderId="3" xfId="4" applyFont="1" applyBorder="1" applyAlignment="1">
      <alignment horizontal="left"/>
    </xf>
    <xf numFmtId="0" fontId="6" fillId="0" borderId="45" xfId="4" applyFont="1" applyBorder="1" applyAlignment="1">
      <alignment horizontal="left"/>
    </xf>
    <xf numFmtId="0" fontId="6" fillId="0" borderId="4" xfId="4" applyFont="1" applyBorder="1" applyAlignment="1">
      <alignment horizontal="left"/>
    </xf>
    <xf numFmtId="176" fontId="23" fillId="0" borderId="12" xfId="4" applyNumberFormat="1" applyFont="1" applyBorder="1" applyAlignment="1">
      <alignment horizontal="center" vertical="center"/>
    </xf>
    <xf numFmtId="176" fontId="23" fillId="0" borderId="13" xfId="4" applyNumberFormat="1" applyFont="1" applyBorder="1" applyAlignment="1">
      <alignment horizontal="center" vertical="center"/>
    </xf>
    <xf numFmtId="0" fontId="0" fillId="3" borderId="40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50" xfId="0" applyFill="1" applyBorder="1" applyAlignment="1">
      <alignment horizontal="center" vertical="center" wrapText="1"/>
    </xf>
    <xf numFmtId="0" fontId="0" fillId="3" borderId="49" xfId="0" applyFill="1" applyBorder="1" applyAlignment="1">
      <alignment horizontal="center" vertical="center" wrapText="1"/>
    </xf>
    <xf numFmtId="0" fontId="22" fillId="0" borderId="37" xfId="4" applyFont="1" applyBorder="1" applyAlignment="1">
      <alignment horizontal="left"/>
    </xf>
    <xf numFmtId="0" fontId="22" fillId="0" borderId="2" xfId="4" applyFont="1" applyBorder="1" applyAlignment="1">
      <alignment horizontal="left"/>
    </xf>
    <xf numFmtId="0" fontId="22" fillId="0" borderId="38" xfId="4" applyFont="1" applyBorder="1" applyAlignment="1">
      <alignment horizontal="left"/>
    </xf>
    <xf numFmtId="0" fontId="22" fillId="0" borderId="6" xfId="4" applyFont="1" applyBorder="1" applyAlignment="1">
      <alignment horizontal="left"/>
    </xf>
    <xf numFmtId="176" fontId="23" fillId="4" borderId="16" xfId="4" applyNumberFormat="1" applyFont="1" applyFill="1" applyBorder="1" applyAlignment="1">
      <alignment horizontal="center" vertical="center"/>
    </xf>
    <xf numFmtId="176" fontId="23" fillId="4" borderId="17" xfId="4" applyNumberFormat="1" applyFont="1" applyFill="1" applyBorder="1" applyAlignment="1">
      <alignment horizontal="center" vertical="center"/>
    </xf>
    <xf numFmtId="0" fontId="15" fillId="4" borderId="42" xfId="4" applyFont="1" applyFill="1" applyBorder="1" applyAlignment="1">
      <alignment horizontal="center"/>
    </xf>
    <xf numFmtId="0" fontId="15" fillId="4" borderId="27" xfId="4" applyFont="1" applyFill="1" applyBorder="1" applyAlignment="1">
      <alignment horizontal="center"/>
    </xf>
    <xf numFmtId="0" fontId="15" fillId="4" borderId="15" xfId="4" applyFont="1" applyFill="1" applyBorder="1" applyAlignment="1">
      <alignment horizontal="center"/>
    </xf>
    <xf numFmtId="176" fontId="23" fillId="4" borderId="14" xfId="4" applyNumberFormat="1" applyFont="1" applyFill="1" applyBorder="1" applyAlignment="1">
      <alignment horizontal="center" vertical="center"/>
    </xf>
    <xf numFmtId="176" fontId="23" fillId="4" borderId="15" xfId="4" applyNumberFormat="1" applyFont="1" applyFill="1" applyBorder="1" applyAlignment="1">
      <alignment horizontal="center" vertical="center"/>
    </xf>
    <xf numFmtId="0" fontId="22" fillId="0" borderId="51" xfId="4" applyFont="1" applyBorder="1" applyAlignment="1">
      <alignment horizontal="left"/>
    </xf>
    <xf numFmtId="0" fontId="22" fillId="0" borderId="52" xfId="4" applyFont="1" applyBorder="1" applyAlignment="1">
      <alignment horizontal="left"/>
    </xf>
    <xf numFmtId="0" fontId="22" fillId="0" borderId="13" xfId="4" applyFont="1" applyBorder="1" applyAlignment="1">
      <alignment horizontal="left"/>
    </xf>
    <xf numFmtId="0" fontId="22" fillId="0" borderId="42" xfId="4" applyFont="1" applyBorder="1" applyAlignment="1">
      <alignment horizontal="left"/>
    </xf>
    <xf numFmtId="0" fontId="22" fillId="0" borderId="27" xfId="4" applyFont="1" applyBorder="1" applyAlignment="1">
      <alignment horizontal="left"/>
    </xf>
    <xf numFmtId="0" fontId="22" fillId="0" borderId="15" xfId="4" applyFont="1" applyBorder="1" applyAlignment="1">
      <alignment horizontal="left"/>
    </xf>
    <xf numFmtId="178" fontId="6" fillId="3" borderId="33" xfId="4" applyNumberFormat="1" applyFont="1" applyFill="1" applyBorder="1" applyAlignment="1">
      <alignment horizontal="center" vertical="center" wrapText="1"/>
    </xf>
    <xf numFmtId="178" fontId="6" fillId="3" borderId="25" xfId="4" applyNumberFormat="1" applyFont="1" applyFill="1" applyBorder="1" applyAlignment="1">
      <alignment horizontal="center" vertical="center" wrapText="1"/>
    </xf>
    <xf numFmtId="0" fontId="5" fillId="7" borderId="6" xfId="4" applyFont="1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5" fillId="3" borderId="53" xfId="4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5" fillId="3" borderId="33" xfId="4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6" fillId="3" borderId="33" xfId="4" quotePrefix="1" applyFont="1" applyFill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/>
    </xf>
    <xf numFmtId="178" fontId="6" fillId="3" borderId="54" xfId="4" applyNumberFormat="1" applyFont="1" applyFill="1" applyBorder="1" applyAlignment="1">
      <alignment horizontal="center" vertical="center" wrapText="1"/>
    </xf>
    <xf numFmtId="178" fontId="6" fillId="3" borderId="26" xfId="4" applyNumberFormat="1" applyFont="1" applyFill="1" applyBorder="1" applyAlignment="1">
      <alignment horizontal="center" vertical="center" wrapText="1"/>
    </xf>
    <xf numFmtId="0" fontId="25" fillId="0" borderId="14" xfId="0" applyFont="1" applyBorder="1" applyAlignment="1">
      <alignment horizontal="center"/>
    </xf>
    <xf numFmtId="0" fontId="30" fillId="0" borderId="15" xfId="0" applyFont="1" applyBorder="1" applyAlignment="1">
      <alignment horizontal="center"/>
    </xf>
    <xf numFmtId="0" fontId="5" fillId="6" borderId="53" xfId="4" applyFont="1" applyFill="1" applyBorder="1" applyAlignment="1">
      <alignment horizontal="center" vertical="center"/>
    </xf>
    <xf numFmtId="0" fontId="5" fillId="6" borderId="20" xfId="4" applyFont="1" applyFill="1" applyBorder="1" applyAlignment="1">
      <alignment horizontal="center" vertical="center"/>
    </xf>
    <xf numFmtId="0" fontId="5" fillId="6" borderId="28" xfId="4" applyFont="1" applyFill="1" applyBorder="1" applyAlignment="1">
      <alignment horizontal="center" vertical="center"/>
    </xf>
    <xf numFmtId="0" fontId="5" fillId="6" borderId="50" xfId="4" applyFont="1" applyFill="1" applyBorder="1" applyAlignment="1">
      <alignment horizontal="center" vertical="center"/>
    </xf>
    <xf numFmtId="0" fontId="39" fillId="4" borderId="43" xfId="4" applyFont="1" applyFill="1" applyBorder="1" applyAlignment="1">
      <alignment horizontal="center"/>
    </xf>
    <xf numFmtId="0" fontId="39" fillId="4" borderId="44" xfId="4" applyFont="1" applyFill="1" applyBorder="1" applyAlignment="1">
      <alignment horizontal="center"/>
    </xf>
    <xf numFmtId="0" fontId="39" fillId="4" borderId="17" xfId="4" applyFont="1" applyFill="1" applyBorder="1" applyAlignment="1">
      <alignment horizontal="center"/>
    </xf>
    <xf numFmtId="0" fontId="52" fillId="0" borderId="42" xfId="4" applyFont="1" applyBorder="1" applyAlignment="1">
      <alignment horizontal="left"/>
    </xf>
    <xf numFmtId="0" fontId="52" fillId="0" borderId="27" xfId="4" applyFont="1" applyBorder="1" applyAlignment="1">
      <alignment horizontal="left"/>
    </xf>
    <xf numFmtId="0" fontId="52" fillId="0" borderId="15" xfId="4" applyFont="1" applyBorder="1" applyAlignment="1">
      <alignment horizontal="left"/>
    </xf>
    <xf numFmtId="0" fontId="39" fillId="4" borderId="23" xfId="4" applyFont="1" applyFill="1" applyBorder="1" applyAlignment="1">
      <alignment horizontal="center" vertical="center"/>
    </xf>
    <xf numFmtId="0" fontId="39" fillId="4" borderId="35" xfId="4" applyFont="1" applyFill="1" applyBorder="1" applyAlignment="1">
      <alignment horizontal="center" vertical="center"/>
    </xf>
    <xf numFmtId="0" fontId="39" fillId="4" borderId="49" xfId="4" applyFont="1" applyFill="1" applyBorder="1" applyAlignment="1">
      <alignment horizontal="center" vertical="center"/>
    </xf>
    <xf numFmtId="0" fontId="38" fillId="0" borderId="14" xfId="4" applyFont="1" applyBorder="1" applyAlignment="1">
      <alignment horizontal="left"/>
    </xf>
    <xf numFmtId="0" fontId="38" fillId="0" borderId="27" xfId="4" applyFont="1" applyBorder="1" applyAlignment="1">
      <alignment horizontal="left"/>
    </xf>
    <xf numFmtId="0" fontId="38" fillId="0" borderId="15" xfId="4" applyFont="1" applyBorder="1" applyAlignment="1">
      <alignment horizontal="left"/>
    </xf>
    <xf numFmtId="180" fontId="44" fillId="0" borderId="0" xfId="0" applyNumberFormat="1" applyFont="1" applyAlignment="1">
      <alignment horizontal="center"/>
    </xf>
    <xf numFmtId="0" fontId="44" fillId="0" borderId="0" xfId="0" applyFont="1" applyAlignment="1">
      <alignment horizontal="center"/>
    </xf>
    <xf numFmtId="0" fontId="52" fillId="0" borderId="51" xfId="4" applyFont="1" applyBorder="1" applyAlignment="1">
      <alignment horizontal="left"/>
    </xf>
    <xf numFmtId="0" fontId="52" fillId="0" borderId="52" xfId="4" applyFont="1" applyBorder="1" applyAlignment="1">
      <alignment horizontal="left"/>
    </xf>
    <xf numFmtId="0" fontId="52" fillId="0" borderId="13" xfId="4" applyFont="1" applyBorder="1" applyAlignment="1">
      <alignment horizontal="left"/>
    </xf>
    <xf numFmtId="0" fontId="33" fillId="0" borderId="36" xfId="4" applyFont="1" applyBorder="1" applyAlignment="1">
      <alignment horizontal="left"/>
    </xf>
    <xf numFmtId="0" fontId="33" fillId="0" borderId="1" xfId="4" applyFont="1" applyBorder="1" applyAlignment="1">
      <alignment horizontal="left"/>
    </xf>
    <xf numFmtId="0" fontId="38" fillId="0" borderId="38" xfId="4" applyFont="1" applyBorder="1" applyAlignment="1">
      <alignment horizontal="left"/>
    </xf>
    <xf numFmtId="0" fontId="38" fillId="0" borderId="6" xfId="4" applyFont="1" applyBorder="1" applyAlignment="1">
      <alignment horizontal="left"/>
    </xf>
    <xf numFmtId="181" fontId="38" fillId="0" borderId="38" xfId="4" applyNumberFormat="1" applyFont="1" applyBorder="1" applyAlignment="1">
      <alignment horizontal="left"/>
    </xf>
    <xf numFmtId="181" fontId="38" fillId="0" borderId="6" xfId="4" applyNumberFormat="1" applyFont="1" applyBorder="1" applyAlignment="1">
      <alignment horizontal="left"/>
    </xf>
    <xf numFmtId="0" fontId="39" fillId="4" borderId="42" xfId="4" applyFont="1" applyFill="1" applyBorder="1" applyAlignment="1">
      <alignment horizontal="center"/>
    </xf>
    <xf numFmtId="0" fontId="39" fillId="4" borderId="27" xfId="4" applyFont="1" applyFill="1" applyBorder="1" applyAlignment="1">
      <alignment horizontal="center"/>
    </xf>
    <xf numFmtId="0" fontId="39" fillId="4" borderId="15" xfId="4" applyFont="1" applyFill="1" applyBorder="1" applyAlignment="1">
      <alignment horizontal="center"/>
    </xf>
    <xf numFmtId="0" fontId="38" fillId="0" borderId="36" xfId="4" applyFont="1" applyBorder="1" applyAlignment="1">
      <alignment horizontal="left"/>
    </xf>
    <xf numFmtId="0" fontId="38" fillId="0" borderId="1" xfId="4" applyFont="1" applyBorder="1" applyAlignment="1">
      <alignment horizontal="left"/>
    </xf>
    <xf numFmtId="181" fontId="38" fillId="4" borderId="42" xfId="4" applyNumberFormat="1" applyFont="1" applyFill="1" applyBorder="1" applyAlignment="1">
      <alignment horizontal="left"/>
    </xf>
    <xf numFmtId="181" fontId="38" fillId="4" borderId="27" xfId="4" applyNumberFormat="1" applyFont="1" applyFill="1" applyBorder="1" applyAlignment="1">
      <alignment horizontal="left"/>
    </xf>
    <xf numFmtId="181" fontId="38" fillId="4" borderId="15" xfId="4" applyNumberFormat="1" applyFont="1" applyFill="1" applyBorder="1" applyAlignment="1">
      <alignment horizontal="left"/>
    </xf>
    <xf numFmtId="0" fontId="38" fillId="0" borderId="45" xfId="4" applyFont="1" applyBorder="1" applyAlignment="1">
      <alignment horizontal="left"/>
    </xf>
    <xf numFmtId="0" fontId="38" fillId="0" borderId="4" xfId="4" applyFont="1" applyBorder="1" applyAlignment="1">
      <alignment horizontal="left"/>
    </xf>
    <xf numFmtId="0" fontId="52" fillId="0" borderId="38" xfId="4" applyFont="1" applyBorder="1" applyAlignment="1">
      <alignment horizontal="left"/>
    </xf>
    <xf numFmtId="0" fontId="52" fillId="0" borderId="6" xfId="4" applyFont="1" applyBorder="1" applyAlignment="1">
      <alignment horizontal="left"/>
    </xf>
    <xf numFmtId="0" fontId="38" fillId="0" borderId="46" xfId="4" applyFont="1" applyBorder="1" applyAlignment="1">
      <alignment horizontal="left"/>
    </xf>
    <xf numFmtId="0" fontId="38" fillId="0" borderId="11" xfId="4" applyFont="1" applyBorder="1" applyAlignment="1">
      <alignment horizontal="left"/>
    </xf>
    <xf numFmtId="0" fontId="38" fillId="0" borderId="31" xfId="4" applyFont="1" applyBorder="1" applyAlignment="1">
      <alignment horizontal="left"/>
    </xf>
    <xf numFmtId="0" fontId="33" fillId="3" borderId="37" xfId="4" applyFont="1" applyFill="1" applyBorder="1" applyAlignment="1">
      <alignment horizontal="center" vertical="center"/>
    </xf>
    <xf numFmtId="0" fontId="33" fillId="3" borderId="2" xfId="4" applyFont="1" applyFill="1" applyBorder="1" applyAlignment="1">
      <alignment horizontal="center" vertical="center"/>
    </xf>
    <xf numFmtId="0" fontId="52" fillId="0" borderId="37" xfId="4" applyFont="1" applyBorder="1" applyAlignment="1">
      <alignment horizontal="left"/>
    </xf>
    <xf numFmtId="0" fontId="52" fillId="0" borderId="2" xfId="4" applyFont="1" applyBorder="1" applyAlignment="1">
      <alignment horizontal="left"/>
    </xf>
    <xf numFmtId="0" fontId="52" fillId="0" borderId="40" xfId="4" applyFont="1" applyBorder="1" applyAlignment="1">
      <alignment horizontal="center"/>
    </xf>
    <xf numFmtId="0" fontId="52" fillId="0" borderId="3" xfId="4" applyFont="1" applyBorder="1" applyAlignment="1">
      <alignment horizontal="center"/>
    </xf>
    <xf numFmtId="181" fontId="38" fillId="0" borderId="40" xfId="4" applyNumberFormat="1" applyFont="1" applyBorder="1" applyAlignment="1">
      <alignment horizontal="left"/>
    </xf>
    <xf numFmtId="181" fontId="38" fillId="0" borderId="3" xfId="4" applyNumberFormat="1" applyFont="1" applyBorder="1" applyAlignment="1">
      <alignment horizontal="left"/>
    </xf>
    <xf numFmtId="0" fontId="33" fillId="0" borderId="38" xfId="4" applyFont="1" applyBorder="1" applyAlignment="1">
      <alignment horizontal="left"/>
    </xf>
    <xf numFmtId="0" fontId="33" fillId="0" borderId="6" xfId="4" applyFont="1" applyBorder="1" applyAlignment="1">
      <alignment horizontal="left"/>
    </xf>
    <xf numFmtId="0" fontId="39" fillId="8" borderId="16" xfId="4" applyFont="1" applyFill="1" applyBorder="1" applyAlignment="1">
      <alignment horizontal="center"/>
    </xf>
    <xf numFmtId="0" fontId="39" fillId="8" borderId="44" xfId="4" applyFont="1" applyFill="1" applyBorder="1" applyAlignment="1">
      <alignment horizontal="center"/>
    </xf>
    <xf numFmtId="0" fontId="39" fillId="8" borderId="17" xfId="4" applyFont="1" applyFill="1" applyBorder="1" applyAlignment="1">
      <alignment horizontal="center"/>
    </xf>
    <xf numFmtId="181" fontId="38" fillId="0" borderId="45" xfId="4" applyNumberFormat="1" applyFont="1" applyBorder="1" applyAlignment="1">
      <alignment horizontal="left"/>
    </xf>
    <xf numFmtId="181" fontId="38" fillId="0" borderId="4" xfId="4" applyNumberFormat="1" applyFont="1" applyBorder="1" applyAlignment="1">
      <alignment horizontal="left"/>
    </xf>
    <xf numFmtId="0" fontId="33" fillId="0" borderId="42" xfId="4" applyFont="1" applyBorder="1" applyAlignment="1">
      <alignment horizontal="left"/>
    </xf>
    <xf numFmtId="0" fontId="33" fillId="0" borderId="27" xfId="4" applyFont="1" applyBorder="1" applyAlignment="1">
      <alignment horizontal="left"/>
    </xf>
    <xf numFmtId="0" fontId="33" fillId="0" borderId="15" xfId="4" applyFont="1" applyBorder="1" applyAlignment="1">
      <alignment horizontal="left"/>
    </xf>
    <xf numFmtId="0" fontId="39" fillId="8" borderId="42" xfId="4" applyFont="1" applyFill="1" applyBorder="1" applyAlignment="1">
      <alignment horizontal="center"/>
    </xf>
    <xf numFmtId="0" fontId="39" fillId="8" borderId="27" xfId="4" applyFont="1" applyFill="1" applyBorder="1" applyAlignment="1">
      <alignment horizontal="center"/>
    </xf>
    <xf numFmtId="0" fontId="39" fillId="8" borderId="15" xfId="4" applyFont="1" applyFill="1" applyBorder="1" applyAlignment="1">
      <alignment horizontal="center"/>
    </xf>
    <xf numFmtId="0" fontId="39" fillId="8" borderId="40" xfId="4" applyFont="1" applyFill="1" applyBorder="1" applyAlignment="1">
      <alignment horizontal="center"/>
    </xf>
    <xf numFmtId="0" fontId="39" fillId="8" borderId="3" xfId="4" applyFont="1" applyFill="1" applyBorder="1" applyAlignment="1">
      <alignment horizontal="center"/>
    </xf>
    <xf numFmtId="0" fontId="33" fillId="0" borderId="51" xfId="4" applyFont="1" applyBorder="1" applyAlignment="1">
      <alignment horizontal="left"/>
    </xf>
    <xf numFmtId="0" fontId="33" fillId="0" borderId="52" xfId="4" applyFont="1" applyBorder="1" applyAlignment="1">
      <alignment horizontal="left"/>
    </xf>
    <xf numFmtId="0" fontId="33" fillId="0" borderId="13" xfId="4" applyFont="1" applyBorder="1" applyAlignment="1">
      <alignment horizontal="left"/>
    </xf>
    <xf numFmtId="176" fontId="34" fillId="4" borderId="5" xfId="4" applyNumberFormat="1" applyFont="1" applyFill="1" applyBorder="1" applyAlignment="1">
      <alignment horizontal="right" vertical="center"/>
    </xf>
    <xf numFmtId="176" fontId="35" fillId="4" borderId="0" xfId="4" applyNumberFormat="1" applyFont="1" applyFill="1" applyAlignment="1">
      <alignment horizontal="right" vertical="center"/>
    </xf>
    <xf numFmtId="176" fontId="35" fillId="4" borderId="30" xfId="4" applyNumberFormat="1" applyFont="1" applyFill="1" applyBorder="1" applyAlignment="1">
      <alignment horizontal="right" vertical="center"/>
    </xf>
    <xf numFmtId="0" fontId="39" fillId="5" borderId="46" xfId="4" applyFont="1" applyFill="1" applyBorder="1" applyAlignment="1">
      <alignment horizontal="center" vertical="center"/>
    </xf>
    <xf numFmtId="0" fontId="39" fillId="5" borderId="31" xfId="4" applyFont="1" applyFill="1" applyBorder="1" applyAlignment="1">
      <alignment horizontal="center" vertical="center"/>
    </xf>
    <xf numFmtId="0" fontId="39" fillId="5" borderId="46" xfId="4" applyFont="1" applyFill="1" applyBorder="1" applyAlignment="1">
      <alignment horizontal="center"/>
    </xf>
    <xf numFmtId="0" fontId="39" fillId="5" borderId="31" xfId="4" applyFont="1" applyFill="1" applyBorder="1" applyAlignment="1">
      <alignment horizontal="center"/>
    </xf>
    <xf numFmtId="0" fontId="31" fillId="3" borderId="32" xfId="4" applyFont="1" applyFill="1" applyBorder="1" applyAlignment="1">
      <alignment horizontal="center" vertical="center" wrapText="1"/>
    </xf>
    <xf numFmtId="0" fontId="31" fillId="3" borderId="31" xfId="4" applyFont="1" applyFill="1" applyBorder="1" applyAlignment="1">
      <alignment horizontal="center" vertical="center" wrapText="1"/>
    </xf>
    <xf numFmtId="0" fontId="31" fillId="3" borderId="5" xfId="4" applyFont="1" applyFill="1" applyBorder="1" applyAlignment="1">
      <alignment horizontal="center" vertical="center" wrapText="1"/>
    </xf>
    <xf numFmtId="0" fontId="31" fillId="3" borderId="30" xfId="4" applyFont="1" applyFill="1" applyBorder="1" applyAlignment="1">
      <alignment horizontal="center" vertical="center" wrapText="1"/>
    </xf>
    <xf numFmtId="0" fontId="31" fillId="3" borderId="23" xfId="4" applyFont="1" applyFill="1" applyBorder="1" applyAlignment="1">
      <alignment horizontal="center" vertical="center" wrapText="1"/>
    </xf>
    <xf numFmtId="0" fontId="31" fillId="3" borderId="49" xfId="4" applyFont="1" applyFill="1" applyBorder="1" applyAlignment="1">
      <alignment horizontal="center" vertical="center" wrapText="1"/>
    </xf>
    <xf numFmtId="0" fontId="39" fillId="5" borderId="17" xfId="4" applyFont="1" applyFill="1" applyBorder="1" applyAlignment="1">
      <alignment horizontal="center"/>
    </xf>
    <xf numFmtId="0" fontId="33" fillId="0" borderId="45" xfId="4" applyFont="1" applyBorder="1" applyAlignment="1">
      <alignment horizontal="left"/>
    </xf>
    <xf numFmtId="0" fontId="33" fillId="0" borderId="4" xfId="4" applyFont="1" applyBorder="1" applyAlignment="1">
      <alignment horizontal="left"/>
    </xf>
    <xf numFmtId="0" fontId="39" fillId="4" borderId="43" xfId="4" applyFont="1" applyFill="1" applyBorder="1" applyAlignment="1">
      <alignment horizontal="center" vertical="center"/>
    </xf>
    <xf numFmtId="0" fontId="39" fillId="4" borderId="44" xfId="4" applyFont="1" applyFill="1" applyBorder="1" applyAlignment="1">
      <alignment horizontal="center" vertical="center"/>
    </xf>
    <xf numFmtId="0" fontId="39" fillId="4" borderId="17" xfId="4" applyFont="1" applyFill="1" applyBorder="1" applyAlignment="1">
      <alignment horizontal="center" vertical="center"/>
    </xf>
    <xf numFmtId="0" fontId="39" fillId="5" borderId="16" xfId="4" applyFont="1" applyFill="1" applyBorder="1" applyAlignment="1">
      <alignment horizontal="center"/>
    </xf>
    <xf numFmtId="0" fontId="38" fillId="0" borderId="37" xfId="4" applyFont="1" applyBorder="1" applyAlignment="1">
      <alignment horizontal="left"/>
    </xf>
    <xf numFmtId="0" fontId="38" fillId="0" borderId="2" xfId="4" applyFont="1" applyBorder="1" applyAlignment="1">
      <alignment horizontal="left"/>
    </xf>
    <xf numFmtId="0" fontId="38" fillId="0" borderId="16" xfId="4" applyFont="1" applyBorder="1" applyAlignment="1">
      <alignment horizontal="left"/>
    </xf>
    <xf numFmtId="0" fontId="38" fillId="0" borderId="44" xfId="4" applyFont="1" applyBorder="1" applyAlignment="1">
      <alignment horizontal="left"/>
    </xf>
    <xf numFmtId="0" fontId="38" fillId="0" borderId="17" xfId="4" applyFont="1" applyBorder="1" applyAlignment="1">
      <alignment horizontal="left"/>
    </xf>
    <xf numFmtId="0" fontId="38" fillId="0" borderId="51" xfId="4" applyFont="1" applyBorder="1" applyAlignment="1">
      <alignment horizontal="left"/>
    </xf>
    <xf numFmtId="0" fontId="38" fillId="0" borderId="52" xfId="4" applyFont="1" applyBorder="1" applyAlignment="1">
      <alignment horizontal="left"/>
    </xf>
    <xf numFmtId="0" fontId="38" fillId="0" borderId="13" xfId="4" applyFont="1" applyBorder="1" applyAlignment="1">
      <alignment horizontal="left"/>
    </xf>
    <xf numFmtId="0" fontId="38" fillId="0" borderId="42" xfId="4" applyFont="1" applyBorder="1" applyAlignment="1">
      <alignment horizontal="left"/>
    </xf>
    <xf numFmtId="0" fontId="38" fillId="0" borderId="43" xfId="4" applyFont="1" applyBorder="1" applyAlignment="1">
      <alignment horizontal="left"/>
    </xf>
    <xf numFmtId="0" fontId="39" fillId="8" borderId="36" xfId="4" applyFont="1" applyFill="1" applyBorder="1" applyAlignment="1">
      <alignment horizontal="center"/>
    </xf>
    <xf numFmtId="0" fontId="39" fillId="8" borderId="1" xfId="4" applyFont="1" applyFill="1" applyBorder="1" applyAlignment="1">
      <alignment horizontal="center"/>
    </xf>
    <xf numFmtId="0" fontId="39" fillId="8" borderId="6" xfId="4" applyFont="1" applyFill="1" applyBorder="1" applyAlignment="1">
      <alignment horizontal="center"/>
    </xf>
    <xf numFmtId="0" fontId="31" fillId="3" borderId="47" xfId="4" applyFont="1" applyFill="1" applyBorder="1" applyAlignment="1">
      <alignment horizontal="center" vertical="center" wrapText="1"/>
    </xf>
    <xf numFmtId="0" fontId="31" fillId="3" borderId="48" xfId="4" applyFont="1" applyFill="1" applyBorder="1" applyAlignment="1">
      <alignment horizontal="center" vertical="center" wrapText="1"/>
    </xf>
  </cellXfs>
  <cellStyles count="9">
    <cellStyle name="14" xfId="1" xr:uid="{00000000-0005-0000-0000-000000000000}"/>
    <cellStyle name="一般" xfId="0" builtinId="0"/>
    <cellStyle name="一般 2" xfId="2" xr:uid="{00000000-0005-0000-0000-000002000000}"/>
    <cellStyle name="一般_01-Template" xfId="3" xr:uid="{00000000-0005-0000-0000-000003000000}"/>
    <cellStyle name="一般_12月全省零件庫存分析表" xfId="4" xr:uid="{00000000-0005-0000-0000-000004000000}"/>
    <cellStyle name="一般_附件一" xfId="5" xr:uid="{00000000-0005-0000-0000-000005000000}"/>
    <cellStyle name="千分位" xfId="8" builtinId="3"/>
    <cellStyle name="百分比" xfId="7" builtinId="5"/>
    <cellStyle name="超連結" xfId="6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owardsheng\Desktop\Users\TEKAIHSU\AppData\Local\Microsoft\Windows\INetCache\Content.Outlook\KGGX7EAZ\&#38656;&#32102;&#26085;&#22577;&#26085;&#25512;&#31227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lexkuo/Desktop/02-Template_fal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月份"/>
      <sheetName val="附件一(A庫存金額)"/>
      <sheetName val="附件二(期貨)"/>
      <sheetName val="日期"/>
      <sheetName val="庫存金額"/>
      <sheetName val="供應率ALL"/>
      <sheetName val="供應率"/>
      <sheetName val="BO點數"/>
      <sheetName val="A庫存金額"/>
      <sheetName val="期貨"/>
      <sheetName val="sql"/>
      <sheetName val="當年月推移"/>
      <sheetName val="去年月推移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當月份"/>
      <sheetName val="附件一(A庫存金額)"/>
      <sheetName val="附件二(期貨)"/>
      <sheetName val="當年月推移"/>
      <sheetName val="去年月推移_old"/>
      <sheetName val="去年月推移"/>
      <sheetName val="當年目標設定"/>
      <sheetName val="A類各進口別庫存金額目標"/>
      <sheetName val="庫存金額"/>
      <sheetName val="供應率ALL"/>
      <sheetName val="供應率"/>
      <sheetName val="點數BO"/>
      <sheetName val="庫存金額A類"/>
      <sheetName val="期貨金額"/>
      <sheetName val="月庫存金額"/>
      <sheetName val="月供應率ALL"/>
      <sheetName val="月供應率"/>
      <sheetName val="月點數BO"/>
      <sheetName val="日期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>
        <row r="1">
          <cell r="D1">
            <v>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  <cell r="O1">
            <v>12</v>
          </cell>
        </row>
        <row r="2">
          <cell r="D2" t="str">
            <v>一月</v>
          </cell>
          <cell r="E2" t="str">
            <v>二月</v>
          </cell>
          <cell r="F2" t="str">
            <v>三月</v>
          </cell>
          <cell r="G2" t="str">
            <v>四月</v>
          </cell>
          <cell r="H2" t="str">
            <v>五月</v>
          </cell>
          <cell r="I2" t="str">
            <v>六月</v>
          </cell>
          <cell r="J2" t="str">
            <v>七月</v>
          </cell>
          <cell r="K2" t="str">
            <v>八月</v>
          </cell>
          <cell r="L2" t="str">
            <v>九月</v>
          </cell>
          <cell r="M2" t="str">
            <v>十月</v>
          </cell>
          <cell r="N2" t="str">
            <v>十一月</v>
          </cell>
          <cell r="O2" t="str">
            <v>十二月</v>
          </cell>
        </row>
        <row r="3">
          <cell r="D3">
            <v>494933359.93548387</v>
          </cell>
          <cell r="E3">
            <v>477030415.14285713</v>
          </cell>
          <cell r="F3">
            <v>459623780.75999993</v>
          </cell>
          <cell r="G3">
            <v>441583167.99333334</v>
          </cell>
          <cell r="H3">
            <v>479118516.49000001</v>
          </cell>
          <cell r="I3">
            <v>462146791.81</v>
          </cell>
          <cell r="J3">
            <v>439091640.32999998</v>
          </cell>
          <cell r="K3">
            <v>466200597.16000003</v>
          </cell>
          <cell r="L3">
            <v>471831975.50999999</v>
          </cell>
          <cell r="M3">
            <v>440921274.40999997</v>
          </cell>
          <cell r="N3">
            <v>440585976.60000002</v>
          </cell>
          <cell r="O3">
            <v>458984723.69000006</v>
          </cell>
        </row>
        <row r="4">
          <cell r="D4">
            <v>303974663.93548387</v>
          </cell>
          <cell r="E4">
            <v>287283028.78571427</v>
          </cell>
          <cell r="F4">
            <v>271936881.51999998</v>
          </cell>
          <cell r="G4">
            <v>262531560.96000001</v>
          </cell>
          <cell r="H4">
            <v>300812427.94</v>
          </cell>
          <cell r="I4">
            <v>293720086.24000001</v>
          </cell>
          <cell r="J4">
            <v>270682248.06999999</v>
          </cell>
          <cell r="K4">
            <v>290265634.10000002</v>
          </cell>
          <cell r="L4">
            <v>294118277.76999998</v>
          </cell>
          <cell r="M4">
            <v>268112792.77999997</v>
          </cell>
          <cell r="N4">
            <v>269341134</v>
          </cell>
          <cell r="O4">
            <v>284647292.45000005</v>
          </cell>
        </row>
        <row r="5">
          <cell r="D5">
            <v>257935491.77419356</v>
          </cell>
          <cell r="E5">
            <v>245230995.89285713</v>
          </cell>
          <cell r="F5">
            <v>225805884.84999999</v>
          </cell>
          <cell r="G5">
            <v>213675771.86666667</v>
          </cell>
          <cell r="H5">
            <v>245534439.94</v>
          </cell>
          <cell r="I5">
            <v>242795243.56999999</v>
          </cell>
          <cell r="J5">
            <v>224670990.34999999</v>
          </cell>
          <cell r="K5">
            <v>235949016.58000001</v>
          </cell>
          <cell r="L5">
            <v>233347474.06999999</v>
          </cell>
          <cell r="M5">
            <v>216092439.55000001</v>
          </cell>
          <cell r="N5">
            <v>213583617.43000001</v>
          </cell>
          <cell r="O5">
            <v>209782437.47999999</v>
          </cell>
        </row>
        <row r="6">
          <cell r="D6">
            <v>15612706.483870968</v>
          </cell>
          <cell r="E6">
            <v>14534871.857142856</v>
          </cell>
          <cell r="F6">
            <v>13745227.35</v>
          </cell>
          <cell r="G6">
            <v>12974987.533333333</v>
          </cell>
          <cell r="H6">
            <v>14419197</v>
          </cell>
          <cell r="I6">
            <v>9847679.3699999992</v>
          </cell>
          <cell r="J6">
            <v>12264738.939999999</v>
          </cell>
          <cell r="K6">
            <v>10077353.68</v>
          </cell>
          <cell r="L6">
            <v>13057771.470000001</v>
          </cell>
          <cell r="M6">
            <v>13751690.029999999</v>
          </cell>
          <cell r="N6">
            <v>9632115.1699999999</v>
          </cell>
          <cell r="O6">
            <v>8099124.5499999998</v>
          </cell>
        </row>
        <row r="7">
          <cell r="D7">
            <v>4750692.064516129</v>
          </cell>
          <cell r="E7">
            <v>3363419.7142857141</v>
          </cell>
          <cell r="F7">
            <v>9273676.6199999992</v>
          </cell>
          <cell r="G7">
            <v>13191630.333333334</v>
          </cell>
          <cell r="H7">
            <v>17172257.390000001</v>
          </cell>
          <cell r="I7">
            <v>17388002.870000001</v>
          </cell>
          <cell r="J7">
            <v>9170440.4499999993</v>
          </cell>
          <cell r="K7">
            <v>18089455.870000001</v>
          </cell>
          <cell r="L7">
            <v>19078314.129999999</v>
          </cell>
          <cell r="M7">
            <v>10087208.42</v>
          </cell>
          <cell r="N7">
            <v>19492871.199999999</v>
          </cell>
          <cell r="O7">
            <v>39489059.68</v>
          </cell>
        </row>
        <row r="8">
          <cell r="D8">
            <v>19249428.032258064</v>
          </cell>
          <cell r="E8">
            <v>18410097.464285713</v>
          </cell>
          <cell r="F8">
            <v>17583789.579999998</v>
          </cell>
          <cell r="G8">
            <v>16100889.366666667</v>
          </cell>
          <cell r="H8">
            <v>17622276</v>
          </cell>
          <cell r="I8">
            <v>17575590.23</v>
          </cell>
          <cell r="J8">
            <v>18158222.52</v>
          </cell>
          <cell r="K8">
            <v>19042617.260000002</v>
          </cell>
          <cell r="L8">
            <v>20242224.07</v>
          </cell>
          <cell r="M8">
            <v>20884709.390000001</v>
          </cell>
          <cell r="N8">
            <v>18464505.829999998</v>
          </cell>
          <cell r="O8">
            <v>19832942</v>
          </cell>
        </row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D10">
            <v>6426345.5806451617</v>
          </cell>
          <cell r="E10">
            <v>5743643.8571428573</v>
          </cell>
          <cell r="F10">
            <v>5528303.1200000001</v>
          </cell>
          <cell r="G10">
            <v>5734385.3666666662</v>
          </cell>
          <cell r="H10">
            <v>6064257.6100000003</v>
          </cell>
          <cell r="I10">
            <v>6113570.2000000002</v>
          </cell>
          <cell r="J10">
            <v>6417855.8099999996</v>
          </cell>
          <cell r="K10">
            <v>7107190.71</v>
          </cell>
          <cell r="L10">
            <v>8392494.0299999993</v>
          </cell>
          <cell r="M10">
            <v>7296745.3899999997</v>
          </cell>
          <cell r="N10">
            <v>8168024.3700000001</v>
          </cell>
          <cell r="O10">
            <v>7443728.7400000002</v>
          </cell>
        </row>
        <row r="11">
          <cell r="D11">
            <v>13413274.483870968</v>
          </cell>
          <cell r="E11">
            <v>11897521.035714287</v>
          </cell>
          <cell r="F11">
            <v>9508841.2699999996</v>
          </cell>
          <cell r="G11">
            <v>10764942.133333333</v>
          </cell>
          <cell r="H11">
            <v>12781465.680000002</v>
          </cell>
          <cell r="I11">
            <v>11581976.370000001</v>
          </cell>
          <cell r="J11">
            <v>11274355.219999999</v>
          </cell>
          <cell r="K11">
            <v>12925437.379999999</v>
          </cell>
          <cell r="L11">
            <v>11326018.800000001</v>
          </cell>
          <cell r="M11">
            <v>11659173.939999999</v>
          </cell>
          <cell r="N11">
            <v>11920212.109999999</v>
          </cell>
          <cell r="O11">
            <v>11653219.09</v>
          </cell>
        </row>
        <row r="12"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D13">
            <v>1234040.0322580645</v>
          </cell>
          <cell r="E13">
            <v>966999.28571428568</v>
          </cell>
          <cell r="F13">
            <v>1295184.04</v>
          </cell>
          <cell r="G13">
            <v>1526269.2333333334</v>
          </cell>
          <cell r="H13">
            <v>2219594.4500000002</v>
          </cell>
          <cell r="I13">
            <v>1977821.27</v>
          </cell>
          <cell r="J13">
            <v>2408557.48</v>
          </cell>
          <cell r="K13">
            <v>2926888.77</v>
          </cell>
          <cell r="L13">
            <v>2754757.2</v>
          </cell>
          <cell r="M13">
            <v>2329365.84</v>
          </cell>
          <cell r="N13">
            <v>2668826.0699999998</v>
          </cell>
          <cell r="O13">
            <v>2195540.58</v>
          </cell>
        </row>
        <row r="14">
          <cell r="D14">
            <v>459699.70967741933</v>
          </cell>
          <cell r="E14">
            <v>530710.60714285716</v>
          </cell>
          <cell r="F14">
            <v>423199.35</v>
          </cell>
          <cell r="G14">
            <v>339534.96666666667</v>
          </cell>
          <cell r="H14">
            <v>341640.1</v>
          </cell>
          <cell r="I14">
            <v>247164.47</v>
          </cell>
          <cell r="J14">
            <v>350791.71</v>
          </cell>
          <cell r="K14">
            <v>360535</v>
          </cell>
          <cell r="L14">
            <v>376953.43</v>
          </cell>
          <cell r="M14">
            <v>560288.81000000006</v>
          </cell>
          <cell r="N14">
            <v>673245.27</v>
          </cell>
          <cell r="O14">
            <v>989030.16</v>
          </cell>
        </row>
        <row r="15">
          <cell r="D15">
            <v>11719534.741935484</v>
          </cell>
          <cell r="E15">
            <v>10399811.142857144</v>
          </cell>
          <cell r="F15">
            <v>7790457.8799999999</v>
          </cell>
          <cell r="G15">
            <v>8899137.9333333336</v>
          </cell>
          <cell r="H15">
            <v>10220231.130000001</v>
          </cell>
          <cell r="I15">
            <v>9356990.6300000008</v>
          </cell>
          <cell r="J15">
            <v>8515006.0299999993</v>
          </cell>
          <cell r="K15">
            <v>9638013.6099999994</v>
          </cell>
          <cell r="L15">
            <v>8194308.1699999999</v>
          </cell>
          <cell r="M15">
            <v>8769519.2899999991</v>
          </cell>
          <cell r="N15">
            <v>8578140.7699999996</v>
          </cell>
          <cell r="O15">
            <v>8468648.3499999996</v>
          </cell>
        </row>
        <row r="16">
          <cell r="D16">
            <v>172730222.67741936</v>
          </cell>
          <cell r="E16">
            <v>172449866.4642857</v>
          </cell>
          <cell r="F16">
            <v>172122270.69999999</v>
          </cell>
          <cell r="G16">
            <v>162651673.26666668</v>
          </cell>
          <cell r="H16">
            <v>160249998.25</v>
          </cell>
          <cell r="I16">
            <v>151285456.11000001</v>
          </cell>
          <cell r="J16">
            <v>151695983.62</v>
          </cell>
          <cell r="K16">
            <v>157639546.68000001</v>
          </cell>
          <cell r="L16">
            <v>160633561.24000001</v>
          </cell>
          <cell r="M16">
            <v>156133131.62</v>
          </cell>
          <cell r="N16">
            <v>154784620.96000001</v>
          </cell>
          <cell r="O16">
            <v>158689303.79999998</v>
          </cell>
        </row>
        <row r="17">
          <cell r="D17">
            <v>139696630.51612905</v>
          </cell>
          <cell r="E17">
            <v>140077750.92857143</v>
          </cell>
          <cell r="F17">
            <v>143536174.19</v>
          </cell>
          <cell r="G17">
            <v>136128536.83333334</v>
          </cell>
          <cell r="H17">
            <v>134747351.52000001</v>
          </cell>
          <cell r="I17">
            <v>127503960</v>
          </cell>
          <cell r="J17">
            <v>127837066.73999999</v>
          </cell>
          <cell r="K17">
            <v>125871174.42</v>
          </cell>
          <cell r="L17">
            <v>127122665.93000001</v>
          </cell>
          <cell r="M17">
            <v>126656269.23</v>
          </cell>
          <cell r="N17">
            <v>127480937.3</v>
          </cell>
          <cell r="O17">
            <v>126724782.16</v>
          </cell>
        </row>
        <row r="18">
          <cell r="D18">
            <v>8844830.9677419346</v>
          </cell>
          <cell r="E18">
            <v>7614335.8928571427</v>
          </cell>
          <cell r="F18">
            <v>5582875.8099999996</v>
          </cell>
          <cell r="G18">
            <v>5454150.2999999998</v>
          </cell>
          <cell r="H18">
            <v>4196146.0999999996</v>
          </cell>
          <cell r="I18">
            <v>3560298.67</v>
          </cell>
          <cell r="J18">
            <v>3617444.94</v>
          </cell>
          <cell r="K18">
            <v>3740411.48</v>
          </cell>
          <cell r="L18">
            <v>5947573.2699999996</v>
          </cell>
          <cell r="M18">
            <v>3548324.06</v>
          </cell>
          <cell r="N18">
            <v>2268499.4300000002</v>
          </cell>
          <cell r="O18">
            <v>2516054.29</v>
          </cell>
        </row>
        <row r="19">
          <cell r="D19">
            <v>11320641.451612903</v>
          </cell>
          <cell r="E19">
            <v>10316694.142857144</v>
          </cell>
          <cell r="F19">
            <v>9067779.5399999991</v>
          </cell>
          <cell r="G19">
            <v>8757926.0333333332</v>
          </cell>
          <cell r="H19">
            <v>7950537.4199999999</v>
          </cell>
          <cell r="I19">
            <v>6936953.6699999999</v>
          </cell>
          <cell r="J19">
            <v>6079173</v>
          </cell>
          <cell r="K19">
            <v>11025515.65</v>
          </cell>
          <cell r="L19">
            <v>12767328.67</v>
          </cell>
          <cell r="M19">
            <v>11776547.32</v>
          </cell>
          <cell r="N19">
            <v>11930983.73</v>
          </cell>
          <cell r="O19">
            <v>15854526.58</v>
          </cell>
        </row>
        <row r="20">
          <cell r="D20">
            <v>9332701.2258064523</v>
          </cell>
          <cell r="E20">
            <v>11049661.178571429</v>
          </cell>
          <cell r="F20">
            <v>10127182.77</v>
          </cell>
          <cell r="G20">
            <v>8168044.2999999998</v>
          </cell>
          <cell r="H20">
            <v>9354795.3499999996</v>
          </cell>
          <cell r="I20">
            <v>9649733.3699999992</v>
          </cell>
          <cell r="J20">
            <v>10449480.52</v>
          </cell>
          <cell r="K20">
            <v>13564015.52</v>
          </cell>
          <cell r="L20">
            <v>11856276</v>
          </cell>
          <cell r="M20">
            <v>11330625.65</v>
          </cell>
          <cell r="N20">
            <v>10370352.83</v>
          </cell>
          <cell r="O20">
            <v>11103684.42</v>
          </cell>
        </row>
        <row r="21">
          <cell r="D21">
            <v>3262179.064516129</v>
          </cell>
          <cell r="E21">
            <v>3080832.6071428573</v>
          </cell>
          <cell r="F21">
            <v>3305285.54</v>
          </cell>
          <cell r="G21">
            <v>3685316.6</v>
          </cell>
          <cell r="H21">
            <v>3477824.77</v>
          </cell>
          <cell r="I21">
            <v>3223709.63</v>
          </cell>
          <cell r="J21">
            <v>3182579.81</v>
          </cell>
          <cell r="K21">
            <v>2859172.26</v>
          </cell>
          <cell r="L21">
            <v>2350340.4</v>
          </cell>
          <cell r="M21">
            <v>2368224.29</v>
          </cell>
          <cell r="N21">
            <v>2220102.2999999998</v>
          </cell>
          <cell r="O21">
            <v>1961494.74</v>
          </cell>
        </row>
        <row r="22">
          <cell r="D22">
            <v>138137.51612903227</v>
          </cell>
          <cell r="E22">
            <v>129186.21428571429</v>
          </cell>
          <cell r="F22">
            <v>135575.31</v>
          </cell>
          <cell r="G22">
            <v>130199.86666666667</v>
          </cell>
          <cell r="H22">
            <v>130242.03</v>
          </cell>
          <cell r="I22">
            <v>107580</v>
          </cell>
          <cell r="J22">
            <v>90688.35</v>
          </cell>
          <cell r="K22">
            <v>90835.45</v>
          </cell>
          <cell r="L22">
            <v>98299</v>
          </cell>
          <cell r="M22">
            <v>95301.42</v>
          </cell>
          <cell r="N22">
            <v>121060.67</v>
          </cell>
          <cell r="O22">
            <v>124656.26</v>
          </cell>
        </row>
        <row r="23">
          <cell r="D23">
            <v>135101.93548387097</v>
          </cell>
          <cell r="E23">
            <v>181405.5</v>
          </cell>
          <cell r="F23">
            <v>367397.54</v>
          </cell>
          <cell r="G23">
            <v>327499.33333333331</v>
          </cell>
          <cell r="H23">
            <v>393101.06</v>
          </cell>
          <cell r="I23">
            <v>303220.77</v>
          </cell>
          <cell r="J23">
            <v>439550.26</v>
          </cell>
          <cell r="K23">
            <v>488421.9</v>
          </cell>
          <cell r="L23">
            <v>491077.97</v>
          </cell>
          <cell r="M23">
            <v>357839.65</v>
          </cell>
          <cell r="N23">
            <v>392684.7</v>
          </cell>
          <cell r="O23">
            <v>404105.35</v>
          </cell>
        </row>
        <row r="24">
          <cell r="D24">
            <v>4815198.8387096776</v>
          </cell>
          <cell r="E24">
            <v>5399998.8571428573</v>
          </cell>
          <cell r="F24">
            <v>6055787.2699999996</v>
          </cell>
          <cell r="G24">
            <v>5634991.6333333338</v>
          </cell>
          <cell r="H24">
            <v>5274624.62</v>
          </cell>
          <cell r="I24">
            <v>5559273.0899999999</v>
          </cell>
          <cell r="J24">
            <v>5439053.4199999999</v>
          </cell>
          <cell r="K24">
            <v>5369979</v>
          </cell>
          <cell r="L24">
            <v>5754117.7000000002</v>
          </cell>
          <cell r="M24">
            <v>5016176.07</v>
          </cell>
          <cell r="N24">
            <v>4540009.5299999993</v>
          </cell>
          <cell r="O24">
            <v>3994908.3499999996</v>
          </cell>
        </row>
        <row r="25">
          <cell r="D25">
            <v>841083.3548387097</v>
          </cell>
          <cell r="E25">
            <v>812527.89285714284</v>
          </cell>
          <cell r="F25">
            <v>827784.12</v>
          </cell>
          <cell r="G25">
            <v>819558.9</v>
          </cell>
          <cell r="H25">
            <v>770740.81</v>
          </cell>
          <cell r="I25">
            <v>728073</v>
          </cell>
          <cell r="J25">
            <v>700412.68</v>
          </cell>
          <cell r="K25">
            <v>689632.03</v>
          </cell>
          <cell r="L25">
            <v>680402.83</v>
          </cell>
          <cell r="M25">
            <v>721629.29</v>
          </cell>
          <cell r="N25">
            <v>706872.97</v>
          </cell>
          <cell r="O25">
            <v>648646.97</v>
          </cell>
        </row>
        <row r="26">
          <cell r="D26">
            <v>1437764.2258064516</v>
          </cell>
          <cell r="E26">
            <v>1437338.4285714286</v>
          </cell>
          <cell r="F26">
            <v>1541171.38</v>
          </cell>
          <cell r="G26">
            <v>1224731.7333333334</v>
          </cell>
          <cell r="H26">
            <v>1002846.87</v>
          </cell>
          <cell r="I26">
            <v>761279.03</v>
          </cell>
          <cell r="J26">
            <v>873349.19</v>
          </cell>
          <cell r="K26">
            <v>886937.06</v>
          </cell>
          <cell r="L26">
            <v>1071424.8999999999</v>
          </cell>
          <cell r="M26">
            <v>1009739.74</v>
          </cell>
          <cell r="N26">
            <v>909458.43</v>
          </cell>
          <cell r="O26">
            <v>713189.48</v>
          </cell>
        </row>
        <row r="27">
          <cell r="D27">
            <v>53483</v>
          </cell>
          <cell r="E27">
            <v>53483</v>
          </cell>
          <cell r="F27">
            <v>53483</v>
          </cell>
          <cell r="G27">
            <v>53509.1</v>
          </cell>
          <cell r="H27">
            <v>53483</v>
          </cell>
          <cell r="I27">
            <v>21393.200000000001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D28">
            <v>51636</v>
          </cell>
          <cell r="E28">
            <v>51636</v>
          </cell>
          <cell r="F28">
            <v>51636</v>
          </cell>
          <cell r="G28">
            <v>51798.400000000001</v>
          </cell>
          <cell r="H28">
            <v>51636</v>
          </cell>
          <cell r="I28">
            <v>584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D29">
            <v>2431232.2580645164</v>
          </cell>
          <cell r="E29">
            <v>3045013.5357142859</v>
          </cell>
          <cell r="F29">
            <v>3581712.77</v>
          </cell>
          <cell r="G29">
            <v>3485393.5</v>
          </cell>
          <cell r="H29">
            <v>3395917.94</v>
          </cell>
          <cell r="I29">
            <v>4047943.86</v>
          </cell>
          <cell r="J29">
            <v>3865291.55</v>
          </cell>
          <cell r="K29">
            <v>3793409.91</v>
          </cell>
          <cell r="L29">
            <v>4002289.97</v>
          </cell>
          <cell r="M29">
            <v>3284807.04</v>
          </cell>
          <cell r="N29">
            <v>2923678.13</v>
          </cell>
          <cell r="O29">
            <v>2633071.9</v>
          </cell>
        </row>
        <row r="30">
          <cell r="D30">
            <v>2243266.2580645164</v>
          </cell>
          <cell r="E30">
            <v>2069699.5714285714</v>
          </cell>
          <cell r="F30">
            <v>2243760.92</v>
          </cell>
          <cell r="G30">
            <v>2008863.3333333333</v>
          </cell>
          <cell r="H30">
            <v>1949594.39</v>
          </cell>
          <cell r="I30">
            <v>2389469.87</v>
          </cell>
          <cell r="J30">
            <v>2182719.52</v>
          </cell>
          <cell r="K30">
            <v>2816497.94</v>
          </cell>
          <cell r="L30">
            <v>2978889.2</v>
          </cell>
          <cell r="M30">
            <v>2889570.84</v>
          </cell>
          <cell r="N30">
            <v>3030979.43</v>
          </cell>
          <cell r="O30">
            <v>2740071.9</v>
          </cell>
        </row>
        <row r="31">
          <cell r="D31">
            <v>7680867.6774193551</v>
          </cell>
          <cell r="E31">
            <v>7268150.6785714282</v>
          </cell>
          <cell r="F31">
            <v>6492780.7300000004</v>
          </cell>
          <cell r="G31">
            <v>7538448.5</v>
          </cell>
          <cell r="H31">
            <v>7784063.3499999996</v>
          </cell>
          <cell r="I31">
            <v>9120732.1300000008</v>
          </cell>
          <cell r="J31">
            <v>9168293.2300000004</v>
          </cell>
          <cell r="K31">
            <v>8666958.2899999991</v>
          </cell>
          <cell r="L31">
            <v>8268033.8300000001</v>
          </cell>
          <cell r="M31">
            <v>8838457.8699999992</v>
          </cell>
          <cell r="N31">
            <v>9507911.4000000004</v>
          </cell>
          <cell r="O31">
            <v>9138913.5199999996</v>
          </cell>
        </row>
        <row r="32">
          <cell r="D32">
            <v>11849474.387096774</v>
          </cell>
          <cell r="E32">
            <v>11972450.964285715</v>
          </cell>
          <cell r="F32">
            <v>11851844.92</v>
          </cell>
          <cell r="G32">
            <v>11198983.833333334</v>
          </cell>
          <cell r="H32">
            <v>11863801.68</v>
          </cell>
          <cell r="I32">
            <v>13980909.470000001</v>
          </cell>
          <cell r="J32">
            <v>14574412</v>
          </cell>
          <cell r="K32">
            <v>13542134.289999999</v>
          </cell>
          <cell r="L32">
            <v>13804506.630000001</v>
          </cell>
          <cell r="M32">
            <v>13241592.939999999</v>
          </cell>
          <cell r="N32">
            <v>12346882.67</v>
          </cell>
          <cell r="O32">
            <v>12947687.390000001</v>
          </cell>
        </row>
        <row r="33">
          <cell r="D33">
            <v>959328.93548387091</v>
          </cell>
          <cell r="E33">
            <v>974528.14285714284</v>
          </cell>
          <cell r="F33">
            <v>1262264.3799999999</v>
          </cell>
          <cell r="G33">
            <v>846035.46666666667</v>
          </cell>
          <cell r="H33">
            <v>904935.1</v>
          </cell>
          <cell r="I33">
            <v>1223233.57</v>
          </cell>
          <cell r="J33">
            <v>624869.81000000006</v>
          </cell>
          <cell r="K33">
            <v>661597.18999999994</v>
          </cell>
          <cell r="L33">
            <v>747084.4</v>
          </cell>
          <cell r="M33">
            <v>1080395.23</v>
          </cell>
          <cell r="N33">
            <v>1502346.8</v>
          </cell>
          <cell r="O33">
            <v>1116709.1299999999</v>
          </cell>
        </row>
        <row r="36">
          <cell r="D36" t="str">
            <v>一月</v>
          </cell>
          <cell r="E36" t="str">
            <v>二月</v>
          </cell>
          <cell r="F36" t="str">
            <v>三月</v>
          </cell>
          <cell r="G36" t="str">
            <v>四月</v>
          </cell>
          <cell r="H36" t="str">
            <v>五月</v>
          </cell>
          <cell r="I36" t="str">
            <v>六月</v>
          </cell>
          <cell r="J36" t="str">
            <v>七月</v>
          </cell>
          <cell r="K36" t="str">
            <v>八月</v>
          </cell>
          <cell r="L36" t="str">
            <v>九月</v>
          </cell>
          <cell r="M36" t="str">
            <v>十月</v>
          </cell>
          <cell r="N36" t="str">
            <v>十一月</v>
          </cell>
          <cell r="O36" t="str">
            <v>十二月</v>
          </cell>
        </row>
        <row r="37">
          <cell r="D37">
            <v>504417013</v>
          </cell>
          <cell r="E37">
            <v>464151988</v>
          </cell>
          <cell r="F37">
            <v>473522911</v>
          </cell>
          <cell r="G37">
            <v>456447954</v>
          </cell>
          <cell r="H37">
            <v>501894951</v>
          </cell>
          <cell r="I37">
            <v>458965839</v>
          </cell>
          <cell r="J37">
            <v>450228908</v>
          </cell>
          <cell r="K37">
            <v>498301719</v>
          </cell>
          <cell r="L37">
            <v>466937580</v>
          </cell>
          <cell r="M37">
            <v>445724157</v>
          </cell>
          <cell r="N37">
            <v>455860093</v>
          </cell>
          <cell r="O37">
            <v>475038940</v>
          </cell>
        </row>
        <row r="38">
          <cell r="D38">
            <v>309234722</v>
          </cell>
          <cell r="E38">
            <v>280034212</v>
          </cell>
          <cell r="F38">
            <v>282357074</v>
          </cell>
          <cell r="G38">
            <v>277416393</v>
          </cell>
          <cell r="H38">
            <v>319019500</v>
          </cell>
          <cell r="I38">
            <v>292595921</v>
          </cell>
          <cell r="J38">
            <v>275175948</v>
          </cell>
          <cell r="K38">
            <v>319460531</v>
          </cell>
          <cell r="L38">
            <v>288104410</v>
          </cell>
          <cell r="M38">
            <v>276066280</v>
          </cell>
          <cell r="N38">
            <v>278330416</v>
          </cell>
          <cell r="O38">
            <v>300185611</v>
          </cell>
        </row>
        <row r="39">
          <cell r="D39">
            <v>264304869</v>
          </cell>
          <cell r="E39">
            <v>238847595</v>
          </cell>
          <cell r="F39">
            <v>224465453</v>
          </cell>
          <cell r="G39">
            <v>229799294</v>
          </cell>
          <cell r="H39">
            <v>257033222</v>
          </cell>
          <cell r="I39">
            <v>235554361</v>
          </cell>
          <cell r="J39">
            <v>224546618</v>
          </cell>
          <cell r="K39">
            <v>248904454</v>
          </cell>
          <cell r="L39">
            <v>230521533</v>
          </cell>
          <cell r="M39">
            <v>219624462</v>
          </cell>
          <cell r="N39">
            <v>214328265</v>
          </cell>
          <cell r="O39">
            <v>214584275</v>
          </cell>
        </row>
        <row r="40">
          <cell r="D40">
            <v>13212043</v>
          </cell>
          <cell r="E40">
            <v>14952178</v>
          </cell>
          <cell r="F40">
            <v>12893120</v>
          </cell>
          <cell r="G40">
            <v>16037486</v>
          </cell>
          <cell r="H40">
            <v>15095484</v>
          </cell>
          <cell r="I40">
            <v>14961635</v>
          </cell>
          <cell r="J40">
            <v>16929189</v>
          </cell>
          <cell r="K40">
            <v>16409772</v>
          </cell>
          <cell r="L40">
            <v>18899915</v>
          </cell>
          <cell r="M40">
            <v>12767579</v>
          </cell>
          <cell r="N40">
            <v>10189030</v>
          </cell>
          <cell r="O40">
            <v>9673100</v>
          </cell>
        </row>
        <row r="41">
          <cell r="D41">
            <v>4023035</v>
          </cell>
          <cell r="E41">
            <v>3280012</v>
          </cell>
          <cell r="F41">
            <v>19981236</v>
          </cell>
          <cell r="G41">
            <v>8627913</v>
          </cell>
          <cell r="H41">
            <v>22253381</v>
          </cell>
          <cell r="I41">
            <v>15884821</v>
          </cell>
          <cell r="J41">
            <v>5709987</v>
          </cell>
          <cell r="K41">
            <v>25628034</v>
          </cell>
          <cell r="L41">
            <v>8951143</v>
          </cell>
          <cell r="M41">
            <v>14989232</v>
          </cell>
          <cell r="N41">
            <v>25939266</v>
          </cell>
          <cell r="O41">
            <v>47382941</v>
          </cell>
        </row>
        <row r="42">
          <cell r="D42">
            <v>19492865</v>
          </cell>
          <cell r="E42">
            <v>17603237</v>
          </cell>
          <cell r="F42">
            <v>18386231</v>
          </cell>
          <cell r="G42">
            <v>15649758</v>
          </cell>
          <cell r="H42">
            <v>17832000</v>
          </cell>
          <cell r="I42">
            <v>18629831</v>
          </cell>
          <cell r="J42">
            <v>21115056</v>
          </cell>
          <cell r="K42">
            <v>19727723</v>
          </cell>
          <cell r="L42">
            <v>19930907</v>
          </cell>
          <cell r="M42">
            <v>19630828</v>
          </cell>
          <cell r="N42">
            <v>20345468</v>
          </cell>
          <cell r="O42">
            <v>21609901</v>
          </cell>
        </row>
        <row r="43"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D44">
            <v>8201910</v>
          </cell>
          <cell r="E44">
            <v>5351190</v>
          </cell>
          <cell r="F44">
            <v>6631034</v>
          </cell>
          <cell r="G44">
            <v>7301942</v>
          </cell>
          <cell r="H44">
            <v>6805413</v>
          </cell>
          <cell r="I44">
            <v>7565273</v>
          </cell>
          <cell r="J44">
            <v>6875098</v>
          </cell>
          <cell r="K44">
            <v>8790548</v>
          </cell>
          <cell r="L44">
            <v>9800912</v>
          </cell>
          <cell r="M44">
            <v>9054179</v>
          </cell>
          <cell r="N44">
            <v>7528387</v>
          </cell>
          <cell r="O44">
            <v>6935394</v>
          </cell>
        </row>
        <row r="45">
          <cell r="D45">
            <v>14006216</v>
          </cell>
          <cell r="E45">
            <v>9765106</v>
          </cell>
          <cell r="F45">
            <v>9953067</v>
          </cell>
          <cell r="G45">
            <v>12932005</v>
          </cell>
          <cell r="H45">
            <v>12672100</v>
          </cell>
          <cell r="I45">
            <v>12100475</v>
          </cell>
          <cell r="J45">
            <v>10173652</v>
          </cell>
          <cell r="K45">
            <v>10853678</v>
          </cell>
          <cell r="L45">
            <v>11106073</v>
          </cell>
          <cell r="M45">
            <v>11961463</v>
          </cell>
          <cell r="N45">
            <v>12265638</v>
          </cell>
          <cell r="O45">
            <v>9254252</v>
          </cell>
        </row>
        <row r="46"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D47">
            <v>1218912</v>
          </cell>
          <cell r="E47">
            <v>1008046</v>
          </cell>
          <cell r="F47">
            <v>1225008</v>
          </cell>
          <cell r="G47">
            <v>1927063</v>
          </cell>
          <cell r="H47">
            <v>2140065</v>
          </cell>
          <cell r="I47">
            <v>2476636</v>
          </cell>
          <cell r="J47">
            <v>2604834</v>
          </cell>
          <cell r="K47">
            <v>2793388</v>
          </cell>
          <cell r="L47">
            <v>2594738</v>
          </cell>
          <cell r="M47">
            <v>2546539</v>
          </cell>
          <cell r="N47">
            <v>2724912</v>
          </cell>
          <cell r="O47">
            <v>1836832</v>
          </cell>
        </row>
        <row r="48">
          <cell r="D48">
            <v>615733</v>
          </cell>
          <cell r="E48">
            <v>515578</v>
          </cell>
          <cell r="F48">
            <v>402661</v>
          </cell>
          <cell r="G48">
            <v>321979</v>
          </cell>
          <cell r="H48">
            <v>281187</v>
          </cell>
          <cell r="I48">
            <v>222510</v>
          </cell>
          <cell r="J48">
            <v>374884</v>
          </cell>
          <cell r="K48">
            <v>432766</v>
          </cell>
          <cell r="L48">
            <v>529656</v>
          </cell>
          <cell r="M48">
            <v>622466</v>
          </cell>
          <cell r="N48">
            <v>1073026</v>
          </cell>
          <cell r="O48">
            <v>983101</v>
          </cell>
        </row>
        <row r="49">
          <cell r="D49">
            <v>12171571</v>
          </cell>
          <cell r="E49">
            <v>8241482</v>
          </cell>
          <cell r="F49">
            <v>8325398</v>
          </cell>
          <cell r="G49">
            <v>10682963</v>
          </cell>
          <cell r="H49">
            <v>10250848</v>
          </cell>
          <cell r="I49">
            <v>9401329</v>
          </cell>
          <cell r="J49">
            <v>7193934</v>
          </cell>
          <cell r="K49">
            <v>7627524</v>
          </cell>
          <cell r="L49">
            <v>7981679</v>
          </cell>
          <cell r="M49">
            <v>8792458</v>
          </cell>
          <cell r="N49">
            <v>8467700</v>
          </cell>
          <cell r="O49">
            <v>6434319</v>
          </cell>
        </row>
        <row r="50">
          <cell r="D50">
            <v>176265520</v>
          </cell>
          <cell r="E50">
            <v>168417462</v>
          </cell>
          <cell r="F50">
            <v>174892056</v>
          </cell>
          <cell r="G50">
            <v>160937244</v>
          </cell>
          <cell r="H50">
            <v>164295146</v>
          </cell>
          <cell r="I50">
            <v>148479083</v>
          </cell>
          <cell r="J50">
            <v>159886687</v>
          </cell>
          <cell r="K50">
            <v>162519702</v>
          </cell>
          <cell r="L50">
            <v>162229589</v>
          </cell>
          <cell r="M50">
            <v>153232643</v>
          </cell>
          <cell r="N50">
            <v>160885088</v>
          </cell>
          <cell r="O50">
            <v>162015639</v>
          </cell>
        </row>
        <row r="51">
          <cell r="D51">
            <v>142420570</v>
          </cell>
          <cell r="E51">
            <v>140382695</v>
          </cell>
          <cell r="F51">
            <v>142792548</v>
          </cell>
          <cell r="G51">
            <v>135180493</v>
          </cell>
          <cell r="H51">
            <v>137182393</v>
          </cell>
          <cell r="I51">
            <v>124400500</v>
          </cell>
          <cell r="J51">
            <v>131595604</v>
          </cell>
          <cell r="K51">
            <v>125734199</v>
          </cell>
          <cell r="L51">
            <v>129985906</v>
          </cell>
          <cell r="M51">
            <v>125175217</v>
          </cell>
          <cell r="N51">
            <v>128837877</v>
          </cell>
          <cell r="O51">
            <v>128615718</v>
          </cell>
        </row>
        <row r="52">
          <cell r="D52">
            <v>10032761</v>
          </cell>
          <cell r="E52">
            <v>5457252</v>
          </cell>
          <cell r="F52">
            <v>6793297</v>
          </cell>
          <cell r="G52">
            <v>6789096</v>
          </cell>
          <cell r="H52">
            <v>4108789</v>
          </cell>
          <cell r="I52">
            <v>5083597</v>
          </cell>
          <cell r="J52">
            <v>3860562</v>
          </cell>
          <cell r="K52">
            <v>7628368</v>
          </cell>
          <cell r="L52">
            <v>4857695</v>
          </cell>
          <cell r="M52">
            <v>2891651</v>
          </cell>
          <cell r="N52">
            <v>2744887</v>
          </cell>
          <cell r="O52">
            <v>3245061</v>
          </cell>
        </row>
        <row r="53">
          <cell r="D53">
            <v>10856534</v>
          </cell>
          <cell r="E53">
            <v>8790140</v>
          </cell>
          <cell r="F53">
            <v>11644541</v>
          </cell>
          <cell r="G53">
            <v>7133586</v>
          </cell>
          <cell r="H53">
            <v>7827642</v>
          </cell>
          <cell r="I53">
            <v>6106525</v>
          </cell>
          <cell r="J53">
            <v>8615738</v>
          </cell>
          <cell r="K53">
            <v>13318984</v>
          </cell>
          <cell r="L53">
            <v>12175476</v>
          </cell>
          <cell r="M53">
            <v>11200370</v>
          </cell>
          <cell r="N53">
            <v>15019159</v>
          </cell>
          <cell r="O53">
            <v>15763653</v>
          </cell>
        </row>
        <row r="54">
          <cell r="D54">
            <v>9062856</v>
          </cell>
          <cell r="E54">
            <v>10553008</v>
          </cell>
          <cell r="F54">
            <v>9598247</v>
          </cell>
          <cell r="G54">
            <v>8215792</v>
          </cell>
          <cell r="H54">
            <v>11040427</v>
          </cell>
          <cell r="I54">
            <v>8704000</v>
          </cell>
          <cell r="J54">
            <v>13314372</v>
          </cell>
          <cell r="K54">
            <v>12697069</v>
          </cell>
          <cell r="L54">
            <v>12319517</v>
          </cell>
          <cell r="M54">
            <v>10306933</v>
          </cell>
          <cell r="N54">
            <v>11518229</v>
          </cell>
          <cell r="O54">
            <v>10837410</v>
          </cell>
        </row>
        <row r="55">
          <cell r="D55">
            <v>3570409</v>
          </cell>
          <cell r="E55">
            <v>2913182</v>
          </cell>
          <cell r="F55">
            <v>3471211</v>
          </cell>
          <cell r="G55">
            <v>3168053</v>
          </cell>
          <cell r="H55">
            <v>3641195</v>
          </cell>
          <cell r="I55">
            <v>3621752</v>
          </cell>
          <cell r="J55">
            <v>2009768</v>
          </cell>
          <cell r="K55">
            <v>2503311</v>
          </cell>
          <cell r="L55">
            <v>2287353</v>
          </cell>
          <cell r="M55">
            <v>3249925</v>
          </cell>
          <cell r="N55">
            <v>2162469</v>
          </cell>
          <cell r="O55">
            <v>3167901</v>
          </cell>
        </row>
        <row r="56">
          <cell r="D56">
            <v>170433</v>
          </cell>
          <cell r="E56">
            <v>129453</v>
          </cell>
          <cell r="F56">
            <v>124143</v>
          </cell>
          <cell r="G56">
            <v>120972</v>
          </cell>
          <cell r="H56">
            <v>109143</v>
          </cell>
          <cell r="I56">
            <v>80004</v>
          </cell>
          <cell r="J56">
            <v>66759</v>
          </cell>
          <cell r="K56">
            <v>103299</v>
          </cell>
          <cell r="L56">
            <v>103299</v>
          </cell>
          <cell r="M56">
            <v>142174</v>
          </cell>
          <cell r="N56">
            <v>128349</v>
          </cell>
          <cell r="O56">
            <v>109474</v>
          </cell>
        </row>
        <row r="57">
          <cell r="D57">
            <v>151957</v>
          </cell>
          <cell r="E57">
            <v>191732</v>
          </cell>
          <cell r="F57">
            <v>468069</v>
          </cell>
          <cell r="G57">
            <v>329252</v>
          </cell>
          <cell r="H57">
            <v>385557</v>
          </cell>
          <cell r="I57">
            <v>482705</v>
          </cell>
          <cell r="J57">
            <v>423884</v>
          </cell>
          <cell r="K57">
            <v>534472</v>
          </cell>
          <cell r="L57">
            <v>500343</v>
          </cell>
          <cell r="M57">
            <v>266373</v>
          </cell>
          <cell r="N57">
            <v>474118</v>
          </cell>
          <cell r="O57">
            <v>276422</v>
          </cell>
        </row>
        <row r="58">
          <cell r="D58">
            <v>4910555</v>
          </cell>
          <cell r="E58">
            <v>5935208</v>
          </cell>
          <cell r="F58">
            <v>6320714</v>
          </cell>
          <cell r="G58">
            <v>5162312</v>
          </cell>
          <cell r="H58">
            <v>5908205</v>
          </cell>
          <cell r="I58">
            <v>5790360</v>
          </cell>
          <cell r="J58">
            <v>4992621</v>
          </cell>
          <cell r="K58">
            <v>5467808</v>
          </cell>
          <cell r="L58">
            <v>5497508</v>
          </cell>
          <cell r="M58">
            <v>4463771</v>
          </cell>
          <cell r="N58">
            <v>4378951</v>
          </cell>
          <cell r="O58">
            <v>3583438</v>
          </cell>
        </row>
        <row r="59">
          <cell r="D59">
            <v>821977</v>
          </cell>
          <cell r="E59">
            <v>854649</v>
          </cell>
          <cell r="F59">
            <v>900884</v>
          </cell>
          <cell r="G59">
            <v>806519</v>
          </cell>
          <cell r="H59">
            <v>784837</v>
          </cell>
          <cell r="I59">
            <v>721528</v>
          </cell>
          <cell r="J59">
            <v>698224</v>
          </cell>
          <cell r="K59">
            <v>701702</v>
          </cell>
          <cell r="L59">
            <v>695642</v>
          </cell>
          <cell r="M59">
            <v>787122</v>
          </cell>
          <cell r="N59">
            <v>684050</v>
          </cell>
          <cell r="O59">
            <v>604350</v>
          </cell>
        </row>
        <row r="60">
          <cell r="D60">
            <v>1421412</v>
          </cell>
          <cell r="E60">
            <v>1692559</v>
          </cell>
          <cell r="F60">
            <v>1411456</v>
          </cell>
          <cell r="G60">
            <v>1049729</v>
          </cell>
          <cell r="H60">
            <v>919486</v>
          </cell>
          <cell r="I60">
            <v>784615</v>
          </cell>
          <cell r="J60">
            <v>909457</v>
          </cell>
          <cell r="K60">
            <v>932415</v>
          </cell>
          <cell r="L60">
            <v>1112920</v>
          </cell>
          <cell r="M60">
            <v>920543</v>
          </cell>
          <cell r="N60">
            <v>822081</v>
          </cell>
          <cell r="O60">
            <v>639202</v>
          </cell>
        </row>
        <row r="61">
          <cell r="D61">
            <v>53483</v>
          </cell>
          <cell r="E61">
            <v>53483</v>
          </cell>
          <cell r="F61">
            <v>53483</v>
          </cell>
          <cell r="G61">
            <v>53510</v>
          </cell>
          <cell r="H61">
            <v>53483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</row>
        <row r="62">
          <cell r="D62">
            <v>51636</v>
          </cell>
          <cell r="E62">
            <v>51636</v>
          </cell>
          <cell r="F62">
            <v>51636</v>
          </cell>
          <cell r="G62">
            <v>51804</v>
          </cell>
          <cell r="H62">
            <v>51636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</row>
        <row r="63">
          <cell r="D63">
            <v>2562047</v>
          </cell>
          <cell r="E63">
            <v>3282881</v>
          </cell>
          <cell r="F63">
            <v>3903255</v>
          </cell>
          <cell r="G63">
            <v>3200750</v>
          </cell>
          <cell r="H63">
            <v>4098763</v>
          </cell>
          <cell r="I63">
            <v>4284217</v>
          </cell>
          <cell r="J63">
            <v>3384940</v>
          </cell>
          <cell r="K63">
            <v>3833691</v>
          </cell>
          <cell r="L63">
            <v>3688946</v>
          </cell>
          <cell r="M63">
            <v>2756106</v>
          </cell>
          <cell r="N63">
            <v>2872820</v>
          </cell>
          <cell r="O63">
            <v>2339886</v>
          </cell>
        </row>
        <row r="64">
          <cell r="D64">
            <v>2204509</v>
          </cell>
          <cell r="E64">
            <v>2038863</v>
          </cell>
          <cell r="F64">
            <v>2157563</v>
          </cell>
          <cell r="G64">
            <v>2156380</v>
          </cell>
          <cell r="H64">
            <v>2130504</v>
          </cell>
          <cell r="I64">
            <v>2258570</v>
          </cell>
          <cell r="J64">
            <v>2648368</v>
          </cell>
          <cell r="K64">
            <v>2999279</v>
          </cell>
          <cell r="L64">
            <v>3010485</v>
          </cell>
          <cell r="M64">
            <v>2720439</v>
          </cell>
          <cell r="N64">
            <v>3088107</v>
          </cell>
          <cell r="O64">
            <v>2498325</v>
          </cell>
        </row>
        <row r="65">
          <cell r="D65">
            <v>8781465</v>
          </cell>
          <cell r="E65">
            <v>6443309</v>
          </cell>
          <cell r="F65">
            <v>7330871</v>
          </cell>
          <cell r="G65">
            <v>7501949</v>
          </cell>
          <cell r="H65">
            <v>7640141</v>
          </cell>
          <cell r="I65">
            <v>10573217</v>
          </cell>
          <cell r="J65">
            <v>8974218</v>
          </cell>
          <cell r="K65">
            <v>8967800</v>
          </cell>
          <cell r="L65">
            <v>8536920</v>
          </cell>
          <cell r="M65">
            <v>9540319</v>
          </cell>
          <cell r="N65">
            <v>10201730</v>
          </cell>
          <cell r="O65">
            <v>11440343</v>
          </cell>
        </row>
        <row r="66">
          <cell r="D66">
            <v>12027706</v>
          </cell>
          <cell r="E66">
            <v>11896559</v>
          </cell>
          <cell r="F66">
            <v>11457302</v>
          </cell>
          <cell r="G66">
            <v>11154914</v>
          </cell>
          <cell r="H66">
            <v>12479083</v>
          </cell>
          <cell r="I66">
            <v>14697358</v>
          </cell>
          <cell r="J66">
            <v>14085122</v>
          </cell>
          <cell r="K66">
            <v>13381013</v>
          </cell>
          <cell r="L66">
            <v>13602284</v>
          </cell>
          <cell r="M66">
            <v>12447548</v>
          </cell>
          <cell r="N66">
            <v>13432125</v>
          </cell>
          <cell r="O66">
            <v>14063371</v>
          </cell>
        </row>
        <row r="67">
          <cell r="D67">
            <v>1361316</v>
          </cell>
          <cell r="E67">
            <v>951032</v>
          </cell>
          <cell r="F67">
            <v>803550</v>
          </cell>
          <cell r="G67">
            <v>886830</v>
          </cell>
          <cell r="H67">
            <v>540747</v>
          </cell>
          <cell r="I67">
            <v>503294</v>
          </cell>
          <cell r="J67">
            <v>517728</v>
          </cell>
          <cell r="K67">
            <v>793179</v>
          </cell>
          <cell r="L67">
            <v>883976</v>
          </cell>
          <cell r="M67">
            <v>945317</v>
          </cell>
          <cell r="N67">
            <v>1362150</v>
          </cell>
          <cell r="O67">
            <v>1972912</v>
          </cell>
        </row>
        <row r="70">
          <cell r="D70" t="str">
            <v>一月</v>
          </cell>
          <cell r="E70" t="str">
            <v>二月</v>
          </cell>
          <cell r="F70" t="str">
            <v>三月</v>
          </cell>
          <cell r="G70" t="str">
            <v>四月</v>
          </cell>
          <cell r="H70" t="str">
            <v>五月</v>
          </cell>
          <cell r="I70" t="str">
            <v>六月</v>
          </cell>
          <cell r="J70" t="str">
            <v>七月</v>
          </cell>
          <cell r="K70" t="str">
            <v>八月</v>
          </cell>
          <cell r="L70" t="str">
            <v>九月</v>
          </cell>
          <cell r="M70" t="str">
            <v>十月</v>
          </cell>
          <cell r="N70" t="str">
            <v>十一月</v>
          </cell>
          <cell r="O70" t="str">
            <v>十二月</v>
          </cell>
        </row>
        <row r="97">
          <cell r="D97" t="str">
            <v>一月</v>
          </cell>
          <cell r="E97" t="str">
            <v>二月</v>
          </cell>
          <cell r="F97" t="str">
            <v>三月</v>
          </cell>
          <cell r="G97" t="str">
            <v>四月</v>
          </cell>
          <cell r="H97" t="str">
            <v>五月</v>
          </cell>
          <cell r="I97" t="str">
            <v>六月</v>
          </cell>
          <cell r="J97" t="str">
            <v>七月</v>
          </cell>
          <cell r="K97" t="str">
            <v>八月</v>
          </cell>
          <cell r="L97" t="str">
            <v>九月</v>
          </cell>
          <cell r="M97" t="str">
            <v>十月</v>
          </cell>
          <cell r="N97" t="str">
            <v>十一月</v>
          </cell>
          <cell r="O97" t="str">
            <v>十二月</v>
          </cell>
        </row>
        <row r="98">
          <cell r="D98">
            <v>97.866</v>
          </cell>
          <cell r="E98">
            <v>97.644999999999996</v>
          </cell>
          <cell r="F98">
            <v>97.561999999999998</v>
          </cell>
          <cell r="G98">
            <v>96.637</v>
          </cell>
          <cell r="H98">
            <v>97.980999999999995</v>
          </cell>
          <cell r="I98">
            <v>98.009</v>
          </cell>
          <cell r="J98">
            <v>97.676000000000002</v>
          </cell>
          <cell r="K98">
            <v>97.525000000000006</v>
          </cell>
          <cell r="L98">
            <v>97.861000000000004</v>
          </cell>
          <cell r="M98">
            <v>97.933999999999997</v>
          </cell>
          <cell r="N98">
            <v>97.6</v>
          </cell>
          <cell r="O98">
            <v>96.6</v>
          </cell>
        </row>
        <row r="99">
          <cell r="D99">
            <v>100</v>
          </cell>
          <cell r="E99">
            <v>100</v>
          </cell>
          <cell r="F99">
            <v>100</v>
          </cell>
          <cell r="G99">
            <v>99.804000000000002</v>
          </cell>
          <cell r="H99">
            <v>99.953999999999994</v>
          </cell>
          <cell r="I99">
            <v>93.811999999999998</v>
          </cell>
          <cell r="J99">
            <v>98.56</v>
          </cell>
          <cell r="K99">
            <v>96.608000000000004</v>
          </cell>
          <cell r="L99">
            <v>99.950999999999993</v>
          </cell>
          <cell r="M99">
            <v>98.465000000000003</v>
          </cell>
          <cell r="N99">
            <v>99.8</v>
          </cell>
          <cell r="O99">
            <v>98.9</v>
          </cell>
        </row>
        <row r="100">
          <cell r="D100">
            <v>76.923000000000002</v>
          </cell>
          <cell r="E100">
            <v>55.555999999999997</v>
          </cell>
          <cell r="F100">
            <v>59.441000000000003</v>
          </cell>
          <cell r="G100">
            <v>80.528000000000006</v>
          </cell>
          <cell r="H100">
            <v>74.876999999999995</v>
          </cell>
          <cell r="I100">
            <v>93.177000000000007</v>
          </cell>
          <cell r="J100">
            <v>90.757999999999996</v>
          </cell>
          <cell r="K100">
            <v>77.332999999999998</v>
          </cell>
          <cell r="L100">
            <v>72.881</v>
          </cell>
          <cell r="M100">
            <v>61.417000000000002</v>
          </cell>
          <cell r="N100">
            <v>61.4</v>
          </cell>
          <cell r="O100">
            <v>91.8</v>
          </cell>
        </row>
        <row r="101">
          <cell r="D101">
            <v>99.369</v>
          </cell>
          <cell r="E101">
            <v>99.378</v>
          </cell>
          <cell r="F101">
            <v>99.528000000000006</v>
          </cell>
          <cell r="G101">
            <v>98.608999999999995</v>
          </cell>
          <cell r="H101">
            <v>99.447999999999993</v>
          </cell>
          <cell r="I101">
            <v>99.512</v>
          </cell>
          <cell r="J101">
            <v>99.391000000000005</v>
          </cell>
          <cell r="K101">
            <v>99.215999999999994</v>
          </cell>
          <cell r="L101">
            <v>99.07</v>
          </cell>
          <cell r="M101">
            <v>99.049000000000007</v>
          </cell>
          <cell r="N101">
            <v>98.9</v>
          </cell>
          <cell r="O101">
            <v>99.4</v>
          </cell>
        </row>
        <row r="102"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</row>
        <row r="103">
          <cell r="D103">
            <v>99.421000000000006</v>
          </cell>
          <cell r="E103">
            <v>99.388999999999996</v>
          </cell>
          <cell r="F103">
            <v>99.641999999999996</v>
          </cell>
          <cell r="G103">
            <v>96.811999999999998</v>
          </cell>
          <cell r="H103">
            <v>97.784999999999997</v>
          </cell>
          <cell r="I103">
            <v>96.602999999999994</v>
          </cell>
          <cell r="J103">
            <v>94.832999999999998</v>
          </cell>
          <cell r="K103">
            <v>86.548000000000002</v>
          </cell>
          <cell r="L103">
            <v>88.494</v>
          </cell>
          <cell r="M103">
            <v>87.162999999999997</v>
          </cell>
          <cell r="N103">
            <v>91.6</v>
          </cell>
          <cell r="O103">
            <v>91.1</v>
          </cell>
        </row>
        <row r="104">
          <cell r="D104">
            <v>88.269000000000005</v>
          </cell>
          <cell r="E104">
            <v>87.998999999999995</v>
          </cell>
          <cell r="F104">
            <v>86.126000000000005</v>
          </cell>
          <cell r="G104">
            <v>82.35</v>
          </cell>
          <cell r="H104">
            <v>87.042000000000002</v>
          </cell>
          <cell r="I104">
            <v>85.9</v>
          </cell>
          <cell r="J104">
            <v>85.462999999999994</v>
          </cell>
          <cell r="K104">
            <v>85.03</v>
          </cell>
          <cell r="L104">
            <v>83.944000000000003</v>
          </cell>
          <cell r="M104">
            <v>83.847999999999999</v>
          </cell>
          <cell r="N104">
            <v>86.1</v>
          </cell>
          <cell r="O104">
            <v>86.2</v>
          </cell>
        </row>
        <row r="105">
          <cell r="D105">
            <v>97.811999999999998</v>
          </cell>
          <cell r="E105">
            <v>97.594999999999999</v>
          </cell>
          <cell r="F105">
            <v>97.466999999999999</v>
          </cell>
          <cell r="G105">
            <v>96.355000000000004</v>
          </cell>
          <cell r="H105">
            <v>97.725999999999999</v>
          </cell>
          <cell r="I105">
            <v>97.555999999999997</v>
          </cell>
          <cell r="J105">
            <v>97.314999999999998</v>
          </cell>
          <cell r="K105">
            <v>96.867999999999995</v>
          </cell>
          <cell r="L105">
            <v>97.168999999999997</v>
          </cell>
          <cell r="M105">
            <v>97.15</v>
          </cell>
          <cell r="N105">
            <v>97.1</v>
          </cell>
          <cell r="O105">
            <v>96.5</v>
          </cell>
        </row>
        <row r="106">
          <cell r="D106">
            <v>97.712999999999994</v>
          </cell>
          <cell r="E106">
            <v>97.936000000000007</v>
          </cell>
          <cell r="F106">
            <v>98.015000000000001</v>
          </cell>
          <cell r="G106">
            <v>97.853999999999999</v>
          </cell>
          <cell r="H106">
            <v>97.561999999999998</v>
          </cell>
          <cell r="I106">
            <v>97.647000000000006</v>
          </cell>
          <cell r="J106">
            <v>97.730999999999995</v>
          </cell>
          <cell r="K106">
            <v>97.28</v>
          </cell>
          <cell r="L106">
            <v>97.691000000000003</v>
          </cell>
          <cell r="M106">
            <v>97.700999999999993</v>
          </cell>
          <cell r="N106">
            <v>97.165000000000006</v>
          </cell>
          <cell r="O106">
            <v>95.3</v>
          </cell>
        </row>
        <row r="107">
          <cell r="D107">
            <v>96.995000000000005</v>
          </cell>
          <cell r="E107">
            <v>100</v>
          </cell>
          <cell r="F107">
            <v>100</v>
          </cell>
          <cell r="G107">
            <v>99.878</v>
          </cell>
          <cell r="H107">
            <v>99.528999999999996</v>
          </cell>
          <cell r="I107">
            <v>99.566000000000003</v>
          </cell>
          <cell r="J107">
            <v>99.682000000000002</v>
          </cell>
          <cell r="K107">
            <v>94.866</v>
          </cell>
          <cell r="L107">
            <v>99.763999999999996</v>
          </cell>
          <cell r="M107">
            <v>99.878</v>
          </cell>
          <cell r="N107">
            <v>99.7</v>
          </cell>
          <cell r="O107">
            <v>100</v>
          </cell>
        </row>
        <row r="108">
          <cell r="D108">
            <v>96.748999999999995</v>
          </cell>
          <cell r="E108">
            <v>99.003</v>
          </cell>
          <cell r="F108">
            <v>98.221000000000004</v>
          </cell>
          <cell r="G108">
            <v>98.373999999999995</v>
          </cell>
          <cell r="H108">
            <v>96.372</v>
          </cell>
          <cell r="I108">
            <v>98.209000000000003</v>
          </cell>
          <cell r="J108">
            <v>90.754999999999995</v>
          </cell>
          <cell r="K108">
            <v>96.704999999999998</v>
          </cell>
          <cell r="L108">
            <v>95.355999999999995</v>
          </cell>
          <cell r="M108">
            <v>97.372</v>
          </cell>
          <cell r="N108">
            <v>95.3</v>
          </cell>
          <cell r="O108">
            <v>96.7</v>
          </cell>
        </row>
        <row r="109">
          <cell r="D109">
            <v>96.114000000000004</v>
          </cell>
          <cell r="E109">
            <v>96.588999999999999</v>
          </cell>
          <cell r="F109">
            <v>97.075999999999993</v>
          </cell>
          <cell r="G109">
            <v>96.786000000000001</v>
          </cell>
          <cell r="H109">
            <v>96.034000000000006</v>
          </cell>
          <cell r="I109">
            <v>98.287000000000006</v>
          </cell>
          <cell r="J109">
            <v>96.537000000000006</v>
          </cell>
          <cell r="K109">
            <v>97.085999999999999</v>
          </cell>
          <cell r="L109">
            <v>97.884</v>
          </cell>
          <cell r="M109">
            <v>97.754000000000005</v>
          </cell>
          <cell r="N109">
            <v>97.6</v>
          </cell>
          <cell r="O109">
            <v>97.2</v>
          </cell>
        </row>
        <row r="110">
          <cell r="D110">
            <v>93.153999999999996</v>
          </cell>
          <cell r="E110">
            <v>97.591999999999999</v>
          </cell>
          <cell r="F110">
            <v>99.647999999999996</v>
          </cell>
          <cell r="G110">
            <v>99.064999999999998</v>
          </cell>
          <cell r="H110">
            <v>97.49</v>
          </cell>
          <cell r="I110">
            <v>96.075999999999993</v>
          </cell>
          <cell r="J110">
            <v>89.442999999999998</v>
          </cell>
          <cell r="K110">
            <v>91.349000000000004</v>
          </cell>
          <cell r="L110">
            <v>92.052000000000007</v>
          </cell>
          <cell r="M110">
            <v>79.290000000000006</v>
          </cell>
          <cell r="N110">
            <v>83.5</v>
          </cell>
          <cell r="O110">
            <v>79</v>
          </cell>
        </row>
        <row r="111">
          <cell r="D111">
            <v>11.111000000000001</v>
          </cell>
          <cell r="E111">
            <v>25</v>
          </cell>
          <cell r="F111">
            <v>40</v>
          </cell>
          <cell r="G111">
            <v>100</v>
          </cell>
          <cell r="H111">
            <v>75</v>
          </cell>
          <cell r="I111">
            <v>63.636000000000003</v>
          </cell>
          <cell r="J111">
            <v>70</v>
          </cell>
          <cell r="K111">
            <v>57.143000000000001</v>
          </cell>
          <cell r="L111">
            <v>66.667000000000002</v>
          </cell>
          <cell r="M111">
            <v>27.273</v>
          </cell>
          <cell r="N111">
            <v>0</v>
          </cell>
          <cell r="O111">
            <v>33.299999999999997</v>
          </cell>
        </row>
        <row r="112">
          <cell r="D112">
            <v>96.358999999999995</v>
          </cell>
          <cell r="E112">
            <v>97.22</v>
          </cell>
          <cell r="F112">
            <v>97.93</v>
          </cell>
          <cell r="G112">
            <v>97.757000000000005</v>
          </cell>
          <cell r="H112">
            <v>97.319000000000003</v>
          </cell>
          <cell r="I112">
            <v>97.456999999999994</v>
          </cell>
          <cell r="J112">
            <v>96.412000000000006</v>
          </cell>
          <cell r="K112">
            <v>96.146000000000001</v>
          </cell>
          <cell r="L112">
            <v>97.123999999999995</v>
          </cell>
          <cell r="M112">
            <v>96.54</v>
          </cell>
          <cell r="N112">
            <v>95.6</v>
          </cell>
          <cell r="O112">
            <v>95.4</v>
          </cell>
        </row>
        <row r="113">
          <cell r="D113">
            <v>95.680999999999997</v>
          </cell>
          <cell r="E113">
            <v>94.558000000000007</v>
          </cell>
          <cell r="F113">
            <v>93.355000000000004</v>
          </cell>
          <cell r="G113">
            <v>93.688000000000002</v>
          </cell>
          <cell r="H113">
            <v>94.701999999999998</v>
          </cell>
          <cell r="I113">
            <v>86.914000000000001</v>
          </cell>
          <cell r="J113">
            <v>87.930999999999997</v>
          </cell>
          <cell r="K113">
            <v>88.034000000000006</v>
          </cell>
          <cell r="L113">
            <v>91.227999999999994</v>
          </cell>
          <cell r="M113">
            <v>87.114999999999995</v>
          </cell>
          <cell r="N113">
            <v>87.9</v>
          </cell>
          <cell r="O113">
            <v>87.1</v>
          </cell>
        </row>
        <row r="114">
          <cell r="D114">
            <v>100</v>
          </cell>
          <cell r="E114">
            <v>99.123000000000005</v>
          </cell>
          <cell r="F114">
            <v>100</v>
          </cell>
          <cell r="G114">
            <v>100</v>
          </cell>
          <cell r="H114">
            <v>92.784000000000006</v>
          </cell>
          <cell r="I114">
            <v>85.314999999999998</v>
          </cell>
          <cell r="J114">
            <v>93.269000000000005</v>
          </cell>
          <cell r="K114">
            <v>93.793000000000006</v>
          </cell>
          <cell r="L114">
            <v>92.135000000000005</v>
          </cell>
          <cell r="M114">
            <v>100</v>
          </cell>
          <cell r="N114">
            <v>96.5</v>
          </cell>
          <cell r="O114">
            <v>94.4</v>
          </cell>
        </row>
        <row r="115"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</row>
        <row r="116"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</row>
        <row r="117">
          <cell r="D117">
            <v>94.444000000000003</v>
          </cell>
          <cell r="E117">
            <v>100</v>
          </cell>
          <cell r="F117">
            <v>100</v>
          </cell>
          <cell r="G117">
            <v>93.75</v>
          </cell>
          <cell r="H117">
            <v>94.736999999999995</v>
          </cell>
          <cell r="I117">
            <v>82.5</v>
          </cell>
          <cell r="J117">
            <v>75</v>
          </cell>
          <cell r="K117">
            <v>87.096999999999994</v>
          </cell>
          <cell r="L117">
            <v>85</v>
          </cell>
          <cell r="M117">
            <v>78.049000000000007</v>
          </cell>
          <cell r="N117">
            <v>56.2</v>
          </cell>
          <cell r="O117">
            <v>88.8</v>
          </cell>
        </row>
        <row r="118">
          <cell r="D118">
            <v>96.822000000000003</v>
          </cell>
          <cell r="E118">
            <v>96.009</v>
          </cell>
          <cell r="F118">
            <v>95.525999999999996</v>
          </cell>
          <cell r="G118">
            <v>95.191999999999993</v>
          </cell>
          <cell r="H118">
            <v>94.278999999999996</v>
          </cell>
          <cell r="I118">
            <v>86.224000000000004</v>
          </cell>
          <cell r="J118">
            <v>88.263000000000005</v>
          </cell>
          <cell r="K118">
            <v>89.563999999999993</v>
          </cell>
          <cell r="L118">
            <v>90.87</v>
          </cell>
          <cell r="M118">
            <v>89.463999999999999</v>
          </cell>
          <cell r="N118">
            <v>87.3</v>
          </cell>
          <cell r="O118">
            <v>88.8</v>
          </cell>
        </row>
        <row r="121">
          <cell r="D121" t="str">
            <v>一月</v>
          </cell>
          <cell r="E121" t="str">
            <v>二月</v>
          </cell>
          <cell r="F121" t="str">
            <v>三月</v>
          </cell>
          <cell r="G121" t="str">
            <v>四月</v>
          </cell>
          <cell r="H121" t="str">
            <v>五月</v>
          </cell>
          <cell r="I121" t="str">
            <v>六月</v>
          </cell>
          <cell r="J121" t="str">
            <v>七月</v>
          </cell>
          <cell r="K121" t="str">
            <v>八月</v>
          </cell>
          <cell r="L121" t="str">
            <v>九月</v>
          </cell>
          <cell r="M121" t="str">
            <v>十月</v>
          </cell>
          <cell r="N121" t="str">
            <v>十一月</v>
          </cell>
          <cell r="O121" t="str">
            <v>十二月</v>
          </cell>
        </row>
        <row r="122">
          <cell r="D122">
            <v>97.61</v>
          </cell>
          <cell r="E122">
            <v>97.99</v>
          </cell>
          <cell r="F122">
            <v>98.418999999999997</v>
          </cell>
          <cell r="G122">
            <v>97.561999999999998</v>
          </cell>
          <cell r="H122">
            <v>97.911000000000001</v>
          </cell>
          <cell r="I122">
            <v>98.274000000000001</v>
          </cell>
          <cell r="J122">
            <v>97.572999999999993</v>
          </cell>
          <cell r="K122">
            <v>97.073999999999998</v>
          </cell>
          <cell r="L122">
            <v>98.289000000000001</v>
          </cell>
          <cell r="M122">
            <v>98.12</v>
          </cell>
          <cell r="N122">
            <v>97.3</v>
          </cell>
          <cell r="O122">
            <v>95.2</v>
          </cell>
        </row>
        <row r="123">
          <cell r="D123">
            <v>98.251000000000005</v>
          </cell>
          <cell r="E123">
            <v>97.727000000000004</v>
          </cell>
          <cell r="F123">
            <v>97.474000000000004</v>
          </cell>
          <cell r="G123">
            <v>96.399000000000001</v>
          </cell>
          <cell r="H123">
            <v>98.441999999999993</v>
          </cell>
          <cell r="I123">
            <v>98.191000000000003</v>
          </cell>
          <cell r="J123">
            <v>98.028999999999996</v>
          </cell>
          <cell r="K123">
            <v>98.206000000000003</v>
          </cell>
          <cell r="L123">
            <v>97.867000000000004</v>
          </cell>
          <cell r="M123">
            <v>98.058999999999997</v>
          </cell>
          <cell r="N123">
            <v>98.2</v>
          </cell>
          <cell r="O123">
            <v>97.8</v>
          </cell>
        </row>
        <row r="124">
          <cell r="D124">
            <v>99.302000000000007</v>
          </cell>
          <cell r="E124">
            <v>98.933000000000007</v>
          </cell>
          <cell r="F124">
            <v>97.789000000000001</v>
          </cell>
          <cell r="G124">
            <v>97.171999999999997</v>
          </cell>
          <cell r="H124">
            <v>99.137</v>
          </cell>
          <cell r="I124">
            <v>99.515000000000001</v>
          </cell>
          <cell r="J124">
            <v>99.483000000000004</v>
          </cell>
          <cell r="K124">
            <v>99.525999999999996</v>
          </cell>
          <cell r="L124">
            <v>99.64</v>
          </cell>
          <cell r="M124">
            <v>99.68</v>
          </cell>
          <cell r="N124">
            <v>99</v>
          </cell>
          <cell r="O124">
            <v>98.8</v>
          </cell>
        </row>
        <row r="125">
          <cell r="D125">
            <v>98.105999999999995</v>
          </cell>
          <cell r="E125">
            <v>97.93</v>
          </cell>
          <cell r="F125">
            <v>97.867000000000004</v>
          </cell>
          <cell r="G125">
            <v>96.918000000000006</v>
          </cell>
          <cell r="H125">
            <v>98.305000000000007</v>
          </cell>
          <cell r="I125">
            <v>98.343000000000004</v>
          </cell>
          <cell r="J125">
            <v>97.99</v>
          </cell>
          <cell r="K125">
            <v>97.894000000000005</v>
          </cell>
          <cell r="L125">
            <v>98.185000000000002</v>
          </cell>
          <cell r="M125">
            <v>98.233000000000004</v>
          </cell>
          <cell r="N125">
            <v>97.9</v>
          </cell>
          <cell r="O125">
            <v>96.9</v>
          </cell>
        </row>
        <row r="126">
          <cell r="D126">
            <v>100</v>
          </cell>
          <cell r="E126">
            <v>100</v>
          </cell>
          <cell r="F126">
            <v>100</v>
          </cell>
          <cell r="G126">
            <v>99.804000000000002</v>
          </cell>
          <cell r="H126">
            <v>99.953999999999994</v>
          </cell>
          <cell r="I126">
            <v>93.811999999999998</v>
          </cell>
          <cell r="J126">
            <v>98.56</v>
          </cell>
          <cell r="K126">
            <v>96.608000000000004</v>
          </cell>
          <cell r="L126">
            <v>99.968000000000004</v>
          </cell>
          <cell r="M126">
            <v>98.465000000000003</v>
          </cell>
          <cell r="N126">
            <v>99.8</v>
          </cell>
          <cell r="O126">
            <v>98.9</v>
          </cell>
        </row>
        <row r="127">
          <cell r="D127">
            <v>44.444000000000003</v>
          </cell>
          <cell r="E127">
            <v>49.219000000000001</v>
          </cell>
          <cell r="F127">
            <v>54.866999999999997</v>
          </cell>
          <cell r="G127">
            <v>45</v>
          </cell>
          <cell r="H127">
            <v>70.552000000000007</v>
          </cell>
          <cell r="I127">
            <v>94.04</v>
          </cell>
          <cell r="J127">
            <v>91.442999999999998</v>
          </cell>
          <cell r="K127">
            <v>78.519000000000005</v>
          </cell>
          <cell r="L127">
            <v>66.667000000000002</v>
          </cell>
          <cell r="M127">
            <v>60.683999999999997</v>
          </cell>
          <cell r="N127">
            <v>49.3</v>
          </cell>
          <cell r="O127">
            <v>90.7</v>
          </cell>
        </row>
        <row r="128">
          <cell r="D128">
            <v>99.408000000000001</v>
          </cell>
          <cell r="E128">
            <v>99.415000000000006</v>
          </cell>
          <cell r="F128">
            <v>99.549000000000007</v>
          </cell>
          <cell r="G128">
            <v>98.643000000000001</v>
          </cell>
          <cell r="H128">
            <v>99.475999999999999</v>
          </cell>
          <cell r="I128">
            <v>99.543999999999997</v>
          </cell>
          <cell r="J128">
            <v>99.423000000000002</v>
          </cell>
          <cell r="K128">
            <v>99.242000000000004</v>
          </cell>
          <cell r="L128">
            <v>99.103999999999999</v>
          </cell>
          <cell r="M128">
            <v>99.072000000000003</v>
          </cell>
          <cell r="N128">
            <v>98.9</v>
          </cell>
          <cell r="O128">
            <v>99.4</v>
          </cell>
        </row>
        <row r="129"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</row>
        <row r="130">
          <cell r="D130">
            <v>99.430999999999997</v>
          </cell>
          <cell r="E130">
            <v>99.403000000000006</v>
          </cell>
          <cell r="F130">
            <v>99.715000000000003</v>
          </cell>
          <cell r="G130">
            <v>98.302999999999997</v>
          </cell>
          <cell r="H130">
            <v>97.835999999999999</v>
          </cell>
          <cell r="I130">
            <v>96.683000000000007</v>
          </cell>
          <cell r="J130">
            <v>94.866</v>
          </cell>
          <cell r="K130">
            <v>86.751000000000005</v>
          </cell>
          <cell r="L130">
            <v>88.596000000000004</v>
          </cell>
          <cell r="M130">
            <v>87.216999999999999</v>
          </cell>
          <cell r="N130">
            <v>91.7</v>
          </cell>
          <cell r="O130">
            <v>91.1</v>
          </cell>
        </row>
        <row r="131">
          <cell r="D131">
            <v>98.786000000000001</v>
          </cell>
          <cell r="E131">
            <v>98.728999999999999</v>
          </cell>
          <cell r="F131">
            <v>98.956000000000003</v>
          </cell>
          <cell r="G131">
            <v>98.739000000000004</v>
          </cell>
          <cell r="H131">
            <v>98.405000000000001</v>
          </cell>
          <cell r="I131">
            <v>98.367999999999995</v>
          </cell>
          <cell r="J131">
            <v>98.489000000000004</v>
          </cell>
          <cell r="K131">
            <v>98.063999999999993</v>
          </cell>
          <cell r="L131">
            <v>98.442999999999998</v>
          </cell>
          <cell r="M131">
            <v>98.454999999999998</v>
          </cell>
          <cell r="N131">
            <v>97.819000000000003</v>
          </cell>
          <cell r="O131">
            <v>96.1</v>
          </cell>
        </row>
        <row r="132">
          <cell r="D132">
            <v>96.995000000000005</v>
          </cell>
          <cell r="E132">
            <v>100</v>
          </cell>
          <cell r="F132">
            <v>100</v>
          </cell>
          <cell r="G132">
            <v>100</v>
          </cell>
          <cell r="H132">
            <v>99.528999999999996</v>
          </cell>
          <cell r="I132">
            <v>99.566000000000003</v>
          </cell>
          <cell r="J132">
            <v>99.682000000000002</v>
          </cell>
          <cell r="K132">
            <v>94.866</v>
          </cell>
          <cell r="L132">
            <v>99.763000000000005</v>
          </cell>
          <cell r="M132">
            <v>99.878</v>
          </cell>
          <cell r="N132">
            <v>99.7</v>
          </cell>
          <cell r="O132">
            <v>100</v>
          </cell>
        </row>
        <row r="133">
          <cell r="D133">
            <v>96.744</v>
          </cell>
          <cell r="E133">
            <v>99.491</v>
          </cell>
          <cell r="F133">
            <v>98.316999999999993</v>
          </cell>
          <cell r="G133">
            <v>98.314999999999998</v>
          </cell>
          <cell r="H133">
            <v>96.756</v>
          </cell>
          <cell r="I133">
            <v>98.789000000000001</v>
          </cell>
          <cell r="J133">
            <v>91.209000000000003</v>
          </cell>
          <cell r="K133">
            <v>97.638999999999996</v>
          </cell>
          <cell r="L133">
            <v>95.724999999999994</v>
          </cell>
          <cell r="M133">
            <v>97.573999999999998</v>
          </cell>
          <cell r="N133">
            <v>95.2</v>
          </cell>
          <cell r="O133">
            <v>97.3</v>
          </cell>
        </row>
        <row r="134">
          <cell r="D134">
            <v>96.391000000000005</v>
          </cell>
          <cell r="E134">
            <v>96.963999999999999</v>
          </cell>
          <cell r="F134">
            <v>97.596000000000004</v>
          </cell>
          <cell r="G134">
            <v>97.043999999999997</v>
          </cell>
          <cell r="H134">
            <v>96.46</v>
          </cell>
          <cell r="I134">
            <v>98.63</v>
          </cell>
          <cell r="J134">
            <v>96.760999999999996</v>
          </cell>
          <cell r="K134">
            <v>97.367000000000004</v>
          </cell>
          <cell r="L134">
            <v>98.174000000000007</v>
          </cell>
          <cell r="M134">
            <v>98.088999999999999</v>
          </cell>
          <cell r="N134">
            <v>97.8</v>
          </cell>
          <cell r="O134">
            <v>97.4</v>
          </cell>
        </row>
        <row r="135">
          <cell r="D135">
            <v>93.363</v>
          </cell>
          <cell r="E135">
            <v>97.591999999999999</v>
          </cell>
          <cell r="F135">
            <v>99.765000000000001</v>
          </cell>
          <cell r="G135">
            <v>99.197000000000003</v>
          </cell>
          <cell r="H135">
            <v>97.49</v>
          </cell>
          <cell r="I135">
            <v>96.072000000000003</v>
          </cell>
          <cell r="J135">
            <v>89.650999999999996</v>
          </cell>
          <cell r="K135">
            <v>91.454999999999998</v>
          </cell>
          <cell r="L135">
            <v>92.143000000000001</v>
          </cell>
          <cell r="M135">
            <v>79.265000000000001</v>
          </cell>
          <cell r="N135">
            <v>84.5</v>
          </cell>
          <cell r="O135">
            <v>79.099999999999994</v>
          </cell>
        </row>
        <row r="136">
          <cell r="D136">
            <v>25</v>
          </cell>
          <cell r="E136">
            <v>100</v>
          </cell>
          <cell r="F136">
            <v>100</v>
          </cell>
          <cell r="G136">
            <v>0</v>
          </cell>
          <cell r="H136">
            <v>100</v>
          </cell>
          <cell r="I136">
            <v>100</v>
          </cell>
          <cell r="J136">
            <v>85.713999999999999</v>
          </cell>
          <cell r="K136">
            <v>100</v>
          </cell>
          <cell r="L136">
            <v>100</v>
          </cell>
          <cell r="M136">
            <v>60</v>
          </cell>
          <cell r="N136">
            <v>0</v>
          </cell>
          <cell r="O136">
            <v>100</v>
          </cell>
        </row>
        <row r="137">
          <cell r="D137">
            <v>95.486000000000004</v>
          </cell>
          <cell r="E137">
            <v>94.754999999999995</v>
          </cell>
          <cell r="F137">
            <v>93.126999999999995</v>
          </cell>
          <cell r="G137">
            <v>93.617000000000004</v>
          </cell>
          <cell r="H137">
            <v>95.423000000000002</v>
          </cell>
          <cell r="I137">
            <v>87.567999999999998</v>
          </cell>
          <cell r="J137">
            <v>87.813999999999993</v>
          </cell>
          <cell r="K137">
            <v>87.613</v>
          </cell>
          <cell r="L137">
            <v>91.131</v>
          </cell>
          <cell r="M137">
            <v>87.39</v>
          </cell>
          <cell r="N137">
            <v>88.1</v>
          </cell>
          <cell r="O137">
            <v>87</v>
          </cell>
        </row>
        <row r="138">
          <cell r="D138">
            <v>100</v>
          </cell>
          <cell r="E138">
            <v>99.123000000000005</v>
          </cell>
          <cell r="F138">
            <v>100</v>
          </cell>
          <cell r="G138">
            <v>100</v>
          </cell>
          <cell r="H138">
            <v>92.632000000000005</v>
          </cell>
          <cell r="I138">
            <v>85.314999999999998</v>
          </cell>
          <cell r="J138">
            <v>93.269000000000005</v>
          </cell>
          <cell r="K138">
            <v>93.793000000000006</v>
          </cell>
          <cell r="L138">
            <v>92.135000000000005</v>
          </cell>
          <cell r="M138">
            <v>100</v>
          </cell>
          <cell r="N138">
            <v>96.5</v>
          </cell>
          <cell r="O138">
            <v>94.4</v>
          </cell>
        </row>
        <row r="139"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</row>
        <row r="140"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</row>
        <row r="141">
          <cell r="D141">
            <v>94.286000000000001</v>
          </cell>
          <cell r="E141">
            <v>100</v>
          </cell>
          <cell r="F141">
            <v>100</v>
          </cell>
          <cell r="G141">
            <v>87.5</v>
          </cell>
          <cell r="H141">
            <v>94.117999999999995</v>
          </cell>
          <cell r="I141">
            <v>80.555999999999997</v>
          </cell>
          <cell r="J141">
            <v>75</v>
          </cell>
          <cell r="K141">
            <v>88.888999999999996</v>
          </cell>
          <cell r="L141">
            <v>82.759</v>
          </cell>
          <cell r="M141">
            <v>75.676000000000002</v>
          </cell>
          <cell r="N141">
            <v>51.7</v>
          </cell>
          <cell r="O141">
            <v>88.8</v>
          </cell>
        </row>
        <row r="144">
          <cell r="D144" t="str">
            <v>一月</v>
          </cell>
          <cell r="E144" t="str">
            <v>二月</v>
          </cell>
          <cell r="F144" t="str">
            <v>三月</v>
          </cell>
          <cell r="G144" t="str">
            <v>四月</v>
          </cell>
          <cell r="H144" t="str">
            <v>五月</v>
          </cell>
          <cell r="I144" t="str">
            <v>六月</v>
          </cell>
          <cell r="J144" t="str">
            <v>七月</v>
          </cell>
          <cell r="K144" t="str">
            <v>八月</v>
          </cell>
          <cell r="L144" t="str">
            <v>九月</v>
          </cell>
          <cell r="M144" t="str">
            <v>十月</v>
          </cell>
          <cell r="N144" t="str">
            <v>十一月</v>
          </cell>
          <cell r="O144" t="str">
            <v>十二月</v>
          </cell>
        </row>
        <row r="145">
          <cell r="D145">
            <v>4777</v>
          </cell>
          <cell r="E145">
            <v>5167</v>
          </cell>
          <cell r="F145">
            <v>6231</v>
          </cell>
          <cell r="G145">
            <v>7090</v>
          </cell>
          <cell r="H145">
            <v>4408</v>
          </cell>
          <cell r="I145">
            <v>4909</v>
          </cell>
          <cell r="J145">
            <v>5710</v>
          </cell>
          <cell r="K145">
            <v>6243</v>
          </cell>
          <cell r="L145">
            <v>4875</v>
          </cell>
          <cell r="M145">
            <v>4628</v>
          </cell>
          <cell r="N145">
            <v>5516</v>
          </cell>
          <cell r="O145">
            <v>8183</v>
          </cell>
        </row>
        <row r="146">
          <cell r="D146">
            <v>0</v>
          </cell>
          <cell r="E146">
            <v>0</v>
          </cell>
          <cell r="F146">
            <v>0</v>
          </cell>
          <cell r="G146">
            <v>11</v>
          </cell>
          <cell r="H146">
            <v>3</v>
          </cell>
          <cell r="I146">
            <v>421</v>
          </cell>
          <cell r="J146">
            <v>100</v>
          </cell>
          <cell r="K146">
            <v>248</v>
          </cell>
          <cell r="L146">
            <v>3</v>
          </cell>
          <cell r="M146">
            <v>98</v>
          </cell>
          <cell r="N146">
            <v>7</v>
          </cell>
          <cell r="O146">
            <v>80</v>
          </cell>
        </row>
        <row r="147">
          <cell r="D147">
            <v>84</v>
          </cell>
          <cell r="E147">
            <v>80</v>
          </cell>
          <cell r="F147">
            <v>58</v>
          </cell>
          <cell r="G147">
            <v>59</v>
          </cell>
          <cell r="H147">
            <v>51</v>
          </cell>
          <cell r="I147">
            <v>32</v>
          </cell>
          <cell r="J147">
            <v>39</v>
          </cell>
          <cell r="K147">
            <v>34</v>
          </cell>
          <cell r="L147">
            <v>64</v>
          </cell>
          <cell r="M147">
            <v>49</v>
          </cell>
          <cell r="N147">
            <v>89</v>
          </cell>
          <cell r="O147">
            <v>58</v>
          </cell>
        </row>
        <row r="148">
          <cell r="D148">
            <v>318</v>
          </cell>
          <cell r="E148">
            <v>254</v>
          </cell>
          <cell r="F148">
            <v>234</v>
          </cell>
          <cell r="G148">
            <v>574</v>
          </cell>
          <cell r="H148">
            <v>251</v>
          </cell>
          <cell r="I148">
            <v>241</v>
          </cell>
          <cell r="J148">
            <v>309</v>
          </cell>
          <cell r="K148">
            <v>395</v>
          </cell>
          <cell r="L148">
            <v>437</v>
          </cell>
          <cell r="M148">
            <v>448</v>
          </cell>
          <cell r="N148">
            <v>527</v>
          </cell>
          <cell r="O148">
            <v>308</v>
          </cell>
        </row>
        <row r="149"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</row>
        <row r="150">
          <cell r="D150">
            <v>53</v>
          </cell>
          <cell r="E150">
            <v>43</v>
          </cell>
          <cell r="F150">
            <v>33</v>
          </cell>
          <cell r="G150">
            <v>243</v>
          </cell>
          <cell r="H150">
            <v>196</v>
          </cell>
          <cell r="I150">
            <v>322</v>
          </cell>
          <cell r="J150">
            <v>492</v>
          </cell>
          <cell r="K150">
            <v>1258</v>
          </cell>
          <cell r="L150">
            <v>975</v>
          </cell>
          <cell r="M150">
            <v>1118</v>
          </cell>
          <cell r="N150">
            <v>745</v>
          </cell>
          <cell r="O150">
            <v>889</v>
          </cell>
        </row>
        <row r="151">
          <cell r="D151">
            <v>1388</v>
          </cell>
          <cell r="E151">
            <v>1275</v>
          </cell>
          <cell r="F151">
            <v>1971</v>
          </cell>
          <cell r="G151">
            <v>2150</v>
          </cell>
          <cell r="H151">
            <v>1752</v>
          </cell>
          <cell r="I151">
            <v>2081</v>
          </cell>
          <cell r="J151">
            <v>2159</v>
          </cell>
          <cell r="K151">
            <v>2312</v>
          </cell>
          <cell r="L151">
            <v>2248</v>
          </cell>
          <cell r="M151">
            <v>2208</v>
          </cell>
          <cell r="N151">
            <v>2041</v>
          </cell>
          <cell r="O151">
            <v>2115</v>
          </cell>
        </row>
        <row r="152">
          <cell r="D152">
            <v>6620</v>
          </cell>
          <cell r="E152">
            <v>6819</v>
          </cell>
          <cell r="F152">
            <v>8527</v>
          </cell>
          <cell r="G152">
            <v>10127</v>
          </cell>
          <cell r="H152">
            <v>6661</v>
          </cell>
          <cell r="I152">
            <v>8006</v>
          </cell>
          <cell r="J152">
            <v>8809</v>
          </cell>
          <cell r="K152">
            <v>10490</v>
          </cell>
          <cell r="L152">
            <v>8602</v>
          </cell>
          <cell r="M152">
            <v>8549</v>
          </cell>
          <cell r="N152">
            <v>8925</v>
          </cell>
          <cell r="O152">
            <v>11633</v>
          </cell>
        </row>
        <row r="153">
          <cell r="D153">
            <v>715</v>
          </cell>
          <cell r="E153">
            <v>589</v>
          </cell>
          <cell r="F153">
            <v>701</v>
          </cell>
          <cell r="G153">
            <v>623</v>
          </cell>
          <cell r="H153">
            <v>706</v>
          </cell>
          <cell r="I153">
            <v>819</v>
          </cell>
          <cell r="J153">
            <v>738</v>
          </cell>
          <cell r="K153">
            <v>889</v>
          </cell>
          <cell r="L153">
            <v>724</v>
          </cell>
          <cell r="M153">
            <v>720</v>
          </cell>
          <cell r="N153">
            <v>934</v>
          </cell>
          <cell r="O153">
            <v>1582</v>
          </cell>
        </row>
        <row r="154">
          <cell r="D154">
            <v>29</v>
          </cell>
          <cell r="E154">
            <v>0</v>
          </cell>
          <cell r="F154">
            <v>0</v>
          </cell>
          <cell r="G154">
            <v>1</v>
          </cell>
          <cell r="H154">
            <v>4</v>
          </cell>
          <cell r="I154">
            <v>4</v>
          </cell>
          <cell r="J154">
            <v>3</v>
          </cell>
          <cell r="K154">
            <v>48</v>
          </cell>
          <cell r="L154">
            <v>2</v>
          </cell>
          <cell r="M154">
            <v>1</v>
          </cell>
          <cell r="N154">
            <v>2</v>
          </cell>
          <cell r="O154">
            <v>0</v>
          </cell>
        </row>
        <row r="155">
          <cell r="D155">
            <v>21</v>
          </cell>
          <cell r="E155">
            <v>6</v>
          </cell>
          <cell r="F155">
            <v>15</v>
          </cell>
          <cell r="G155">
            <v>12</v>
          </cell>
          <cell r="H155">
            <v>32</v>
          </cell>
          <cell r="I155">
            <v>18</v>
          </cell>
          <cell r="J155">
            <v>60</v>
          </cell>
          <cell r="K155">
            <v>20</v>
          </cell>
          <cell r="L155">
            <v>45</v>
          </cell>
          <cell r="M155">
            <v>20</v>
          </cell>
          <cell r="N155">
            <v>31</v>
          </cell>
          <cell r="O155">
            <v>15</v>
          </cell>
        </row>
        <row r="156">
          <cell r="D156">
            <v>284</v>
          </cell>
          <cell r="E156">
            <v>202</v>
          </cell>
          <cell r="F156">
            <v>224</v>
          </cell>
          <cell r="G156">
            <v>199</v>
          </cell>
          <cell r="H156">
            <v>250</v>
          </cell>
          <cell r="I156">
            <v>122</v>
          </cell>
          <cell r="J156">
            <v>248</v>
          </cell>
          <cell r="K156">
            <v>214</v>
          </cell>
          <cell r="L156">
            <v>145</v>
          </cell>
          <cell r="M156">
            <v>163</v>
          </cell>
          <cell r="N156">
            <v>185</v>
          </cell>
          <cell r="O156">
            <v>217</v>
          </cell>
        </row>
        <row r="157">
          <cell r="D157">
            <v>61</v>
          </cell>
          <cell r="E157">
            <v>17</v>
          </cell>
          <cell r="F157">
            <v>3</v>
          </cell>
          <cell r="G157">
            <v>7</v>
          </cell>
          <cell r="H157">
            <v>19</v>
          </cell>
          <cell r="I157">
            <v>37</v>
          </cell>
          <cell r="J157">
            <v>91</v>
          </cell>
          <cell r="K157">
            <v>75</v>
          </cell>
          <cell r="L157">
            <v>67</v>
          </cell>
          <cell r="M157">
            <v>175</v>
          </cell>
          <cell r="N157">
            <v>144</v>
          </cell>
          <cell r="O157">
            <v>188</v>
          </cell>
        </row>
        <row r="158">
          <cell r="D158">
            <v>8</v>
          </cell>
          <cell r="E158">
            <v>3</v>
          </cell>
          <cell r="F158">
            <v>3</v>
          </cell>
          <cell r="G158">
            <v>0</v>
          </cell>
          <cell r="H158">
            <v>1</v>
          </cell>
          <cell r="I158">
            <v>4</v>
          </cell>
          <cell r="J158">
            <v>3</v>
          </cell>
          <cell r="K158">
            <v>3</v>
          </cell>
          <cell r="L158">
            <v>1</v>
          </cell>
          <cell r="M158">
            <v>8</v>
          </cell>
          <cell r="N158">
            <v>6</v>
          </cell>
          <cell r="O158">
            <v>4</v>
          </cell>
        </row>
        <row r="159">
          <cell r="D159">
            <v>1510</v>
          </cell>
          <cell r="E159">
            <v>1021</v>
          </cell>
          <cell r="F159">
            <v>946</v>
          </cell>
          <cell r="G159">
            <v>842</v>
          </cell>
          <cell r="H159">
            <v>1012</v>
          </cell>
          <cell r="I159">
            <v>1143</v>
          </cell>
          <cell r="J159">
            <v>1526</v>
          </cell>
          <cell r="K159">
            <v>1651</v>
          </cell>
          <cell r="L159">
            <v>1181</v>
          </cell>
          <cell r="M159">
            <v>1431</v>
          </cell>
          <cell r="N159">
            <v>1900</v>
          </cell>
          <cell r="O159">
            <v>2006</v>
          </cell>
        </row>
        <row r="160">
          <cell r="D160">
            <v>13</v>
          </cell>
          <cell r="E160">
            <v>16</v>
          </cell>
          <cell r="F160">
            <v>20</v>
          </cell>
          <cell r="G160">
            <v>19</v>
          </cell>
          <cell r="H160">
            <v>16</v>
          </cell>
          <cell r="I160">
            <v>53</v>
          </cell>
          <cell r="J160">
            <v>35</v>
          </cell>
          <cell r="K160">
            <v>42</v>
          </cell>
          <cell r="L160">
            <v>30</v>
          </cell>
          <cell r="M160">
            <v>46</v>
          </cell>
          <cell r="N160">
            <v>44</v>
          </cell>
          <cell r="O160">
            <v>55</v>
          </cell>
        </row>
        <row r="161">
          <cell r="D161">
            <v>0</v>
          </cell>
          <cell r="E161">
            <v>1</v>
          </cell>
          <cell r="F161">
            <v>0</v>
          </cell>
          <cell r="G161">
            <v>0</v>
          </cell>
          <cell r="H161">
            <v>7</v>
          </cell>
          <cell r="I161">
            <v>21</v>
          </cell>
          <cell r="J161">
            <v>7</v>
          </cell>
          <cell r="K161">
            <v>9</v>
          </cell>
          <cell r="L161">
            <v>7</v>
          </cell>
          <cell r="M161">
            <v>0</v>
          </cell>
          <cell r="N161">
            <v>3</v>
          </cell>
          <cell r="O161">
            <v>7</v>
          </cell>
        </row>
        <row r="162"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</row>
        <row r="163"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</row>
        <row r="164">
          <cell r="D164">
            <v>2</v>
          </cell>
          <cell r="E164">
            <v>0</v>
          </cell>
          <cell r="F164">
            <v>0</v>
          </cell>
          <cell r="G164">
            <v>1</v>
          </cell>
          <cell r="H164">
            <v>2</v>
          </cell>
          <cell r="I164">
            <v>7</v>
          </cell>
          <cell r="J164">
            <v>8</v>
          </cell>
          <cell r="K164">
            <v>4</v>
          </cell>
          <cell r="L164">
            <v>6</v>
          </cell>
          <cell r="M164">
            <v>9</v>
          </cell>
          <cell r="N164">
            <v>14</v>
          </cell>
          <cell r="O164">
            <v>2</v>
          </cell>
        </row>
        <row r="165">
          <cell r="D165">
            <v>13</v>
          </cell>
          <cell r="E165">
            <v>17</v>
          </cell>
          <cell r="F165">
            <v>20</v>
          </cell>
          <cell r="G165">
            <v>19</v>
          </cell>
          <cell r="H165">
            <v>23</v>
          </cell>
          <cell r="I165">
            <v>74</v>
          </cell>
          <cell r="J165">
            <v>42</v>
          </cell>
          <cell r="K165">
            <v>51</v>
          </cell>
          <cell r="L165">
            <v>37</v>
          </cell>
          <cell r="M165">
            <v>46</v>
          </cell>
          <cell r="N165">
            <v>47</v>
          </cell>
          <cell r="O165">
            <v>62</v>
          </cell>
        </row>
      </sheetData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43"/>
  <sheetViews>
    <sheetView zoomScale="55" zoomScaleNormal="55" workbookViewId="0">
      <pane xSplit="5" ySplit="4" topLeftCell="F5" activePane="bottomRight" state="frozen"/>
      <selection pane="bottomRight" activeCell="A3" sqref="A3:C4"/>
      <selection pane="bottomLeft" activeCell="A5" sqref="A5"/>
      <selection pane="topRight" activeCell="F1" sqref="F1"/>
    </sheetView>
  </sheetViews>
  <sheetFormatPr defaultColWidth="10" defaultRowHeight="23.1" customHeight="1"/>
  <cols>
    <col min="1" max="2" width="1.875" style="2" customWidth="1"/>
    <col min="3" max="3" width="35.5" style="71" customWidth="1"/>
    <col min="4" max="4" width="19" style="300" bestFit="1" customWidth="1"/>
    <col min="5" max="6" width="17.75" style="300" bestFit="1" customWidth="1"/>
    <col min="7" max="8" width="20.125" style="5" bestFit="1" customWidth="1"/>
    <col min="9" max="9" width="17.75" style="5" bestFit="1" customWidth="1"/>
    <col min="10" max="11" width="17.75" style="5" customWidth="1"/>
    <col min="12" max="12" width="16.5" style="5" customWidth="1"/>
    <col min="13" max="39" width="17.75" style="5" customWidth="1"/>
    <col min="40" max="40" width="18.625" style="5" customWidth="1"/>
    <col min="41" max="41" width="17.25" style="2" customWidth="1"/>
    <col min="42" max="43" width="17.75" style="2" customWidth="1"/>
    <col min="44" max="44" width="13.25" style="2" bestFit="1" customWidth="1"/>
    <col min="45" max="16384" width="10" style="2"/>
  </cols>
  <sheetData>
    <row r="1" spans="1:44" ht="14.25" customHeight="1">
      <c r="C1" s="3"/>
      <c r="D1" s="299"/>
      <c r="E1" s="299"/>
      <c r="K1" s="4"/>
      <c r="AB1" s="4"/>
      <c r="AO1" s="6"/>
    </row>
    <row r="2" spans="1:44" ht="23.1" customHeight="1" thickBot="1">
      <c r="A2" s="7" t="s">
        <v>0</v>
      </c>
      <c r="B2" s="8"/>
      <c r="C2" s="7"/>
      <c r="D2" s="511"/>
      <c r="E2" s="512"/>
      <c r="F2" s="511"/>
      <c r="G2" s="513"/>
      <c r="H2" s="51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9"/>
      <c r="AO2" s="9"/>
    </row>
    <row r="3" spans="1:44" s="11" customFormat="1" ht="24" customHeight="1">
      <c r="A3" s="581" t="s">
        <v>1</v>
      </c>
      <c r="B3" s="582"/>
      <c r="C3" s="583"/>
      <c r="D3" s="509" t="str">
        <f>YEAR(日期!C2)-1&amp;"/"&amp;MONTH(日期!C2)</f>
        <v>2023/12</v>
      </c>
      <c r="E3" s="509" t="str">
        <f>YEAR(日期!C2)&amp;"/"&amp;MONTH(日期!C2)</f>
        <v>2024/12</v>
      </c>
      <c r="F3" s="510">
        <f>YEAR(日期!C2)</f>
        <v>2024</v>
      </c>
      <c r="G3" s="510">
        <f>YEAR(日期!C2)</f>
        <v>2024</v>
      </c>
      <c r="H3" s="510">
        <f>YEAR(日期!C2)</f>
        <v>2024</v>
      </c>
      <c r="I3" s="527" t="str">
        <f>日期!C2</f>
        <v>2024/12/01</v>
      </c>
      <c r="J3" s="527" t="str">
        <f>日期!D2</f>
        <v>2024/12/02</v>
      </c>
      <c r="K3" s="527" t="str">
        <f>日期!E2</f>
        <v>2024/12/03</v>
      </c>
      <c r="L3" s="527" t="str">
        <f>日期!F2</f>
        <v>2024/12/04</v>
      </c>
      <c r="M3" s="527" t="str">
        <f>日期!G2</f>
        <v>2024/12/05</v>
      </c>
      <c r="N3" s="527" t="str">
        <f>日期!H2</f>
        <v>2024/12/06</v>
      </c>
      <c r="O3" s="527" t="str">
        <f>日期!I2</f>
        <v>2024/12/07</v>
      </c>
      <c r="P3" s="527" t="str">
        <f>日期!J2</f>
        <v>2024/12/08</v>
      </c>
      <c r="Q3" s="527" t="str">
        <f>日期!K2</f>
        <v>2024/12/09</v>
      </c>
      <c r="R3" s="527" t="str">
        <f>日期!L2</f>
        <v>2024/12/10</v>
      </c>
      <c r="S3" s="527" t="str">
        <f>日期!M2</f>
        <v>2024/12/11</v>
      </c>
      <c r="T3" s="527" t="str">
        <f>日期!N2</f>
        <v>2024/12/12</v>
      </c>
      <c r="U3" s="527" t="str">
        <f>日期!O2</f>
        <v>2024/12/13</v>
      </c>
      <c r="V3" s="527" t="str">
        <f>日期!P2</f>
        <v>2024/12/14</v>
      </c>
      <c r="W3" s="527" t="str">
        <f>日期!Q2</f>
        <v>2024/12/15</v>
      </c>
      <c r="X3" s="527" t="str">
        <f>日期!R2</f>
        <v>2024/12/16</v>
      </c>
      <c r="Y3" s="527" t="str">
        <f>日期!S2</f>
        <v>2024/12/17</v>
      </c>
      <c r="Z3" s="527" t="str">
        <f>日期!T2</f>
        <v>2024/12/18</v>
      </c>
      <c r="AA3" s="527" t="str">
        <f>日期!U2</f>
        <v>2024/12/19</v>
      </c>
      <c r="AB3" s="527" t="str">
        <f>日期!V2</f>
        <v>2024/12/20</v>
      </c>
      <c r="AC3" s="527" t="str">
        <f>日期!W2</f>
        <v>2024/12/21</v>
      </c>
      <c r="AD3" s="527" t="str">
        <f>日期!X2</f>
        <v>2024/12/22</v>
      </c>
      <c r="AE3" s="527" t="str">
        <f>日期!Y2</f>
        <v>2024/12/23</v>
      </c>
      <c r="AF3" s="527" t="str">
        <f>日期!Z2</f>
        <v>2024/12/24</v>
      </c>
      <c r="AG3" s="527" t="str">
        <f>日期!AA2</f>
        <v>2024/12/25</v>
      </c>
      <c r="AH3" s="527" t="str">
        <f>日期!AB2</f>
        <v>2024/12/26</v>
      </c>
      <c r="AI3" s="527" t="str">
        <f>日期!AC2</f>
        <v>2024/12/27</v>
      </c>
      <c r="AJ3" s="527" t="str">
        <f>日期!AD2</f>
        <v>2024/12/28</v>
      </c>
      <c r="AK3" s="527" t="str">
        <f>日期!AE2</f>
        <v>2024/12/29</v>
      </c>
      <c r="AL3" s="527" t="str">
        <f>日期!AF2</f>
        <v>2024/12/30</v>
      </c>
      <c r="AM3" s="527" t="str">
        <f>日期!AG2</f>
        <v>2024/12/31</v>
      </c>
      <c r="AN3" s="587" t="s">
        <v>2</v>
      </c>
      <c r="AO3" s="579" t="s">
        <v>3</v>
      </c>
    </row>
    <row r="4" spans="1:44" s="14" customFormat="1" ht="21.4" customHeight="1" thickBot="1">
      <c r="A4" s="584"/>
      <c r="B4" s="585"/>
      <c r="C4" s="586"/>
      <c r="D4" s="505" t="s">
        <v>4</v>
      </c>
      <c r="E4" s="505" t="s">
        <v>5</v>
      </c>
      <c r="F4" s="515" t="s">
        <v>6</v>
      </c>
      <c r="G4" s="515" t="s">
        <v>7</v>
      </c>
      <c r="H4" s="515" t="s">
        <v>8</v>
      </c>
      <c r="I4" s="12" t="str">
        <f>日期!C3</f>
        <v>Sun</v>
      </c>
      <c r="J4" s="12" t="str">
        <f>日期!D3</f>
        <v>Mon</v>
      </c>
      <c r="K4" s="12" t="str">
        <f>日期!E3</f>
        <v>Tue</v>
      </c>
      <c r="L4" s="12" t="str">
        <f>日期!F3</f>
        <v>Wed</v>
      </c>
      <c r="M4" s="12" t="str">
        <f>日期!G3</f>
        <v>Thu</v>
      </c>
      <c r="N4" s="12" t="str">
        <f>日期!H3</f>
        <v>Fri</v>
      </c>
      <c r="O4" s="12" t="str">
        <f>日期!I3</f>
        <v>Sat</v>
      </c>
      <c r="P4" s="12" t="str">
        <f>日期!J3</f>
        <v>Sun</v>
      </c>
      <c r="Q4" s="12" t="str">
        <f>日期!K3</f>
        <v>Mon</v>
      </c>
      <c r="R4" s="12" t="str">
        <f>日期!L3</f>
        <v>Tue</v>
      </c>
      <c r="S4" s="12" t="str">
        <f>日期!M3</f>
        <v>Wed</v>
      </c>
      <c r="T4" s="12" t="str">
        <f>日期!N3</f>
        <v>Thu</v>
      </c>
      <c r="U4" s="12" t="str">
        <f>日期!O3</f>
        <v>Fri</v>
      </c>
      <c r="V4" s="12" t="str">
        <f>日期!P3</f>
        <v>Sat</v>
      </c>
      <c r="W4" s="12" t="str">
        <f>日期!Q3</f>
        <v>Sun</v>
      </c>
      <c r="X4" s="12" t="str">
        <f>日期!R3</f>
        <v>Mon</v>
      </c>
      <c r="Y4" s="12" t="str">
        <f>日期!S3</f>
        <v>Tue</v>
      </c>
      <c r="Z4" s="12" t="str">
        <f>日期!T3</f>
        <v>Wed</v>
      </c>
      <c r="AA4" s="12" t="str">
        <f>日期!U3</f>
        <v>Thu</v>
      </c>
      <c r="AB4" s="12" t="str">
        <f>日期!V3</f>
        <v>Fri</v>
      </c>
      <c r="AC4" s="12" t="str">
        <f>日期!W3</f>
        <v>Sat</v>
      </c>
      <c r="AD4" s="12" t="str">
        <f>日期!X3</f>
        <v>Sun</v>
      </c>
      <c r="AE4" s="12" t="str">
        <f>日期!Y3</f>
        <v>Mon</v>
      </c>
      <c r="AF4" s="12" t="str">
        <f>日期!Z3</f>
        <v>Tue</v>
      </c>
      <c r="AG4" s="12" t="str">
        <f>日期!AA3</f>
        <v>Wed</v>
      </c>
      <c r="AH4" s="12" t="str">
        <f>日期!AB3</f>
        <v>Thu</v>
      </c>
      <c r="AI4" s="12" t="str">
        <f>日期!AC3</f>
        <v>Fri</v>
      </c>
      <c r="AJ4" s="12" t="str">
        <f>日期!AD3</f>
        <v>Sat</v>
      </c>
      <c r="AK4" s="12" t="str">
        <f>日期!AE3</f>
        <v>Sun</v>
      </c>
      <c r="AL4" s="12" t="str">
        <f>日期!AF3</f>
        <v>Mon</v>
      </c>
      <c r="AM4" s="12" t="str">
        <f>日期!AG3</f>
        <v>Tue</v>
      </c>
      <c r="AN4" s="588"/>
      <c r="AO4" s="580"/>
      <c r="AP4" s="13"/>
      <c r="AQ4" s="13"/>
    </row>
    <row r="5" spans="1:44" s="18" customFormat="1" ht="21.95" customHeight="1">
      <c r="A5" s="589" t="s">
        <v>9</v>
      </c>
      <c r="B5" s="590"/>
      <c r="C5" s="591"/>
      <c r="D5" s="301">
        <f>D6+D13+D18+D26</f>
        <v>607456063.99999416</v>
      </c>
      <c r="E5" s="301">
        <f>E6+E13+E18+E26</f>
        <v>603591375.18605709</v>
      </c>
      <c r="F5" s="301">
        <f>F6+F13+F18+F26</f>
        <v>608774001.29527426</v>
      </c>
      <c r="G5" s="15">
        <f>G6+G13+G18+G26</f>
        <v>569049646</v>
      </c>
      <c r="H5" s="15">
        <f>H6+H13+H18+H26</f>
        <v>578268100</v>
      </c>
      <c r="I5" s="15">
        <f t="shared" ref="I5:AM5" si="0">I6+I13+I18+I26</f>
        <v>572781506</v>
      </c>
      <c r="J5" s="15">
        <f t="shared" si="0"/>
        <v>566757176</v>
      </c>
      <c r="K5" s="15">
        <f t="shared" si="0"/>
        <v>559514786</v>
      </c>
      <c r="L5" s="15">
        <f t="shared" si="0"/>
        <v>566489424</v>
      </c>
      <c r="M5" s="15">
        <f t="shared" si="0"/>
        <v>573308415</v>
      </c>
      <c r="N5" s="15">
        <f t="shared" si="0"/>
        <v>586316811</v>
      </c>
      <c r="O5" s="15">
        <f t="shared" si="0"/>
        <v>563087578</v>
      </c>
      <c r="P5" s="15">
        <f t="shared" si="0"/>
        <v>563046952</v>
      </c>
      <c r="Q5" s="15">
        <f t="shared" si="0"/>
        <v>562911972</v>
      </c>
      <c r="R5" s="15">
        <f t="shared" si="0"/>
        <v>567698817</v>
      </c>
      <c r="S5" s="15">
        <f t="shared" si="0"/>
        <v>564436018</v>
      </c>
      <c r="T5" s="15">
        <f t="shared" si="0"/>
        <v>562279348</v>
      </c>
      <c r="U5" s="15">
        <f t="shared" si="0"/>
        <v>567174900</v>
      </c>
      <c r="V5" s="15">
        <f t="shared" si="0"/>
        <v>567182064</v>
      </c>
      <c r="W5" s="15">
        <f t="shared" si="0"/>
        <v>565214576</v>
      </c>
      <c r="X5" s="15">
        <f t="shared" si="0"/>
        <v>562087292</v>
      </c>
      <c r="Y5" s="15">
        <f t="shared" si="0"/>
        <v>572422306</v>
      </c>
      <c r="Z5" s="15">
        <f t="shared" si="0"/>
        <v>586791826</v>
      </c>
      <c r="AA5" s="15">
        <f t="shared" si="0"/>
        <v>585152637</v>
      </c>
      <c r="AB5" s="15">
        <f t="shared" si="0"/>
        <v>599295580</v>
      </c>
      <c r="AC5" s="15">
        <f t="shared" si="0"/>
        <v>581103339</v>
      </c>
      <c r="AD5" s="15">
        <f t="shared" si="0"/>
        <v>581087370</v>
      </c>
      <c r="AE5" s="15">
        <f t="shared" si="0"/>
        <v>576456309</v>
      </c>
      <c r="AF5" s="15">
        <f t="shared" si="0"/>
        <v>580109616</v>
      </c>
      <c r="AG5" s="15">
        <f t="shared" si="0"/>
        <v>593237694</v>
      </c>
      <c r="AH5" s="15">
        <f t="shared" si="0"/>
        <v>600361587</v>
      </c>
      <c r="AI5" s="15">
        <f t="shared" si="0"/>
        <v>616733428</v>
      </c>
      <c r="AJ5" s="15">
        <f t="shared" si="0"/>
        <v>601223253</v>
      </c>
      <c r="AK5" s="15">
        <f t="shared" si="0"/>
        <v>601190859</v>
      </c>
      <c r="AL5" s="15">
        <f t="shared" si="0"/>
        <v>602985091</v>
      </c>
      <c r="AM5" s="15">
        <f t="shared" si="0"/>
        <v>598241816</v>
      </c>
      <c r="AN5" s="524">
        <f>AN6+AN13+AN18+AN26</f>
        <v>-4743275</v>
      </c>
      <c r="AO5" s="238">
        <f>AO6+AO13+AO18+AO26</f>
        <v>578925172.42000008</v>
      </c>
      <c r="AP5" s="16">
        <f t="shared" ref="AP5:AP13" si="1">AJ5/10000</f>
        <v>60122.325299999997</v>
      </c>
      <c r="AQ5" s="17">
        <f t="shared" ref="AQ5:AQ13" si="2">AO5/10000</f>
        <v>57892.517242000009</v>
      </c>
    </row>
    <row r="6" spans="1:44" s="14" customFormat="1" ht="21.95" customHeight="1">
      <c r="A6" s="19"/>
      <c r="B6" s="592" t="s">
        <v>10</v>
      </c>
      <c r="C6" s="593"/>
      <c r="D6" s="287">
        <f t="shared" ref="D6:I6" si="3">SUM(D7:D12)</f>
        <v>366437405.09677202</v>
      </c>
      <c r="E6" s="287">
        <f t="shared" si="3"/>
        <v>352180167.30368704</v>
      </c>
      <c r="F6" s="287">
        <f t="shared" si="3"/>
        <v>338352705.10810369</v>
      </c>
      <c r="G6" s="20">
        <f>SUM(G7:G12)</f>
        <v>334022677</v>
      </c>
      <c r="H6" s="20">
        <f t="shared" si="3"/>
        <v>342891007</v>
      </c>
      <c r="I6" s="20">
        <f t="shared" si="3"/>
        <v>324622499</v>
      </c>
      <c r="J6" s="20">
        <f>SUM(J7:J12)</f>
        <v>318787276</v>
      </c>
      <c r="K6" s="20">
        <f>SUM(K7:K12)</f>
        <v>314823738</v>
      </c>
      <c r="L6" s="20">
        <f t="shared" ref="L6:AO6" si="4">SUM(L7:L12)</f>
        <v>318812958</v>
      </c>
      <c r="M6" s="20">
        <f t="shared" si="4"/>
        <v>321910066</v>
      </c>
      <c r="N6" s="20">
        <f t="shared" si="4"/>
        <v>327219139</v>
      </c>
      <c r="O6" s="20">
        <f t="shared" si="4"/>
        <v>311277005</v>
      </c>
      <c r="P6" s="20">
        <f t="shared" si="4"/>
        <v>311243298</v>
      </c>
      <c r="Q6" s="20">
        <f t="shared" si="4"/>
        <v>309765414</v>
      </c>
      <c r="R6" s="20">
        <f t="shared" si="4"/>
        <v>311373962</v>
      </c>
      <c r="S6" s="20">
        <f t="shared" si="4"/>
        <v>313056156</v>
      </c>
      <c r="T6" s="20">
        <f t="shared" si="4"/>
        <v>312423785</v>
      </c>
      <c r="U6" s="20">
        <f t="shared" si="4"/>
        <v>314334828</v>
      </c>
      <c r="V6" s="20">
        <f t="shared" si="4"/>
        <v>314337878</v>
      </c>
      <c r="W6" s="20">
        <f t="shared" si="4"/>
        <v>312860550</v>
      </c>
      <c r="X6" s="20">
        <f t="shared" si="4"/>
        <v>310517676</v>
      </c>
      <c r="Y6" s="20">
        <f t="shared" si="4"/>
        <v>319901437</v>
      </c>
      <c r="Z6" s="20">
        <f t="shared" si="4"/>
        <v>329461149</v>
      </c>
      <c r="AA6" s="20">
        <f t="shared" si="4"/>
        <v>330842958</v>
      </c>
      <c r="AB6" s="20">
        <f t="shared" si="4"/>
        <v>336144008</v>
      </c>
      <c r="AC6" s="20">
        <f t="shared" si="4"/>
        <v>324977851</v>
      </c>
      <c r="AD6" s="20">
        <f t="shared" si="4"/>
        <v>324961882</v>
      </c>
      <c r="AE6" s="20">
        <f t="shared" si="4"/>
        <v>323402899</v>
      </c>
      <c r="AF6" s="20">
        <f t="shared" si="4"/>
        <v>331241466</v>
      </c>
      <c r="AG6" s="20">
        <f t="shared" si="4"/>
        <v>340053534</v>
      </c>
      <c r="AH6" s="20">
        <f t="shared" si="4"/>
        <v>346041022</v>
      </c>
      <c r="AI6" s="20">
        <f t="shared" si="4"/>
        <v>356135393</v>
      </c>
      <c r="AJ6" s="20">
        <f t="shared" si="4"/>
        <v>346527776</v>
      </c>
      <c r="AK6" s="20">
        <f t="shared" si="4"/>
        <v>346495382</v>
      </c>
      <c r="AL6" s="20">
        <f t="shared" si="4"/>
        <v>348665487</v>
      </c>
      <c r="AM6" s="20">
        <f t="shared" si="4"/>
        <v>346508143</v>
      </c>
      <c r="AN6" s="525">
        <f t="shared" si="4"/>
        <v>-2157344</v>
      </c>
      <c r="AO6" s="21">
        <f t="shared" si="4"/>
        <v>325765374.67000002</v>
      </c>
      <c r="AP6" s="16">
        <f t="shared" si="1"/>
        <v>34652.777600000001</v>
      </c>
      <c r="AQ6" s="17">
        <f t="shared" si="2"/>
        <v>32576.537467000002</v>
      </c>
      <c r="AR6" s="22"/>
    </row>
    <row r="7" spans="1:44" s="14" customFormat="1" ht="21.95" customHeight="1">
      <c r="A7" s="23"/>
      <c r="B7" s="24"/>
      <c r="C7" s="25" t="s">
        <v>11</v>
      </c>
      <c r="D7" s="309">
        <f>HLOOKUP(MONTH(日期!$C$2),去年月推移!$D$1:$O$33,5,TRUE)</f>
        <v>315456704.48387003</v>
      </c>
      <c r="E7" s="309">
        <f>HLOOKUP(MONTH(日期!$C$2),當年目標設定!$D$1:$O$33,5,TRUE)</f>
        <v>303733765.26118702</v>
      </c>
      <c r="F7" s="308">
        <f>HLOOKUP(MONTH(日期!$C$2),當年目標設定!$R$1:$AC$33,5,TRUE)</f>
        <v>291727223.60263401</v>
      </c>
      <c r="G7" s="308">
        <f>當年月推移!P5</f>
        <v>290307934</v>
      </c>
      <c r="H7" s="308">
        <f>當年月推移!P39</f>
        <v>290799520</v>
      </c>
      <c r="I7" s="27">
        <f>VALUE(庫存金額!C2)</f>
        <v>275724028</v>
      </c>
      <c r="J7" s="27">
        <f>VALUE(庫存金額!D2)</f>
        <v>274015037</v>
      </c>
      <c r="K7" s="27">
        <f>VALUE(庫存金額!E2)</f>
        <v>268835538</v>
      </c>
      <c r="L7" s="27">
        <f>VALUE(庫存金額!F2)</f>
        <v>270748480</v>
      </c>
      <c r="M7" s="27">
        <f>VALUE(庫存金額!G2)</f>
        <v>272909004</v>
      </c>
      <c r="N7" s="27">
        <f>VALUE(庫存金額!H2)</f>
        <v>277259307</v>
      </c>
      <c r="O7" s="27">
        <f>VALUE(庫存金額!I2)</f>
        <v>270302358</v>
      </c>
      <c r="P7" s="27">
        <f>VALUE(庫存金額!J2)</f>
        <v>270271671</v>
      </c>
      <c r="Q7" s="27">
        <f>VALUE(庫存金額!K2)</f>
        <v>270641795</v>
      </c>
      <c r="R7" s="27">
        <f>VALUE(庫存金額!L2)</f>
        <v>268101474</v>
      </c>
      <c r="S7" s="27">
        <f>VALUE(庫存金額!M2)</f>
        <v>268325581</v>
      </c>
      <c r="T7" s="27">
        <f>VALUE(庫存金額!N2)</f>
        <v>265895099</v>
      </c>
      <c r="U7" s="27">
        <f>VALUE(庫存金額!O2)</f>
        <v>269690607</v>
      </c>
      <c r="V7" s="27">
        <f>VALUE(庫存金額!P2)</f>
        <v>269693657</v>
      </c>
      <c r="W7" s="27">
        <f>VALUE(庫存金額!Q2)</f>
        <v>268327831</v>
      </c>
      <c r="X7" s="27">
        <f>VALUE(庫存金額!R2)</f>
        <v>266287523</v>
      </c>
      <c r="Y7" s="27">
        <f>VALUE(庫存金額!S2)</f>
        <v>270510115</v>
      </c>
      <c r="Z7" s="27">
        <f>VALUE(庫存金額!T2)</f>
        <v>275979437</v>
      </c>
      <c r="AA7" s="27">
        <f>VALUE(庫存金額!U2)</f>
        <v>277424983</v>
      </c>
      <c r="AB7" s="27">
        <f>VALUE(庫存金額!V2)</f>
        <v>278406750</v>
      </c>
      <c r="AC7" s="27">
        <f>VALUE(庫存金額!W2)</f>
        <v>275767354</v>
      </c>
      <c r="AD7" s="27">
        <f>VALUE(庫存金額!X2)</f>
        <v>275754971</v>
      </c>
      <c r="AE7" s="27">
        <f>VALUE(庫存金額!Y2)</f>
        <v>277510569</v>
      </c>
      <c r="AF7" s="27">
        <f>VALUE(庫存金額!Z2)</f>
        <v>282782916</v>
      </c>
      <c r="AG7" s="27">
        <f>VALUE(庫存金額!AA2)</f>
        <v>288176048</v>
      </c>
      <c r="AH7" s="27">
        <f>VALUE(庫存金額!AB2)</f>
        <v>291339490</v>
      </c>
      <c r="AI7" s="27">
        <f>VALUE(庫存金額!AC2)</f>
        <v>297913479</v>
      </c>
      <c r="AJ7" s="27">
        <f>VALUE(庫存金額!AD2)</f>
        <v>296308568</v>
      </c>
      <c r="AK7" s="27">
        <f>VALUE(庫存金額!AE2)</f>
        <v>296276393</v>
      </c>
      <c r="AL7" s="27">
        <f>VALUE(庫存金額!AF2)</f>
        <v>300563003</v>
      </c>
      <c r="AM7" s="27">
        <f>VALUE(庫存金額!AG2)</f>
        <v>298032355</v>
      </c>
      <c r="AN7" s="27">
        <f>VALUE(庫存金額!AH2)</f>
        <v>-2530648</v>
      </c>
      <c r="AO7" s="27">
        <f>VALUE(庫存金額!AI2)</f>
        <v>277734691</v>
      </c>
      <c r="AP7" s="16">
        <f t="shared" si="1"/>
        <v>29630.856800000001</v>
      </c>
      <c r="AQ7" s="17">
        <f t="shared" si="2"/>
        <v>27773.469099999998</v>
      </c>
      <c r="AR7" s="22"/>
    </row>
    <row r="8" spans="1:44" s="14" customFormat="1" ht="21.95" customHeight="1">
      <c r="A8" s="23"/>
      <c r="B8" s="24"/>
      <c r="C8" s="25" t="s">
        <v>12</v>
      </c>
      <c r="D8" s="309">
        <f>HLOOKUP(MONTH(日期!$C$2),去年月推移!$D$1:$O$33,6,TRUE)</f>
        <v>6514880.2580639999</v>
      </c>
      <c r="E8" s="309">
        <f>HLOOKUP(MONTH(日期!$C$2),當年目標設定!$D$1:$O$33,6,TRUE)</f>
        <v>6542616.7250000006</v>
      </c>
      <c r="F8" s="308">
        <f>HLOOKUP(MONTH(日期!$C$2),當年目標設定!$R$1:$AC$33,6,TRUE)</f>
        <v>6296398.0350000001</v>
      </c>
      <c r="G8" s="308">
        <f>當年月推移!$P6</f>
        <v>5918506</v>
      </c>
      <c r="H8" s="308">
        <f>當年月推移!P40</f>
        <v>6911444</v>
      </c>
      <c r="I8" s="27">
        <f>VALUE(庫存金額!C4)</f>
        <v>6251011</v>
      </c>
      <c r="J8" s="27">
        <f>VALUE(庫存金額!D4)</f>
        <v>4596540</v>
      </c>
      <c r="K8" s="27">
        <f>VALUE(庫存金額!E4)</f>
        <v>5467039</v>
      </c>
      <c r="L8" s="27">
        <f>VALUE(庫存金額!F4)</f>
        <v>6169820</v>
      </c>
      <c r="M8" s="27">
        <f>VALUE(庫存金額!G4)</f>
        <v>5509489</v>
      </c>
      <c r="N8" s="27">
        <f>VALUE(庫存金額!H4)</f>
        <v>5955988</v>
      </c>
      <c r="O8" s="27">
        <f>VALUE(庫存金額!I4)</f>
        <v>3675714</v>
      </c>
      <c r="P8" s="27">
        <f>VALUE(庫存金額!J4)</f>
        <v>3675714</v>
      </c>
      <c r="Q8" s="27">
        <f>VALUE(庫存金額!K4)</f>
        <v>2812912</v>
      </c>
      <c r="R8" s="27">
        <f>VALUE(庫存金額!L4)</f>
        <v>4633832</v>
      </c>
      <c r="S8" s="27">
        <f>VALUE(庫存金額!M4)</f>
        <v>3970477</v>
      </c>
      <c r="T8" s="27">
        <f>VALUE(庫存金額!N4)</f>
        <v>5518455</v>
      </c>
      <c r="U8" s="27">
        <f>VALUE(庫存金額!O4)</f>
        <v>5809653</v>
      </c>
      <c r="V8" s="27">
        <f>VALUE(庫存金額!P4)</f>
        <v>5809653</v>
      </c>
      <c r="W8" s="27">
        <f>VALUE(庫存金額!Q4)</f>
        <v>5809653</v>
      </c>
      <c r="X8" s="27">
        <f>VALUE(庫存金額!R4)</f>
        <v>5787913</v>
      </c>
      <c r="Y8" s="27">
        <f>VALUE(庫存金額!S4)</f>
        <v>7971901</v>
      </c>
      <c r="Z8" s="27">
        <f>VALUE(庫存金額!T4)</f>
        <v>8473567</v>
      </c>
      <c r="AA8" s="27">
        <f>VALUE(庫存金額!U4)</f>
        <v>9076432</v>
      </c>
      <c r="AB8" s="27">
        <f>VALUE(庫存金額!V4)</f>
        <v>10850846</v>
      </c>
      <c r="AC8" s="27">
        <f>VALUE(庫存金額!W4)</f>
        <v>8592295</v>
      </c>
      <c r="AD8" s="27">
        <f>VALUE(庫存金額!X4)</f>
        <v>8592295</v>
      </c>
      <c r="AE8" s="27">
        <f>VALUE(庫存金額!Y4)</f>
        <v>7057194</v>
      </c>
      <c r="AF8" s="27">
        <f>VALUE(庫存金額!Z4)</f>
        <v>7596983</v>
      </c>
      <c r="AG8" s="27">
        <f>VALUE(庫存金額!AA4)</f>
        <v>8424496</v>
      </c>
      <c r="AH8" s="27">
        <f>VALUE(庫存金額!AB4)</f>
        <v>8084835</v>
      </c>
      <c r="AI8" s="27">
        <f>VALUE(庫存金額!AC4)</f>
        <v>11176573</v>
      </c>
      <c r="AJ8" s="27">
        <f>VALUE(庫存金額!AD4)</f>
        <v>9446018</v>
      </c>
      <c r="AK8" s="27">
        <f>VALUE(庫存金額!AE4)</f>
        <v>9446018</v>
      </c>
      <c r="AL8" s="27">
        <f>VALUE(庫存金額!AF4)</f>
        <v>7064296</v>
      </c>
      <c r="AM8" s="27">
        <f>VALUE(庫存金額!AG4)</f>
        <v>7859992</v>
      </c>
      <c r="AN8" s="27">
        <f>VALUE(庫存金額!AH4)</f>
        <v>795696</v>
      </c>
      <c r="AO8" s="27">
        <f>VALUE(庫存金額!AI4)</f>
        <v>6811858.1900000004</v>
      </c>
      <c r="AP8" s="16">
        <f t="shared" si="1"/>
        <v>944.60180000000003</v>
      </c>
      <c r="AQ8" s="17">
        <f t="shared" si="2"/>
        <v>681.18581900000004</v>
      </c>
      <c r="AR8" s="22"/>
    </row>
    <row r="9" spans="1:44" s="14" customFormat="1" ht="21.95" customHeight="1">
      <c r="A9" s="23"/>
      <c r="B9" s="24"/>
      <c r="C9" s="25" t="s">
        <v>13</v>
      </c>
      <c r="D9" s="309">
        <f>HLOOKUP(MONTH(日期!$C$2),去年月推移!$D$1:$O$33,7,TRUE)</f>
        <v>11383036.129032001</v>
      </c>
      <c r="E9" s="309">
        <f>HLOOKUP(MONTH(日期!$C$2),當年目標設定!$D$1:$O$33,7,TRUE)</f>
        <v>10415183.664999999</v>
      </c>
      <c r="F9" s="308">
        <f>HLOOKUP(MONTH(日期!$C$2),當年目標設定!$R$1:$AC$33,7,TRUE)</f>
        <v>10041148.121969637</v>
      </c>
      <c r="G9" s="308">
        <f>當年月推移!$P7</f>
        <v>7675045</v>
      </c>
      <c r="H9" s="308">
        <f>當年月推移!P41</f>
        <v>7680543</v>
      </c>
      <c r="I9" s="27">
        <f>VALUE(庫存金額!C5)</f>
        <v>9867686</v>
      </c>
      <c r="J9" s="27">
        <f>VALUE(庫存金額!D5)</f>
        <v>10286433</v>
      </c>
      <c r="K9" s="27">
        <f>VALUE(庫存金額!E5)</f>
        <v>10250984</v>
      </c>
      <c r="L9" s="27">
        <f>VALUE(庫存金額!F5)</f>
        <v>10363358</v>
      </c>
      <c r="M9" s="27">
        <f>VALUE(庫存金額!G5)</f>
        <v>10491032</v>
      </c>
      <c r="N9" s="27">
        <f>VALUE(庫存金額!H5)</f>
        <v>10601022</v>
      </c>
      <c r="O9" s="27">
        <f>VALUE(庫存金額!I5)</f>
        <v>10586961</v>
      </c>
      <c r="P9" s="27">
        <f>VALUE(庫存金額!J5)</f>
        <v>10586961</v>
      </c>
      <c r="Q9" s="27">
        <f>VALUE(庫存金額!K5)</f>
        <v>10830440</v>
      </c>
      <c r="R9" s="27">
        <f>VALUE(庫存金額!L5)</f>
        <v>10814779</v>
      </c>
      <c r="S9" s="27">
        <f>VALUE(庫存金額!M5)</f>
        <v>10830659</v>
      </c>
      <c r="T9" s="27">
        <f>VALUE(庫存金額!N5)</f>
        <v>10797406</v>
      </c>
      <c r="U9" s="27">
        <f>VALUE(庫存金額!O5)</f>
        <v>10782400</v>
      </c>
      <c r="V9" s="27">
        <f>VALUE(庫存金額!P5)</f>
        <v>10782400</v>
      </c>
      <c r="W9" s="27">
        <f>VALUE(庫存金額!Q5)</f>
        <v>10779340</v>
      </c>
      <c r="X9" s="27">
        <f>VALUE(庫存金額!R5)</f>
        <v>10723117</v>
      </c>
      <c r="Y9" s="27">
        <f>VALUE(庫存金額!S5)</f>
        <v>10820057</v>
      </c>
      <c r="Z9" s="27">
        <f>VALUE(庫存金額!T5)</f>
        <v>10953385</v>
      </c>
      <c r="AA9" s="27">
        <f>VALUE(庫存金額!U5)</f>
        <v>10939979</v>
      </c>
      <c r="AB9" s="27">
        <f>VALUE(庫存金額!V5)</f>
        <v>10933293</v>
      </c>
      <c r="AC9" s="27">
        <f>VALUE(庫存金額!W5)</f>
        <v>10897950</v>
      </c>
      <c r="AD9" s="27">
        <f>VALUE(庫存金額!X5)</f>
        <v>10897950</v>
      </c>
      <c r="AE9" s="27">
        <f>VALUE(庫存金額!Y5)</f>
        <v>10826613</v>
      </c>
      <c r="AF9" s="27">
        <f>VALUE(庫存金額!Z5)</f>
        <v>10773931</v>
      </c>
      <c r="AG9" s="27">
        <f>VALUE(庫存金額!AA5)</f>
        <v>10770714</v>
      </c>
      <c r="AH9" s="27">
        <f>VALUE(庫存金額!AB5)</f>
        <v>10700986</v>
      </c>
      <c r="AI9" s="27">
        <f>VALUE(庫存金額!AC5)</f>
        <v>10654377</v>
      </c>
      <c r="AJ9" s="27">
        <f>VALUE(庫存金額!AD5)</f>
        <v>10613513</v>
      </c>
      <c r="AK9" s="27">
        <f>VALUE(庫存金額!AE5)</f>
        <v>10613513</v>
      </c>
      <c r="AL9" s="27">
        <f>VALUE(庫存金額!AF5)</f>
        <v>10537040</v>
      </c>
      <c r="AM9" s="27">
        <f>VALUE(庫存金額!AG5)</f>
        <v>10640583</v>
      </c>
      <c r="AN9" s="27">
        <f>VALUE(庫存金額!AH5)</f>
        <v>103543</v>
      </c>
      <c r="AO9" s="27">
        <f>VALUE(庫存金額!AI5)</f>
        <v>10675769.74</v>
      </c>
      <c r="AP9" s="16">
        <f t="shared" si="1"/>
        <v>1061.3513</v>
      </c>
      <c r="AQ9" s="17">
        <f t="shared" si="2"/>
        <v>1067.5769740000001</v>
      </c>
      <c r="AR9" s="22"/>
    </row>
    <row r="10" spans="1:44" s="14" customFormat="1" ht="21.95" customHeight="1">
      <c r="A10" s="23"/>
      <c r="B10" s="24"/>
      <c r="C10" s="25" t="s">
        <v>14</v>
      </c>
      <c r="D10" s="309">
        <f>HLOOKUP(MONTH(日期!$C$2),去年月推移!$D$1:$O$33,8,TRUE)</f>
        <v>21520725.612902999</v>
      </c>
      <c r="E10" s="309">
        <f>HLOOKUP(MONTH(日期!$C$2),當年目標設定!$D$1:$O$33,8,TRUE)</f>
        <v>20186991.699999999</v>
      </c>
      <c r="F10" s="308">
        <f>HLOOKUP(MONTH(日期!$C$2),當年目標設定!$R$1:$AC$33,8,TRUE)</f>
        <v>19108337.835090909</v>
      </c>
      <c r="G10" s="308">
        <f>當年月推移!$P8</f>
        <v>18663380</v>
      </c>
      <c r="H10" s="308">
        <f>當年月推移!P42</f>
        <v>19814661</v>
      </c>
      <c r="I10" s="27">
        <f>VALUE(庫存金額!C6)</f>
        <v>20590809</v>
      </c>
      <c r="J10" s="27">
        <f>VALUE(庫存金額!D6)</f>
        <v>19468701</v>
      </c>
      <c r="K10" s="27">
        <f>VALUE(庫存金額!E6)</f>
        <v>19856784</v>
      </c>
      <c r="L10" s="27">
        <f>VALUE(庫存金額!F6)</f>
        <v>19638833</v>
      </c>
      <c r="M10" s="27">
        <f>VALUE(庫存金額!G6)</f>
        <v>20924871</v>
      </c>
      <c r="N10" s="27">
        <f>VALUE(庫存金額!H6)</f>
        <v>21528774</v>
      </c>
      <c r="O10" s="27">
        <f>VALUE(庫存金額!I6)</f>
        <v>19009883</v>
      </c>
      <c r="P10" s="27">
        <f>VALUE(庫存金額!J6)</f>
        <v>19006863</v>
      </c>
      <c r="Q10" s="27">
        <f>VALUE(庫存金額!K6)</f>
        <v>18719761</v>
      </c>
      <c r="R10" s="27">
        <f>VALUE(庫存金額!L6)</f>
        <v>20229090</v>
      </c>
      <c r="S10" s="27">
        <f>VALUE(庫存金額!M6)</f>
        <v>20970784</v>
      </c>
      <c r="T10" s="27">
        <f>VALUE(庫存金額!N6)</f>
        <v>20217155</v>
      </c>
      <c r="U10" s="27">
        <f>VALUE(庫存金額!O6)</f>
        <v>18549218</v>
      </c>
      <c r="V10" s="27">
        <f>VALUE(庫存金額!P6)</f>
        <v>18549218</v>
      </c>
      <c r="W10" s="27">
        <f>VALUE(庫存金額!Q6)</f>
        <v>18473465</v>
      </c>
      <c r="X10" s="27">
        <f>VALUE(庫存金額!R6)</f>
        <v>18549753</v>
      </c>
      <c r="Y10" s="27">
        <f>VALUE(庫存金額!S6)</f>
        <v>20234674</v>
      </c>
      <c r="Z10" s="27">
        <f>VALUE(庫存金額!T6)</f>
        <v>22148476</v>
      </c>
      <c r="AA10" s="27">
        <f>VALUE(庫存金額!U6)</f>
        <v>21134608</v>
      </c>
      <c r="AB10" s="27">
        <f>VALUE(庫存金額!V6)</f>
        <v>22990332</v>
      </c>
      <c r="AC10" s="27">
        <f>VALUE(庫存金額!W6)</f>
        <v>20710118</v>
      </c>
      <c r="AD10" s="27">
        <f>VALUE(庫存金額!X6)</f>
        <v>20706532</v>
      </c>
      <c r="AE10" s="27">
        <f>VALUE(庫存金額!Y6)</f>
        <v>19893556</v>
      </c>
      <c r="AF10" s="27">
        <f>VALUE(庫存金額!Z6)</f>
        <v>21706408</v>
      </c>
      <c r="AG10" s="27">
        <f>VALUE(庫存金額!AA6)</f>
        <v>22208975</v>
      </c>
      <c r="AH10" s="27">
        <f>VALUE(庫存金額!AB6)</f>
        <v>25857121</v>
      </c>
      <c r="AI10" s="27">
        <f>VALUE(庫存金額!AC6)</f>
        <v>25880146</v>
      </c>
      <c r="AJ10" s="27">
        <f>VALUE(庫存金額!AD6)</f>
        <v>23513354</v>
      </c>
      <c r="AK10" s="27">
        <f>VALUE(庫存金額!AE6)</f>
        <v>23513135</v>
      </c>
      <c r="AL10" s="27">
        <f>VALUE(庫存金額!AF6)</f>
        <v>24765851</v>
      </c>
      <c r="AM10" s="27">
        <f>VALUE(庫存金額!AG6)</f>
        <v>24989891</v>
      </c>
      <c r="AN10" s="27">
        <f>VALUE(庫存金額!AH6)</f>
        <v>224040</v>
      </c>
      <c r="AO10" s="27">
        <f>VALUE(庫存金額!AI6)</f>
        <v>21114101.260000002</v>
      </c>
      <c r="AP10" s="16">
        <f t="shared" si="1"/>
        <v>2351.3353999999999</v>
      </c>
      <c r="AQ10" s="17">
        <f t="shared" si="2"/>
        <v>2111.4101260000002</v>
      </c>
      <c r="AR10" s="22"/>
    </row>
    <row r="11" spans="1:44" s="14" customFormat="1" ht="21.95" customHeight="1">
      <c r="A11" s="23"/>
      <c r="B11" s="24"/>
      <c r="C11" s="25" t="s">
        <v>15</v>
      </c>
      <c r="D11" s="309">
        <f>HLOOKUP(MONTH(日期!$C$2),去年月推移!$D$1:$O$33,9,TRUE)</f>
        <v>0</v>
      </c>
      <c r="E11" s="309">
        <f>HLOOKUP(MONTH(日期!$C$2),當年目標設定!$D$1:$O$33,9,TRUE)</f>
        <v>0</v>
      </c>
      <c r="F11" s="308">
        <f>HLOOKUP(MONTH(日期!$C$2),當年目標設定!$R$1:$AC$33,9,TRUE)</f>
        <v>0</v>
      </c>
      <c r="G11" s="308">
        <f>當年月推移!$P9</f>
        <v>0</v>
      </c>
      <c r="H11" s="308">
        <f>當年月推移!P43</f>
        <v>0</v>
      </c>
      <c r="I11" s="27">
        <f>VALUE(庫存金額!C7)</f>
        <v>0</v>
      </c>
      <c r="J11" s="27">
        <f>VALUE(庫存金額!D7)</f>
        <v>0</v>
      </c>
      <c r="K11" s="27">
        <f>VALUE(庫存金額!E7)</f>
        <v>0</v>
      </c>
      <c r="L11" s="27">
        <f>VALUE(庫存金額!F7)</f>
        <v>0</v>
      </c>
      <c r="M11" s="27">
        <f>VALUE(庫存金額!G7)</f>
        <v>0</v>
      </c>
      <c r="N11" s="27">
        <f>VALUE(庫存金額!H7)</f>
        <v>0</v>
      </c>
      <c r="O11" s="27">
        <f>VALUE(庫存金額!I7)</f>
        <v>0</v>
      </c>
      <c r="P11" s="27">
        <f>VALUE(庫存金額!J7)</f>
        <v>0</v>
      </c>
      <c r="Q11" s="27">
        <f>VALUE(庫存金額!K7)</f>
        <v>0</v>
      </c>
      <c r="R11" s="27">
        <f>VALUE(庫存金額!L7)</f>
        <v>0</v>
      </c>
      <c r="S11" s="27">
        <f>VALUE(庫存金額!M7)</f>
        <v>0</v>
      </c>
      <c r="T11" s="27">
        <f>VALUE(庫存金額!N7)</f>
        <v>0</v>
      </c>
      <c r="U11" s="27">
        <f>VALUE(庫存金額!O7)</f>
        <v>0</v>
      </c>
      <c r="V11" s="27">
        <f>VALUE(庫存金額!P7)</f>
        <v>0</v>
      </c>
      <c r="W11" s="27">
        <f>VALUE(庫存金額!Q7)</f>
        <v>0</v>
      </c>
      <c r="X11" s="27">
        <f>VALUE(庫存金額!R7)</f>
        <v>0</v>
      </c>
      <c r="Y11" s="27">
        <f>VALUE(庫存金額!S7)</f>
        <v>0</v>
      </c>
      <c r="Z11" s="27">
        <f>VALUE(庫存金額!T7)</f>
        <v>0</v>
      </c>
      <c r="AA11" s="27">
        <f>VALUE(庫存金額!U7)</f>
        <v>0</v>
      </c>
      <c r="AB11" s="27">
        <f>VALUE(庫存金額!V7)</f>
        <v>0</v>
      </c>
      <c r="AC11" s="27">
        <f>VALUE(庫存金額!W7)</f>
        <v>0</v>
      </c>
      <c r="AD11" s="27">
        <f>VALUE(庫存金額!X7)</f>
        <v>0</v>
      </c>
      <c r="AE11" s="27">
        <f>VALUE(庫存金額!Y7)</f>
        <v>0</v>
      </c>
      <c r="AF11" s="27">
        <f>VALUE(庫存金額!Z7)</f>
        <v>0</v>
      </c>
      <c r="AG11" s="27">
        <f>VALUE(庫存金額!AA7)</f>
        <v>0</v>
      </c>
      <c r="AH11" s="27">
        <f>VALUE(庫存金額!AB7)</f>
        <v>0</v>
      </c>
      <c r="AI11" s="27">
        <f>VALUE(庫存金額!AC7)</f>
        <v>0</v>
      </c>
      <c r="AJ11" s="27">
        <f>VALUE(庫存金額!AD7)</f>
        <v>0</v>
      </c>
      <c r="AK11" s="27">
        <f>VALUE(庫存金額!AE7)</f>
        <v>0</v>
      </c>
      <c r="AL11" s="27">
        <f>VALUE(庫存金額!AF7)</f>
        <v>0</v>
      </c>
      <c r="AM11" s="27">
        <f>VALUE(庫存金額!AG7)</f>
        <v>0</v>
      </c>
      <c r="AN11" s="27">
        <f>VALUE(庫存金額!AH7)</f>
        <v>0</v>
      </c>
      <c r="AO11" s="27">
        <f>VALUE(庫存金額!AI7)</f>
        <v>0</v>
      </c>
      <c r="AP11" s="16">
        <f t="shared" si="1"/>
        <v>0</v>
      </c>
      <c r="AQ11" s="17">
        <f t="shared" si="2"/>
        <v>0</v>
      </c>
      <c r="AR11" s="22"/>
    </row>
    <row r="12" spans="1:44" s="14" customFormat="1" ht="21.95" customHeight="1">
      <c r="A12" s="23"/>
      <c r="B12" s="28"/>
      <c r="C12" s="25" t="s">
        <v>16</v>
      </c>
      <c r="D12" s="309">
        <f>HLOOKUP(MONTH(日期!$C$2),去年月推移!$D$1:$O$33,10,TRUE)</f>
        <v>11562058.612903001</v>
      </c>
      <c r="E12" s="309">
        <f>HLOOKUP(MONTH(日期!$C$2),當年目標設定!$D$1:$O$33,10,TRUE)</f>
        <v>11301609.952500001</v>
      </c>
      <c r="F12" s="308">
        <f>HLOOKUP(MONTH(日期!$C$2),當年目標設定!$R$1:$AC$33,10,TRUE)</f>
        <v>11179597.513409091</v>
      </c>
      <c r="G12" s="308">
        <f>當年月推移!$P10</f>
        <v>11457812</v>
      </c>
      <c r="H12" s="308">
        <f>當年月推移!P44</f>
        <v>17684839</v>
      </c>
      <c r="I12" s="27">
        <f>VALUE(庫存金額!C8)</f>
        <v>12188965</v>
      </c>
      <c r="J12" s="27">
        <f>VALUE(庫存金額!D8)</f>
        <v>10420565</v>
      </c>
      <c r="K12" s="27">
        <f>VALUE(庫存金額!E8)</f>
        <v>10413393</v>
      </c>
      <c r="L12" s="27">
        <f>VALUE(庫存金額!F8)</f>
        <v>11892467</v>
      </c>
      <c r="M12" s="27">
        <f>VALUE(庫存金額!G8)</f>
        <v>12075670</v>
      </c>
      <c r="N12" s="27">
        <f>VALUE(庫存金額!H8)</f>
        <v>11874048</v>
      </c>
      <c r="O12" s="27">
        <f>VALUE(庫存金額!I8)</f>
        <v>7702089</v>
      </c>
      <c r="P12" s="27">
        <f>VALUE(庫存金額!J8)</f>
        <v>7702089</v>
      </c>
      <c r="Q12" s="27">
        <f>VALUE(庫存金額!K8)</f>
        <v>6760506</v>
      </c>
      <c r="R12" s="27">
        <f>VALUE(庫存金額!L8)</f>
        <v>7594787</v>
      </c>
      <c r="S12" s="27">
        <f>VALUE(庫存金額!M8)</f>
        <v>8958655</v>
      </c>
      <c r="T12" s="27">
        <f>VALUE(庫存金額!N8)</f>
        <v>9995670</v>
      </c>
      <c r="U12" s="27">
        <f>VALUE(庫存金額!O8)</f>
        <v>9502950</v>
      </c>
      <c r="V12" s="27">
        <f>VALUE(庫存金額!P8)</f>
        <v>9502950</v>
      </c>
      <c r="W12" s="27">
        <f>VALUE(庫存金額!Q8)</f>
        <v>9470261</v>
      </c>
      <c r="X12" s="27">
        <f>VALUE(庫存金額!R8)</f>
        <v>9169370</v>
      </c>
      <c r="Y12" s="27">
        <f>VALUE(庫存金額!S8)</f>
        <v>10364690</v>
      </c>
      <c r="Z12" s="27">
        <f>VALUE(庫存金額!T8)</f>
        <v>11906284</v>
      </c>
      <c r="AA12" s="27">
        <f>VALUE(庫存金額!U8)</f>
        <v>12266956</v>
      </c>
      <c r="AB12" s="27">
        <f>VALUE(庫存金額!V8)</f>
        <v>12962787</v>
      </c>
      <c r="AC12" s="27">
        <f>VALUE(庫存金額!W8)</f>
        <v>9010134</v>
      </c>
      <c r="AD12" s="27">
        <f>VALUE(庫存金額!X8)</f>
        <v>9010134</v>
      </c>
      <c r="AE12" s="27">
        <f>VALUE(庫存金額!Y8)</f>
        <v>8114967</v>
      </c>
      <c r="AF12" s="27">
        <f>VALUE(庫存金額!Z8)</f>
        <v>8381228</v>
      </c>
      <c r="AG12" s="27">
        <f>VALUE(庫存金額!AA8)</f>
        <v>10473301</v>
      </c>
      <c r="AH12" s="27">
        <f>VALUE(庫存金額!AB8)</f>
        <v>10058590</v>
      </c>
      <c r="AI12" s="27">
        <f>VALUE(庫存金額!AC8)</f>
        <v>10510818</v>
      </c>
      <c r="AJ12" s="27">
        <f>VALUE(庫存金額!AD8)</f>
        <v>6646323</v>
      </c>
      <c r="AK12" s="27">
        <f>VALUE(庫存金額!AE8)</f>
        <v>6646323</v>
      </c>
      <c r="AL12" s="27">
        <f>VALUE(庫存金額!AF8)</f>
        <v>5735297</v>
      </c>
      <c r="AM12" s="27">
        <f>VALUE(庫存金額!AG8)</f>
        <v>4985322</v>
      </c>
      <c r="AN12" s="27">
        <f>VALUE(庫存金額!AH8)</f>
        <v>-749975</v>
      </c>
      <c r="AO12" s="27">
        <f>VALUE(庫存金額!AI8)</f>
        <v>9428954.4800000004</v>
      </c>
      <c r="AP12" s="16">
        <f t="shared" si="1"/>
        <v>664.63229999999999</v>
      </c>
      <c r="AQ12" s="17">
        <f t="shared" si="2"/>
        <v>942.8954480000001</v>
      </c>
      <c r="AR12" s="22"/>
    </row>
    <row r="13" spans="1:44" s="14" customFormat="1" ht="21.95" customHeight="1">
      <c r="A13" s="23"/>
      <c r="B13" s="594" t="s">
        <v>17</v>
      </c>
      <c r="C13" s="595"/>
      <c r="D13" s="323">
        <f t="shared" ref="D13:I13" si="5">SUM(D14:D17)</f>
        <v>10141754.645160001</v>
      </c>
      <c r="E13" s="323">
        <f t="shared" si="5"/>
        <v>10125581.17</v>
      </c>
      <c r="F13" s="323">
        <f t="shared" si="5"/>
        <v>11028716.629090911</v>
      </c>
      <c r="G13" s="323">
        <f t="shared" si="5"/>
        <v>2840062</v>
      </c>
      <c r="H13" s="323">
        <f t="shared" si="5"/>
        <v>2789192</v>
      </c>
      <c r="I13" s="20">
        <f t="shared" si="5"/>
        <v>11790228</v>
      </c>
      <c r="J13" s="20">
        <f t="shared" ref="J13:AO13" si="6">SUM(J14:J17)</f>
        <v>10244292</v>
      </c>
      <c r="K13" s="20">
        <f t="shared" si="6"/>
        <v>9901335</v>
      </c>
      <c r="L13" s="20">
        <f t="shared" si="6"/>
        <v>11829512</v>
      </c>
      <c r="M13" s="20">
        <f t="shared" si="6"/>
        <v>10341450</v>
      </c>
      <c r="N13" s="20">
        <f t="shared" si="6"/>
        <v>11848284</v>
      </c>
      <c r="O13" s="20">
        <f t="shared" si="6"/>
        <v>10135551</v>
      </c>
      <c r="P13" s="20">
        <f t="shared" si="6"/>
        <v>10135551</v>
      </c>
      <c r="Q13" s="20">
        <f t="shared" si="6"/>
        <v>8725747</v>
      </c>
      <c r="R13" s="20">
        <f t="shared" si="6"/>
        <v>10987787</v>
      </c>
      <c r="S13" s="20">
        <f t="shared" si="6"/>
        <v>9322639</v>
      </c>
      <c r="T13" s="20">
        <f t="shared" si="6"/>
        <v>8260098</v>
      </c>
      <c r="U13" s="20">
        <f t="shared" si="6"/>
        <v>9760884</v>
      </c>
      <c r="V13" s="20">
        <f t="shared" si="6"/>
        <v>9760884</v>
      </c>
      <c r="W13" s="20">
        <f t="shared" si="6"/>
        <v>9698805</v>
      </c>
      <c r="X13" s="20">
        <f t="shared" si="6"/>
        <v>8620402</v>
      </c>
      <c r="Y13" s="20">
        <f t="shared" si="6"/>
        <v>10770244</v>
      </c>
      <c r="Z13" s="20">
        <f t="shared" si="6"/>
        <v>10764982</v>
      </c>
      <c r="AA13" s="20">
        <f t="shared" si="6"/>
        <v>9072387</v>
      </c>
      <c r="AB13" s="20">
        <f t="shared" si="6"/>
        <v>12963308</v>
      </c>
      <c r="AC13" s="20">
        <f t="shared" si="6"/>
        <v>11060865</v>
      </c>
      <c r="AD13" s="20">
        <f t="shared" si="6"/>
        <v>11060865</v>
      </c>
      <c r="AE13" s="20">
        <f t="shared" si="6"/>
        <v>9521722</v>
      </c>
      <c r="AF13" s="20">
        <f t="shared" si="6"/>
        <v>8348623</v>
      </c>
      <c r="AG13" s="20">
        <f t="shared" si="6"/>
        <v>11615751</v>
      </c>
      <c r="AH13" s="20">
        <f t="shared" si="6"/>
        <v>10984691</v>
      </c>
      <c r="AI13" s="20">
        <f t="shared" si="6"/>
        <v>13541167</v>
      </c>
      <c r="AJ13" s="20">
        <f t="shared" si="6"/>
        <v>11901896</v>
      </c>
      <c r="AK13" s="20">
        <f t="shared" si="6"/>
        <v>11901896</v>
      </c>
      <c r="AL13" s="20">
        <f t="shared" si="6"/>
        <v>11317507</v>
      </c>
      <c r="AM13" s="20">
        <f t="shared" si="6"/>
        <v>10349679</v>
      </c>
      <c r="AN13" s="20">
        <f t="shared" si="6"/>
        <v>-967828</v>
      </c>
      <c r="AO13" s="20">
        <f t="shared" si="6"/>
        <v>10533517.16</v>
      </c>
      <c r="AP13" s="16">
        <f t="shared" si="1"/>
        <v>1190.1895999999999</v>
      </c>
      <c r="AQ13" s="17">
        <f t="shared" si="2"/>
        <v>1053.3517160000001</v>
      </c>
    </row>
    <row r="14" spans="1:44" s="14" customFormat="1" ht="21.95" customHeight="1">
      <c r="A14" s="23"/>
      <c r="B14" s="24"/>
      <c r="C14" s="29" t="s">
        <v>18</v>
      </c>
      <c r="D14" s="309">
        <f>HLOOKUP(MONTH(日期!$C$2),去年月推移!$D$1:$O$33,12,TRUE)</f>
        <v>0</v>
      </c>
      <c r="E14" s="309">
        <f>HLOOKUP(MONTH(日期!$C$2),當年目標設定!$D$1:$O$33,12,TRUE)</f>
        <v>0</v>
      </c>
      <c r="F14" s="308">
        <f>HLOOKUP(MONTH(日期!$C$2),當年目標設定!$R$1:$AC$33,12,TRUE)</f>
        <v>0</v>
      </c>
      <c r="G14" s="308">
        <f>當年月推移!P12</f>
        <v>0</v>
      </c>
      <c r="H14" s="308">
        <f>當年月推移!P46</f>
        <v>0</v>
      </c>
      <c r="I14" s="27">
        <f>VALUE(庫存金額!C9)</f>
        <v>0</v>
      </c>
      <c r="J14" s="27">
        <f>VALUE(庫存金額!D9)</f>
        <v>0</v>
      </c>
      <c r="K14" s="27">
        <f>VALUE(庫存金額!E9)</f>
        <v>0</v>
      </c>
      <c r="L14" s="27">
        <f>VALUE(庫存金額!F9)</f>
        <v>0</v>
      </c>
      <c r="M14" s="27">
        <f>VALUE(庫存金額!G9)</f>
        <v>0</v>
      </c>
      <c r="N14" s="27">
        <f>VALUE(庫存金額!H9)</f>
        <v>0</v>
      </c>
      <c r="O14" s="27">
        <f>VALUE(庫存金額!I9)</f>
        <v>0</v>
      </c>
      <c r="P14" s="27">
        <f>VALUE(庫存金額!J9)</f>
        <v>0</v>
      </c>
      <c r="Q14" s="27">
        <f>VALUE(庫存金額!K9)</f>
        <v>0</v>
      </c>
      <c r="R14" s="27">
        <f>VALUE(庫存金額!L9)</f>
        <v>0</v>
      </c>
      <c r="S14" s="27">
        <f>VALUE(庫存金額!M9)</f>
        <v>0</v>
      </c>
      <c r="T14" s="27">
        <f>VALUE(庫存金額!N9)</f>
        <v>0</v>
      </c>
      <c r="U14" s="27">
        <f>VALUE(庫存金額!O9)</f>
        <v>0</v>
      </c>
      <c r="V14" s="27">
        <f>VALUE(庫存金額!P9)</f>
        <v>0</v>
      </c>
      <c r="W14" s="27">
        <f>VALUE(庫存金額!Q9)</f>
        <v>0</v>
      </c>
      <c r="X14" s="27">
        <f>VALUE(庫存金額!R9)</f>
        <v>0</v>
      </c>
      <c r="Y14" s="27">
        <f>VALUE(庫存金額!S9)</f>
        <v>0</v>
      </c>
      <c r="Z14" s="27">
        <f>VALUE(庫存金額!T9)</f>
        <v>0</v>
      </c>
      <c r="AA14" s="27">
        <f>VALUE(庫存金額!U9)</f>
        <v>0</v>
      </c>
      <c r="AB14" s="27">
        <f>VALUE(庫存金額!V9)</f>
        <v>0</v>
      </c>
      <c r="AC14" s="27">
        <f>VALUE(庫存金額!W9)</f>
        <v>0</v>
      </c>
      <c r="AD14" s="27">
        <f>VALUE(庫存金額!X9)</f>
        <v>0</v>
      </c>
      <c r="AE14" s="27">
        <f>VALUE(庫存金額!Y9)</f>
        <v>0</v>
      </c>
      <c r="AF14" s="27">
        <f>VALUE(庫存金額!Z9)</f>
        <v>0</v>
      </c>
      <c r="AG14" s="27">
        <f>VALUE(庫存金額!AA9)</f>
        <v>0</v>
      </c>
      <c r="AH14" s="27">
        <f>VALUE(庫存金額!AB9)</f>
        <v>0</v>
      </c>
      <c r="AI14" s="27">
        <f>VALUE(庫存金額!AC9)</f>
        <v>0</v>
      </c>
      <c r="AJ14" s="27">
        <f>VALUE(庫存金額!AD9)</f>
        <v>0</v>
      </c>
      <c r="AK14" s="27">
        <f>VALUE(庫存金額!AE9)</f>
        <v>0</v>
      </c>
      <c r="AL14" s="27">
        <f>VALUE(庫存金額!AF9)</f>
        <v>0</v>
      </c>
      <c r="AM14" s="27">
        <f>VALUE(庫存金額!AG9)</f>
        <v>0</v>
      </c>
      <c r="AN14" s="27">
        <f>VALUE(庫存金額!AH9)</f>
        <v>0</v>
      </c>
      <c r="AO14" s="27">
        <f>VALUE(庫存金額!AI9)</f>
        <v>0</v>
      </c>
      <c r="AP14" s="22"/>
    </row>
    <row r="15" spans="1:44" s="14" customFormat="1" ht="21.95" customHeight="1">
      <c r="A15" s="23"/>
      <c r="B15" s="24"/>
      <c r="C15" s="29" t="s">
        <v>19</v>
      </c>
      <c r="D15" s="309">
        <f>HLOOKUP(MONTH(日期!$C$2),去年月推移!$D$1:$O$33,13,TRUE)</f>
        <v>1875752</v>
      </c>
      <c r="E15" s="309">
        <f>HLOOKUP(MONTH(日期!$C$2),當年目標設定!$D$1:$O$33,13,TRUE)</f>
        <v>1625778.03</v>
      </c>
      <c r="F15" s="308">
        <f>HLOOKUP(MONTH(日期!$C$2),當年目標設定!$R$1:$AC$33,13,TRUE)</f>
        <v>2381977.6581818182</v>
      </c>
      <c r="G15" s="308">
        <f>當年月推移!P13</f>
        <v>2527524</v>
      </c>
      <c r="H15" s="308">
        <f>當年月推移!P47</f>
        <v>2478983</v>
      </c>
      <c r="I15" s="27">
        <f>VALUE(庫存金額!C10)</f>
        <v>1687825</v>
      </c>
      <c r="J15" s="27">
        <f>VALUE(庫存金額!D10)</f>
        <v>1625230</v>
      </c>
      <c r="K15" s="27">
        <f>VALUE(庫存金額!E10)</f>
        <v>1565475</v>
      </c>
      <c r="L15" s="27">
        <f>VALUE(庫存金額!F10)</f>
        <v>1525335</v>
      </c>
      <c r="M15" s="27">
        <f>VALUE(庫存金額!G10)</f>
        <v>1472730</v>
      </c>
      <c r="N15" s="27">
        <f>VALUE(庫存金額!H10)</f>
        <v>1467475</v>
      </c>
      <c r="O15" s="27">
        <f>VALUE(庫存金額!I10)</f>
        <v>1436601</v>
      </c>
      <c r="P15" s="27">
        <f>VALUE(庫存金額!J10)</f>
        <v>1436601</v>
      </c>
      <c r="Q15" s="27">
        <f>VALUE(庫存金額!K10)</f>
        <v>1377701</v>
      </c>
      <c r="R15" s="27">
        <f>VALUE(庫存金額!L10)</f>
        <v>1326686</v>
      </c>
      <c r="S15" s="27">
        <f>VALUE(庫存金額!M10)</f>
        <v>1306881</v>
      </c>
      <c r="T15" s="27">
        <f>VALUE(庫存金額!N10)</f>
        <v>1650966</v>
      </c>
      <c r="U15" s="27">
        <f>VALUE(庫存金額!O10)</f>
        <v>1643801</v>
      </c>
      <c r="V15" s="27">
        <f>VALUE(庫存金額!P10)</f>
        <v>1643801</v>
      </c>
      <c r="W15" s="27">
        <f>VALUE(庫存金額!Q10)</f>
        <v>1643801</v>
      </c>
      <c r="X15" s="27">
        <f>VALUE(庫存金額!R10)</f>
        <v>1618156</v>
      </c>
      <c r="Y15" s="27">
        <f>VALUE(庫存金額!S10)</f>
        <v>1575736</v>
      </c>
      <c r="Z15" s="27">
        <f>VALUE(庫存金額!T10)</f>
        <v>1562032</v>
      </c>
      <c r="AA15" s="27">
        <f>VALUE(庫存金額!U10)</f>
        <v>1550532</v>
      </c>
      <c r="AB15" s="27">
        <f>VALUE(庫存金額!V10)</f>
        <v>1517847</v>
      </c>
      <c r="AC15" s="27">
        <f>VALUE(庫存金額!W10)</f>
        <v>1483462</v>
      </c>
      <c r="AD15" s="27">
        <f>VALUE(庫存金額!X10)</f>
        <v>1483462</v>
      </c>
      <c r="AE15" s="27">
        <f>VALUE(庫存金額!Y10)</f>
        <v>1435592</v>
      </c>
      <c r="AF15" s="27">
        <f>VALUE(庫存金額!Z10)</f>
        <v>1433417</v>
      </c>
      <c r="AG15" s="27">
        <f>VALUE(庫存金額!AA10)</f>
        <v>1410947</v>
      </c>
      <c r="AH15" s="27">
        <f>VALUE(庫存金額!AB10)</f>
        <v>1936062</v>
      </c>
      <c r="AI15" s="27">
        <f>VALUE(庫存金額!AC10)</f>
        <v>1903007</v>
      </c>
      <c r="AJ15" s="27">
        <f>VALUE(庫存金額!AD10)</f>
        <v>1854337</v>
      </c>
      <c r="AK15" s="27">
        <f>VALUE(庫存金額!AE10)</f>
        <v>1854337</v>
      </c>
      <c r="AL15" s="27">
        <f>VALUE(庫存金額!AF10)</f>
        <v>1833732</v>
      </c>
      <c r="AM15" s="27">
        <f>VALUE(庫存金額!AG10)</f>
        <v>1833297</v>
      </c>
      <c r="AN15" s="27">
        <f>VALUE(庫存金額!AH10)</f>
        <v>-435</v>
      </c>
      <c r="AO15" s="27">
        <f>VALUE(庫存金額!AI10)</f>
        <v>1583769.81</v>
      </c>
    </row>
    <row r="16" spans="1:44" s="14" customFormat="1" ht="21.95" customHeight="1">
      <c r="A16" s="23"/>
      <c r="B16" s="24"/>
      <c r="C16" s="30" t="s">
        <v>20</v>
      </c>
      <c r="D16" s="309">
        <f>HLOOKUP(MONTH(日期!$C$2),去年月推移!$D$1:$O$33,14,TRUE)</f>
        <v>277386.38709600002</v>
      </c>
      <c r="E16" s="309">
        <f>HLOOKUP(MONTH(日期!$C$2),當年目標設定!$D$1:$O$33,14,TRUE)</f>
        <v>269857.77500000002</v>
      </c>
      <c r="F16" s="308">
        <f>HLOOKUP(MONTH(日期!$C$2),當年目標設定!$R$1:$AC$33,14,TRUE)</f>
        <v>249055.06863636366</v>
      </c>
      <c r="G16" s="308">
        <f>當年月推移!P15</f>
        <v>312538</v>
      </c>
      <c r="H16" s="308">
        <f>當年月推移!P49</f>
        <v>310209</v>
      </c>
      <c r="I16" s="232">
        <f>VALUE(庫存金額!C14)</f>
        <v>212328</v>
      </c>
      <c r="J16" s="232">
        <f>VALUE(庫存金額!D14)</f>
        <v>210168</v>
      </c>
      <c r="K16" s="232">
        <f>VALUE(庫存金額!E14)</f>
        <v>187298</v>
      </c>
      <c r="L16" s="232">
        <f>VALUE(庫存金額!F14)</f>
        <v>228338</v>
      </c>
      <c r="M16" s="232">
        <f>VALUE(庫存金額!G14)</f>
        <v>225028</v>
      </c>
      <c r="N16" s="232">
        <f>VALUE(庫存金額!H14)</f>
        <v>220628</v>
      </c>
      <c r="O16" s="232">
        <f>VALUE(庫存金額!I14)</f>
        <v>214448</v>
      </c>
      <c r="P16" s="232">
        <f>VALUE(庫存金額!J14)</f>
        <v>214448</v>
      </c>
      <c r="Q16" s="232">
        <f>VALUE(庫存金額!K14)</f>
        <v>288708</v>
      </c>
      <c r="R16" s="232">
        <f>VALUE(庫存金額!L14)</f>
        <v>286548</v>
      </c>
      <c r="S16" s="232">
        <f>VALUE(庫存金額!M14)</f>
        <v>275268</v>
      </c>
      <c r="T16" s="232">
        <f>VALUE(庫存金額!N14)</f>
        <v>266438</v>
      </c>
      <c r="U16" s="232">
        <f>VALUE(庫存金額!O14)</f>
        <v>261088</v>
      </c>
      <c r="V16" s="232">
        <f>VALUE(庫存金額!P14)</f>
        <v>261088</v>
      </c>
      <c r="W16" s="232">
        <f>VALUE(庫存金額!Q14)</f>
        <v>261088</v>
      </c>
      <c r="X16" s="232">
        <f>VALUE(庫存金額!R14)</f>
        <v>258388</v>
      </c>
      <c r="Y16" s="232">
        <f>VALUE(庫存金額!S14)</f>
        <v>254608</v>
      </c>
      <c r="Z16" s="232">
        <f>VALUE(庫存金額!T14)</f>
        <v>252448</v>
      </c>
      <c r="AA16" s="232">
        <f>VALUE(庫存金額!U14)</f>
        <v>250828</v>
      </c>
      <c r="AB16" s="232">
        <f>VALUE(庫存金額!V14)</f>
        <v>249208</v>
      </c>
      <c r="AC16" s="232">
        <f>VALUE(庫存金額!W14)</f>
        <v>247588</v>
      </c>
      <c r="AD16" s="232">
        <f>VALUE(庫存金額!X14)</f>
        <v>247588</v>
      </c>
      <c r="AE16" s="232">
        <f>VALUE(庫存金額!Y14)</f>
        <v>244348</v>
      </c>
      <c r="AF16" s="232">
        <f>VALUE(庫存金額!Z14)</f>
        <v>241138</v>
      </c>
      <c r="AG16" s="232">
        <f>VALUE(庫存金額!AA14)</f>
        <v>240058</v>
      </c>
      <c r="AH16" s="232">
        <f>VALUE(庫存金額!AB14)</f>
        <v>238438</v>
      </c>
      <c r="AI16" s="232">
        <f>VALUE(庫存金額!AC14)</f>
        <v>238438</v>
      </c>
      <c r="AJ16" s="232">
        <f>VALUE(庫存金額!AD14)</f>
        <v>234498</v>
      </c>
      <c r="AK16" s="232">
        <f>VALUE(庫存金額!AE14)</f>
        <v>234498</v>
      </c>
      <c r="AL16" s="232">
        <f>VALUE(庫存金額!AF14)</f>
        <v>232878</v>
      </c>
      <c r="AM16" s="232">
        <f>VALUE(庫存金額!AG14)</f>
        <v>275538</v>
      </c>
      <c r="AN16" s="232">
        <f>VALUE(庫存金額!AH14)</f>
        <v>42660</v>
      </c>
      <c r="AO16" s="232">
        <f>VALUE(庫存金額!AI14)</f>
        <v>243658</v>
      </c>
    </row>
    <row r="17" spans="1:44" s="14" customFormat="1" ht="21.95" customHeight="1" thickBot="1">
      <c r="A17" s="23"/>
      <c r="B17" s="24"/>
      <c r="C17" s="286" t="s">
        <v>21</v>
      </c>
      <c r="D17" s="322">
        <f>HLOOKUP(MONTH(日期!$C$2),去年月推移!$D$1:$O$33,15,TRUE)</f>
        <v>7988616.2580639999</v>
      </c>
      <c r="E17" s="309">
        <f>HLOOKUP(MONTH(日期!$C$2),當年目標設定!$D$1:$O$33,15,TRUE)</f>
        <v>8229945.3650000002</v>
      </c>
      <c r="F17" s="308">
        <f>HLOOKUP(MONTH(日期!$C$2),當年目標設定!$R$1:$AC$33,15,TRUE)</f>
        <v>8397683.9022727292</v>
      </c>
      <c r="G17" s="308">
        <f>當年月推移!P33</f>
        <v>0</v>
      </c>
      <c r="H17" s="308">
        <f>當年月推移!P67</f>
        <v>0</v>
      </c>
      <c r="I17" s="232">
        <f>VALUE(庫存金額!C24)</f>
        <v>9890075</v>
      </c>
      <c r="J17" s="232">
        <f>VALUE(庫存金額!D24)</f>
        <v>8408894</v>
      </c>
      <c r="K17" s="232">
        <f>VALUE(庫存金額!E24)</f>
        <v>8148562</v>
      </c>
      <c r="L17" s="232">
        <f>VALUE(庫存金額!F24)</f>
        <v>10075839</v>
      </c>
      <c r="M17" s="232">
        <f>VALUE(庫存金額!G24)</f>
        <v>8643692</v>
      </c>
      <c r="N17" s="232">
        <f>VALUE(庫存金額!H24)</f>
        <v>10160181</v>
      </c>
      <c r="O17" s="232">
        <f>VALUE(庫存金額!I24)</f>
        <v>8484502</v>
      </c>
      <c r="P17" s="232">
        <f>VALUE(庫存金額!J24)</f>
        <v>8484502</v>
      </c>
      <c r="Q17" s="232">
        <f>VALUE(庫存金額!K24)</f>
        <v>7059338</v>
      </c>
      <c r="R17" s="232">
        <f>VALUE(庫存金額!L24)</f>
        <v>9374553</v>
      </c>
      <c r="S17" s="232">
        <f>VALUE(庫存金額!M24)</f>
        <v>7740490</v>
      </c>
      <c r="T17" s="232">
        <f>VALUE(庫存金額!N24)</f>
        <v>6342694</v>
      </c>
      <c r="U17" s="232">
        <f>VALUE(庫存金額!O24)</f>
        <v>7855995</v>
      </c>
      <c r="V17" s="232">
        <f>VALUE(庫存金額!P24)</f>
        <v>7855995</v>
      </c>
      <c r="W17" s="232">
        <f>VALUE(庫存金額!Q24)</f>
        <v>7793916</v>
      </c>
      <c r="X17" s="232">
        <f>VALUE(庫存金額!R24)</f>
        <v>6743858</v>
      </c>
      <c r="Y17" s="232">
        <f>VALUE(庫存金額!S24)</f>
        <v>8939900</v>
      </c>
      <c r="Z17" s="232">
        <f>VALUE(庫存金額!T24)</f>
        <v>8950502</v>
      </c>
      <c r="AA17" s="232">
        <f>VALUE(庫存金額!U24)</f>
        <v>7271027</v>
      </c>
      <c r="AB17" s="232">
        <f>VALUE(庫存金額!V24)</f>
        <v>11196253</v>
      </c>
      <c r="AC17" s="232">
        <f>VALUE(庫存金額!W24)</f>
        <v>9329815</v>
      </c>
      <c r="AD17" s="232">
        <f>VALUE(庫存金額!X24)</f>
        <v>9329815</v>
      </c>
      <c r="AE17" s="232">
        <f>VALUE(庫存金額!Y24)</f>
        <v>7841782</v>
      </c>
      <c r="AF17" s="232">
        <f>VALUE(庫存金額!Z24)</f>
        <v>6674068</v>
      </c>
      <c r="AG17" s="232">
        <f>VALUE(庫存金額!AA24)</f>
        <v>9964746</v>
      </c>
      <c r="AH17" s="232">
        <f>VALUE(庫存金額!AB24)</f>
        <v>8810191</v>
      </c>
      <c r="AI17" s="232">
        <f>VALUE(庫存金額!AC24)</f>
        <v>11399722</v>
      </c>
      <c r="AJ17" s="232">
        <f>VALUE(庫存金額!AD24)</f>
        <v>9813061</v>
      </c>
      <c r="AK17" s="232">
        <f>VALUE(庫存金額!AE24)</f>
        <v>9813061</v>
      </c>
      <c r="AL17" s="232">
        <f>VALUE(庫存金額!AF24)</f>
        <v>9250897</v>
      </c>
      <c r="AM17" s="232">
        <f>VALUE(庫存金額!AG24)</f>
        <v>8240844</v>
      </c>
      <c r="AN17" s="232">
        <f>VALUE(庫存金額!AH24)</f>
        <v>-1010053</v>
      </c>
      <c r="AO17" s="232">
        <f>VALUE(庫存金額!AI24)</f>
        <v>8706089.3499999996</v>
      </c>
    </row>
    <row r="18" spans="1:44" s="14" customFormat="1" ht="21.95" customHeight="1">
      <c r="A18" s="23"/>
      <c r="B18" s="602" t="s">
        <v>22</v>
      </c>
      <c r="C18" s="603"/>
      <c r="D18" s="324">
        <f t="shared" ref="D18:I18" si="7">SUM(D19:D25)</f>
        <v>229580726.38709503</v>
      </c>
      <c r="E18" s="554">
        <f t="shared" si="7"/>
        <v>241285626.7123701</v>
      </c>
      <c r="F18" s="324">
        <f t="shared" si="7"/>
        <v>259392579.55807972</v>
      </c>
      <c r="G18" s="317">
        <f t="shared" si="7"/>
        <v>219192113</v>
      </c>
      <c r="H18" s="317">
        <f t="shared" si="7"/>
        <v>218117093</v>
      </c>
      <c r="I18" s="237">
        <f t="shared" si="7"/>
        <v>233432711</v>
      </c>
      <c r="J18" s="237">
        <f t="shared" ref="J18:AO18" si="8">SUM(J19:J25)</f>
        <v>234182912</v>
      </c>
      <c r="K18" s="237">
        <f t="shared" si="8"/>
        <v>231682807</v>
      </c>
      <c r="L18" s="237">
        <f t="shared" si="8"/>
        <v>232872059</v>
      </c>
      <c r="M18" s="237">
        <f t="shared" si="8"/>
        <v>238025040</v>
      </c>
      <c r="N18" s="237">
        <f t="shared" si="8"/>
        <v>244371535</v>
      </c>
      <c r="O18" s="237">
        <f t="shared" si="8"/>
        <v>238787659</v>
      </c>
      <c r="P18" s="237">
        <f t="shared" si="8"/>
        <v>238780740</v>
      </c>
      <c r="Q18" s="237">
        <f t="shared" si="8"/>
        <v>239361899</v>
      </c>
      <c r="R18" s="237">
        <f t="shared" si="8"/>
        <v>240438242</v>
      </c>
      <c r="S18" s="237">
        <f t="shared" si="8"/>
        <v>236999517</v>
      </c>
      <c r="T18" s="237">
        <f t="shared" si="8"/>
        <v>236324175</v>
      </c>
      <c r="U18" s="237">
        <f t="shared" si="8"/>
        <v>237948684</v>
      </c>
      <c r="V18" s="237">
        <f t="shared" si="8"/>
        <v>237952798</v>
      </c>
      <c r="W18" s="237">
        <f t="shared" si="8"/>
        <v>237524717</v>
      </c>
      <c r="X18" s="237">
        <f t="shared" si="8"/>
        <v>237710665</v>
      </c>
      <c r="Y18" s="237">
        <f t="shared" si="8"/>
        <v>237728114</v>
      </c>
      <c r="Z18" s="237">
        <f t="shared" si="8"/>
        <v>241790828</v>
      </c>
      <c r="AA18" s="237">
        <f t="shared" si="8"/>
        <v>240573939</v>
      </c>
      <c r="AB18" s="237">
        <f t="shared" si="8"/>
        <v>244860823</v>
      </c>
      <c r="AC18" s="237">
        <f t="shared" si="8"/>
        <v>239842782</v>
      </c>
      <c r="AD18" s="237">
        <f t="shared" si="8"/>
        <v>239842782</v>
      </c>
      <c r="AE18" s="237">
        <f t="shared" si="8"/>
        <v>237531947</v>
      </c>
      <c r="AF18" s="237">
        <f t="shared" si="8"/>
        <v>235858247</v>
      </c>
      <c r="AG18" s="237">
        <f t="shared" si="8"/>
        <v>236978550</v>
      </c>
      <c r="AH18" s="237">
        <f t="shared" si="8"/>
        <v>238835135</v>
      </c>
      <c r="AI18" s="237">
        <f t="shared" si="8"/>
        <v>242611118</v>
      </c>
      <c r="AJ18" s="237">
        <f t="shared" si="8"/>
        <v>238448631</v>
      </c>
      <c r="AK18" s="237">
        <f t="shared" si="8"/>
        <v>238448631</v>
      </c>
      <c r="AL18" s="237">
        <f t="shared" si="8"/>
        <v>238783147</v>
      </c>
      <c r="AM18" s="237">
        <f t="shared" si="8"/>
        <v>237151164</v>
      </c>
      <c r="AN18" s="237">
        <f t="shared" si="8"/>
        <v>-1631983</v>
      </c>
      <c r="AO18" s="237">
        <f t="shared" si="8"/>
        <v>238247806.37</v>
      </c>
      <c r="AP18" s="16">
        <f>AJ18/10000</f>
        <v>23844.863099999999</v>
      </c>
      <c r="AQ18" s="17">
        <f>AO18/10000</f>
        <v>23824.780637</v>
      </c>
      <c r="AR18" s="22"/>
    </row>
    <row r="19" spans="1:44" s="14" customFormat="1" ht="21.95" customHeight="1">
      <c r="A19" s="23"/>
      <c r="B19" s="24"/>
      <c r="C19" s="247" t="s">
        <v>23</v>
      </c>
      <c r="D19" s="309">
        <f>HLOOKUP(MONTH(日期!$C$2),去年月推移!$D$1:$O$33,17,TRUE)</f>
        <v>200192582.645161</v>
      </c>
      <c r="E19" s="555">
        <f>HLOOKUP(MONTH(日期!$C$2),當年目標設定!$D$1:$O$33,17,TRUE)</f>
        <v>217962334.18666667</v>
      </c>
      <c r="F19" s="309">
        <f>HLOOKUP(MONTH(日期!$C$2),當年目標設定!$R$1:$AC$33,17,TRUE)</f>
        <v>236599172.11014488</v>
      </c>
      <c r="G19" s="308">
        <f>當年月推移!P17</f>
        <v>207942735</v>
      </c>
      <c r="H19" s="308">
        <f>當年月推移!P51</f>
        <v>206954283</v>
      </c>
      <c r="I19" s="27">
        <f>VALUE(庫存金額!C3)</f>
        <v>203510851</v>
      </c>
      <c r="J19" s="27">
        <f>VALUE(庫存金額!D3)</f>
        <v>204818450</v>
      </c>
      <c r="K19" s="27">
        <f>VALUE(庫存金額!E3)</f>
        <v>203044770</v>
      </c>
      <c r="L19" s="27">
        <f>VALUE(庫存金額!F3)</f>
        <v>204623669</v>
      </c>
      <c r="M19" s="27">
        <f>VALUE(庫存金額!G3)</f>
        <v>208497218</v>
      </c>
      <c r="N19" s="27">
        <f>VALUE(庫存金額!H3)</f>
        <v>213814499</v>
      </c>
      <c r="O19" s="27">
        <f>VALUE(庫存金額!I3)</f>
        <v>210308244</v>
      </c>
      <c r="P19" s="27">
        <f>VALUE(庫存金額!J3)</f>
        <v>210301325</v>
      </c>
      <c r="Q19" s="27">
        <f>VALUE(庫存金額!K3)</f>
        <v>212554877</v>
      </c>
      <c r="R19" s="27">
        <f>VALUE(庫存金額!L3)</f>
        <v>212887724</v>
      </c>
      <c r="S19" s="27">
        <f>VALUE(庫存金額!M3)</f>
        <v>210687902</v>
      </c>
      <c r="T19" s="27">
        <f>VALUE(庫存金額!N3)</f>
        <v>208786683</v>
      </c>
      <c r="U19" s="27">
        <f>VALUE(庫存金額!O3)</f>
        <v>210753682</v>
      </c>
      <c r="V19" s="27">
        <f>VALUE(庫存金額!P3)</f>
        <v>210753682</v>
      </c>
      <c r="W19" s="27">
        <f>VALUE(庫存金額!Q3)</f>
        <v>210423305</v>
      </c>
      <c r="X19" s="27">
        <f>VALUE(庫存金額!R3)</f>
        <v>210885913</v>
      </c>
      <c r="Y19" s="27">
        <f>VALUE(庫存金額!S3)</f>
        <v>210486091</v>
      </c>
      <c r="Z19" s="27">
        <f>VALUE(庫存金額!T3)</f>
        <v>214017720</v>
      </c>
      <c r="AA19" s="27">
        <f>VALUE(庫存金額!U3)</f>
        <v>212664747</v>
      </c>
      <c r="AB19" s="27">
        <f>VALUE(庫存金額!V3)</f>
        <v>215076129</v>
      </c>
      <c r="AC19" s="27">
        <f>VALUE(庫存金額!W3)</f>
        <v>212112468</v>
      </c>
      <c r="AD19" s="27">
        <f>VALUE(庫存金額!X3)</f>
        <v>212112468</v>
      </c>
      <c r="AE19" s="27">
        <f>VALUE(庫存金額!Y3)</f>
        <v>210903351</v>
      </c>
      <c r="AF19" s="27">
        <f>VALUE(庫存金額!Z3)</f>
        <v>209924502</v>
      </c>
      <c r="AG19" s="27">
        <f>VALUE(庫存金額!AA3)</f>
        <v>210832174</v>
      </c>
      <c r="AH19" s="27">
        <f>VALUE(庫存金額!AB3)</f>
        <v>212199166</v>
      </c>
      <c r="AI19" s="27">
        <f>VALUE(庫存金額!AC3)</f>
        <v>214046259</v>
      </c>
      <c r="AJ19" s="27">
        <f>VALUE(庫存金額!AD3)</f>
        <v>212009821</v>
      </c>
      <c r="AK19" s="27">
        <f>VALUE(庫存金額!AE3)</f>
        <v>212009821</v>
      </c>
      <c r="AL19" s="27">
        <f>VALUE(庫存金額!AF3)</f>
        <v>212775224</v>
      </c>
      <c r="AM19" s="27">
        <f>VALUE(庫存金額!AG3)</f>
        <v>211921446</v>
      </c>
      <c r="AN19" s="27">
        <f>VALUE(庫存金額!AH3)</f>
        <v>-853778</v>
      </c>
      <c r="AO19" s="27">
        <f>VALUE(庫存金額!AI3)</f>
        <v>210636909.06</v>
      </c>
    </row>
    <row r="20" spans="1:44" s="14" customFormat="1" ht="21.95" customHeight="1">
      <c r="A20" s="23"/>
      <c r="B20" s="24"/>
      <c r="C20" s="29" t="s">
        <v>24</v>
      </c>
      <c r="D20" s="309">
        <f>HLOOKUP(MONTH(日期!$C$2),去年月推移!$D$1:$O$33,18,TRUE)</f>
        <v>2063635.6774190001</v>
      </c>
      <c r="E20" s="555">
        <f>HLOOKUP(MONTH(日期!$C$2),當年目標設定!$D$1:$O$33,18,TRUE)</f>
        <v>2591186.384684199</v>
      </c>
      <c r="F20" s="309">
        <f>HLOOKUP(MONTH(日期!$C$2),當年目標設定!$R$1:$AC$33,18,TRUE)</f>
        <v>2407449.1131343809</v>
      </c>
      <c r="G20" s="308">
        <f>當年月推移!P18</f>
        <v>2009782</v>
      </c>
      <c r="H20" s="308">
        <f>當年月推移!P52</f>
        <v>2020630</v>
      </c>
      <c r="I20" s="232">
        <f>VALUE(庫存金額!C13)</f>
        <v>2029081</v>
      </c>
      <c r="J20" s="232">
        <f>VALUE(庫存金額!D13)</f>
        <v>1958784</v>
      </c>
      <c r="K20" s="232">
        <f>VALUE(庫存金額!E13)</f>
        <v>2026897</v>
      </c>
      <c r="L20" s="232">
        <f>VALUE(庫存金額!F13)</f>
        <v>2108689</v>
      </c>
      <c r="M20" s="232">
        <f>VALUE(庫存金額!G13)</f>
        <v>2159149</v>
      </c>
      <c r="N20" s="232">
        <f>VALUE(庫存金額!H13)</f>
        <v>2330163</v>
      </c>
      <c r="O20" s="232">
        <f>VALUE(庫存金額!I13)</f>
        <v>2054274</v>
      </c>
      <c r="P20" s="232">
        <f>VALUE(庫存金額!J13)</f>
        <v>2054274</v>
      </c>
      <c r="Q20" s="232">
        <f>VALUE(庫存金額!K13)</f>
        <v>1243525</v>
      </c>
      <c r="R20" s="232">
        <f>VALUE(庫存金額!L13)</f>
        <v>1711077</v>
      </c>
      <c r="S20" s="232">
        <f>VALUE(庫存金額!M13)</f>
        <v>1406327</v>
      </c>
      <c r="T20" s="232">
        <f>VALUE(庫存金額!N13)</f>
        <v>1694790</v>
      </c>
      <c r="U20" s="232">
        <f>VALUE(庫存金額!O13)</f>
        <v>1599916</v>
      </c>
      <c r="V20" s="232">
        <f>VALUE(庫存金額!P13)</f>
        <v>1599916</v>
      </c>
      <c r="W20" s="232">
        <f>VALUE(庫存金額!Q13)</f>
        <v>1544760</v>
      </c>
      <c r="X20" s="232">
        <f>VALUE(庫存金額!R13)</f>
        <v>1633980</v>
      </c>
      <c r="Y20" s="232">
        <f>VALUE(庫存金額!S13)</f>
        <v>1631465</v>
      </c>
      <c r="Z20" s="232">
        <f>VALUE(庫存金額!T13)</f>
        <v>1466288</v>
      </c>
      <c r="AA20" s="232">
        <f>VALUE(庫存金額!U13)</f>
        <v>1496606</v>
      </c>
      <c r="AB20" s="232">
        <f>VALUE(庫存金額!V13)</f>
        <v>2061724</v>
      </c>
      <c r="AC20" s="232">
        <f>VALUE(庫存金額!W13)</f>
        <v>1749845</v>
      </c>
      <c r="AD20" s="232">
        <f>VALUE(庫存金額!X13)</f>
        <v>1749845</v>
      </c>
      <c r="AE20" s="232">
        <f>VALUE(庫存金額!Y13)</f>
        <v>1605266</v>
      </c>
      <c r="AF20" s="232">
        <f>VALUE(庫存金額!Z13)</f>
        <v>1766608</v>
      </c>
      <c r="AG20" s="232">
        <f>VALUE(庫存金額!AA13)</f>
        <v>1591909</v>
      </c>
      <c r="AH20" s="232">
        <f>VALUE(庫存金額!AB13)</f>
        <v>1325418</v>
      </c>
      <c r="AI20" s="232">
        <f>VALUE(庫存金額!AC13)</f>
        <v>2628086</v>
      </c>
      <c r="AJ20" s="232">
        <f>VALUE(庫存金額!AD13)</f>
        <v>1951279</v>
      </c>
      <c r="AK20" s="232">
        <f>VALUE(庫存金額!AE13)</f>
        <v>1951279</v>
      </c>
      <c r="AL20" s="232">
        <f>VALUE(庫存金額!AF13)</f>
        <v>1647021</v>
      </c>
      <c r="AM20" s="232">
        <f>VALUE(庫存金額!AG13)</f>
        <v>1938950</v>
      </c>
      <c r="AN20" s="232">
        <f>VALUE(庫存金額!AH13)</f>
        <v>291929</v>
      </c>
      <c r="AO20" s="232">
        <f>VALUE(庫存金額!AI13)</f>
        <v>1797328.74</v>
      </c>
    </row>
    <row r="21" spans="1:44" s="14" customFormat="1" ht="21.95" customHeight="1">
      <c r="A21" s="23"/>
      <c r="B21" s="24"/>
      <c r="C21" s="29" t="s">
        <v>25</v>
      </c>
      <c r="D21" s="309">
        <f>HLOOKUP(MONTH(日期!$C$2),去年月推移!$D$1:$O$33,19,TRUE)</f>
        <v>8598658.0967740007</v>
      </c>
      <c r="E21" s="555">
        <f>HLOOKUP(MONTH(日期!$C$2),當年目標設定!$D$1:$O$33,19,TRUE)</f>
        <v>3573271.3818290448</v>
      </c>
      <c r="F21" s="309">
        <f>HLOOKUP(MONTH(日期!$C$2),當年目標設定!$R$1:$AC$33,19,TRUE)</f>
        <v>3783514.4158011628</v>
      </c>
      <c r="G21" s="308">
        <f>當年月推移!P19</f>
        <v>161176</v>
      </c>
      <c r="H21" s="308">
        <f>當年月推移!P53</f>
        <v>161176</v>
      </c>
      <c r="I21" s="232">
        <f>VALUE(庫存金額!C18)</f>
        <v>8808880</v>
      </c>
      <c r="J21" s="232">
        <f>VALUE(庫存金額!D18)</f>
        <v>8758173</v>
      </c>
      <c r="K21" s="232">
        <f>VALUE(庫存金額!E18)</f>
        <v>8721497</v>
      </c>
      <c r="L21" s="232">
        <f>VALUE(庫存金額!F18)</f>
        <v>8680232</v>
      </c>
      <c r="M21" s="232">
        <f>VALUE(庫存金額!G18)</f>
        <v>8643507</v>
      </c>
      <c r="N21" s="232">
        <f>VALUE(庫存金額!H18)</f>
        <v>8625524</v>
      </c>
      <c r="O21" s="232">
        <f>VALUE(庫存金額!I18)</f>
        <v>8575184</v>
      </c>
      <c r="P21" s="232">
        <f>VALUE(庫存金額!J18)</f>
        <v>8575184</v>
      </c>
      <c r="Q21" s="232">
        <f>VALUE(庫存金額!K18)</f>
        <v>8502998</v>
      </c>
      <c r="R21" s="232">
        <f>VALUE(庫存金額!L18)</f>
        <v>8475776</v>
      </c>
      <c r="S21" s="232">
        <f>VALUE(庫存金額!M18)</f>
        <v>8467141</v>
      </c>
      <c r="T21" s="232">
        <f>VALUE(庫存金額!N18)</f>
        <v>8423486</v>
      </c>
      <c r="U21" s="232">
        <f>VALUE(庫存金額!O18)</f>
        <v>8372327</v>
      </c>
      <c r="V21" s="232">
        <f>VALUE(庫存金額!P18)</f>
        <v>8372327</v>
      </c>
      <c r="W21" s="232">
        <f>VALUE(庫存金額!Q18)</f>
        <v>8368647</v>
      </c>
      <c r="X21" s="232">
        <f>VALUE(庫存金額!R18)</f>
        <v>8296930</v>
      </c>
      <c r="Y21" s="232">
        <f>VALUE(庫存金額!S18)</f>
        <v>8270645</v>
      </c>
      <c r="Z21" s="232">
        <f>VALUE(庫存金額!T18)</f>
        <v>8239732</v>
      </c>
      <c r="AA21" s="232">
        <f>VALUE(庫存金額!U18)</f>
        <v>8199541</v>
      </c>
      <c r="AB21" s="232">
        <f>VALUE(庫存金額!V18)</f>
        <v>8180698</v>
      </c>
      <c r="AC21" s="232">
        <f>VALUE(庫存金額!W18)</f>
        <v>8156382</v>
      </c>
      <c r="AD21" s="232">
        <f>VALUE(庫存金額!X18)</f>
        <v>8156382</v>
      </c>
      <c r="AE21" s="232">
        <f>VALUE(庫存金額!Y18)</f>
        <v>8131876</v>
      </c>
      <c r="AF21" s="232">
        <f>VALUE(庫存金額!Z18)</f>
        <v>8102209</v>
      </c>
      <c r="AG21" s="232">
        <f>VALUE(庫存金額!AA18)</f>
        <v>8092891</v>
      </c>
      <c r="AH21" s="232">
        <f>VALUE(庫存金額!AB18)</f>
        <v>8057102</v>
      </c>
      <c r="AI21" s="232">
        <f>VALUE(庫存金額!AC18)</f>
        <v>8003140</v>
      </c>
      <c r="AJ21" s="232">
        <f>VALUE(庫存金額!AD18)</f>
        <v>7968806</v>
      </c>
      <c r="AK21" s="232">
        <f>VALUE(庫存金額!AE18)</f>
        <v>7968806</v>
      </c>
      <c r="AL21" s="232">
        <f>VALUE(庫存金額!AF18)</f>
        <v>7972832</v>
      </c>
      <c r="AM21" s="232">
        <f>VALUE(庫存金額!AG18)</f>
        <v>7943480</v>
      </c>
      <c r="AN21" s="232">
        <f>VALUE(庫存金額!AH18)</f>
        <v>-29352</v>
      </c>
      <c r="AO21" s="232">
        <f>VALUE(庫存金額!AI18)</f>
        <v>8326204.3499999996</v>
      </c>
    </row>
    <row r="22" spans="1:44" s="14" customFormat="1" ht="21.95" customHeight="1">
      <c r="A22" s="23"/>
      <c r="B22" s="24"/>
      <c r="C22" s="29" t="s">
        <v>26</v>
      </c>
      <c r="D22" s="309">
        <f>HLOOKUP(MONTH(日期!$C$2),去年月推移!$D$1:$O$33,20,TRUE)</f>
        <v>11950493.580645001</v>
      </c>
      <c r="E22" s="555">
        <f>HLOOKUP(MONTH(日期!$C$2),當年目標設定!$D$1:$O$33,20,TRUE)</f>
        <v>11498761.69406422</v>
      </c>
      <c r="F22" s="309">
        <f>HLOOKUP(MONTH(日期!$C$2),當年目標設定!$R$1:$AC$33,20,TRUE)</f>
        <v>11058702.213014714</v>
      </c>
      <c r="G22" s="308">
        <f>當年月推移!P20</f>
        <v>162800</v>
      </c>
      <c r="H22" s="308">
        <f>當年月推移!P54</f>
        <v>162800</v>
      </c>
      <c r="I22" s="232">
        <f>VALUE(庫存金額!C17)</f>
        <v>12432559</v>
      </c>
      <c r="J22" s="232">
        <f>VALUE(庫存金額!D17)</f>
        <v>12098147</v>
      </c>
      <c r="K22" s="232">
        <f>VALUE(庫存金額!E17)</f>
        <v>11641411</v>
      </c>
      <c r="L22" s="232">
        <f>VALUE(庫存金額!F17)</f>
        <v>11477714</v>
      </c>
      <c r="M22" s="232">
        <f>VALUE(庫存金額!G17)</f>
        <v>12725353</v>
      </c>
      <c r="N22" s="232">
        <f>VALUE(庫存金額!H17)</f>
        <v>13331021</v>
      </c>
      <c r="O22" s="232">
        <f>VALUE(庫存金額!I17)</f>
        <v>12371050</v>
      </c>
      <c r="P22" s="232">
        <f>VALUE(庫存金額!J17)</f>
        <v>12371050</v>
      </c>
      <c r="Q22" s="232">
        <f>VALUE(庫存金額!K17)</f>
        <v>12095648</v>
      </c>
      <c r="R22" s="232">
        <f>VALUE(庫存金額!L17)</f>
        <v>12398315</v>
      </c>
      <c r="S22" s="232">
        <f>VALUE(庫存金額!M17)</f>
        <v>11742340</v>
      </c>
      <c r="T22" s="232">
        <f>VALUE(庫存金額!N17)</f>
        <v>12061188</v>
      </c>
      <c r="U22" s="232">
        <f>VALUE(庫存金額!O17)</f>
        <v>11703303</v>
      </c>
      <c r="V22" s="232">
        <f>VALUE(庫存金額!P17)</f>
        <v>11707417</v>
      </c>
      <c r="W22" s="232">
        <f>VALUE(庫存金額!Q17)</f>
        <v>11686819</v>
      </c>
      <c r="X22" s="232">
        <f>VALUE(庫存金額!R17)</f>
        <v>11569922</v>
      </c>
      <c r="Y22" s="232">
        <f>VALUE(庫存金額!S17)</f>
        <v>11941311</v>
      </c>
      <c r="Z22" s="232">
        <f>VALUE(庫存金額!T17)</f>
        <v>12096758</v>
      </c>
      <c r="AA22" s="232">
        <f>VALUE(庫存金額!U17)</f>
        <v>12261475</v>
      </c>
      <c r="AB22" s="232">
        <f>VALUE(庫存金額!V17)</f>
        <v>13452273</v>
      </c>
      <c r="AC22" s="232">
        <f>VALUE(庫存金額!W17)</f>
        <v>12406762</v>
      </c>
      <c r="AD22" s="232">
        <f>VALUE(庫存金額!X17)</f>
        <v>12406762</v>
      </c>
      <c r="AE22" s="232">
        <f>VALUE(庫存金額!Y17)</f>
        <v>11856559</v>
      </c>
      <c r="AF22" s="232">
        <f>VALUE(庫存金額!Z17)</f>
        <v>11039973</v>
      </c>
      <c r="AG22" s="232">
        <f>VALUE(庫存金額!AA17)</f>
        <v>11512562</v>
      </c>
      <c r="AH22" s="232">
        <f>VALUE(庫存金額!AB17)</f>
        <v>12516269</v>
      </c>
      <c r="AI22" s="232">
        <f>VALUE(庫存金額!AC17)</f>
        <v>13211556</v>
      </c>
      <c r="AJ22" s="232">
        <f>VALUE(庫存金額!AD17)</f>
        <v>12279378</v>
      </c>
      <c r="AK22" s="232">
        <f>VALUE(庫存金額!AE17)</f>
        <v>12279378</v>
      </c>
      <c r="AL22" s="232">
        <f>VALUE(庫存金額!AF17)</f>
        <v>12192245</v>
      </c>
      <c r="AM22" s="232">
        <f>VALUE(庫存金額!AG17)</f>
        <v>12310878</v>
      </c>
      <c r="AN22" s="232">
        <f>VALUE(庫存金額!AH17)</f>
        <v>118633</v>
      </c>
      <c r="AO22" s="232">
        <f>VALUE(庫存金額!AI17)</f>
        <v>12167012.77</v>
      </c>
    </row>
    <row r="23" spans="1:44" s="14" customFormat="1" ht="21.95" customHeight="1">
      <c r="A23" s="23"/>
      <c r="B23" s="24"/>
      <c r="C23" s="247" t="s">
        <v>27</v>
      </c>
      <c r="D23" s="309">
        <f>HLOOKUP(MONTH(日期!$C$2),去年月推移!$D$1:$O$33,21,TRUE)</f>
        <v>6503298.0322580002</v>
      </c>
      <c r="E23" s="555">
        <f>HLOOKUP(MONTH(日期!$C$2),當年目標設定!$D$1:$O$33,21,TRUE)</f>
        <v>5510543.3120186254</v>
      </c>
      <c r="F23" s="309">
        <f>HLOOKUP(MONTH(日期!$C$2),當年目標設定!$R$1:$AC$33,21,TRUE)</f>
        <v>5404147.6755833095</v>
      </c>
      <c r="G23" s="308">
        <f>當年月推移!P21</f>
        <v>8634927</v>
      </c>
      <c r="H23" s="308">
        <f>當年月推移!P55</f>
        <v>8558526</v>
      </c>
      <c r="I23" s="232">
        <f>VALUE(庫存金額!C16)</f>
        <v>6381701</v>
      </c>
      <c r="J23" s="232">
        <f>VALUE(庫存金額!D16)</f>
        <v>6279719</v>
      </c>
      <c r="K23" s="232">
        <f>VALUE(庫存金額!E16)</f>
        <v>5978593</v>
      </c>
      <c r="L23" s="232">
        <f>VALUE(庫存金額!F16)</f>
        <v>5712116</v>
      </c>
      <c r="M23" s="232">
        <f>VALUE(庫存金額!G16)</f>
        <v>5730174</v>
      </c>
      <c r="N23" s="232">
        <f>VALUE(庫存金額!H16)</f>
        <v>6000689</v>
      </c>
      <c r="O23" s="232">
        <f>VALUE(庫存金額!I16)</f>
        <v>5209268</v>
      </c>
      <c r="P23" s="232">
        <f>VALUE(庫存金額!J16)</f>
        <v>5209268</v>
      </c>
      <c r="Q23" s="232">
        <f>VALUE(庫存金額!K16)</f>
        <v>4695212</v>
      </c>
      <c r="R23" s="232">
        <f>VALUE(庫存金額!L16)</f>
        <v>4695711</v>
      </c>
      <c r="S23" s="232">
        <f>VALUE(庫存金額!M16)</f>
        <v>4351168</v>
      </c>
      <c r="T23" s="232">
        <f>VALUE(庫存金額!N16)</f>
        <v>5088389</v>
      </c>
      <c r="U23" s="232">
        <f>VALUE(庫存金額!O16)</f>
        <v>5249817</v>
      </c>
      <c r="V23" s="232">
        <f>VALUE(庫存金額!P16)</f>
        <v>5249817</v>
      </c>
      <c r="W23" s="232">
        <f>VALUE(庫存金額!Q16)</f>
        <v>5231547</v>
      </c>
      <c r="X23" s="232">
        <f>VALUE(庫存金額!R16)</f>
        <v>5054281</v>
      </c>
      <c r="Y23" s="232">
        <f>VALUE(庫存金額!S16)</f>
        <v>5128963</v>
      </c>
      <c r="Z23" s="232">
        <f>VALUE(庫存金額!T16)</f>
        <v>5700691</v>
      </c>
      <c r="AA23" s="232">
        <f>VALUE(庫存金額!U16)</f>
        <v>5681931</v>
      </c>
      <c r="AB23" s="232">
        <f>VALUE(庫存金額!V16)</f>
        <v>5820360</v>
      </c>
      <c r="AC23" s="232">
        <f>VALUE(庫存金額!W16)</f>
        <v>5147686</v>
      </c>
      <c r="AD23" s="232">
        <f>VALUE(庫存金額!X16)</f>
        <v>5147686</v>
      </c>
      <c r="AE23" s="232">
        <f>VALUE(庫存金額!Y16)</f>
        <v>4765256</v>
      </c>
      <c r="AF23" s="232">
        <f>VALUE(庫存金額!Z16)</f>
        <v>4755316</v>
      </c>
      <c r="AG23" s="232">
        <f>VALUE(庫存金額!AA16)</f>
        <v>4679375</v>
      </c>
      <c r="AH23" s="232">
        <f>VALUE(庫存金額!AB16)</f>
        <v>4467541</v>
      </c>
      <c r="AI23" s="232">
        <f>VALUE(庫存金額!AC16)</f>
        <v>4452438</v>
      </c>
      <c r="AJ23" s="232">
        <f>VALUE(庫存金額!AD16)</f>
        <v>3969708</v>
      </c>
      <c r="AK23" s="232">
        <f>VALUE(庫存金額!AE16)</f>
        <v>3969708</v>
      </c>
      <c r="AL23" s="232">
        <f>VALUE(庫存金額!AF16)</f>
        <v>3926186</v>
      </c>
      <c r="AM23" s="232">
        <f>VALUE(庫存金額!AG16)</f>
        <v>2766771</v>
      </c>
      <c r="AN23" s="232">
        <f>VALUE(庫存金額!AH16)</f>
        <v>-1159415</v>
      </c>
      <c r="AO23" s="232">
        <f>VALUE(庫存金額!AI16)</f>
        <v>5048293.0999999996</v>
      </c>
    </row>
    <row r="24" spans="1:44" s="14" customFormat="1" ht="21.95" customHeight="1">
      <c r="A24" s="23"/>
      <c r="B24" s="24"/>
      <c r="C24" s="29" t="s">
        <v>28</v>
      </c>
      <c r="D24" s="309">
        <f>HLOOKUP(MONTH(日期!$C$2),去年月推移!$D$1:$O$33,22,TRUE)</f>
        <v>109258.354838</v>
      </c>
      <c r="E24" s="555">
        <f>HLOOKUP(MONTH(日期!$C$2),當年目標設定!$D$1:$O$33,22,TRUE)</f>
        <v>149529.75310731333</v>
      </c>
      <c r="F24" s="309">
        <f>HLOOKUP(MONTH(日期!$C$2),當年目標設定!$R$1:$AC$33,22,TRUE)</f>
        <v>139594.03040125201</v>
      </c>
      <c r="G24" s="308">
        <f>當年月推移!P22</f>
        <v>105729</v>
      </c>
      <c r="H24" s="308">
        <f>當年月推移!P56</f>
        <v>105234</v>
      </c>
      <c r="I24" s="232">
        <f>VALUE(庫存金額!C11)</f>
        <v>106839</v>
      </c>
      <c r="J24" s="232">
        <f>VALUE(庫存金額!D11)</f>
        <v>106839</v>
      </c>
      <c r="K24" s="232">
        <f>VALUE(庫存金額!E11)</f>
        <v>106839</v>
      </c>
      <c r="L24" s="232">
        <f>VALUE(庫存金額!F11)</f>
        <v>106839</v>
      </c>
      <c r="M24" s="232">
        <f>VALUE(庫存金額!G11)</f>
        <v>106839</v>
      </c>
      <c r="N24" s="232">
        <f>VALUE(庫存金額!H11)</f>
        <v>106839</v>
      </c>
      <c r="O24" s="232">
        <f>VALUE(庫存金額!I11)</f>
        <v>106839</v>
      </c>
      <c r="P24" s="232">
        <f>VALUE(庫存金額!J11)</f>
        <v>106839</v>
      </c>
      <c r="Q24" s="232">
        <f>VALUE(庫存金額!K11)</f>
        <v>106839</v>
      </c>
      <c r="R24" s="232">
        <f>VALUE(庫存金額!L11)</f>
        <v>106839</v>
      </c>
      <c r="S24" s="232">
        <f>VALUE(庫存金額!M11)</f>
        <v>181839</v>
      </c>
      <c r="T24" s="232">
        <f>VALUE(庫存金額!N11)</f>
        <v>106839</v>
      </c>
      <c r="U24" s="232">
        <f>VALUE(庫存金額!O11)</f>
        <v>106839</v>
      </c>
      <c r="V24" s="232">
        <f>VALUE(庫存金額!P11)</f>
        <v>106839</v>
      </c>
      <c r="W24" s="232">
        <f>VALUE(庫存金額!Q11)</f>
        <v>106839</v>
      </c>
      <c r="X24" s="232">
        <f>VALUE(庫存金額!R11)</f>
        <v>106839</v>
      </c>
      <c r="Y24" s="232">
        <f>VALUE(庫存金額!S11)</f>
        <v>106839</v>
      </c>
      <c r="Z24" s="232">
        <f>VALUE(庫存金額!T11)</f>
        <v>106839</v>
      </c>
      <c r="AA24" s="232">
        <f>VALUE(庫存金額!U11)</f>
        <v>106839</v>
      </c>
      <c r="AB24" s="232">
        <f>VALUE(庫存金額!V11)</f>
        <v>106839</v>
      </c>
      <c r="AC24" s="232">
        <f>VALUE(庫存金額!W11)</f>
        <v>106839</v>
      </c>
      <c r="AD24" s="232">
        <f>VALUE(庫存金額!X11)</f>
        <v>106839</v>
      </c>
      <c r="AE24" s="232">
        <f>VALUE(庫存金額!Y11)</f>
        <v>106839</v>
      </c>
      <c r="AF24" s="232">
        <f>VALUE(庫存金額!Z11)</f>
        <v>106839</v>
      </c>
      <c r="AG24" s="232">
        <f>VALUE(庫存金額!AA11)</f>
        <v>106839</v>
      </c>
      <c r="AH24" s="232">
        <f>VALUE(庫存金額!AB11)</f>
        <v>106839</v>
      </c>
      <c r="AI24" s="232">
        <f>VALUE(庫存金額!AC11)</f>
        <v>106839</v>
      </c>
      <c r="AJ24" s="232">
        <f>VALUE(庫存金額!AD11)</f>
        <v>106839</v>
      </c>
      <c r="AK24" s="232">
        <f>VALUE(庫存金額!AE11)</f>
        <v>106839</v>
      </c>
      <c r="AL24" s="232">
        <f>VALUE(庫存金額!AF11)</f>
        <v>106839</v>
      </c>
      <c r="AM24" s="232">
        <f>VALUE(庫存金額!AG11)</f>
        <v>106839</v>
      </c>
      <c r="AN24" s="232">
        <f>VALUE(庫存金額!AH11)</f>
        <v>0</v>
      </c>
      <c r="AO24" s="232">
        <f>VALUE(庫存金額!AI11)</f>
        <v>109258.35</v>
      </c>
    </row>
    <row r="25" spans="1:44" s="14" customFormat="1" ht="21.95" customHeight="1" thickBot="1">
      <c r="A25" s="23"/>
      <c r="B25" s="24"/>
      <c r="C25" s="30" t="s">
        <v>29</v>
      </c>
      <c r="D25" s="322">
        <f>HLOOKUP(MONTH(日期!$C$2),去年月推移!$D$1:$O$33,23,TRUE)</f>
        <v>162800</v>
      </c>
      <c r="E25" s="555">
        <f>HLOOKUP(MONTH(日期!$C$2),當年目標設定!$D$1:$O$33,23,TRUE)</f>
        <v>0</v>
      </c>
      <c r="F25" s="309">
        <f>HLOOKUP(MONTH(日期!$C$2),當年目標設定!$R$1:$AC$33,23,TRUE)</f>
        <v>0</v>
      </c>
      <c r="G25" s="308">
        <f>當年月推移!P23</f>
        <v>174964</v>
      </c>
      <c r="H25" s="308">
        <f>當年月推移!P57</f>
        <v>154444</v>
      </c>
      <c r="I25" s="111">
        <f>VALUE(庫存金額!C19)</f>
        <v>162800</v>
      </c>
      <c r="J25" s="111">
        <f>VALUE(庫存金額!D19)</f>
        <v>162800</v>
      </c>
      <c r="K25" s="111">
        <f>VALUE(庫存金額!E19)</f>
        <v>162800</v>
      </c>
      <c r="L25" s="111">
        <f>VALUE(庫存金額!F19)</f>
        <v>162800</v>
      </c>
      <c r="M25" s="111">
        <f>VALUE(庫存金額!G19)</f>
        <v>162800</v>
      </c>
      <c r="N25" s="111">
        <f>VALUE(庫存金額!H19)</f>
        <v>162800</v>
      </c>
      <c r="O25" s="111">
        <f>VALUE(庫存金額!I19)</f>
        <v>162800</v>
      </c>
      <c r="P25" s="111">
        <f>VALUE(庫存金額!J19)</f>
        <v>162800</v>
      </c>
      <c r="Q25" s="111">
        <f>VALUE(庫存金額!K19)</f>
        <v>162800</v>
      </c>
      <c r="R25" s="111">
        <f>VALUE(庫存金額!L19)</f>
        <v>162800</v>
      </c>
      <c r="S25" s="111">
        <f>VALUE(庫存金額!M19)</f>
        <v>162800</v>
      </c>
      <c r="T25" s="111">
        <f>VALUE(庫存金額!N19)</f>
        <v>162800</v>
      </c>
      <c r="U25" s="111">
        <f>VALUE(庫存金額!O19)</f>
        <v>162800</v>
      </c>
      <c r="V25" s="111">
        <f>VALUE(庫存金額!P19)</f>
        <v>162800</v>
      </c>
      <c r="W25" s="111">
        <f>VALUE(庫存金額!Q19)</f>
        <v>162800</v>
      </c>
      <c r="X25" s="111">
        <f>VALUE(庫存金額!R19)</f>
        <v>162800</v>
      </c>
      <c r="Y25" s="111">
        <f>VALUE(庫存金額!S19)</f>
        <v>162800</v>
      </c>
      <c r="Z25" s="111">
        <f>VALUE(庫存金額!T19)</f>
        <v>162800</v>
      </c>
      <c r="AA25" s="111">
        <f>VALUE(庫存金額!U19)</f>
        <v>162800</v>
      </c>
      <c r="AB25" s="111">
        <f>VALUE(庫存金額!V19)</f>
        <v>162800</v>
      </c>
      <c r="AC25" s="111">
        <f>VALUE(庫存金額!W19)</f>
        <v>162800</v>
      </c>
      <c r="AD25" s="111">
        <f>VALUE(庫存金額!X19)</f>
        <v>162800</v>
      </c>
      <c r="AE25" s="111">
        <f>VALUE(庫存金額!Y19)</f>
        <v>162800</v>
      </c>
      <c r="AF25" s="111">
        <f>VALUE(庫存金額!Z19)</f>
        <v>162800</v>
      </c>
      <c r="AG25" s="111">
        <f>VALUE(庫存金額!AA19)</f>
        <v>162800</v>
      </c>
      <c r="AH25" s="111">
        <f>VALUE(庫存金額!AB19)</f>
        <v>162800</v>
      </c>
      <c r="AI25" s="111">
        <f>VALUE(庫存金額!AC19)</f>
        <v>162800</v>
      </c>
      <c r="AJ25" s="111">
        <f>VALUE(庫存金額!AD19)</f>
        <v>162800</v>
      </c>
      <c r="AK25" s="111">
        <f>VALUE(庫存金額!AE19)</f>
        <v>162800</v>
      </c>
      <c r="AL25" s="111">
        <f>VALUE(庫存金額!AF19)</f>
        <v>162800</v>
      </c>
      <c r="AM25" s="111">
        <f>VALUE(庫存金額!AG19)</f>
        <v>162800</v>
      </c>
      <c r="AN25" s="111">
        <f>VALUE(庫存金額!AH19)</f>
        <v>0</v>
      </c>
      <c r="AO25" s="111">
        <f>VALUE(庫存金額!AI19)</f>
        <v>162800</v>
      </c>
    </row>
    <row r="26" spans="1:44" s="14" customFormat="1" ht="21.95" customHeight="1">
      <c r="A26" s="23"/>
      <c r="B26" s="262"/>
      <c r="C26" s="265" t="s">
        <v>30</v>
      </c>
      <c r="D26" s="325">
        <f t="shared" ref="D26:I26" si="9">SUM(D27:D31)</f>
        <v>1296177.870967</v>
      </c>
      <c r="E26" s="325">
        <f t="shared" si="9"/>
        <v>0</v>
      </c>
      <c r="F26" s="318">
        <f t="shared" si="9"/>
        <v>0</v>
      </c>
      <c r="G26" s="318">
        <f t="shared" si="9"/>
        <v>12994794</v>
      </c>
      <c r="H26" s="318">
        <f t="shared" si="9"/>
        <v>14470808</v>
      </c>
      <c r="I26" s="237">
        <f t="shared" si="9"/>
        <v>2936068</v>
      </c>
      <c r="J26" s="237">
        <f t="shared" ref="J26:AO26" si="10">SUM(J27:J31)</f>
        <v>3542696</v>
      </c>
      <c r="K26" s="237">
        <f t="shared" si="10"/>
        <v>3106906</v>
      </c>
      <c r="L26" s="237">
        <f t="shared" si="10"/>
        <v>2974895</v>
      </c>
      <c r="M26" s="237">
        <f t="shared" si="10"/>
        <v>3031859</v>
      </c>
      <c r="N26" s="237">
        <f t="shared" si="10"/>
        <v>2877853</v>
      </c>
      <c r="O26" s="237">
        <f t="shared" si="10"/>
        <v>2887363</v>
      </c>
      <c r="P26" s="237">
        <f t="shared" si="10"/>
        <v>2887363</v>
      </c>
      <c r="Q26" s="237">
        <f t="shared" si="10"/>
        <v>5058912</v>
      </c>
      <c r="R26" s="237">
        <f t="shared" si="10"/>
        <v>4898826</v>
      </c>
      <c r="S26" s="237">
        <f t="shared" si="10"/>
        <v>5057706</v>
      </c>
      <c r="T26" s="237">
        <f t="shared" si="10"/>
        <v>5271290</v>
      </c>
      <c r="U26" s="237">
        <f t="shared" si="10"/>
        <v>5130504</v>
      </c>
      <c r="V26" s="237">
        <f t="shared" si="10"/>
        <v>5130504</v>
      </c>
      <c r="W26" s="237">
        <f t="shared" si="10"/>
        <v>5130504</v>
      </c>
      <c r="X26" s="237">
        <f t="shared" si="10"/>
        <v>5238549</v>
      </c>
      <c r="Y26" s="237">
        <f t="shared" si="10"/>
        <v>4022511</v>
      </c>
      <c r="Z26" s="237">
        <f t="shared" si="10"/>
        <v>4774867</v>
      </c>
      <c r="AA26" s="237">
        <f t="shared" si="10"/>
        <v>4663353</v>
      </c>
      <c r="AB26" s="237">
        <f t="shared" si="10"/>
        <v>5327441</v>
      </c>
      <c r="AC26" s="237">
        <f t="shared" si="10"/>
        <v>5221841</v>
      </c>
      <c r="AD26" s="237">
        <f t="shared" si="10"/>
        <v>5221841</v>
      </c>
      <c r="AE26" s="237">
        <f t="shared" si="10"/>
        <v>5999741</v>
      </c>
      <c r="AF26" s="237">
        <f t="shared" si="10"/>
        <v>4661280</v>
      </c>
      <c r="AG26" s="237">
        <f t="shared" si="10"/>
        <v>4589859</v>
      </c>
      <c r="AH26" s="237">
        <f t="shared" si="10"/>
        <v>4500739</v>
      </c>
      <c r="AI26" s="237">
        <f t="shared" si="10"/>
        <v>4445750</v>
      </c>
      <c r="AJ26" s="237">
        <f t="shared" si="10"/>
        <v>4344950</v>
      </c>
      <c r="AK26" s="237">
        <f t="shared" si="10"/>
        <v>4344950</v>
      </c>
      <c r="AL26" s="237">
        <f t="shared" si="10"/>
        <v>4218950</v>
      </c>
      <c r="AM26" s="237">
        <f t="shared" si="10"/>
        <v>4232830</v>
      </c>
      <c r="AN26" s="237">
        <f t="shared" si="10"/>
        <v>13880</v>
      </c>
      <c r="AO26" s="237">
        <f t="shared" si="10"/>
        <v>4378474.2200000007</v>
      </c>
    </row>
    <row r="27" spans="1:44" s="14" customFormat="1" ht="21.95" customHeight="1">
      <c r="A27" s="23"/>
      <c r="B27" s="263"/>
      <c r="C27" s="247" t="s">
        <v>31</v>
      </c>
      <c r="D27" s="326">
        <f>HLOOKUP(MONTH(日期!$C$2),去年月推移!$D$1:$O$33,25,TRUE)</f>
        <v>161176</v>
      </c>
      <c r="E27" s="326">
        <f>HLOOKUP(MONTH(日期!$C$2),當年目標設定!$D$1:$O$33,25,TRUE)</f>
        <v>0</v>
      </c>
      <c r="F27" s="308">
        <f>HLOOKUP(MONTH(日期!$C$2),當年目標設定!$R$1:$AC$33,25,TRUE)</f>
        <v>0</v>
      </c>
      <c r="G27" s="308">
        <f>當年月推移!P25</f>
        <v>0</v>
      </c>
      <c r="H27" s="308">
        <f>當年月推移!P59</f>
        <v>0</v>
      </c>
      <c r="I27" s="27">
        <f>VALUE(庫存金額!C20)</f>
        <v>161176</v>
      </c>
      <c r="J27" s="27">
        <f>VALUE(庫存金額!D20)</f>
        <v>161176</v>
      </c>
      <c r="K27" s="27">
        <f>VALUE(庫存金額!E20)</f>
        <v>161176</v>
      </c>
      <c r="L27" s="27">
        <f>VALUE(庫存金額!F20)</f>
        <v>161176</v>
      </c>
      <c r="M27" s="27">
        <f>VALUE(庫存金額!G20)</f>
        <v>161176</v>
      </c>
      <c r="N27" s="27">
        <f>VALUE(庫存金額!H20)</f>
        <v>161176</v>
      </c>
      <c r="O27" s="27">
        <f>VALUE(庫存金額!I20)</f>
        <v>161176</v>
      </c>
      <c r="P27" s="27">
        <f>VALUE(庫存金額!J20)</f>
        <v>161176</v>
      </c>
      <c r="Q27" s="27">
        <f>VALUE(庫存金額!K20)</f>
        <v>161176</v>
      </c>
      <c r="R27" s="27">
        <f>VALUE(庫存金額!L20)</f>
        <v>161176</v>
      </c>
      <c r="S27" s="27">
        <f>VALUE(庫存金額!M20)</f>
        <v>161176</v>
      </c>
      <c r="T27" s="27">
        <f>VALUE(庫存金額!N20)</f>
        <v>161176</v>
      </c>
      <c r="U27" s="27">
        <f>VALUE(庫存金額!O20)</f>
        <v>161176</v>
      </c>
      <c r="V27" s="27">
        <f>VALUE(庫存金額!P20)</f>
        <v>161176</v>
      </c>
      <c r="W27" s="27">
        <f>VALUE(庫存金額!Q20)</f>
        <v>161176</v>
      </c>
      <c r="X27" s="27">
        <f>VALUE(庫存金額!R20)</f>
        <v>161176</v>
      </c>
      <c r="Y27" s="27">
        <f>VALUE(庫存金額!S20)</f>
        <v>161176</v>
      </c>
      <c r="Z27" s="27">
        <f>VALUE(庫存金額!T20)</f>
        <v>161176</v>
      </c>
      <c r="AA27" s="27">
        <f>VALUE(庫存金額!U20)</f>
        <v>161176</v>
      </c>
      <c r="AB27" s="27">
        <f>VALUE(庫存金額!V20)</f>
        <v>161176</v>
      </c>
      <c r="AC27" s="27">
        <f>VALUE(庫存金額!W20)</f>
        <v>161176</v>
      </c>
      <c r="AD27" s="27">
        <f>VALUE(庫存金額!X20)</f>
        <v>161176</v>
      </c>
      <c r="AE27" s="27">
        <f>VALUE(庫存金額!Y20)</f>
        <v>161176</v>
      </c>
      <c r="AF27" s="27">
        <f>VALUE(庫存金額!Z20)</f>
        <v>161176</v>
      </c>
      <c r="AG27" s="27">
        <f>VALUE(庫存金額!AA20)</f>
        <v>161176</v>
      </c>
      <c r="AH27" s="27">
        <f>VALUE(庫存金額!AB20)</f>
        <v>161176</v>
      </c>
      <c r="AI27" s="27">
        <f>VALUE(庫存金額!AC20)</f>
        <v>161176</v>
      </c>
      <c r="AJ27" s="27">
        <f>VALUE(庫存金額!AD20)</f>
        <v>161176</v>
      </c>
      <c r="AK27" s="27">
        <f>VALUE(庫存金額!AE20)</f>
        <v>161176</v>
      </c>
      <c r="AL27" s="27">
        <f>VALUE(庫存金額!AF20)</f>
        <v>161176</v>
      </c>
      <c r="AM27" s="27">
        <f>VALUE(庫存金額!AG20)</f>
        <v>161176</v>
      </c>
      <c r="AN27" s="27">
        <f>VALUE(庫存金額!AH20)</f>
        <v>0</v>
      </c>
      <c r="AO27" s="27">
        <f>VALUE(庫存金額!AI20)</f>
        <v>161176</v>
      </c>
    </row>
    <row r="28" spans="1:44" s="14" customFormat="1" ht="21.95" customHeight="1">
      <c r="A28" s="23"/>
      <c r="B28" s="263"/>
      <c r="C28" s="29" t="s">
        <v>32</v>
      </c>
      <c r="D28" s="326">
        <f>HLOOKUP(MONTH(日期!$C$2),去年月推移!$D$1:$O$33,26,TRUE)</f>
        <v>90548.064515999999</v>
      </c>
      <c r="E28" s="326">
        <f>HLOOKUP(MONTH(日期!$C$2),當年目標設定!$D$1:$O$33,26,TRUE)</f>
        <v>0</v>
      </c>
      <c r="F28" s="308">
        <f>HLOOKUP(MONTH(日期!$C$2),當年目標設定!$R$1:$AC$33,26,TRUE)</f>
        <v>0</v>
      </c>
      <c r="G28" s="308">
        <f>當年月推移!P26</f>
        <v>0</v>
      </c>
      <c r="H28" s="308">
        <f>當年月推移!P60</f>
        <v>0</v>
      </c>
      <c r="I28" s="27">
        <f>VALUE(庫存金額!C21)</f>
        <v>114778</v>
      </c>
      <c r="J28" s="27">
        <f>VALUE(庫存金額!D21)</f>
        <v>114778</v>
      </c>
      <c r="K28" s="27">
        <f>VALUE(庫存金額!E21)</f>
        <v>114778</v>
      </c>
      <c r="L28" s="27">
        <f>VALUE(庫存金額!F21)</f>
        <v>114778</v>
      </c>
      <c r="M28" s="27">
        <f>VALUE(庫存金額!G21)</f>
        <v>114778</v>
      </c>
      <c r="N28" s="27">
        <f>VALUE(庫存金額!H21)</f>
        <v>114778</v>
      </c>
      <c r="O28" s="27">
        <f>VALUE(庫存金額!I21)</f>
        <v>114778</v>
      </c>
      <c r="P28" s="27">
        <f>VALUE(庫存金額!J21)</f>
        <v>114778</v>
      </c>
      <c r="Q28" s="27">
        <f>VALUE(庫存金額!K21)</f>
        <v>114778</v>
      </c>
      <c r="R28" s="27">
        <f>VALUE(庫存金額!L21)</f>
        <v>114778</v>
      </c>
      <c r="S28" s="27">
        <f>VALUE(庫存金額!M21)</f>
        <v>114778</v>
      </c>
      <c r="T28" s="27">
        <f>VALUE(庫存金額!N21)</f>
        <v>114778</v>
      </c>
      <c r="U28" s="27">
        <f>VALUE(庫存金額!O21)</f>
        <v>114778</v>
      </c>
      <c r="V28" s="27">
        <f>VALUE(庫存金額!P21)</f>
        <v>114778</v>
      </c>
      <c r="W28" s="27">
        <f>VALUE(庫存金額!Q21)</f>
        <v>114778</v>
      </c>
      <c r="X28" s="27">
        <f>VALUE(庫存金額!R21)</f>
        <v>114778</v>
      </c>
      <c r="Y28" s="27">
        <f>VALUE(庫存金額!S21)</f>
        <v>114778</v>
      </c>
      <c r="Z28" s="27">
        <f>VALUE(庫存金額!T21)</f>
        <v>214042</v>
      </c>
      <c r="AA28" s="27">
        <f>VALUE(庫存金額!U21)</f>
        <v>185242</v>
      </c>
      <c r="AB28" s="27">
        <f>VALUE(庫存金額!V21)</f>
        <v>312406</v>
      </c>
      <c r="AC28" s="27">
        <f>VALUE(庫存金額!W21)</f>
        <v>312406</v>
      </c>
      <c r="AD28" s="27">
        <f>VALUE(庫存金額!X21)</f>
        <v>312406</v>
      </c>
      <c r="AE28" s="27">
        <f>VALUE(庫存金額!Y21)</f>
        <v>312406</v>
      </c>
      <c r="AF28" s="27">
        <f>VALUE(庫存金額!Z21)</f>
        <v>138994</v>
      </c>
      <c r="AG28" s="27">
        <f>VALUE(庫存金額!AA21)</f>
        <v>138994</v>
      </c>
      <c r="AH28" s="27">
        <f>VALUE(庫存金額!AB21)</f>
        <v>138994</v>
      </c>
      <c r="AI28" s="27">
        <f>VALUE(庫存金額!AC21)</f>
        <v>138994</v>
      </c>
      <c r="AJ28" s="27">
        <f>VALUE(庫存金額!AD21)</f>
        <v>138994</v>
      </c>
      <c r="AK28" s="27">
        <f>VALUE(庫存金額!AE21)</f>
        <v>138994</v>
      </c>
      <c r="AL28" s="27">
        <f>VALUE(庫存金額!AF21)</f>
        <v>138994</v>
      </c>
      <c r="AM28" s="27">
        <f>VALUE(庫存金額!AG21)</f>
        <v>138994</v>
      </c>
      <c r="AN28" s="27">
        <f>VALUE(庫存金額!AH21)</f>
        <v>0</v>
      </c>
      <c r="AO28" s="27">
        <f>VALUE(庫存金額!AI21)</f>
        <v>152002.76999999999</v>
      </c>
    </row>
    <row r="29" spans="1:44" s="14" customFormat="1" ht="21.95" customHeight="1">
      <c r="A29" s="23"/>
      <c r="B29" s="263"/>
      <c r="C29" s="29" t="s">
        <v>33</v>
      </c>
      <c r="D29" s="326">
        <f>HLOOKUP(MONTH(日期!$C$2),去年月推移!$D$1:$O$33,27,TRUE)</f>
        <v>0</v>
      </c>
      <c r="E29" s="326">
        <f>HLOOKUP(MONTH(日期!$C$2),當年目標設定!$D$1:$O$33,27,TRUE)</f>
        <v>0</v>
      </c>
      <c r="F29" s="308">
        <f>HLOOKUP(MONTH(日期!$C$2),當年目標設定!$R$1:$AC$33,27,TRUE)</f>
        <v>0</v>
      </c>
      <c r="G29" s="308">
        <f>當年月推移!P27</f>
        <v>8739953</v>
      </c>
      <c r="H29" s="308">
        <f>當年月推移!P61</f>
        <v>9992610</v>
      </c>
      <c r="I29" s="27">
        <f>VALUE(庫存金額!C22)</f>
        <v>0</v>
      </c>
      <c r="J29" s="27">
        <f>VALUE(庫存金額!D22)</f>
        <v>0</v>
      </c>
      <c r="K29" s="27">
        <f>VALUE(庫存金額!E22)</f>
        <v>0</v>
      </c>
      <c r="L29" s="27">
        <f>VALUE(庫存金額!F22)</f>
        <v>0</v>
      </c>
      <c r="M29" s="27">
        <f>VALUE(庫存金額!G22)</f>
        <v>0</v>
      </c>
      <c r="N29" s="27">
        <f>VALUE(庫存金額!H22)</f>
        <v>0</v>
      </c>
      <c r="O29" s="27">
        <f>VALUE(庫存金額!I22)</f>
        <v>0</v>
      </c>
      <c r="P29" s="27">
        <f>VALUE(庫存金額!J22)</f>
        <v>0</v>
      </c>
      <c r="Q29" s="27">
        <f>VALUE(庫存金額!K22)</f>
        <v>0</v>
      </c>
      <c r="R29" s="27">
        <f>VALUE(庫存金額!L22)</f>
        <v>0</v>
      </c>
      <c r="S29" s="27">
        <f>VALUE(庫存金額!M22)</f>
        <v>0</v>
      </c>
      <c r="T29" s="27">
        <f>VALUE(庫存金額!N22)</f>
        <v>0</v>
      </c>
      <c r="U29" s="27">
        <f>VALUE(庫存金額!O22)</f>
        <v>0</v>
      </c>
      <c r="V29" s="27">
        <f>VALUE(庫存金額!P22)</f>
        <v>0</v>
      </c>
      <c r="W29" s="27">
        <f>VALUE(庫存金額!Q22)</f>
        <v>0</v>
      </c>
      <c r="X29" s="27">
        <f>VALUE(庫存金額!R22)</f>
        <v>0</v>
      </c>
      <c r="Y29" s="27">
        <f>VALUE(庫存金額!S22)</f>
        <v>0</v>
      </c>
      <c r="Z29" s="27">
        <f>VALUE(庫存金額!T22)</f>
        <v>0</v>
      </c>
      <c r="AA29" s="27">
        <f>VALUE(庫存金額!U22)</f>
        <v>0</v>
      </c>
      <c r="AB29" s="27">
        <f>VALUE(庫存金額!V22)</f>
        <v>0</v>
      </c>
      <c r="AC29" s="27">
        <f>VALUE(庫存金額!W22)</f>
        <v>0</v>
      </c>
      <c r="AD29" s="27">
        <f>VALUE(庫存金額!X22)</f>
        <v>0</v>
      </c>
      <c r="AE29" s="27">
        <f>VALUE(庫存金額!Y22)</f>
        <v>0</v>
      </c>
      <c r="AF29" s="27">
        <f>VALUE(庫存金額!Z22)</f>
        <v>0</v>
      </c>
      <c r="AG29" s="27">
        <f>VALUE(庫存金額!AA22)</f>
        <v>0</v>
      </c>
      <c r="AH29" s="27">
        <f>VALUE(庫存金額!AB22)</f>
        <v>0</v>
      </c>
      <c r="AI29" s="27">
        <f>VALUE(庫存金額!AC22)</f>
        <v>0</v>
      </c>
      <c r="AJ29" s="27">
        <f>VALUE(庫存金額!AD22)</f>
        <v>0</v>
      </c>
      <c r="AK29" s="27">
        <f>VALUE(庫存金額!AE22)</f>
        <v>0</v>
      </c>
      <c r="AL29" s="27">
        <f>VALUE(庫存金額!AF22)</f>
        <v>0</v>
      </c>
      <c r="AM29" s="27">
        <f>VALUE(庫存金額!AG22)</f>
        <v>0</v>
      </c>
      <c r="AN29" s="27">
        <f>VALUE(庫存金額!AH22)</f>
        <v>0</v>
      </c>
      <c r="AO29" s="27">
        <f>VALUE(庫存金額!AI22)</f>
        <v>0</v>
      </c>
    </row>
    <row r="30" spans="1:44" s="14" customFormat="1" ht="21.95" customHeight="1" thickBot="1">
      <c r="A30" s="23"/>
      <c r="B30" s="264"/>
      <c r="C30" s="29" t="s">
        <v>34</v>
      </c>
      <c r="D30" s="326">
        <f>HLOOKUP(MONTH(日期!$C$2),去年月推移!$D$1:$O$33,28,TRUE)</f>
        <v>0</v>
      </c>
      <c r="E30" s="326">
        <f>HLOOKUP(MONTH(日期!$C$2),當年目標設定!$D$1:$O$33,28,TRUE)</f>
        <v>0</v>
      </c>
      <c r="F30" s="308">
        <f>HLOOKUP(MONTH(日期!$C$2),當年目標設定!$R$1:$AC$33,28,TRUE)</f>
        <v>0</v>
      </c>
      <c r="G30" s="308">
        <f>當年月推移!P28</f>
        <v>4254841</v>
      </c>
      <c r="H30" s="308">
        <f>當年月推移!P62</f>
        <v>4478198</v>
      </c>
      <c r="I30" s="232">
        <f>VALUE(庫存金額!C23)</f>
        <v>0</v>
      </c>
      <c r="J30" s="232">
        <f>VALUE(庫存金額!D23)</f>
        <v>0</v>
      </c>
      <c r="K30" s="232">
        <f>VALUE(庫存金額!E23)</f>
        <v>0</v>
      </c>
      <c r="L30" s="232">
        <f>VALUE(庫存金額!F23)</f>
        <v>0</v>
      </c>
      <c r="M30" s="232">
        <f>VALUE(庫存金額!G23)</f>
        <v>0</v>
      </c>
      <c r="N30" s="232">
        <f>VALUE(庫存金額!H23)</f>
        <v>0</v>
      </c>
      <c r="O30" s="232">
        <f>VALUE(庫存金額!I23)</f>
        <v>0</v>
      </c>
      <c r="P30" s="232">
        <f>VALUE(庫存金額!J23)</f>
        <v>0</v>
      </c>
      <c r="Q30" s="232">
        <f>VALUE(庫存金額!K23)</f>
        <v>0</v>
      </c>
      <c r="R30" s="232">
        <f>VALUE(庫存金額!L23)</f>
        <v>0</v>
      </c>
      <c r="S30" s="232">
        <f>VALUE(庫存金額!M23)</f>
        <v>0</v>
      </c>
      <c r="T30" s="232">
        <f>VALUE(庫存金額!N23)</f>
        <v>0</v>
      </c>
      <c r="U30" s="232">
        <f>VALUE(庫存金額!O23)</f>
        <v>0</v>
      </c>
      <c r="V30" s="232">
        <f>VALUE(庫存金額!P23)</f>
        <v>0</v>
      </c>
      <c r="W30" s="232">
        <f>VALUE(庫存金額!Q23)</f>
        <v>0</v>
      </c>
      <c r="X30" s="232">
        <f>VALUE(庫存金額!R23)</f>
        <v>0</v>
      </c>
      <c r="Y30" s="232">
        <f>VALUE(庫存金額!S23)</f>
        <v>0</v>
      </c>
      <c r="Z30" s="232">
        <f>VALUE(庫存金額!T23)</f>
        <v>0</v>
      </c>
      <c r="AA30" s="232">
        <f>VALUE(庫存金額!U23)</f>
        <v>0</v>
      </c>
      <c r="AB30" s="232">
        <f>VALUE(庫存金額!V23)</f>
        <v>0</v>
      </c>
      <c r="AC30" s="232">
        <f>VALUE(庫存金額!W23)</f>
        <v>0</v>
      </c>
      <c r="AD30" s="232">
        <f>VALUE(庫存金額!X23)</f>
        <v>0</v>
      </c>
      <c r="AE30" s="232">
        <f>VALUE(庫存金額!Y23)</f>
        <v>0</v>
      </c>
      <c r="AF30" s="232">
        <f>VALUE(庫存金額!Z23)</f>
        <v>0</v>
      </c>
      <c r="AG30" s="232">
        <f>VALUE(庫存金額!AA23)</f>
        <v>0</v>
      </c>
      <c r="AH30" s="232">
        <f>VALUE(庫存金額!AB23)</f>
        <v>0</v>
      </c>
      <c r="AI30" s="232">
        <f>VALUE(庫存金額!AC23)</f>
        <v>0</v>
      </c>
      <c r="AJ30" s="232">
        <f>VALUE(庫存金額!AD23)</f>
        <v>0</v>
      </c>
      <c r="AK30" s="232">
        <f>VALUE(庫存金額!AE23)</f>
        <v>0</v>
      </c>
      <c r="AL30" s="232">
        <f>VALUE(庫存金額!AF23)</f>
        <v>0</v>
      </c>
      <c r="AM30" s="232">
        <f>VALUE(庫存金額!AG23)</f>
        <v>0</v>
      </c>
      <c r="AN30" s="232">
        <f>VALUE(庫存金額!AH23)</f>
        <v>0</v>
      </c>
      <c r="AO30" s="232">
        <f>VALUE(庫存金額!AI23)</f>
        <v>0</v>
      </c>
    </row>
    <row r="31" spans="1:44" s="14" customFormat="1" ht="21.95" customHeight="1" thickBot="1">
      <c r="A31" s="23"/>
      <c r="B31" s="289"/>
      <c r="C31" s="290" t="s">
        <v>35</v>
      </c>
      <c r="D31" s="326">
        <f>HLOOKUP(MONTH(日期!$C$2),去年月推移!$D$1:$O$33,29,TRUE)</f>
        <v>1044453.806451</v>
      </c>
      <c r="E31" s="326">
        <f>HLOOKUP(MONTH(日期!$C$2),當年目標設定!$D$1:$O$33,29,TRUE)</f>
        <v>0</v>
      </c>
      <c r="F31" s="507">
        <f>HLOOKUP(MONTH(日期!$C$2),當年目標設定!$R$1:$AC$33,29,TRUE)</f>
        <v>0</v>
      </c>
      <c r="G31" s="507">
        <f>當年月推移!P34</f>
        <v>0</v>
      </c>
      <c r="H31" s="507">
        <f>當年月推移!P68</f>
        <v>0</v>
      </c>
      <c r="I31" s="111">
        <f>VALUE(庫存金額!C25)</f>
        <v>2660114</v>
      </c>
      <c r="J31" s="111">
        <f>VALUE(庫存金額!D25)</f>
        <v>3266742</v>
      </c>
      <c r="K31" s="111">
        <f>VALUE(庫存金額!E25)</f>
        <v>2830952</v>
      </c>
      <c r="L31" s="111">
        <f>VALUE(庫存金額!F25)</f>
        <v>2698941</v>
      </c>
      <c r="M31" s="111">
        <f>VALUE(庫存金額!G25)</f>
        <v>2755905</v>
      </c>
      <c r="N31" s="111">
        <f>VALUE(庫存金額!H25)</f>
        <v>2601899</v>
      </c>
      <c r="O31" s="111">
        <f>VALUE(庫存金額!I25)</f>
        <v>2611409</v>
      </c>
      <c r="P31" s="111">
        <f>VALUE(庫存金額!J25)</f>
        <v>2611409</v>
      </c>
      <c r="Q31" s="111">
        <f>VALUE(庫存金額!K25)</f>
        <v>4782958</v>
      </c>
      <c r="R31" s="111">
        <f>VALUE(庫存金額!L25)</f>
        <v>4622872</v>
      </c>
      <c r="S31" s="111">
        <f>VALUE(庫存金額!M25)</f>
        <v>4781752</v>
      </c>
      <c r="T31" s="111">
        <f>VALUE(庫存金額!N25)</f>
        <v>4995336</v>
      </c>
      <c r="U31" s="111">
        <f>VALUE(庫存金額!O25)</f>
        <v>4854550</v>
      </c>
      <c r="V31" s="111">
        <f>VALUE(庫存金額!P25)</f>
        <v>4854550</v>
      </c>
      <c r="W31" s="111">
        <f>VALUE(庫存金額!Q25)</f>
        <v>4854550</v>
      </c>
      <c r="X31" s="111">
        <f>VALUE(庫存金額!R25)</f>
        <v>4962595</v>
      </c>
      <c r="Y31" s="111">
        <f>VALUE(庫存金額!S25)</f>
        <v>3746557</v>
      </c>
      <c r="Z31" s="111">
        <f>VALUE(庫存金額!T25)</f>
        <v>4399649</v>
      </c>
      <c r="AA31" s="111">
        <f>VALUE(庫存金額!U25)</f>
        <v>4316935</v>
      </c>
      <c r="AB31" s="111">
        <f>VALUE(庫存金額!V25)</f>
        <v>4853859</v>
      </c>
      <c r="AC31" s="111">
        <f>VALUE(庫存金額!W25)</f>
        <v>4748259</v>
      </c>
      <c r="AD31" s="111">
        <f>VALUE(庫存金額!X25)</f>
        <v>4748259</v>
      </c>
      <c r="AE31" s="111">
        <f>VALUE(庫存金額!Y25)</f>
        <v>5526159</v>
      </c>
      <c r="AF31" s="111">
        <f>VALUE(庫存金額!Z25)</f>
        <v>4361110</v>
      </c>
      <c r="AG31" s="111">
        <f>VALUE(庫存金額!AA25)</f>
        <v>4289689</v>
      </c>
      <c r="AH31" s="111">
        <f>VALUE(庫存金額!AB25)</f>
        <v>4200569</v>
      </c>
      <c r="AI31" s="111">
        <f>VALUE(庫存金額!AC25)</f>
        <v>4145580</v>
      </c>
      <c r="AJ31" s="111">
        <f>VALUE(庫存金額!AD25)</f>
        <v>4044780</v>
      </c>
      <c r="AK31" s="111">
        <f>VALUE(庫存金額!AE25)</f>
        <v>4044780</v>
      </c>
      <c r="AL31" s="111">
        <f>VALUE(庫存金額!AF25)</f>
        <v>3918780</v>
      </c>
      <c r="AM31" s="111">
        <f>VALUE(庫存金額!AG25)</f>
        <v>3932660</v>
      </c>
      <c r="AN31" s="111">
        <f>VALUE(庫存金額!AH25)</f>
        <v>13880</v>
      </c>
      <c r="AO31" s="111">
        <f>VALUE(庫存金額!AI25)</f>
        <v>4065295.45</v>
      </c>
    </row>
    <row r="32" spans="1:44" s="32" customFormat="1" ht="21.95" customHeight="1">
      <c r="A32" s="596" t="s">
        <v>36</v>
      </c>
      <c r="B32" s="597"/>
      <c r="C32" s="31" t="s">
        <v>37</v>
      </c>
      <c r="D32" s="327">
        <f>HLOOKUP(MONTH(日期!$C$2),去年月推移!$D$1:$O$33,30,TRUE)</f>
        <v>2142201</v>
      </c>
      <c r="E32" s="327">
        <f>HLOOKUP(MONTH(日期!$C$2),當年目標設定!$D$1:$O$33,30,TRUE)</f>
        <v>0</v>
      </c>
      <c r="F32" s="328">
        <f>HLOOKUP(MONTH(日期!$C$2),當年目標設定!$R$1:$AC$33,30,TRUE)</f>
        <v>0</v>
      </c>
      <c r="G32" s="328">
        <f>當年月推移!P29</f>
        <v>4439824</v>
      </c>
      <c r="H32" s="328">
        <f>當年月推移!P63</f>
        <v>5000021</v>
      </c>
      <c r="I32" s="110">
        <f>VALUE(庫存金額!C15)</f>
        <v>3523222</v>
      </c>
      <c r="J32" s="110">
        <f>VALUE(庫存金額!D15)</f>
        <v>3452026</v>
      </c>
      <c r="K32" s="110">
        <f>VALUE(庫存金額!E15)</f>
        <v>3401770</v>
      </c>
      <c r="L32" s="110">
        <f>VALUE(庫存金額!F15)</f>
        <v>3271941</v>
      </c>
      <c r="M32" s="110">
        <f>VALUE(庫存金額!G15)</f>
        <v>3179805</v>
      </c>
      <c r="N32" s="110">
        <f>VALUE(庫存金額!H15)</f>
        <v>3083480</v>
      </c>
      <c r="O32" s="110">
        <f>VALUE(庫存金額!I15)</f>
        <v>2999720</v>
      </c>
      <c r="P32" s="110">
        <f>VALUE(庫存金額!J15)</f>
        <v>2999720</v>
      </c>
      <c r="Q32" s="110">
        <f>VALUE(庫存金額!K15)</f>
        <v>2903395</v>
      </c>
      <c r="R32" s="110">
        <f>VALUE(庫存金額!L15)</f>
        <v>2861514</v>
      </c>
      <c r="S32" s="110">
        <f>VALUE(庫存金額!M15)</f>
        <v>2802883</v>
      </c>
      <c r="T32" s="110">
        <f>VALUE(庫存金額!N15)</f>
        <v>2761191</v>
      </c>
      <c r="U32" s="110">
        <f>VALUE(庫存金額!O15)</f>
        <v>2652302</v>
      </c>
      <c r="V32" s="110">
        <f>VALUE(庫存金額!P15)</f>
        <v>2652302</v>
      </c>
      <c r="W32" s="110">
        <f>VALUE(庫存金額!Q15)</f>
        <v>2635550</v>
      </c>
      <c r="X32" s="110">
        <f>VALUE(庫存金額!R15)</f>
        <v>2501534</v>
      </c>
      <c r="Y32" s="110">
        <f>VALUE(庫存金額!S15)</f>
        <v>2421960</v>
      </c>
      <c r="Z32" s="110">
        <f>VALUE(庫存金額!T15)</f>
        <v>2354952</v>
      </c>
      <c r="AA32" s="110">
        <f>VALUE(庫存金額!U15)</f>
        <v>2275380</v>
      </c>
      <c r="AB32" s="110">
        <f>VALUE(庫存金額!V15)</f>
        <v>2204184</v>
      </c>
      <c r="AC32" s="110">
        <f>VALUE(庫存金額!W15)</f>
        <v>2158116</v>
      </c>
      <c r="AD32" s="110">
        <f>VALUE(庫存金額!X15)</f>
        <v>2158116</v>
      </c>
      <c r="AE32" s="110">
        <f>VALUE(庫存金額!Y15)</f>
        <v>2074355</v>
      </c>
      <c r="AF32" s="110">
        <f>VALUE(庫存金額!Z15)</f>
        <v>2030849</v>
      </c>
      <c r="AG32" s="110">
        <f>VALUE(庫存金額!AA15)</f>
        <v>1969655</v>
      </c>
      <c r="AH32" s="110">
        <f>VALUE(庫存金額!AB15)</f>
        <v>1936151</v>
      </c>
      <c r="AI32" s="110">
        <f>VALUE(庫存金額!AC15)</f>
        <v>1869142</v>
      </c>
      <c r="AJ32" s="110">
        <f>VALUE(庫存金額!AD15)</f>
        <v>1814698</v>
      </c>
      <c r="AK32" s="110">
        <f>VALUE(庫存金額!AE15)</f>
        <v>1814698</v>
      </c>
      <c r="AL32" s="110">
        <f>VALUE(庫存金額!AF15)</f>
        <v>1764630</v>
      </c>
      <c r="AM32" s="110">
        <f>VALUE(庫存金額!AG15)</f>
        <v>1726938</v>
      </c>
      <c r="AN32" s="110">
        <f>VALUE(庫存金額!AH15)</f>
        <v>-37692</v>
      </c>
      <c r="AO32" s="110">
        <f>VALUE(庫存金額!AI15)</f>
        <v>2524392.87</v>
      </c>
    </row>
    <row r="33" spans="1:41" s="32" customFormat="1" ht="21.95" customHeight="1">
      <c r="A33" s="598"/>
      <c r="B33" s="599"/>
      <c r="C33" s="33" t="s">
        <v>38</v>
      </c>
      <c r="D33" s="329">
        <f>HLOOKUP(MONTH(日期!$C$2),去年月推移!$D$1:$O$33,31,TRUE)</f>
        <v>0</v>
      </c>
      <c r="E33" s="329">
        <f>HLOOKUP(MONTH(日期!$C$2),當年目標設定!$D$1:$O$33,31,TRUE)</f>
        <v>0</v>
      </c>
      <c r="F33" s="328">
        <f>HLOOKUP(MONTH(日期!$C$2),當年目標設定!$R$1:$AC$33,31,TRUE)</f>
        <v>0</v>
      </c>
      <c r="G33" s="328">
        <f>當年月推移!P30</f>
        <v>0</v>
      </c>
      <c r="H33" s="328">
        <f>當年月推移!P64</f>
        <v>0</v>
      </c>
      <c r="I33" s="27">
        <f>VALUE(庫存金額!C26)</f>
        <v>0</v>
      </c>
      <c r="J33" s="27">
        <f>VALUE(庫存金額!D26)</f>
        <v>0</v>
      </c>
      <c r="K33" s="27">
        <f>VALUE(庫存金額!E26)</f>
        <v>0</v>
      </c>
      <c r="L33" s="27">
        <f>VALUE(庫存金額!F26)</f>
        <v>0</v>
      </c>
      <c r="M33" s="27">
        <f>VALUE(庫存金額!G26)</f>
        <v>0</v>
      </c>
      <c r="N33" s="27">
        <f>VALUE(庫存金額!H26)</f>
        <v>0</v>
      </c>
      <c r="O33" s="27">
        <f>VALUE(庫存金額!I26)</f>
        <v>0</v>
      </c>
      <c r="P33" s="27">
        <f>VALUE(庫存金額!J26)</f>
        <v>0</v>
      </c>
      <c r="Q33" s="27">
        <f>VALUE(庫存金額!K26)</f>
        <v>0</v>
      </c>
      <c r="R33" s="27">
        <f>VALUE(庫存金額!L26)</f>
        <v>0</v>
      </c>
      <c r="S33" s="27">
        <f>VALUE(庫存金額!M26)</f>
        <v>0</v>
      </c>
      <c r="T33" s="27">
        <f>VALUE(庫存金額!N26)</f>
        <v>0</v>
      </c>
      <c r="U33" s="27">
        <f>VALUE(庫存金額!O26)</f>
        <v>0</v>
      </c>
      <c r="V33" s="27">
        <f>VALUE(庫存金額!P26)</f>
        <v>0</v>
      </c>
      <c r="W33" s="27">
        <f>VALUE(庫存金額!Q26)</f>
        <v>0</v>
      </c>
      <c r="X33" s="27">
        <f>VALUE(庫存金額!R26)</f>
        <v>0</v>
      </c>
      <c r="Y33" s="27">
        <f>VALUE(庫存金額!S26)</f>
        <v>0</v>
      </c>
      <c r="Z33" s="27">
        <f>VALUE(庫存金額!T26)</f>
        <v>0</v>
      </c>
      <c r="AA33" s="27">
        <f>VALUE(庫存金額!U26)</f>
        <v>0</v>
      </c>
      <c r="AB33" s="27">
        <f>VALUE(庫存金額!V26)</f>
        <v>0</v>
      </c>
      <c r="AC33" s="27">
        <f>VALUE(庫存金額!W26)</f>
        <v>0</v>
      </c>
      <c r="AD33" s="27">
        <f>VALUE(庫存金額!X26)</f>
        <v>0</v>
      </c>
      <c r="AE33" s="27">
        <f>VALUE(庫存金額!Y26)</f>
        <v>0</v>
      </c>
      <c r="AF33" s="27">
        <f>VALUE(庫存金額!Z26)</f>
        <v>0</v>
      </c>
      <c r="AG33" s="27">
        <f>VALUE(庫存金額!AA26)</f>
        <v>0</v>
      </c>
      <c r="AH33" s="27">
        <f>VALUE(庫存金額!AB26)</f>
        <v>0</v>
      </c>
      <c r="AI33" s="27">
        <f>VALUE(庫存金額!AC26)</f>
        <v>0</v>
      </c>
      <c r="AJ33" s="27">
        <f>VALUE(庫存金額!AD26)</f>
        <v>0</v>
      </c>
      <c r="AK33" s="27">
        <f>VALUE(庫存金額!AE26)</f>
        <v>0</v>
      </c>
      <c r="AL33" s="27">
        <f>VALUE(庫存金額!AF26)</f>
        <v>0</v>
      </c>
      <c r="AM33" s="27">
        <f>VALUE(庫存金額!AG26)</f>
        <v>0</v>
      </c>
      <c r="AN33" s="27">
        <f>VALUE(庫存金額!AH26)</f>
        <v>0</v>
      </c>
      <c r="AO33" s="27">
        <f>VALUE(庫存金額!AI26)</f>
        <v>0</v>
      </c>
    </row>
    <row r="34" spans="1:41" s="32" customFormat="1" ht="21.95" customHeight="1">
      <c r="A34" s="598"/>
      <c r="B34" s="599"/>
      <c r="C34" s="236" t="s">
        <v>39</v>
      </c>
      <c r="D34" s="330">
        <f>HLOOKUP(MONTH(日期!$C$2),去年月推移!$D$1:$O$33,32,TRUE)</f>
        <v>0</v>
      </c>
      <c r="E34" s="330">
        <f>HLOOKUP(MONTH(日期!$C$2),當年目標設定!$D$1:$O$33,32,TRUE)</f>
        <v>0</v>
      </c>
      <c r="F34" s="328">
        <f>HLOOKUP(MONTH(日期!$C$2),當年目標設定!$R$1:$AC$33,32,TRUE)</f>
        <v>0</v>
      </c>
      <c r="G34" s="328">
        <f>當年月推移!P31</f>
        <v>6104600</v>
      </c>
      <c r="H34" s="328">
        <f>當年月推移!P65</f>
        <v>8093241</v>
      </c>
      <c r="I34" s="27">
        <f>VALUE(庫存金額!C26)</f>
        <v>0</v>
      </c>
      <c r="J34" s="27">
        <f>VALUE(庫存金額!D26)</f>
        <v>0</v>
      </c>
      <c r="K34" s="27">
        <f>VALUE(庫存金額!E26)</f>
        <v>0</v>
      </c>
      <c r="L34" s="27">
        <f>VALUE(庫存金額!F26)</f>
        <v>0</v>
      </c>
      <c r="M34" s="27">
        <f>VALUE(庫存金額!G26)</f>
        <v>0</v>
      </c>
      <c r="N34" s="27">
        <f>VALUE(庫存金額!H26)</f>
        <v>0</v>
      </c>
      <c r="O34" s="27">
        <f>VALUE(庫存金額!I26)</f>
        <v>0</v>
      </c>
      <c r="P34" s="27">
        <f>VALUE(庫存金額!J26)</f>
        <v>0</v>
      </c>
      <c r="Q34" s="27">
        <f>VALUE(庫存金額!K26)</f>
        <v>0</v>
      </c>
      <c r="R34" s="27">
        <f>VALUE(庫存金額!L26)</f>
        <v>0</v>
      </c>
      <c r="S34" s="27">
        <f>VALUE(庫存金額!M26)</f>
        <v>0</v>
      </c>
      <c r="T34" s="27">
        <f>VALUE(庫存金額!N26)</f>
        <v>0</v>
      </c>
      <c r="U34" s="27">
        <f>VALUE(庫存金額!O26)</f>
        <v>0</v>
      </c>
      <c r="V34" s="27">
        <f>VALUE(庫存金額!P26)</f>
        <v>0</v>
      </c>
      <c r="W34" s="27">
        <f>VALUE(庫存金額!Q26)</f>
        <v>0</v>
      </c>
      <c r="X34" s="27">
        <f>VALUE(庫存金額!R26)</f>
        <v>0</v>
      </c>
      <c r="Y34" s="27">
        <f>VALUE(庫存金額!S26)</f>
        <v>0</v>
      </c>
      <c r="Z34" s="27">
        <f>VALUE(庫存金額!T26)</f>
        <v>0</v>
      </c>
      <c r="AA34" s="27">
        <f>VALUE(庫存金額!U26)</f>
        <v>0</v>
      </c>
      <c r="AB34" s="27">
        <f>VALUE(庫存金額!V26)</f>
        <v>0</v>
      </c>
      <c r="AC34" s="27">
        <f>VALUE(庫存金額!W26)</f>
        <v>0</v>
      </c>
      <c r="AD34" s="27">
        <f>VALUE(庫存金額!X26)</f>
        <v>0</v>
      </c>
      <c r="AE34" s="27">
        <f>VALUE(庫存金額!Y26)</f>
        <v>0</v>
      </c>
      <c r="AF34" s="27">
        <f>VALUE(庫存金額!Z26)</f>
        <v>0</v>
      </c>
      <c r="AG34" s="27">
        <f>VALUE(庫存金額!AA26)</f>
        <v>0</v>
      </c>
      <c r="AH34" s="27">
        <f>VALUE(庫存金額!AB26)</f>
        <v>0</v>
      </c>
      <c r="AI34" s="27">
        <f>VALUE(庫存金額!AC26)</f>
        <v>0</v>
      </c>
      <c r="AJ34" s="27">
        <f>VALUE(庫存金額!AD26)</f>
        <v>0</v>
      </c>
      <c r="AK34" s="27">
        <f>VALUE(庫存金額!AE26)</f>
        <v>0</v>
      </c>
      <c r="AL34" s="27">
        <f>VALUE(庫存金額!AF26)</f>
        <v>0</v>
      </c>
      <c r="AM34" s="27">
        <f>VALUE(庫存金額!AG26)</f>
        <v>0</v>
      </c>
      <c r="AN34" s="27">
        <f>VALUE(庫存金額!AH26)</f>
        <v>0</v>
      </c>
      <c r="AO34" s="27">
        <f>VALUE(庫存金額!AI26)</f>
        <v>0</v>
      </c>
    </row>
    <row r="35" spans="1:41" s="32" customFormat="1" ht="21.95" customHeight="1" thickBot="1">
      <c r="A35" s="600"/>
      <c r="B35" s="601"/>
      <c r="C35" s="234" t="s">
        <v>40</v>
      </c>
      <c r="D35" s="331">
        <f>HLOOKUP(MONTH(日期!$C$2),去年月推移!$D$1:$O$33,33,TRUE)</f>
        <v>0</v>
      </c>
      <c r="E35" s="331">
        <f>HLOOKUP(MONTH(日期!$C$2),當年目標設定!$D$1:$O$33,33,TRUE)</f>
        <v>0</v>
      </c>
      <c r="F35" s="508">
        <f>HLOOKUP(MONTH(日期!$C$2),當年目標設定!$R$1:$AC$33,33,TRUE)</f>
        <v>0</v>
      </c>
      <c r="G35" s="508">
        <f>當年月推移!P32</f>
        <v>11704585</v>
      </c>
      <c r="H35" s="508">
        <f>當年月推移!P66</f>
        <v>11997907</v>
      </c>
      <c r="I35" s="235">
        <f>VALUE(庫存金額!C26)</f>
        <v>0</v>
      </c>
      <c r="J35" s="235">
        <f>VALUE(庫存金額!D26)</f>
        <v>0</v>
      </c>
      <c r="K35" s="235">
        <f>VALUE(庫存金額!E26)</f>
        <v>0</v>
      </c>
      <c r="L35" s="235">
        <f>VALUE(庫存金額!F26)</f>
        <v>0</v>
      </c>
      <c r="M35" s="235">
        <f>VALUE(庫存金額!G26)</f>
        <v>0</v>
      </c>
      <c r="N35" s="235">
        <f>VALUE(庫存金額!H26)</f>
        <v>0</v>
      </c>
      <c r="O35" s="235">
        <f>VALUE(庫存金額!I26)</f>
        <v>0</v>
      </c>
      <c r="P35" s="235">
        <f>VALUE(庫存金額!J26)</f>
        <v>0</v>
      </c>
      <c r="Q35" s="235">
        <f>VALUE(庫存金額!K26)</f>
        <v>0</v>
      </c>
      <c r="R35" s="235">
        <f>VALUE(庫存金額!L26)</f>
        <v>0</v>
      </c>
      <c r="S35" s="235">
        <f>VALUE(庫存金額!M26)</f>
        <v>0</v>
      </c>
      <c r="T35" s="235">
        <f>VALUE(庫存金額!N26)</f>
        <v>0</v>
      </c>
      <c r="U35" s="235">
        <f>VALUE(庫存金額!O26)</f>
        <v>0</v>
      </c>
      <c r="V35" s="235">
        <f>VALUE(庫存金額!P26)</f>
        <v>0</v>
      </c>
      <c r="W35" s="235">
        <f>VALUE(庫存金額!Q26)</f>
        <v>0</v>
      </c>
      <c r="X35" s="235">
        <f>VALUE(庫存金額!R26)</f>
        <v>0</v>
      </c>
      <c r="Y35" s="235">
        <f>VALUE(庫存金額!S26)</f>
        <v>0</v>
      </c>
      <c r="Z35" s="235">
        <f>VALUE(庫存金額!T26)</f>
        <v>0</v>
      </c>
      <c r="AA35" s="235">
        <f>VALUE(庫存金額!U26)</f>
        <v>0</v>
      </c>
      <c r="AB35" s="235">
        <f>VALUE(庫存金額!V26)</f>
        <v>0</v>
      </c>
      <c r="AC35" s="235">
        <f>VALUE(庫存金額!W26)</f>
        <v>0</v>
      </c>
      <c r="AD35" s="235">
        <f>VALUE(庫存金額!X26)</f>
        <v>0</v>
      </c>
      <c r="AE35" s="235">
        <f>VALUE(庫存金額!Y26)</f>
        <v>0</v>
      </c>
      <c r="AF35" s="235">
        <f>VALUE(庫存金額!Z26)</f>
        <v>0</v>
      </c>
      <c r="AG35" s="235">
        <f>VALUE(庫存金額!AA26)</f>
        <v>0</v>
      </c>
      <c r="AH35" s="235">
        <f>VALUE(庫存金額!AB26)</f>
        <v>0</v>
      </c>
      <c r="AI35" s="235">
        <f>VALUE(庫存金額!AC26)</f>
        <v>0</v>
      </c>
      <c r="AJ35" s="235">
        <f>VALUE(庫存金額!AD26)</f>
        <v>0</v>
      </c>
      <c r="AK35" s="235">
        <f>VALUE(庫存金額!AE26)</f>
        <v>0</v>
      </c>
      <c r="AL35" s="235">
        <f>VALUE(庫存金額!AF26)</f>
        <v>0</v>
      </c>
      <c r="AM35" s="235">
        <f>VALUE(庫存金額!AG26)</f>
        <v>0</v>
      </c>
      <c r="AN35" s="235">
        <f>VALUE(庫存金額!AH26)</f>
        <v>0</v>
      </c>
      <c r="AO35" s="235">
        <f>VALUE(庫存金額!AI26)</f>
        <v>0</v>
      </c>
    </row>
    <row r="36" spans="1:41" s="40" customFormat="1" ht="23.1" customHeight="1">
      <c r="A36" s="34"/>
      <c r="B36" s="35"/>
      <c r="C36" s="36"/>
      <c r="D36" s="302"/>
      <c r="E36" s="302"/>
      <c r="F36" s="303"/>
      <c r="G36" s="37"/>
      <c r="H36" s="37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9"/>
    </row>
    <row r="37" spans="1:41" s="35" customFormat="1" ht="23.1" customHeight="1" thickBot="1">
      <c r="A37" s="41" t="s">
        <v>41</v>
      </c>
      <c r="B37" s="42"/>
      <c r="C37" s="43"/>
      <c r="D37" s="302"/>
      <c r="E37" s="302"/>
      <c r="F37" s="302"/>
      <c r="G37" s="506"/>
      <c r="H37" s="506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</row>
    <row r="38" spans="1:41" s="14" customFormat="1" ht="20.25" customHeight="1">
      <c r="A38" s="606" t="s">
        <v>1</v>
      </c>
      <c r="B38" s="587"/>
      <c r="C38" s="587"/>
      <c r="D38" s="608" t="str">
        <f>D3</f>
        <v>2023/12</v>
      </c>
      <c r="E38" s="610" t="str">
        <f>E3</f>
        <v>2024/12</v>
      </c>
      <c r="F38" s="332"/>
      <c r="G38" s="565">
        <f>YEAR(日期!C2)</f>
        <v>2024</v>
      </c>
      <c r="H38" s="566"/>
      <c r="I38" s="527" t="str">
        <f>日期!C2</f>
        <v>2024/12/01</v>
      </c>
      <c r="J38" s="527" t="str">
        <f>日期!D2</f>
        <v>2024/12/02</v>
      </c>
      <c r="K38" s="527" t="str">
        <f>日期!E2</f>
        <v>2024/12/03</v>
      </c>
      <c r="L38" s="527" t="str">
        <f>日期!F2</f>
        <v>2024/12/04</v>
      </c>
      <c r="M38" s="527" t="str">
        <f>日期!G2</f>
        <v>2024/12/05</v>
      </c>
      <c r="N38" s="527" t="str">
        <f>日期!H2</f>
        <v>2024/12/06</v>
      </c>
      <c r="O38" s="527" t="str">
        <f>日期!I2</f>
        <v>2024/12/07</v>
      </c>
      <c r="P38" s="527" t="str">
        <f>日期!J2</f>
        <v>2024/12/08</v>
      </c>
      <c r="Q38" s="527" t="str">
        <f>日期!K2</f>
        <v>2024/12/09</v>
      </c>
      <c r="R38" s="527" t="str">
        <f>日期!L2</f>
        <v>2024/12/10</v>
      </c>
      <c r="S38" s="527" t="str">
        <f>日期!M2</f>
        <v>2024/12/11</v>
      </c>
      <c r="T38" s="527" t="str">
        <f>日期!N2</f>
        <v>2024/12/12</v>
      </c>
      <c r="U38" s="527" t="str">
        <f>日期!O2</f>
        <v>2024/12/13</v>
      </c>
      <c r="V38" s="527" t="str">
        <f>日期!P2</f>
        <v>2024/12/14</v>
      </c>
      <c r="W38" s="527" t="str">
        <f>日期!Q2</f>
        <v>2024/12/15</v>
      </c>
      <c r="X38" s="527" t="str">
        <f>日期!R2</f>
        <v>2024/12/16</v>
      </c>
      <c r="Y38" s="527" t="str">
        <f>日期!S2</f>
        <v>2024/12/17</v>
      </c>
      <c r="Z38" s="527" t="str">
        <f>日期!T2</f>
        <v>2024/12/18</v>
      </c>
      <c r="AA38" s="527" t="str">
        <f>日期!U2</f>
        <v>2024/12/19</v>
      </c>
      <c r="AB38" s="527" t="str">
        <f>日期!V2</f>
        <v>2024/12/20</v>
      </c>
      <c r="AC38" s="527" t="str">
        <f>日期!W2</f>
        <v>2024/12/21</v>
      </c>
      <c r="AD38" s="527" t="str">
        <f>日期!X2</f>
        <v>2024/12/22</v>
      </c>
      <c r="AE38" s="527" t="str">
        <f>日期!Y2</f>
        <v>2024/12/23</v>
      </c>
      <c r="AF38" s="527" t="str">
        <f>日期!Z2</f>
        <v>2024/12/24</v>
      </c>
      <c r="AG38" s="527" t="str">
        <f>日期!AA2</f>
        <v>2024/12/25</v>
      </c>
      <c r="AH38" s="527" t="str">
        <f>日期!AB2</f>
        <v>2024/12/26</v>
      </c>
      <c r="AI38" s="527" t="str">
        <f>日期!AC2</f>
        <v>2024/12/27</v>
      </c>
      <c r="AJ38" s="527" t="str">
        <f>日期!AD2</f>
        <v>2024/12/28</v>
      </c>
      <c r="AK38" s="527" t="str">
        <f>日期!AE2</f>
        <v>2024/12/29</v>
      </c>
      <c r="AL38" s="527" t="str">
        <f>日期!AF2</f>
        <v>2024/12/30</v>
      </c>
      <c r="AM38" s="527" t="str">
        <f>日期!AG2</f>
        <v>2024/12/31</v>
      </c>
      <c r="AN38" s="604" t="s">
        <v>42</v>
      </c>
    </row>
    <row r="39" spans="1:41" s="14" customFormat="1" ht="24" customHeight="1" thickBot="1">
      <c r="A39" s="607"/>
      <c r="B39" s="588"/>
      <c r="C39" s="588"/>
      <c r="D39" s="609"/>
      <c r="E39" s="611"/>
      <c r="F39" s="333"/>
      <c r="G39" s="567" t="s">
        <v>43</v>
      </c>
      <c r="H39" s="568"/>
      <c r="I39" s="12" t="str">
        <f>日期!C3</f>
        <v>Sun</v>
      </c>
      <c r="J39" s="12" t="str">
        <f>日期!D3</f>
        <v>Mon</v>
      </c>
      <c r="K39" s="12" t="str">
        <f>日期!E3</f>
        <v>Tue</v>
      </c>
      <c r="L39" s="12" t="str">
        <f>日期!F3</f>
        <v>Wed</v>
      </c>
      <c r="M39" s="12" t="str">
        <f>日期!G3</f>
        <v>Thu</v>
      </c>
      <c r="N39" s="12" t="str">
        <f>日期!H3</f>
        <v>Fri</v>
      </c>
      <c r="O39" s="12" t="str">
        <f>日期!I3</f>
        <v>Sat</v>
      </c>
      <c r="P39" s="12" t="str">
        <f>日期!J3</f>
        <v>Sun</v>
      </c>
      <c r="Q39" s="12" t="str">
        <f>日期!K3</f>
        <v>Mon</v>
      </c>
      <c r="R39" s="12" t="str">
        <f>日期!L3</f>
        <v>Tue</v>
      </c>
      <c r="S39" s="12" t="str">
        <f>日期!M3</f>
        <v>Wed</v>
      </c>
      <c r="T39" s="12" t="str">
        <f>日期!N3</f>
        <v>Thu</v>
      </c>
      <c r="U39" s="12" t="str">
        <f>日期!O3</f>
        <v>Fri</v>
      </c>
      <c r="V39" s="12" t="str">
        <f>日期!P3</f>
        <v>Sat</v>
      </c>
      <c r="W39" s="12" t="str">
        <f>日期!Q3</f>
        <v>Sun</v>
      </c>
      <c r="X39" s="12" t="str">
        <f>日期!R3</f>
        <v>Mon</v>
      </c>
      <c r="Y39" s="12" t="str">
        <f>日期!S3</f>
        <v>Tue</v>
      </c>
      <c r="Z39" s="12" t="str">
        <f>日期!T3</f>
        <v>Wed</v>
      </c>
      <c r="AA39" s="12" t="str">
        <f>日期!U3</f>
        <v>Thu</v>
      </c>
      <c r="AB39" s="12" t="str">
        <f>日期!V3</f>
        <v>Fri</v>
      </c>
      <c r="AC39" s="12" t="str">
        <f>日期!W3</f>
        <v>Sat</v>
      </c>
      <c r="AD39" s="12" t="str">
        <f>日期!X3</f>
        <v>Sun</v>
      </c>
      <c r="AE39" s="12" t="str">
        <f>日期!Y3</f>
        <v>Mon</v>
      </c>
      <c r="AF39" s="12" t="str">
        <f>日期!Z3</f>
        <v>Tue</v>
      </c>
      <c r="AG39" s="12" t="str">
        <f>日期!AA3</f>
        <v>Wed</v>
      </c>
      <c r="AH39" s="12" t="str">
        <f>日期!AB3</f>
        <v>Thu</v>
      </c>
      <c r="AI39" s="12" t="str">
        <f>日期!AC3</f>
        <v>Fri</v>
      </c>
      <c r="AJ39" s="12" t="str">
        <f>日期!AD3</f>
        <v>Sat</v>
      </c>
      <c r="AK39" s="12" t="str">
        <f>日期!AE3</f>
        <v>Sun</v>
      </c>
      <c r="AL39" s="12" t="str">
        <f>日期!AF3</f>
        <v>Mon</v>
      </c>
      <c r="AM39" s="12" t="str">
        <f>日期!AG3</f>
        <v>Tue</v>
      </c>
      <c r="AN39" s="605"/>
    </row>
    <row r="40" spans="1:41" s="14" customFormat="1" ht="21.95" customHeight="1">
      <c r="A40" s="557" t="s">
        <v>44</v>
      </c>
      <c r="B40" s="558"/>
      <c r="C40" s="558"/>
      <c r="D40" s="272">
        <f>HLOOKUP(MONTH(日期!$C$2),去年月推移!$D$1:$O$200,98,TRUE)</f>
        <v>98.681274000000002</v>
      </c>
      <c r="E40" s="45">
        <v>97.8</v>
      </c>
      <c r="F40" s="46" t="s">
        <v>45</v>
      </c>
      <c r="G40" s="559">
        <f>ROUND(當年月推移!P99,1)</f>
        <v>98.2</v>
      </c>
      <c r="H40" s="560"/>
      <c r="I40" s="245">
        <f>ROUND(供應率ALL!C2,1)</f>
        <v>0</v>
      </c>
      <c r="J40" s="245">
        <f>ROUND(供應率ALL!D2,1)</f>
        <v>98.2</v>
      </c>
      <c r="K40" s="245">
        <f>ROUND(供應率ALL!E2,1)</f>
        <v>98</v>
      </c>
      <c r="L40" s="245">
        <f>ROUND(供應率ALL!F2,1)</f>
        <v>97.6</v>
      </c>
      <c r="M40" s="245">
        <f>ROUND(供應率ALL!G2,1)</f>
        <v>98.1</v>
      </c>
      <c r="N40" s="245">
        <f>ROUND(供應率ALL!H2,1)</f>
        <v>98</v>
      </c>
      <c r="O40" s="245">
        <f>ROUND(供應率ALL!I2,1)</f>
        <v>98.7</v>
      </c>
      <c r="P40" s="245">
        <f>ROUND(供應率ALL!J2,1)</f>
        <v>0</v>
      </c>
      <c r="Q40" s="245">
        <f>ROUND(供應率ALL!K2,1)</f>
        <v>98.6</v>
      </c>
      <c r="R40" s="245">
        <f>ROUND(供應率ALL!L2,1)</f>
        <v>98</v>
      </c>
      <c r="S40" s="245">
        <f>ROUND(供應率ALL!M2,1)</f>
        <v>98</v>
      </c>
      <c r="T40" s="245">
        <f>ROUND(供應率ALL!N2,1)</f>
        <v>97.8</v>
      </c>
      <c r="U40" s="245">
        <f>ROUND(供應率ALL!O2,1)</f>
        <v>97.7</v>
      </c>
      <c r="V40" s="245">
        <f>ROUND(供應率ALL!P2,1)</f>
        <v>0</v>
      </c>
      <c r="W40" s="245">
        <f>ROUND(供應率ALL!Q2,1)</f>
        <v>0</v>
      </c>
      <c r="X40" s="245">
        <f>ROUND(供應率ALL!R2,1)</f>
        <v>98</v>
      </c>
      <c r="Y40" s="245">
        <f>ROUND(供應率ALL!S2,1)</f>
        <v>97.3</v>
      </c>
      <c r="Z40" s="245">
        <f>ROUND(供應率ALL!T2,1)</f>
        <v>97.8</v>
      </c>
      <c r="AA40" s="245">
        <f>ROUND(供應率ALL!U2,1)</f>
        <v>97.8</v>
      </c>
      <c r="AB40" s="245">
        <f>ROUND(供應率ALL!V2,1)</f>
        <v>97.8</v>
      </c>
      <c r="AC40" s="245">
        <f>ROUND(供應率ALL!W2,1)</f>
        <v>98.3</v>
      </c>
      <c r="AD40" s="245">
        <f>ROUND(供應率ALL!X2,1)</f>
        <v>0</v>
      </c>
      <c r="AE40" s="245">
        <f>ROUND(供應率ALL!Y2,1)</f>
        <v>98.1</v>
      </c>
      <c r="AF40" s="245">
        <f>ROUND(供應率ALL!Z2,1)</f>
        <v>98.1</v>
      </c>
      <c r="AG40" s="245">
        <f>ROUND(供應率ALL!AA2,1)</f>
        <v>97.8</v>
      </c>
      <c r="AH40" s="245">
        <f>ROUND(供應率ALL!AB2,1)</f>
        <v>97.9</v>
      </c>
      <c r="AI40" s="245">
        <f>ROUND(供應率ALL!AC2,1)</f>
        <v>98.4</v>
      </c>
      <c r="AJ40" s="245">
        <f>ROUND(供應率ALL!AD2,1)</f>
        <v>98.3</v>
      </c>
      <c r="AK40" s="245">
        <f>ROUND(供應率ALL!AE2,1)</f>
        <v>0</v>
      </c>
      <c r="AL40" s="245">
        <f>ROUND(供應率ALL!AF2,1)</f>
        <v>98.3</v>
      </c>
      <c r="AM40" s="245">
        <f>ROUND(供應率ALL!AG2,1)</f>
        <v>98.2</v>
      </c>
      <c r="AN40" s="213">
        <f>ROUND(供應率ALL!AH2,1)</f>
        <v>98.1</v>
      </c>
      <c r="AO40" s="48"/>
    </row>
    <row r="41" spans="1:41" s="14" customFormat="1" ht="21.95" customHeight="1">
      <c r="A41" s="561" t="s">
        <v>46</v>
      </c>
      <c r="B41" s="562"/>
      <c r="C41" s="562"/>
      <c r="D41" s="44">
        <f>HLOOKUP(MONTH(日期!$C$2),去年月推移!$D$1:$O$200,99,TRUE)</f>
        <v>99.915526</v>
      </c>
      <c r="E41" s="50">
        <v>99</v>
      </c>
      <c r="F41" s="51" t="s">
        <v>45</v>
      </c>
      <c r="G41" s="563">
        <f>ROUND(當年月推移!P100,1)</f>
        <v>99.8</v>
      </c>
      <c r="H41" s="564"/>
      <c r="I41" s="47">
        <f>ROUND(供應率ALL!C4,1)</f>
        <v>0</v>
      </c>
      <c r="J41" s="47">
        <f>ROUND(供應率ALL!D4,1)</f>
        <v>100</v>
      </c>
      <c r="K41" s="47">
        <f>ROUND(供應率ALL!E4,1)</f>
        <v>100</v>
      </c>
      <c r="L41" s="47">
        <f>ROUND(供應率ALL!F4,1)</f>
        <v>100</v>
      </c>
      <c r="M41" s="47">
        <f>ROUND(供應率ALL!G4,1)</f>
        <v>100</v>
      </c>
      <c r="N41" s="47">
        <f>ROUND(供應率ALL!H4,1)</f>
        <v>100</v>
      </c>
      <c r="O41" s="47">
        <f>ROUND(供應率ALL!I4,1)</f>
        <v>100</v>
      </c>
      <c r="P41" s="47">
        <f>ROUND(供應率ALL!J4,1)</f>
        <v>0</v>
      </c>
      <c r="Q41" s="47">
        <f>ROUND(供應率ALL!K4,1)</f>
        <v>100</v>
      </c>
      <c r="R41" s="47">
        <f>ROUND(供應率ALL!L4,1)</f>
        <v>100</v>
      </c>
      <c r="S41" s="47">
        <f>ROUND(供應率ALL!M4,1)</f>
        <v>100</v>
      </c>
      <c r="T41" s="47">
        <f>ROUND(供應率ALL!N4,1)</f>
        <v>100</v>
      </c>
      <c r="U41" s="47">
        <f>ROUND(供應率ALL!O4,1)</f>
        <v>100</v>
      </c>
      <c r="V41" s="47">
        <f>ROUND(供應率ALL!P4,1)</f>
        <v>0</v>
      </c>
      <c r="W41" s="47">
        <f>ROUND(供應率ALL!Q4,1)</f>
        <v>0</v>
      </c>
      <c r="X41" s="47">
        <f>ROUND(供應率ALL!R4,1)</f>
        <v>100</v>
      </c>
      <c r="Y41" s="47">
        <f>ROUND(供應率ALL!S4,1)</f>
        <v>100</v>
      </c>
      <c r="Z41" s="47">
        <f>ROUND(供應率ALL!T4,1)</f>
        <v>100</v>
      </c>
      <c r="AA41" s="47">
        <f>ROUND(供應率ALL!U4,1)</f>
        <v>100</v>
      </c>
      <c r="AB41" s="47">
        <f>ROUND(供應率ALL!V4,1)</f>
        <v>100</v>
      </c>
      <c r="AC41" s="47">
        <f>ROUND(供應率ALL!W4,1)</f>
        <v>100</v>
      </c>
      <c r="AD41" s="47">
        <f>ROUND(供應率ALL!X4,1)</f>
        <v>0</v>
      </c>
      <c r="AE41" s="47">
        <f>ROUND(供應率ALL!Y4,1)</f>
        <v>99.8</v>
      </c>
      <c r="AF41" s="47">
        <f>ROUND(供應率ALL!Z4,1)</f>
        <v>98.3</v>
      </c>
      <c r="AG41" s="47">
        <f>ROUND(供應率ALL!AA4,1)</f>
        <v>100</v>
      </c>
      <c r="AH41" s="47">
        <f>ROUND(供應率ALL!AB4,1)</f>
        <v>100</v>
      </c>
      <c r="AI41" s="47">
        <f>ROUND(供應率ALL!AC4,1)</f>
        <v>100</v>
      </c>
      <c r="AJ41" s="47">
        <f>ROUND(供應率ALL!AD4,1)</f>
        <v>100</v>
      </c>
      <c r="AK41" s="47">
        <f>ROUND(供應率ALL!AE4,1)</f>
        <v>0</v>
      </c>
      <c r="AL41" s="47">
        <f>ROUND(供應率ALL!AF4,1)</f>
        <v>100</v>
      </c>
      <c r="AM41" s="47">
        <f>ROUND(供應率ALL!AG4,1)</f>
        <v>100</v>
      </c>
      <c r="AN41" s="214">
        <f>ROUND(供應率ALL!AH4,1)</f>
        <v>99.9</v>
      </c>
      <c r="AO41" s="48"/>
    </row>
    <row r="42" spans="1:41" s="14" customFormat="1" ht="21.95" customHeight="1">
      <c r="A42" s="561" t="s">
        <v>13</v>
      </c>
      <c r="B42" s="562"/>
      <c r="C42" s="562"/>
      <c r="D42" s="44">
        <f>HLOOKUP(MONTH(日期!$C$2),去年月推移!$D$1:$O$200,100,TRUE)</f>
        <v>97.639054999999999</v>
      </c>
      <c r="E42" s="50">
        <v>75</v>
      </c>
      <c r="F42" s="51" t="s">
        <v>45</v>
      </c>
      <c r="G42" s="563">
        <f>ROUND(當年月推移!P101,1)</f>
        <v>91.4</v>
      </c>
      <c r="H42" s="564"/>
      <c r="I42" s="47">
        <f>ROUND(供應率ALL!C5,1)</f>
        <v>0</v>
      </c>
      <c r="J42" s="47">
        <f>ROUND(供應率ALL!D5,1)</f>
        <v>72.7</v>
      </c>
      <c r="K42" s="47">
        <f>ROUND(供應率ALL!E5,1)</f>
        <v>85.7</v>
      </c>
      <c r="L42" s="47">
        <f>ROUND(供應率ALL!F5,1)</f>
        <v>100</v>
      </c>
      <c r="M42" s="47">
        <f>ROUND(供應率ALL!G5,1)</f>
        <v>76.900000000000006</v>
      </c>
      <c r="N42" s="47">
        <f>ROUND(供應率ALL!H5,1)</f>
        <v>100</v>
      </c>
      <c r="O42" s="47">
        <f>ROUND(供應率ALL!I5,1)</f>
        <v>100</v>
      </c>
      <c r="P42" s="47">
        <f>ROUND(供應率ALL!J5,1)</f>
        <v>0</v>
      </c>
      <c r="Q42" s="47">
        <f>ROUND(供應率ALL!K5,1)</f>
        <v>100</v>
      </c>
      <c r="R42" s="47">
        <f>ROUND(供應率ALL!L5,1)</f>
        <v>94.4</v>
      </c>
      <c r="S42" s="47">
        <f>ROUND(供應率ALL!M5,1)</f>
        <v>100</v>
      </c>
      <c r="T42" s="47">
        <f>ROUND(供應率ALL!N5,1)</f>
        <v>73.599999999999994</v>
      </c>
      <c r="U42" s="47">
        <f>ROUND(供應率ALL!O5,1)</f>
        <v>81.2</v>
      </c>
      <c r="V42" s="47">
        <f>ROUND(供應率ALL!P5,1)</f>
        <v>0</v>
      </c>
      <c r="W42" s="47">
        <f>ROUND(供應率ALL!Q5,1)</f>
        <v>0</v>
      </c>
      <c r="X42" s="47">
        <f>ROUND(供應率ALL!R5,1)</f>
        <v>77.2</v>
      </c>
      <c r="Y42" s="47">
        <f>ROUND(供應率ALL!S5,1)</f>
        <v>86.6</v>
      </c>
      <c r="Z42" s="47">
        <f>ROUND(供應率ALL!T5,1)</f>
        <v>88.8</v>
      </c>
      <c r="AA42" s="47">
        <f>ROUND(供應率ALL!U5,1)</f>
        <v>63.6</v>
      </c>
      <c r="AB42" s="47">
        <f>ROUND(供應率ALL!V5,1)</f>
        <v>100</v>
      </c>
      <c r="AC42" s="47">
        <f>ROUND(供應率ALL!W5,1)</f>
        <v>75</v>
      </c>
      <c r="AD42" s="47">
        <f>ROUND(供應率ALL!X5,1)</f>
        <v>0</v>
      </c>
      <c r="AE42" s="47">
        <f>ROUND(供應率ALL!Y5,1)</f>
        <v>84.6</v>
      </c>
      <c r="AF42" s="47">
        <f>ROUND(供應率ALL!Z5,1)</f>
        <v>45.4</v>
      </c>
      <c r="AG42" s="47">
        <f>ROUND(供應率ALL!AA5,1)</f>
        <v>58.8</v>
      </c>
      <c r="AH42" s="47">
        <f>ROUND(供應率ALL!AB5,1)</f>
        <v>53.3</v>
      </c>
      <c r="AI42" s="47">
        <f>ROUND(供應率ALL!AC5,1)</f>
        <v>66.599999999999994</v>
      </c>
      <c r="AJ42" s="47">
        <f>ROUND(供應率ALL!AD5,1)</f>
        <v>83.3</v>
      </c>
      <c r="AK42" s="47">
        <f>ROUND(供應率ALL!AE5,1)</f>
        <v>0</v>
      </c>
      <c r="AL42" s="47">
        <f>ROUND(供應率ALL!AF5,1)</f>
        <v>100</v>
      </c>
      <c r="AM42" s="47">
        <f>ROUND(供應率ALL!AG5,1)</f>
        <v>91.6</v>
      </c>
      <c r="AN42" s="214">
        <f>ROUND(供應率ALL!AH5,1)</f>
        <v>82.7</v>
      </c>
      <c r="AO42" s="48"/>
    </row>
    <row r="43" spans="1:41" s="14" customFormat="1" ht="21.95" customHeight="1">
      <c r="A43" s="561" t="s">
        <v>14</v>
      </c>
      <c r="B43" s="562"/>
      <c r="C43" s="562"/>
      <c r="D43" s="44">
        <f>HLOOKUP(MONTH(日期!$C$2),去年月推移!$D$1:$O$200,101,TRUE)</f>
        <v>99.536033000000003</v>
      </c>
      <c r="E43" s="50">
        <v>99</v>
      </c>
      <c r="F43" s="51" t="s">
        <v>45</v>
      </c>
      <c r="G43" s="563">
        <f>ROUND(當年月推移!P102,1)</f>
        <v>99.4</v>
      </c>
      <c r="H43" s="564"/>
      <c r="I43" s="47">
        <f>ROUND(供應率ALL!C6,1)</f>
        <v>0</v>
      </c>
      <c r="J43" s="47">
        <f>ROUND(供應率ALL!D6,1)</f>
        <v>99</v>
      </c>
      <c r="K43" s="47">
        <f>ROUND(供應率ALL!E6,1)</f>
        <v>99.4</v>
      </c>
      <c r="L43" s="47">
        <f>ROUND(供應率ALL!F6,1)</f>
        <v>99.6</v>
      </c>
      <c r="M43" s="47">
        <f>ROUND(供應率ALL!G6,1)</f>
        <v>99.6</v>
      </c>
      <c r="N43" s="47">
        <f>ROUND(供應率ALL!H6,1)</f>
        <v>99.4</v>
      </c>
      <c r="O43" s="47">
        <f>ROUND(供應率ALL!I6,1)</f>
        <v>99.7</v>
      </c>
      <c r="P43" s="47">
        <f>ROUND(供應率ALL!J6,1)</f>
        <v>0</v>
      </c>
      <c r="Q43" s="47">
        <f>ROUND(供應率ALL!K6,1)</f>
        <v>99.3</v>
      </c>
      <c r="R43" s="47">
        <f>ROUND(供應率ALL!L6,1)</f>
        <v>99.7</v>
      </c>
      <c r="S43" s="47">
        <f>ROUND(供應率ALL!M6,1)</f>
        <v>99.3</v>
      </c>
      <c r="T43" s="47">
        <f>ROUND(供應率ALL!N6,1)</f>
        <v>99.8</v>
      </c>
      <c r="U43" s="47">
        <f>ROUND(供應率ALL!O6,1)</f>
        <v>97.9</v>
      </c>
      <c r="V43" s="47">
        <f>ROUND(供應率ALL!P6,1)</f>
        <v>0</v>
      </c>
      <c r="W43" s="47">
        <f>ROUND(供應率ALL!Q6,1)</f>
        <v>0</v>
      </c>
      <c r="X43" s="47">
        <f>ROUND(供應率ALL!R6,1)</f>
        <v>98.7</v>
      </c>
      <c r="Y43" s="47">
        <f>ROUND(供應率ALL!S6,1)</f>
        <v>99.2</v>
      </c>
      <c r="Z43" s="47">
        <f>ROUND(供應率ALL!T6,1)</f>
        <v>99.7</v>
      </c>
      <c r="AA43" s="47">
        <f>ROUND(供應率ALL!U6,1)</f>
        <v>99.6</v>
      </c>
      <c r="AB43" s="47">
        <f>ROUND(供應率ALL!V6,1)</f>
        <v>99.7</v>
      </c>
      <c r="AC43" s="47">
        <f>ROUND(供應率ALL!W6,1)</f>
        <v>99.5</v>
      </c>
      <c r="AD43" s="47">
        <f>ROUND(供應率ALL!X6,1)</f>
        <v>0</v>
      </c>
      <c r="AE43" s="47">
        <f>ROUND(供應率ALL!Y6,1)</f>
        <v>98.9</v>
      </c>
      <c r="AF43" s="47">
        <f>ROUND(供應率ALL!Z6,1)</f>
        <v>99.4</v>
      </c>
      <c r="AG43" s="47">
        <f>ROUND(供應率ALL!AA6,1)</f>
        <v>99.6</v>
      </c>
      <c r="AH43" s="47">
        <f>ROUND(供應率ALL!AB6,1)</f>
        <v>99.5</v>
      </c>
      <c r="AI43" s="47">
        <f>ROUND(供應率ALL!AC6,1)</f>
        <v>99.6</v>
      </c>
      <c r="AJ43" s="47">
        <f>ROUND(供應率ALL!AD6,1)</f>
        <v>99.7</v>
      </c>
      <c r="AK43" s="47">
        <f>ROUND(供應率ALL!AE6,1)</f>
        <v>0</v>
      </c>
      <c r="AL43" s="47">
        <f>ROUND(供應率ALL!AF6,1)</f>
        <v>99.8</v>
      </c>
      <c r="AM43" s="47">
        <f>ROUND(供應率ALL!AG6,1)</f>
        <v>99.9</v>
      </c>
      <c r="AN43" s="214">
        <f>ROUND(供應率ALL!AH6,1)</f>
        <v>99.4</v>
      </c>
      <c r="AO43" s="48"/>
    </row>
    <row r="44" spans="1:41" s="14" customFormat="1" ht="21.95" customHeight="1">
      <c r="A44" s="561" t="s">
        <v>47</v>
      </c>
      <c r="B44" s="562"/>
      <c r="C44" s="562"/>
      <c r="D44" s="44">
        <f>HLOOKUP(MONTH(日期!$C$2),去年月推移!$D$1:$O$200,102,TRUE)</f>
        <v>93.80301</v>
      </c>
      <c r="E44" s="50">
        <v>92</v>
      </c>
      <c r="F44" s="51" t="s">
        <v>45</v>
      </c>
      <c r="G44" s="563">
        <f>ROUND(當年月推移!P103,1)</f>
        <v>92.9</v>
      </c>
      <c r="H44" s="564"/>
      <c r="I44" s="47">
        <f>ROUND(供應率ALL!C23,1)</f>
        <v>0</v>
      </c>
      <c r="J44" s="47">
        <f>ROUND(供應率ALL!D23,1)</f>
        <v>94.2</v>
      </c>
      <c r="K44" s="47">
        <f>ROUND(供應率ALL!E23,1)</f>
        <v>94.5</v>
      </c>
      <c r="L44" s="47">
        <f>ROUND(供應率ALL!F23,1)</f>
        <v>94.6</v>
      </c>
      <c r="M44" s="47">
        <f>ROUND(供應率ALL!G23,1)</f>
        <v>88.9</v>
      </c>
      <c r="N44" s="47">
        <f>ROUND(供應率ALL!H23,1)</f>
        <v>92.1</v>
      </c>
      <c r="O44" s="47">
        <f>ROUND(供應率ALL!I23,1)</f>
        <v>96.6</v>
      </c>
      <c r="P44" s="47">
        <f>ROUND(供應率ALL!J23,1)</f>
        <v>0</v>
      </c>
      <c r="Q44" s="47">
        <f>ROUND(供應率ALL!K23,1)</f>
        <v>95.4</v>
      </c>
      <c r="R44" s="47">
        <f>ROUND(供應率ALL!L23,1)</f>
        <v>93.2</v>
      </c>
      <c r="S44" s="47">
        <f>ROUND(供應率ALL!M23,1)</f>
        <v>94.3</v>
      </c>
      <c r="T44" s="47">
        <f>ROUND(供應率ALL!N23,1)</f>
        <v>93.9</v>
      </c>
      <c r="U44" s="47">
        <f>ROUND(供應率ALL!O23,1)</f>
        <v>94.9</v>
      </c>
      <c r="V44" s="47">
        <f>ROUND(供應率ALL!P23,1)</f>
        <v>0</v>
      </c>
      <c r="W44" s="47">
        <f>ROUND(供應率ALL!Q23,1)</f>
        <v>0</v>
      </c>
      <c r="X44" s="47">
        <f>ROUND(供應率ALL!R23,1)</f>
        <v>90.8</v>
      </c>
      <c r="Y44" s="47">
        <f>ROUND(供應率ALL!S23,1)</f>
        <v>93.8</v>
      </c>
      <c r="Z44" s="47">
        <f>ROUND(供應率ALL!T23,1)</f>
        <v>91.5</v>
      </c>
      <c r="AA44" s="47">
        <f>ROUND(供應率ALL!U23,1)</f>
        <v>93.8</v>
      </c>
      <c r="AB44" s="47">
        <f>ROUND(供應率ALL!V23,1)</f>
        <v>95.6</v>
      </c>
      <c r="AC44" s="47">
        <f>ROUND(供應率ALL!W23,1)</f>
        <v>95.6</v>
      </c>
      <c r="AD44" s="47">
        <f>ROUND(供應率ALL!X23,1)</f>
        <v>0</v>
      </c>
      <c r="AE44" s="47">
        <f>ROUND(供應率ALL!Y23,1)</f>
        <v>93.1</v>
      </c>
      <c r="AF44" s="47">
        <f>ROUND(供應率ALL!Z23,1)</f>
        <v>94</v>
      </c>
      <c r="AG44" s="47">
        <f>ROUND(供應率ALL!AA23,1)</f>
        <v>94.5</v>
      </c>
      <c r="AH44" s="47">
        <f>ROUND(供應率ALL!AB23,1)</f>
        <v>92</v>
      </c>
      <c r="AI44" s="47">
        <f>ROUND(供應率ALL!AC23,1)</f>
        <v>94.5</v>
      </c>
      <c r="AJ44" s="47">
        <f>ROUND(供應率ALL!AD23,1)</f>
        <v>96.1</v>
      </c>
      <c r="AK44" s="47">
        <f>ROUND(供應率ALL!AE23,1)</f>
        <v>0</v>
      </c>
      <c r="AL44" s="47">
        <f>ROUND(供應率ALL!AF23,1)</f>
        <v>95.7</v>
      </c>
      <c r="AM44" s="47">
        <f>ROUND(供應率ALL!AG23,1)</f>
        <v>95.6</v>
      </c>
      <c r="AN44" s="214">
        <f>ROUND(供應率ALL!AH23,1)</f>
        <v>93.9</v>
      </c>
      <c r="AO44" s="48"/>
    </row>
    <row r="45" spans="1:41" s="14" customFormat="1" ht="21.95" customHeight="1">
      <c r="A45" s="561" t="s">
        <v>48</v>
      </c>
      <c r="B45" s="562"/>
      <c r="C45" s="562"/>
      <c r="D45" s="44">
        <f>HLOOKUP(MONTH(日期!$C$2),去年月推移!$D$1:$O$200,103,TRUE)</f>
        <v>99.134463999999994</v>
      </c>
      <c r="E45" s="50">
        <v>95</v>
      </c>
      <c r="F45" s="51" t="s">
        <v>45</v>
      </c>
      <c r="G45" s="563">
        <f>ROUND(當年月推移!P104,1)</f>
        <v>98.1</v>
      </c>
      <c r="H45" s="564"/>
      <c r="I45" s="47">
        <f>ROUND(供應率ALL!C8,1)</f>
        <v>0</v>
      </c>
      <c r="J45" s="47">
        <f>ROUND(供應率ALL!D8,1)</f>
        <v>99.6</v>
      </c>
      <c r="K45" s="47">
        <f>ROUND(供應率ALL!E8,1)</f>
        <v>99.3</v>
      </c>
      <c r="L45" s="47">
        <f>ROUND(供應率ALL!F8,1)</f>
        <v>100</v>
      </c>
      <c r="M45" s="47">
        <f>ROUND(供應率ALL!G8,1)</f>
        <v>99.7</v>
      </c>
      <c r="N45" s="47">
        <f>ROUND(供應率ALL!H8,1)</f>
        <v>98.2</v>
      </c>
      <c r="O45" s="47">
        <f>ROUND(供應率ALL!I8,1)</f>
        <v>98.4</v>
      </c>
      <c r="P45" s="47">
        <f>ROUND(供應率ALL!J8,1)</f>
        <v>0</v>
      </c>
      <c r="Q45" s="47">
        <f>ROUND(供應率ALL!K8,1)</f>
        <v>95</v>
      </c>
      <c r="R45" s="47">
        <f>ROUND(供應率ALL!L8,1)</f>
        <v>96.9</v>
      </c>
      <c r="S45" s="47">
        <f>ROUND(供應率ALL!M8,1)</f>
        <v>98.2</v>
      </c>
      <c r="T45" s="47">
        <f>ROUND(供應率ALL!N8,1)</f>
        <v>99.2</v>
      </c>
      <c r="U45" s="47">
        <f>ROUND(供應率ALL!O8,1)</f>
        <v>99.6</v>
      </c>
      <c r="V45" s="47">
        <f>ROUND(供應率ALL!P8,1)</f>
        <v>0</v>
      </c>
      <c r="W45" s="47">
        <f>ROUND(供應率ALL!Q8,1)</f>
        <v>0</v>
      </c>
      <c r="X45" s="47">
        <f>ROUND(供應率ALL!R8,1)</f>
        <v>93</v>
      </c>
      <c r="Y45" s="47">
        <f>ROUND(供應率ALL!S8,1)</f>
        <v>99.2</v>
      </c>
      <c r="Z45" s="47">
        <f>ROUND(供應率ALL!T8,1)</f>
        <v>98.9</v>
      </c>
      <c r="AA45" s="47">
        <f>ROUND(供應率ALL!U8,1)</f>
        <v>99.8</v>
      </c>
      <c r="AB45" s="47">
        <f>ROUND(供應率ALL!V8,1)</f>
        <v>99.5</v>
      </c>
      <c r="AC45" s="47">
        <f>ROUND(供應率ALL!W8,1)</f>
        <v>99.4</v>
      </c>
      <c r="AD45" s="47">
        <f>ROUND(供應率ALL!X8,1)</f>
        <v>0</v>
      </c>
      <c r="AE45" s="47">
        <f>ROUND(供應率ALL!Y8,1)</f>
        <v>94.6</v>
      </c>
      <c r="AF45" s="47">
        <f>ROUND(供應率ALL!Z8,1)</f>
        <v>98.1</v>
      </c>
      <c r="AG45" s="47">
        <f>ROUND(供應率ALL!AA8,1)</f>
        <v>99.7</v>
      </c>
      <c r="AH45" s="47">
        <f>ROUND(供應率ALL!AB8,1)</f>
        <v>99.2</v>
      </c>
      <c r="AI45" s="47">
        <f>ROUND(供應率ALL!AC8,1)</f>
        <v>98.9</v>
      </c>
      <c r="AJ45" s="47">
        <f>ROUND(供應率ALL!AD8,1)</f>
        <v>99.1</v>
      </c>
      <c r="AK45" s="47">
        <f>ROUND(供應率ALL!AE8,1)</f>
        <v>0</v>
      </c>
      <c r="AL45" s="47">
        <f>ROUND(供應率ALL!AF8,1)</f>
        <v>95</v>
      </c>
      <c r="AM45" s="47">
        <f>ROUND(供應率ALL!AG8,1)</f>
        <v>98</v>
      </c>
      <c r="AN45" s="214">
        <f>ROUND(供應率ALL!AH8,1)</f>
        <v>98.2</v>
      </c>
      <c r="AO45" s="48"/>
    </row>
    <row r="46" spans="1:41" s="14" customFormat="1" ht="21.95" customHeight="1">
      <c r="A46" s="561" t="s">
        <v>17</v>
      </c>
      <c r="B46" s="562"/>
      <c r="C46" s="562"/>
      <c r="D46" s="44">
        <f>HLOOKUP(MONTH(日期!$C$2),去年月推移!$D$1:$O$200,104,TRUE)</f>
        <v>94.955489</v>
      </c>
      <c r="E46" s="50">
        <v>95</v>
      </c>
      <c r="F46" s="51" t="s">
        <v>45</v>
      </c>
      <c r="G46" s="563">
        <f>ROUND(當年月推移!P105,1)</f>
        <v>94.5</v>
      </c>
      <c r="H46" s="564"/>
      <c r="I46" s="47">
        <f>ROUND(供應率ALL!C9,1)</f>
        <v>0</v>
      </c>
      <c r="J46" s="47">
        <f>ROUND(供應率ALL!D9,1)</f>
        <v>100</v>
      </c>
      <c r="K46" s="47">
        <f>ROUND(供應率ALL!E9,1)</f>
        <v>81.8</v>
      </c>
      <c r="L46" s="47">
        <f>ROUND(供應率ALL!F9,1)</f>
        <v>71.400000000000006</v>
      </c>
      <c r="M46" s="47">
        <f>ROUND(供應率ALL!G9,1)</f>
        <v>100</v>
      </c>
      <c r="N46" s="47">
        <f>ROUND(供應率ALL!H9,1)</f>
        <v>100</v>
      </c>
      <c r="O46" s="47">
        <f>ROUND(供應率ALL!I9,1)</f>
        <v>100</v>
      </c>
      <c r="P46" s="47">
        <f>ROUND(供應率ALL!J9,1)</f>
        <v>0</v>
      </c>
      <c r="Q46" s="47">
        <f>ROUND(供應率ALL!K9,1)</f>
        <v>91.6</v>
      </c>
      <c r="R46" s="47">
        <f>ROUND(供應率ALL!L9,1)</f>
        <v>100</v>
      </c>
      <c r="S46" s="47">
        <f>ROUND(供應率ALL!M9,1)</f>
        <v>100</v>
      </c>
      <c r="T46" s="47">
        <f>ROUND(供應率ALL!N9,1)</f>
        <v>100</v>
      </c>
      <c r="U46" s="47">
        <f>ROUND(供應率ALL!O9,1)</f>
        <v>100</v>
      </c>
      <c r="V46" s="47">
        <f>ROUND(供應率ALL!P9,1)</f>
        <v>0</v>
      </c>
      <c r="W46" s="47">
        <f>ROUND(供應率ALL!Q9,1)</f>
        <v>0</v>
      </c>
      <c r="X46" s="47">
        <f>ROUND(供應率ALL!R9,1)</f>
        <v>80</v>
      </c>
      <c r="Y46" s="47">
        <f>ROUND(供應率ALL!S9,1)</f>
        <v>72.7</v>
      </c>
      <c r="Z46" s="47">
        <f>ROUND(供應率ALL!T9,1)</f>
        <v>100</v>
      </c>
      <c r="AA46" s="47">
        <f>ROUND(供應率ALL!U9,1)</f>
        <v>100</v>
      </c>
      <c r="AB46" s="47">
        <f>ROUND(供應率ALL!V9,1)</f>
        <v>100</v>
      </c>
      <c r="AC46" s="47">
        <f>ROUND(供應率ALL!W9,1)</f>
        <v>100</v>
      </c>
      <c r="AD46" s="47">
        <f>ROUND(供應率ALL!X9,1)</f>
        <v>0</v>
      </c>
      <c r="AE46" s="47">
        <f>ROUND(供應率ALL!Y9,1)</f>
        <v>90.9</v>
      </c>
      <c r="AF46" s="47">
        <f>ROUND(供應率ALL!Z9,1)</f>
        <v>100</v>
      </c>
      <c r="AG46" s="47">
        <f>ROUND(供應率ALL!AA9,1)</f>
        <v>100</v>
      </c>
      <c r="AH46" s="47">
        <f>ROUND(供應率ALL!AB9,1)</f>
        <v>80</v>
      </c>
      <c r="AI46" s="47">
        <f>ROUND(供應率ALL!AC9,1)</f>
        <v>100</v>
      </c>
      <c r="AJ46" s="47">
        <f>ROUND(供應率ALL!AD9,1)</f>
        <v>100</v>
      </c>
      <c r="AK46" s="47">
        <f>ROUND(供應率ALL!AE9,1)</f>
        <v>0</v>
      </c>
      <c r="AL46" s="47">
        <f>ROUND(供應率ALL!AF9,1)</f>
        <v>100</v>
      </c>
      <c r="AM46" s="47">
        <f>ROUND(供應率ALL!AG9,1)</f>
        <v>100</v>
      </c>
      <c r="AN46" s="214">
        <f>ROUND(供應率ALL!AH9,1)</f>
        <v>93.8</v>
      </c>
      <c r="AO46" s="48"/>
    </row>
    <row r="47" spans="1:41" s="14" customFormat="1" ht="21.95" customHeight="1" thickBot="1">
      <c r="A47" s="576" t="s">
        <v>49</v>
      </c>
      <c r="B47" s="577"/>
      <c r="C47" s="578"/>
      <c r="D47" s="231">
        <f>HLOOKUP(MONTH(日期!$C$2),去年月推移!$D$1:$O$200,105,TRUE)</f>
        <v>98.684548000000007</v>
      </c>
      <c r="E47" s="52">
        <v>97.8</v>
      </c>
      <c r="F47" s="53"/>
      <c r="G47" s="574">
        <f>ROUND(當年月推移!P106,1)</f>
        <v>98.1</v>
      </c>
      <c r="H47" s="575"/>
      <c r="I47" s="242">
        <f>ROUND(供應率ALL!C10,1)</f>
        <v>0</v>
      </c>
      <c r="J47" s="242">
        <f>ROUND(供應率ALL!D10,1)</f>
        <v>98.3</v>
      </c>
      <c r="K47" s="242">
        <f>ROUND(供應率ALL!E10,1)</f>
        <v>98.2</v>
      </c>
      <c r="L47" s="242">
        <f>ROUND(供應率ALL!F10,1)</f>
        <v>97.9</v>
      </c>
      <c r="M47" s="242">
        <f>ROUND(供應率ALL!G10,1)</f>
        <v>98.1</v>
      </c>
      <c r="N47" s="242">
        <f>ROUND(供應率ALL!H10,1)</f>
        <v>98.1</v>
      </c>
      <c r="O47" s="242">
        <f>ROUND(供應率ALL!I10,1)</f>
        <v>98.8</v>
      </c>
      <c r="P47" s="242">
        <f>ROUND(供應率ALL!J10,1)</f>
        <v>0</v>
      </c>
      <c r="Q47" s="242">
        <f>ROUND(供應率ALL!K10,1)</f>
        <v>98.5</v>
      </c>
      <c r="R47" s="242">
        <f>ROUND(供應率ALL!L10,1)</f>
        <v>98.1</v>
      </c>
      <c r="S47" s="242">
        <f>ROUND(供應率ALL!M10,1)</f>
        <v>98.1</v>
      </c>
      <c r="T47" s="242">
        <f>ROUND(供應率ALL!N10,1)</f>
        <v>98.1</v>
      </c>
      <c r="U47" s="242">
        <f>ROUND(供應率ALL!O10,1)</f>
        <v>97.8</v>
      </c>
      <c r="V47" s="242">
        <f>ROUND(供應率ALL!P10,1)</f>
        <v>0</v>
      </c>
      <c r="W47" s="242">
        <f>ROUND(供應率ALL!Q10,1)</f>
        <v>0</v>
      </c>
      <c r="X47" s="242">
        <f>ROUND(供應率ALL!R10,1)</f>
        <v>97.7</v>
      </c>
      <c r="Y47" s="242">
        <f>ROUND(供應率ALL!S10,1)</f>
        <v>97.5</v>
      </c>
      <c r="Z47" s="242">
        <f>ROUND(供應率ALL!T10,1)</f>
        <v>97.9</v>
      </c>
      <c r="AA47" s="242">
        <f>ROUND(供應率ALL!U10,1)</f>
        <v>98</v>
      </c>
      <c r="AB47" s="242">
        <f>ROUND(供應率ALL!V10,1)</f>
        <v>98.2</v>
      </c>
      <c r="AC47" s="242">
        <f>ROUND(供應率ALL!W10,1)</f>
        <v>98.5</v>
      </c>
      <c r="AD47" s="242">
        <f>ROUND(供應率ALL!X10,1)</f>
        <v>0</v>
      </c>
      <c r="AE47" s="242">
        <f>ROUND(供應率ALL!Y10,1)</f>
        <v>98</v>
      </c>
      <c r="AF47" s="242">
        <f>ROUND(供應率ALL!Z10,1)</f>
        <v>98.2</v>
      </c>
      <c r="AG47" s="242">
        <f>ROUND(供應率ALL!AA10,1)</f>
        <v>98.1</v>
      </c>
      <c r="AH47" s="242">
        <f>ROUND(供應率ALL!AB10,1)</f>
        <v>98</v>
      </c>
      <c r="AI47" s="242">
        <f>ROUND(供應率ALL!AC10,1)</f>
        <v>98.5</v>
      </c>
      <c r="AJ47" s="242">
        <f>ROUND(供應率ALL!AD10,1)</f>
        <v>98.5</v>
      </c>
      <c r="AK47" s="242">
        <f>ROUND(供應率ALL!AE10,1)</f>
        <v>0</v>
      </c>
      <c r="AL47" s="242">
        <f>ROUND(供應率ALL!AF10,1)</f>
        <v>98.4</v>
      </c>
      <c r="AM47" s="242">
        <f>ROUND(供應率ALL!AG10,1)</f>
        <v>98.4</v>
      </c>
      <c r="AN47" s="271">
        <f>ROUND(供應率ALL!AH10,1)</f>
        <v>98.2</v>
      </c>
      <c r="AO47" s="48"/>
    </row>
    <row r="48" spans="1:41" s="14" customFormat="1" ht="21.95" customHeight="1">
      <c r="A48" s="572" t="s">
        <v>23</v>
      </c>
      <c r="B48" s="573"/>
      <c r="C48" s="573"/>
      <c r="D48" s="44">
        <f>HLOOKUP(MONTH(日期!$C$2),去年月推移!$D$1:$O$200,106,TRUE)</f>
        <v>97.809297000000001</v>
      </c>
      <c r="E48" s="269">
        <v>97.8</v>
      </c>
      <c r="F48" s="270" t="s">
        <v>45</v>
      </c>
      <c r="G48" s="563">
        <f>ROUND(當年月推移!P107,1)</f>
        <v>97.9</v>
      </c>
      <c r="H48" s="564"/>
      <c r="I48" s="47">
        <f>ROUND(供應率ALL!C3,1)</f>
        <v>0</v>
      </c>
      <c r="J48" s="47">
        <f>ROUND(供應率ALL!D3,1)</f>
        <v>98</v>
      </c>
      <c r="K48" s="47">
        <f>ROUND(供應率ALL!E3,1)</f>
        <v>96.8</v>
      </c>
      <c r="L48" s="47">
        <f>ROUND(供應率ALL!F3,1)</f>
        <v>96.9</v>
      </c>
      <c r="M48" s="47">
        <f>ROUND(供應率ALL!G3,1)</f>
        <v>97.5</v>
      </c>
      <c r="N48" s="47">
        <f>ROUND(供應率ALL!H3,1)</f>
        <v>97.5</v>
      </c>
      <c r="O48" s="47">
        <f>ROUND(供應率ALL!I3,1)</f>
        <v>97.7</v>
      </c>
      <c r="P48" s="47">
        <f>ROUND(供應率ALL!J3,1)</f>
        <v>0</v>
      </c>
      <c r="Q48" s="47">
        <f>ROUND(供應率ALL!K3,1)</f>
        <v>97.8</v>
      </c>
      <c r="R48" s="47">
        <f>ROUND(供應率ALL!L3,1)</f>
        <v>96.4</v>
      </c>
      <c r="S48" s="47">
        <f>ROUND(供應率ALL!M3,1)</f>
        <v>97.2</v>
      </c>
      <c r="T48" s="47">
        <f>ROUND(供應率ALL!N3,1)</f>
        <v>96.2</v>
      </c>
      <c r="U48" s="47">
        <f>ROUND(供應率ALL!O3,1)</f>
        <v>96.5</v>
      </c>
      <c r="V48" s="47">
        <f>ROUND(供應率ALL!P3,1)</f>
        <v>0</v>
      </c>
      <c r="W48" s="47">
        <f>ROUND(供應率ALL!Q3,1)</f>
        <v>0</v>
      </c>
      <c r="X48" s="47">
        <f>ROUND(供應率ALL!R3,1)</f>
        <v>96.4</v>
      </c>
      <c r="Y48" s="47">
        <f>ROUND(供應率ALL!S3,1)</f>
        <v>95.8</v>
      </c>
      <c r="Z48" s="47">
        <f>ROUND(供應率ALL!T3,1)</f>
        <v>96.7</v>
      </c>
      <c r="AA48" s="47">
        <f>ROUND(供應率ALL!U3,1)</f>
        <v>96.8</v>
      </c>
      <c r="AB48" s="47">
        <f>ROUND(供應率ALL!V3,1)</f>
        <v>97</v>
      </c>
      <c r="AC48" s="47">
        <f>ROUND(供應率ALL!W3,1)</f>
        <v>96.1</v>
      </c>
      <c r="AD48" s="47">
        <f>ROUND(供應率ALL!X3,1)</f>
        <v>0</v>
      </c>
      <c r="AE48" s="47">
        <f>ROUND(供應率ALL!Y3,1)</f>
        <v>96.4</v>
      </c>
      <c r="AF48" s="47">
        <f>ROUND(供應率ALL!Z3,1)</f>
        <v>97.2</v>
      </c>
      <c r="AG48" s="47">
        <f>ROUND(供應率ALL!AA3,1)</f>
        <v>97</v>
      </c>
      <c r="AH48" s="47">
        <f>ROUND(供應率ALL!AB3,1)</f>
        <v>98</v>
      </c>
      <c r="AI48" s="47">
        <f>ROUND(供應率ALL!AC3,1)</f>
        <v>97.4</v>
      </c>
      <c r="AJ48" s="47">
        <f>ROUND(供應率ALL!AD3,1)</f>
        <v>98.8</v>
      </c>
      <c r="AK48" s="47">
        <f>ROUND(供應率ALL!AE3,1)</f>
        <v>0</v>
      </c>
      <c r="AL48" s="47">
        <f>ROUND(供應率ALL!AF3,1)</f>
        <v>97.5</v>
      </c>
      <c r="AM48" s="47">
        <f>ROUND(供應率ALL!AG3,1)</f>
        <v>97.8</v>
      </c>
      <c r="AN48" s="214">
        <f>ROUND(供應率ALL!AH3,1)</f>
        <v>97.1</v>
      </c>
      <c r="AO48" s="48"/>
    </row>
    <row r="49" spans="1:41" s="14" customFormat="1" ht="21.95" customHeight="1">
      <c r="A49" s="569" t="s">
        <v>24</v>
      </c>
      <c r="B49" s="570"/>
      <c r="C49" s="571"/>
      <c r="D49" s="44">
        <f>HLOOKUP(MONTH(日期!$C$2),去年月推移!$D$1:$O$200,107,TRUE)</f>
        <v>99.850299000000007</v>
      </c>
      <c r="E49" s="50">
        <v>99</v>
      </c>
      <c r="F49" s="51"/>
      <c r="G49" s="612">
        <f>ROUND(當年月推移!P108,1)</f>
        <v>99.7</v>
      </c>
      <c r="H49" s="613"/>
      <c r="I49" s="47">
        <f>ROUND(供應率ALL!C11,1)</f>
        <v>0</v>
      </c>
      <c r="J49" s="47">
        <f>ROUND(供應率ALL!D11,1)</f>
        <v>100</v>
      </c>
      <c r="K49" s="47">
        <f>ROUND(供應率ALL!E11,1)</f>
        <v>100</v>
      </c>
      <c r="L49" s="47">
        <f>ROUND(供應率ALL!F11,1)</f>
        <v>100</v>
      </c>
      <c r="M49" s="47">
        <f>ROUND(供應率ALL!G11,1)</f>
        <v>100</v>
      </c>
      <c r="N49" s="47">
        <f>ROUND(供應率ALL!H11,1)</f>
        <v>100</v>
      </c>
      <c r="O49" s="47">
        <f>ROUND(供應率ALL!I11,1)</f>
        <v>100</v>
      </c>
      <c r="P49" s="47">
        <f>ROUND(供應率ALL!J11,1)</f>
        <v>0</v>
      </c>
      <c r="Q49" s="47">
        <f>ROUND(供應率ALL!K11,1)</f>
        <v>100</v>
      </c>
      <c r="R49" s="47">
        <f>ROUND(供應率ALL!L11,1)</f>
        <v>100</v>
      </c>
      <c r="S49" s="47">
        <f>ROUND(供應率ALL!M11,1)</f>
        <v>100</v>
      </c>
      <c r="T49" s="47">
        <f>ROUND(供應率ALL!N11,1)</f>
        <v>100</v>
      </c>
      <c r="U49" s="47">
        <f>ROUND(供應率ALL!O11,1)</f>
        <v>100</v>
      </c>
      <c r="V49" s="47">
        <f>ROUND(供應率ALL!P11,1)</f>
        <v>0</v>
      </c>
      <c r="W49" s="47">
        <f>ROUND(供應率ALL!Q11,1)</f>
        <v>0</v>
      </c>
      <c r="X49" s="47">
        <f>ROUND(供應率ALL!R11,1)</f>
        <v>100</v>
      </c>
      <c r="Y49" s="47">
        <f>ROUND(供應率ALL!S11,1)</f>
        <v>100</v>
      </c>
      <c r="Z49" s="47">
        <f>ROUND(供應率ALL!T11,1)</f>
        <v>100</v>
      </c>
      <c r="AA49" s="47">
        <f>ROUND(供應率ALL!U11,1)</f>
        <v>100</v>
      </c>
      <c r="AB49" s="47">
        <f>ROUND(供應率ALL!V11,1)</f>
        <v>100</v>
      </c>
      <c r="AC49" s="47">
        <f>ROUND(供應率ALL!W11,1)</f>
        <v>100</v>
      </c>
      <c r="AD49" s="47">
        <f>ROUND(供應率ALL!X11,1)</f>
        <v>0</v>
      </c>
      <c r="AE49" s="47">
        <f>ROUND(供應率ALL!Y11,1)</f>
        <v>100</v>
      </c>
      <c r="AF49" s="47">
        <f>ROUND(供應率ALL!Z11,1)</f>
        <v>100</v>
      </c>
      <c r="AG49" s="47">
        <f>ROUND(供應率ALL!AA11,1)</f>
        <v>100</v>
      </c>
      <c r="AH49" s="47">
        <f>ROUND(供應率ALL!AB11,1)</f>
        <v>100</v>
      </c>
      <c r="AI49" s="47">
        <f>ROUND(供應率ALL!AC11,1)</f>
        <v>100</v>
      </c>
      <c r="AJ49" s="47">
        <f>ROUND(供應率ALL!AD11,1)</f>
        <v>100</v>
      </c>
      <c r="AK49" s="47">
        <f>ROUND(供應率ALL!AE11,1)</f>
        <v>0</v>
      </c>
      <c r="AL49" s="47">
        <f>ROUND(供應率ALL!AF11,1)</f>
        <v>100</v>
      </c>
      <c r="AM49" s="47">
        <f>ROUND(供應率ALL!AG11,1)</f>
        <v>100</v>
      </c>
      <c r="AN49" s="214">
        <f>ROUND(供應率ALL!AH11,1)</f>
        <v>100</v>
      </c>
      <c r="AO49" s="48"/>
    </row>
    <row r="50" spans="1:41" s="14" customFormat="1" ht="21.95" customHeight="1">
      <c r="A50" s="569" t="s">
        <v>25</v>
      </c>
      <c r="B50" s="570"/>
      <c r="C50" s="571"/>
      <c r="D50" s="44">
        <f>HLOOKUP(MONTH(日期!$C$2),去年月推移!$D$1:$O$200,108,TRUE)</f>
        <v>94.670406</v>
      </c>
      <c r="E50" s="50">
        <v>75</v>
      </c>
      <c r="F50" s="51"/>
      <c r="G50" s="612">
        <f>ROUND(當年月推移!P109,1)</f>
        <v>92</v>
      </c>
      <c r="H50" s="613"/>
      <c r="I50" s="47">
        <f>ROUND(供應率ALL!C12,1)</f>
        <v>0</v>
      </c>
      <c r="J50" s="47">
        <f>ROUND(供應率ALL!D12,1)</f>
        <v>96.7</v>
      </c>
      <c r="K50" s="47">
        <f>ROUND(供應率ALL!E12,1)</f>
        <v>91.6</v>
      </c>
      <c r="L50" s="47">
        <f>ROUND(供應率ALL!F12,1)</f>
        <v>93.3</v>
      </c>
      <c r="M50" s="47">
        <f>ROUND(供應率ALL!G12,1)</f>
        <v>100</v>
      </c>
      <c r="N50" s="47">
        <f>ROUND(供應率ALL!H12,1)</f>
        <v>95</v>
      </c>
      <c r="O50" s="47">
        <f>ROUND(供應率ALL!I12,1)</f>
        <v>96.1</v>
      </c>
      <c r="P50" s="47">
        <f>ROUND(供應率ALL!J12,1)</f>
        <v>0</v>
      </c>
      <c r="Q50" s="47">
        <f>ROUND(供應率ALL!K12,1)</f>
        <v>90.9</v>
      </c>
      <c r="R50" s="47">
        <f>ROUND(供應率ALL!L12,1)</f>
        <v>85</v>
      </c>
      <c r="S50" s="47">
        <f>ROUND(供應率ALL!M12,1)</f>
        <v>88</v>
      </c>
      <c r="T50" s="47">
        <f>ROUND(供應率ALL!N12,1)</f>
        <v>95</v>
      </c>
      <c r="U50" s="47">
        <f>ROUND(供應率ALL!O12,1)</f>
        <v>91.6</v>
      </c>
      <c r="V50" s="47">
        <f>ROUND(供應率ALL!P12,1)</f>
        <v>0</v>
      </c>
      <c r="W50" s="47">
        <f>ROUND(供應率ALL!Q12,1)</f>
        <v>0</v>
      </c>
      <c r="X50" s="47">
        <f>ROUND(供應率ALL!R12,1)</f>
        <v>94.2</v>
      </c>
      <c r="Y50" s="47">
        <f>ROUND(供應率ALL!S12,1)</f>
        <v>100</v>
      </c>
      <c r="Z50" s="47">
        <f>ROUND(供應率ALL!T12,1)</f>
        <v>93.3</v>
      </c>
      <c r="AA50" s="47">
        <f>ROUND(供應率ALL!U12,1)</f>
        <v>91.6</v>
      </c>
      <c r="AB50" s="47">
        <f>ROUND(供應率ALL!V12,1)</f>
        <v>76.400000000000006</v>
      </c>
      <c r="AC50" s="47">
        <f>ROUND(供應率ALL!W12,1)</f>
        <v>100</v>
      </c>
      <c r="AD50" s="47">
        <f>ROUND(供應率ALL!X12,1)</f>
        <v>0</v>
      </c>
      <c r="AE50" s="47">
        <f>ROUND(供應率ALL!Y12,1)</f>
        <v>100</v>
      </c>
      <c r="AF50" s="47">
        <f>ROUND(供應率ALL!Z12,1)</f>
        <v>94.1</v>
      </c>
      <c r="AG50" s="47">
        <f>ROUND(供應率ALL!AA12,1)</f>
        <v>84.6</v>
      </c>
      <c r="AH50" s="47">
        <f>ROUND(供應率ALL!AB12,1)</f>
        <v>100</v>
      </c>
      <c r="AI50" s="47">
        <f>ROUND(供應率ALL!AC12,1)</f>
        <v>92.8</v>
      </c>
      <c r="AJ50" s="47">
        <f>ROUND(供應率ALL!AD12,1)</f>
        <v>100</v>
      </c>
      <c r="AK50" s="47">
        <f>ROUND(供應率ALL!AE12,1)</f>
        <v>0</v>
      </c>
      <c r="AL50" s="47">
        <f>ROUND(供應率ALL!AF12,1)</f>
        <v>100</v>
      </c>
      <c r="AM50" s="47">
        <f>ROUND(供應率ALL!AG12,1)</f>
        <v>100</v>
      </c>
      <c r="AN50" s="214">
        <f>ROUND(供應率ALL!AH12,1)</f>
        <v>94.1</v>
      </c>
      <c r="AO50" s="48"/>
    </row>
    <row r="51" spans="1:41" s="14" customFormat="1" ht="21.95" customHeight="1">
      <c r="A51" s="569" t="s">
        <v>26</v>
      </c>
      <c r="B51" s="570"/>
      <c r="C51" s="571"/>
      <c r="D51" s="44">
        <f>HLOOKUP(MONTH(日期!$C$2),去年月推移!$D$1:$O$200,109,TRUE)</f>
        <v>97.918749000000005</v>
      </c>
      <c r="E51" s="50">
        <v>98.7</v>
      </c>
      <c r="F51" s="51"/>
      <c r="G51" s="612">
        <f>ROUND(當年月推移!P110,1)</f>
        <v>96.9</v>
      </c>
      <c r="H51" s="613"/>
      <c r="I51" s="47">
        <f>ROUND(供應率ALL!C13,1)</f>
        <v>0</v>
      </c>
      <c r="J51" s="47">
        <f>ROUND(供應率ALL!D13,1)</f>
        <v>99.5</v>
      </c>
      <c r="K51" s="47">
        <f>ROUND(供應率ALL!E13,1)</f>
        <v>96.8</v>
      </c>
      <c r="L51" s="47">
        <f>ROUND(供應率ALL!F13,1)</f>
        <v>98.7</v>
      </c>
      <c r="M51" s="47">
        <f>ROUND(供應率ALL!G13,1)</f>
        <v>96.2</v>
      </c>
      <c r="N51" s="47">
        <f>ROUND(供應率ALL!H13,1)</f>
        <v>97.2</v>
      </c>
      <c r="O51" s="47">
        <f>ROUND(供應率ALL!I13,1)</f>
        <v>97.9</v>
      </c>
      <c r="P51" s="47">
        <f>ROUND(供應率ALL!J13,1)</f>
        <v>0</v>
      </c>
      <c r="Q51" s="47">
        <f>ROUND(供應率ALL!K13,1)</f>
        <v>99.2</v>
      </c>
      <c r="R51" s="47">
        <f>ROUND(供應率ALL!L13,1)</f>
        <v>97</v>
      </c>
      <c r="S51" s="47">
        <f>ROUND(供應率ALL!M13,1)</f>
        <v>98.1</v>
      </c>
      <c r="T51" s="47">
        <f>ROUND(供應率ALL!N13,1)</f>
        <v>97.6</v>
      </c>
      <c r="U51" s="47">
        <f>ROUND(供應率ALL!O13,1)</f>
        <v>98.5</v>
      </c>
      <c r="V51" s="47">
        <f>ROUND(供應率ALL!P13,1)</f>
        <v>0</v>
      </c>
      <c r="W51" s="47">
        <f>ROUND(供應率ALL!Q13,1)</f>
        <v>0</v>
      </c>
      <c r="X51" s="47">
        <f>ROUND(供應率ALL!R13,1)</f>
        <v>96.1</v>
      </c>
      <c r="Y51" s="47">
        <f>ROUND(供應率ALL!S13,1)</f>
        <v>96.6</v>
      </c>
      <c r="Z51" s="47">
        <f>ROUND(供應率ALL!T13,1)</f>
        <v>97.6</v>
      </c>
      <c r="AA51" s="47">
        <f>ROUND(供應率ALL!U13,1)</f>
        <v>97.6</v>
      </c>
      <c r="AB51" s="47">
        <f>ROUND(供應率ALL!V13,1)</f>
        <v>97.4</v>
      </c>
      <c r="AC51" s="47">
        <f>ROUND(供應率ALL!W13,1)</f>
        <v>97.4</v>
      </c>
      <c r="AD51" s="47">
        <f>ROUND(供應率ALL!X13,1)</f>
        <v>0</v>
      </c>
      <c r="AE51" s="47">
        <f>ROUND(供應率ALL!Y13,1)</f>
        <v>98.7</v>
      </c>
      <c r="AF51" s="47">
        <f>ROUND(供應率ALL!Z13,1)</f>
        <v>98.5</v>
      </c>
      <c r="AG51" s="47">
        <f>ROUND(供應率ALL!AA13,1)</f>
        <v>97.9</v>
      </c>
      <c r="AH51" s="47">
        <f>ROUND(供應率ALL!AB13,1)</f>
        <v>98.8</v>
      </c>
      <c r="AI51" s="47">
        <f>ROUND(供應率ALL!AC13,1)</f>
        <v>98.4</v>
      </c>
      <c r="AJ51" s="47">
        <f>ROUND(供應率ALL!AD13,1)</f>
        <v>98.8</v>
      </c>
      <c r="AK51" s="47">
        <f>ROUND(供應率ALL!AE13,1)</f>
        <v>0</v>
      </c>
      <c r="AL51" s="47">
        <f>ROUND(供應率ALL!AF13,1)</f>
        <v>97.5</v>
      </c>
      <c r="AM51" s="47">
        <f>ROUND(供應率ALL!AG13,1)</f>
        <v>99</v>
      </c>
      <c r="AN51" s="214">
        <f>ROUND(供應率ALL!AH13,1)</f>
        <v>97.9</v>
      </c>
      <c r="AO51" s="48"/>
    </row>
    <row r="52" spans="1:41" s="14" customFormat="1" ht="21.95" customHeight="1">
      <c r="A52" s="569" t="s">
        <v>27</v>
      </c>
      <c r="B52" s="570"/>
      <c r="C52" s="571"/>
      <c r="D52" s="44">
        <f>HLOOKUP(MONTH(日期!$C$2),去年月推移!$D$1:$O$200,110,TRUE)</f>
        <v>98.946629000000001</v>
      </c>
      <c r="E52" s="50">
        <v>95</v>
      </c>
      <c r="F52" s="51"/>
      <c r="G52" s="612">
        <f>ROUND(當年月推移!P111,1)</f>
        <v>95.7</v>
      </c>
      <c r="H52" s="613"/>
      <c r="I52" s="47">
        <f>ROUND(供應率ALL!C14,1)</f>
        <v>0</v>
      </c>
      <c r="J52" s="47">
        <f>ROUND(供應率ALL!D14,1)</f>
        <v>100</v>
      </c>
      <c r="K52" s="47">
        <f>ROUND(供應率ALL!E14,1)</f>
        <v>96.2</v>
      </c>
      <c r="L52" s="47">
        <f>ROUND(供應率ALL!F14,1)</f>
        <v>100</v>
      </c>
      <c r="M52" s="47">
        <f>ROUND(供應率ALL!G14,1)</f>
        <v>98.1</v>
      </c>
      <c r="N52" s="47">
        <f>ROUND(供應率ALL!H14,1)</f>
        <v>100</v>
      </c>
      <c r="O52" s="47">
        <f>ROUND(供應率ALL!I14,1)</f>
        <v>100</v>
      </c>
      <c r="P52" s="47">
        <f>ROUND(供應率ALL!J14,1)</f>
        <v>0</v>
      </c>
      <c r="Q52" s="47">
        <f>ROUND(供應率ALL!K14,1)</f>
        <v>95.7</v>
      </c>
      <c r="R52" s="47">
        <f>ROUND(供應率ALL!L14,1)</f>
        <v>97</v>
      </c>
      <c r="S52" s="47">
        <f>ROUND(供應率ALL!M14,1)</f>
        <v>98.8</v>
      </c>
      <c r="T52" s="47">
        <f>ROUND(供應率ALL!N14,1)</f>
        <v>100</v>
      </c>
      <c r="U52" s="47">
        <f>ROUND(供應率ALL!O14,1)</f>
        <v>98.5</v>
      </c>
      <c r="V52" s="47">
        <f>ROUND(供應率ALL!P14,1)</f>
        <v>0</v>
      </c>
      <c r="W52" s="47">
        <f>ROUND(供應率ALL!Q14,1)</f>
        <v>0</v>
      </c>
      <c r="X52" s="47">
        <f>ROUND(供應率ALL!R14,1)</f>
        <v>94.8</v>
      </c>
      <c r="Y52" s="47">
        <f>ROUND(供應率ALL!S14,1)</f>
        <v>100</v>
      </c>
      <c r="Z52" s="47">
        <f>ROUND(供應率ALL!T14,1)</f>
        <v>100</v>
      </c>
      <c r="AA52" s="47">
        <f>ROUND(供應率ALL!U14,1)</f>
        <v>95.4</v>
      </c>
      <c r="AB52" s="47">
        <f>ROUND(供應率ALL!V14,1)</f>
        <v>98.6</v>
      </c>
      <c r="AC52" s="47">
        <f>ROUND(供應率ALL!W14,1)</f>
        <v>96.8</v>
      </c>
      <c r="AD52" s="47">
        <f>ROUND(供應率ALL!X14,1)</f>
        <v>0</v>
      </c>
      <c r="AE52" s="47">
        <f>ROUND(供應率ALL!Y14,1)</f>
        <v>100</v>
      </c>
      <c r="AF52" s="47">
        <f>ROUND(供應率ALL!Z14,1)</f>
        <v>95.7</v>
      </c>
      <c r="AG52" s="47">
        <f>ROUND(供應率ALL!AA14,1)</f>
        <v>100</v>
      </c>
      <c r="AH52" s="47">
        <f>ROUND(供應率ALL!AB14,1)</f>
        <v>97.1</v>
      </c>
      <c r="AI52" s="47">
        <f>ROUND(供應率ALL!AC14,1)</f>
        <v>96.4</v>
      </c>
      <c r="AJ52" s="47">
        <f>ROUND(供應率ALL!AD14,1)</f>
        <v>75.900000000000006</v>
      </c>
      <c r="AK52" s="47">
        <f>ROUND(供應率ALL!AE14,1)</f>
        <v>0</v>
      </c>
      <c r="AL52" s="47">
        <f>ROUND(供應率ALL!AF14,1)</f>
        <v>75.7</v>
      </c>
      <c r="AM52" s="47">
        <f>ROUND(供應率ALL!AG14,1)</f>
        <v>84.6</v>
      </c>
      <c r="AN52" s="214">
        <f>ROUND(供應率ALL!AH14,1)</f>
        <v>96</v>
      </c>
      <c r="AO52" s="48"/>
    </row>
    <row r="53" spans="1:41" s="14" customFormat="1" ht="21.95" customHeight="1">
      <c r="A53" s="569" t="s">
        <v>28</v>
      </c>
      <c r="B53" s="570"/>
      <c r="C53" s="571"/>
      <c r="D53" s="44">
        <f>HLOOKUP(MONTH(日期!$C$2),去年月推移!$D$1:$O$200,111,TRUE)</f>
        <v>0</v>
      </c>
      <c r="E53" s="50"/>
      <c r="F53" s="51"/>
      <c r="G53" s="612">
        <f>ROUND(當年月推移!P112,1)</f>
        <v>15.9</v>
      </c>
      <c r="H53" s="613"/>
      <c r="I53" s="47">
        <f>ROUND(供應率ALL!C15,1)</f>
        <v>0</v>
      </c>
      <c r="J53" s="47">
        <f>ROUND(供應率ALL!D15,1)</f>
        <v>0</v>
      </c>
      <c r="K53" s="47">
        <f>ROUND(供應率ALL!E15,1)</f>
        <v>0</v>
      </c>
      <c r="L53" s="47">
        <f>ROUND(供應率ALL!F15,1)</f>
        <v>0</v>
      </c>
      <c r="M53" s="47">
        <f>ROUND(供應率ALL!G15,1)</f>
        <v>0</v>
      </c>
      <c r="N53" s="47">
        <f>ROUND(供應率ALL!H15,1)</f>
        <v>0</v>
      </c>
      <c r="O53" s="47">
        <f>ROUND(供應率ALL!I15,1)</f>
        <v>0</v>
      </c>
      <c r="P53" s="47">
        <f>ROUND(供應率ALL!J15,1)</f>
        <v>0</v>
      </c>
      <c r="Q53" s="47">
        <f>ROUND(供應率ALL!K15,1)</f>
        <v>0</v>
      </c>
      <c r="R53" s="47">
        <f>ROUND(供應率ALL!L15,1)</f>
        <v>0</v>
      </c>
      <c r="S53" s="47">
        <f>ROUND(供應率ALL!M15,1)</f>
        <v>0</v>
      </c>
      <c r="T53" s="47">
        <f>ROUND(供應率ALL!N15,1)</f>
        <v>0</v>
      </c>
      <c r="U53" s="47">
        <f>ROUND(供應率ALL!O15,1)</f>
        <v>0</v>
      </c>
      <c r="V53" s="47">
        <f>ROUND(供應率ALL!P15,1)</f>
        <v>0</v>
      </c>
      <c r="W53" s="47">
        <f>ROUND(供應率ALL!Q15,1)</f>
        <v>0</v>
      </c>
      <c r="X53" s="47">
        <f>ROUND(供應率ALL!R15,1)</f>
        <v>0</v>
      </c>
      <c r="Y53" s="47">
        <f>ROUND(供應率ALL!S15,1)</f>
        <v>0</v>
      </c>
      <c r="Z53" s="47">
        <f>ROUND(供應率ALL!T15,1)</f>
        <v>0</v>
      </c>
      <c r="AA53" s="47">
        <f>ROUND(供應率ALL!U15,1)</f>
        <v>0</v>
      </c>
      <c r="AB53" s="47">
        <f>ROUND(供應率ALL!V15,1)</f>
        <v>0</v>
      </c>
      <c r="AC53" s="47">
        <f>ROUND(供應率ALL!W15,1)</f>
        <v>0</v>
      </c>
      <c r="AD53" s="47">
        <f>ROUND(供應率ALL!X15,1)</f>
        <v>0</v>
      </c>
      <c r="AE53" s="47">
        <f>ROUND(供應率ALL!Y15,1)</f>
        <v>0</v>
      </c>
      <c r="AF53" s="47">
        <f>ROUND(供應率ALL!Z15,1)</f>
        <v>0</v>
      </c>
      <c r="AG53" s="47">
        <f>ROUND(供應率ALL!AA15,1)</f>
        <v>0</v>
      </c>
      <c r="AH53" s="47">
        <f>ROUND(供應率ALL!AB15,1)</f>
        <v>0</v>
      </c>
      <c r="AI53" s="47">
        <f>ROUND(供應率ALL!AC15,1)</f>
        <v>0</v>
      </c>
      <c r="AJ53" s="47">
        <f>ROUND(供應率ALL!AD15,1)</f>
        <v>0</v>
      </c>
      <c r="AK53" s="47">
        <f>ROUND(供應率ALL!AE15,1)</f>
        <v>0</v>
      </c>
      <c r="AL53" s="47">
        <f>ROUND(供應率ALL!AF15,1)</f>
        <v>0</v>
      </c>
      <c r="AM53" s="47">
        <f>ROUND(供應率ALL!AG15,1)</f>
        <v>0</v>
      </c>
      <c r="AN53" s="214">
        <f>ROUND(供應率ALL!AH15,1)</f>
        <v>0</v>
      </c>
      <c r="AO53" s="48"/>
    </row>
    <row r="54" spans="1:41" s="42" customFormat="1" ht="21.95" customHeight="1" thickBot="1">
      <c r="A54" s="616" t="s">
        <v>50</v>
      </c>
      <c r="B54" s="617"/>
      <c r="C54" s="617"/>
      <c r="D54" s="231">
        <f>HLOOKUP(MONTH(日期!$C$2),去年月推移!$D$1:$O$200,112,TRUE)</f>
        <v>97.802156999999994</v>
      </c>
      <c r="E54" s="52"/>
      <c r="F54" s="53" t="s">
        <v>45</v>
      </c>
      <c r="G54" s="574">
        <f>ROUND(當年月推移!P113,1)</f>
        <v>97.6</v>
      </c>
      <c r="H54" s="575"/>
      <c r="I54" s="242">
        <f>ROUND(供應率ALL!C16,1)</f>
        <v>0</v>
      </c>
      <c r="J54" s="242">
        <f>ROUND(供應率ALL!D16,1)</f>
        <v>98.2</v>
      </c>
      <c r="K54" s="242">
        <f>ROUND(供應率ALL!E16,1)</f>
        <v>96.8</v>
      </c>
      <c r="L54" s="242">
        <f>ROUND(供應率ALL!F16,1)</f>
        <v>97.2</v>
      </c>
      <c r="M54" s="242">
        <f>ROUND(供應率ALL!G16,1)</f>
        <v>97.4</v>
      </c>
      <c r="N54" s="242">
        <f>ROUND(供應率ALL!H16,1)</f>
        <v>97.6</v>
      </c>
      <c r="O54" s="242">
        <f>ROUND(供應率ALL!I16,1)</f>
        <v>97.9</v>
      </c>
      <c r="P54" s="242">
        <f>ROUND(供應率ALL!J16,1)</f>
        <v>0</v>
      </c>
      <c r="Q54" s="242">
        <f>ROUND(供應率ALL!K16,1)</f>
        <v>97.9</v>
      </c>
      <c r="R54" s="242">
        <f>ROUND(供應率ALL!L16,1)</f>
        <v>96.5</v>
      </c>
      <c r="S54" s="242">
        <f>ROUND(供應率ALL!M16,1)</f>
        <v>97.3</v>
      </c>
      <c r="T54" s="242">
        <f>ROUND(供應率ALL!N16,1)</f>
        <v>96.7</v>
      </c>
      <c r="U54" s="242">
        <f>ROUND(供應率ALL!O16,1)</f>
        <v>96.9</v>
      </c>
      <c r="V54" s="242">
        <f>ROUND(供應率ALL!P16,1)</f>
        <v>0</v>
      </c>
      <c r="W54" s="242">
        <f>ROUND(供應率ALL!Q16,1)</f>
        <v>0</v>
      </c>
      <c r="X54" s="242">
        <f>ROUND(供應率ALL!R16,1)</f>
        <v>96.4</v>
      </c>
      <c r="Y54" s="242">
        <f>ROUND(供應率ALL!S16,1)</f>
        <v>96.2</v>
      </c>
      <c r="Z54" s="242">
        <f>ROUND(供應率ALL!T16,1)</f>
        <v>97</v>
      </c>
      <c r="AA54" s="242">
        <f>ROUND(供應率ALL!U16,1)</f>
        <v>97</v>
      </c>
      <c r="AB54" s="242">
        <f>ROUND(供應率ALL!V16,1)</f>
        <v>97</v>
      </c>
      <c r="AC54" s="242">
        <f>ROUND(供應率ALL!W16,1)</f>
        <v>96.5</v>
      </c>
      <c r="AD54" s="242">
        <f>ROUND(供應率ALL!X16,1)</f>
        <v>0</v>
      </c>
      <c r="AE54" s="242">
        <f>ROUND(供應率ALL!Y16,1)</f>
        <v>97</v>
      </c>
      <c r="AF54" s="242">
        <f>ROUND(供應率ALL!Z16,1)</f>
        <v>97.4</v>
      </c>
      <c r="AG54" s="242">
        <f>ROUND(供應率ALL!AA16,1)</f>
        <v>97.2</v>
      </c>
      <c r="AH54" s="242">
        <f>ROUND(供應率ALL!AB16,1)</f>
        <v>98.2</v>
      </c>
      <c r="AI54" s="242">
        <f>ROUND(供應率ALL!AC16,1)</f>
        <v>97.6</v>
      </c>
      <c r="AJ54" s="242">
        <f>ROUND(供應率ALL!AD16,1)</f>
        <v>98.1</v>
      </c>
      <c r="AK54" s="242">
        <f>ROUND(供應率ALL!AE16,1)</f>
        <v>0</v>
      </c>
      <c r="AL54" s="242">
        <f>ROUND(供應率ALL!AF16,1)</f>
        <v>96.9</v>
      </c>
      <c r="AM54" s="242">
        <f>ROUND(供應率ALL!AG16,1)</f>
        <v>97.8</v>
      </c>
      <c r="AN54" s="215">
        <f>ROUND(供應率ALL!AH16,1)</f>
        <v>97.2</v>
      </c>
      <c r="AO54" s="54"/>
    </row>
    <row r="55" spans="1:41" s="42" customFormat="1" ht="21.95" customHeight="1">
      <c r="A55" s="618" t="s">
        <v>31</v>
      </c>
      <c r="B55" s="619"/>
      <c r="C55" s="620"/>
      <c r="D55" s="272">
        <f>HLOOKUP(MONTH(日期!$C$2),去年月推移!$D$1:$O$200,113,TRUE)</f>
        <v>0</v>
      </c>
      <c r="E55" s="267"/>
      <c r="F55" s="267"/>
      <c r="G55" s="563">
        <f>ROUND(當年月推移!P114,1)</f>
        <v>0</v>
      </c>
      <c r="H55" s="564"/>
      <c r="I55" s="47">
        <f>ROUND(供應率ALL!C17,1)</f>
        <v>0</v>
      </c>
      <c r="J55" s="47">
        <f>ROUND(供應率ALL!D17,1)</f>
        <v>0</v>
      </c>
      <c r="K55" s="47">
        <f>ROUND(供應率ALL!E17,1)</f>
        <v>0</v>
      </c>
      <c r="L55" s="47">
        <f>ROUND(供應率ALL!F17,1)</f>
        <v>0</v>
      </c>
      <c r="M55" s="47">
        <f>ROUND(供應率ALL!G17,1)</f>
        <v>0</v>
      </c>
      <c r="N55" s="47">
        <f>ROUND(供應率ALL!H17,1)</f>
        <v>0</v>
      </c>
      <c r="O55" s="47">
        <f>ROUND(供應率ALL!I17,1)</f>
        <v>0</v>
      </c>
      <c r="P55" s="47">
        <f>ROUND(供應率ALL!J17,1)</f>
        <v>0</v>
      </c>
      <c r="Q55" s="47">
        <f>ROUND(供應率ALL!K17,1)</f>
        <v>0</v>
      </c>
      <c r="R55" s="47">
        <f>ROUND(供應率ALL!L17,1)</f>
        <v>0</v>
      </c>
      <c r="S55" s="47">
        <f>ROUND(供應率ALL!M17,1)</f>
        <v>0</v>
      </c>
      <c r="T55" s="47">
        <f>ROUND(供應率ALL!N17,1)</f>
        <v>0</v>
      </c>
      <c r="U55" s="47">
        <f>ROUND(供應率ALL!O17,1)</f>
        <v>0</v>
      </c>
      <c r="V55" s="47">
        <f>ROUND(供應率ALL!P17,1)</f>
        <v>0</v>
      </c>
      <c r="W55" s="47">
        <f>ROUND(供應率ALL!Q17,1)</f>
        <v>0</v>
      </c>
      <c r="X55" s="47">
        <f>ROUND(供應率ALL!R17,1)</f>
        <v>0</v>
      </c>
      <c r="Y55" s="47">
        <f>ROUND(供應率ALL!S17,1)</f>
        <v>0</v>
      </c>
      <c r="Z55" s="47">
        <f>ROUND(供應率ALL!T17,1)</f>
        <v>0</v>
      </c>
      <c r="AA55" s="47">
        <f>ROUND(供應率ALL!U17,1)</f>
        <v>0</v>
      </c>
      <c r="AB55" s="47">
        <f>ROUND(供應率ALL!V17,1)</f>
        <v>0</v>
      </c>
      <c r="AC55" s="47">
        <f>ROUND(供應率ALL!W17,1)</f>
        <v>0</v>
      </c>
      <c r="AD55" s="47">
        <f>ROUND(供應率ALL!X17,1)</f>
        <v>0</v>
      </c>
      <c r="AE55" s="47">
        <f>ROUND(供應率ALL!Y17,1)</f>
        <v>0</v>
      </c>
      <c r="AF55" s="47">
        <f>ROUND(供應率ALL!Z17,1)</f>
        <v>0</v>
      </c>
      <c r="AG55" s="47">
        <f>ROUND(供應率ALL!AA17,1)</f>
        <v>0</v>
      </c>
      <c r="AH55" s="47">
        <f>ROUND(供應率ALL!AB17,1)</f>
        <v>0</v>
      </c>
      <c r="AI55" s="47">
        <f>ROUND(供應率ALL!AC17,1)</f>
        <v>0</v>
      </c>
      <c r="AJ55" s="47">
        <f>ROUND(供應率ALL!AD17,1)</f>
        <v>0</v>
      </c>
      <c r="AK55" s="47">
        <f>ROUND(供應率ALL!AE17,1)</f>
        <v>0</v>
      </c>
      <c r="AL55" s="47">
        <f>ROUND(供應率ALL!AF17,1)</f>
        <v>0</v>
      </c>
      <c r="AM55" s="47">
        <f>ROUND(供應率ALL!AG17,1)</f>
        <v>0</v>
      </c>
      <c r="AN55" s="213">
        <f>ROUND(供應率ALL!AH17,1)</f>
        <v>0</v>
      </c>
      <c r="AO55" s="54"/>
    </row>
    <row r="56" spans="1:41" s="42" customFormat="1" ht="21.95" customHeight="1">
      <c r="A56" s="569" t="s">
        <v>32</v>
      </c>
      <c r="B56" s="570"/>
      <c r="C56" s="571"/>
      <c r="D56" s="49">
        <f>HLOOKUP(MONTH(日期!$C$2),去年月推移!$D$1:$O$200,114,TRUE)</f>
        <v>0</v>
      </c>
      <c r="E56" s="268"/>
      <c r="F56" s="268"/>
      <c r="G56" s="563">
        <f>ROUND(當年月推移!P115,1)</f>
        <v>0</v>
      </c>
      <c r="H56" s="564"/>
      <c r="I56" s="47">
        <f>ROUND(供應率ALL!C18,1)</f>
        <v>0</v>
      </c>
      <c r="J56" s="47">
        <f>ROUND(供應率ALL!D18,1)</f>
        <v>0</v>
      </c>
      <c r="K56" s="47">
        <f>ROUND(供應率ALL!E18,1)</f>
        <v>0</v>
      </c>
      <c r="L56" s="47">
        <f>ROUND(供應率ALL!F18,1)</f>
        <v>0</v>
      </c>
      <c r="M56" s="47">
        <f>ROUND(供應率ALL!G18,1)</f>
        <v>0</v>
      </c>
      <c r="N56" s="47">
        <f>ROUND(供應率ALL!H18,1)</f>
        <v>0</v>
      </c>
      <c r="O56" s="47">
        <f>ROUND(供應率ALL!I18,1)</f>
        <v>0</v>
      </c>
      <c r="P56" s="47">
        <f>ROUND(供應率ALL!J18,1)</f>
        <v>0</v>
      </c>
      <c r="Q56" s="47">
        <f>ROUND(供應率ALL!K18,1)</f>
        <v>0</v>
      </c>
      <c r="R56" s="47">
        <f>ROUND(供應率ALL!L18,1)</f>
        <v>0</v>
      </c>
      <c r="S56" s="47">
        <f>ROUND(供應率ALL!M18,1)</f>
        <v>0</v>
      </c>
      <c r="T56" s="47">
        <f>ROUND(供應率ALL!N18,1)</f>
        <v>0</v>
      </c>
      <c r="U56" s="47">
        <f>ROUND(供應率ALL!O18,1)</f>
        <v>0</v>
      </c>
      <c r="V56" s="47">
        <f>ROUND(供應率ALL!P18,1)</f>
        <v>0</v>
      </c>
      <c r="W56" s="47">
        <f>ROUND(供應率ALL!Q18,1)</f>
        <v>0</v>
      </c>
      <c r="X56" s="47">
        <f>ROUND(供應率ALL!R18,1)</f>
        <v>0</v>
      </c>
      <c r="Y56" s="47">
        <f>ROUND(供應率ALL!S18,1)</f>
        <v>0</v>
      </c>
      <c r="Z56" s="47">
        <f>ROUND(供應率ALL!T18,1)</f>
        <v>0</v>
      </c>
      <c r="AA56" s="47">
        <f>ROUND(供應率ALL!U18,1)</f>
        <v>0</v>
      </c>
      <c r="AB56" s="47">
        <f>ROUND(供應率ALL!V18,1)</f>
        <v>0</v>
      </c>
      <c r="AC56" s="47">
        <f>ROUND(供應率ALL!W18,1)</f>
        <v>0</v>
      </c>
      <c r="AD56" s="47">
        <f>ROUND(供應率ALL!X18,1)</f>
        <v>0</v>
      </c>
      <c r="AE56" s="47">
        <f>ROUND(供應率ALL!Y18,1)</f>
        <v>0</v>
      </c>
      <c r="AF56" s="47">
        <f>ROUND(供應率ALL!Z18,1)</f>
        <v>0</v>
      </c>
      <c r="AG56" s="47">
        <f>ROUND(供應率ALL!AA18,1)</f>
        <v>0</v>
      </c>
      <c r="AH56" s="47">
        <f>ROUND(供應率ALL!AB18,1)</f>
        <v>0</v>
      </c>
      <c r="AI56" s="47">
        <f>ROUND(供應率ALL!AC18,1)</f>
        <v>0</v>
      </c>
      <c r="AJ56" s="47">
        <f>ROUND(供應率ALL!AD18,1)</f>
        <v>0</v>
      </c>
      <c r="AK56" s="47">
        <f>ROUND(供應率ALL!AE18,1)</f>
        <v>0</v>
      </c>
      <c r="AL56" s="47">
        <f>ROUND(供應率ALL!AF18,1)</f>
        <v>0</v>
      </c>
      <c r="AM56" s="47">
        <f>ROUND(供應率ALL!AG18,1)</f>
        <v>0</v>
      </c>
      <c r="AN56" s="214">
        <f>ROUND(供應率ALL!AH18,1)</f>
        <v>0</v>
      </c>
      <c r="AO56" s="54"/>
    </row>
    <row r="57" spans="1:41" s="42" customFormat="1" ht="21.95" customHeight="1">
      <c r="A57" s="569" t="s">
        <v>33</v>
      </c>
      <c r="B57" s="570"/>
      <c r="C57" s="571"/>
      <c r="D57" s="49">
        <f>HLOOKUP(MONTH(日期!$C$2),去年月推移!$D$1:$O$200,115,TRUE)</f>
        <v>0</v>
      </c>
      <c r="E57" s="268"/>
      <c r="F57" s="268"/>
      <c r="G57" s="563">
        <f>ROUND(當年月推移!P116,1)</f>
        <v>0</v>
      </c>
      <c r="H57" s="564"/>
      <c r="I57" s="47">
        <f>ROUND(供應率ALL!C19,1)</f>
        <v>0</v>
      </c>
      <c r="J57" s="47">
        <f>ROUND(供應率ALL!D19,1)</f>
        <v>0</v>
      </c>
      <c r="K57" s="47">
        <f>ROUND(供應率ALL!E19,1)</f>
        <v>0</v>
      </c>
      <c r="L57" s="47">
        <f>ROUND(供應率ALL!F19,1)</f>
        <v>0</v>
      </c>
      <c r="M57" s="47">
        <f>ROUND(供應率ALL!G19,1)</f>
        <v>0</v>
      </c>
      <c r="N57" s="47">
        <f>ROUND(供應率ALL!H19,1)</f>
        <v>0</v>
      </c>
      <c r="O57" s="47">
        <f>ROUND(供應率ALL!I19,1)</f>
        <v>0</v>
      </c>
      <c r="P57" s="47">
        <f>ROUND(供應率ALL!J19,1)</f>
        <v>0</v>
      </c>
      <c r="Q57" s="47">
        <f>ROUND(供應率ALL!K19,1)</f>
        <v>0</v>
      </c>
      <c r="R57" s="47">
        <f>ROUND(供應率ALL!L19,1)</f>
        <v>0</v>
      </c>
      <c r="S57" s="47">
        <f>ROUND(供應率ALL!M19,1)</f>
        <v>0</v>
      </c>
      <c r="T57" s="47">
        <f>ROUND(供應率ALL!N19,1)</f>
        <v>0</v>
      </c>
      <c r="U57" s="47">
        <f>ROUND(供應率ALL!O19,1)</f>
        <v>0</v>
      </c>
      <c r="V57" s="47">
        <f>ROUND(供應率ALL!P19,1)</f>
        <v>0</v>
      </c>
      <c r="W57" s="47">
        <f>ROUND(供應率ALL!Q19,1)</f>
        <v>0</v>
      </c>
      <c r="X57" s="47">
        <f>ROUND(供應率ALL!R19,1)</f>
        <v>0</v>
      </c>
      <c r="Y57" s="47">
        <f>ROUND(供應率ALL!S19,1)</f>
        <v>0</v>
      </c>
      <c r="Z57" s="47">
        <f>ROUND(供應率ALL!T19,1)</f>
        <v>0</v>
      </c>
      <c r="AA57" s="47">
        <f>ROUND(供應率ALL!U19,1)</f>
        <v>0</v>
      </c>
      <c r="AB57" s="47">
        <f>ROUND(供應率ALL!V19,1)</f>
        <v>0</v>
      </c>
      <c r="AC57" s="47">
        <f>ROUND(供應率ALL!W19,1)</f>
        <v>0</v>
      </c>
      <c r="AD57" s="47">
        <f>ROUND(供應率ALL!X19,1)</f>
        <v>0</v>
      </c>
      <c r="AE57" s="47">
        <f>ROUND(供應率ALL!Y19,1)</f>
        <v>0</v>
      </c>
      <c r="AF57" s="47">
        <f>ROUND(供應率ALL!Z19,1)</f>
        <v>0</v>
      </c>
      <c r="AG57" s="47">
        <f>ROUND(供應率ALL!AA19,1)</f>
        <v>0</v>
      </c>
      <c r="AH57" s="47">
        <f>ROUND(供應率ALL!AB19,1)</f>
        <v>0</v>
      </c>
      <c r="AI57" s="47">
        <f>ROUND(供應率ALL!AC19,1)</f>
        <v>0</v>
      </c>
      <c r="AJ57" s="47">
        <f>ROUND(供應率ALL!AD19,1)</f>
        <v>0</v>
      </c>
      <c r="AK57" s="47">
        <f>ROUND(供應率ALL!AE19,1)</f>
        <v>0</v>
      </c>
      <c r="AL57" s="47">
        <f>ROUND(供應率ALL!AF19,1)</f>
        <v>0</v>
      </c>
      <c r="AM57" s="47">
        <f>ROUND(供應率ALL!AG19,1)</f>
        <v>0</v>
      </c>
      <c r="AN57" s="214">
        <f>ROUND(供應率ALL!AH19,1)</f>
        <v>0</v>
      </c>
      <c r="AO57" s="54"/>
    </row>
    <row r="58" spans="1:41" s="42" customFormat="1" ht="21.95" customHeight="1">
      <c r="A58" s="569" t="s">
        <v>34</v>
      </c>
      <c r="B58" s="570"/>
      <c r="C58" s="571"/>
      <c r="D58" s="49">
        <f>HLOOKUP(MONTH(日期!$C$2),去年月推移!$D$1:$O$200,116,TRUE)</f>
        <v>0</v>
      </c>
      <c r="E58" s="268"/>
      <c r="F58" s="268"/>
      <c r="G58" s="563">
        <f>ROUND(當年月推移!P117,1)</f>
        <v>0</v>
      </c>
      <c r="H58" s="564"/>
      <c r="I58" s="47">
        <f>ROUND(供應率ALL!C20,1)</f>
        <v>0</v>
      </c>
      <c r="J58" s="47">
        <f>ROUND(供應率ALL!D20,1)</f>
        <v>0</v>
      </c>
      <c r="K58" s="47">
        <f>ROUND(供應率ALL!E20,1)</f>
        <v>0</v>
      </c>
      <c r="L58" s="47">
        <f>ROUND(供應率ALL!F20,1)</f>
        <v>0</v>
      </c>
      <c r="M58" s="47">
        <f>ROUND(供應率ALL!G20,1)</f>
        <v>0</v>
      </c>
      <c r="N58" s="47">
        <f>ROUND(供應率ALL!H20,1)</f>
        <v>0</v>
      </c>
      <c r="O58" s="47">
        <f>ROUND(供應率ALL!I20,1)</f>
        <v>0</v>
      </c>
      <c r="P58" s="47">
        <f>ROUND(供應率ALL!J20,1)</f>
        <v>0</v>
      </c>
      <c r="Q58" s="47">
        <f>ROUND(供應率ALL!K20,1)</f>
        <v>0</v>
      </c>
      <c r="R58" s="47">
        <f>ROUND(供應率ALL!L20,1)</f>
        <v>0</v>
      </c>
      <c r="S58" s="47">
        <f>ROUND(供應率ALL!M20,1)</f>
        <v>0</v>
      </c>
      <c r="T58" s="47">
        <f>ROUND(供應率ALL!N20,1)</f>
        <v>0</v>
      </c>
      <c r="U58" s="47">
        <f>ROUND(供應率ALL!O20,1)</f>
        <v>0</v>
      </c>
      <c r="V58" s="47">
        <f>ROUND(供應率ALL!P20,1)</f>
        <v>0</v>
      </c>
      <c r="W58" s="47">
        <f>ROUND(供應率ALL!Q20,1)</f>
        <v>0</v>
      </c>
      <c r="X58" s="47">
        <f>ROUND(供應率ALL!R20,1)</f>
        <v>0</v>
      </c>
      <c r="Y58" s="47">
        <f>ROUND(供應率ALL!S20,1)</f>
        <v>0</v>
      </c>
      <c r="Z58" s="47">
        <f>ROUND(供應率ALL!T20,1)</f>
        <v>0</v>
      </c>
      <c r="AA58" s="47">
        <f>ROUND(供應率ALL!U20,1)</f>
        <v>0</v>
      </c>
      <c r="AB58" s="47">
        <f>ROUND(供應率ALL!V20,1)</f>
        <v>0</v>
      </c>
      <c r="AC58" s="47">
        <f>ROUND(供應率ALL!W20,1)</f>
        <v>0</v>
      </c>
      <c r="AD58" s="47">
        <f>ROUND(供應率ALL!X20,1)</f>
        <v>0</v>
      </c>
      <c r="AE58" s="47">
        <f>ROUND(供應率ALL!Y20,1)</f>
        <v>0</v>
      </c>
      <c r="AF58" s="47">
        <f>ROUND(供應率ALL!Z20,1)</f>
        <v>0</v>
      </c>
      <c r="AG58" s="47">
        <f>ROUND(供應率ALL!AA20,1)</f>
        <v>0</v>
      </c>
      <c r="AH58" s="47">
        <f>ROUND(供應率ALL!AB20,1)</f>
        <v>0</v>
      </c>
      <c r="AI58" s="47">
        <f>ROUND(供應率ALL!AC20,1)</f>
        <v>0</v>
      </c>
      <c r="AJ58" s="47">
        <f>ROUND(供應率ALL!AD20,1)</f>
        <v>0</v>
      </c>
      <c r="AK58" s="47">
        <f>ROUND(供應率ALL!AE20,1)</f>
        <v>0</v>
      </c>
      <c r="AL58" s="47">
        <f>ROUND(供應率ALL!AF20,1)</f>
        <v>0</v>
      </c>
      <c r="AM58" s="47">
        <f>ROUND(供應率ALL!AG20,1)</f>
        <v>0</v>
      </c>
      <c r="AN58" s="214">
        <f>ROUND(供應率ALL!AH20,1)</f>
        <v>0</v>
      </c>
      <c r="AO58" s="54"/>
    </row>
    <row r="59" spans="1:41" s="42" customFormat="1" ht="21.95" customHeight="1">
      <c r="A59" s="569" t="s">
        <v>35</v>
      </c>
      <c r="B59" s="570"/>
      <c r="C59" s="571"/>
      <c r="D59" s="243">
        <f>HLOOKUP(MONTH(日期!$C$2),去年月推移!$D$1:$O$200,117,TRUE)</f>
        <v>0</v>
      </c>
      <c r="E59" s="297"/>
      <c r="F59" s="297"/>
      <c r="G59" s="563">
        <f>ROUND(當年月推移!P118,1)</f>
        <v>0</v>
      </c>
      <c r="H59" s="564"/>
      <c r="I59" s="47">
        <f>ROUND(供應率ALL!C22,1)</f>
        <v>0</v>
      </c>
      <c r="J59" s="47">
        <f>ROUND(供應率ALL!D22,1)</f>
        <v>0</v>
      </c>
      <c r="K59" s="47">
        <f>ROUND(供應率ALL!E22,1)</f>
        <v>0</v>
      </c>
      <c r="L59" s="47">
        <f>ROUND(供應率ALL!F22,1)</f>
        <v>0</v>
      </c>
      <c r="M59" s="47">
        <f>ROUND(供應率ALL!G22,1)</f>
        <v>0</v>
      </c>
      <c r="N59" s="47">
        <f>ROUND(供應率ALL!H22,1)</f>
        <v>0</v>
      </c>
      <c r="O59" s="47">
        <f>ROUND(供應率ALL!I22,1)</f>
        <v>0</v>
      </c>
      <c r="P59" s="47">
        <f>ROUND(供應率ALL!J22,1)</f>
        <v>0</v>
      </c>
      <c r="Q59" s="47">
        <f>ROUND(供應率ALL!K22,1)</f>
        <v>0</v>
      </c>
      <c r="R59" s="47">
        <f>ROUND(供應率ALL!L22,1)</f>
        <v>0</v>
      </c>
      <c r="S59" s="47">
        <f>ROUND(供應率ALL!M22,1)</f>
        <v>0</v>
      </c>
      <c r="T59" s="47">
        <f>ROUND(供應率ALL!N22,1)</f>
        <v>0</v>
      </c>
      <c r="U59" s="47">
        <f>ROUND(供應率ALL!O22,1)</f>
        <v>0</v>
      </c>
      <c r="V59" s="47">
        <f>ROUND(供應率ALL!P22,1)</f>
        <v>0</v>
      </c>
      <c r="W59" s="47">
        <f>ROUND(供應率ALL!Q22,1)</f>
        <v>0</v>
      </c>
      <c r="X59" s="47">
        <f>ROUND(供應率ALL!R22,1)</f>
        <v>0</v>
      </c>
      <c r="Y59" s="47">
        <f>ROUND(供應率ALL!S22,1)</f>
        <v>0</v>
      </c>
      <c r="Z59" s="47">
        <f>ROUND(供應率ALL!T22,1)</f>
        <v>0</v>
      </c>
      <c r="AA59" s="47">
        <f>ROUND(供應率ALL!U22,1)</f>
        <v>0</v>
      </c>
      <c r="AB59" s="47">
        <f>ROUND(供應率ALL!V22,1)</f>
        <v>0</v>
      </c>
      <c r="AC59" s="47">
        <f>ROUND(供應率ALL!W22,1)</f>
        <v>0</v>
      </c>
      <c r="AD59" s="47">
        <f>ROUND(供應率ALL!X22,1)</f>
        <v>0</v>
      </c>
      <c r="AE59" s="47">
        <f>ROUND(供應率ALL!Y22,1)</f>
        <v>0</v>
      </c>
      <c r="AF59" s="47">
        <f>ROUND(供應率ALL!Z22,1)</f>
        <v>0</v>
      </c>
      <c r="AG59" s="47">
        <f>ROUND(供應率ALL!AA22,1)</f>
        <v>0</v>
      </c>
      <c r="AH59" s="47">
        <f>ROUND(供應率ALL!AB22,1)</f>
        <v>0</v>
      </c>
      <c r="AI59" s="47">
        <f>ROUND(供應率ALL!AC22,1)</f>
        <v>0</v>
      </c>
      <c r="AJ59" s="47">
        <f>ROUND(供應率ALL!AD22,1)</f>
        <v>0</v>
      </c>
      <c r="AK59" s="47">
        <f>ROUND(供應率ALL!AE22,1)</f>
        <v>0</v>
      </c>
      <c r="AL59" s="47">
        <f>ROUND(供應率ALL!AF22,1)</f>
        <v>0</v>
      </c>
      <c r="AM59" s="47">
        <f>ROUND(供應率ALL!AG22,1)</f>
        <v>0</v>
      </c>
      <c r="AN59" s="214">
        <f>ROUND(供應率ALL!AH22,1)</f>
        <v>0</v>
      </c>
      <c r="AO59" s="54"/>
    </row>
    <row r="60" spans="1:41" s="42" customFormat="1" ht="21.95" customHeight="1" thickBot="1">
      <c r="A60" s="576" t="s">
        <v>30</v>
      </c>
      <c r="B60" s="577"/>
      <c r="C60" s="578"/>
      <c r="D60" s="523">
        <f>HLOOKUP(MONTH(日期!$C$2),去年月推移!$D$1:$O$200,118,TRUE)</f>
        <v>0</v>
      </c>
      <c r="E60" s="231"/>
      <c r="F60" s="231"/>
      <c r="G60" s="574">
        <f>ROUND(當年月推移!P119,1)</f>
        <v>95.2</v>
      </c>
      <c r="H60" s="575"/>
      <c r="I60" s="242">
        <f>ROUND(供應率ALL!C21,1)</f>
        <v>0</v>
      </c>
      <c r="J60" s="242">
        <f>ROUND(供應率ALL!D21,1)</f>
        <v>86.6</v>
      </c>
      <c r="K60" s="242">
        <f>ROUND(供應率ALL!E21,1)</f>
        <v>100</v>
      </c>
      <c r="L60" s="242">
        <f>ROUND(供應率ALL!F21,1)</f>
        <v>100</v>
      </c>
      <c r="M60" s="242">
        <f>ROUND(供應率ALL!G21,1)</f>
        <v>100</v>
      </c>
      <c r="N60" s="242">
        <f>ROUND(供應率ALL!H21,1)</f>
        <v>100</v>
      </c>
      <c r="O60" s="242">
        <f>ROUND(供應率ALL!I21,1)</f>
        <v>100</v>
      </c>
      <c r="P60" s="242">
        <f>ROUND(供應率ALL!J21,1)</f>
        <v>0</v>
      </c>
      <c r="Q60" s="242">
        <f>ROUND(供應率ALL!K21,1)</f>
        <v>100</v>
      </c>
      <c r="R60" s="242">
        <f>ROUND(供應率ALL!L21,1)</f>
        <v>100</v>
      </c>
      <c r="S60" s="242">
        <f>ROUND(供應率ALL!M21,1)</f>
        <v>100</v>
      </c>
      <c r="T60" s="242">
        <f>ROUND(供應率ALL!N21,1)</f>
        <v>100</v>
      </c>
      <c r="U60" s="242">
        <f>ROUND(供應率ALL!O21,1)</f>
        <v>100</v>
      </c>
      <c r="V60" s="242">
        <f>ROUND(供應率ALL!P21,1)</f>
        <v>0</v>
      </c>
      <c r="W60" s="242">
        <f>ROUND(供應率ALL!Q21,1)</f>
        <v>0</v>
      </c>
      <c r="X60" s="242">
        <f>ROUND(供應率ALL!R21,1)</f>
        <v>100</v>
      </c>
      <c r="Y60" s="242">
        <f>ROUND(供應率ALL!S21,1)</f>
        <v>100</v>
      </c>
      <c r="Z60" s="242">
        <f>ROUND(供應率ALL!T21,1)</f>
        <v>100</v>
      </c>
      <c r="AA60" s="242">
        <f>ROUND(供應率ALL!U21,1)</f>
        <v>100</v>
      </c>
      <c r="AB60" s="242">
        <f>ROUND(供應率ALL!V21,1)</f>
        <v>100</v>
      </c>
      <c r="AC60" s="242">
        <f>ROUND(供應率ALL!W21,1)</f>
        <v>100</v>
      </c>
      <c r="AD60" s="242">
        <f>ROUND(供應率ALL!X21,1)</f>
        <v>0</v>
      </c>
      <c r="AE60" s="242">
        <f>ROUND(供應率ALL!Y21,1)</f>
        <v>100</v>
      </c>
      <c r="AF60" s="242">
        <f>ROUND(供應率ALL!Z21,1)</f>
        <v>100</v>
      </c>
      <c r="AG60" s="242">
        <f>ROUND(供應率ALL!AA21,1)</f>
        <v>100</v>
      </c>
      <c r="AH60" s="242">
        <f>ROUND(供應率ALL!AB21,1)</f>
        <v>100</v>
      </c>
      <c r="AI60" s="242">
        <f>ROUND(供應率ALL!AC21,1)</f>
        <v>100</v>
      </c>
      <c r="AJ60" s="242">
        <f>ROUND(供應率ALL!AD21,1)</f>
        <v>100</v>
      </c>
      <c r="AK60" s="242">
        <f>ROUND(供應率ALL!AE21,1)</f>
        <v>0</v>
      </c>
      <c r="AL60" s="242">
        <f>ROUND(供應率ALL!AF21,1)</f>
        <v>100</v>
      </c>
      <c r="AM60" s="242">
        <f>ROUND(供應率ALL!AG21,1)</f>
        <v>100</v>
      </c>
      <c r="AN60" s="271">
        <f>ROUND(供應率ALL!AH21,1)</f>
        <v>99.5</v>
      </c>
      <c r="AO60" s="54"/>
    </row>
    <row r="61" spans="1:41" s="35" customFormat="1" ht="23.1" customHeight="1">
      <c r="A61" s="34"/>
      <c r="C61" s="36"/>
      <c r="D61" s="302"/>
      <c r="E61" s="302"/>
      <c r="F61" s="302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</row>
    <row r="62" spans="1:41" s="35" customFormat="1" ht="23.1" customHeight="1" thickBot="1">
      <c r="A62" s="41" t="s">
        <v>51</v>
      </c>
      <c r="B62" s="42"/>
      <c r="C62" s="43"/>
      <c r="D62" s="302"/>
      <c r="E62" s="302"/>
      <c r="F62" s="302"/>
      <c r="G62" s="506"/>
      <c r="H62" s="506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</row>
    <row r="63" spans="1:41" s="14" customFormat="1" ht="20.25" customHeight="1">
      <c r="A63" s="606" t="s">
        <v>1</v>
      </c>
      <c r="B63" s="587"/>
      <c r="C63" s="587"/>
      <c r="D63" s="608" t="str">
        <f>D3</f>
        <v>2023/12</v>
      </c>
      <c r="E63" s="610" t="str">
        <f>E3</f>
        <v>2024/12</v>
      </c>
      <c r="F63" s="623"/>
      <c r="G63" s="565">
        <f>YEAR(日期!C2)</f>
        <v>2024</v>
      </c>
      <c r="H63" s="566"/>
      <c r="I63" s="527" t="str">
        <f>日期!C2</f>
        <v>2024/12/01</v>
      </c>
      <c r="J63" s="527" t="str">
        <f>日期!D2</f>
        <v>2024/12/02</v>
      </c>
      <c r="K63" s="527" t="str">
        <f>日期!E2</f>
        <v>2024/12/03</v>
      </c>
      <c r="L63" s="527" t="str">
        <f>日期!F2</f>
        <v>2024/12/04</v>
      </c>
      <c r="M63" s="527" t="str">
        <f>日期!G2</f>
        <v>2024/12/05</v>
      </c>
      <c r="N63" s="527" t="str">
        <f>日期!H2</f>
        <v>2024/12/06</v>
      </c>
      <c r="O63" s="527" t="str">
        <f>日期!I2</f>
        <v>2024/12/07</v>
      </c>
      <c r="P63" s="527" t="str">
        <f>日期!J2</f>
        <v>2024/12/08</v>
      </c>
      <c r="Q63" s="527" t="str">
        <f>日期!K2</f>
        <v>2024/12/09</v>
      </c>
      <c r="R63" s="527" t="str">
        <f>日期!L2</f>
        <v>2024/12/10</v>
      </c>
      <c r="S63" s="527" t="str">
        <f>日期!M2</f>
        <v>2024/12/11</v>
      </c>
      <c r="T63" s="527" t="str">
        <f>日期!N2</f>
        <v>2024/12/12</v>
      </c>
      <c r="U63" s="527" t="str">
        <f>日期!O2</f>
        <v>2024/12/13</v>
      </c>
      <c r="V63" s="527" t="str">
        <f>日期!P2</f>
        <v>2024/12/14</v>
      </c>
      <c r="W63" s="527" t="str">
        <f>日期!Q2</f>
        <v>2024/12/15</v>
      </c>
      <c r="X63" s="527" t="str">
        <f>日期!R2</f>
        <v>2024/12/16</v>
      </c>
      <c r="Y63" s="527" t="str">
        <f>日期!S2</f>
        <v>2024/12/17</v>
      </c>
      <c r="Z63" s="527" t="str">
        <f>日期!T2</f>
        <v>2024/12/18</v>
      </c>
      <c r="AA63" s="527" t="str">
        <f>日期!U2</f>
        <v>2024/12/19</v>
      </c>
      <c r="AB63" s="527" t="str">
        <f>日期!V2</f>
        <v>2024/12/20</v>
      </c>
      <c r="AC63" s="527" t="str">
        <f>日期!W2</f>
        <v>2024/12/21</v>
      </c>
      <c r="AD63" s="527" t="str">
        <f>日期!X2</f>
        <v>2024/12/22</v>
      </c>
      <c r="AE63" s="527" t="str">
        <f>日期!Y2</f>
        <v>2024/12/23</v>
      </c>
      <c r="AF63" s="527" t="str">
        <f>日期!Z2</f>
        <v>2024/12/24</v>
      </c>
      <c r="AG63" s="527" t="str">
        <f>日期!AA2</f>
        <v>2024/12/25</v>
      </c>
      <c r="AH63" s="527" t="str">
        <f>日期!AB2</f>
        <v>2024/12/26</v>
      </c>
      <c r="AI63" s="527" t="str">
        <f>日期!AC2</f>
        <v>2024/12/27</v>
      </c>
      <c r="AJ63" s="527" t="str">
        <f>日期!AD2</f>
        <v>2024/12/28</v>
      </c>
      <c r="AK63" s="527" t="str">
        <f>日期!AE2</f>
        <v>2024/12/29</v>
      </c>
      <c r="AL63" s="527" t="str">
        <f>日期!AF2</f>
        <v>2024/12/30</v>
      </c>
      <c r="AM63" s="527" t="str">
        <f>日期!AG2</f>
        <v>2024/12/31</v>
      </c>
      <c r="AN63" s="604" t="s">
        <v>42</v>
      </c>
    </row>
    <row r="64" spans="1:41" s="14" customFormat="1" ht="22.7" customHeight="1" thickBot="1">
      <c r="A64" s="607"/>
      <c r="B64" s="588"/>
      <c r="C64" s="588"/>
      <c r="D64" s="609"/>
      <c r="E64" s="611"/>
      <c r="F64" s="624"/>
      <c r="G64" s="567" t="s">
        <v>43</v>
      </c>
      <c r="H64" s="568"/>
      <c r="I64" s="12" t="str">
        <f>日期!C3</f>
        <v>Sun</v>
      </c>
      <c r="J64" s="12" t="str">
        <f>日期!D3</f>
        <v>Mon</v>
      </c>
      <c r="K64" s="12" t="str">
        <f>日期!E3</f>
        <v>Tue</v>
      </c>
      <c r="L64" s="12" t="str">
        <f>日期!F3</f>
        <v>Wed</v>
      </c>
      <c r="M64" s="12" t="str">
        <f>日期!G3</f>
        <v>Thu</v>
      </c>
      <c r="N64" s="12" t="str">
        <f>日期!H3</f>
        <v>Fri</v>
      </c>
      <c r="O64" s="12" t="str">
        <f>日期!I3</f>
        <v>Sat</v>
      </c>
      <c r="P64" s="12" t="str">
        <f>日期!J3</f>
        <v>Sun</v>
      </c>
      <c r="Q64" s="12" t="str">
        <f>日期!K3</f>
        <v>Mon</v>
      </c>
      <c r="R64" s="12" t="str">
        <f>日期!L3</f>
        <v>Tue</v>
      </c>
      <c r="S64" s="12" t="str">
        <f>日期!M3</f>
        <v>Wed</v>
      </c>
      <c r="T64" s="12" t="str">
        <f>日期!N3</f>
        <v>Thu</v>
      </c>
      <c r="U64" s="12" t="str">
        <f>日期!O3</f>
        <v>Fri</v>
      </c>
      <c r="V64" s="12" t="str">
        <f>日期!P3</f>
        <v>Sat</v>
      </c>
      <c r="W64" s="12" t="str">
        <f>日期!Q3</f>
        <v>Sun</v>
      </c>
      <c r="X64" s="12" t="str">
        <f>日期!R3</f>
        <v>Mon</v>
      </c>
      <c r="Y64" s="12" t="str">
        <f>日期!S3</f>
        <v>Tue</v>
      </c>
      <c r="Z64" s="12" t="str">
        <f>日期!T3</f>
        <v>Wed</v>
      </c>
      <c r="AA64" s="12" t="str">
        <f>日期!U3</f>
        <v>Thu</v>
      </c>
      <c r="AB64" s="12" t="str">
        <f>日期!V3</f>
        <v>Fri</v>
      </c>
      <c r="AC64" s="12" t="str">
        <f>日期!W3</f>
        <v>Sat</v>
      </c>
      <c r="AD64" s="12" t="str">
        <f>日期!X3</f>
        <v>Sun</v>
      </c>
      <c r="AE64" s="12" t="str">
        <f>日期!Y3</f>
        <v>Mon</v>
      </c>
      <c r="AF64" s="12" t="str">
        <f>日期!Z3</f>
        <v>Tue</v>
      </c>
      <c r="AG64" s="12" t="str">
        <f>日期!AA3</f>
        <v>Wed</v>
      </c>
      <c r="AH64" s="12" t="str">
        <f>日期!AB3</f>
        <v>Thu</v>
      </c>
      <c r="AI64" s="12" t="str">
        <f>日期!AC3</f>
        <v>Fri</v>
      </c>
      <c r="AJ64" s="12" t="str">
        <f>日期!AD3</f>
        <v>Sat</v>
      </c>
      <c r="AK64" s="12" t="str">
        <f>日期!AE3</f>
        <v>Sun</v>
      </c>
      <c r="AL64" s="12" t="str">
        <f>日期!AF3</f>
        <v>Mon</v>
      </c>
      <c r="AM64" s="12" t="str">
        <f>日期!AG3</f>
        <v>Tue</v>
      </c>
      <c r="AN64" s="605"/>
    </row>
    <row r="65" spans="1:41" s="11" customFormat="1" ht="21.95" customHeight="1">
      <c r="A65" s="614" t="s">
        <v>52</v>
      </c>
      <c r="B65" s="615"/>
      <c r="C65" s="615"/>
      <c r="D65" s="313">
        <f>HLOOKUP(MONTH(日期!$C$2),去年月推移!$D$1:$O$200,122,TRUE)</f>
        <v>98.820280999999994</v>
      </c>
      <c r="E65" s="272">
        <v>98</v>
      </c>
      <c r="F65" s="272" t="s">
        <v>45</v>
      </c>
      <c r="G65" s="559">
        <f>ROUND(當年月推移!P124,1)</f>
        <v>98.3</v>
      </c>
      <c r="H65" s="560"/>
      <c r="I65" s="245">
        <f>ROUND(供應率!D2,1)</f>
        <v>0</v>
      </c>
      <c r="J65" s="245">
        <f>ROUND(供應率!E2,1)</f>
        <v>98.1</v>
      </c>
      <c r="K65" s="245">
        <f>ROUND(供應率!F2,1)</f>
        <v>97.4</v>
      </c>
      <c r="L65" s="245">
        <f>ROUND(供應率!G2,1)</f>
        <v>96.9</v>
      </c>
      <c r="M65" s="245">
        <f>ROUND(供應率!H2,1)</f>
        <v>98</v>
      </c>
      <c r="N65" s="245">
        <f>ROUND(供應率!I2,1)</f>
        <v>97.8</v>
      </c>
      <c r="O65" s="245">
        <f>ROUND(供應率!J2,1)</f>
        <v>99</v>
      </c>
      <c r="P65" s="245">
        <f>ROUND(供應率!K2,1)</f>
        <v>0</v>
      </c>
      <c r="Q65" s="245">
        <f>ROUND(供應率!L2,1)</f>
        <v>99.1</v>
      </c>
      <c r="R65" s="245">
        <f>ROUND(供應率!M2,1)</f>
        <v>98</v>
      </c>
      <c r="S65" s="245">
        <f>ROUND(供應率!N2,1)</f>
        <v>98.1</v>
      </c>
      <c r="T65" s="245">
        <f>ROUND(供應率!O2,1)</f>
        <v>98</v>
      </c>
      <c r="U65" s="245">
        <f>ROUND(供應率!P2,1)</f>
        <v>97.8</v>
      </c>
      <c r="V65" s="245">
        <f>ROUND(供應率!Q2,1)</f>
        <v>0</v>
      </c>
      <c r="W65" s="245">
        <f>ROUND(供應率!R2,1)</f>
        <v>0</v>
      </c>
      <c r="X65" s="245">
        <f>ROUND(供應率!S2,1)</f>
        <v>97.8</v>
      </c>
      <c r="Y65" s="245">
        <f>ROUND(供應率!T2,1)</f>
        <v>97.2</v>
      </c>
      <c r="Z65" s="245">
        <f>ROUND(供應率!U2,1)</f>
        <v>98</v>
      </c>
      <c r="AA65" s="245">
        <f>ROUND(供應率!V2,1)</f>
        <v>98</v>
      </c>
      <c r="AB65" s="245">
        <f>ROUND(供應率!W2,1)</f>
        <v>97.9</v>
      </c>
      <c r="AC65" s="245">
        <f>ROUND(供應率!X2,1)</f>
        <v>98.4</v>
      </c>
      <c r="AD65" s="245">
        <f>ROUND(供應率!Y2,1)</f>
        <v>0</v>
      </c>
      <c r="AE65" s="245">
        <f>ROUND(供應率!Z2,1)</f>
        <v>98</v>
      </c>
      <c r="AF65" s="245">
        <f>ROUND(供應率!AA2,1)</f>
        <v>97.8</v>
      </c>
      <c r="AG65" s="245">
        <f>ROUND(供應率!AB2,1)</f>
        <v>98</v>
      </c>
      <c r="AH65" s="245">
        <f>ROUND(供應率!AC2,1)</f>
        <v>97.8</v>
      </c>
      <c r="AI65" s="245">
        <f>ROUND(供應率!AD2,1)</f>
        <v>98.1</v>
      </c>
      <c r="AJ65" s="245">
        <f>ROUND(供應率!AE2,1)</f>
        <v>98.5</v>
      </c>
      <c r="AK65" s="245">
        <f>ROUND(供應率!AF2,1)</f>
        <v>0</v>
      </c>
      <c r="AL65" s="245">
        <f>ROUND(供應率!AG2,1)</f>
        <v>98.6</v>
      </c>
      <c r="AM65" s="245">
        <f>ROUND(供應率!AH2,1)</f>
        <v>98.3</v>
      </c>
      <c r="AN65" s="213">
        <f>ROUND(供應率!AI2,1)</f>
        <v>98</v>
      </c>
      <c r="AO65" s="55"/>
    </row>
    <row r="66" spans="1:41" s="11" customFormat="1" ht="21.95" customHeight="1">
      <c r="A66" s="621" t="s">
        <v>53</v>
      </c>
      <c r="B66" s="622"/>
      <c r="C66" s="622"/>
      <c r="D66" s="311">
        <f>HLOOKUP(MONTH(日期!$C$2),去年月推移!$D$1:$O$200,123,TRUE)</f>
        <v>99.055736999999993</v>
      </c>
      <c r="E66" s="49">
        <v>98</v>
      </c>
      <c r="F66" s="49" t="s">
        <v>45</v>
      </c>
      <c r="G66" s="563">
        <f>ROUND(當年月推移!P125,1)</f>
        <v>98.3</v>
      </c>
      <c r="H66" s="564"/>
      <c r="I66" s="47">
        <f>ROUND(供應率!D3,1)</f>
        <v>0</v>
      </c>
      <c r="J66" s="47">
        <f>ROUND(供應率!E3,1)</f>
        <v>98.5</v>
      </c>
      <c r="K66" s="47">
        <f>ROUND(供應率!F3,1)</f>
        <v>98.7</v>
      </c>
      <c r="L66" s="47">
        <f>ROUND(供應率!G3,1)</f>
        <v>98.5</v>
      </c>
      <c r="M66" s="47">
        <f>ROUND(供應率!H3,1)</f>
        <v>98.5</v>
      </c>
      <c r="N66" s="47">
        <f>ROUND(供應率!I3,1)</f>
        <v>98.8</v>
      </c>
      <c r="O66" s="47">
        <f>ROUND(供應率!J3,1)</f>
        <v>98.8</v>
      </c>
      <c r="P66" s="47">
        <f>ROUND(供應率!K3,1)</f>
        <v>0</v>
      </c>
      <c r="Q66" s="47">
        <f>ROUND(供應率!L3,1)</f>
        <v>98.7</v>
      </c>
      <c r="R66" s="47">
        <f>ROUND(供應率!M3,1)</f>
        <v>98.5</v>
      </c>
      <c r="S66" s="47">
        <f>ROUND(供應率!N3,1)</f>
        <v>98.3</v>
      </c>
      <c r="T66" s="47">
        <f>ROUND(供應率!O3,1)</f>
        <v>98.2</v>
      </c>
      <c r="U66" s="47">
        <f>ROUND(供應率!P3,1)</f>
        <v>97.9</v>
      </c>
      <c r="V66" s="47">
        <f>ROUND(供應率!Q3,1)</f>
        <v>0</v>
      </c>
      <c r="W66" s="47">
        <f>ROUND(供應率!R3,1)</f>
        <v>0</v>
      </c>
      <c r="X66" s="47">
        <f>ROUND(供應率!S3,1)</f>
        <v>98.5</v>
      </c>
      <c r="Y66" s="47">
        <f>ROUND(供應率!T3,1)</f>
        <v>98.3</v>
      </c>
      <c r="Z66" s="47">
        <f>ROUND(供應率!U3,1)</f>
        <v>97.8</v>
      </c>
      <c r="AA66" s="47">
        <f>ROUND(供應率!V3,1)</f>
        <v>97.9</v>
      </c>
      <c r="AB66" s="47">
        <f>ROUND(供應率!W3,1)</f>
        <v>98.2</v>
      </c>
      <c r="AC66" s="47">
        <f>ROUND(供應率!X3,1)</f>
        <v>98.7</v>
      </c>
      <c r="AD66" s="47">
        <f>ROUND(供應率!Y3,1)</f>
        <v>0</v>
      </c>
      <c r="AE66" s="47">
        <f>ROUND(供應率!Z3,1)</f>
        <v>98.4</v>
      </c>
      <c r="AF66" s="47">
        <f>ROUND(供應率!AA3,1)</f>
        <v>98.4</v>
      </c>
      <c r="AG66" s="47">
        <f>ROUND(供應率!AB3,1)</f>
        <v>97.9</v>
      </c>
      <c r="AH66" s="47">
        <f>ROUND(供應率!AC3,1)</f>
        <v>98.6</v>
      </c>
      <c r="AI66" s="47">
        <f>ROUND(供應率!AD3,1)</f>
        <v>98.9</v>
      </c>
      <c r="AJ66" s="47">
        <f>ROUND(供應率!AE3,1)</f>
        <v>98.2</v>
      </c>
      <c r="AK66" s="47">
        <f>ROUND(供應率!AF3,1)</f>
        <v>0</v>
      </c>
      <c r="AL66" s="47">
        <f>ROUND(供應率!AG3,1)</f>
        <v>98.2</v>
      </c>
      <c r="AM66" s="47">
        <f>ROUND(供應率!AH3,1)</f>
        <v>98.2</v>
      </c>
      <c r="AN66" s="214">
        <f>ROUND(供應率!AI3,1)</f>
        <v>98.4</v>
      </c>
      <c r="AO66" s="55"/>
    </row>
    <row r="67" spans="1:41" s="11" customFormat="1" ht="21.95" customHeight="1">
      <c r="A67" s="621" t="s">
        <v>54</v>
      </c>
      <c r="B67" s="622"/>
      <c r="C67" s="622"/>
      <c r="D67" s="311">
        <f>HLOOKUP(MONTH(日期!$C$2),去年月推移!$D$1:$O$200,124,TRUE)</f>
        <v>99.094560000000001</v>
      </c>
      <c r="E67" s="49">
        <v>99.2</v>
      </c>
      <c r="F67" s="49" t="s">
        <v>45</v>
      </c>
      <c r="G67" s="563">
        <f>ROUND(當年月推移!P126,1)</f>
        <v>99.2</v>
      </c>
      <c r="H67" s="564"/>
      <c r="I67" s="47">
        <f>ROUND(供應率!D4,1)</f>
        <v>0</v>
      </c>
      <c r="J67" s="47">
        <f>ROUND(供應率!E4,1)</f>
        <v>99.1</v>
      </c>
      <c r="K67" s="47">
        <f>ROUND(供應率!F4,1)</f>
        <v>99.4</v>
      </c>
      <c r="L67" s="47">
        <f>ROUND(供應率!G4,1)</f>
        <v>99.2</v>
      </c>
      <c r="M67" s="47">
        <f>ROUND(供應率!H4,1)</f>
        <v>99.3</v>
      </c>
      <c r="N67" s="47">
        <f>ROUND(供應率!I4,1)</f>
        <v>98.6</v>
      </c>
      <c r="O67" s="47">
        <f>ROUND(供應率!J4,1)</f>
        <v>98.7</v>
      </c>
      <c r="P67" s="47">
        <f>ROUND(供應率!K4,1)</f>
        <v>0</v>
      </c>
      <c r="Q67" s="47">
        <f>ROUND(供應率!L4,1)</f>
        <v>98.6</v>
      </c>
      <c r="R67" s="47">
        <f>ROUND(供應率!M4,1)</f>
        <v>97.3</v>
      </c>
      <c r="S67" s="47">
        <f>ROUND(供應率!N4,1)</f>
        <v>98.5</v>
      </c>
      <c r="T67" s="47">
        <f>ROUND(供應率!O4,1)</f>
        <v>98.4</v>
      </c>
      <c r="U67" s="47">
        <f>ROUND(供應率!P4,1)</f>
        <v>98.5</v>
      </c>
      <c r="V67" s="47">
        <f>ROUND(供應率!Q4,1)</f>
        <v>0</v>
      </c>
      <c r="W67" s="47">
        <f>ROUND(供應率!R4,1)</f>
        <v>0</v>
      </c>
      <c r="X67" s="47">
        <f>ROUND(供應率!S4,1)</f>
        <v>98.5</v>
      </c>
      <c r="Y67" s="47">
        <f>ROUND(供應率!T4,1)</f>
        <v>97.6</v>
      </c>
      <c r="Z67" s="47">
        <f>ROUND(供應率!U4,1)</f>
        <v>99.1</v>
      </c>
      <c r="AA67" s="47">
        <f>ROUND(供應率!V4,1)</f>
        <v>98.8</v>
      </c>
      <c r="AB67" s="47">
        <f>ROUND(供應率!W4,1)</f>
        <v>98.8</v>
      </c>
      <c r="AC67" s="47">
        <f>ROUND(供應率!X4,1)</f>
        <v>99.1</v>
      </c>
      <c r="AD67" s="47">
        <f>ROUND(供應率!Y4,1)</f>
        <v>0</v>
      </c>
      <c r="AE67" s="47">
        <f>ROUND(供應率!Z4,1)</f>
        <v>99.5</v>
      </c>
      <c r="AF67" s="47">
        <f>ROUND(供應率!AA4,1)</f>
        <v>99.2</v>
      </c>
      <c r="AG67" s="47">
        <f>ROUND(供應率!AB4,1)</f>
        <v>98.6</v>
      </c>
      <c r="AH67" s="47">
        <f>ROUND(供應率!AC4,1)</f>
        <v>99.1</v>
      </c>
      <c r="AI67" s="47">
        <f>ROUND(供應率!AD4,1)</f>
        <v>99.1</v>
      </c>
      <c r="AJ67" s="47">
        <f>ROUND(供應率!AE4,1)</f>
        <v>99.4</v>
      </c>
      <c r="AK67" s="47">
        <f>ROUND(供應率!AF4,1)</f>
        <v>0</v>
      </c>
      <c r="AL67" s="47">
        <f>ROUND(供應率!AG4,1)</f>
        <v>99.5</v>
      </c>
      <c r="AM67" s="47">
        <f>ROUND(供應率!AH4,1)</f>
        <v>99.8</v>
      </c>
      <c r="AN67" s="214">
        <f>ROUND(供應率!AI4,1)</f>
        <v>98.9</v>
      </c>
      <c r="AO67" s="55"/>
    </row>
    <row r="68" spans="1:41" s="11" customFormat="1" ht="21.95" customHeight="1">
      <c r="A68" s="625" t="s">
        <v>55</v>
      </c>
      <c r="B68" s="626"/>
      <c r="C68" s="627"/>
      <c r="D68" s="319">
        <f>HLOOKUP(MONTH(日期!$C$2),去年月推移!$D$1:$O$200,125,TRUE)</f>
        <v>98.955422999999996</v>
      </c>
      <c r="E68" s="56">
        <v>98.1</v>
      </c>
      <c r="F68" s="56" t="s">
        <v>45</v>
      </c>
      <c r="G68" s="628">
        <f>ROUND(當年月推移!P127,1)</f>
        <v>98.4</v>
      </c>
      <c r="H68" s="629"/>
      <c r="I68" s="57">
        <f>ROUND(供應率!D5,1)</f>
        <v>0</v>
      </c>
      <c r="J68" s="57">
        <f>ROUND(供應率!E5,1)</f>
        <v>98.4</v>
      </c>
      <c r="K68" s="57">
        <f>ROUND(供應率!F5,1)</f>
        <v>98.2</v>
      </c>
      <c r="L68" s="57">
        <f>ROUND(供應率!G5,1)</f>
        <v>97.8</v>
      </c>
      <c r="M68" s="57">
        <f>ROUND(供應率!H5,1)</f>
        <v>98.4</v>
      </c>
      <c r="N68" s="57">
        <f>ROUND(供應率!I5,1)</f>
        <v>98.3</v>
      </c>
      <c r="O68" s="57">
        <f>ROUND(供應率!J5,1)</f>
        <v>98.9</v>
      </c>
      <c r="P68" s="57">
        <f>ROUND(供應率!K5,1)</f>
        <v>0</v>
      </c>
      <c r="Q68" s="57">
        <f>ROUND(供應率!L5,1)</f>
        <v>98.9</v>
      </c>
      <c r="R68" s="57">
        <f>ROUND(供應率!M5,1)</f>
        <v>98.2</v>
      </c>
      <c r="S68" s="57">
        <f>ROUND(供應率!N5,1)</f>
        <v>98.2</v>
      </c>
      <c r="T68" s="57">
        <f>ROUND(供應率!O5,1)</f>
        <v>98.1</v>
      </c>
      <c r="U68" s="57">
        <f>ROUND(供應率!P5,1)</f>
        <v>97.9</v>
      </c>
      <c r="V68" s="57">
        <f>ROUND(供應率!Q5,1)</f>
        <v>0</v>
      </c>
      <c r="W68" s="57">
        <f>ROUND(供應率!R5,1)</f>
        <v>0</v>
      </c>
      <c r="X68" s="57">
        <f>ROUND(供應率!S5,1)</f>
        <v>98.2</v>
      </c>
      <c r="Y68" s="57">
        <f>ROUND(供應率!T5,1)</f>
        <v>97.7</v>
      </c>
      <c r="Z68" s="57">
        <f>ROUND(供應率!U5,1)</f>
        <v>98</v>
      </c>
      <c r="AA68" s="57">
        <f>ROUND(供應率!V5,1)</f>
        <v>98</v>
      </c>
      <c r="AB68" s="57">
        <f>ROUND(供應率!W5,1)</f>
        <v>98.1</v>
      </c>
      <c r="AC68" s="57">
        <f>ROUND(供應率!X5,1)</f>
        <v>98.6</v>
      </c>
      <c r="AD68" s="57">
        <f>ROUND(供應率!Y5,1)</f>
        <v>0</v>
      </c>
      <c r="AE68" s="57">
        <f>ROUND(供應率!Z5,1)</f>
        <v>98.3</v>
      </c>
      <c r="AF68" s="57">
        <f>ROUND(供應率!AA5,1)</f>
        <v>98.2</v>
      </c>
      <c r="AG68" s="57">
        <f>ROUND(供應率!AB5,1)</f>
        <v>98</v>
      </c>
      <c r="AH68" s="57">
        <f>ROUND(供應率!AC5,1)</f>
        <v>98.3</v>
      </c>
      <c r="AI68" s="57">
        <f>ROUND(供應率!AD5,1)</f>
        <v>98.5</v>
      </c>
      <c r="AJ68" s="57">
        <f>ROUND(供應率!AE5,1)</f>
        <v>98.5</v>
      </c>
      <c r="AK68" s="57">
        <f>ROUND(供應率!AF5,1)</f>
        <v>0</v>
      </c>
      <c r="AL68" s="57">
        <f>ROUND(供應率!AG5,1)</f>
        <v>98.5</v>
      </c>
      <c r="AM68" s="57">
        <f>ROUND(供應率!AH5,1)</f>
        <v>98.4</v>
      </c>
      <c r="AN68" s="216">
        <f>ROUND(供應率!AI5,1)</f>
        <v>98.2</v>
      </c>
      <c r="AO68" s="55"/>
    </row>
    <row r="69" spans="1:41" s="11" customFormat="1" ht="21.95" customHeight="1">
      <c r="A69" s="621" t="s">
        <v>12</v>
      </c>
      <c r="B69" s="622"/>
      <c r="C69" s="622"/>
      <c r="D69" s="311">
        <f>HLOOKUP(MONTH(日期!$C$2),去年月推移!$D$1:$O$200,126,TRUE)</f>
        <v>99.915526</v>
      </c>
      <c r="E69" s="49">
        <v>99</v>
      </c>
      <c r="F69" s="49" t="s">
        <v>45</v>
      </c>
      <c r="G69" s="563">
        <f>ROUND(當年月推移!P128,1)</f>
        <v>99.8</v>
      </c>
      <c r="H69" s="564"/>
      <c r="I69" s="47">
        <f>ROUND(供應率!D7,1)</f>
        <v>0</v>
      </c>
      <c r="J69" s="47">
        <f>ROUND(供應率!E7,1)</f>
        <v>100</v>
      </c>
      <c r="K69" s="47">
        <f>ROUND(供應率!F7,1)</f>
        <v>100</v>
      </c>
      <c r="L69" s="47">
        <f>ROUND(供應率!G7,1)</f>
        <v>100</v>
      </c>
      <c r="M69" s="47">
        <f>ROUND(供應率!H7,1)</f>
        <v>100</v>
      </c>
      <c r="N69" s="47">
        <f>ROUND(供應率!I7,1)</f>
        <v>100</v>
      </c>
      <c r="O69" s="47">
        <f>ROUND(供應率!J7,1)</f>
        <v>100</v>
      </c>
      <c r="P69" s="47">
        <f>ROUND(供應率!K7,1)</f>
        <v>0</v>
      </c>
      <c r="Q69" s="47">
        <f>ROUND(供應率!L7,1)</f>
        <v>100</v>
      </c>
      <c r="R69" s="47">
        <f>ROUND(供應率!M7,1)</f>
        <v>100</v>
      </c>
      <c r="S69" s="47">
        <f>ROUND(供應率!N7,1)</f>
        <v>100</v>
      </c>
      <c r="T69" s="47">
        <f>ROUND(供應率!O7,1)</f>
        <v>100</v>
      </c>
      <c r="U69" s="47">
        <f>ROUND(供應率!P7,1)</f>
        <v>100</v>
      </c>
      <c r="V69" s="47">
        <f>ROUND(供應率!Q7,1)</f>
        <v>0</v>
      </c>
      <c r="W69" s="47">
        <f>ROUND(供應率!R7,1)</f>
        <v>0</v>
      </c>
      <c r="X69" s="47">
        <f>ROUND(供應率!S7,1)</f>
        <v>100</v>
      </c>
      <c r="Y69" s="47">
        <f>ROUND(供應率!T7,1)</f>
        <v>100</v>
      </c>
      <c r="Z69" s="47">
        <f>ROUND(供應率!U7,1)</f>
        <v>100</v>
      </c>
      <c r="AA69" s="47">
        <f>ROUND(供應率!V7,1)</f>
        <v>100</v>
      </c>
      <c r="AB69" s="47">
        <f>ROUND(供應率!W7,1)</f>
        <v>100</v>
      </c>
      <c r="AC69" s="47">
        <f>ROUND(供應率!X7,1)</f>
        <v>100</v>
      </c>
      <c r="AD69" s="47">
        <f>ROUND(供應率!Y7,1)</f>
        <v>0</v>
      </c>
      <c r="AE69" s="47">
        <f>ROUND(供應率!Z7,1)</f>
        <v>99.8</v>
      </c>
      <c r="AF69" s="47">
        <f>ROUND(供應率!AA7,1)</f>
        <v>98.3</v>
      </c>
      <c r="AG69" s="47">
        <f>ROUND(供應率!AB7,1)</f>
        <v>100</v>
      </c>
      <c r="AH69" s="47">
        <f>ROUND(供應率!AC7,1)</f>
        <v>100</v>
      </c>
      <c r="AI69" s="47">
        <f>ROUND(供應率!AD7,1)</f>
        <v>100</v>
      </c>
      <c r="AJ69" s="47">
        <f>ROUND(供應率!AE7,1)</f>
        <v>100</v>
      </c>
      <c r="AK69" s="47">
        <f>ROUND(供應率!AF7,1)</f>
        <v>0</v>
      </c>
      <c r="AL69" s="47">
        <f>ROUND(供應率!AG7,1)</f>
        <v>100</v>
      </c>
      <c r="AM69" s="47">
        <f>ROUND(供應率!AH7,1)</f>
        <v>100</v>
      </c>
      <c r="AN69" s="214">
        <f>ROUND(供應率!AI7,1)</f>
        <v>99.9</v>
      </c>
      <c r="AO69" s="55"/>
    </row>
    <row r="70" spans="1:41" s="11" customFormat="1" ht="21.95" customHeight="1">
      <c r="A70" s="621" t="s">
        <v>13</v>
      </c>
      <c r="B70" s="622"/>
      <c r="C70" s="622"/>
      <c r="D70" s="311">
        <f>HLOOKUP(MONTH(日期!$C$2),去年月推移!$D$1:$O$200,127,TRUE)</f>
        <v>97.664114999999995</v>
      </c>
      <c r="E70" s="49">
        <v>70</v>
      </c>
      <c r="F70" s="49" t="s">
        <v>45</v>
      </c>
      <c r="G70" s="563">
        <f>ROUND(當年月推移!P129,1)</f>
        <v>91.5</v>
      </c>
      <c r="H70" s="564"/>
      <c r="I70" s="47">
        <f>ROUND(供應率!D8,1)</f>
        <v>0</v>
      </c>
      <c r="J70" s="47">
        <f>ROUND(供應率!E8,1)</f>
        <v>75</v>
      </c>
      <c r="K70" s="47">
        <f>ROUND(供應率!F8,1)</f>
        <v>85.7</v>
      </c>
      <c r="L70" s="47">
        <f>ROUND(供應率!G8,1)</f>
        <v>100</v>
      </c>
      <c r="M70" s="47">
        <f>ROUND(供應率!H8,1)</f>
        <v>83.3</v>
      </c>
      <c r="N70" s="47">
        <f>ROUND(供應率!I8,1)</f>
        <v>100</v>
      </c>
      <c r="O70" s="47">
        <f>ROUND(供應率!J8,1)</f>
        <v>100</v>
      </c>
      <c r="P70" s="47">
        <f>ROUND(供應率!K8,1)</f>
        <v>0</v>
      </c>
      <c r="Q70" s="47">
        <f>ROUND(供應率!L8,1)</f>
        <v>100</v>
      </c>
      <c r="R70" s="47">
        <f>ROUND(供應率!M8,1)</f>
        <v>94.4</v>
      </c>
      <c r="S70" s="47">
        <f>ROUND(供應率!N8,1)</f>
        <v>100</v>
      </c>
      <c r="T70" s="47">
        <f>ROUND(供應率!O8,1)</f>
        <v>73.599999999999994</v>
      </c>
      <c r="U70" s="47">
        <f>ROUND(供應率!P8,1)</f>
        <v>81.2</v>
      </c>
      <c r="V70" s="47">
        <f>ROUND(供應率!Q8,1)</f>
        <v>0</v>
      </c>
      <c r="W70" s="47">
        <f>ROUND(供應率!R8,1)</f>
        <v>0</v>
      </c>
      <c r="X70" s="47">
        <f>ROUND(供應率!S8,1)</f>
        <v>77.2</v>
      </c>
      <c r="Y70" s="47">
        <f>ROUND(供應率!T8,1)</f>
        <v>85.7</v>
      </c>
      <c r="Z70" s="47">
        <f>ROUND(供應率!U8,1)</f>
        <v>94.1</v>
      </c>
      <c r="AA70" s="47">
        <f>ROUND(供應率!V8,1)</f>
        <v>70</v>
      </c>
      <c r="AB70" s="47">
        <f>ROUND(供應率!W8,1)</f>
        <v>100</v>
      </c>
      <c r="AC70" s="47">
        <f>ROUND(供應率!X8,1)</f>
        <v>75</v>
      </c>
      <c r="AD70" s="47">
        <f>ROUND(供應率!Y8,1)</f>
        <v>0</v>
      </c>
      <c r="AE70" s="47">
        <f>ROUND(供應率!Z8,1)</f>
        <v>84.6</v>
      </c>
      <c r="AF70" s="47">
        <f>ROUND(供應率!AA8,1)</f>
        <v>45.4</v>
      </c>
      <c r="AG70" s="47">
        <f>ROUND(供應率!AB8,1)</f>
        <v>62.5</v>
      </c>
      <c r="AH70" s="47">
        <f>ROUND(供應率!AC8,1)</f>
        <v>46.1</v>
      </c>
      <c r="AI70" s="47">
        <f>ROUND(供應率!AD8,1)</f>
        <v>66.599999999999994</v>
      </c>
      <c r="AJ70" s="47">
        <f>ROUND(供應率!AE8,1)</f>
        <v>90.9</v>
      </c>
      <c r="AK70" s="47">
        <f>ROUND(供應率!AF8,1)</f>
        <v>0</v>
      </c>
      <c r="AL70" s="47">
        <f>ROUND(供應率!AG8,1)</f>
        <v>100</v>
      </c>
      <c r="AM70" s="47">
        <f>ROUND(供應率!AH8,1)</f>
        <v>91.6</v>
      </c>
      <c r="AN70" s="214">
        <f>ROUND(供應率!AI8,1)</f>
        <v>83.9</v>
      </c>
      <c r="AO70" s="55"/>
    </row>
    <row r="71" spans="1:41" s="11" customFormat="1" ht="21.75" customHeight="1">
      <c r="A71" s="621" t="s">
        <v>14</v>
      </c>
      <c r="B71" s="622"/>
      <c r="C71" s="622"/>
      <c r="D71" s="311">
        <f>HLOOKUP(MONTH(日期!$C$2),去年月推移!$D$1:$O$200,128,TRUE)</f>
        <v>99.578112000000004</v>
      </c>
      <c r="E71" s="49">
        <v>99.1</v>
      </c>
      <c r="F71" s="49" t="s">
        <v>45</v>
      </c>
      <c r="G71" s="563">
        <f>ROUND(當年月推移!P130,1)</f>
        <v>99.4</v>
      </c>
      <c r="H71" s="564"/>
      <c r="I71" s="47">
        <f>ROUND(供應率!D9,1)</f>
        <v>0</v>
      </c>
      <c r="J71" s="47">
        <f>ROUND(供應率!E9,1)</f>
        <v>99.1</v>
      </c>
      <c r="K71" s="47">
        <f>ROUND(供應率!F9,1)</f>
        <v>99.4</v>
      </c>
      <c r="L71" s="47">
        <f>ROUND(供應率!G9,1)</f>
        <v>99.6</v>
      </c>
      <c r="M71" s="47">
        <f>ROUND(供應率!H9,1)</f>
        <v>99.7</v>
      </c>
      <c r="N71" s="47">
        <f>ROUND(供應率!I9,1)</f>
        <v>99.7</v>
      </c>
      <c r="O71" s="47">
        <f>ROUND(供應率!J9,1)</f>
        <v>99.8</v>
      </c>
      <c r="P71" s="47">
        <f>ROUND(供應率!K9,1)</f>
        <v>0</v>
      </c>
      <c r="Q71" s="47">
        <f>ROUND(供應率!L9,1)</f>
        <v>99.4</v>
      </c>
      <c r="R71" s="47">
        <f>ROUND(供應率!M9,1)</f>
        <v>99.7</v>
      </c>
      <c r="S71" s="47">
        <f>ROUND(供應率!N9,1)</f>
        <v>99.3</v>
      </c>
      <c r="T71" s="47">
        <f>ROUND(供應率!O9,1)</f>
        <v>99.8</v>
      </c>
      <c r="U71" s="47">
        <f>ROUND(供應率!P9,1)</f>
        <v>98</v>
      </c>
      <c r="V71" s="47">
        <f>ROUND(供應率!Q9,1)</f>
        <v>0</v>
      </c>
      <c r="W71" s="47">
        <f>ROUND(供應率!R9,1)</f>
        <v>0</v>
      </c>
      <c r="X71" s="47">
        <f>ROUND(供應率!S9,1)</f>
        <v>98.7</v>
      </c>
      <c r="Y71" s="47">
        <f>ROUND(供應率!T9,1)</f>
        <v>99.4</v>
      </c>
      <c r="Z71" s="47">
        <f>ROUND(供應率!U9,1)</f>
        <v>99.8</v>
      </c>
      <c r="AA71" s="47">
        <f>ROUND(供應率!V9,1)</f>
        <v>99.6</v>
      </c>
      <c r="AB71" s="47">
        <f>ROUND(供應率!W9,1)</f>
        <v>99.7</v>
      </c>
      <c r="AC71" s="47">
        <f>ROUND(供應率!X9,1)</f>
        <v>99.5</v>
      </c>
      <c r="AD71" s="47">
        <f>ROUND(供應率!Y9,1)</f>
        <v>0</v>
      </c>
      <c r="AE71" s="47">
        <f>ROUND(供應率!Z9,1)</f>
        <v>98.9</v>
      </c>
      <c r="AF71" s="47">
        <f>ROUND(供應率!AA9,1)</f>
        <v>99.5</v>
      </c>
      <c r="AG71" s="47">
        <f>ROUND(供應率!AB9,1)</f>
        <v>99.6</v>
      </c>
      <c r="AH71" s="47">
        <f>ROUND(供應率!AC9,1)</f>
        <v>99.5</v>
      </c>
      <c r="AI71" s="47">
        <f>ROUND(供應率!AD9,1)</f>
        <v>99.7</v>
      </c>
      <c r="AJ71" s="47">
        <f>ROUND(供應率!AE9,1)</f>
        <v>99.7</v>
      </c>
      <c r="AK71" s="47">
        <f>ROUND(供應率!AF9,1)</f>
        <v>0</v>
      </c>
      <c r="AL71" s="47">
        <f>ROUND(供應率!AG9,1)</f>
        <v>99.8</v>
      </c>
      <c r="AM71" s="47">
        <f>ROUND(供應率!AH9,1)</f>
        <v>99.9</v>
      </c>
      <c r="AN71" s="214">
        <f>ROUND(供應率!AI9,1)</f>
        <v>99.4</v>
      </c>
      <c r="AO71" s="55"/>
    </row>
    <row r="72" spans="1:41" s="11" customFormat="1" ht="21.95" customHeight="1">
      <c r="A72" s="621" t="s">
        <v>56</v>
      </c>
      <c r="B72" s="622"/>
      <c r="C72" s="622"/>
      <c r="D72" s="311">
        <f>HLOOKUP(MONTH(日期!$C$2),[2]去年月推移!$D$1:$O$200,129,TRUE)</f>
        <v>0</v>
      </c>
      <c r="E72" s="49">
        <v>92.3</v>
      </c>
      <c r="F72" s="49" t="s">
        <v>45</v>
      </c>
      <c r="G72" s="563">
        <f>ROUND(當年月推移!P131,1)</f>
        <v>94.3</v>
      </c>
      <c r="H72" s="564"/>
      <c r="I72" s="47">
        <f>ROUND(供應率!D22,1)</f>
        <v>0</v>
      </c>
      <c r="J72" s="47">
        <f>ROUND(供應率!E22,1)</f>
        <v>95.2</v>
      </c>
      <c r="K72" s="47">
        <f>ROUND(供應率!F22,1)</f>
        <v>96.5</v>
      </c>
      <c r="L72" s="47">
        <f>ROUND(供應率!G22,1)</f>
        <v>95.9</v>
      </c>
      <c r="M72" s="47">
        <f>ROUND(供應率!H22,1)</f>
        <v>91.6</v>
      </c>
      <c r="N72" s="47">
        <f>ROUND(供應率!I22,1)</f>
        <v>93.5</v>
      </c>
      <c r="O72" s="47">
        <f>ROUND(供應率!J22,1)</f>
        <v>97.4</v>
      </c>
      <c r="P72" s="47">
        <f>ROUND(供應率!K22,1)</f>
        <v>0</v>
      </c>
      <c r="Q72" s="47">
        <f>ROUND(供應率!L22,1)</f>
        <v>95.9</v>
      </c>
      <c r="R72" s="47">
        <f>ROUND(供應率!M22,1)</f>
        <v>94.4</v>
      </c>
      <c r="S72" s="47">
        <f>ROUND(供應率!N22,1)</f>
        <v>95.5</v>
      </c>
      <c r="T72" s="47">
        <f>ROUND(供應率!O22,1)</f>
        <v>95.5</v>
      </c>
      <c r="U72" s="47">
        <f>ROUND(供應率!P22,1)</f>
        <v>96.3</v>
      </c>
      <c r="V72" s="47">
        <f>ROUND(供應率!Q22,1)</f>
        <v>0</v>
      </c>
      <c r="W72" s="47">
        <f>ROUND(供應率!R22,1)</f>
        <v>0</v>
      </c>
      <c r="X72" s="47">
        <f>ROUND(供應率!S22,1)</f>
        <v>91.6</v>
      </c>
      <c r="Y72" s="47">
        <f>ROUND(供應率!T22,1)</f>
        <v>95.1</v>
      </c>
      <c r="Z72" s="47">
        <f>ROUND(供應率!U22,1)</f>
        <v>93.5</v>
      </c>
      <c r="AA72" s="47">
        <f>ROUND(供應率!V22,1)</f>
        <v>94.7</v>
      </c>
      <c r="AB72" s="47">
        <f>ROUND(供應率!W22,1)</f>
        <v>97.1</v>
      </c>
      <c r="AC72" s="47">
        <f>ROUND(供應率!X22,1)</f>
        <v>96.4</v>
      </c>
      <c r="AD72" s="47">
        <f>ROUND(供應率!Y22,1)</f>
        <v>0</v>
      </c>
      <c r="AE72" s="47">
        <f>ROUND(供應率!Z22,1)</f>
        <v>95.6</v>
      </c>
      <c r="AF72" s="47">
        <f>ROUND(供應率!AA22,1)</f>
        <v>96.1</v>
      </c>
      <c r="AG72" s="47">
        <f>ROUND(供應率!AB22,1)</f>
        <v>96.1</v>
      </c>
      <c r="AH72" s="47">
        <f>ROUND(供應率!AC22,1)</f>
        <v>94.1</v>
      </c>
      <c r="AI72" s="47">
        <f>ROUND(供應率!AD22,1)</f>
        <v>94.6</v>
      </c>
      <c r="AJ72" s="47">
        <f>ROUND(供應率!AE22,1)</f>
        <v>98.1</v>
      </c>
      <c r="AK72" s="47">
        <f>ROUND(供應率!AF22,1)</f>
        <v>0</v>
      </c>
      <c r="AL72" s="47">
        <f>ROUND(供應率!AG22,1)</f>
        <v>96</v>
      </c>
      <c r="AM72" s="47">
        <f>ROUND(供應率!AH22,1)</f>
        <v>96.2</v>
      </c>
      <c r="AN72" s="214">
        <f>ROUND(供應率!AI22,1)</f>
        <v>95.2</v>
      </c>
      <c r="AO72" s="55"/>
    </row>
    <row r="73" spans="1:41" s="11" customFormat="1" ht="21.95" customHeight="1" thickBot="1">
      <c r="A73" s="640" t="s">
        <v>16</v>
      </c>
      <c r="B73" s="641"/>
      <c r="C73" s="641"/>
      <c r="D73" s="320">
        <f>HLOOKUP(MONTH(日期!$C$2),去年月推移!$D$1:$O$200,130,TRUE)</f>
        <v>99.174792999999994</v>
      </c>
      <c r="E73" s="58">
        <v>95</v>
      </c>
      <c r="F73" s="58" t="s">
        <v>45</v>
      </c>
      <c r="G73" s="642">
        <f>ROUND(當年月推移!P132,1)</f>
        <v>98.1</v>
      </c>
      <c r="H73" s="643"/>
      <c r="I73" s="59">
        <f>ROUND(供應率!D11,1)</f>
        <v>0</v>
      </c>
      <c r="J73" s="59">
        <f>ROUND(供應率!E11,1)</f>
        <v>99.6</v>
      </c>
      <c r="K73" s="59">
        <f>ROUND(供應率!F11,1)</f>
        <v>99.3</v>
      </c>
      <c r="L73" s="59">
        <f>ROUND(供應率!G11,1)</f>
        <v>100</v>
      </c>
      <c r="M73" s="59">
        <f>ROUND(供應率!H11,1)</f>
        <v>99.7</v>
      </c>
      <c r="N73" s="59">
        <f>ROUND(供應率!I11,1)</f>
        <v>98.2</v>
      </c>
      <c r="O73" s="59">
        <f>ROUND(供應率!J11,1)</f>
        <v>98.4</v>
      </c>
      <c r="P73" s="59">
        <f>ROUND(供應率!K11,1)</f>
        <v>0</v>
      </c>
      <c r="Q73" s="59">
        <f>ROUND(供應率!L11,1)</f>
        <v>95.1</v>
      </c>
      <c r="R73" s="59">
        <f>ROUND(供應率!M11,1)</f>
        <v>96.9</v>
      </c>
      <c r="S73" s="59">
        <f>ROUND(供應率!N11,1)</f>
        <v>98.2</v>
      </c>
      <c r="T73" s="59">
        <f>ROUND(供應率!O11,1)</f>
        <v>99.2</v>
      </c>
      <c r="U73" s="59">
        <f>ROUND(供應率!P11,1)</f>
        <v>99.7</v>
      </c>
      <c r="V73" s="59">
        <f>ROUND(供應率!Q11,1)</f>
        <v>0</v>
      </c>
      <c r="W73" s="59">
        <f>ROUND(供應率!R11,1)</f>
        <v>0</v>
      </c>
      <c r="X73" s="59">
        <f>ROUND(供應率!S11,1)</f>
        <v>93</v>
      </c>
      <c r="Y73" s="59">
        <f>ROUND(供應率!T11,1)</f>
        <v>99.2</v>
      </c>
      <c r="Z73" s="59">
        <f>ROUND(供應率!U11,1)</f>
        <v>98.9</v>
      </c>
      <c r="AA73" s="59">
        <f>ROUND(供應率!V11,1)</f>
        <v>99.8</v>
      </c>
      <c r="AB73" s="59">
        <f>ROUND(供應率!W11,1)</f>
        <v>99.5</v>
      </c>
      <c r="AC73" s="59">
        <f>ROUND(供應率!X11,1)</f>
        <v>99.4</v>
      </c>
      <c r="AD73" s="59">
        <f>ROUND(供應率!Y11,1)</f>
        <v>0</v>
      </c>
      <c r="AE73" s="59">
        <f>ROUND(供應率!Z11,1)</f>
        <v>94.6</v>
      </c>
      <c r="AF73" s="59">
        <f>ROUND(供應率!AA11,1)</f>
        <v>98.1</v>
      </c>
      <c r="AG73" s="59">
        <f>ROUND(供應率!AB11,1)</f>
        <v>99.7</v>
      </c>
      <c r="AH73" s="59">
        <f>ROUND(供應率!AC11,1)</f>
        <v>99.2</v>
      </c>
      <c r="AI73" s="59">
        <f>ROUND(供應率!AD11,1)</f>
        <v>98.9</v>
      </c>
      <c r="AJ73" s="59">
        <f>ROUND(供應率!AE11,1)</f>
        <v>99.1</v>
      </c>
      <c r="AK73" s="59">
        <f>ROUND(供應率!AF11,1)</f>
        <v>0</v>
      </c>
      <c r="AL73" s="59">
        <f>ROUND(供應率!AG11,1)</f>
        <v>95.2</v>
      </c>
      <c r="AM73" s="59">
        <f>ROUND(供應率!AH11,1)</f>
        <v>98</v>
      </c>
      <c r="AN73" s="217">
        <f>ROUND(供應率!AI11,1)</f>
        <v>98.1</v>
      </c>
      <c r="AO73" s="55"/>
    </row>
    <row r="74" spans="1:41" s="11" customFormat="1" ht="21.95" customHeight="1">
      <c r="A74" s="621" t="s">
        <v>23</v>
      </c>
      <c r="B74" s="622"/>
      <c r="C74" s="622"/>
      <c r="D74" s="313">
        <f>HLOOKUP(MONTH(日期!$C$2),去年月推移!$D$1:$O$200,131,TRUE)</f>
        <v>98.338712999999998</v>
      </c>
      <c r="E74" s="49">
        <v>98.559727106188546</v>
      </c>
      <c r="F74" s="49" t="s">
        <v>45</v>
      </c>
      <c r="G74" s="563">
        <f>ROUND(當年月推移!P133,1)</f>
        <v>98.5</v>
      </c>
      <c r="H74" s="564"/>
      <c r="I74" s="47">
        <f>ROUND(供應率!D6,1)</f>
        <v>0</v>
      </c>
      <c r="J74" s="47">
        <f>ROUND(供應率!E6,1)</f>
        <v>98.3</v>
      </c>
      <c r="K74" s="47">
        <f>ROUND(供應率!F6,1)</f>
        <v>97.5</v>
      </c>
      <c r="L74" s="47">
        <f>ROUND(供應率!G6,1)</f>
        <v>97.6</v>
      </c>
      <c r="M74" s="47">
        <f>ROUND(供應率!H6,1)</f>
        <v>98.2</v>
      </c>
      <c r="N74" s="47">
        <f>ROUND(供應率!I6,1)</f>
        <v>98.1</v>
      </c>
      <c r="O74" s="47">
        <f>ROUND(供應率!J6,1)</f>
        <v>98.4</v>
      </c>
      <c r="P74" s="47">
        <f>ROUND(供應率!K6,1)</f>
        <v>0</v>
      </c>
      <c r="Q74" s="47">
        <f>ROUND(供應率!L6,1)</f>
        <v>98.1</v>
      </c>
      <c r="R74" s="47">
        <f>ROUND(供應率!M6,1)</f>
        <v>97.5</v>
      </c>
      <c r="S74" s="47">
        <f>ROUND(供應率!N6,1)</f>
        <v>97.6</v>
      </c>
      <c r="T74" s="47">
        <f>ROUND(供應率!O6,1)</f>
        <v>97.4</v>
      </c>
      <c r="U74" s="47">
        <f>ROUND(供應率!P6,1)</f>
        <v>97.2</v>
      </c>
      <c r="V74" s="47">
        <f>ROUND(供應率!Q6,1)</f>
        <v>0</v>
      </c>
      <c r="W74" s="47">
        <f>ROUND(供應率!R6,1)</f>
        <v>0</v>
      </c>
      <c r="X74" s="47">
        <f>ROUND(供應率!S6,1)</f>
        <v>97</v>
      </c>
      <c r="Y74" s="47">
        <f>ROUND(供應率!T6,1)</f>
        <v>96.4</v>
      </c>
      <c r="Z74" s="47">
        <f>ROUND(供應率!U6,1)</f>
        <v>97.2</v>
      </c>
      <c r="AA74" s="47">
        <f>ROUND(供應率!V6,1)</f>
        <v>97.1</v>
      </c>
      <c r="AB74" s="47">
        <f>ROUND(供應率!W6,1)</f>
        <v>97</v>
      </c>
      <c r="AC74" s="47">
        <f>ROUND(供應率!X6,1)</f>
        <v>96.8</v>
      </c>
      <c r="AD74" s="47">
        <f>ROUND(供應率!Y6,1)</f>
        <v>0</v>
      </c>
      <c r="AE74" s="47">
        <f>ROUND(供應率!Z6,1)</f>
        <v>97.1</v>
      </c>
      <c r="AF74" s="47">
        <f>ROUND(供應率!AA6,1)</f>
        <v>97.6</v>
      </c>
      <c r="AG74" s="47">
        <f>ROUND(供應率!AB6,1)</f>
        <v>97.6</v>
      </c>
      <c r="AH74" s="47">
        <f>ROUND(供應率!AC6,1)</f>
        <v>98.4</v>
      </c>
      <c r="AI74" s="47">
        <f>ROUND(供應率!AD6,1)</f>
        <v>98</v>
      </c>
      <c r="AJ74" s="47">
        <f>ROUND(供應率!AE6,1)</f>
        <v>99.3</v>
      </c>
      <c r="AK74" s="47">
        <f>ROUND(供應率!AF6,1)</f>
        <v>0</v>
      </c>
      <c r="AL74" s="47">
        <f>ROUND(供應率!AG6,1)</f>
        <v>98.7</v>
      </c>
      <c r="AM74" s="47">
        <f>ROUND(供應率!AH6,1)</f>
        <v>98.4</v>
      </c>
      <c r="AN74" s="214">
        <f>ROUND(供應率!AI6,1)</f>
        <v>97.7</v>
      </c>
      <c r="AO74" s="55"/>
    </row>
    <row r="75" spans="1:41" s="11" customFormat="1" ht="21.95" customHeight="1">
      <c r="A75" s="637" t="s">
        <v>24</v>
      </c>
      <c r="B75" s="638"/>
      <c r="C75" s="639"/>
      <c r="D75" s="310">
        <f>HLOOKUP(MONTH(日期!$C$2),去年月推移!$D$1:$O$200,132,TRUE)</f>
        <v>99.850299000000007</v>
      </c>
      <c r="E75" s="243"/>
      <c r="F75" s="243"/>
      <c r="G75" s="563">
        <f>ROUND(當年月推移!P134,1)</f>
        <v>99.7</v>
      </c>
      <c r="H75" s="564"/>
      <c r="I75" s="244">
        <f>ROUND(供應率!D12,1)</f>
        <v>0</v>
      </c>
      <c r="J75" s="244">
        <f>ROUND(供應率!E12,1)</f>
        <v>100</v>
      </c>
      <c r="K75" s="244">
        <f>ROUND(供應率!F12,1)</f>
        <v>100</v>
      </c>
      <c r="L75" s="244">
        <f>ROUND(供應率!G12,1)</f>
        <v>100</v>
      </c>
      <c r="M75" s="244">
        <f>ROUND(供應率!H12,1)</f>
        <v>100</v>
      </c>
      <c r="N75" s="244">
        <f>ROUND(供應率!I12,1)</f>
        <v>100</v>
      </c>
      <c r="O75" s="244">
        <f>ROUND(供應率!J12,1)</f>
        <v>100</v>
      </c>
      <c r="P75" s="244">
        <f>ROUND(供應率!K12,1)</f>
        <v>0</v>
      </c>
      <c r="Q75" s="244">
        <f>ROUND(供應率!L12,1)</f>
        <v>100</v>
      </c>
      <c r="R75" s="244">
        <f>ROUND(供應率!M12,1)</f>
        <v>100</v>
      </c>
      <c r="S75" s="244">
        <f>ROUND(供應率!N12,1)</f>
        <v>100</v>
      </c>
      <c r="T75" s="244">
        <f>ROUND(供應率!O12,1)</f>
        <v>100</v>
      </c>
      <c r="U75" s="244">
        <f>ROUND(供應率!P12,1)</f>
        <v>100</v>
      </c>
      <c r="V75" s="244">
        <f>ROUND(供應率!Q12,1)</f>
        <v>0</v>
      </c>
      <c r="W75" s="244">
        <f>ROUND(供應率!R12,1)</f>
        <v>0</v>
      </c>
      <c r="X75" s="244">
        <f>ROUND(供應率!S12,1)</f>
        <v>100</v>
      </c>
      <c r="Y75" s="244">
        <f>ROUND(供應率!T12,1)</f>
        <v>100</v>
      </c>
      <c r="Z75" s="244">
        <f>ROUND(供應率!U12,1)</f>
        <v>100</v>
      </c>
      <c r="AA75" s="244">
        <f>ROUND(供應率!V12,1)</f>
        <v>100</v>
      </c>
      <c r="AB75" s="244">
        <f>ROUND(供應率!W12,1)</f>
        <v>100</v>
      </c>
      <c r="AC75" s="244">
        <f>ROUND(供應率!X12,1)</f>
        <v>100</v>
      </c>
      <c r="AD75" s="244">
        <f>ROUND(供應率!Y12,1)</f>
        <v>0</v>
      </c>
      <c r="AE75" s="244">
        <f>ROUND(供應率!Z12,1)</f>
        <v>100</v>
      </c>
      <c r="AF75" s="244">
        <f>ROUND(供應率!AA12,1)</f>
        <v>100</v>
      </c>
      <c r="AG75" s="244">
        <f>ROUND(供應率!AB12,1)</f>
        <v>100</v>
      </c>
      <c r="AH75" s="244">
        <f>ROUND(供應率!AC12,1)</f>
        <v>100</v>
      </c>
      <c r="AI75" s="244">
        <f>ROUND(供應率!AD12,1)</f>
        <v>100</v>
      </c>
      <c r="AJ75" s="244">
        <f>ROUND(供應率!AE12,1)</f>
        <v>100</v>
      </c>
      <c r="AK75" s="244">
        <f>ROUND(供應率!AF12,1)</f>
        <v>0</v>
      </c>
      <c r="AL75" s="244">
        <f>ROUND(供應率!AG12,1)</f>
        <v>100</v>
      </c>
      <c r="AM75" s="244">
        <f>ROUND(供應率!AH12,1)</f>
        <v>100</v>
      </c>
      <c r="AN75" s="246">
        <f>ROUND(供應率!AI12,1)</f>
        <v>100</v>
      </c>
      <c r="AO75" s="55"/>
    </row>
    <row r="76" spans="1:41" s="11" customFormat="1" ht="21.95" customHeight="1">
      <c r="A76" s="637" t="s">
        <v>25</v>
      </c>
      <c r="B76" s="638"/>
      <c r="C76" s="639"/>
      <c r="D76" s="310">
        <f>HLOOKUP(MONTH(日期!$C$2),去年月推移!$D$1:$O$200,133,TRUE)</f>
        <v>95.933734000000001</v>
      </c>
      <c r="E76" s="243"/>
      <c r="F76" s="243"/>
      <c r="G76" s="563">
        <f>ROUND(當年月推移!P135,1)</f>
        <v>92.5</v>
      </c>
      <c r="H76" s="564"/>
      <c r="I76" s="244">
        <f>ROUND(供應率!D13,1)</f>
        <v>0</v>
      </c>
      <c r="J76" s="244">
        <f>ROUND(供應率!E13,1)</f>
        <v>96.7</v>
      </c>
      <c r="K76" s="244">
        <f>ROUND(供應率!F13,1)</f>
        <v>91.6</v>
      </c>
      <c r="L76" s="244">
        <f>ROUND(供應率!G13,1)</f>
        <v>92.8</v>
      </c>
      <c r="M76" s="244">
        <f>ROUND(供應率!H13,1)</f>
        <v>100</v>
      </c>
      <c r="N76" s="244">
        <f>ROUND(供應率!I13,1)</f>
        <v>95</v>
      </c>
      <c r="O76" s="244">
        <f>ROUND(供應率!J13,1)</f>
        <v>96.1</v>
      </c>
      <c r="P76" s="244">
        <f>ROUND(供應率!K13,1)</f>
        <v>0</v>
      </c>
      <c r="Q76" s="244">
        <f>ROUND(供應率!L13,1)</f>
        <v>90.9</v>
      </c>
      <c r="R76" s="244">
        <f>ROUND(供應率!M13,1)</f>
        <v>84.2</v>
      </c>
      <c r="S76" s="244">
        <f>ROUND(供應率!N13,1)</f>
        <v>88</v>
      </c>
      <c r="T76" s="244">
        <f>ROUND(供應率!O13,1)</f>
        <v>94.7</v>
      </c>
      <c r="U76" s="244">
        <f>ROUND(供應率!P13,1)</f>
        <v>91.6</v>
      </c>
      <c r="V76" s="244">
        <f>ROUND(供應率!Q13,1)</f>
        <v>0</v>
      </c>
      <c r="W76" s="244">
        <f>ROUND(供應率!R13,1)</f>
        <v>0</v>
      </c>
      <c r="X76" s="244">
        <f>ROUND(供應率!S13,1)</f>
        <v>93.9</v>
      </c>
      <c r="Y76" s="244">
        <f>ROUND(供應率!T13,1)</f>
        <v>100</v>
      </c>
      <c r="Z76" s="244">
        <f>ROUND(供應率!U13,1)</f>
        <v>93.3</v>
      </c>
      <c r="AA76" s="244">
        <f>ROUND(供應率!V13,1)</f>
        <v>100</v>
      </c>
      <c r="AB76" s="244">
        <f>ROUND(供應率!W13,1)</f>
        <v>100</v>
      </c>
      <c r="AC76" s="244">
        <f>ROUND(供應率!X13,1)</f>
        <v>100</v>
      </c>
      <c r="AD76" s="244">
        <f>ROUND(供應率!Y13,1)</f>
        <v>0</v>
      </c>
      <c r="AE76" s="244">
        <f>ROUND(供應率!Z13,1)</f>
        <v>100</v>
      </c>
      <c r="AF76" s="244">
        <f>ROUND(供應率!AA13,1)</f>
        <v>94.1</v>
      </c>
      <c r="AG76" s="244">
        <f>ROUND(供應率!AB13,1)</f>
        <v>84.6</v>
      </c>
      <c r="AH76" s="244">
        <f>ROUND(供應率!AC13,1)</f>
        <v>100</v>
      </c>
      <c r="AI76" s="244">
        <f>ROUND(供應率!AD13,1)</f>
        <v>91.6</v>
      </c>
      <c r="AJ76" s="244">
        <f>ROUND(供應率!AE13,1)</f>
        <v>100</v>
      </c>
      <c r="AK76" s="244">
        <f>ROUND(供應率!AF13,1)</f>
        <v>0</v>
      </c>
      <c r="AL76" s="244">
        <f>ROUND(供應率!AG13,1)</f>
        <v>100</v>
      </c>
      <c r="AM76" s="244">
        <f>ROUND(供應率!AH13,1)</f>
        <v>100</v>
      </c>
      <c r="AN76" s="246">
        <f>ROUND(供應率!AI13,1)</f>
        <v>94.9</v>
      </c>
      <c r="AO76" s="55"/>
    </row>
    <row r="77" spans="1:41" s="11" customFormat="1" ht="21.95" customHeight="1">
      <c r="A77" s="637" t="s">
        <v>26</v>
      </c>
      <c r="B77" s="638"/>
      <c r="C77" s="639"/>
      <c r="D77" s="310">
        <f>HLOOKUP(MONTH(日期!$C$2),去年月推移!$D$1:$O$200,134,TRUE)</f>
        <v>97.2</v>
      </c>
      <c r="E77" s="243"/>
      <c r="F77" s="243"/>
      <c r="G77" s="563">
        <f>ROUND(當年月推移!P136,1)</f>
        <v>97.2</v>
      </c>
      <c r="H77" s="564"/>
      <c r="I77" s="244">
        <f>ROUND(供應率!D14,1)</f>
        <v>0</v>
      </c>
      <c r="J77" s="244">
        <f>ROUND(供應率!E14,1)</f>
        <v>99.7</v>
      </c>
      <c r="K77" s="244">
        <f>ROUND(供應率!F14,1)</f>
        <v>97.7</v>
      </c>
      <c r="L77" s="244">
        <f>ROUND(供應率!G14,1)</f>
        <v>98.7</v>
      </c>
      <c r="M77" s="244">
        <f>ROUND(供應率!H14,1)</f>
        <v>96.7</v>
      </c>
      <c r="N77" s="244">
        <f>ROUND(供應率!I14,1)</f>
        <v>97.7</v>
      </c>
      <c r="O77" s="244">
        <f>ROUND(供應率!J14,1)</f>
        <v>98.5</v>
      </c>
      <c r="P77" s="244">
        <f>ROUND(供應率!K14,1)</f>
        <v>0</v>
      </c>
      <c r="Q77" s="244">
        <f>ROUND(供應率!L14,1)</f>
        <v>99.2</v>
      </c>
      <c r="R77" s="244">
        <f>ROUND(供應率!M14,1)</f>
        <v>97.6</v>
      </c>
      <c r="S77" s="244">
        <f>ROUND(供應率!N14,1)</f>
        <v>98.3</v>
      </c>
      <c r="T77" s="244">
        <f>ROUND(供應率!O14,1)</f>
        <v>98.4</v>
      </c>
      <c r="U77" s="244">
        <f>ROUND(供應率!P14,1)</f>
        <v>98.7</v>
      </c>
      <c r="V77" s="244">
        <f>ROUND(供應率!Q14,1)</f>
        <v>0</v>
      </c>
      <c r="W77" s="244">
        <f>ROUND(供應率!R14,1)</f>
        <v>0</v>
      </c>
      <c r="X77" s="244">
        <f>ROUND(供應率!S14,1)</f>
        <v>96.8</v>
      </c>
      <c r="Y77" s="244">
        <f>ROUND(供應率!T14,1)</f>
        <v>97.8</v>
      </c>
      <c r="Z77" s="244">
        <f>ROUND(供應率!U14,1)</f>
        <v>98.1</v>
      </c>
      <c r="AA77" s="244">
        <f>ROUND(供應率!V14,1)</f>
        <v>98.2</v>
      </c>
      <c r="AB77" s="244">
        <f>ROUND(供應率!W14,1)</f>
        <v>97.6</v>
      </c>
      <c r="AC77" s="244">
        <f>ROUND(供應率!X14,1)</f>
        <v>98.2</v>
      </c>
      <c r="AD77" s="244">
        <f>ROUND(供應率!Y14,1)</f>
        <v>0</v>
      </c>
      <c r="AE77" s="244">
        <f>ROUND(供應率!Z14,1)</f>
        <v>98.9</v>
      </c>
      <c r="AF77" s="244">
        <f>ROUND(供應率!AA14,1)</f>
        <v>98.8</v>
      </c>
      <c r="AG77" s="244">
        <f>ROUND(供應率!AB14,1)</f>
        <v>97.9</v>
      </c>
      <c r="AH77" s="244">
        <f>ROUND(供應率!AC14,1)</f>
        <v>99.2</v>
      </c>
      <c r="AI77" s="244">
        <f>ROUND(供應率!AD14,1)</f>
        <v>98.6</v>
      </c>
      <c r="AJ77" s="244">
        <f>ROUND(供應率!AE14,1)</f>
        <v>98.8</v>
      </c>
      <c r="AK77" s="244">
        <f>ROUND(供應率!AF14,1)</f>
        <v>0</v>
      </c>
      <c r="AL77" s="244">
        <f>ROUND(供應率!AG14,1)</f>
        <v>98.1</v>
      </c>
      <c r="AM77" s="244">
        <f>ROUND(供應率!AH14,1)</f>
        <v>99.3</v>
      </c>
      <c r="AN77" s="246">
        <f>ROUND(供應率!AI14,1)</f>
        <v>98.3</v>
      </c>
      <c r="AO77" s="55"/>
    </row>
    <row r="78" spans="1:41" s="11" customFormat="1" ht="21.95" customHeight="1">
      <c r="A78" s="637" t="s">
        <v>27</v>
      </c>
      <c r="B78" s="638"/>
      <c r="C78" s="639"/>
      <c r="D78" s="310">
        <f>HLOOKUP(MONTH(日期!$C$2),去年月推移!$D$1:$O$200,135,TRUE)</f>
        <v>99.016163000000006</v>
      </c>
      <c r="E78" s="243"/>
      <c r="F78" s="243"/>
      <c r="G78" s="563">
        <f>ROUND(當年月推移!P137,1)</f>
        <v>96</v>
      </c>
      <c r="H78" s="564"/>
      <c r="I78" s="244">
        <f>ROUND(供應率!D15,1)</f>
        <v>0</v>
      </c>
      <c r="J78" s="244">
        <f>ROUND(供應率!E15,1)</f>
        <v>100</v>
      </c>
      <c r="K78" s="244">
        <f>ROUND(供應率!F15,1)</f>
        <v>98.1</v>
      </c>
      <c r="L78" s="244">
        <f>ROUND(供應率!G15,1)</f>
        <v>100</v>
      </c>
      <c r="M78" s="244">
        <f>ROUND(供應率!H15,1)</f>
        <v>98.1</v>
      </c>
      <c r="N78" s="244">
        <f>ROUND(供應率!I15,1)</f>
        <v>100</v>
      </c>
      <c r="O78" s="244">
        <f>ROUND(供應率!J15,1)</f>
        <v>100</v>
      </c>
      <c r="P78" s="244">
        <f>ROUND(供應率!K15,1)</f>
        <v>0</v>
      </c>
      <c r="Q78" s="244">
        <f>ROUND(供應率!L15,1)</f>
        <v>95.7</v>
      </c>
      <c r="R78" s="244">
        <f>ROUND(供應率!M15,1)</f>
        <v>97</v>
      </c>
      <c r="S78" s="244">
        <f>ROUND(供應率!N15,1)</f>
        <v>100</v>
      </c>
      <c r="T78" s="244">
        <f>ROUND(供應率!O15,1)</f>
        <v>100</v>
      </c>
      <c r="U78" s="244">
        <f>ROUND(供應率!P15,1)</f>
        <v>98.5</v>
      </c>
      <c r="V78" s="244">
        <f>ROUND(供應率!Q15,1)</f>
        <v>0</v>
      </c>
      <c r="W78" s="244">
        <f>ROUND(供應率!R15,1)</f>
        <v>0</v>
      </c>
      <c r="X78" s="244">
        <f>ROUND(供應率!S15,1)</f>
        <v>94.8</v>
      </c>
      <c r="Y78" s="244">
        <f>ROUND(供應率!T15,1)</f>
        <v>100</v>
      </c>
      <c r="Z78" s="244">
        <f>ROUND(供應率!U15,1)</f>
        <v>100</v>
      </c>
      <c r="AA78" s="244">
        <f>ROUND(供應率!V15,1)</f>
        <v>95.4</v>
      </c>
      <c r="AB78" s="244">
        <f>ROUND(供應率!W15,1)</f>
        <v>98.6</v>
      </c>
      <c r="AC78" s="244">
        <f>ROUND(供應率!X15,1)</f>
        <v>96.8</v>
      </c>
      <c r="AD78" s="244">
        <f>ROUND(供應率!Y15,1)</f>
        <v>0</v>
      </c>
      <c r="AE78" s="244">
        <f>ROUND(供應率!Z15,1)</f>
        <v>100</v>
      </c>
      <c r="AF78" s="244">
        <f>ROUND(供應率!AA15,1)</f>
        <v>95.7</v>
      </c>
      <c r="AG78" s="244">
        <f>ROUND(供應率!AB15,1)</f>
        <v>100</v>
      </c>
      <c r="AH78" s="244">
        <f>ROUND(供應率!AC15,1)</f>
        <v>97.1</v>
      </c>
      <c r="AI78" s="244">
        <f>ROUND(供應率!AD15,1)</f>
        <v>96.4</v>
      </c>
      <c r="AJ78" s="244">
        <f>ROUND(供應率!AE15,1)</f>
        <v>75.900000000000006</v>
      </c>
      <c r="AK78" s="244">
        <f>ROUND(供應率!AF15,1)</f>
        <v>0</v>
      </c>
      <c r="AL78" s="244">
        <f>ROUND(供應率!AG15,1)</f>
        <v>76.8</v>
      </c>
      <c r="AM78" s="244">
        <f>ROUND(供應率!AH15,1)</f>
        <v>84.6</v>
      </c>
      <c r="AN78" s="246">
        <f>ROUND(供應率!AI15,1)</f>
        <v>96.2</v>
      </c>
      <c r="AO78" s="55"/>
    </row>
    <row r="79" spans="1:41" s="11" customFormat="1" ht="21.95" customHeight="1" thickBot="1">
      <c r="A79" s="632" t="s">
        <v>28</v>
      </c>
      <c r="B79" s="633"/>
      <c r="C79" s="634"/>
      <c r="D79" s="320">
        <f>HLOOKUP(MONTH(日期!$C$2),去年月推移!$D$1:$O$200,136,TRUE)</f>
        <v>0</v>
      </c>
      <c r="E79" s="243"/>
      <c r="F79" s="243"/>
      <c r="G79" s="642">
        <f>ROUND(當年月推移!P138,1)</f>
        <v>18.100000000000001</v>
      </c>
      <c r="H79" s="643"/>
      <c r="I79" s="59">
        <f>ROUND(供應率!D16,1)</f>
        <v>0</v>
      </c>
      <c r="J79" s="59">
        <f>ROUND(供應率!E16,1)</f>
        <v>0</v>
      </c>
      <c r="K79" s="59">
        <f>ROUND(供應率!F16,1)</f>
        <v>0</v>
      </c>
      <c r="L79" s="59">
        <f>ROUND(供應率!G16,1)</f>
        <v>0</v>
      </c>
      <c r="M79" s="59">
        <f>ROUND(供應率!H16,1)</f>
        <v>0</v>
      </c>
      <c r="N79" s="59">
        <f>ROUND(供應率!I16,1)</f>
        <v>0</v>
      </c>
      <c r="O79" s="59">
        <f>ROUND(供應率!J16,1)</f>
        <v>0</v>
      </c>
      <c r="P79" s="59">
        <f>ROUND(供應率!K16,1)</f>
        <v>0</v>
      </c>
      <c r="Q79" s="59">
        <f>ROUND(供應率!L16,1)</f>
        <v>0</v>
      </c>
      <c r="R79" s="59">
        <f>ROUND(供應率!M16,1)</f>
        <v>0</v>
      </c>
      <c r="S79" s="59">
        <f>ROUND(供應率!N16,1)</f>
        <v>0</v>
      </c>
      <c r="T79" s="59">
        <f>ROUND(供應率!O16,1)</f>
        <v>0</v>
      </c>
      <c r="U79" s="59">
        <f>ROUND(供應率!P16,1)</f>
        <v>0</v>
      </c>
      <c r="V79" s="59">
        <f>ROUND(供應率!Q16,1)</f>
        <v>0</v>
      </c>
      <c r="W79" s="59">
        <f>ROUND(供應率!R16,1)</f>
        <v>0</v>
      </c>
      <c r="X79" s="59">
        <f>ROUND(供應率!S16,1)</f>
        <v>0</v>
      </c>
      <c r="Y79" s="59">
        <f>ROUND(供應率!T16,1)</f>
        <v>0</v>
      </c>
      <c r="Z79" s="59">
        <f>ROUND(供應率!U16,1)</f>
        <v>0</v>
      </c>
      <c r="AA79" s="59">
        <f>ROUND(供應率!V16,1)</f>
        <v>0</v>
      </c>
      <c r="AB79" s="59">
        <f>ROUND(供應率!W16,1)</f>
        <v>0</v>
      </c>
      <c r="AC79" s="59">
        <f>ROUND(供應率!X16,1)</f>
        <v>0</v>
      </c>
      <c r="AD79" s="59">
        <f>ROUND(供應率!Y16,1)</f>
        <v>0</v>
      </c>
      <c r="AE79" s="59">
        <f>ROUND(供應率!Z16,1)</f>
        <v>0</v>
      </c>
      <c r="AF79" s="59">
        <f>ROUND(供應率!AA16,1)</f>
        <v>0</v>
      </c>
      <c r="AG79" s="59">
        <f>ROUND(供應率!AB16,1)</f>
        <v>0</v>
      </c>
      <c r="AH79" s="59">
        <f>ROUND(供應率!AC16,1)</f>
        <v>0</v>
      </c>
      <c r="AI79" s="59">
        <f>ROUND(供應率!AD16,1)</f>
        <v>0</v>
      </c>
      <c r="AJ79" s="59">
        <f>ROUND(供應率!AE16,1)</f>
        <v>0</v>
      </c>
      <c r="AK79" s="59">
        <f>ROUND(供應率!AF16,1)</f>
        <v>0</v>
      </c>
      <c r="AL79" s="59">
        <f>ROUND(供應率!AG16,1)</f>
        <v>0</v>
      </c>
      <c r="AM79" s="59">
        <f>ROUND(供應率!AH16,1)</f>
        <v>0</v>
      </c>
      <c r="AN79" s="217">
        <f>ROUND(供應率!AI16,1)</f>
        <v>0</v>
      </c>
      <c r="AO79" s="55"/>
    </row>
    <row r="80" spans="1:41" s="11" customFormat="1" ht="21.95" customHeight="1">
      <c r="A80" s="655" t="s">
        <v>31</v>
      </c>
      <c r="B80" s="656"/>
      <c r="C80" s="656"/>
      <c r="D80" s="313">
        <f>HLOOKUP(MONTH(日期!$C$2),去年月推移!$D$1:$O$200,137,TRUE)</f>
        <v>0</v>
      </c>
      <c r="E80" s="272"/>
      <c r="F80" s="272"/>
      <c r="G80" s="563">
        <f>ROUND(當年月推移!P139,1)</f>
        <v>0</v>
      </c>
      <c r="H80" s="564"/>
      <c r="I80" s="47">
        <f>ROUND(供應率!D17,1)</f>
        <v>0</v>
      </c>
      <c r="J80" s="47">
        <f>ROUND(供應率!E17,1)</f>
        <v>0</v>
      </c>
      <c r="K80" s="47">
        <f>ROUND(供應率!F17,1)</f>
        <v>0</v>
      </c>
      <c r="L80" s="47">
        <f>ROUND(供應率!G17,1)</f>
        <v>0</v>
      </c>
      <c r="M80" s="47">
        <f>ROUND(供應率!H17,1)</f>
        <v>0</v>
      </c>
      <c r="N80" s="47">
        <f>ROUND(供應率!I17,1)</f>
        <v>0</v>
      </c>
      <c r="O80" s="47">
        <f>ROUND(供應率!J17,1)</f>
        <v>0</v>
      </c>
      <c r="P80" s="47">
        <f>ROUND(供應率!K17,1)</f>
        <v>0</v>
      </c>
      <c r="Q80" s="47">
        <f>ROUND(供應率!L17,1)</f>
        <v>0</v>
      </c>
      <c r="R80" s="47">
        <f>ROUND(供應率!M17,1)</f>
        <v>0</v>
      </c>
      <c r="S80" s="47">
        <f>ROUND(供應率!N17,1)</f>
        <v>0</v>
      </c>
      <c r="T80" s="47">
        <f>ROUND(供應率!O17,1)</f>
        <v>0</v>
      </c>
      <c r="U80" s="47">
        <f>ROUND(供應率!P17,1)</f>
        <v>0</v>
      </c>
      <c r="V80" s="47">
        <f>ROUND(供應率!Q17,1)</f>
        <v>0</v>
      </c>
      <c r="W80" s="47">
        <f>ROUND(供應率!R17,1)</f>
        <v>0</v>
      </c>
      <c r="X80" s="47">
        <f>ROUND(供應率!S17,1)</f>
        <v>0</v>
      </c>
      <c r="Y80" s="47">
        <f>ROUND(供應率!T17,1)</f>
        <v>0</v>
      </c>
      <c r="Z80" s="47">
        <f>ROUND(供應率!U17,1)</f>
        <v>0</v>
      </c>
      <c r="AA80" s="47">
        <f>ROUND(供應率!V17,1)</f>
        <v>0</v>
      </c>
      <c r="AB80" s="47">
        <f>ROUND(供應率!W17,1)</f>
        <v>0</v>
      </c>
      <c r="AC80" s="47">
        <f>ROUND(供應率!X17,1)</f>
        <v>0</v>
      </c>
      <c r="AD80" s="47">
        <f>ROUND(供應率!Y17,1)</f>
        <v>0</v>
      </c>
      <c r="AE80" s="47">
        <f>ROUND(供應率!Z17,1)</f>
        <v>0</v>
      </c>
      <c r="AF80" s="47">
        <f>ROUND(供應率!AA17,1)</f>
        <v>0</v>
      </c>
      <c r="AG80" s="47">
        <f>ROUND(供應率!AB17,1)</f>
        <v>0</v>
      </c>
      <c r="AH80" s="47">
        <f>ROUND(供應率!AC17,1)</f>
        <v>0</v>
      </c>
      <c r="AI80" s="47">
        <f>ROUND(供應率!AD17,1)</f>
        <v>0</v>
      </c>
      <c r="AJ80" s="47">
        <f>ROUND(供應率!AE17,1)</f>
        <v>0</v>
      </c>
      <c r="AK80" s="47">
        <f>ROUND(供應率!AF17,1)</f>
        <v>0</v>
      </c>
      <c r="AL80" s="47">
        <f>ROUND(供應率!AG17,1)</f>
        <v>0</v>
      </c>
      <c r="AM80" s="47">
        <f>ROUND(供應率!AH17,1)</f>
        <v>0</v>
      </c>
      <c r="AN80" s="214">
        <f>ROUND(供應率!AI17,1)</f>
        <v>0</v>
      </c>
      <c r="AO80" s="55"/>
    </row>
    <row r="81" spans="1:41" s="11" customFormat="1" ht="21.95" customHeight="1">
      <c r="A81" s="657" t="s">
        <v>32</v>
      </c>
      <c r="B81" s="658"/>
      <c r="C81" s="658"/>
      <c r="D81" s="310">
        <f>HLOOKUP(MONTH(日期!$C$2),去年月推移!$D$1:$O$200,138,TRUE)</f>
        <v>0</v>
      </c>
      <c r="E81" s="49"/>
      <c r="F81" s="49"/>
      <c r="G81" s="563">
        <f>ROUND(當年月推移!P140,1)</f>
        <v>0</v>
      </c>
      <c r="H81" s="564"/>
      <c r="I81" s="244">
        <f>ROUND(供應率!D18,1)</f>
        <v>0</v>
      </c>
      <c r="J81" s="244">
        <f>ROUND(供應率!E18,1)</f>
        <v>0</v>
      </c>
      <c r="K81" s="244">
        <f>ROUND(供應率!F18,1)</f>
        <v>0</v>
      </c>
      <c r="L81" s="244">
        <f>ROUND(供應率!G18,1)</f>
        <v>0</v>
      </c>
      <c r="M81" s="244">
        <f>ROUND(供應率!H18,1)</f>
        <v>0</v>
      </c>
      <c r="N81" s="244">
        <f>ROUND(供應率!I18,1)</f>
        <v>0</v>
      </c>
      <c r="O81" s="244">
        <f>ROUND(供應率!J18,1)</f>
        <v>0</v>
      </c>
      <c r="P81" s="244">
        <f>ROUND(供應率!K18,1)</f>
        <v>0</v>
      </c>
      <c r="Q81" s="244">
        <f>ROUND(供應率!L18,1)</f>
        <v>0</v>
      </c>
      <c r="R81" s="244">
        <f>ROUND(供應率!M18,1)</f>
        <v>0</v>
      </c>
      <c r="S81" s="244">
        <f>ROUND(供應率!N18,1)</f>
        <v>0</v>
      </c>
      <c r="T81" s="244">
        <f>ROUND(供應率!O18,1)</f>
        <v>0</v>
      </c>
      <c r="U81" s="244">
        <f>ROUND(供應率!P18,1)</f>
        <v>0</v>
      </c>
      <c r="V81" s="244">
        <f>ROUND(供應率!Q18,1)</f>
        <v>0</v>
      </c>
      <c r="W81" s="244">
        <f>ROUND(供應率!R18,1)</f>
        <v>0</v>
      </c>
      <c r="X81" s="244">
        <f>ROUND(供應率!S18,1)</f>
        <v>0</v>
      </c>
      <c r="Y81" s="244">
        <f>ROUND(供應率!T18,1)</f>
        <v>0</v>
      </c>
      <c r="Z81" s="244">
        <f>ROUND(供應率!U18,1)</f>
        <v>0</v>
      </c>
      <c r="AA81" s="244">
        <f>ROUND(供應率!V18,1)</f>
        <v>0</v>
      </c>
      <c r="AB81" s="244">
        <f>ROUND(供應率!W18,1)</f>
        <v>0</v>
      </c>
      <c r="AC81" s="244">
        <f>ROUND(供應率!X18,1)</f>
        <v>0</v>
      </c>
      <c r="AD81" s="244">
        <f>ROUND(供應率!Y18,1)</f>
        <v>0</v>
      </c>
      <c r="AE81" s="244">
        <f>ROUND(供應率!Z18,1)</f>
        <v>0</v>
      </c>
      <c r="AF81" s="244">
        <f>ROUND(供應率!AA18,1)</f>
        <v>0</v>
      </c>
      <c r="AG81" s="244">
        <f>ROUND(供應率!AB18,1)</f>
        <v>0</v>
      </c>
      <c r="AH81" s="244">
        <f>ROUND(供應率!AC18,1)</f>
        <v>0</v>
      </c>
      <c r="AI81" s="244">
        <f>ROUND(供應率!AD18,1)</f>
        <v>0</v>
      </c>
      <c r="AJ81" s="244">
        <f>ROUND(供應率!AE18,1)</f>
        <v>0</v>
      </c>
      <c r="AK81" s="244">
        <f>ROUND(供應率!AF18,1)</f>
        <v>0</v>
      </c>
      <c r="AL81" s="244">
        <f>ROUND(供應率!AG18,1)</f>
        <v>0</v>
      </c>
      <c r="AM81" s="244">
        <f>ROUND(供應率!AH18,1)</f>
        <v>0</v>
      </c>
      <c r="AN81" s="246">
        <f>ROUND(供應率!AI18,1)</f>
        <v>0</v>
      </c>
      <c r="AO81" s="55"/>
    </row>
    <row r="82" spans="1:41" s="11" customFormat="1" ht="21.95" customHeight="1">
      <c r="A82" s="657" t="s">
        <v>33</v>
      </c>
      <c r="B82" s="658"/>
      <c r="C82" s="658"/>
      <c r="D82" s="310">
        <f>HLOOKUP(MONTH(日期!$C$2),去年月推移!$D$1:$O$200,139,TRUE)</f>
        <v>0</v>
      </c>
      <c r="E82" s="49"/>
      <c r="F82" s="49"/>
      <c r="G82" s="563">
        <f>ROUND(當年月推移!P141,1)</f>
        <v>0</v>
      </c>
      <c r="H82" s="564"/>
      <c r="I82" s="244">
        <f>ROUND(供應率!D19,1)</f>
        <v>0</v>
      </c>
      <c r="J82" s="244">
        <f>ROUND(供應率!E19,1)</f>
        <v>0</v>
      </c>
      <c r="K82" s="244">
        <f>ROUND(供應率!F19,1)</f>
        <v>0</v>
      </c>
      <c r="L82" s="244">
        <f>ROUND(供應率!G19,1)</f>
        <v>0</v>
      </c>
      <c r="M82" s="244">
        <f>ROUND(供應率!H19,1)</f>
        <v>0</v>
      </c>
      <c r="N82" s="244">
        <f>ROUND(供應率!I19,1)</f>
        <v>0</v>
      </c>
      <c r="O82" s="244">
        <f>ROUND(供應率!J19,1)</f>
        <v>0</v>
      </c>
      <c r="P82" s="244">
        <f>ROUND(供應率!K19,1)</f>
        <v>0</v>
      </c>
      <c r="Q82" s="244">
        <f>ROUND(供應率!L19,1)</f>
        <v>0</v>
      </c>
      <c r="R82" s="244">
        <f>ROUND(供應率!M19,1)</f>
        <v>0</v>
      </c>
      <c r="S82" s="244">
        <f>ROUND(供應率!N19,1)</f>
        <v>0</v>
      </c>
      <c r="T82" s="244">
        <f>ROUND(供應率!O19,1)</f>
        <v>0</v>
      </c>
      <c r="U82" s="244">
        <f>ROUND(供應率!P19,1)</f>
        <v>0</v>
      </c>
      <c r="V82" s="244">
        <f>ROUND(供應率!Q19,1)</f>
        <v>0</v>
      </c>
      <c r="W82" s="244">
        <f>ROUND(供應率!R19,1)</f>
        <v>0</v>
      </c>
      <c r="X82" s="244">
        <f>ROUND(供應率!S19,1)</f>
        <v>0</v>
      </c>
      <c r="Y82" s="244">
        <f>ROUND(供應率!T19,1)</f>
        <v>0</v>
      </c>
      <c r="Z82" s="244">
        <f>ROUND(供應率!U19,1)</f>
        <v>0</v>
      </c>
      <c r="AA82" s="244">
        <f>ROUND(供應率!V19,1)</f>
        <v>0</v>
      </c>
      <c r="AB82" s="244">
        <f>ROUND(供應率!W19,1)</f>
        <v>0</v>
      </c>
      <c r="AC82" s="244">
        <f>ROUND(供應率!X19,1)</f>
        <v>0</v>
      </c>
      <c r="AD82" s="244">
        <f>ROUND(供應率!Y19,1)</f>
        <v>0</v>
      </c>
      <c r="AE82" s="244">
        <f>ROUND(供應率!Z19,1)</f>
        <v>0</v>
      </c>
      <c r="AF82" s="244">
        <f>ROUND(供應率!AA19,1)</f>
        <v>0</v>
      </c>
      <c r="AG82" s="244">
        <f>ROUND(供應率!AB19,1)</f>
        <v>0</v>
      </c>
      <c r="AH82" s="244">
        <f>ROUND(供應率!AC19,1)</f>
        <v>0</v>
      </c>
      <c r="AI82" s="244">
        <f>ROUND(供應率!AD19,1)</f>
        <v>0</v>
      </c>
      <c r="AJ82" s="244">
        <f>ROUND(供應率!AE19,1)</f>
        <v>0</v>
      </c>
      <c r="AK82" s="244">
        <f>ROUND(供應率!AF19,1)</f>
        <v>0</v>
      </c>
      <c r="AL82" s="244">
        <f>ROUND(供應率!AG19,1)</f>
        <v>0</v>
      </c>
      <c r="AM82" s="244">
        <f>ROUND(供應率!AH19,1)</f>
        <v>0</v>
      </c>
      <c r="AN82" s="246">
        <f>ROUND(供應率!AI19,1)</f>
        <v>0</v>
      </c>
      <c r="AO82" s="55"/>
    </row>
    <row r="83" spans="1:41" s="11" customFormat="1" ht="21.95" customHeight="1">
      <c r="A83" s="657" t="s">
        <v>34</v>
      </c>
      <c r="B83" s="658"/>
      <c r="C83" s="658"/>
      <c r="D83" s="310">
        <f>HLOOKUP(MONTH(日期!$C$2),去年月推移!$D$1:$O$200,140,TRUE)</f>
        <v>0</v>
      </c>
      <c r="E83" s="49"/>
      <c r="F83" s="49"/>
      <c r="G83" s="563">
        <f>ROUND(當年月推移!P142,1)</f>
        <v>0</v>
      </c>
      <c r="H83" s="564"/>
      <c r="I83" s="244">
        <f>ROUND(供應率!D20,1)</f>
        <v>0</v>
      </c>
      <c r="J83" s="244">
        <f>ROUND(供應率!E20,1)</f>
        <v>0</v>
      </c>
      <c r="K83" s="244">
        <f>ROUND(供應率!F20,1)</f>
        <v>0</v>
      </c>
      <c r="L83" s="244">
        <f>ROUND(供應率!G20,1)</f>
        <v>0</v>
      </c>
      <c r="M83" s="244">
        <f>ROUND(供應率!H20,1)</f>
        <v>0</v>
      </c>
      <c r="N83" s="244">
        <f>ROUND(供應率!I20,1)</f>
        <v>0</v>
      </c>
      <c r="O83" s="244">
        <f>ROUND(供應率!J20,1)</f>
        <v>0</v>
      </c>
      <c r="P83" s="244">
        <f>ROUND(供應率!K20,1)</f>
        <v>0</v>
      </c>
      <c r="Q83" s="244">
        <f>ROUND(供應率!L20,1)</f>
        <v>0</v>
      </c>
      <c r="R83" s="244">
        <f>ROUND(供應率!M20,1)</f>
        <v>0</v>
      </c>
      <c r="S83" s="244">
        <f>ROUND(供應率!N20,1)</f>
        <v>0</v>
      </c>
      <c r="T83" s="244">
        <f>ROUND(供應率!O20,1)</f>
        <v>0</v>
      </c>
      <c r="U83" s="244">
        <f>ROUND(供應率!P20,1)</f>
        <v>0</v>
      </c>
      <c r="V83" s="244">
        <f>ROUND(供應率!Q20,1)</f>
        <v>0</v>
      </c>
      <c r="W83" s="244">
        <f>ROUND(供應率!R20,1)</f>
        <v>0</v>
      </c>
      <c r="X83" s="244">
        <f>ROUND(供應率!S20,1)</f>
        <v>0</v>
      </c>
      <c r="Y83" s="244">
        <f>ROUND(供應率!T20,1)</f>
        <v>0</v>
      </c>
      <c r="Z83" s="244">
        <f>ROUND(供應率!U20,1)</f>
        <v>0</v>
      </c>
      <c r="AA83" s="244">
        <f>ROUND(供應率!V20,1)</f>
        <v>0</v>
      </c>
      <c r="AB83" s="244">
        <f>ROUND(供應率!W20,1)</f>
        <v>0</v>
      </c>
      <c r="AC83" s="244">
        <f>ROUND(供應率!X20,1)</f>
        <v>0</v>
      </c>
      <c r="AD83" s="244">
        <f>ROUND(供應率!Y20,1)</f>
        <v>0</v>
      </c>
      <c r="AE83" s="244">
        <f>ROUND(供應率!Z20,1)</f>
        <v>0</v>
      </c>
      <c r="AF83" s="244">
        <f>ROUND(供應率!AA20,1)</f>
        <v>0</v>
      </c>
      <c r="AG83" s="244">
        <f>ROUND(供應率!AB20,1)</f>
        <v>0</v>
      </c>
      <c r="AH83" s="244">
        <f>ROUND(供應率!AC20,1)</f>
        <v>0</v>
      </c>
      <c r="AI83" s="244">
        <f>ROUND(供應率!AD20,1)</f>
        <v>0</v>
      </c>
      <c r="AJ83" s="244">
        <f>ROUND(供應率!AE20,1)</f>
        <v>0</v>
      </c>
      <c r="AK83" s="244">
        <f>ROUND(供應率!AF20,1)</f>
        <v>0</v>
      </c>
      <c r="AL83" s="244">
        <f>ROUND(供應率!AG20,1)</f>
        <v>0</v>
      </c>
      <c r="AM83" s="244">
        <f>ROUND(供應率!AH20,1)</f>
        <v>0</v>
      </c>
      <c r="AN83" s="246">
        <f>ROUND(供應率!AI20,1)</f>
        <v>0</v>
      </c>
      <c r="AO83" s="55"/>
    </row>
    <row r="84" spans="1:41" s="11" customFormat="1" ht="21.95" customHeight="1" thickBot="1">
      <c r="A84" s="644" t="s">
        <v>35</v>
      </c>
      <c r="B84" s="645"/>
      <c r="C84" s="645"/>
      <c r="D84" s="312">
        <f>HLOOKUP(MONTH(日期!$C$2),去年月推移!$D$1:$O$200,141,TRUE)</f>
        <v>0</v>
      </c>
      <c r="E84" s="58"/>
      <c r="F84" s="58"/>
      <c r="G84" s="642">
        <f>ROUND(當年月推移!P143,1)</f>
        <v>0</v>
      </c>
      <c r="H84" s="643"/>
      <c r="I84" s="59">
        <f>ROUND(供應率!D21,1)</f>
        <v>0</v>
      </c>
      <c r="J84" s="59">
        <f>ROUND(供應率!E21,1)</f>
        <v>0</v>
      </c>
      <c r="K84" s="59">
        <f>ROUND(供應率!F21,1)</f>
        <v>0</v>
      </c>
      <c r="L84" s="59">
        <f>ROUND(供應率!G21,1)</f>
        <v>0</v>
      </c>
      <c r="M84" s="59">
        <f>ROUND(供應率!H21,1)</f>
        <v>0</v>
      </c>
      <c r="N84" s="59">
        <f>ROUND(供應率!I21,1)</f>
        <v>0</v>
      </c>
      <c r="O84" s="59">
        <f>ROUND(供應率!J21,1)</f>
        <v>0</v>
      </c>
      <c r="P84" s="59">
        <f>ROUND(供應率!K21,1)</f>
        <v>0</v>
      </c>
      <c r="Q84" s="59">
        <f>ROUND(供應率!L21,1)</f>
        <v>0</v>
      </c>
      <c r="R84" s="59">
        <f>ROUND(供應率!M21,1)</f>
        <v>0</v>
      </c>
      <c r="S84" s="59">
        <f>ROUND(供應率!N21,1)</f>
        <v>0</v>
      </c>
      <c r="T84" s="59">
        <f>ROUND(供應率!O21,1)</f>
        <v>0</v>
      </c>
      <c r="U84" s="59">
        <f>ROUND(供應率!P21,1)</f>
        <v>0</v>
      </c>
      <c r="V84" s="59">
        <f>ROUND(供應率!Q21,1)</f>
        <v>0</v>
      </c>
      <c r="W84" s="59">
        <f>ROUND(供應率!R21,1)</f>
        <v>0</v>
      </c>
      <c r="X84" s="59">
        <f>ROUND(供應率!S21,1)</f>
        <v>0</v>
      </c>
      <c r="Y84" s="59">
        <f>ROUND(供應率!T21,1)</f>
        <v>0</v>
      </c>
      <c r="Z84" s="59">
        <f>ROUND(供應率!U21,1)</f>
        <v>0</v>
      </c>
      <c r="AA84" s="59">
        <f>ROUND(供應率!V21,1)</f>
        <v>0</v>
      </c>
      <c r="AB84" s="59">
        <f>ROUND(供應率!W21,1)</f>
        <v>0</v>
      </c>
      <c r="AC84" s="59">
        <f>ROUND(供應率!X21,1)</f>
        <v>0</v>
      </c>
      <c r="AD84" s="59">
        <f>ROUND(供應率!Y21,1)</f>
        <v>0</v>
      </c>
      <c r="AE84" s="59">
        <f>ROUND(供應率!Z21,1)</f>
        <v>0</v>
      </c>
      <c r="AF84" s="59">
        <f>ROUND(供應率!AA21,1)</f>
        <v>0</v>
      </c>
      <c r="AG84" s="59">
        <f>ROUND(供應率!AB21,1)</f>
        <v>0</v>
      </c>
      <c r="AH84" s="59">
        <f>ROUND(供應率!AC21,1)</f>
        <v>0</v>
      </c>
      <c r="AI84" s="59">
        <f>ROUND(供應率!AD21,1)</f>
        <v>0</v>
      </c>
      <c r="AJ84" s="59">
        <f>ROUND(供應率!AE21,1)</f>
        <v>0</v>
      </c>
      <c r="AK84" s="59">
        <f>ROUND(供應率!AF21,1)</f>
        <v>0</v>
      </c>
      <c r="AL84" s="59">
        <f>ROUND(供應率!AG21,1)</f>
        <v>0</v>
      </c>
      <c r="AM84" s="59">
        <f>ROUND(供應率!AH21,1)</f>
        <v>0</v>
      </c>
      <c r="AN84" s="217">
        <f>ROUND(供應率!AI21,1)</f>
        <v>0</v>
      </c>
      <c r="AO84" s="55"/>
    </row>
    <row r="85" spans="1:41" s="42" customFormat="1" ht="20.45">
      <c r="A85" s="34"/>
      <c r="B85" s="34"/>
      <c r="C85" s="60"/>
      <c r="D85" s="304"/>
      <c r="E85" s="304"/>
      <c r="F85" s="305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61"/>
      <c r="AH85" s="61"/>
      <c r="AI85" s="61"/>
      <c r="AJ85" s="61"/>
      <c r="AK85" s="61"/>
      <c r="AL85" s="61"/>
      <c r="AM85" s="61"/>
      <c r="AN85" s="61"/>
    </row>
    <row r="86" spans="1:41" s="35" customFormat="1" ht="23.1" customHeight="1" thickBot="1">
      <c r="A86" s="43" t="s">
        <v>57</v>
      </c>
      <c r="B86" s="42"/>
      <c r="C86" s="43"/>
      <c r="D86" s="302"/>
      <c r="E86" s="302"/>
      <c r="F86" s="302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</row>
    <row r="87" spans="1:41" s="35" customFormat="1" ht="18" customHeight="1">
      <c r="A87" s="606" t="s">
        <v>1</v>
      </c>
      <c r="B87" s="587"/>
      <c r="C87" s="587"/>
      <c r="D87" s="608" t="str">
        <f>D3</f>
        <v>2023/12</v>
      </c>
      <c r="E87" s="608" t="str">
        <f>E3</f>
        <v>2024/12</v>
      </c>
      <c r="F87" s="335">
        <f>YEAR(日期!C2)-1</f>
        <v>2023</v>
      </c>
      <c r="G87" s="635">
        <f>YEAR(日期!C2)</f>
        <v>2024</v>
      </c>
      <c r="H87" s="636"/>
      <c r="I87" s="527" t="str">
        <f>日期!C2</f>
        <v>2024/12/01</v>
      </c>
      <c r="J87" s="527" t="str">
        <f>日期!D2</f>
        <v>2024/12/02</v>
      </c>
      <c r="K87" s="527" t="str">
        <f>日期!E2</f>
        <v>2024/12/03</v>
      </c>
      <c r="L87" s="527" t="str">
        <f>日期!F2</f>
        <v>2024/12/04</v>
      </c>
      <c r="M87" s="527" t="str">
        <f>日期!G2</f>
        <v>2024/12/05</v>
      </c>
      <c r="N87" s="527" t="str">
        <f>日期!H2</f>
        <v>2024/12/06</v>
      </c>
      <c r="O87" s="527" t="str">
        <f>日期!I2</f>
        <v>2024/12/07</v>
      </c>
      <c r="P87" s="527" t="str">
        <f>日期!J2</f>
        <v>2024/12/08</v>
      </c>
      <c r="Q87" s="527" t="str">
        <f>日期!K2</f>
        <v>2024/12/09</v>
      </c>
      <c r="R87" s="527" t="str">
        <f>日期!L2</f>
        <v>2024/12/10</v>
      </c>
      <c r="S87" s="527" t="str">
        <f>日期!M2</f>
        <v>2024/12/11</v>
      </c>
      <c r="T87" s="527" t="str">
        <f>日期!N2</f>
        <v>2024/12/12</v>
      </c>
      <c r="U87" s="527" t="str">
        <f>日期!O2</f>
        <v>2024/12/13</v>
      </c>
      <c r="V87" s="527" t="str">
        <f>日期!P2</f>
        <v>2024/12/14</v>
      </c>
      <c r="W87" s="527" t="str">
        <f>日期!Q2</f>
        <v>2024/12/15</v>
      </c>
      <c r="X87" s="527" t="str">
        <f>日期!R2</f>
        <v>2024/12/16</v>
      </c>
      <c r="Y87" s="527" t="str">
        <f>日期!S2</f>
        <v>2024/12/17</v>
      </c>
      <c r="Z87" s="527" t="str">
        <f>日期!T2</f>
        <v>2024/12/18</v>
      </c>
      <c r="AA87" s="527" t="str">
        <f>日期!U2</f>
        <v>2024/12/19</v>
      </c>
      <c r="AB87" s="527" t="str">
        <f>日期!V2</f>
        <v>2024/12/20</v>
      </c>
      <c r="AC87" s="527" t="str">
        <f>日期!W2</f>
        <v>2024/12/21</v>
      </c>
      <c r="AD87" s="527" t="str">
        <f>日期!X2</f>
        <v>2024/12/22</v>
      </c>
      <c r="AE87" s="527" t="str">
        <f>日期!Y2</f>
        <v>2024/12/23</v>
      </c>
      <c r="AF87" s="527" t="str">
        <f>日期!Z2</f>
        <v>2024/12/24</v>
      </c>
      <c r="AG87" s="527" t="str">
        <f>日期!AA2</f>
        <v>2024/12/25</v>
      </c>
      <c r="AH87" s="527" t="str">
        <f>日期!AB2</f>
        <v>2024/12/26</v>
      </c>
      <c r="AI87" s="527" t="str">
        <f>日期!AC2</f>
        <v>2024/12/27</v>
      </c>
      <c r="AJ87" s="527" t="str">
        <f>日期!AD2</f>
        <v>2024/12/28</v>
      </c>
      <c r="AK87" s="527" t="str">
        <f>日期!AE2</f>
        <v>2024/12/29</v>
      </c>
      <c r="AL87" s="527" t="str">
        <f>日期!AF2</f>
        <v>2024/12/30</v>
      </c>
      <c r="AM87" s="527" t="str">
        <f>日期!AG2</f>
        <v>2024/12/31</v>
      </c>
      <c r="AN87" s="604" t="s">
        <v>42</v>
      </c>
    </row>
    <row r="88" spans="1:41" s="35" customFormat="1" ht="24" customHeight="1" thickBot="1">
      <c r="A88" s="650"/>
      <c r="B88" s="651"/>
      <c r="C88" s="651"/>
      <c r="D88" s="609"/>
      <c r="E88" s="652"/>
      <c r="F88" s="334" t="s">
        <v>58</v>
      </c>
      <c r="G88" s="653" t="s">
        <v>59</v>
      </c>
      <c r="H88" s="654"/>
      <c r="I88" s="12" t="str">
        <f>日期!C3</f>
        <v>Sun</v>
      </c>
      <c r="J88" s="12" t="str">
        <f>日期!D3</f>
        <v>Mon</v>
      </c>
      <c r="K88" s="12" t="str">
        <f>日期!E3</f>
        <v>Tue</v>
      </c>
      <c r="L88" s="12" t="str">
        <f>日期!F3</f>
        <v>Wed</v>
      </c>
      <c r="M88" s="12" t="str">
        <f>日期!G3</f>
        <v>Thu</v>
      </c>
      <c r="N88" s="12" t="str">
        <f>日期!H3</f>
        <v>Fri</v>
      </c>
      <c r="O88" s="12" t="str">
        <f>日期!I3</f>
        <v>Sat</v>
      </c>
      <c r="P88" s="12" t="str">
        <f>日期!J3</f>
        <v>Sun</v>
      </c>
      <c r="Q88" s="12" t="str">
        <f>日期!K3</f>
        <v>Mon</v>
      </c>
      <c r="R88" s="12" t="str">
        <f>日期!L3</f>
        <v>Tue</v>
      </c>
      <c r="S88" s="12" t="str">
        <f>日期!M3</f>
        <v>Wed</v>
      </c>
      <c r="T88" s="12" t="str">
        <f>日期!N3</f>
        <v>Thu</v>
      </c>
      <c r="U88" s="12" t="str">
        <f>日期!O3</f>
        <v>Fri</v>
      </c>
      <c r="V88" s="12" t="str">
        <f>日期!P3</f>
        <v>Sat</v>
      </c>
      <c r="W88" s="12" t="str">
        <f>日期!Q3</f>
        <v>Sun</v>
      </c>
      <c r="X88" s="12" t="str">
        <f>日期!R3</f>
        <v>Mon</v>
      </c>
      <c r="Y88" s="12" t="str">
        <f>日期!S3</f>
        <v>Tue</v>
      </c>
      <c r="Z88" s="12" t="str">
        <f>日期!T3</f>
        <v>Wed</v>
      </c>
      <c r="AA88" s="12" t="str">
        <f>日期!U3</f>
        <v>Thu</v>
      </c>
      <c r="AB88" s="12" t="str">
        <f>日期!V3</f>
        <v>Fri</v>
      </c>
      <c r="AC88" s="12" t="str">
        <f>日期!W3</f>
        <v>Sat</v>
      </c>
      <c r="AD88" s="12" t="str">
        <f>日期!X3</f>
        <v>Sun</v>
      </c>
      <c r="AE88" s="12" t="str">
        <f>日期!Y3</f>
        <v>Mon</v>
      </c>
      <c r="AF88" s="12" t="str">
        <f>日期!Z3</f>
        <v>Tue</v>
      </c>
      <c r="AG88" s="12" t="str">
        <f>日期!AA3</f>
        <v>Wed</v>
      </c>
      <c r="AH88" s="12" t="str">
        <f>日期!AB3</f>
        <v>Thu</v>
      </c>
      <c r="AI88" s="12" t="str">
        <f>日期!AC3</f>
        <v>Fri</v>
      </c>
      <c r="AJ88" s="12" t="str">
        <f>日期!AD3</f>
        <v>Sat</v>
      </c>
      <c r="AK88" s="12" t="str">
        <f>日期!AE3</f>
        <v>Sun</v>
      </c>
      <c r="AL88" s="12" t="str">
        <f>日期!AF3</f>
        <v>Mon</v>
      </c>
      <c r="AM88" s="12" t="str">
        <f>日期!AG3</f>
        <v>Tue</v>
      </c>
      <c r="AN88" s="605"/>
    </row>
    <row r="89" spans="1:41" s="35" customFormat="1" ht="21.95" customHeight="1">
      <c r="A89" s="646" t="s">
        <v>11</v>
      </c>
      <c r="B89" s="647"/>
      <c r="C89" s="647"/>
      <c r="D89" s="314">
        <f>HLOOKUP(MONTH(日期!$C$2),去年月推移!$D$1:$O$200,145,TRUE)</f>
        <v>3831</v>
      </c>
      <c r="E89" s="62" t="s">
        <v>45</v>
      </c>
      <c r="F89" s="62" t="s">
        <v>45</v>
      </c>
      <c r="G89" s="648">
        <f>當年月推移!P147</f>
        <v>4840</v>
      </c>
      <c r="H89" s="649"/>
      <c r="I89" s="63">
        <f>VALUE(點數BO!C2)</f>
        <v>0</v>
      </c>
      <c r="J89" s="63">
        <f>VALUE(點數BO!D2)</f>
        <v>221</v>
      </c>
      <c r="K89" s="63">
        <f>VALUE(點數BO!E2)</f>
        <v>272</v>
      </c>
      <c r="L89" s="63">
        <f>VALUE(點數BO!F2)</f>
        <v>297</v>
      </c>
      <c r="M89" s="63">
        <f>VALUE(點數BO!G2)</f>
        <v>219</v>
      </c>
      <c r="N89" s="63">
        <f>VALUE(點數BO!H2)</f>
        <v>203</v>
      </c>
      <c r="O89" s="63">
        <f>VALUE(點數BO!I2)</f>
        <v>0</v>
      </c>
      <c r="P89" s="63">
        <f>VALUE(點數BO!J2)</f>
        <v>0</v>
      </c>
      <c r="Q89" s="63">
        <f>VALUE(點數BO!K2)</f>
        <v>162</v>
      </c>
      <c r="R89" s="63">
        <f>VALUE(點數BO!L2)</f>
        <v>258</v>
      </c>
      <c r="S89" s="63">
        <f>VALUE(點數BO!M2)</f>
        <v>241</v>
      </c>
      <c r="T89" s="63">
        <f>VALUE(點數BO!N2)</f>
        <v>247</v>
      </c>
      <c r="U89" s="63">
        <f>VALUE(點數BO!O2)</f>
        <v>283</v>
      </c>
      <c r="V89" s="63">
        <f>VALUE(點數BO!P2)</f>
        <v>0</v>
      </c>
      <c r="W89" s="63">
        <f>VALUE(點數BO!Q2)</f>
        <v>0</v>
      </c>
      <c r="X89" s="63">
        <f>VALUE(點數BO!R2)</f>
        <v>312</v>
      </c>
      <c r="Y89" s="63">
        <f>VALUE(點數BO!S2)</f>
        <v>329</v>
      </c>
      <c r="Z89" s="63">
        <f>VALUE(點數BO!T2)</f>
        <v>275</v>
      </c>
      <c r="AA89" s="63">
        <f>VALUE(點數BO!U2)</f>
        <v>253</v>
      </c>
      <c r="AB89" s="63">
        <f>VALUE(點數BO!V2)</f>
        <v>229</v>
      </c>
      <c r="AC89" s="63">
        <f>VALUE(點數BO!W2)</f>
        <v>132</v>
      </c>
      <c r="AD89" s="63">
        <f>VALUE(點數BO!X2)</f>
        <v>0</v>
      </c>
      <c r="AE89" s="63">
        <f>VALUE(點數BO!Y2)</f>
        <v>222</v>
      </c>
      <c r="AF89" s="63">
        <f>VALUE(點數BO!Z2)</f>
        <v>238</v>
      </c>
      <c r="AG89" s="63">
        <f>VALUE(點數BO!AA2)</f>
        <v>258</v>
      </c>
      <c r="AH89" s="63">
        <f>VALUE(點數BO!AB2)</f>
        <v>232</v>
      </c>
      <c r="AI89" s="63">
        <f>VALUE(點數BO!AC2)</f>
        <v>175</v>
      </c>
      <c r="AJ89" s="63">
        <f>VALUE(點數BO!AD2)</f>
        <v>128</v>
      </c>
      <c r="AK89" s="63">
        <f>VALUE(點數BO!AE2)</f>
        <v>0</v>
      </c>
      <c r="AL89" s="63">
        <f>VALUE(點數BO!AF2)</f>
        <v>205</v>
      </c>
      <c r="AM89" s="63">
        <f>VALUE(點數BO!AG2)</f>
        <v>192</v>
      </c>
      <c r="AN89" s="516">
        <f>VALUE(點數BO!AH2)</f>
        <v>5686</v>
      </c>
    </row>
    <row r="90" spans="1:41" s="35" customFormat="1" ht="21.95" customHeight="1">
      <c r="A90" s="621" t="s">
        <v>12</v>
      </c>
      <c r="B90" s="622"/>
      <c r="C90" s="622"/>
      <c r="D90" s="314">
        <f>HLOOKUP(MONTH(日期!$C$2),去年月推移!$D$1:$O$200,146,TRUE)</f>
        <v>0</v>
      </c>
      <c r="E90" s="64" t="s">
        <v>45</v>
      </c>
      <c r="F90" s="64" t="s">
        <v>45</v>
      </c>
      <c r="G90" s="630">
        <f>當年月推移!P148</f>
        <v>14</v>
      </c>
      <c r="H90" s="631"/>
      <c r="I90" s="63">
        <f>VALUE(點數BO!C4)</f>
        <v>0</v>
      </c>
      <c r="J90" s="63">
        <f>VALUE(點數BO!D4)</f>
        <v>0</v>
      </c>
      <c r="K90" s="63">
        <f>VALUE(點數BO!E4)</f>
        <v>0</v>
      </c>
      <c r="L90" s="63">
        <f>VALUE(點數BO!F4)</f>
        <v>0</v>
      </c>
      <c r="M90" s="63">
        <f>VALUE(點數BO!G4)</f>
        <v>0</v>
      </c>
      <c r="N90" s="63">
        <f>VALUE(點數BO!H4)</f>
        <v>0</v>
      </c>
      <c r="O90" s="63">
        <f>VALUE(點數BO!I4)</f>
        <v>0</v>
      </c>
      <c r="P90" s="63">
        <f>VALUE(點數BO!J4)</f>
        <v>0</v>
      </c>
      <c r="Q90" s="63">
        <f>VALUE(點數BO!K4)</f>
        <v>0</v>
      </c>
      <c r="R90" s="63">
        <f>VALUE(點數BO!L4)</f>
        <v>0</v>
      </c>
      <c r="S90" s="63">
        <f>VALUE(點數BO!M4)</f>
        <v>0</v>
      </c>
      <c r="T90" s="63">
        <f>VALUE(點數BO!N4)</f>
        <v>0</v>
      </c>
      <c r="U90" s="63">
        <f>VALUE(點數BO!O4)</f>
        <v>0</v>
      </c>
      <c r="V90" s="63">
        <f>VALUE(點數BO!P4)</f>
        <v>0</v>
      </c>
      <c r="W90" s="63">
        <f>VALUE(點數BO!Q4)</f>
        <v>0</v>
      </c>
      <c r="X90" s="63">
        <f>VALUE(點數BO!R4)</f>
        <v>0</v>
      </c>
      <c r="Y90" s="63">
        <f>VALUE(點數BO!S4)</f>
        <v>0</v>
      </c>
      <c r="Z90" s="63">
        <f>VALUE(點數BO!T4)</f>
        <v>0</v>
      </c>
      <c r="AA90" s="63">
        <f>VALUE(點數BO!U4)</f>
        <v>0</v>
      </c>
      <c r="AB90" s="63">
        <f>VALUE(點數BO!V4)</f>
        <v>0</v>
      </c>
      <c r="AC90" s="63">
        <f>VALUE(點數BO!W4)</f>
        <v>0</v>
      </c>
      <c r="AD90" s="63">
        <f>VALUE(點數BO!X4)</f>
        <v>0</v>
      </c>
      <c r="AE90" s="63">
        <f>VALUE(點數BO!Y4)</f>
        <v>1</v>
      </c>
      <c r="AF90" s="63">
        <f>VALUE(點數BO!Z4)</f>
        <v>9</v>
      </c>
      <c r="AG90" s="63">
        <f>VALUE(點數BO!AA4)</f>
        <v>0</v>
      </c>
      <c r="AH90" s="63">
        <f>VALUE(點數BO!AB4)</f>
        <v>0</v>
      </c>
      <c r="AI90" s="63">
        <f>VALUE(點數BO!AC4)</f>
        <v>0</v>
      </c>
      <c r="AJ90" s="63">
        <f>VALUE(點數BO!AD4)</f>
        <v>0</v>
      </c>
      <c r="AK90" s="63">
        <f>VALUE(點數BO!AE4)</f>
        <v>0</v>
      </c>
      <c r="AL90" s="63">
        <f>VALUE(點數BO!AF4)</f>
        <v>0</v>
      </c>
      <c r="AM90" s="63">
        <f>VALUE(點數BO!AG4)</f>
        <v>0</v>
      </c>
      <c r="AN90" s="517">
        <f>VALUE(點數BO!AH4)</f>
        <v>10</v>
      </c>
    </row>
    <row r="91" spans="1:41" s="35" customFormat="1" ht="21.95" customHeight="1">
      <c r="A91" s="621" t="s">
        <v>13</v>
      </c>
      <c r="B91" s="622"/>
      <c r="C91" s="622"/>
      <c r="D91" s="314">
        <f>HLOOKUP(MONTH(日期!$C$2),去年月推移!$D$1:$O$200,147,TRUE)</f>
        <v>59</v>
      </c>
      <c r="E91" s="64" t="s">
        <v>45</v>
      </c>
      <c r="F91" s="64" t="s">
        <v>45</v>
      </c>
      <c r="G91" s="630">
        <f>當年月推移!P149</f>
        <v>120</v>
      </c>
      <c r="H91" s="631"/>
      <c r="I91" s="63">
        <f>VALUE(點數BO!C5)</f>
        <v>0</v>
      </c>
      <c r="J91" s="63">
        <f>VALUE(點數BO!D5)</f>
        <v>6</v>
      </c>
      <c r="K91" s="63">
        <f>VALUE(點數BO!E5)</f>
        <v>2</v>
      </c>
      <c r="L91" s="63">
        <f>VALUE(點數BO!F5)</f>
        <v>0</v>
      </c>
      <c r="M91" s="63">
        <f>VALUE(點數BO!G5)</f>
        <v>3</v>
      </c>
      <c r="N91" s="63">
        <f>VALUE(點數BO!H5)</f>
        <v>0</v>
      </c>
      <c r="O91" s="63">
        <f>VALUE(點數BO!I5)</f>
        <v>0</v>
      </c>
      <c r="P91" s="63">
        <f>VALUE(點數BO!J5)</f>
        <v>0</v>
      </c>
      <c r="Q91" s="63">
        <f>VALUE(點數BO!K5)</f>
        <v>0</v>
      </c>
      <c r="R91" s="63">
        <f>VALUE(點數BO!L5)</f>
        <v>1</v>
      </c>
      <c r="S91" s="63">
        <f>VALUE(點數BO!M5)</f>
        <v>0</v>
      </c>
      <c r="T91" s="63">
        <f>VALUE(點數BO!N5)</f>
        <v>5</v>
      </c>
      <c r="U91" s="63">
        <f>VALUE(點數BO!O5)</f>
        <v>3</v>
      </c>
      <c r="V91" s="63">
        <f>VALUE(點數BO!P5)</f>
        <v>0</v>
      </c>
      <c r="W91" s="63">
        <f>VALUE(點數BO!Q5)</f>
        <v>0</v>
      </c>
      <c r="X91" s="63">
        <f>VALUE(點數BO!R5)</f>
        <v>5</v>
      </c>
      <c r="Y91" s="63">
        <f>VALUE(點數BO!S5)</f>
        <v>2</v>
      </c>
      <c r="Z91" s="63">
        <f>VALUE(點數BO!T5)</f>
        <v>2</v>
      </c>
      <c r="AA91" s="63">
        <f>VALUE(點數BO!U5)</f>
        <v>4</v>
      </c>
      <c r="AB91" s="63">
        <f>VALUE(點數BO!V5)</f>
        <v>0</v>
      </c>
      <c r="AC91" s="63">
        <f>VALUE(點數BO!W5)</f>
        <v>2</v>
      </c>
      <c r="AD91" s="63">
        <f>VALUE(點數BO!X5)</f>
        <v>0</v>
      </c>
      <c r="AE91" s="63">
        <f>VALUE(點數BO!Y5)</f>
        <v>2</v>
      </c>
      <c r="AF91" s="63">
        <f>VALUE(點數BO!Z5)</f>
        <v>6</v>
      </c>
      <c r="AG91" s="63">
        <f>VALUE(點數BO!AA5)</f>
        <v>7</v>
      </c>
      <c r="AH91" s="63">
        <f>VALUE(點數BO!AB5)</f>
        <v>7</v>
      </c>
      <c r="AI91" s="63">
        <f>VALUE(點數BO!AC5)</f>
        <v>2</v>
      </c>
      <c r="AJ91" s="63">
        <f>VALUE(點數BO!AD5)</f>
        <v>2</v>
      </c>
      <c r="AK91" s="63">
        <f>VALUE(點數BO!AE5)</f>
        <v>0</v>
      </c>
      <c r="AL91" s="63">
        <f>VALUE(點數BO!AF5)</f>
        <v>0</v>
      </c>
      <c r="AM91" s="63">
        <f>VALUE(點數BO!AG5)</f>
        <v>1</v>
      </c>
      <c r="AN91" s="517">
        <f>VALUE(點數BO!AH5)</f>
        <v>62</v>
      </c>
    </row>
    <row r="92" spans="1:41" s="35" customFormat="1" ht="21.95" customHeight="1">
      <c r="A92" s="621" t="s">
        <v>14</v>
      </c>
      <c r="B92" s="622"/>
      <c r="C92" s="622"/>
      <c r="D92" s="314">
        <f>HLOOKUP(MONTH(日期!$C$2),去年月推移!$D$1:$O$200,148,TRUE)</f>
        <v>259</v>
      </c>
      <c r="E92" s="64" t="s">
        <v>45</v>
      </c>
      <c r="F92" s="64" t="s">
        <v>45</v>
      </c>
      <c r="G92" s="630">
        <f>當年月推移!P150</f>
        <v>287</v>
      </c>
      <c r="H92" s="631"/>
      <c r="I92" s="63">
        <f>VALUE(點數BO!C6)</f>
        <v>0</v>
      </c>
      <c r="J92" s="63">
        <f>VALUE(點數BO!D6)</f>
        <v>24</v>
      </c>
      <c r="K92" s="63">
        <f>VALUE(點數BO!E6)</f>
        <v>13</v>
      </c>
      <c r="L92" s="63">
        <f>VALUE(點數BO!F6)</f>
        <v>7</v>
      </c>
      <c r="M92" s="63">
        <f>VALUE(點數BO!G6)</f>
        <v>7</v>
      </c>
      <c r="N92" s="63">
        <f>VALUE(點數BO!H6)</f>
        <v>12</v>
      </c>
      <c r="O92" s="63">
        <f>VALUE(點數BO!I6)</f>
        <v>0</v>
      </c>
      <c r="P92" s="63">
        <f>VALUE(點數BO!J6)</f>
        <v>0</v>
      </c>
      <c r="Q92" s="63">
        <f>VALUE(點數BO!K6)</f>
        <v>16</v>
      </c>
      <c r="R92" s="63">
        <f>VALUE(點數BO!L6)</f>
        <v>6</v>
      </c>
      <c r="S92" s="63">
        <f>VALUE(點數BO!M6)</f>
        <v>18</v>
      </c>
      <c r="T92" s="63">
        <f>VALUE(點數BO!N6)</f>
        <v>4</v>
      </c>
      <c r="U92" s="63">
        <f>VALUE(點數BO!O6)</f>
        <v>52</v>
      </c>
      <c r="V92" s="63">
        <f>VALUE(點數BO!P6)</f>
        <v>0</v>
      </c>
      <c r="W92" s="63">
        <f>VALUE(點數BO!Q6)</f>
        <v>0</v>
      </c>
      <c r="X92" s="63">
        <f>VALUE(點數BO!R6)</f>
        <v>41</v>
      </c>
      <c r="Y92" s="63">
        <f>VALUE(點數BO!S6)</f>
        <v>16</v>
      </c>
      <c r="Z92" s="63">
        <f>VALUE(點數BO!T6)</f>
        <v>5</v>
      </c>
      <c r="AA92" s="63">
        <f>VALUE(點數BO!U6)</f>
        <v>8</v>
      </c>
      <c r="AB92" s="63">
        <f>VALUE(點數BO!V6)</f>
        <v>5</v>
      </c>
      <c r="AC92" s="63">
        <f>VALUE(點數BO!W6)</f>
        <v>10</v>
      </c>
      <c r="AD92" s="63">
        <f>VALUE(點數BO!X6)</f>
        <v>0</v>
      </c>
      <c r="AE92" s="63">
        <f>VALUE(點數BO!Y6)</f>
        <v>26</v>
      </c>
      <c r="AF92" s="63">
        <f>VALUE(點數BO!Z6)</f>
        <v>12</v>
      </c>
      <c r="AG92" s="63">
        <f>VALUE(點數BO!AA6)</f>
        <v>7</v>
      </c>
      <c r="AH92" s="63">
        <f>VALUE(點數BO!AB6)</f>
        <v>9</v>
      </c>
      <c r="AI92" s="63">
        <f>VALUE(點數BO!AC6)</f>
        <v>8</v>
      </c>
      <c r="AJ92" s="63">
        <f>VALUE(點數BO!AD6)</f>
        <v>5</v>
      </c>
      <c r="AK92" s="63">
        <f>VALUE(點數BO!AE6)</f>
        <v>0</v>
      </c>
      <c r="AL92" s="63">
        <f>VALUE(點數BO!AF6)</f>
        <v>3</v>
      </c>
      <c r="AM92" s="63">
        <f>VALUE(點數BO!AG6)</f>
        <v>2</v>
      </c>
      <c r="AN92" s="517">
        <f>VALUE(點數BO!AH6)</f>
        <v>322</v>
      </c>
    </row>
    <row r="93" spans="1:41" s="35" customFormat="1" ht="21.95" customHeight="1">
      <c r="A93" s="621" t="s">
        <v>56</v>
      </c>
      <c r="B93" s="622"/>
      <c r="C93" s="622"/>
      <c r="D93" s="314">
        <f>HLOOKUP(MONTH(日期!$C$2),去年月推移!$D$1:$O$200,149,TRUE)</f>
        <v>810</v>
      </c>
      <c r="E93" s="64" t="s">
        <v>45</v>
      </c>
      <c r="F93" s="64" t="s">
        <v>45</v>
      </c>
      <c r="G93" s="630">
        <f>當年月推移!P151</f>
        <v>809</v>
      </c>
      <c r="H93" s="631"/>
      <c r="I93" s="63">
        <f>VALUE(點數BO!C20)</f>
        <v>0</v>
      </c>
      <c r="J93" s="63">
        <f>VALUE(點數BO!D20)</f>
        <v>36</v>
      </c>
      <c r="K93" s="63">
        <f>VALUE(點數BO!E20)</f>
        <v>26</v>
      </c>
      <c r="L93" s="63">
        <f>VALUE(點數BO!F20)</f>
        <v>28</v>
      </c>
      <c r="M93" s="63">
        <f>VALUE(點數BO!G20)</f>
        <v>56</v>
      </c>
      <c r="N93" s="63">
        <f>VALUE(點數BO!H20)</f>
        <v>42</v>
      </c>
      <c r="O93" s="63">
        <f>VALUE(點數BO!I20)</f>
        <v>0</v>
      </c>
      <c r="P93" s="63">
        <f>VALUE(點數BO!J20)</f>
        <v>0</v>
      </c>
      <c r="Q93" s="63">
        <f>VALUE(點數BO!K20)</f>
        <v>27</v>
      </c>
      <c r="R93" s="63">
        <f>VALUE(點數BO!L20)</f>
        <v>37</v>
      </c>
      <c r="S93" s="63">
        <f>VALUE(點數BO!M20)</f>
        <v>31</v>
      </c>
      <c r="T93" s="63">
        <f>VALUE(點數BO!N20)</f>
        <v>38</v>
      </c>
      <c r="U93" s="63">
        <f>VALUE(點數BO!O20)</f>
        <v>33</v>
      </c>
      <c r="V93" s="63">
        <f>VALUE(點數BO!P20)</f>
        <v>0</v>
      </c>
      <c r="W93" s="63">
        <f>VALUE(點數BO!Q20)</f>
        <v>0</v>
      </c>
      <c r="X93" s="63">
        <f>VALUE(點數BO!R20)</f>
        <v>78</v>
      </c>
      <c r="Y93" s="63">
        <f>VALUE(點數BO!S20)</f>
        <v>32</v>
      </c>
      <c r="Z93" s="63">
        <f>VALUE(點數BO!T20)</f>
        <v>44</v>
      </c>
      <c r="AA93" s="63">
        <f>VALUE(點數BO!U20)</f>
        <v>30</v>
      </c>
      <c r="AB93" s="63">
        <f>VALUE(點數BO!V20)</f>
        <v>22</v>
      </c>
      <c r="AC93" s="63">
        <f>VALUE(點數BO!W20)</f>
        <v>24</v>
      </c>
      <c r="AD93" s="63">
        <f>VALUE(點數BO!X20)</f>
        <v>0</v>
      </c>
      <c r="AE93" s="63">
        <f>VALUE(點數BO!Y20)</f>
        <v>39</v>
      </c>
      <c r="AF93" s="63">
        <f>VALUE(點數BO!Z20)</f>
        <v>30</v>
      </c>
      <c r="AG93" s="63">
        <f>VALUE(點數BO!AA20)</f>
        <v>27</v>
      </c>
      <c r="AH93" s="63">
        <f>VALUE(點數BO!AB20)</f>
        <v>39</v>
      </c>
      <c r="AI93" s="63">
        <f>VALUE(點數BO!AC20)</f>
        <v>27</v>
      </c>
      <c r="AJ93" s="63">
        <f>VALUE(點數BO!AD20)</f>
        <v>19</v>
      </c>
      <c r="AK93" s="63">
        <f>VALUE(點數BO!AE20)</f>
        <v>0</v>
      </c>
      <c r="AL93" s="63">
        <f>VALUE(點數BO!AF20)</f>
        <v>22</v>
      </c>
      <c r="AM93" s="63">
        <f>VALUE(點數BO!AG20)</f>
        <v>19</v>
      </c>
      <c r="AN93" s="517">
        <f>VALUE(點數BO!AH20)</f>
        <v>823</v>
      </c>
    </row>
    <row r="94" spans="1:41" s="35" customFormat="1" ht="21.95" customHeight="1">
      <c r="A94" s="621" t="s">
        <v>16</v>
      </c>
      <c r="B94" s="622"/>
      <c r="C94" s="622"/>
      <c r="D94" s="314">
        <f>HLOOKUP(MONTH(日期!$C$2),去年月推移!$D$1:$O$200,150,TRUE)</f>
        <v>126</v>
      </c>
      <c r="E94" s="64" t="s">
        <v>45</v>
      </c>
      <c r="F94" s="64" t="s">
        <v>45</v>
      </c>
      <c r="G94" s="630">
        <f>當年月推移!P152</f>
        <v>213</v>
      </c>
      <c r="H94" s="631"/>
      <c r="I94" s="63">
        <f>VALUE(點數BO!C8)</f>
        <v>0</v>
      </c>
      <c r="J94" s="63">
        <f>VALUE(點數BO!D8)</f>
        <v>2</v>
      </c>
      <c r="K94" s="63">
        <f>VALUE(點數BO!E8)</f>
        <v>3</v>
      </c>
      <c r="L94" s="63">
        <f>VALUE(點數BO!F8)</f>
        <v>0</v>
      </c>
      <c r="M94" s="63">
        <f>VALUE(點數BO!G8)</f>
        <v>1</v>
      </c>
      <c r="N94" s="63">
        <f>VALUE(點數BO!H8)</f>
        <v>8</v>
      </c>
      <c r="O94" s="63">
        <f>VALUE(點數BO!I8)</f>
        <v>0</v>
      </c>
      <c r="P94" s="63">
        <f>VALUE(點數BO!J8)</f>
        <v>0</v>
      </c>
      <c r="Q94" s="63">
        <f>VALUE(點數BO!K8)</f>
        <v>32</v>
      </c>
      <c r="R94" s="63">
        <f>VALUE(點數BO!L8)</f>
        <v>14</v>
      </c>
      <c r="S94" s="63">
        <f>VALUE(點數BO!M8)</f>
        <v>16</v>
      </c>
      <c r="T94" s="63">
        <f>VALUE(點數BO!N8)</f>
        <v>5</v>
      </c>
      <c r="U94" s="63">
        <f>VALUE(點數BO!O8)</f>
        <v>3</v>
      </c>
      <c r="V94" s="63">
        <f>VALUE(點數BO!P8)</f>
        <v>0</v>
      </c>
      <c r="W94" s="63">
        <f>VALUE(點數BO!Q8)</f>
        <v>0</v>
      </c>
      <c r="X94" s="63">
        <f>VALUE(點數BO!R8)</f>
        <v>54</v>
      </c>
      <c r="Y94" s="63">
        <f>VALUE(點數BO!S8)</f>
        <v>3</v>
      </c>
      <c r="Z94" s="63">
        <f>VALUE(點數BO!T8)</f>
        <v>5</v>
      </c>
      <c r="AA94" s="63">
        <f>VALUE(點數BO!U8)</f>
        <v>1</v>
      </c>
      <c r="AB94" s="63">
        <f>VALUE(點數BO!V8)</f>
        <v>2</v>
      </c>
      <c r="AC94" s="63">
        <f>VALUE(點數BO!W8)</f>
        <v>3</v>
      </c>
      <c r="AD94" s="63">
        <f>VALUE(點數BO!X8)</f>
        <v>0</v>
      </c>
      <c r="AE94" s="63">
        <f>VALUE(點數BO!Y8)</f>
        <v>32</v>
      </c>
      <c r="AF94" s="63">
        <f>VALUE(點數BO!Z8)</f>
        <v>8</v>
      </c>
      <c r="AG94" s="63">
        <f>VALUE(點數BO!AA8)</f>
        <v>1</v>
      </c>
      <c r="AH94" s="63">
        <f>VALUE(點數BO!AB8)</f>
        <v>4</v>
      </c>
      <c r="AI94" s="63">
        <f>VALUE(點數BO!AC8)</f>
        <v>5</v>
      </c>
      <c r="AJ94" s="63">
        <f>VALUE(點數BO!AD8)</f>
        <v>4</v>
      </c>
      <c r="AK94" s="63">
        <f>VALUE(點數BO!AE8)</f>
        <v>0</v>
      </c>
      <c r="AL94" s="63">
        <f>VALUE(點數BO!AF8)</f>
        <v>30</v>
      </c>
      <c r="AM94" s="63">
        <f>VALUE(點數BO!AG8)</f>
        <v>9</v>
      </c>
      <c r="AN94" s="517">
        <f>VALUE(點數BO!AH8)</f>
        <v>253</v>
      </c>
    </row>
    <row r="95" spans="1:41" s="35" customFormat="1" ht="21.95" customHeight="1">
      <c r="A95" s="657" t="s">
        <v>17</v>
      </c>
      <c r="B95" s="658"/>
      <c r="C95" s="658"/>
      <c r="D95" s="314">
        <f>HLOOKUP(MONTH(日期!$C$2),去年月推移!$D$1:$O$200,151,TRUE)</f>
        <v>17</v>
      </c>
      <c r="E95" s="65" t="s">
        <v>45</v>
      </c>
      <c r="F95" s="65" t="s">
        <v>45</v>
      </c>
      <c r="G95" s="630">
        <f>當年月推移!P153</f>
        <v>23</v>
      </c>
      <c r="H95" s="631"/>
      <c r="I95" s="63">
        <f>VALUE(點數BO!C9)</f>
        <v>0</v>
      </c>
      <c r="J95" s="63">
        <f>VALUE(點數BO!D9)</f>
        <v>0</v>
      </c>
      <c r="K95" s="63">
        <f>VALUE(點數BO!E9)</f>
        <v>2</v>
      </c>
      <c r="L95" s="63">
        <f>VALUE(點數BO!F9)</f>
        <v>2</v>
      </c>
      <c r="M95" s="63">
        <f>VALUE(點數BO!G9)</f>
        <v>0</v>
      </c>
      <c r="N95" s="63">
        <f>VALUE(點數BO!H9)</f>
        <v>0</v>
      </c>
      <c r="O95" s="63">
        <f>VALUE(點數BO!I9)</f>
        <v>0</v>
      </c>
      <c r="P95" s="63">
        <f>VALUE(點數BO!J9)</f>
        <v>0</v>
      </c>
      <c r="Q95" s="63">
        <f>VALUE(點數BO!K9)</f>
        <v>1</v>
      </c>
      <c r="R95" s="63">
        <f>VALUE(點數BO!L9)</f>
        <v>0</v>
      </c>
      <c r="S95" s="63">
        <f>VALUE(點數BO!M9)</f>
        <v>0</v>
      </c>
      <c r="T95" s="63">
        <f>VALUE(點數BO!N9)</f>
        <v>0</v>
      </c>
      <c r="U95" s="63">
        <f>VALUE(點數BO!O9)</f>
        <v>0</v>
      </c>
      <c r="V95" s="63">
        <f>VALUE(點數BO!P9)</f>
        <v>0</v>
      </c>
      <c r="W95" s="63">
        <f>VALUE(點數BO!Q9)</f>
        <v>0</v>
      </c>
      <c r="X95" s="63">
        <f>VALUE(點數BO!R9)</f>
        <v>2</v>
      </c>
      <c r="Y95" s="63">
        <f>VALUE(點數BO!S9)</f>
        <v>3</v>
      </c>
      <c r="Z95" s="63">
        <f>VALUE(點數BO!T9)</f>
        <v>0</v>
      </c>
      <c r="AA95" s="63">
        <f>VALUE(點數BO!U9)</f>
        <v>0</v>
      </c>
      <c r="AB95" s="63">
        <f>VALUE(點數BO!V9)</f>
        <v>0</v>
      </c>
      <c r="AC95" s="63">
        <f>VALUE(點數BO!W9)</f>
        <v>0</v>
      </c>
      <c r="AD95" s="63">
        <f>VALUE(點數BO!X9)</f>
        <v>0</v>
      </c>
      <c r="AE95" s="63">
        <f>VALUE(點數BO!Y9)</f>
        <v>1</v>
      </c>
      <c r="AF95" s="63">
        <f>VALUE(點數BO!Z9)</f>
        <v>0</v>
      </c>
      <c r="AG95" s="63">
        <f>VALUE(點數BO!AA9)</f>
        <v>0</v>
      </c>
      <c r="AH95" s="63">
        <f>VALUE(點數BO!AB9)</f>
        <v>1</v>
      </c>
      <c r="AI95" s="63">
        <f>VALUE(點數BO!AC9)</f>
        <v>0</v>
      </c>
      <c r="AJ95" s="63">
        <f>VALUE(點數BO!AD9)</f>
        <v>0</v>
      </c>
      <c r="AK95" s="63">
        <f>VALUE(點數BO!AE9)</f>
        <v>0</v>
      </c>
      <c r="AL95" s="63">
        <f>VALUE(點數BO!AF9)</f>
        <v>0</v>
      </c>
      <c r="AM95" s="63">
        <f>VALUE(點數BO!AG9)</f>
        <v>0</v>
      </c>
      <c r="AN95" s="517">
        <f>VALUE(點數BO!AH9)</f>
        <v>12</v>
      </c>
    </row>
    <row r="96" spans="1:41" s="35" customFormat="1" ht="21.95" customHeight="1">
      <c r="A96" s="661" t="s">
        <v>49</v>
      </c>
      <c r="B96" s="662"/>
      <c r="C96" s="663"/>
      <c r="D96" s="321">
        <f>HLOOKUP(MONTH(日期!$C$2),去年月推移!$D$1:$O$200,152,TRUE)</f>
        <v>5102</v>
      </c>
      <c r="E96" s="248"/>
      <c r="F96" s="248"/>
      <c r="G96" s="664">
        <f>當年月推移!P154</f>
        <v>6306</v>
      </c>
      <c r="H96" s="665"/>
      <c r="I96" s="249">
        <f>SUM(I89:I95)</f>
        <v>0</v>
      </c>
      <c r="J96" s="249">
        <f>SUM(J89:J95)</f>
        <v>289</v>
      </c>
      <c r="K96" s="249">
        <f>SUM(K89:K95)</f>
        <v>318</v>
      </c>
      <c r="L96" s="249">
        <f t="shared" ref="L96:AN96" si="11">SUM(L89:L95)</f>
        <v>334</v>
      </c>
      <c r="M96" s="249">
        <f t="shared" si="11"/>
        <v>286</v>
      </c>
      <c r="N96" s="249">
        <f t="shared" si="11"/>
        <v>265</v>
      </c>
      <c r="O96" s="249">
        <f t="shared" si="11"/>
        <v>0</v>
      </c>
      <c r="P96" s="249">
        <f t="shared" si="11"/>
        <v>0</v>
      </c>
      <c r="Q96" s="249">
        <f t="shared" si="11"/>
        <v>238</v>
      </c>
      <c r="R96" s="249">
        <f t="shared" si="11"/>
        <v>316</v>
      </c>
      <c r="S96" s="249">
        <f t="shared" si="11"/>
        <v>306</v>
      </c>
      <c r="T96" s="249">
        <f t="shared" si="11"/>
        <v>299</v>
      </c>
      <c r="U96" s="249">
        <f t="shared" si="11"/>
        <v>374</v>
      </c>
      <c r="V96" s="249">
        <f t="shared" si="11"/>
        <v>0</v>
      </c>
      <c r="W96" s="249">
        <f t="shared" si="11"/>
        <v>0</v>
      </c>
      <c r="X96" s="249">
        <f t="shared" si="11"/>
        <v>492</v>
      </c>
      <c r="Y96" s="249">
        <f t="shared" si="11"/>
        <v>385</v>
      </c>
      <c r="Z96" s="249">
        <f t="shared" si="11"/>
        <v>331</v>
      </c>
      <c r="AA96" s="249">
        <f t="shared" si="11"/>
        <v>296</v>
      </c>
      <c r="AB96" s="249">
        <f t="shared" si="11"/>
        <v>258</v>
      </c>
      <c r="AC96" s="249">
        <f t="shared" si="11"/>
        <v>171</v>
      </c>
      <c r="AD96" s="249">
        <f t="shared" si="11"/>
        <v>0</v>
      </c>
      <c r="AE96" s="249">
        <f t="shared" si="11"/>
        <v>323</v>
      </c>
      <c r="AF96" s="249">
        <f t="shared" si="11"/>
        <v>303</v>
      </c>
      <c r="AG96" s="249">
        <f t="shared" si="11"/>
        <v>300</v>
      </c>
      <c r="AH96" s="249">
        <f t="shared" si="11"/>
        <v>292</v>
      </c>
      <c r="AI96" s="249">
        <f t="shared" si="11"/>
        <v>217</v>
      </c>
      <c r="AJ96" s="249">
        <f t="shared" si="11"/>
        <v>158</v>
      </c>
      <c r="AK96" s="249">
        <f t="shared" si="11"/>
        <v>0</v>
      </c>
      <c r="AL96" s="249">
        <f t="shared" si="11"/>
        <v>260</v>
      </c>
      <c r="AM96" s="249">
        <f t="shared" si="11"/>
        <v>223</v>
      </c>
      <c r="AN96" s="250">
        <f t="shared" si="11"/>
        <v>7168</v>
      </c>
    </row>
    <row r="97" spans="1:41" s="35" customFormat="1" ht="21.95" customHeight="1">
      <c r="A97" s="621" t="s">
        <v>23</v>
      </c>
      <c r="B97" s="622"/>
      <c r="C97" s="622"/>
      <c r="D97" s="316">
        <f>HLOOKUP(MONTH(日期!$C$2),去年月推移!$D$1:$O$200,153,TRUE)</f>
        <v>868</v>
      </c>
      <c r="E97" s="64" t="s">
        <v>45</v>
      </c>
      <c r="F97" s="64" t="s">
        <v>45</v>
      </c>
      <c r="G97" s="630">
        <f>當年月推移!P155</f>
        <v>800</v>
      </c>
      <c r="H97" s="631"/>
      <c r="I97" s="63">
        <f>VALUE(點數BO!C3)</f>
        <v>0</v>
      </c>
      <c r="J97" s="63">
        <f>VALUE(點數BO!D3)</f>
        <v>36</v>
      </c>
      <c r="K97" s="63">
        <f>VALUE(點數BO!E3)</f>
        <v>69</v>
      </c>
      <c r="L97" s="63">
        <f>VALUE(點數BO!F3)</f>
        <v>66</v>
      </c>
      <c r="M97" s="63">
        <f>VALUE(點數BO!G3)</f>
        <v>55</v>
      </c>
      <c r="N97" s="63">
        <f>VALUE(點數BO!H3)</f>
        <v>40</v>
      </c>
      <c r="O97" s="63">
        <f>VALUE(點數BO!I3)</f>
        <v>0</v>
      </c>
      <c r="P97" s="63">
        <f>VALUE(點數BO!J3)</f>
        <v>0</v>
      </c>
      <c r="Q97" s="63">
        <f>VALUE(點數BO!K3)</f>
        <v>39</v>
      </c>
      <c r="R97" s="63">
        <f>VALUE(點數BO!L3)</f>
        <v>74</v>
      </c>
      <c r="S97" s="63">
        <f>VALUE(點數BO!M3)</f>
        <v>65</v>
      </c>
      <c r="T97" s="63">
        <f>VALUE(點數BO!N3)</f>
        <v>74</v>
      </c>
      <c r="U97" s="63">
        <f>VALUE(點數BO!O3)</f>
        <v>76</v>
      </c>
      <c r="V97" s="63">
        <f>VALUE(點數BO!P3)</f>
        <v>0</v>
      </c>
      <c r="W97" s="63">
        <f>VALUE(點數BO!Q3)</f>
        <v>0</v>
      </c>
      <c r="X97" s="63">
        <f>VALUE(點數BO!R3)</f>
        <v>85</v>
      </c>
      <c r="Y97" s="63">
        <f>VALUE(點數BO!S3)</f>
        <v>86</v>
      </c>
      <c r="Z97" s="63">
        <f>VALUE(點數BO!T3)</f>
        <v>69</v>
      </c>
      <c r="AA97" s="63">
        <f>VALUE(點數BO!U3)</f>
        <v>57</v>
      </c>
      <c r="AB97" s="63">
        <f>VALUE(點數BO!V3)</f>
        <v>51</v>
      </c>
      <c r="AC97" s="63">
        <f>VALUE(點數BO!W3)</f>
        <v>48</v>
      </c>
      <c r="AD97" s="63">
        <f>VALUE(點數BO!X3)</f>
        <v>0</v>
      </c>
      <c r="AE97" s="63">
        <f>VALUE(點數BO!Y3)</f>
        <v>67</v>
      </c>
      <c r="AF97" s="63">
        <f>VALUE(點數BO!Z3)</f>
        <v>59</v>
      </c>
      <c r="AG97" s="63">
        <f>VALUE(點數BO!AA3)</f>
        <v>64</v>
      </c>
      <c r="AH97" s="63">
        <f>VALUE(點數BO!AB3)</f>
        <v>38</v>
      </c>
      <c r="AI97" s="63">
        <f>VALUE(點數BO!AC3)</f>
        <v>49</v>
      </c>
      <c r="AJ97" s="63">
        <f>VALUE(點數BO!AD3)</f>
        <v>15</v>
      </c>
      <c r="AK97" s="63">
        <f>VALUE(點數BO!AE3)</f>
        <v>0</v>
      </c>
      <c r="AL97" s="63">
        <f>VALUE(點數BO!AF3)</f>
        <v>38</v>
      </c>
      <c r="AM97" s="63">
        <f>VALUE(點數BO!AG3)</f>
        <v>31</v>
      </c>
      <c r="AN97" s="517">
        <f>VALUE(點數BO!AH3)</f>
        <v>1379</v>
      </c>
    </row>
    <row r="98" spans="1:41" s="35" customFormat="1" ht="21.95" customHeight="1">
      <c r="A98" s="637" t="s">
        <v>24</v>
      </c>
      <c r="B98" s="638"/>
      <c r="C98" s="639"/>
      <c r="D98" s="314">
        <f>HLOOKUP(MONTH(日期!$C$2),去年月推移!$D$1:$O$200,154,TRUE)</f>
        <v>1</v>
      </c>
      <c r="E98" s="65"/>
      <c r="F98" s="65"/>
      <c r="G98" s="630">
        <f>當年月推移!P156</f>
        <v>1</v>
      </c>
      <c r="H98" s="631"/>
      <c r="I98" s="63">
        <f>VALUE(點數BO!C10)</f>
        <v>0</v>
      </c>
      <c r="J98" s="63">
        <f>VALUE(點數BO!D10)</f>
        <v>0</v>
      </c>
      <c r="K98" s="63">
        <f>VALUE(點數BO!E10)</f>
        <v>0</v>
      </c>
      <c r="L98" s="63">
        <f>VALUE(點數BO!F10)</f>
        <v>0</v>
      </c>
      <c r="M98" s="63">
        <f>VALUE(點數BO!G10)</f>
        <v>0</v>
      </c>
      <c r="N98" s="63">
        <f>VALUE(點數BO!H10)</f>
        <v>0</v>
      </c>
      <c r="O98" s="63">
        <f>VALUE(點數BO!I10)</f>
        <v>0</v>
      </c>
      <c r="P98" s="63">
        <f>VALUE(點數BO!J10)</f>
        <v>0</v>
      </c>
      <c r="Q98" s="63">
        <f>VALUE(點數BO!K10)</f>
        <v>0</v>
      </c>
      <c r="R98" s="63">
        <f>VALUE(點數BO!L10)</f>
        <v>0</v>
      </c>
      <c r="S98" s="63">
        <f>VALUE(點數BO!M10)</f>
        <v>0</v>
      </c>
      <c r="T98" s="63">
        <f>VALUE(點數BO!N10)</f>
        <v>0</v>
      </c>
      <c r="U98" s="63">
        <f>VALUE(點數BO!O10)</f>
        <v>0</v>
      </c>
      <c r="V98" s="63">
        <f>VALUE(點數BO!P10)</f>
        <v>0</v>
      </c>
      <c r="W98" s="63">
        <f>VALUE(點數BO!Q10)</f>
        <v>0</v>
      </c>
      <c r="X98" s="63">
        <f>VALUE(點數BO!R10)</f>
        <v>0</v>
      </c>
      <c r="Y98" s="63">
        <f>VALUE(點數BO!S10)</f>
        <v>0</v>
      </c>
      <c r="Z98" s="63">
        <f>VALUE(點數BO!T10)</f>
        <v>0</v>
      </c>
      <c r="AA98" s="63">
        <f>VALUE(點數BO!U10)</f>
        <v>0</v>
      </c>
      <c r="AB98" s="63">
        <f>VALUE(點數BO!V10)</f>
        <v>0</v>
      </c>
      <c r="AC98" s="63">
        <f>VALUE(點數BO!W10)</f>
        <v>0</v>
      </c>
      <c r="AD98" s="63">
        <f>VALUE(點數BO!X10)</f>
        <v>0</v>
      </c>
      <c r="AE98" s="63">
        <f>VALUE(點數BO!Y10)</f>
        <v>0</v>
      </c>
      <c r="AF98" s="63">
        <f>VALUE(點數BO!Z10)</f>
        <v>0</v>
      </c>
      <c r="AG98" s="63">
        <f>VALUE(點數BO!AA10)</f>
        <v>0</v>
      </c>
      <c r="AH98" s="63">
        <f>VALUE(點數BO!AB10)</f>
        <v>0</v>
      </c>
      <c r="AI98" s="63">
        <f>VALUE(點數BO!AC10)</f>
        <v>0</v>
      </c>
      <c r="AJ98" s="63">
        <f>VALUE(點數BO!AD10)</f>
        <v>0</v>
      </c>
      <c r="AK98" s="63">
        <f>VALUE(點數BO!AE10)</f>
        <v>0</v>
      </c>
      <c r="AL98" s="63">
        <f>VALUE(點數BO!AF10)</f>
        <v>0</v>
      </c>
      <c r="AM98" s="63">
        <f>VALUE(點數BO!AG10)</f>
        <v>0</v>
      </c>
      <c r="AN98" s="517">
        <f>VALUE(點數BO!AH10)</f>
        <v>0</v>
      </c>
    </row>
    <row r="99" spans="1:41" s="35" customFormat="1" ht="21.95" customHeight="1">
      <c r="A99" s="637" t="s">
        <v>25</v>
      </c>
      <c r="B99" s="638"/>
      <c r="C99" s="639"/>
      <c r="D99" s="314">
        <f>HLOOKUP(MONTH(日期!$C$2),去年月推移!$D$1:$O$200,155,TRUE)</f>
        <v>76</v>
      </c>
      <c r="E99" s="65"/>
      <c r="F99" s="65"/>
      <c r="G99" s="630">
        <f>當年月推移!P157</f>
        <v>69</v>
      </c>
      <c r="H99" s="631"/>
      <c r="I99" s="63">
        <f>VALUE(點數BO!C11)</f>
        <v>0</v>
      </c>
      <c r="J99" s="63">
        <f>VALUE(點數BO!D11)</f>
        <v>1</v>
      </c>
      <c r="K99" s="63">
        <f>VALUE(點數BO!E11)</f>
        <v>2</v>
      </c>
      <c r="L99" s="63">
        <f>VALUE(點數BO!F11)</f>
        <v>1</v>
      </c>
      <c r="M99" s="63">
        <f>VALUE(點數BO!G11)</f>
        <v>0</v>
      </c>
      <c r="N99" s="63">
        <f>VALUE(點數BO!H11)</f>
        <v>1</v>
      </c>
      <c r="O99" s="63">
        <f>VALUE(點數BO!I11)</f>
        <v>0</v>
      </c>
      <c r="P99" s="63">
        <f>VALUE(點數BO!J11)</f>
        <v>0</v>
      </c>
      <c r="Q99" s="63">
        <f>VALUE(點數BO!K11)</f>
        <v>3</v>
      </c>
      <c r="R99" s="63">
        <f>VALUE(點數BO!L11)</f>
        <v>3</v>
      </c>
      <c r="S99" s="63">
        <f>VALUE(點數BO!M11)</f>
        <v>3</v>
      </c>
      <c r="T99" s="63">
        <f>VALUE(點數BO!N11)</f>
        <v>1</v>
      </c>
      <c r="U99" s="63">
        <f>VALUE(點數BO!O11)</f>
        <v>2</v>
      </c>
      <c r="V99" s="63">
        <f>VALUE(點數BO!P11)</f>
        <v>0</v>
      </c>
      <c r="W99" s="63">
        <f>VALUE(點數BO!Q11)</f>
        <v>0</v>
      </c>
      <c r="X99" s="63">
        <f>VALUE(點數BO!R11)</f>
        <v>2</v>
      </c>
      <c r="Y99" s="63">
        <f>VALUE(點數BO!S11)</f>
        <v>0</v>
      </c>
      <c r="Z99" s="63">
        <f>VALUE(點數BO!T11)</f>
        <v>1</v>
      </c>
      <c r="AA99" s="63">
        <f>VALUE(點數BO!U11)</f>
        <v>1</v>
      </c>
      <c r="AB99" s="63">
        <f>VALUE(點數BO!V11)</f>
        <v>4</v>
      </c>
      <c r="AC99" s="63">
        <f>VALUE(點數BO!W11)</f>
        <v>0</v>
      </c>
      <c r="AD99" s="63">
        <f>VALUE(點數BO!X11)</f>
        <v>0</v>
      </c>
      <c r="AE99" s="63">
        <f>VALUE(點數BO!Y11)</f>
        <v>0</v>
      </c>
      <c r="AF99" s="63">
        <f>VALUE(點數BO!Z11)</f>
        <v>1</v>
      </c>
      <c r="AG99" s="63">
        <f>VALUE(點數BO!AA11)</f>
        <v>2</v>
      </c>
      <c r="AH99" s="63">
        <f>VALUE(點數BO!AB11)</f>
        <v>0</v>
      </c>
      <c r="AI99" s="63">
        <f>VALUE(點數BO!AC11)</f>
        <v>1</v>
      </c>
      <c r="AJ99" s="63">
        <f>VALUE(點數BO!AD11)</f>
        <v>0</v>
      </c>
      <c r="AK99" s="63">
        <f>VALUE(點數BO!AE11)</f>
        <v>0</v>
      </c>
      <c r="AL99" s="63">
        <f>VALUE(點數BO!AF11)</f>
        <v>0</v>
      </c>
      <c r="AM99" s="63">
        <f>VALUE(點數BO!AG11)</f>
        <v>0</v>
      </c>
      <c r="AN99" s="517">
        <f>VALUE(點數BO!AH11)</f>
        <v>30</v>
      </c>
    </row>
    <row r="100" spans="1:41" s="35" customFormat="1" ht="21.95" customHeight="1">
      <c r="A100" s="637" t="s">
        <v>26</v>
      </c>
      <c r="B100" s="638"/>
      <c r="C100" s="639"/>
      <c r="D100" s="314">
        <f>HLOOKUP(MONTH(日期!$C$2),去年月推移!$D$1:$O$200,156,TRUE)</f>
        <v>229</v>
      </c>
      <c r="E100" s="65"/>
      <c r="F100" s="65"/>
      <c r="G100" s="630">
        <f>當年月推移!P158</f>
        <v>294</v>
      </c>
      <c r="H100" s="631"/>
      <c r="I100" s="63">
        <f>VALUE(點數BO!C12)</f>
        <v>0</v>
      </c>
      <c r="J100" s="63">
        <f>VALUE(點數BO!D12)</f>
        <v>2</v>
      </c>
      <c r="K100" s="63">
        <f>VALUE(點數BO!E12)</f>
        <v>14</v>
      </c>
      <c r="L100" s="63">
        <f>VALUE(點數BO!F12)</f>
        <v>5</v>
      </c>
      <c r="M100" s="63">
        <f>VALUE(點數BO!G12)</f>
        <v>14</v>
      </c>
      <c r="N100" s="63">
        <f>VALUE(點數BO!H12)</f>
        <v>11</v>
      </c>
      <c r="O100" s="63">
        <f>VALUE(點數BO!I12)</f>
        <v>0</v>
      </c>
      <c r="P100" s="63">
        <f>VALUE(點數BO!J12)</f>
        <v>0</v>
      </c>
      <c r="Q100" s="63">
        <f>VALUE(點數BO!K12)</f>
        <v>3</v>
      </c>
      <c r="R100" s="63">
        <f>VALUE(點數BO!L12)</f>
        <v>11</v>
      </c>
      <c r="S100" s="63">
        <f>VALUE(點數BO!M12)</f>
        <v>9</v>
      </c>
      <c r="T100" s="63">
        <f>VALUE(點數BO!N12)</f>
        <v>11</v>
      </c>
      <c r="U100" s="63">
        <f>VALUE(點數BO!O12)</f>
        <v>7</v>
      </c>
      <c r="V100" s="63">
        <f>VALUE(點數BO!P12)</f>
        <v>0</v>
      </c>
      <c r="W100" s="63">
        <f>VALUE(點數BO!Q12)</f>
        <v>0</v>
      </c>
      <c r="X100" s="63">
        <f>VALUE(點數BO!R12)</f>
        <v>16</v>
      </c>
      <c r="Y100" s="63">
        <f>VALUE(點數BO!S12)</f>
        <v>11</v>
      </c>
      <c r="Z100" s="63">
        <f>VALUE(點數BO!T12)</f>
        <v>9</v>
      </c>
      <c r="AA100" s="63">
        <f>VALUE(點數BO!U12)</f>
        <v>8</v>
      </c>
      <c r="AB100" s="63">
        <f>VALUE(點數BO!V12)</f>
        <v>11</v>
      </c>
      <c r="AC100" s="63">
        <f>VALUE(點數BO!W12)</f>
        <v>9</v>
      </c>
      <c r="AD100" s="63">
        <f>VALUE(點數BO!X12)</f>
        <v>0</v>
      </c>
      <c r="AE100" s="63">
        <f>VALUE(點數BO!Y12)</f>
        <v>5</v>
      </c>
      <c r="AF100" s="63">
        <f>VALUE(點數BO!Z12)</f>
        <v>6</v>
      </c>
      <c r="AG100" s="63">
        <f>VALUE(點數BO!AA12)</f>
        <v>8</v>
      </c>
      <c r="AH100" s="63">
        <f>VALUE(點數BO!AB12)</f>
        <v>5</v>
      </c>
      <c r="AI100" s="63">
        <f>VALUE(點數BO!AC12)</f>
        <v>6</v>
      </c>
      <c r="AJ100" s="63">
        <f>VALUE(點數BO!AD12)</f>
        <v>4</v>
      </c>
      <c r="AK100" s="63">
        <f>VALUE(點數BO!AE12)</f>
        <v>0</v>
      </c>
      <c r="AL100" s="63">
        <f>VALUE(點數BO!AF12)</f>
        <v>8</v>
      </c>
      <c r="AM100" s="63">
        <f>VALUE(點數BO!AG12)</f>
        <v>3</v>
      </c>
      <c r="AN100" s="517">
        <f>VALUE(點數BO!AH12)</f>
        <v>203</v>
      </c>
    </row>
    <row r="101" spans="1:41" s="35" customFormat="1" ht="21.95" customHeight="1">
      <c r="A101" s="637" t="s">
        <v>27</v>
      </c>
      <c r="B101" s="638"/>
      <c r="C101" s="639"/>
      <c r="D101" s="314">
        <f>HLOOKUP(MONTH(日期!$C$2),去年月推移!$D$1:$O$200,157,TRUE)</f>
        <v>15</v>
      </c>
      <c r="E101" s="65" t="s">
        <v>45</v>
      </c>
      <c r="F101" s="65" t="s">
        <v>45</v>
      </c>
      <c r="G101" s="630">
        <f>當年月推移!P159</f>
        <v>53</v>
      </c>
      <c r="H101" s="631"/>
      <c r="I101" s="63">
        <f>VALUE(點數BO!C13)</f>
        <v>0</v>
      </c>
      <c r="J101" s="63">
        <f>VALUE(點數BO!D13)</f>
        <v>0</v>
      </c>
      <c r="K101" s="63">
        <f>VALUE(點數BO!E13)</f>
        <v>2</v>
      </c>
      <c r="L101" s="63">
        <f>VALUE(點數BO!F13)</f>
        <v>0</v>
      </c>
      <c r="M101" s="63">
        <f>VALUE(點數BO!G13)</f>
        <v>1</v>
      </c>
      <c r="N101" s="63">
        <f>VALUE(點數BO!H13)</f>
        <v>0</v>
      </c>
      <c r="O101" s="63">
        <f>VALUE(點數BO!I13)</f>
        <v>0</v>
      </c>
      <c r="P101" s="63">
        <f>VALUE(點數BO!J13)</f>
        <v>0</v>
      </c>
      <c r="Q101" s="63">
        <f>VALUE(點數BO!K13)</f>
        <v>3</v>
      </c>
      <c r="R101" s="63">
        <f>VALUE(點數BO!L13)</f>
        <v>2</v>
      </c>
      <c r="S101" s="63">
        <f>VALUE(點數BO!M13)</f>
        <v>1</v>
      </c>
      <c r="T101" s="63">
        <f>VALUE(點數BO!N13)</f>
        <v>0</v>
      </c>
      <c r="U101" s="63">
        <f>VALUE(點數BO!O13)</f>
        <v>1</v>
      </c>
      <c r="V101" s="63">
        <f>VALUE(點數BO!P13)</f>
        <v>0</v>
      </c>
      <c r="W101" s="63">
        <f>VALUE(點數BO!Q13)</f>
        <v>0</v>
      </c>
      <c r="X101" s="63">
        <f>VALUE(點數BO!R13)</f>
        <v>5</v>
      </c>
      <c r="Y101" s="63">
        <f>VALUE(點數BO!S13)</f>
        <v>0</v>
      </c>
      <c r="Z101" s="63">
        <f>VALUE(點數BO!T13)</f>
        <v>0</v>
      </c>
      <c r="AA101" s="63">
        <f>VALUE(點數BO!U13)</f>
        <v>3</v>
      </c>
      <c r="AB101" s="63">
        <f>VALUE(點數BO!V13)</f>
        <v>1</v>
      </c>
      <c r="AC101" s="63">
        <f>VALUE(點數BO!W13)</f>
        <v>2</v>
      </c>
      <c r="AD101" s="63">
        <f>VALUE(點數BO!X13)</f>
        <v>0</v>
      </c>
      <c r="AE101" s="63">
        <f>VALUE(點數BO!Y13)</f>
        <v>0</v>
      </c>
      <c r="AF101" s="63">
        <f>VALUE(點數BO!Z13)</f>
        <v>3</v>
      </c>
      <c r="AG101" s="63">
        <f>VALUE(點數BO!AA13)</f>
        <v>0</v>
      </c>
      <c r="AH101" s="63">
        <f>VALUE(點數BO!AB13)</f>
        <v>2</v>
      </c>
      <c r="AI101" s="63">
        <f>VALUE(點數BO!AC13)</f>
        <v>2</v>
      </c>
      <c r="AJ101" s="63">
        <f>VALUE(點數BO!AD13)</f>
        <v>13</v>
      </c>
      <c r="AK101" s="63">
        <f>VALUE(點數BO!AE13)</f>
        <v>0</v>
      </c>
      <c r="AL101" s="63">
        <f>VALUE(點數BO!AF13)</f>
        <v>17</v>
      </c>
      <c r="AM101" s="63">
        <f>VALUE(點數BO!AG13)</f>
        <v>6</v>
      </c>
      <c r="AN101" s="517">
        <f>VALUE(點數BO!AH13)</f>
        <v>64</v>
      </c>
    </row>
    <row r="102" spans="1:41" s="35" customFormat="1" ht="21.95" customHeight="1">
      <c r="A102" s="637" t="s">
        <v>28</v>
      </c>
      <c r="B102" s="638"/>
      <c r="C102" s="639"/>
      <c r="D102" s="315">
        <f>HLOOKUP(MONTH(日期!$C$2),去年月推移!$D$1:$O$200,158,TRUE)</f>
        <v>1</v>
      </c>
      <c r="E102" s="65"/>
      <c r="F102" s="65"/>
      <c r="G102" s="630">
        <f>當年月推移!P160</f>
        <v>1</v>
      </c>
      <c r="H102" s="631"/>
      <c r="I102" s="63">
        <f>VALUE(點數BO!C14)</f>
        <v>0</v>
      </c>
      <c r="J102" s="63">
        <f>VALUE(點數BO!D14)</f>
        <v>0</v>
      </c>
      <c r="K102" s="63">
        <f>VALUE(點數BO!E14)</f>
        <v>0</v>
      </c>
      <c r="L102" s="63">
        <f>VALUE(點數BO!F14)</f>
        <v>0</v>
      </c>
      <c r="M102" s="63">
        <f>VALUE(點數BO!G14)</f>
        <v>0</v>
      </c>
      <c r="N102" s="63">
        <f>VALUE(點數BO!H14)</f>
        <v>0</v>
      </c>
      <c r="O102" s="63">
        <f>VALUE(點數BO!I14)</f>
        <v>0</v>
      </c>
      <c r="P102" s="63">
        <f>VALUE(點數BO!J14)</f>
        <v>0</v>
      </c>
      <c r="Q102" s="63">
        <f>VALUE(點數BO!K14)</f>
        <v>0</v>
      </c>
      <c r="R102" s="63">
        <f>VALUE(點數BO!L14)</f>
        <v>0</v>
      </c>
      <c r="S102" s="63">
        <f>VALUE(點數BO!M14)</f>
        <v>0</v>
      </c>
      <c r="T102" s="63">
        <f>VALUE(點數BO!N14)</f>
        <v>0</v>
      </c>
      <c r="U102" s="63">
        <f>VALUE(點數BO!O14)</f>
        <v>0</v>
      </c>
      <c r="V102" s="63">
        <f>VALUE(點數BO!P14)</f>
        <v>0</v>
      </c>
      <c r="W102" s="63">
        <f>VALUE(點數BO!Q14)</f>
        <v>0</v>
      </c>
      <c r="X102" s="63">
        <f>VALUE(點數BO!R14)</f>
        <v>0</v>
      </c>
      <c r="Y102" s="63">
        <f>VALUE(點數BO!S14)</f>
        <v>0</v>
      </c>
      <c r="Z102" s="63">
        <f>VALUE(點數BO!T14)</f>
        <v>0</v>
      </c>
      <c r="AA102" s="63">
        <f>VALUE(點數BO!U14)</f>
        <v>0</v>
      </c>
      <c r="AB102" s="63">
        <f>VALUE(點數BO!V14)</f>
        <v>0</v>
      </c>
      <c r="AC102" s="63">
        <f>VALUE(點數BO!W14)</f>
        <v>0</v>
      </c>
      <c r="AD102" s="63">
        <f>VALUE(點數BO!X14)</f>
        <v>0</v>
      </c>
      <c r="AE102" s="63">
        <f>VALUE(點數BO!Y14)</f>
        <v>0</v>
      </c>
      <c r="AF102" s="63">
        <f>VALUE(點數BO!Z14)</f>
        <v>0</v>
      </c>
      <c r="AG102" s="63">
        <f>VALUE(點數BO!AA14)</f>
        <v>0</v>
      </c>
      <c r="AH102" s="63">
        <f>VALUE(點數BO!AB14)</f>
        <v>0</v>
      </c>
      <c r="AI102" s="63">
        <f>VALUE(點數BO!AC14)</f>
        <v>0</v>
      </c>
      <c r="AJ102" s="63">
        <f>VALUE(點數BO!AD14)</f>
        <v>0</v>
      </c>
      <c r="AK102" s="63">
        <f>VALUE(點數BO!AE14)</f>
        <v>0</v>
      </c>
      <c r="AL102" s="63">
        <f>VALUE(點數BO!AF14)</f>
        <v>0</v>
      </c>
      <c r="AM102" s="63">
        <f>VALUE(點數BO!AG14)</f>
        <v>0</v>
      </c>
      <c r="AN102" s="517">
        <f>VALUE(點數BO!AH14)</f>
        <v>0</v>
      </c>
    </row>
    <row r="103" spans="1:41" s="67" customFormat="1" ht="21.95" customHeight="1" thickBot="1">
      <c r="A103" s="616" t="s">
        <v>50</v>
      </c>
      <c r="B103" s="617"/>
      <c r="C103" s="617"/>
      <c r="D103" s="66">
        <f>HLOOKUP(MONTH(日期!$C$2),去年月推移!$D$1:$O$200,159,TRUE)</f>
        <v>1190</v>
      </c>
      <c r="E103" s="66" t="s">
        <v>45</v>
      </c>
      <c r="F103" s="66" t="s">
        <v>45</v>
      </c>
      <c r="G103" s="659">
        <f>當年月推移!P161</f>
        <v>1218</v>
      </c>
      <c r="H103" s="660"/>
      <c r="I103" s="66">
        <f>SUM(I97:I102)</f>
        <v>0</v>
      </c>
      <c r="J103" s="66">
        <f>SUM(J97:J102)</f>
        <v>39</v>
      </c>
      <c r="K103" s="66">
        <f t="shared" ref="K103:AN103" si="12">SUM(K97:K102)</f>
        <v>87</v>
      </c>
      <c r="L103" s="66">
        <f t="shared" si="12"/>
        <v>72</v>
      </c>
      <c r="M103" s="66">
        <f t="shared" si="12"/>
        <v>70</v>
      </c>
      <c r="N103" s="66">
        <f t="shared" si="12"/>
        <v>52</v>
      </c>
      <c r="O103" s="66">
        <f t="shared" si="12"/>
        <v>0</v>
      </c>
      <c r="P103" s="66">
        <f t="shared" si="12"/>
        <v>0</v>
      </c>
      <c r="Q103" s="66">
        <f t="shared" si="12"/>
        <v>48</v>
      </c>
      <c r="R103" s="66">
        <f t="shared" si="12"/>
        <v>90</v>
      </c>
      <c r="S103" s="66">
        <f t="shared" si="12"/>
        <v>78</v>
      </c>
      <c r="T103" s="66">
        <f t="shared" si="12"/>
        <v>86</v>
      </c>
      <c r="U103" s="66">
        <f t="shared" si="12"/>
        <v>86</v>
      </c>
      <c r="V103" s="66">
        <f t="shared" si="12"/>
        <v>0</v>
      </c>
      <c r="W103" s="66">
        <f t="shared" si="12"/>
        <v>0</v>
      </c>
      <c r="X103" s="66">
        <f t="shared" si="12"/>
        <v>108</v>
      </c>
      <c r="Y103" s="66">
        <f t="shared" si="12"/>
        <v>97</v>
      </c>
      <c r="Z103" s="66">
        <f t="shared" si="12"/>
        <v>79</v>
      </c>
      <c r="AA103" s="66">
        <f t="shared" si="12"/>
        <v>69</v>
      </c>
      <c r="AB103" s="66">
        <f t="shared" si="12"/>
        <v>67</v>
      </c>
      <c r="AC103" s="66">
        <f t="shared" si="12"/>
        <v>59</v>
      </c>
      <c r="AD103" s="66">
        <f t="shared" si="12"/>
        <v>0</v>
      </c>
      <c r="AE103" s="66">
        <f t="shared" si="12"/>
        <v>72</v>
      </c>
      <c r="AF103" s="66">
        <f t="shared" si="12"/>
        <v>69</v>
      </c>
      <c r="AG103" s="66">
        <f t="shared" si="12"/>
        <v>74</v>
      </c>
      <c r="AH103" s="66">
        <f t="shared" si="12"/>
        <v>45</v>
      </c>
      <c r="AI103" s="66">
        <f t="shared" si="12"/>
        <v>58</v>
      </c>
      <c r="AJ103" s="66">
        <f t="shared" si="12"/>
        <v>32</v>
      </c>
      <c r="AK103" s="66">
        <f t="shared" si="12"/>
        <v>0</v>
      </c>
      <c r="AL103" s="66">
        <f t="shared" si="12"/>
        <v>63</v>
      </c>
      <c r="AM103" s="66">
        <f t="shared" si="12"/>
        <v>40</v>
      </c>
      <c r="AN103" s="218">
        <f t="shared" si="12"/>
        <v>1676</v>
      </c>
      <c r="AO103" s="16">
        <f>SUM(I103:AM103)</f>
        <v>1640</v>
      </c>
    </row>
    <row r="104" spans="1:41" s="67" customFormat="1" ht="21.95" customHeight="1">
      <c r="A104" s="666" t="s">
        <v>31</v>
      </c>
      <c r="B104" s="667"/>
      <c r="C104" s="668"/>
      <c r="D104" s="316">
        <f>HLOOKUP(MONTH(日期!$C$2),去年月推移!$D$1:$O$200,160,TRUE)</f>
        <v>0</v>
      </c>
      <c r="E104" s="273"/>
      <c r="F104" s="273"/>
      <c r="G104" s="648">
        <f>當年月推移!P162</f>
        <v>0</v>
      </c>
      <c r="H104" s="649"/>
      <c r="I104" s="276">
        <f>VALUE(點數BO!C15)</f>
        <v>0</v>
      </c>
      <c r="J104" s="276">
        <f>VALUE(點數BO!D15)</f>
        <v>0</v>
      </c>
      <c r="K104" s="276">
        <f>VALUE(點數BO!E15)</f>
        <v>0</v>
      </c>
      <c r="L104" s="276">
        <f>VALUE(點數BO!F15)</f>
        <v>0</v>
      </c>
      <c r="M104" s="276">
        <f>VALUE(點數BO!G15)</f>
        <v>0</v>
      </c>
      <c r="N104" s="276">
        <f>VALUE(點數BO!H15)</f>
        <v>0</v>
      </c>
      <c r="O104" s="276">
        <f>VALUE(點數BO!I15)</f>
        <v>0</v>
      </c>
      <c r="P104" s="276">
        <f>VALUE(點數BO!J15)</f>
        <v>0</v>
      </c>
      <c r="Q104" s="276">
        <f>VALUE(點數BO!K15)</f>
        <v>0</v>
      </c>
      <c r="R104" s="276">
        <f>VALUE(點數BO!L15)</f>
        <v>0</v>
      </c>
      <c r="S104" s="276">
        <f>VALUE(點數BO!M15)</f>
        <v>0</v>
      </c>
      <c r="T104" s="276">
        <f>VALUE(點數BO!N15)</f>
        <v>0</v>
      </c>
      <c r="U104" s="276">
        <f>VALUE(點數BO!O15)</f>
        <v>0</v>
      </c>
      <c r="V104" s="276">
        <f>VALUE(點數BO!P15)</f>
        <v>0</v>
      </c>
      <c r="W104" s="276">
        <f>VALUE(點數BO!Q15)</f>
        <v>0</v>
      </c>
      <c r="X104" s="276">
        <f>VALUE(點數BO!R15)</f>
        <v>0</v>
      </c>
      <c r="Y104" s="276">
        <f>VALUE(點數BO!S15)</f>
        <v>0</v>
      </c>
      <c r="Z104" s="276">
        <f>VALUE(點數BO!T15)</f>
        <v>0</v>
      </c>
      <c r="AA104" s="276">
        <f>VALUE(點數BO!U15)</f>
        <v>0</v>
      </c>
      <c r="AB104" s="276">
        <f>VALUE(點數BO!V15)</f>
        <v>0</v>
      </c>
      <c r="AC104" s="276">
        <f>VALUE(點數BO!W15)</f>
        <v>0</v>
      </c>
      <c r="AD104" s="276">
        <f>VALUE(點數BO!X15)</f>
        <v>0</v>
      </c>
      <c r="AE104" s="276">
        <f>VALUE(點數BO!Y15)</f>
        <v>0</v>
      </c>
      <c r="AF104" s="276">
        <f>VALUE(點數BO!Z15)</f>
        <v>0</v>
      </c>
      <c r="AG104" s="276">
        <f>VALUE(點數BO!AA15)</f>
        <v>0</v>
      </c>
      <c r="AH104" s="276">
        <f>VALUE(點數BO!AB15)</f>
        <v>0</v>
      </c>
      <c r="AI104" s="276">
        <f>VALUE(點數BO!AC15)</f>
        <v>0</v>
      </c>
      <c r="AJ104" s="276">
        <f>VALUE(點數BO!AD15)</f>
        <v>0</v>
      </c>
      <c r="AK104" s="276">
        <f>VALUE(點數BO!AE15)</f>
        <v>0</v>
      </c>
      <c r="AL104" s="276">
        <f>VALUE(點數BO!AF15)</f>
        <v>0</v>
      </c>
      <c r="AM104" s="276">
        <f>VALUE(點數BO!AG15)</f>
        <v>0</v>
      </c>
      <c r="AN104" s="518">
        <f>VALUE(點數BO!AH15)</f>
        <v>0</v>
      </c>
      <c r="AO104" s="16"/>
    </row>
    <row r="105" spans="1:41" s="67" customFormat="1" ht="21.95" customHeight="1">
      <c r="A105" s="669" t="s">
        <v>32</v>
      </c>
      <c r="B105" s="670"/>
      <c r="C105" s="671"/>
      <c r="D105" s="316">
        <f>HLOOKUP(MONTH(日期!$C$2),去年月推移!$D$1:$O$200,161,TRUE)</f>
        <v>0</v>
      </c>
      <c r="E105" s="274"/>
      <c r="F105" s="274"/>
      <c r="G105" s="630">
        <f>當年月推移!P163</f>
        <v>0</v>
      </c>
      <c r="H105" s="631"/>
      <c r="I105" s="277">
        <f>VALUE(點數BO!C16)</f>
        <v>0</v>
      </c>
      <c r="J105" s="277">
        <f>VALUE(點數BO!D16)</f>
        <v>0</v>
      </c>
      <c r="K105" s="277">
        <f>VALUE(點數BO!E16)</f>
        <v>0</v>
      </c>
      <c r="L105" s="277">
        <f>VALUE(點數BO!F16)</f>
        <v>0</v>
      </c>
      <c r="M105" s="277">
        <f>VALUE(點數BO!G16)</f>
        <v>0</v>
      </c>
      <c r="N105" s="277">
        <f>VALUE(點數BO!H16)</f>
        <v>0</v>
      </c>
      <c r="O105" s="277">
        <f>VALUE(點數BO!I16)</f>
        <v>0</v>
      </c>
      <c r="P105" s="277">
        <f>VALUE(點數BO!J16)</f>
        <v>0</v>
      </c>
      <c r="Q105" s="277">
        <f>VALUE(點數BO!K16)</f>
        <v>0</v>
      </c>
      <c r="R105" s="277">
        <f>VALUE(點數BO!L16)</f>
        <v>0</v>
      </c>
      <c r="S105" s="277">
        <f>VALUE(點數BO!M16)</f>
        <v>0</v>
      </c>
      <c r="T105" s="277">
        <f>VALUE(點數BO!N16)</f>
        <v>0</v>
      </c>
      <c r="U105" s="277">
        <f>VALUE(點數BO!O16)</f>
        <v>0</v>
      </c>
      <c r="V105" s="277">
        <f>VALUE(點數BO!P16)</f>
        <v>0</v>
      </c>
      <c r="W105" s="277">
        <f>VALUE(點數BO!Q16)</f>
        <v>0</v>
      </c>
      <c r="X105" s="277">
        <f>VALUE(點數BO!R16)</f>
        <v>0</v>
      </c>
      <c r="Y105" s="277">
        <f>VALUE(點數BO!S16)</f>
        <v>0</v>
      </c>
      <c r="Z105" s="277">
        <f>VALUE(點數BO!T16)</f>
        <v>0</v>
      </c>
      <c r="AA105" s="277">
        <f>VALUE(點數BO!U16)</f>
        <v>0</v>
      </c>
      <c r="AB105" s="277">
        <f>VALUE(點數BO!V16)</f>
        <v>0</v>
      </c>
      <c r="AC105" s="277">
        <f>VALUE(點數BO!W16)</f>
        <v>0</v>
      </c>
      <c r="AD105" s="277">
        <f>VALUE(點數BO!X16)</f>
        <v>0</v>
      </c>
      <c r="AE105" s="277">
        <f>VALUE(點數BO!Y16)</f>
        <v>0</v>
      </c>
      <c r="AF105" s="277">
        <f>VALUE(點數BO!Z16)</f>
        <v>0</v>
      </c>
      <c r="AG105" s="277">
        <f>VALUE(點數BO!AA16)</f>
        <v>0</v>
      </c>
      <c r="AH105" s="277">
        <f>VALUE(點數BO!AB16)</f>
        <v>0</v>
      </c>
      <c r="AI105" s="277">
        <f>VALUE(點數BO!AC16)</f>
        <v>0</v>
      </c>
      <c r="AJ105" s="277">
        <f>VALUE(點數BO!AD16)</f>
        <v>0</v>
      </c>
      <c r="AK105" s="277">
        <f>VALUE(點數BO!AE16)</f>
        <v>0</v>
      </c>
      <c r="AL105" s="277">
        <f>VALUE(點數BO!AF16)</f>
        <v>0</v>
      </c>
      <c r="AM105" s="277">
        <f>VALUE(點數BO!AG16)</f>
        <v>0</v>
      </c>
      <c r="AN105" s="519">
        <f>VALUE(點數BO!AH16)</f>
        <v>0</v>
      </c>
      <c r="AO105" s="16"/>
    </row>
    <row r="106" spans="1:41" s="67" customFormat="1" ht="21.95" customHeight="1">
      <c r="A106" s="669" t="s">
        <v>33</v>
      </c>
      <c r="B106" s="670"/>
      <c r="C106" s="671"/>
      <c r="D106" s="316">
        <f>HLOOKUP(MONTH(日期!$C$2),去年月推移!$D$1:$O$200,162,TRUE)</f>
        <v>0</v>
      </c>
      <c r="E106" s="274"/>
      <c r="F106" s="274"/>
      <c r="G106" s="630">
        <f>當年月推移!P164</f>
        <v>0</v>
      </c>
      <c r="H106" s="631"/>
      <c r="I106" s="277">
        <f>VALUE(點數BO!C17)</f>
        <v>0</v>
      </c>
      <c r="J106" s="277">
        <f>VALUE(點數BO!D17)</f>
        <v>0</v>
      </c>
      <c r="K106" s="277">
        <f>VALUE(點數BO!E17)</f>
        <v>0</v>
      </c>
      <c r="L106" s="277">
        <f>VALUE(點數BO!F17)</f>
        <v>0</v>
      </c>
      <c r="M106" s="277">
        <f>VALUE(點數BO!G17)</f>
        <v>0</v>
      </c>
      <c r="N106" s="277">
        <f>VALUE(點數BO!H17)</f>
        <v>0</v>
      </c>
      <c r="O106" s="277">
        <f>VALUE(點數BO!I17)</f>
        <v>0</v>
      </c>
      <c r="P106" s="277">
        <f>VALUE(點數BO!J17)</f>
        <v>0</v>
      </c>
      <c r="Q106" s="277">
        <f>VALUE(點數BO!K17)</f>
        <v>0</v>
      </c>
      <c r="R106" s="277">
        <f>VALUE(點數BO!L17)</f>
        <v>0</v>
      </c>
      <c r="S106" s="277">
        <f>VALUE(點數BO!M17)</f>
        <v>0</v>
      </c>
      <c r="T106" s="277">
        <f>VALUE(點數BO!N17)</f>
        <v>0</v>
      </c>
      <c r="U106" s="277">
        <f>VALUE(點數BO!O17)</f>
        <v>0</v>
      </c>
      <c r="V106" s="277">
        <f>VALUE(點數BO!P17)</f>
        <v>0</v>
      </c>
      <c r="W106" s="277">
        <f>VALUE(點數BO!Q17)</f>
        <v>0</v>
      </c>
      <c r="X106" s="277">
        <f>VALUE(點數BO!R17)</f>
        <v>0</v>
      </c>
      <c r="Y106" s="277">
        <f>VALUE(點數BO!S17)</f>
        <v>0</v>
      </c>
      <c r="Z106" s="277">
        <f>VALUE(點數BO!T17)</f>
        <v>0</v>
      </c>
      <c r="AA106" s="277">
        <f>VALUE(點數BO!U17)</f>
        <v>0</v>
      </c>
      <c r="AB106" s="277">
        <f>VALUE(點數BO!V17)</f>
        <v>0</v>
      </c>
      <c r="AC106" s="277">
        <f>VALUE(點數BO!W17)</f>
        <v>0</v>
      </c>
      <c r="AD106" s="277">
        <f>VALUE(點數BO!X17)</f>
        <v>0</v>
      </c>
      <c r="AE106" s="277">
        <f>VALUE(點數BO!Y17)</f>
        <v>0</v>
      </c>
      <c r="AF106" s="277">
        <f>VALUE(點數BO!Z17)</f>
        <v>0</v>
      </c>
      <c r="AG106" s="277">
        <f>VALUE(點數BO!AA17)</f>
        <v>0</v>
      </c>
      <c r="AH106" s="277">
        <f>VALUE(點數BO!AB17)</f>
        <v>0</v>
      </c>
      <c r="AI106" s="277">
        <f>VALUE(點數BO!AC17)</f>
        <v>0</v>
      </c>
      <c r="AJ106" s="277">
        <f>VALUE(點數BO!AD17)</f>
        <v>0</v>
      </c>
      <c r="AK106" s="277">
        <f>VALUE(點數BO!AE17)</f>
        <v>0</v>
      </c>
      <c r="AL106" s="277">
        <f>VALUE(點數BO!AF17)</f>
        <v>0</v>
      </c>
      <c r="AM106" s="277">
        <f>VALUE(點數BO!AG17)</f>
        <v>0</v>
      </c>
      <c r="AN106" s="519">
        <f>VALUE(點數BO!AH17)</f>
        <v>0</v>
      </c>
      <c r="AO106" s="16"/>
    </row>
    <row r="107" spans="1:41" s="67" customFormat="1" ht="21.95" customHeight="1">
      <c r="A107" s="669" t="s">
        <v>34</v>
      </c>
      <c r="B107" s="670"/>
      <c r="C107" s="671"/>
      <c r="D107" s="316">
        <f>HLOOKUP(MONTH(日期!$C$2),去年月推移!$D$1:$O$200,163,TRUE)</f>
        <v>0</v>
      </c>
      <c r="E107" s="274"/>
      <c r="F107" s="274"/>
      <c r="G107" s="630">
        <f>當年月推移!P165</f>
        <v>0</v>
      </c>
      <c r="H107" s="631"/>
      <c r="I107" s="277">
        <f>VALUE(點數BO!C18)</f>
        <v>0</v>
      </c>
      <c r="J107" s="277">
        <f>VALUE(點數BO!D18)</f>
        <v>0</v>
      </c>
      <c r="K107" s="277">
        <f>VALUE(點數BO!E18)</f>
        <v>0</v>
      </c>
      <c r="L107" s="277">
        <f>VALUE(點數BO!F18)</f>
        <v>0</v>
      </c>
      <c r="M107" s="277">
        <f>VALUE(點數BO!G18)</f>
        <v>0</v>
      </c>
      <c r="N107" s="277">
        <f>VALUE(點數BO!H18)</f>
        <v>0</v>
      </c>
      <c r="O107" s="277">
        <f>VALUE(點數BO!I18)</f>
        <v>0</v>
      </c>
      <c r="P107" s="277">
        <f>VALUE(點數BO!J18)</f>
        <v>0</v>
      </c>
      <c r="Q107" s="277">
        <f>VALUE(點數BO!K18)</f>
        <v>0</v>
      </c>
      <c r="R107" s="277">
        <f>VALUE(點數BO!L18)</f>
        <v>0</v>
      </c>
      <c r="S107" s="277">
        <f>VALUE(點數BO!M18)</f>
        <v>0</v>
      </c>
      <c r="T107" s="277">
        <f>VALUE(點數BO!N18)</f>
        <v>0</v>
      </c>
      <c r="U107" s="277">
        <f>VALUE(點數BO!O18)</f>
        <v>0</v>
      </c>
      <c r="V107" s="277">
        <f>VALUE(點數BO!P18)</f>
        <v>0</v>
      </c>
      <c r="W107" s="277">
        <f>VALUE(點數BO!Q18)</f>
        <v>0</v>
      </c>
      <c r="X107" s="277">
        <f>VALUE(點數BO!R18)</f>
        <v>0</v>
      </c>
      <c r="Y107" s="277">
        <f>VALUE(點數BO!S18)</f>
        <v>0</v>
      </c>
      <c r="Z107" s="277">
        <f>VALUE(點數BO!T18)</f>
        <v>0</v>
      </c>
      <c r="AA107" s="277">
        <f>VALUE(點數BO!U18)</f>
        <v>0</v>
      </c>
      <c r="AB107" s="277">
        <f>VALUE(點數BO!V18)</f>
        <v>0</v>
      </c>
      <c r="AC107" s="277">
        <f>VALUE(點數BO!W18)</f>
        <v>0</v>
      </c>
      <c r="AD107" s="277">
        <f>VALUE(點數BO!X18)</f>
        <v>0</v>
      </c>
      <c r="AE107" s="277">
        <f>VALUE(點數BO!Y18)</f>
        <v>0</v>
      </c>
      <c r="AF107" s="277">
        <f>VALUE(點數BO!Z18)</f>
        <v>0</v>
      </c>
      <c r="AG107" s="277">
        <f>VALUE(點數BO!AA18)</f>
        <v>0</v>
      </c>
      <c r="AH107" s="277">
        <f>VALUE(點數BO!AB18)</f>
        <v>0</v>
      </c>
      <c r="AI107" s="277">
        <f>VALUE(點數BO!AC18)</f>
        <v>0</v>
      </c>
      <c r="AJ107" s="277">
        <f>VALUE(點數BO!AD18)</f>
        <v>0</v>
      </c>
      <c r="AK107" s="277">
        <f>VALUE(點數BO!AE18)</f>
        <v>0</v>
      </c>
      <c r="AL107" s="277">
        <f>VALUE(點數BO!AF18)</f>
        <v>0</v>
      </c>
      <c r="AM107" s="277">
        <f>VALUE(點數BO!AG18)</f>
        <v>0</v>
      </c>
      <c r="AN107" s="519">
        <f>VALUE(點數BO!AH18)</f>
        <v>0</v>
      </c>
      <c r="AO107" s="16"/>
    </row>
    <row r="108" spans="1:41" s="67" customFormat="1" ht="21.95" customHeight="1">
      <c r="A108" s="669" t="s">
        <v>35</v>
      </c>
      <c r="B108" s="670"/>
      <c r="C108" s="671"/>
      <c r="D108" s="316">
        <f>HLOOKUP(MONTH(日期!$C$2),去年月推移!$D$1:$O$200,164,TRUE)</f>
        <v>0</v>
      </c>
      <c r="E108" s="298"/>
      <c r="F108" s="298"/>
      <c r="G108" s="630">
        <f>當年月推移!P166</f>
        <v>0</v>
      </c>
      <c r="H108" s="631"/>
      <c r="I108" s="277">
        <f>VALUE(點數BO!C19)</f>
        <v>0</v>
      </c>
      <c r="J108" s="277">
        <f>VALUE(點數BO!D19)</f>
        <v>0</v>
      </c>
      <c r="K108" s="277">
        <f>VALUE(點數BO!E19)</f>
        <v>0</v>
      </c>
      <c r="L108" s="277">
        <f>VALUE(點數BO!F19)</f>
        <v>0</v>
      </c>
      <c r="M108" s="277">
        <f>VALUE(點數BO!G19)</f>
        <v>0</v>
      </c>
      <c r="N108" s="277">
        <f>VALUE(點數BO!H19)</f>
        <v>0</v>
      </c>
      <c r="O108" s="277">
        <f>VALUE(點數BO!I19)</f>
        <v>0</v>
      </c>
      <c r="P108" s="277">
        <f>VALUE(點數BO!J19)</f>
        <v>0</v>
      </c>
      <c r="Q108" s="277">
        <f>VALUE(點數BO!K19)</f>
        <v>0</v>
      </c>
      <c r="R108" s="277">
        <f>VALUE(點數BO!L19)</f>
        <v>0</v>
      </c>
      <c r="S108" s="277">
        <f>VALUE(點數BO!M19)</f>
        <v>0</v>
      </c>
      <c r="T108" s="277">
        <f>VALUE(點數BO!N19)</f>
        <v>0</v>
      </c>
      <c r="U108" s="277">
        <f>VALUE(點數BO!O19)</f>
        <v>0</v>
      </c>
      <c r="V108" s="277">
        <f>VALUE(點數BO!P19)</f>
        <v>0</v>
      </c>
      <c r="W108" s="277">
        <f>VALUE(點數BO!Q19)</f>
        <v>0</v>
      </c>
      <c r="X108" s="277">
        <f>VALUE(點數BO!R19)</f>
        <v>0</v>
      </c>
      <c r="Y108" s="277">
        <f>VALUE(點數BO!S19)</f>
        <v>0</v>
      </c>
      <c r="Z108" s="277">
        <f>VALUE(點數BO!T19)</f>
        <v>0</v>
      </c>
      <c r="AA108" s="277">
        <f>VALUE(點數BO!U19)</f>
        <v>0</v>
      </c>
      <c r="AB108" s="277">
        <f>VALUE(點數BO!V19)</f>
        <v>0</v>
      </c>
      <c r="AC108" s="277">
        <f>VALUE(點數BO!W19)</f>
        <v>0</v>
      </c>
      <c r="AD108" s="277">
        <f>VALUE(點數BO!X19)</f>
        <v>0</v>
      </c>
      <c r="AE108" s="277">
        <f>VALUE(點數BO!Y19)</f>
        <v>0</v>
      </c>
      <c r="AF108" s="277">
        <f>VALUE(點數BO!Z19)</f>
        <v>0</v>
      </c>
      <c r="AG108" s="277">
        <f>VALUE(點數BO!AA19)</f>
        <v>0</v>
      </c>
      <c r="AH108" s="277">
        <f>VALUE(點數BO!AB19)</f>
        <v>0</v>
      </c>
      <c r="AI108" s="277">
        <f>VALUE(點數BO!AC19)</f>
        <v>0</v>
      </c>
      <c r="AJ108" s="277">
        <f>VALUE(點數BO!AD19)</f>
        <v>0</v>
      </c>
      <c r="AK108" s="277">
        <f>VALUE(點數BO!AE19)</f>
        <v>0</v>
      </c>
      <c r="AL108" s="277">
        <f>VALUE(點數BO!AF19)</f>
        <v>0</v>
      </c>
      <c r="AM108" s="277">
        <f>VALUE(點數BO!AG19)</f>
        <v>0</v>
      </c>
      <c r="AN108" s="519">
        <f>VALUE(點數BO!AH19)</f>
        <v>0</v>
      </c>
      <c r="AO108" s="16"/>
    </row>
    <row r="109" spans="1:41" s="67" customFormat="1" ht="21.95" customHeight="1" thickBot="1">
      <c r="A109" s="576" t="s">
        <v>30</v>
      </c>
      <c r="B109" s="577"/>
      <c r="C109" s="578"/>
      <c r="D109" s="66">
        <f>HLOOKUP(MONTH(日期!$C$2),去年月推移!$D$1:$O$200,165,TRUE)</f>
        <v>0</v>
      </c>
      <c r="E109" s="66"/>
      <c r="F109" s="66"/>
      <c r="G109" s="659">
        <f>當年月推移!P167</f>
        <v>0</v>
      </c>
      <c r="H109" s="660"/>
      <c r="I109" s="66">
        <f>SUM(I104:I107)</f>
        <v>0</v>
      </c>
      <c r="J109" s="66">
        <v>1</v>
      </c>
      <c r="K109" s="66">
        <f t="shared" ref="K109:AN109" si="13">SUM(K104:K107)</f>
        <v>0</v>
      </c>
      <c r="L109" s="66">
        <f t="shared" si="13"/>
        <v>0</v>
      </c>
      <c r="M109" s="66">
        <f t="shared" si="13"/>
        <v>0</v>
      </c>
      <c r="N109" s="66">
        <f t="shared" si="13"/>
        <v>0</v>
      </c>
      <c r="O109" s="66">
        <f t="shared" si="13"/>
        <v>0</v>
      </c>
      <c r="P109" s="66">
        <f t="shared" si="13"/>
        <v>0</v>
      </c>
      <c r="Q109" s="66">
        <f t="shared" si="13"/>
        <v>0</v>
      </c>
      <c r="R109" s="66">
        <f t="shared" si="13"/>
        <v>0</v>
      </c>
      <c r="S109" s="66">
        <f t="shared" si="13"/>
        <v>0</v>
      </c>
      <c r="T109" s="66">
        <f t="shared" si="13"/>
        <v>0</v>
      </c>
      <c r="U109" s="66">
        <f t="shared" si="13"/>
        <v>0</v>
      </c>
      <c r="V109" s="66">
        <f t="shared" si="13"/>
        <v>0</v>
      </c>
      <c r="W109" s="66">
        <f t="shared" si="13"/>
        <v>0</v>
      </c>
      <c r="X109" s="66">
        <f t="shared" si="13"/>
        <v>0</v>
      </c>
      <c r="Y109" s="66">
        <f t="shared" si="13"/>
        <v>0</v>
      </c>
      <c r="Z109" s="66">
        <f t="shared" si="13"/>
        <v>0</v>
      </c>
      <c r="AA109" s="66">
        <f t="shared" si="13"/>
        <v>0</v>
      </c>
      <c r="AB109" s="66">
        <f t="shared" si="13"/>
        <v>0</v>
      </c>
      <c r="AC109" s="66">
        <f t="shared" si="13"/>
        <v>0</v>
      </c>
      <c r="AD109" s="66">
        <f t="shared" si="13"/>
        <v>0</v>
      </c>
      <c r="AE109" s="66">
        <f t="shared" si="13"/>
        <v>0</v>
      </c>
      <c r="AF109" s="66">
        <f t="shared" si="13"/>
        <v>0</v>
      </c>
      <c r="AG109" s="66">
        <f t="shared" si="13"/>
        <v>0</v>
      </c>
      <c r="AH109" s="66">
        <f t="shared" si="13"/>
        <v>0</v>
      </c>
      <c r="AI109" s="66">
        <f t="shared" si="13"/>
        <v>0</v>
      </c>
      <c r="AJ109" s="66">
        <f t="shared" si="13"/>
        <v>0</v>
      </c>
      <c r="AK109" s="66">
        <f t="shared" si="13"/>
        <v>0</v>
      </c>
      <c r="AL109" s="66">
        <f t="shared" si="13"/>
        <v>0</v>
      </c>
      <c r="AM109" s="66">
        <f t="shared" si="13"/>
        <v>0</v>
      </c>
      <c r="AN109" s="218">
        <f t="shared" si="13"/>
        <v>0</v>
      </c>
      <c r="AO109" s="16"/>
    </row>
    <row r="110" spans="1:41" s="35" customFormat="1" ht="23.1" customHeight="1">
      <c r="A110" s="34"/>
      <c r="C110" s="36"/>
      <c r="D110" s="302"/>
      <c r="E110" s="302"/>
      <c r="F110" s="302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8"/>
      <c r="AB110" s="38"/>
      <c r="AC110" s="38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8"/>
      <c r="AO110" s="68"/>
    </row>
    <row r="111" spans="1:41" s="35" customFormat="1" ht="23.1" customHeight="1">
      <c r="C111" s="36"/>
      <c r="D111" s="302"/>
      <c r="E111" s="302"/>
      <c r="F111" s="302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69"/>
    </row>
    <row r="112" spans="1:41" s="35" customFormat="1" ht="23.1" customHeight="1">
      <c r="A112" s="70" t="s">
        <v>60</v>
      </c>
      <c r="B112" s="37"/>
      <c r="C112" s="36"/>
      <c r="D112" s="302"/>
      <c r="E112" s="302"/>
      <c r="F112" s="302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</row>
    <row r="113" spans="1:40" s="35" customFormat="1" ht="23.1" customHeight="1">
      <c r="A113" s="70" t="s">
        <v>61</v>
      </c>
      <c r="B113" s="37"/>
      <c r="C113" s="36"/>
      <c r="D113" s="302"/>
      <c r="E113" s="302"/>
      <c r="F113" s="302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</row>
    <row r="114" spans="1:40" s="35" customFormat="1" ht="23.1" customHeight="1">
      <c r="A114" s="70" t="s">
        <v>62</v>
      </c>
      <c r="B114" s="37"/>
      <c r="C114" s="36"/>
      <c r="D114" s="302"/>
      <c r="E114" s="302"/>
      <c r="F114" s="302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</row>
    <row r="115" spans="1:40" s="35" customFormat="1" ht="23.1" customHeight="1">
      <c r="A115" s="70" t="s">
        <v>63</v>
      </c>
      <c r="B115" s="37"/>
      <c r="C115" s="36"/>
      <c r="D115" s="302"/>
      <c r="E115" s="302"/>
      <c r="F115" s="302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</row>
    <row r="116" spans="1:40" s="35" customFormat="1" ht="23.1" customHeight="1">
      <c r="A116" s="70" t="s">
        <v>64</v>
      </c>
      <c r="B116" s="37"/>
      <c r="C116" s="36"/>
      <c r="D116" s="302"/>
      <c r="E116" s="302"/>
      <c r="F116" s="302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</row>
    <row r="117" spans="1:40" s="35" customFormat="1" ht="23.1" customHeight="1">
      <c r="A117" s="70" t="s">
        <v>65</v>
      </c>
      <c r="B117" s="37"/>
      <c r="C117" s="36"/>
      <c r="D117" s="302"/>
      <c r="E117" s="302"/>
      <c r="F117" s="302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</row>
    <row r="118" spans="1:40" s="35" customFormat="1" ht="23.1" customHeight="1">
      <c r="A118" s="70"/>
      <c r="C118" s="36"/>
      <c r="D118" s="302"/>
      <c r="E118" s="302"/>
      <c r="F118" s="302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</row>
    <row r="119" spans="1:40" s="35" customFormat="1" ht="23.1" customHeight="1">
      <c r="A119" s="288"/>
      <c r="C119" s="36"/>
      <c r="D119" s="302"/>
      <c r="E119" s="302"/>
      <c r="F119" s="302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</row>
    <row r="120" spans="1:40" s="35" customFormat="1" ht="23.1" customHeight="1">
      <c r="C120" s="37"/>
      <c r="D120" s="302"/>
      <c r="E120" s="302"/>
      <c r="F120" s="302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</row>
    <row r="121" spans="1:40" s="35" customFormat="1" ht="23.1" customHeight="1">
      <c r="C121" s="36"/>
      <c r="D121" s="302"/>
      <c r="E121" s="302"/>
      <c r="F121" s="302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</row>
    <row r="122" spans="1:40" s="35" customFormat="1" ht="23.1" customHeight="1">
      <c r="C122" s="36"/>
      <c r="D122" s="302"/>
      <c r="E122" s="302"/>
      <c r="F122" s="302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</row>
    <row r="123" spans="1:40" s="35" customFormat="1" ht="23.1" customHeight="1">
      <c r="C123" s="36"/>
      <c r="D123" s="302"/>
      <c r="E123" s="302"/>
      <c r="F123" s="302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</row>
    <row r="124" spans="1:40" s="35" customFormat="1" ht="23.1" customHeight="1">
      <c r="C124" s="36"/>
      <c r="D124" s="302"/>
      <c r="E124" s="302"/>
      <c r="F124" s="302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</row>
    <row r="125" spans="1:40" s="35" customFormat="1" ht="23.1" customHeight="1">
      <c r="C125" s="36"/>
      <c r="D125" s="302"/>
      <c r="E125" s="302"/>
      <c r="F125" s="302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</row>
    <row r="126" spans="1:40" s="35" customFormat="1" ht="23.1" customHeight="1">
      <c r="C126" s="36"/>
      <c r="D126" s="302"/>
      <c r="E126" s="302"/>
      <c r="F126" s="302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</row>
    <row r="127" spans="1:40" s="35" customFormat="1" ht="23.1" customHeight="1">
      <c r="C127" s="36"/>
      <c r="D127" s="302"/>
      <c r="E127" s="302"/>
      <c r="F127" s="302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</row>
    <row r="128" spans="1:40" s="35" customFormat="1" ht="23.1" customHeight="1">
      <c r="C128" s="36"/>
      <c r="D128" s="302"/>
      <c r="E128" s="302"/>
      <c r="F128" s="302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</row>
    <row r="129" spans="3:40" s="35" customFormat="1" ht="23.1" customHeight="1">
      <c r="C129" s="36"/>
      <c r="D129" s="302"/>
      <c r="E129" s="302"/>
      <c r="F129" s="302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</row>
    <row r="130" spans="3:40" s="35" customFormat="1" ht="23.1" customHeight="1">
      <c r="C130" s="36"/>
      <c r="D130" s="302"/>
      <c r="E130" s="302"/>
      <c r="F130" s="302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</row>
    <row r="131" spans="3:40" s="35" customFormat="1" ht="23.1" customHeight="1">
      <c r="C131" s="36"/>
      <c r="D131" s="302"/>
      <c r="E131" s="302"/>
      <c r="F131" s="302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</row>
    <row r="132" spans="3:40" s="35" customFormat="1" ht="23.1" customHeight="1">
      <c r="C132" s="36"/>
      <c r="D132" s="302"/>
      <c r="E132" s="302"/>
      <c r="F132" s="302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</row>
    <row r="133" spans="3:40" s="35" customFormat="1" ht="23.1" customHeight="1">
      <c r="C133" s="36"/>
      <c r="D133" s="302"/>
      <c r="E133" s="302"/>
      <c r="F133" s="302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</row>
    <row r="134" spans="3:40" s="35" customFormat="1" ht="23.1" customHeight="1">
      <c r="C134" s="36"/>
      <c r="D134" s="302"/>
      <c r="E134" s="302"/>
      <c r="F134" s="302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</row>
    <row r="135" spans="3:40" s="35" customFormat="1" ht="23.1" customHeight="1">
      <c r="C135" s="36"/>
      <c r="D135" s="302"/>
      <c r="E135" s="302"/>
      <c r="F135" s="302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</row>
    <row r="136" spans="3:40" s="35" customFormat="1" ht="23.1" customHeight="1">
      <c r="C136" s="36"/>
      <c r="D136" s="302"/>
      <c r="E136" s="302"/>
      <c r="F136" s="302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</row>
    <row r="137" spans="3:40" s="35" customFormat="1" ht="23.1" customHeight="1">
      <c r="C137" s="36"/>
      <c r="D137" s="302"/>
      <c r="E137" s="302"/>
      <c r="F137" s="302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</row>
    <row r="138" spans="3:40" s="35" customFormat="1" ht="23.1" customHeight="1">
      <c r="C138" s="36"/>
      <c r="D138" s="302"/>
      <c r="E138" s="302"/>
      <c r="F138" s="302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</row>
    <row r="139" spans="3:40" s="35" customFormat="1" ht="23.1" customHeight="1">
      <c r="C139" s="36"/>
      <c r="D139" s="302"/>
      <c r="E139" s="302"/>
      <c r="F139" s="302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</row>
    <row r="140" spans="3:40" s="35" customFormat="1" ht="23.1" customHeight="1">
      <c r="C140" s="36"/>
      <c r="D140" s="302"/>
      <c r="E140" s="302"/>
      <c r="F140" s="302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</row>
    <row r="141" spans="3:40" s="35" customFormat="1" ht="23.1" customHeight="1">
      <c r="C141" s="36"/>
      <c r="D141" s="302"/>
      <c r="E141" s="302"/>
      <c r="F141" s="302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</row>
    <row r="142" spans="3:40" s="35" customFormat="1" ht="23.1" customHeight="1">
      <c r="C142" s="36"/>
      <c r="D142" s="302"/>
      <c r="E142" s="302"/>
      <c r="F142" s="302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</row>
    <row r="143" spans="3:40" s="35" customFormat="1" ht="23.1" customHeight="1">
      <c r="C143" s="36"/>
      <c r="D143" s="302"/>
      <c r="E143" s="302"/>
      <c r="F143" s="302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</row>
    <row r="144" spans="3:40" s="35" customFormat="1" ht="23.1" customHeight="1">
      <c r="C144" s="36"/>
      <c r="D144" s="302"/>
      <c r="E144" s="302"/>
      <c r="F144" s="302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</row>
    <row r="145" spans="3:40" s="35" customFormat="1" ht="23.1" customHeight="1">
      <c r="C145" s="36"/>
      <c r="D145" s="302"/>
      <c r="E145" s="302"/>
      <c r="F145" s="302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</row>
    <row r="146" spans="3:40" s="35" customFormat="1" ht="23.1" customHeight="1">
      <c r="C146" s="36"/>
      <c r="D146" s="302"/>
      <c r="E146" s="302"/>
      <c r="F146" s="302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</row>
    <row r="147" spans="3:40" s="35" customFormat="1" ht="23.1" customHeight="1">
      <c r="C147" s="36"/>
      <c r="D147" s="302"/>
      <c r="E147" s="302"/>
      <c r="F147" s="302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</row>
    <row r="148" spans="3:40" s="35" customFormat="1" ht="23.1" customHeight="1">
      <c r="C148" s="36"/>
      <c r="D148" s="302"/>
      <c r="E148" s="302"/>
      <c r="F148" s="302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</row>
    <row r="149" spans="3:40" s="35" customFormat="1" ht="23.1" customHeight="1">
      <c r="C149" s="36"/>
      <c r="D149" s="302"/>
      <c r="E149" s="302"/>
      <c r="F149" s="302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</row>
    <row r="150" spans="3:40" s="35" customFormat="1" ht="23.1" customHeight="1">
      <c r="C150" s="36"/>
      <c r="D150" s="302"/>
      <c r="E150" s="302"/>
      <c r="F150" s="302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</row>
    <row r="151" spans="3:40" s="35" customFormat="1" ht="23.1" customHeight="1">
      <c r="C151" s="36"/>
      <c r="D151" s="302"/>
      <c r="E151" s="302"/>
      <c r="F151" s="302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</row>
    <row r="152" spans="3:40" s="35" customFormat="1" ht="23.1" customHeight="1">
      <c r="C152" s="36"/>
      <c r="D152" s="302"/>
      <c r="E152" s="302"/>
      <c r="F152" s="302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</row>
    <row r="153" spans="3:40" s="35" customFormat="1" ht="23.1" customHeight="1">
      <c r="C153" s="36"/>
      <c r="D153" s="302"/>
      <c r="E153" s="302"/>
      <c r="F153" s="302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</row>
    <row r="154" spans="3:40" s="35" customFormat="1" ht="23.1" customHeight="1">
      <c r="C154" s="36"/>
      <c r="D154" s="302"/>
      <c r="E154" s="302"/>
      <c r="F154" s="302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</row>
    <row r="155" spans="3:40" s="35" customFormat="1" ht="23.1" customHeight="1">
      <c r="C155" s="36"/>
      <c r="D155" s="302"/>
      <c r="E155" s="302"/>
      <c r="F155" s="302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</row>
    <row r="156" spans="3:40" s="35" customFormat="1" ht="23.1" customHeight="1">
      <c r="C156" s="36"/>
      <c r="D156" s="302"/>
      <c r="E156" s="302"/>
      <c r="F156" s="302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</row>
    <row r="157" spans="3:40" s="35" customFormat="1" ht="23.1" customHeight="1">
      <c r="C157" s="36"/>
      <c r="D157" s="302"/>
      <c r="E157" s="302"/>
      <c r="F157" s="302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</row>
    <row r="158" spans="3:40" s="35" customFormat="1" ht="23.1" customHeight="1">
      <c r="C158" s="36"/>
      <c r="D158" s="302"/>
      <c r="E158" s="302"/>
      <c r="F158" s="302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</row>
    <row r="159" spans="3:40" s="35" customFormat="1" ht="23.1" customHeight="1">
      <c r="C159" s="36"/>
      <c r="D159" s="302"/>
      <c r="E159" s="302"/>
      <c r="F159" s="302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</row>
    <row r="160" spans="3:40" s="35" customFormat="1" ht="23.1" customHeight="1">
      <c r="C160" s="36"/>
      <c r="D160" s="302"/>
      <c r="E160" s="302"/>
      <c r="F160" s="302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</row>
    <row r="161" spans="3:40" s="35" customFormat="1" ht="23.1" customHeight="1">
      <c r="C161" s="36"/>
      <c r="D161" s="302"/>
      <c r="E161" s="302"/>
      <c r="F161" s="302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</row>
    <row r="162" spans="3:40" s="35" customFormat="1" ht="23.1" customHeight="1">
      <c r="C162" s="36"/>
      <c r="D162" s="302"/>
      <c r="E162" s="302"/>
      <c r="F162" s="302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</row>
    <row r="163" spans="3:40" s="35" customFormat="1" ht="23.1" customHeight="1">
      <c r="C163" s="36"/>
      <c r="D163" s="302"/>
      <c r="E163" s="302"/>
      <c r="F163" s="302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</row>
    <row r="164" spans="3:40" s="35" customFormat="1" ht="23.1" customHeight="1">
      <c r="C164" s="36"/>
      <c r="D164" s="302"/>
      <c r="E164" s="302"/>
      <c r="F164" s="302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</row>
    <row r="165" spans="3:40" s="35" customFormat="1" ht="23.1" customHeight="1">
      <c r="C165" s="36"/>
      <c r="D165" s="302"/>
      <c r="E165" s="302"/>
      <c r="F165" s="302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</row>
    <row r="166" spans="3:40" s="35" customFormat="1" ht="23.1" customHeight="1">
      <c r="C166" s="36"/>
      <c r="D166" s="302"/>
      <c r="E166" s="302"/>
      <c r="F166" s="302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</row>
    <row r="167" spans="3:40" s="35" customFormat="1" ht="23.1" customHeight="1">
      <c r="C167" s="36"/>
      <c r="D167" s="302"/>
      <c r="E167" s="302"/>
      <c r="F167" s="302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</row>
    <row r="168" spans="3:40" s="35" customFormat="1" ht="23.1" customHeight="1">
      <c r="C168" s="36"/>
      <c r="D168" s="302"/>
      <c r="E168" s="302"/>
      <c r="F168" s="302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</row>
    <row r="169" spans="3:40" s="35" customFormat="1" ht="23.1" customHeight="1">
      <c r="C169" s="36"/>
      <c r="D169" s="302"/>
      <c r="E169" s="302"/>
      <c r="F169" s="302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</row>
    <row r="170" spans="3:40" s="35" customFormat="1" ht="23.1" customHeight="1">
      <c r="C170" s="36"/>
      <c r="D170" s="302"/>
      <c r="E170" s="302"/>
      <c r="F170" s="302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</row>
    <row r="171" spans="3:40" s="35" customFormat="1" ht="23.1" customHeight="1">
      <c r="C171" s="36"/>
      <c r="D171" s="302"/>
      <c r="E171" s="302"/>
      <c r="F171" s="302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</row>
    <row r="172" spans="3:40" s="35" customFormat="1" ht="23.1" customHeight="1">
      <c r="C172" s="36"/>
      <c r="D172" s="302"/>
      <c r="E172" s="302"/>
      <c r="F172" s="302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</row>
    <row r="173" spans="3:40" s="35" customFormat="1" ht="23.1" customHeight="1">
      <c r="C173" s="36"/>
      <c r="D173" s="302"/>
      <c r="E173" s="302"/>
      <c r="F173" s="302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</row>
    <row r="174" spans="3:40" s="35" customFormat="1" ht="23.1" customHeight="1">
      <c r="C174" s="36"/>
      <c r="D174" s="302"/>
      <c r="E174" s="302"/>
      <c r="F174" s="302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</row>
    <row r="175" spans="3:40" s="35" customFormat="1" ht="23.1" customHeight="1">
      <c r="C175" s="36"/>
      <c r="D175" s="302"/>
      <c r="E175" s="302"/>
      <c r="F175" s="302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</row>
    <row r="176" spans="3:40" s="35" customFormat="1" ht="23.1" customHeight="1">
      <c r="C176" s="36"/>
      <c r="D176" s="302"/>
      <c r="E176" s="302"/>
      <c r="F176" s="302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</row>
    <row r="177" spans="3:40" s="35" customFormat="1" ht="23.1" customHeight="1">
      <c r="C177" s="36"/>
      <c r="D177" s="302"/>
      <c r="E177" s="302"/>
      <c r="F177" s="302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</row>
    <row r="178" spans="3:40" s="35" customFormat="1" ht="23.1" customHeight="1">
      <c r="C178" s="36"/>
      <c r="D178" s="302"/>
      <c r="E178" s="302"/>
      <c r="F178" s="302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</row>
    <row r="179" spans="3:40" s="35" customFormat="1" ht="23.1" customHeight="1">
      <c r="C179" s="36"/>
      <c r="D179" s="302"/>
      <c r="E179" s="302"/>
      <c r="F179" s="302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</row>
    <row r="180" spans="3:40" s="35" customFormat="1" ht="23.1" customHeight="1">
      <c r="C180" s="36"/>
      <c r="D180" s="302"/>
      <c r="E180" s="302"/>
      <c r="F180" s="302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</row>
    <row r="181" spans="3:40" s="35" customFormat="1" ht="23.1" customHeight="1">
      <c r="C181" s="36"/>
      <c r="D181" s="302"/>
      <c r="E181" s="302"/>
      <c r="F181" s="302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</row>
    <row r="182" spans="3:40" s="35" customFormat="1" ht="23.1" customHeight="1">
      <c r="C182" s="36"/>
      <c r="D182" s="302"/>
      <c r="E182" s="302"/>
      <c r="F182" s="302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</row>
    <row r="183" spans="3:40" s="35" customFormat="1" ht="23.1" customHeight="1">
      <c r="C183" s="36"/>
      <c r="D183" s="302"/>
      <c r="E183" s="302"/>
      <c r="F183" s="302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</row>
    <row r="184" spans="3:40" s="35" customFormat="1" ht="23.1" customHeight="1">
      <c r="C184" s="36"/>
      <c r="D184" s="302"/>
      <c r="E184" s="302"/>
      <c r="F184" s="302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</row>
    <row r="185" spans="3:40" s="35" customFormat="1" ht="23.1" customHeight="1">
      <c r="C185" s="36"/>
      <c r="D185" s="302"/>
      <c r="E185" s="302"/>
      <c r="F185" s="302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</row>
    <row r="186" spans="3:40" s="35" customFormat="1" ht="23.1" customHeight="1">
      <c r="C186" s="36"/>
      <c r="D186" s="302"/>
      <c r="E186" s="302"/>
      <c r="F186" s="302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</row>
    <row r="187" spans="3:40" s="35" customFormat="1" ht="23.1" customHeight="1">
      <c r="C187" s="36"/>
      <c r="D187" s="302"/>
      <c r="E187" s="302"/>
      <c r="F187" s="302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</row>
    <row r="188" spans="3:40" s="35" customFormat="1" ht="23.1" customHeight="1">
      <c r="C188" s="36"/>
      <c r="D188" s="302"/>
      <c r="E188" s="302"/>
      <c r="F188" s="302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</row>
    <row r="189" spans="3:40" s="35" customFormat="1" ht="23.1" customHeight="1">
      <c r="C189" s="36"/>
      <c r="D189" s="302"/>
      <c r="E189" s="302"/>
      <c r="F189" s="302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</row>
    <row r="190" spans="3:40" s="35" customFormat="1" ht="23.1" customHeight="1">
      <c r="C190" s="36"/>
      <c r="D190" s="302"/>
      <c r="E190" s="302"/>
      <c r="F190" s="302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</row>
    <row r="191" spans="3:40" s="35" customFormat="1" ht="23.1" customHeight="1">
      <c r="C191" s="36"/>
      <c r="D191" s="302"/>
      <c r="E191" s="302"/>
      <c r="F191" s="302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</row>
    <row r="192" spans="3:40" s="35" customFormat="1" ht="23.1" customHeight="1">
      <c r="C192" s="36"/>
      <c r="D192" s="302"/>
      <c r="E192" s="302"/>
      <c r="F192" s="302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</row>
    <row r="193" spans="3:40" s="35" customFormat="1" ht="23.1" customHeight="1">
      <c r="C193" s="36"/>
      <c r="D193" s="302"/>
      <c r="E193" s="302"/>
      <c r="F193" s="302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</row>
    <row r="194" spans="3:40" s="35" customFormat="1" ht="23.1" customHeight="1">
      <c r="C194" s="36"/>
      <c r="D194" s="302"/>
      <c r="E194" s="302"/>
      <c r="F194" s="302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</row>
    <row r="195" spans="3:40" s="35" customFormat="1" ht="23.1" customHeight="1">
      <c r="C195" s="36"/>
      <c r="D195" s="302"/>
      <c r="E195" s="302"/>
      <c r="F195" s="302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</row>
    <row r="196" spans="3:40" s="35" customFormat="1" ht="23.1" customHeight="1">
      <c r="C196" s="36"/>
      <c r="D196" s="302"/>
      <c r="E196" s="302"/>
      <c r="F196" s="302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</row>
    <row r="197" spans="3:40" s="35" customFormat="1" ht="23.1" customHeight="1">
      <c r="C197" s="36"/>
      <c r="D197" s="302"/>
      <c r="E197" s="302"/>
      <c r="F197" s="302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</row>
    <row r="198" spans="3:40" s="35" customFormat="1" ht="23.1" customHeight="1">
      <c r="C198" s="36"/>
      <c r="D198" s="302"/>
      <c r="E198" s="302"/>
      <c r="F198" s="302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</row>
    <row r="199" spans="3:40" s="35" customFormat="1" ht="23.1" customHeight="1">
      <c r="C199" s="36"/>
      <c r="D199" s="302"/>
      <c r="E199" s="302"/>
      <c r="F199" s="302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</row>
    <row r="200" spans="3:40" s="35" customFormat="1" ht="23.1" customHeight="1">
      <c r="C200" s="36"/>
      <c r="D200" s="302"/>
      <c r="E200" s="302"/>
      <c r="F200" s="302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</row>
    <row r="201" spans="3:40" s="35" customFormat="1" ht="23.1" customHeight="1">
      <c r="C201" s="36"/>
      <c r="D201" s="302"/>
      <c r="E201" s="302"/>
      <c r="F201" s="302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</row>
    <row r="202" spans="3:40" s="35" customFormat="1" ht="23.1" customHeight="1">
      <c r="C202" s="36"/>
      <c r="D202" s="302"/>
      <c r="E202" s="302"/>
      <c r="F202" s="302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</row>
    <row r="203" spans="3:40" s="35" customFormat="1" ht="23.1" customHeight="1">
      <c r="C203" s="36"/>
      <c r="D203" s="302"/>
      <c r="E203" s="302"/>
      <c r="F203" s="302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</row>
    <row r="204" spans="3:40" s="35" customFormat="1" ht="23.1" customHeight="1">
      <c r="C204" s="36"/>
      <c r="D204" s="302"/>
      <c r="E204" s="302"/>
      <c r="F204" s="302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</row>
    <row r="205" spans="3:40" s="35" customFormat="1" ht="23.1" customHeight="1">
      <c r="C205" s="36"/>
      <c r="D205" s="302"/>
      <c r="E205" s="302"/>
      <c r="F205" s="302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</row>
    <row r="206" spans="3:40" s="35" customFormat="1" ht="23.1" customHeight="1">
      <c r="C206" s="36"/>
      <c r="D206" s="302"/>
      <c r="E206" s="302"/>
      <c r="F206" s="302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</row>
    <row r="207" spans="3:40" s="35" customFormat="1" ht="23.1" customHeight="1">
      <c r="C207" s="36"/>
      <c r="D207" s="302"/>
      <c r="E207" s="302"/>
      <c r="F207" s="302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</row>
    <row r="208" spans="3:40" s="35" customFormat="1" ht="23.1" customHeight="1">
      <c r="C208" s="36"/>
      <c r="D208" s="302"/>
      <c r="E208" s="302"/>
      <c r="F208" s="302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</row>
    <row r="209" spans="3:40" s="35" customFormat="1" ht="23.1" customHeight="1">
      <c r="C209" s="36"/>
      <c r="D209" s="302"/>
      <c r="E209" s="302"/>
      <c r="F209" s="302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</row>
    <row r="210" spans="3:40" s="35" customFormat="1" ht="23.1" customHeight="1">
      <c r="C210" s="36"/>
      <c r="D210" s="302"/>
      <c r="E210" s="302"/>
      <c r="F210" s="302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</row>
    <row r="211" spans="3:40" s="35" customFormat="1" ht="23.1" customHeight="1">
      <c r="C211" s="36"/>
      <c r="D211" s="302"/>
      <c r="E211" s="302"/>
      <c r="F211" s="302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</row>
    <row r="212" spans="3:40" s="35" customFormat="1" ht="23.1" customHeight="1">
      <c r="C212" s="36"/>
      <c r="D212" s="302"/>
      <c r="E212" s="302"/>
      <c r="F212" s="302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</row>
    <row r="213" spans="3:40" s="35" customFormat="1" ht="23.1" customHeight="1">
      <c r="C213" s="36"/>
      <c r="D213" s="302"/>
      <c r="E213" s="302"/>
      <c r="F213" s="302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</row>
    <row r="214" spans="3:40" s="35" customFormat="1" ht="23.1" customHeight="1">
      <c r="C214" s="36"/>
      <c r="D214" s="302"/>
      <c r="E214" s="302"/>
      <c r="F214" s="302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</row>
    <row r="215" spans="3:40" s="35" customFormat="1" ht="23.1" customHeight="1">
      <c r="C215" s="36"/>
      <c r="D215" s="302"/>
      <c r="E215" s="302"/>
      <c r="F215" s="302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</row>
    <row r="216" spans="3:40" s="35" customFormat="1" ht="23.1" customHeight="1">
      <c r="C216" s="36"/>
      <c r="D216" s="302"/>
      <c r="E216" s="302"/>
      <c r="F216" s="302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</row>
    <row r="217" spans="3:40" s="35" customFormat="1" ht="23.1" customHeight="1">
      <c r="C217" s="36"/>
      <c r="D217" s="302"/>
      <c r="E217" s="302"/>
      <c r="F217" s="302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</row>
    <row r="218" spans="3:40" s="35" customFormat="1" ht="23.1" customHeight="1">
      <c r="C218" s="36"/>
      <c r="D218" s="302"/>
      <c r="E218" s="302"/>
      <c r="F218" s="302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</row>
    <row r="219" spans="3:40" s="35" customFormat="1" ht="23.1" customHeight="1">
      <c r="C219" s="36"/>
      <c r="D219" s="302"/>
      <c r="E219" s="302"/>
      <c r="F219" s="302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</row>
    <row r="220" spans="3:40" s="35" customFormat="1" ht="23.1" customHeight="1">
      <c r="C220" s="36"/>
      <c r="D220" s="302"/>
      <c r="E220" s="302"/>
      <c r="F220" s="302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</row>
    <row r="221" spans="3:40" s="35" customFormat="1" ht="23.1" customHeight="1">
      <c r="C221" s="36"/>
      <c r="D221" s="302"/>
      <c r="E221" s="302"/>
      <c r="F221" s="302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</row>
    <row r="222" spans="3:40" s="35" customFormat="1" ht="23.1" customHeight="1">
      <c r="C222" s="36"/>
      <c r="D222" s="302"/>
      <c r="E222" s="302"/>
      <c r="F222" s="302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</row>
    <row r="223" spans="3:40" s="35" customFormat="1" ht="23.1" customHeight="1">
      <c r="C223" s="36"/>
      <c r="D223" s="302"/>
      <c r="E223" s="302"/>
      <c r="F223" s="302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</row>
    <row r="224" spans="3:40" s="35" customFormat="1" ht="23.1" customHeight="1">
      <c r="C224" s="36"/>
      <c r="D224" s="302"/>
      <c r="E224" s="302"/>
      <c r="F224" s="302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</row>
    <row r="225" spans="3:40" s="35" customFormat="1" ht="23.1" customHeight="1">
      <c r="C225" s="36"/>
      <c r="D225" s="302"/>
      <c r="E225" s="302"/>
      <c r="F225" s="302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</row>
    <row r="226" spans="3:40" s="35" customFormat="1" ht="23.1" customHeight="1">
      <c r="C226" s="36"/>
      <c r="D226" s="302"/>
      <c r="E226" s="302"/>
      <c r="F226" s="302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</row>
    <row r="227" spans="3:40" s="35" customFormat="1" ht="23.1" customHeight="1">
      <c r="C227" s="36"/>
      <c r="D227" s="302"/>
      <c r="E227" s="302"/>
      <c r="F227" s="302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</row>
    <row r="228" spans="3:40" s="35" customFormat="1" ht="23.1" customHeight="1">
      <c r="C228" s="36"/>
      <c r="D228" s="302"/>
      <c r="E228" s="302"/>
      <c r="F228" s="302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  <c r="AN228" s="37"/>
    </row>
    <row r="229" spans="3:40" s="35" customFormat="1" ht="23.1" customHeight="1">
      <c r="C229" s="36"/>
      <c r="D229" s="302"/>
      <c r="E229" s="302"/>
      <c r="F229" s="302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  <c r="AN229" s="37"/>
    </row>
    <row r="230" spans="3:40" s="35" customFormat="1" ht="23.1" customHeight="1">
      <c r="C230" s="36"/>
      <c r="D230" s="302"/>
      <c r="E230" s="302"/>
      <c r="F230" s="302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  <c r="AM230" s="37"/>
      <c r="AN230" s="37"/>
    </row>
    <row r="231" spans="3:40" s="35" customFormat="1" ht="23.1" customHeight="1">
      <c r="C231" s="36"/>
      <c r="D231" s="302"/>
      <c r="E231" s="302"/>
      <c r="F231" s="302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/>
      <c r="AN231" s="37"/>
    </row>
    <row r="232" spans="3:40" s="35" customFormat="1" ht="23.1" customHeight="1">
      <c r="C232" s="36"/>
      <c r="D232" s="302"/>
      <c r="E232" s="302"/>
      <c r="F232" s="302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  <c r="AN232" s="37"/>
    </row>
    <row r="233" spans="3:40" s="35" customFormat="1" ht="23.1" customHeight="1">
      <c r="C233" s="36"/>
      <c r="D233" s="302"/>
      <c r="E233" s="302"/>
      <c r="F233" s="302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7"/>
    </row>
    <row r="234" spans="3:40" s="35" customFormat="1" ht="23.1" customHeight="1">
      <c r="C234" s="36"/>
      <c r="D234" s="302"/>
      <c r="E234" s="302"/>
      <c r="F234" s="302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L234" s="37"/>
      <c r="AM234" s="37"/>
      <c r="AN234" s="37"/>
    </row>
    <row r="235" spans="3:40" s="35" customFormat="1" ht="23.1" customHeight="1">
      <c r="C235" s="36"/>
      <c r="D235" s="302"/>
      <c r="E235" s="302"/>
      <c r="F235" s="302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  <c r="AK235" s="37"/>
      <c r="AL235" s="37"/>
      <c r="AM235" s="37"/>
      <c r="AN235" s="37"/>
    </row>
    <row r="236" spans="3:40" s="35" customFormat="1" ht="23.1" customHeight="1">
      <c r="C236" s="36"/>
      <c r="D236" s="302"/>
      <c r="E236" s="302"/>
      <c r="F236" s="302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7"/>
      <c r="AM236" s="37"/>
      <c r="AN236" s="37"/>
    </row>
    <row r="237" spans="3:40" s="35" customFormat="1" ht="23.1" customHeight="1">
      <c r="C237" s="36"/>
      <c r="D237" s="302"/>
      <c r="E237" s="302"/>
      <c r="F237" s="302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37"/>
      <c r="AL237" s="37"/>
      <c r="AM237" s="37"/>
      <c r="AN237" s="37"/>
    </row>
    <row r="238" spans="3:40" s="35" customFormat="1" ht="23.1" customHeight="1">
      <c r="C238" s="36"/>
      <c r="D238" s="302"/>
      <c r="E238" s="302"/>
      <c r="F238" s="302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7"/>
      <c r="AM238" s="37"/>
      <c r="AN238" s="37"/>
    </row>
    <row r="239" spans="3:40" s="35" customFormat="1" ht="23.1" customHeight="1">
      <c r="C239" s="36"/>
      <c r="D239" s="302"/>
      <c r="E239" s="302"/>
      <c r="F239" s="302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7"/>
      <c r="AM239" s="37"/>
      <c r="AN239" s="37"/>
    </row>
    <row r="240" spans="3:40" s="35" customFormat="1" ht="23.1" customHeight="1">
      <c r="C240" s="36"/>
      <c r="D240" s="302"/>
      <c r="E240" s="302"/>
      <c r="F240" s="302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  <c r="AK240" s="37"/>
      <c r="AL240" s="37"/>
      <c r="AM240" s="37"/>
      <c r="AN240" s="37"/>
    </row>
    <row r="241" spans="3:40" s="35" customFormat="1" ht="23.1" customHeight="1">
      <c r="C241" s="36"/>
      <c r="D241" s="302"/>
      <c r="E241" s="302"/>
      <c r="F241" s="302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  <c r="AK241" s="37"/>
      <c r="AL241" s="37"/>
      <c r="AM241" s="37"/>
      <c r="AN241" s="37"/>
    </row>
    <row r="242" spans="3:40" s="35" customFormat="1" ht="23.1" customHeight="1">
      <c r="C242" s="36"/>
      <c r="D242" s="302"/>
      <c r="E242" s="302"/>
      <c r="F242" s="302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  <c r="AK242" s="37"/>
      <c r="AL242" s="37"/>
      <c r="AM242" s="37"/>
      <c r="AN242" s="37"/>
    </row>
    <row r="243" spans="3:40" s="35" customFormat="1" ht="23.1" customHeight="1">
      <c r="C243" s="36"/>
      <c r="D243" s="302"/>
      <c r="E243" s="302"/>
      <c r="F243" s="302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  <c r="AK243" s="37"/>
      <c r="AL243" s="37"/>
      <c r="AM243" s="37"/>
      <c r="AN243" s="37"/>
    </row>
  </sheetData>
  <mergeCells count="151">
    <mergeCell ref="A109:C109"/>
    <mergeCell ref="G104:H104"/>
    <mergeCell ref="G105:H105"/>
    <mergeCell ref="G106:H106"/>
    <mergeCell ref="G107:H107"/>
    <mergeCell ref="G109:H109"/>
    <mergeCell ref="A104:C104"/>
    <mergeCell ref="A105:C105"/>
    <mergeCell ref="A106:C106"/>
    <mergeCell ref="A107:C107"/>
    <mergeCell ref="G108:H108"/>
    <mergeCell ref="A108:C108"/>
    <mergeCell ref="A91:C91"/>
    <mergeCell ref="G91:H91"/>
    <mergeCell ref="A97:C97"/>
    <mergeCell ref="G97:H97"/>
    <mergeCell ref="A98:C98"/>
    <mergeCell ref="A99:C99"/>
    <mergeCell ref="G98:H98"/>
    <mergeCell ref="G99:H99"/>
    <mergeCell ref="A92:C92"/>
    <mergeCell ref="G92:H92"/>
    <mergeCell ref="G95:H95"/>
    <mergeCell ref="G96:H96"/>
    <mergeCell ref="A103:C103"/>
    <mergeCell ref="G103:H103"/>
    <mergeCell ref="A93:C93"/>
    <mergeCell ref="G93:H93"/>
    <mergeCell ref="A94:C94"/>
    <mergeCell ref="G94:H94"/>
    <mergeCell ref="A95:C95"/>
    <mergeCell ref="A96:C96"/>
    <mergeCell ref="A100:C100"/>
    <mergeCell ref="A102:C102"/>
    <mergeCell ref="G100:H100"/>
    <mergeCell ref="G102:H102"/>
    <mergeCell ref="A101:C101"/>
    <mergeCell ref="G101:H101"/>
    <mergeCell ref="G79:H79"/>
    <mergeCell ref="G73:H73"/>
    <mergeCell ref="A84:C84"/>
    <mergeCell ref="G84:H84"/>
    <mergeCell ref="G76:H76"/>
    <mergeCell ref="G77:H77"/>
    <mergeCell ref="A76:C76"/>
    <mergeCell ref="AN87:AN88"/>
    <mergeCell ref="A89:C89"/>
    <mergeCell ref="G89:H89"/>
    <mergeCell ref="A87:C88"/>
    <mergeCell ref="D87:D88"/>
    <mergeCell ref="E87:E88"/>
    <mergeCell ref="G88:H88"/>
    <mergeCell ref="A80:C80"/>
    <mergeCell ref="A81:C81"/>
    <mergeCell ref="A82:C82"/>
    <mergeCell ref="A83:C83"/>
    <mergeCell ref="G80:H80"/>
    <mergeCell ref="G81:H81"/>
    <mergeCell ref="G82:H82"/>
    <mergeCell ref="G83:H83"/>
    <mergeCell ref="G72:H72"/>
    <mergeCell ref="A67:C67"/>
    <mergeCell ref="G67:H67"/>
    <mergeCell ref="A68:C68"/>
    <mergeCell ref="G68:H68"/>
    <mergeCell ref="G69:H69"/>
    <mergeCell ref="A70:C70"/>
    <mergeCell ref="A69:C69"/>
    <mergeCell ref="A90:C90"/>
    <mergeCell ref="G90:H90"/>
    <mergeCell ref="A79:C79"/>
    <mergeCell ref="G74:H74"/>
    <mergeCell ref="G75:H75"/>
    <mergeCell ref="A74:C74"/>
    <mergeCell ref="G87:H87"/>
    <mergeCell ref="A75:C75"/>
    <mergeCell ref="A78:C78"/>
    <mergeCell ref="G70:H70"/>
    <mergeCell ref="A71:C71"/>
    <mergeCell ref="G71:H71"/>
    <mergeCell ref="A72:C72"/>
    <mergeCell ref="A73:C73"/>
    <mergeCell ref="A77:C77"/>
    <mergeCell ref="G78:H78"/>
    <mergeCell ref="A65:C65"/>
    <mergeCell ref="G65:H65"/>
    <mergeCell ref="G55:H55"/>
    <mergeCell ref="G57:H57"/>
    <mergeCell ref="A54:C54"/>
    <mergeCell ref="A55:C55"/>
    <mergeCell ref="A56:C56"/>
    <mergeCell ref="A66:C66"/>
    <mergeCell ref="G66:H66"/>
    <mergeCell ref="G54:H54"/>
    <mergeCell ref="A63:C64"/>
    <mergeCell ref="D63:D64"/>
    <mergeCell ref="E63:E64"/>
    <mergeCell ref="F63:F64"/>
    <mergeCell ref="A60:C60"/>
    <mergeCell ref="G60:H60"/>
    <mergeCell ref="G56:H56"/>
    <mergeCell ref="A57:C57"/>
    <mergeCell ref="A58:C58"/>
    <mergeCell ref="A59:C59"/>
    <mergeCell ref="AN63:AN64"/>
    <mergeCell ref="G48:H48"/>
    <mergeCell ref="A51:C51"/>
    <mergeCell ref="G51:H51"/>
    <mergeCell ref="A50:C50"/>
    <mergeCell ref="G49:H49"/>
    <mergeCell ref="G50:H50"/>
    <mergeCell ref="G52:H52"/>
    <mergeCell ref="G53:H53"/>
    <mergeCell ref="A52:C52"/>
    <mergeCell ref="AO3:AO4"/>
    <mergeCell ref="A3:C4"/>
    <mergeCell ref="AN3:AN4"/>
    <mergeCell ref="A5:C5"/>
    <mergeCell ref="B6:C6"/>
    <mergeCell ref="B13:C13"/>
    <mergeCell ref="A32:B35"/>
    <mergeCell ref="B18:C18"/>
    <mergeCell ref="AN38:AN39"/>
    <mergeCell ref="A38:C39"/>
    <mergeCell ref="D38:D39"/>
    <mergeCell ref="E38:E39"/>
    <mergeCell ref="G38:H38"/>
    <mergeCell ref="G39:H39"/>
    <mergeCell ref="A40:C40"/>
    <mergeCell ref="G40:H40"/>
    <mergeCell ref="A41:C41"/>
    <mergeCell ref="G41:H41"/>
    <mergeCell ref="G63:H63"/>
    <mergeCell ref="G64:H64"/>
    <mergeCell ref="A53:C53"/>
    <mergeCell ref="A48:C48"/>
    <mergeCell ref="A42:C42"/>
    <mergeCell ref="G42:H42"/>
    <mergeCell ref="G46:H46"/>
    <mergeCell ref="A45:C45"/>
    <mergeCell ref="G47:H47"/>
    <mergeCell ref="A43:C43"/>
    <mergeCell ref="G43:H43"/>
    <mergeCell ref="A44:C44"/>
    <mergeCell ref="G44:H44"/>
    <mergeCell ref="G58:H58"/>
    <mergeCell ref="G59:H59"/>
    <mergeCell ref="A49:C49"/>
    <mergeCell ref="G45:H45"/>
    <mergeCell ref="A46:C46"/>
    <mergeCell ref="A47:C47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03"/>
  <sheetViews>
    <sheetView zoomScale="70" workbookViewId="0">
      <pane xSplit="3" ySplit="5" topLeftCell="D6" activePane="bottomRight" state="frozen"/>
      <selection pane="bottomRight" activeCell="K79" sqref="K79"/>
      <selection pane="bottomLeft" activeCell="A6" sqref="A6"/>
      <selection pane="topRight" activeCell="D1" sqref="D1"/>
    </sheetView>
  </sheetViews>
  <sheetFormatPr defaultRowHeight="17.100000000000001"/>
  <cols>
    <col min="1" max="2" width="9" style="74"/>
    <col min="3" max="3" width="18.125" style="74" bestFit="1" customWidth="1"/>
    <col min="4" max="4" width="18.375" style="73" bestFit="1" customWidth="1"/>
    <col min="5" max="34" width="17.75" style="73" customWidth="1"/>
    <col min="35" max="36" width="17.75" customWidth="1"/>
    <col min="37" max="37" width="17.75" bestFit="1" customWidth="1"/>
    <col min="38" max="70" width="17.75" customWidth="1"/>
    <col min="71" max="71" width="10.5" bestFit="1" customWidth="1"/>
  </cols>
  <sheetData>
    <row r="1" spans="1:37" ht="21.6">
      <c r="A1" s="72" t="s">
        <v>66</v>
      </c>
      <c r="B1" s="72"/>
      <c r="C1" s="72"/>
    </row>
    <row r="4" spans="1:37" s="77" customFormat="1" ht="22.7" customHeight="1">
      <c r="A4" s="674" t="s">
        <v>1</v>
      </c>
      <c r="B4" s="674" t="s">
        <v>67</v>
      </c>
      <c r="C4" s="544" t="str">
        <f>YEAR(日期!C2)&amp;"年"&amp;MONTH(日期!C2)&amp;"月"</f>
        <v>2024年12月</v>
      </c>
      <c r="D4" s="545" t="str">
        <f>日期!C2</f>
        <v>2024/12/01</v>
      </c>
      <c r="E4" s="545" t="str">
        <f>日期!D2</f>
        <v>2024/12/02</v>
      </c>
      <c r="F4" s="545" t="str">
        <f>日期!E2</f>
        <v>2024/12/03</v>
      </c>
      <c r="G4" s="545" t="str">
        <f>日期!F2</f>
        <v>2024/12/04</v>
      </c>
      <c r="H4" s="545" t="str">
        <f>日期!G2</f>
        <v>2024/12/05</v>
      </c>
      <c r="I4" s="545" t="str">
        <f>日期!H2</f>
        <v>2024/12/06</v>
      </c>
      <c r="J4" s="545" t="str">
        <f>日期!I2</f>
        <v>2024/12/07</v>
      </c>
      <c r="K4" s="545" t="str">
        <f>日期!J2</f>
        <v>2024/12/08</v>
      </c>
      <c r="L4" s="545" t="str">
        <f>日期!K2</f>
        <v>2024/12/09</v>
      </c>
      <c r="M4" s="545" t="str">
        <f>日期!L2</f>
        <v>2024/12/10</v>
      </c>
      <c r="N4" s="545" t="str">
        <f>日期!M2</f>
        <v>2024/12/11</v>
      </c>
      <c r="O4" s="545" t="str">
        <f>日期!N2</f>
        <v>2024/12/12</v>
      </c>
      <c r="P4" s="545" t="str">
        <f>日期!O2</f>
        <v>2024/12/13</v>
      </c>
      <c r="Q4" s="545" t="str">
        <f>日期!P2</f>
        <v>2024/12/14</v>
      </c>
      <c r="R4" s="545" t="str">
        <f>日期!Q2</f>
        <v>2024/12/15</v>
      </c>
      <c r="S4" s="545" t="str">
        <f>日期!R2</f>
        <v>2024/12/16</v>
      </c>
      <c r="T4" s="545" t="str">
        <f>日期!S2</f>
        <v>2024/12/17</v>
      </c>
      <c r="U4" s="545" t="str">
        <f>日期!T2</f>
        <v>2024/12/18</v>
      </c>
      <c r="V4" s="545" t="str">
        <f>日期!U2</f>
        <v>2024/12/19</v>
      </c>
      <c r="W4" s="545" t="str">
        <f>日期!V2</f>
        <v>2024/12/20</v>
      </c>
      <c r="X4" s="545" t="str">
        <f>日期!W2</f>
        <v>2024/12/21</v>
      </c>
      <c r="Y4" s="545" t="str">
        <f>日期!X2</f>
        <v>2024/12/22</v>
      </c>
      <c r="Z4" s="545" t="str">
        <f>日期!Y2</f>
        <v>2024/12/23</v>
      </c>
      <c r="AA4" s="545" t="str">
        <f>日期!Z2</f>
        <v>2024/12/24</v>
      </c>
      <c r="AB4" s="545" t="str">
        <f>日期!AA2</f>
        <v>2024/12/25</v>
      </c>
      <c r="AC4" s="545" t="str">
        <f>日期!AB2</f>
        <v>2024/12/26</v>
      </c>
      <c r="AD4" s="545" t="str">
        <f>日期!AC2</f>
        <v>2024/12/27</v>
      </c>
      <c r="AE4" s="545" t="str">
        <f>日期!AD2</f>
        <v>2024/12/28</v>
      </c>
      <c r="AF4" s="545" t="str">
        <f>日期!AE2</f>
        <v>2024/12/29</v>
      </c>
      <c r="AG4" s="545" t="str">
        <f>日期!AF2</f>
        <v>2024/12/30</v>
      </c>
      <c r="AH4" s="545" t="str">
        <f>日期!AG2</f>
        <v>2024/12/31</v>
      </c>
      <c r="AI4" s="674" t="s">
        <v>68</v>
      </c>
      <c r="AJ4" s="674" t="s">
        <v>69</v>
      </c>
      <c r="AK4" s="544" t="str">
        <f>YEAR(日期!C2)&amp;"年"&amp;MONTH(日期!C2)+1&amp;"月"</f>
        <v>2024年13月</v>
      </c>
    </row>
    <row r="5" spans="1:37" s="77" customFormat="1" ht="27" customHeight="1">
      <c r="A5" s="675"/>
      <c r="B5" s="675"/>
      <c r="C5" s="546" t="s">
        <v>70</v>
      </c>
      <c r="D5" s="547" t="str">
        <f>日期!C3</f>
        <v>Sun</v>
      </c>
      <c r="E5" s="547" t="str">
        <f>日期!D3</f>
        <v>Mon</v>
      </c>
      <c r="F5" s="547" t="str">
        <f>日期!E3</f>
        <v>Tue</v>
      </c>
      <c r="G5" s="547" t="str">
        <f>日期!F3</f>
        <v>Wed</v>
      </c>
      <c r="H5" s="547" t="str">
        <f>日期!G3</f>
        <v>Thu</v>
      </c>
      <c r="I5" s="547" t="str">
        <f>日期!H3</f>
        <v>Fri</v>
      </c>
      <c r="J5" s="547" t="str">
        <f>日期!I3</f>
        <v>Sat</v>
      </c>
      <c r="K5" s="547" t="str">
        <f>日期!J3</f>
        <v>Sun</v>
      </c>
      <c r="L5" s="547" t="str">
        <f>日期!K3</f>
        <v>Mon</v>
      </c>
      <c r="M5" s="547" t="str">
        <f>日期!L3</f>
        <v>Tue</v>
      </c>
      <c r="N5" s="547" t="str">
        <f>日期!M3</f>
        <v>Wed</v>
      </c>
      <c r="O5" s="547" t="str">
        <f>日期!N3</f>
        <v>Thu</v>
      </c>
      <c r="P5" s="547" t="str">
        <f>日期!O3</f>
        <v>Fri</v>
      </c>
      <c r="Q5" s="547" t="str">
        <f>日期!P3</f>
        <v>Sat</v>
      </c>
      <c r="R5" s="547" t="str">
        <f>日期!Q3</f>
        <v>Sun</v>
      </c>
      <c r="S5" s="547" t="str">
        <f>日期!R3</f>
        <v>Mon</v>
      </c>
      <c r="T5" s="547" t="str">
        <f>日期!S3</f>
        <v>Tue</v>
      </c>
      <c r="U5" s="547" t="str">
        <f>日期!T3</f>
        <v>Wed</v>
      </c>
      <c r="V5" s="547" t="str">
        <f>日期!U3</f>
        <v>Thu</v>
      </c>
      <c r="W5" s="547" t="str">
        <f>日期!V3</f>
        <v>Fri</v>
      </c>
      <c r="X5" s="547" t="str">
        <f>日期!W3</f>
        <v>Sat</v>
      </c>
      <c r="Y5" s="547" t="str">
        <f>日期!X3</f>
        <v>Sun</v>
      </c>
      <c r="Z5" s="547" t="str">
        <f>日期!Y3</f>
        <v>Mon</v>
      </c>
      <c r="AA5" s="547" t="str">
        <f>日期!Z3</f>
        <v>Tue</v>
      </c>
      <c r="AB5" s="547" t="str">
        <f>日期!AA3</f>
        <v>Wed</v>
      </c>
      <c r="AC5" s="547" t="str">
        <f>日期!AB3</f>
        <v>Thu</v>
      </c>
      <c r="AD5" s="547" t="str">
        <f>日期!AC3</f>
        <v>Fri</v>
      </c>
      <c r="AE5" s="547" t="str">
        <f>日期!AD3</f>
        <v>Sat</v>
      </c>
      <c r="AF5" s="547" t="str">
        <f>日期!AE3</f>
        <v>Sun</v>
      </c>
      <c r="AG5" s="547" t="str">
        <f>日期!AF3</f>
        <v>Mon</v>
      </c>
      <c r="AH5" s="547" t="str">
        <f>日期!AG3</f>
        <v>Tue</v>
      </c>
      <c r="AI5" s="675"/>
      <c r="AJ5" s="675"/>
      <c r="AK5" s="548" t="s">
        <v>71</v>
      </c>
    </row>
    <row r="6" spans="1:37" ht="17.45">
      <c r="A6" s="64" t="s">
        <v>72</v>
      </c>
      <c r="B6" s="64">
        <v>1</v>
      </c>
      <c r="C6" s="82">
        <f>HLOOKUP(MONTH(日期!$C$2),A類各進口別庫存金額目標!$B$2:$M$7,4,TRUE)</f>
        <v>144870418.56809992</v>
      </c>
      <c r="D6" s="88">
        <f>VALUE(庫存金額A類!C2)</f>
        <v>115039794</v>
      </c>
      <c r="E6" s="88">
        <f>VALUE(庫存金額A類!D2)</f>
        <v>114562073</v>
      </c>
      <c r="F6" s="88">
        <f>VALUE(庫存金額A類!E2)</f>
        <v>113954915</v>
      </c>
      <c r="G6" s="88">
        <f>VALUE(庫存金額A類!F2)</f>
        <v>116540171</v>
      </c>
      <c r="H6" s="88">
        <f>VALUE(庫存金額A類!G2)</f>
        <v>121335879</v>
      </c>
      <c r="I6" s="88">
        <f>VALUE(庫存金額A類!H2)</f>
        <v>126274020</v>
      </c>
      <c r="J6" s="88">
        <f>VALUE(庫存金額A類!I2)</f>
        <v>123571625</v>
      </c>
      <c r="K6" s="88">
        <f>VALUE(庫存金額A類!J2)</f>
        <v>123566056</v>
      </c>
      <c r="L6" s="88">
        <f>VALUE(庫存金額A類!K2)</f>
        <v>123887029</v>
      </c>
      <c r="M6" s="88">
        <f>VALUE(庫存金額A類!L2)</f>
        <v>122218016</v>
      </c>
      <c r="N6" s="88">
        <f>VALUE(庫存金額A類!M2)</f>
        <v>121827250</v>
      </c>
      <c r="O6" s="88">
        <f>VALUE(庫存金額A類!N2)</f>
        <v>120290627</v>
      </c>
      <c r="P6" s="88">
        <f>VALUE(庫存金額A類!O2)</f>
        <v>121561086</v>
      </c>
      <c r="Q6" s="88">
        <f>VALUE(庫存金額A類!P2)</f>
        <v>121562851</v>
      </c>
      <c r="R6" s="88">
        <f>VALUE(庫存金額A類!Q2)</f>
        <v>121011381</v>
      </c>
      <c r="S6" s="88">
        <f>VALUE(庫存金額A類!R2)</f>
        <v>119694976</v>
      </c>
      <c r="T6" s="88">
        <f>VALUE(庫存金額A類!S2)</f>
        <v>121762650</v>
      </c>
      <c r="U6" s="88">
        <f>VALUE(庫存金額A類!T2)</f>
        <v>126781925</v>
      </c>
      <c r="V6" s="88">
        <f>VALUE(庫存金額A類!U2)</f>
        <v>126453070</v>
      </c>
      <c r="W6" s="88">
        <f>VALUE(庫存金額A類!V2)</f>
        <v>127499981</v>
      </c>
      <c r="X6" s="88">
        <f>VALUE(庫存金額A類!W2)</f>
        <v>125081541</v>
      </c>
      <c r="Y6" s="88">
        <f>VALUE(庫存金額A類!X2)</f>
        <v>125081790</v>
      </c>
      <c r="Z6" s="88">
        <f>VALUE(庫存金額A類!Y2)</f>
        <v>125120712</v>
      </c>
      <c r="AA6" s="88">
        <f>VALUE(庫存金額A類!Z2)</f>
        <v>124925519</v>
      </c>
      <c r="AB6" s="88">
        <f>VALUE(庫存金額A類!AA2)</f>
        <v>128324063</v>
      </c>
      <c r="AC6" s="88">
        <f>VALUE(庫存金額A類!AB2)</f>
        <v>129688441</v>
      </c>
      <c r="AD6" s="88">
        <f>VALUE(庫存金額A類!AC2)</f>
        <v>132411459</v>
      </c>
      <c r="AE6" s="88">
        <f>VALUE(庫存金額A類!AD2)</f>
        <v>129523806</v>
      </c>
      <c r="AF6" s="88">
        <f>VALUE(庫存金額A類!AE2)</f>
        <v>129516616</v>
      </c>
      <c r="AG6" s="88">
        <f>VALUE(庫存金額A類!AF2)</f>
        <v>131362406</v>
      </c>
      <c r="AH6" s="88">
        <f>VALUE(庫存金額A類!AG2)</f>
        <v>132005294</v>
      </c>
      <c r="AI6" s="88">
        <f>VALUE(庫存金額A類!AH2)</f>
        <v>123949581.34999999</v>
      </c>
      <c r="AJ6" s="549">
        <f>AI6/AI9</f>
        <v>0.4462877176189704</v>
      </c>
      <c r="AK6" s="82">
        <f>HLOOKUP(MONTH(日期!$C$2)+1,A類各進口別庫存金額目標!$B$2:$M$7,4,TRUE)</f>
        <v>144870418.56809992</v>
      </c>
    </row>
    <row r="7" spans="1:37" ht="17.45">
      <c r="A7" s="64" t="s">
        <v>72</v>
      </c>
      <c r="B7" s="64">
        <v>3</v>
      </c>
      <c r="C7" s="82">
        <f>HLOOKUP(MONTH(日期!$C$2),A類各進口別庫存金額目標!$B$2:$M$7,5,TRUE)</f>
        <v>125381859.12117574</v>
      </c>
      <c r="D7" s="88">
        <f>VALUE(庫存金額A類!C3)</f>
        <v>122165839</v>
      </c>
      <c r="E7" s="88">
        <f>VALUE(庫存金額A類!D3)</f>
        <v>122381209</v>
      </c>
      <c r="F7" s="88">
        <f>VALUE(庫存金額A類!E3)</f>
        <v>119057946</v>
      </c>
      <c r="G7" s="88">
        <f>VALUE(庫存金額A類!F3)</f>
        <v>119799112</v>
      </c>
      <c r="H7" s="88">
        <f>VALUE(庫存金額A類!G3)</f>
        <v>118247834</v>
      </c>
      <c r="I7" s="88">
        <f>VALUE(庫存金額A類!H3)</f>
        <v>118927084</v>
      </c>
      <c r="J7" s="88">
        <f>VALUE(庫存金額A類!I3)</f>
        <v>115749023</v>
      </c>
      <c r="K7" s="88">
        <f>VALUE(庫存金額A類!J3)</f>
        <v>115724595</v>
      </c>
      <c r="L7" s="88">
        <f>VALUE(庫存金額A類!K3)</f>
        <v>117126150</v>
      </c>
      <c r="M7" s="88">
        <f>VALUE(庫存金額A類!L3)</f>
        <v>115656918</v>
      </c>
      <c r="N7" s="88">
        <f>VALUE(庫存金額A類!M3)</f>
        <v>116485832</v>
      </c>
      <c r="O7" s="88">
        <f>VALUE(庫存金額A類!N3)</f>
        <v>115441584</v>
      </c>
      <c r="P7" s="88">
        <f>VALUE(庫存金額A類!O3)</f>
        <v>116128158</v>
      </c>
      <c r="Q7" s="88">
        <f>VALUE(庫存金額A類!P3)</f>
        <v>116129443</v>
      </c>
      <c r="R7" s="88">
        <f>VALUE(庫存金額A類!Q3)</f>
        <v>115360460</v>
      </c>
      <c r="S7" s="88">
        <f>VALUE(庫存金額A類!R3)</f>
        <v>115977339</v>
      </c>
      <c r="T7" s="88">
        <f>VALUE(庫存金額A類!S3)</f>
        <v>115752538</v>
      </c>
      <c r="U7" s="88">
        <f>VALUE(庫存金額A類!T3)</f>
        <v>115850088</v>
      </c>
      <c r="V7" s="88">
        <f>VALUE(庫存金額A類!U3)</f>
        <v>117177098</v>
      </c>
      <c r="W7" s="88">
        <f>VALUE(庫存金額A類!V3)</f>
        <v>116611091</v>
      </c>
      <c r="X7" s="88">
        <f>VALUE(庫存金額A類!W3)</f>
        <v>117328405</v>
      </c>
      <c r="Y7" s="88">
        <f>VALUE(庫存金額A類!X3)</f>
        <v>117318090</v>
      </c>
      <c r="Z7" s="88">
        <f>VALUE(庫存金額A類!Y3)</f>
        <v>119231881</v>
      </c>
      <c r="AA7" s="88">
        <f>VALUE(庫存金額A類!Z3)</f>
        <v>118636462</v>
      </c>
      <c r="AB7" s="88">
        <f>VALUE(庫存金額A類!AA3)</f>
        <v>119593258</v>
      </c>
      <c r="AC7" s="88">
        <f>VALUE(庫存金額A類!AB3)</f>
        <v>122288170</v>
      </c>
      <c r="AD7" s="88">
        <f>VALUE(庫存金額A類!AC3)</f>
        <v>123710986</v>
      </c>
      <c r="AE7" s="88">
        <f>VALUE(庫存金額A類!AD3)</f>
        <v>125669186</v>
      </c>
      <c r="AF7" s="88">
        <f>VALUE(庫存金額A類!AE3)</f>
        <v>125644721</v>
      </c>
      <c r="AG7" s="88">
        <f>VALUE(庫存金額A類!AF3)</f>
        <v>125104507</v>
      </c>
      <c r="AH7" s="88">
        <f>VALUE(庫存金額A類!AG3)</f>
        <v>123221540</v>
      </c>
      <c r="AI7" s="88">
        <f>VALUE(庫存金額A類!AH3)</f>
        <v>118822469.26000001</v>
      </c>
      <c r="AJ7" s="549">
        <f>AI7/AI9</f>
        <v>0.42782725064763338</v>
      </c>
      <c r="AK7" s="82">
        <f>HLOOKUP(MONTH(日期!$C$2)+1,A類各進口別庫存金額目標!$B$2:$M$7,5,TRUE)</f>
        <v>125381859.12117574</v>
      </c>
    </row>
    <row r="8" spans="1:37" ht="17.45">
      <c r="A8" s="64" t="s">
        <v>72</v>
      </c>
      <c r="B8" s="64">
        <v>4</v>
      </c>
      <c r="C8" s="82">
        <f>HLOOKUP(MONTH(日期!$C$2),A類各進口別庫存金額目標!$B$2:$M$7,6,TRUE)</f>
        <v>33481487.571911387</v>
      </c>
      <c r="D8" s="88">
        <f>VALUE(庫存金額A類!C4)</f>
        <v>38518395</v>
      </c>
      <c r="E8" s="88">
        <f>VALUE(庫存金額A類!D4)</f>
        <v>37071755</v>
      </c>
      <c r="F8" s="88">
        <f>VALUE(庫存金額A類!E4)</f>
        <v>35822677</v>
      </c>
      <c r="G8" s="88">
        <f>VALUE(庫存金額A類!F4)</f>
        <v>34409197</v>
      </c>
      <c r="H8" s="88">
        <f>VALUE(庫存金額A類!G4)</f>
        <v>33325291</v>
      </c>
      <c r="I8" s="88">
        <f>VALUE(庫存金額A類!H4)</f>
        <v>32058203</v>
      </c>
      <c r="J8" s="88">
        <f>VALUE(庫存金額A類!I4)</f>
        <v>30981710</v>
      </c>
      <c r="K8" s="88">
        <f>VALUE(庫存金額A類!J4)</f>
        <v>30981020</v>
      </c>
      <c r="L8" s="88">
        <f>VALUE(庫存金額A類!K4)</f>
        <v>29628616</v>
      </c>
      <c r="M8" s="88">
        <f>VALUE(庫存金額A類!L4)</f>
        <v>30226540</v>
      </c>
      <c r="N8" s="88">
        <f>VALUE(庫存金額A類!M4)</f>
        <v>30012499</v>
      </c>
      <c r="O8" s="88">
        <f>VALUE(庫存金額A類!N4)</f>
        <v>30162888</v>
      </c>
      <c r="P8" s="88">
        <f>VALUE(庫存金額A類!O4)</f>
        <v>32001363</v>
      </c>
      <c r="Q8" s="88">
        <f>VALUE(庫存金額A類!P4)</f>
        <v>32001363</v>
      </c>
      <c r="R8" s="88">
        <f>VALUE(庫存金額A類!Q4)</f>
        <v>31955990</v>
      </c>
      <c r="S8" s="88">
        <f>VALUE(庫存金額A類!R4)</f>
        <v>30615208</v>
      </c>
      <c r="T8" s="88">
        <f>VALUE(庫存金額A類!S4)</f>
        <v>32994927</v>
      </c>
      <c r="U8" s="88">
        <f>VALUE(庫存金額A類!T4)</f>
        <v>33347424</v>
      </c>
      <c r="V8" s="88">
        <f>VALUE(庫存金額A類!U4)</f>
        <v>33794815</v>
      </c>
      <c r="W8" s="88">
        <f>VALUE(庫存金額A類!V4)</f>
        <v>34295678</v>
      </c>
      <c r="X8" s="88">
        <f>VALUE(庫存金額A類!W4)</f>
        <v>33357408</v>
      </c>
      <c r="Y8" s="88">
        <f>VALUE(庫存金額A類!X4)</f>
        <v>33355091</v>
      </c>
      <c r="Z8" s="88">
        <f>VALUE(庫存金額A類!Y4)</f>
        <v>33157976</v>
      </c>
      <c r="AA8" s="88">
        <f>VALUE(庫存金額A類!Z4)</f>
        <v>39220935</v>
      </c>
      <c r="AB8" s="88">
        <f>VALUE(庫存金額A類!AA4)</f>
        <v>40258727</v>
      </c>
      <c r="AC8" s="88">
        <f>VALUE(庫存金額A類!AB4)</f>
        <v>39362879</v>
      </c>
      <c r="AD8" s="88">
        <f>VALUE(庫存金額A類!AC4)</f>
        <v>41791034</v>
      </c>
      <c r="AE8" s="88">
        <f>VALUE(庫存金額A類!AD4)</f>
        <v>41115576</v>
      </c>
      <c r="AF8" s="88">
        <f>VALUE(庫存金額A類!AE4)</f>
        <v>41115056</v>
      </c>
      <c r="AG8" s="88">
        <f>VALUE(庫存金額A類!AF4)</f>
        <v>44096090</v>
      </c>
      <c r="AH8" s="88">
        <f>VALUE(庫存金額A類!AG4)</f>
        <v>42805521</v>
      </c>
      <c r="AI8" s="88">
        <f>VALUE(庫存金額A類!AH4)</f>
        <v>34962640.390000001</v>
      </c>
      <c r="AJ8" s="549">
        <f>AI8/AI9</f>
        <v>0.12588503173339624</v>
      </c>
      <c r="AK8" s="82">
        <f>HLOOKUP(MONTH(日期!$C$2)+1,A類各進口別庫存金額目標!$B$2:$M$7,6,TRUE)</f>
        <v>33481487.571911387</v>
      </c>
    </row>
    <row r="9" spans="1:37" ht="19.5">
      <c r="A9" s="682" t="s">
        <v>73</v>
      </c>
      <c r="B9" s="682"/>
      <c r="C9" s="83">
        <f>SUM(C6:C8)</f>
        <v>303733765.26118702</v>
      </c>
      <c r="D9" s="84">
        <f t="shared" ref="D9:AH9" si="0">SUM(D6:D8)</f>
        <v>275724028</v>
      </c>
      <c r="E9" s="84">
        <f t="shared" si="0"/>
        <v>274015037</v>
      </c>
      <c r="F9" s="84">
        <f t="shared" si="0"/>
        <v>268835538</v>
      </c>
      <c r="G9" s="84">
        <f t="shared" si="0"/>
        <v>270748480</v>
      </c>
      <c r="H9" s="84">
        <f t="shared" si="0"/>
        <v>272909004</v>
      </c>
      <c r="I9" s="84">
        <f t="shared" si="0"/>
        <v>277259307</v>
      </c>
      <c r="J9" s="84">
        <f t="shared" si="0"/>
        <v>270302358</v>
      </c>
      <c r="K9" s="84">
        <f t="shared" si="0"/>
        <v>270271671</v>
      </c>
      <c r="L9" s="84">
        <f t="shared" si="0"/>
        <v>270641795</v>
      </c>
      <c r="M9" s="84">
        <f t="shared" si="0"/>
        <v>268101474</v>
      </c>
      <c r="N9" s="84">
        <f t="shared" si="0"/>
        <v>268325581</v>
      </c>
      <c r="O9" s="84">
        <f t="shared" si="0"/>
        <v>265895099</v>
      </c>
      <c r="P9" s="84">
        <f t="shared" si="0"/>
        <v>269690607</v>
      </c>
      <c r="Q9" s="84">
        <f>SUM(Q6:Q8)</f>
        <v>269693657</v>
      </c>
      <c r="R9" s="84">
        <f t="shared" si="0"/>
        <v>268327831</v>
      </c>
      <c r="S9" s="84">
        <f t="shared" si="0"/>
        <v>266287523</v>
      </c>
      <c r="T9" s="84">
        <f t="shared" si="0"/>
        <v>270510115</v>
      </c>
      <c r="U9" s="84">
        <f t="shared" si="0"/>
        <v>275979437</v>
      </c>
      <c r="V9" s="84">
        <f t="shared" si="0"/>
        <v>277424983</v>
      </c>
      <c r="W9" s="84">
        <f t="shared" si="0"/>
        <v>278406750</v>
      </c>
      <c r="X9" s="84">
        <f t="shared" si="0"/>
        <v>275767354</v>
      </c>
      <c r="Y9" s="84">
        <f t="shared" si="0"/>
        <v>275754971</v>
      </c>
      <c r="Z9" s="84">
        <f t="shared" si="0"/>
        <v>277510569</v>
      </c>
      <c r="AA9" s="84">
        <f t="shared" si="0"/>
        <v>282782916</v>
      </c>
      <c r="AB9" s="84">
        <f>SUM(AB6:AB8)</f>
        <v>288176048</v>
      </c>
      <c r="AC9" s="84">
        <f t="shared" si="0"/>
        <v>291339490</v>
      </c>
      <c r="AD9" s="84">
        <f t="shared" si="0"/>
        <v>297913479</v>
      </c>
      <c r="AE9" s="84">
        <f t="shared" si="0"/>
        <v>296308568</v>
      </c>
      <c r="AF9" s="84">
        <f t="shared" si="0"/>
        <v>296276393</v>
      </c>
      <c r="AG9" s="84">
        <f t="shared" si="0"/>
        <v>300563003</v>
      </c>
      <c r="AH9" s="84">
        <f t="shared" si="0"/>
        <v>298032355</v>
      </c>
      <c r="AI9" s="84">
        <f>SUM(AI6:AI8)</f>
        <v>277734691</v>
      </c>
      <c r="AJ9" s="550">
        <f>AI9/AI$9</f>
        <v>1</v>
      </c>
      <c r="AK9" s="83">
        <f>SUM(AK6:AK8)</f>
        <v>303733765.26118702</v>
      </c>
    </row>
    <row r="10" spans="1:37">
      <c r="AI10" s="98">
        <f>AI9-C9</f>
        <v>-25999074.261187017</v>
      </c>
    </row>
    <row r="14" spans="1:37" s="77" customFormat="1" ht="18" hidden="1" customHeight="1">
      <c r="A14" s="676" t="s">
        <v>1</v>
      </c>
      <c r="B14" s="678" t="s">
        <v>67</v>
      </c>
      <c r="C14" s="680" t="s">
        <v>74</v>
      </c>
      <c r="D14" s="10" t="s">
        <v>75</v>
      </c>
      <c r="E14" s="10" t="s">
        <v>76</v>
      </c>
      <c r="F14" s="10" t="s">
        <v>77</v>
      </c>
      <c r="G14" s="10" t="s">
        <v>78</v>
      </c>
      <c r="H14" s="10" t="s">
        <v>79</v>
      </c>
      <c r="I14" s="10" t="s">
        <v>80</v>
      </c>
      <c r="J14" s="10" t="s">
        <v>81</v>
      </c>
      <c r="K14" s="10" t="s">
        <v>82</v>
      </c>
      <c r="L14" s="10" t="s">
        <v>83</v>
      </c>
      <c r="M14" s="10" t="s">
        <v>84</v>
      </c>
      <c r="N14" s="10" t="s">
        <v>85</v>
      </c>
      <c r="O14" s="10" t="s">
        <v>86</v>
      </c>
      <c r="P14" s="10" t="s">
        <v>87</v>
      </c>
      <c r="Q14" s="10" t="s">
        <v>88</v>
      </c>
      <c r="R14" s="10" t="s">
        <v>89</v>
      </c>
      <c r="S14" s="10" t="s">
        <v>90</v>
      </c>
      <c r="T14" s="10" t="s">
        <v>91</v>
      </c>
      <c r="U14" s="10" t="s">
        <v>92</v>
      </c>
      <c r="V14" s="10" t="s">
        <v>93</v>
      </c>
      <c r="W14" s="10" t="s">
        <v>94</v>
      </c>
      <c r="X14" s="10" t="s">
        <v>95</v>
      </c>
      <c r="Y14" s="10" t="s">
        <v>96</v>
      </c>
      <c r="Z14" s="10" t="s">
        <v>97</v>
      </c>
      <c r="AA14" s="10" t="s">
        <v>98</v>
      </c>
      <c r="AB14" s="10" t="s">
        <v>99</v>
      </c>
      <c r="AC14" s="10" t="s">
        <v>100</v>
      </c>
      <c r="AD14" s="10" t="s">
        <v>101</v>
      </c>
      <c r="AE14" s="10" t="s">
        <v>102</v>
      </c>
      <c r="AF14" s="10" t="s">
        <v>103</v>
      </c>
      <c r="AG14" s="10" t="s">
        <v>104</v>
      </c>
      <c r="AH14" s="10" t="s">
        <v>105</v>
      </c>
      <c r="AI14" s="672" t="s">
        <v>68</v>
      </c>
      <c r="AJ14" s="683" t="s">
        <v>69</v>
      </c>
    </row>
    <row r="15" spans="1:37" s="77" customFormat="1" ht="18" hidden="1" thickBot="1">
      <c r="A15" s="677"/>
      <c r="B15" s="679"/>
      <c r="C15" s="681"/>
      <c r="D15" s="12" t="s">
        <v>106</v>
      </c>
      <c r="E15" s="12" t="s">
        <v>107</v>
      </c>
      <c r="F15" s="12" t="s">
        <v>108</v>
      </c>
      <c r="G15" s="12" t="s">
        <v>109</v>
      </c>
      <c r="H15" s="12" t="s">
        <v>110</v>
      </c>
      <c r="I15" s="12" t="s">
        <v>111</v>
      </c>
      <c r="J15" s="12" t="s">
        <v>112</v>
      </c>
      <c r="K15" s="12" t="s">
        <v>106</v>
      </c>
      <c r="L15" s="12" t="s">
        <v>107</v>
      </c>
      <c r="M15" s="12" t="s">
        <v>108</v>
      </c>
      <c r="N15" s="12" t="s">
        <v>109</v>
      </c>
      <c r="O15" s="12" t="s">
        <v>110</v>
      </c>
      <c r="P15" s="12" t="s">
        <v>111</v>
      </c>
      <c r="Q15" s="12" t="s">
        <v>112</v>
      </c>
      <c r="R15" s="12" t="s">
        <v>106</v>
      </c>
      <c r="S15" s="12" t="s">
        <v>107</v>
      </c>
      <c r="T15" s="12" t="s">
        <v>108</v>
      </c>
      <c r="U15" s="12" t="s">
        <v>109</v>
      </c>
      <c r="V15" s="12" t="s">
        <v>110</v>
      </c>
      <c r="W15" s="12" t="s">
        <v>111</v>
      </c>
      <c r="X15" s="12" t="s">
        <v>112</v>
      </c>
      <c r="Y15" s="12" t="s">
        <v>106</v>
      </c>
      <c r="Z15" s="12" t="s">
        <v>107</v>
      </c>
      <c r="AA15" s="12" t="s">
        <v>108</v>
      </c>
      <c r="AB15" s="12" t="s">
        <v>109</v>
      </c>
      <c r="AC15" s="12" t="s">
        <v>110</v>
      </c>
      <c r="AD15" s="12" t="s">
        <v>111</v>
      </c>
      <c r="AE15" s="12" t="s">
        <v>112</v>
      </c>
      <c r="AF15" s="12" t="s">
        <v>106</v>
      </c>
      <c r="AG15" s="12" t="s">
        <v>107</v>
      </c>
      <c r="AH15" s="12" t="s">
        <v>108</v>
      </c>
      <c r="AI15" s="673"/>
      <c r="AJ15" s="684"/>
    </row>
    <row r="16" spans="1:37" ht="17.45" hidden="1">
      <c r="A16" s="62" t="s">
        <v>72</v>
      </c>
      <c r="B16" s="62">
        <v>1</v>
      </c>
      <c r="C16" s="79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5"/>
      <c r="AF16" s="86"/>
      <c r="AG16" s="80"/>
      <c r="AH16" s="80"/>
      <c r="AI16" s="87" t="e">
        <f>AVERAGE(D16:AH16)</f>
        <v>#DIV/0!</v>
      </c>
      <c r="AJ16" s="81" t="e">
        <f>AI16/AI$19</f>
        <v>#DIV/0!</v>
      </c>
    </row>
    <row r="17" spans="1:36" ht="17.45" hidden="1">
      <c r="A17" s="64" t="s">
        <v>72</v>
      </c>
      <c r="B17" s="64">
        <v>3</v>
      </c>
      <c r="C17" s="79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9"/>
      <c r="AF17" s="90"/>
      <c r="AG17" s="88"/>
      <c r="AH17" s="88"/>
      <c r="AI17" s="26" t="e">
        <f>AVERAGE(D17:AH17)</f>
        <v>#DIV/0!</v>
      </c>
      <c r="AJ17" s="81" t="e">
        <f>AI17/AI$19</f>
        <v>#DIV/0!</v>
      </c>
    </row>
    <row r="18" spans="1:36" ht="17.45" hidden="1">
      <c r="A18" s="64" t="s">
        <v>72</v>
      </c>
      <c r="B18" s="64">
        <v>4</v>
      </c>
      <c r="C18" s="79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9"/>
      <c r="AF18" s="90"/>
      <c r="AG18" s="88"/>
      <c r="AH18" s="88"/>
      <c r="AI18" s="26" t="e">
        <f>AVERAGE(D18:AH18)</f>
        <v>#DIV/0!</v>
      </c>
      <c r="AJ18" s="81" t="e">
        <f>AI18/AI$19</f>
        <v>#DIV/0!</v>
      </c>
    </row>
    <row r="19" spans="1:36" ht="19.5" hidden="1">
      <c r="A19" s="91" t="s">
        <v>73</v>
      </c>
      <c r="B19" s="92"/>
      <c r="C19" s="83">
        <f>SUM(C16:C18)</f>
        <v>0</v>
      </c>
      <c r="D19" s="84">
        <f t="shared" ref="D19:AI19" si="1">SUM(D16:D18)</f>
        <v>0</v>
      </c>
      <c r="E19" s="84">
        <f t="shared" si="1"/>
        <v>0</v>
      </c>
      <c r="F19" s="84">
        <f t="shared" si="1"/>
        <v>0</v>
      </c>
      <c r="G19" s="84">
        <f t="shared" si="1"/>
        <v>0</v>
      </c>
      <c r="H19" s="84">
        <f t="shared" si="1"/>
        <v>0</v>
      </c>
      <c r="I19" s="84">
        <f t="shared" si="1"/>
        <v>0</v>
      </c>
      <c r="J19" s="84">
        <f t="shared" si="1"/>
        <v>0</v>
      </c>
      <c r="K19" s="84">
        <f t="shared" si="1"/>
        <v>0</v>
      </c>
      <c r="L19" s="84">
        <f t="shared" si="1"/>
        <v>0</v>
      </c>
      <c r="M19" s="84">
        <f t="shared" si="1"/>
        <v>0</v>
      </c>
      <c r="N19" s="84">
        <f t="shared" si="1"/>
        <v>0</v>
      </c>
      <c r="O19" s="84">
        <f t="shared" si="1"/>
        <v>0</v>
      </c>
      <c r="P19" s="84">
        <f t="shared" si="1"/>
        <v>0</v>
      </c>
      <c r="Q19" s="84">
        <f t="shared" si="1"/>
        <v>0</v>
      </c>
      <c r="R19" s="84">
        <f t="shared" si="1"/>
        <v>0</v>
      </c>
      <c r="S19" s="84">
        <f t="shared" si="1"/>
        <v>0</v>
      </c>
      <c r="T19" s="84">
        <f t="shared" si="1"/>
        <v>0</v>
      </c>
      <c r="U19" s="84">
        <f t="shared" si="1"/>
        <v>0</v>
      </c>
      <c r="V19" s="84">
        <f t="shared" si="1"/>
        <v>0</v>
      </c>
      <c r="W19" s="84">
        <f t="shared" si="1"/>
        <v>0</v>
      </c>
      <c r="X19" s="84">
        <f t="shared" si="1"/>
        <v>0</v>
      </c>
      <c r="Y19" s="84">
        <f t="shared" si="1"/>
        <v>0</v>
      </c>
      <c r="Z19" s="84">
        <f t="shared" si="1"/>
        <v>0</v>
      </c>
      <c r="AA19" s="84">
        <f t="shared" si="1"/>
        <v>0</v>
      </c>
      <c r="AB19" s="84">
        <f t="shared" si="1"/>
        <v>0</v>
      </c>
      <c r="AC19" s="84">
        <f t="shared" si="1"/>
        <v>0</v>
      </c>
      <c r="AD19" s="84">
        <f t="shared" si="1"/>
        <v>0</v>
      </c>
      <c r="AE19" s="84">
        <f t="shared" si="1"/>
        <v>0</v>
      </c>
      <c r="AF19" s="84">
        <f t="shared" si="1"/>
        <v>0</v>
      </c>
      <c r="AG19" s="84">
        <f t="shared" si="1"/>
        <v>0</v>
      </c>
      <c r="AH19" s="84">
        <f t="shared" si="1"/>
        <v>0</v>
      </c>
      <c r="AI19" s="84" t="e">
        <f t="shared" si="1"/>
        <v>#DIV/0!</v>
      </c>
      <c r="AJ19" s="81" t="e">
        <f>AI19/AI$19</f>
        <v>#DIV/0!</v>
      </c>
    </row>
    <row r="20" spans="1:36" hidden="1"/>
    <row r="21" spans="1:36" hidden="1"/>
    <row r="22" spans="1:36" hidden="1"/>
    <row r="23" spans="1:36" hidden="1"/>
    <row r="24" spans="1:36" s="77" customFormat="1" ht="18" hidden="1" customHeight="1">
      <c r="A24" s="676" t="s">
        <v>1</v>
      </c>
      <c r="B24" s="678" t="s">
        <v>67</v>
      </c>
      <c r="C24" s="680" t="s">
        <v>74</v>
      </c>
      <c r="D24" s="10" t="s">
        <v>113</v>
      </c>
      <c r="E24" s="10" t="s">
        <v>114</v>
      </c>
      <c r="F24" s="10" t="s">
        <v>115</v>
      </c>
      <c r="G24" s="10" t="s">
        <v>116</v>
      </c>
      <c r="H24" s="10" t="s">
        <v>117</v>
      </c>
      <c r="I24" s="10" t="s">
        <v>118</v>
      </c>
      <c r="J24" s="10" t="s">
        <v>119</v>
      </c>
      <c r="K24" s="10" t="s">
        <v>120</v>
      </c>
      <c r="L24" s="10" t="s">
        <v>121</v>
      </c>
      <c r="M24" s="10" t="s">
        <v>122</v>
      </c>
      <c r="N24" s="10" t="s">
        <v>123</v>
      </c>
      <c r="O24" s="10" t="s">
        <v>124</v>
      </c>
      <c r="P24" s="10" t="s">
        <v>125</v>
      </c>
      <c r="Q24" s="10" t="s">
        <v>126</v>
      </c>
      <c r="R24" s="10" t="s">
        <v>127</v>
      </c>
      <c r="S24" s="10" t="s">
        <v>128</v>
      </c>
      <c r="T24" s="10" t="s">
        <v>129</v>
      </c>
      <c r="U24" s="10" t="s">
        <v>130</v>
      </c>
      <c r="V24" s="10" t="s">
        <v>131</v>
      </c>
      <c r="W24" s="10" t="s">
        <v>132</v>
      </c>
      <c r="X24" s="10" t="s">
        <v>133</v>
      </c>
      <c r="Y24" s="10" t="s">
        <v>134</v>
      </c>
      <c r="Z24" s="10" t="s">
        <v>135</v>
      </c>
      <c r="AA24" s="10" t="s">
        <v>136</v>
      </c>
      <c r="AB24" s="10" t="s">
        <v>137</v>
      </c>
      <c r="AC24" s="10" t="s">
        <v>138</v>
      </c>
      <c r="AD24" s="10" t="s">
        <v>139</v>
      </c>
      <c r="AE24" s="10" t="s">
        <v>140</v>
      </c>
      <c r="AF24" s="10" t="s">
        <v>141</v>
      </c>
      <c r="AG24" s="10" t="s">
        <v>142</v>
      </c>
      <c r="AH24" s="10"/>
      <c r="AI24" s="672" t="s">
        <v>68</v>
      </c>
      <c r="AJ24" s="683" t="s">
        <v>69</v>
      </c>
    </row>
    <row r="25" spans="1:36" s="77" customFormat="1" ht="18" hidden="1" thickBot="1">
      <c r="A25" s="677"/>
      <c r="B25" s="679"/>
      <c r="C25" s="681"/>
      <c r="D25" s="12" t="s">
        <v>109</v>
      </c>
      <c r="E25" s="12" t="s">
        <v>110</v>
      </c>
      <c r="F25" s="12" t="s">
        <v>111</v>
      </c>
      <c r="G25" s="12" t="s">
        <v>112</v>
      </c>
      <c r="H25" s="12" t="s">
        <v>106</v>
      </c>
      <c r="I25" s="12" t="s">
        <v>107</v>
      </c>
      <c r="J25" s="12" t="s">
        <v>108</v>
      </c>
      <c r="K25" s="12" t="s">
        <v>109</v>
      </c>
      <c r="L25" s="12" t="s">
        <v>110</v>
      </c>
      <c r="M25" s="12" t="s">
        <v>111</v>
      </c>
      <c r="N25" s="12" t="s">
        <v>112</v>
      </c>
      <c r="O25" s="12" t="s">
        <v>106</v>
      </c>
      <c r="P25" s="12" t="s">
        <v>107</v>
      </c>
      <c r="Q25" s="12" t="s">
        <v>108</v>
      </c>
      <c r="R25" s="12" t="s">
        <v>109</v>
      </c>
      <c r="S25" s="12" t="s">
        <v>110</v>
      </c>
      <c r="T25" s="12" t="s">
        <v>111</v>
      </c>
      <c r="U25" s="12" t="s">
        <v>112</v>
      </c>
      <c r="V25" s="12" t="s">
        <v>106</v>
      </c>
      <c r="W25" s="12" t="s">
        <v>107</v>
      </c>
      <c r="X25" s="12" t="s">
        <v>108</v>
      </c>
      <c r="Y25" s="12" t="s">
        <v>109</v>
      </c>
      <c r="Z25" s="12" t="s">
        <v>110</v>
      </c>
      <c r="AA25" s="12" t="s">
        <v>111</v>
      </c>
      <c r="AB25" s="12" t="s">
        <v>112</v>
      </c>
      <c r="AC25" s="12" t="s">
        <v>106</v>
      </c>
      <c r="AD25" s="12" t="s">
        <v>107</v>
      </c>
      <c r="AE25" s="12" t="s">
        <v>108</v>
      </c>
      <c r="AF25" s="12" t="s">
        <v>109</v>
      </c>
      <c r="AG25" s="12" t="s">
        <v>110</v>
      </c>
      <c r="AH25" s="93"/>
      <c r="AI25" s="673"/>
      <c r="AJ25" s="684"/>
    </row>
    <row r="26" spans="1:36" ht="17.45" hidden="1">
      <c r="A26" s="62" t="s">
        <v>72</v>
      </c>
      <c r="B26" s="62">
        <v>1</v>
      </c>
      <c r="C26" s="79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5"/>
      <c r="AF26" s="86"/>
      <c r="AG26" s="80"/>
      <c r="AH26" s="80"/>
      <c r="AI26" s="87" t="e">
        <f>AVERAGE(D26:AH26)</f>
        <v>#DIV/0!</v>
      </c>
      <c r="AJ26" s="81" t="e">
        <f>AI26/AI$29</f>
        <v>#DIV/0!</v>
      </c>
    </row>
    <row r="27" spans="1:36" ht="17.45" hidden="1">
      <c r="A27" s="64" t="s">
        <v>72</v>
      </c>
      <c r="B27" s="64">
        <v>3</v>
      </c>
      <c r="C27" s="82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9"/>
      <c r="AF27" s="90"/>
      <c r="AG27" s="88"/>
      <c r="AH27" s="88"/>
      <c r="AI27" s="26" t="e">
        <f>AVERAGE(D27:AH27)</f>
        <v>#DIV/0!</v>
      </c>
      <c r="AJ27" s="81" t="e">
        <f>AI27/AI$29</f>
        <v>#DIV/0!</v>
      </c>
    </row>
    <row r="28" spans="1:36" ht="17.45" hidden="1">
      <c r="A28" s="64" t="s">
        <v>72</v>
      </c>
      <c r="B28" s="64">
        <v>4</v>
      </c>
      <c r="C28" s="82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9"/>
      <c r="AF28" s="90"/>
      <c r="AG28" s="88"/>
      <c r="AH28" s="88"/>
      <c r="AI28" s="26" t="e">
        <f>AVERAGE(D28:AH28)</f>
        <v>#DIV/0!</v>
      </c>
      <c r="AJ28" s="81" t="e">
        <f>AI28/AI$29</f>
        <v>#DIV/0!</v>
      </c>
    </row>
    <row r="29" spans="1:36" ht="19.5" hidden="1">
      <c r="A29" s="91" t="s">
        <v>73</v>
      </c>
      <c r="B29" s="92"/>
      <c r="C29" s="83">
        <f>SUM(C26:C28)</f>
        <v>0</v>
      </c>
      <c r="D29" s="84">
        <f t="shared" ref="D29:AI29" si="2">SUM(D26:D28)</f>
        <v>0</v>
      </c>
      <c r="E29" s="84">
        <f t="shared" si="2"/>
        <v>0</v>
      </c>
      <c r="F29" s="84">
        <f t="shared" si="2"/>
        <v>0</v>
      </c>
      <c r="G29" s="84">
        <f t="shared" si="2"/>
        <v>0</v>
      </c>
      <c r="H29" s="84">
        <f t="shared" si="2"/>
        <v>0</v>
      </c>
      <c r="I29" s="84">
        <f t="shared" si="2"/>
        <v>0</v>
      </c>
      <c r="J29" s="84">
        <f t="shared" si="2"/>
        <v>0</v>
      </c>
      <c r="K29" s="84">
        <f t="shared" si="2"/>
        <v>0</v>
      </c>
      <c r="L29" s="84">
        <f t="shared" si="2"/>
        <v>0</v>
      </c>
      <c r="M29" s="84">
        <f t="shared" si="2"/>
        <v>0</v>
      </c>
      <c r="N29" s="84">
        <f t="shared" si="2"/>
        <v>0</v>
      </c>
      <c r="O29" s="84">
        <f t="shared" si="2"/>
        <v>0</v>
      </c>
      <c r="P29" s="84">
        <f t="shared" si="2"/>
        <v>0</v>
      </c>
      <c r="Q29" s="84">
        <f t="shared" si="2"/>
        <v>0</v>
      </c>
      <c r="R29" s="84">
        <f t="shared" si="2"/>
        <v>0</v>
      </c>
      <c r="S29" s="84">
        <f t="shared" si="2"/>
        <v>0</v>
      </c>
      <c r="T29" s="84">
        <f t="shared" si="2"/>
        <v>0</v>
      </c>
      <c r="U29" s="84">
        <f t="shared" si="2"/>
        <v>0</v>
      </c>
      <c r="V29" s="84">
        <f t="shared" si="2"/>
        <v>0</v>
      </c>
      <c r="W29" s="84">
        <f t="shared" si="2"/>
        <v>0</v>
      </c>
      <c r="X29" s="84">
        <f t="shared" si="2"/>
        <v>0</v>
      </c>
      <c r="Y29" s="84">
        <f t="shared" si="2"/>
        <v>0</v>
      </c>
      <c r="Z29" s="84">
        <f t="shared" si="2"/>
        <v>0</v>
      </c>
      <c r="AA29" s="84">
        <f t="shared" si="2"/>
        <v>0</v>
      </c>
      <c r="AB29" s="84">
        <f t="shared" si="2"/>
        <v>0</v>
      </c>
      <c r="AC29" s="84">
        <f t="shared" si="2"/>
        <v>0</v>
      </c>
      <c r="AD29" s="84">
        <f t="shared" si="2"/>
        <v>0</v>
      </c>
      <c r="AE29" s="84">
        <f t="shared" si="2"/>
        <v>0</v>
      </c>
      <c r="AF29" s="84">
        <f t="shared" si="2"/>
        <v>0</v>
      </c>
      <c r="AG29" s="84">
        <f t="shared" si="2"/>
        <v>0</v>
      </c>
      <c r="AH29" s="84">
        <f t="shared" si="2"/>
        <v>0</v>
      </c>
      <c r="AI29" s="84" t="e">
        <f t="shared" si="2"/>
        <v>#DIV/0!</v>
      </c>
      <c r="AJ29" s="81" t="e">
        <f>AI29/AI$29</f>
        <v>#DIV/0!</v>
      </c>
    </row>
    <row r="30" spans="1:36" hidden="1"/>
    <row r="31" spans="1:36" hidden="1"/>
    <row r="32" spans="1:36" hidden="1"/>
    <row r="33" spans="1:36" hidden="1"/>
    <row r="34" spans="1:36" s="77" customFormat="1" ht="18" hidden="1" customHeight="1">
      <c r="A34" s="676" t="s">
        <v>1</v>
      </c>
      <c r="B34" s="678" t="s">
        <v>67</v>
      </c>
      <c r="C34" s="680" t="s">
        <v>74</v>
      </c>
      <c r="D34" s="10" t="s">
        <v>143</v>
      </c>
      <c r="E34" s="10" t="s">
        <v>144</v>
      </c>
      <c r="F34" s="10" t="s">
        <v>145</v>
      </c>
      <c r="G34" s="10" t="s">
        <v>146</v>
      </c>
      <c r="H34" s="10" t="s">
        <v>147</v>
      </c>
      <c r="I34" s="10" t="s">
        <v>148</v>
      </c>
      <c r="J34" s="10" t="s">
        <v>149</v>
      </c>
      <c r="K34" s="10" t="s">
        <v>150</v>
      </c>
      <c r="L34" s="10" t="s">
        <v>151</v>
      </c>
      <c r="M34" s="10" t="s">
        <v>152</v>
      </c>
      <c r="N34" s="10" t="s">
        <v>153</v>
      </c>
      <c r="O34" s="10" t="s">
        <v>154</v>
      </c>
      <c r="P34" s="10" t="s">
        <v>155</v>
      </c>
      <c r="Q34" s="10" t="s">
        <v>156</v>
      </c>
      <c r="R34" s="10" t="s">
        <v>157</v>
      </c>
      <c r="S34" s="10" t="s">
        <v>158</v>
      </c>
      <c r="T34" s="10" t="s">
        <v>159</v>
      </c>
      <c r="U34" s="10" t="s">
        <v>160</v>
      </c>
      <c r="V34" s="10" t="s">
        <v>161</v>
      </c>
      <c r="W34" s="10" t="s">
        <v>162</v>
      </c>
      <c r="X34" s="10" t="s">
        <v>163</v>
      </c>
      <c r="Y34" s="10" t="s">
        <v>164</v>
      </c>
      <c r="Z34" s="10" t="s">
        <v>165</v>
      </c>
      <c r="AA34" s="10" t="s">
        <v>166</v>
      </c>
      <c r="AB34" s="10" t="s">
        <v>167</v>
      </c>
      <c r="AC34" s="10" t="s">
        <v>168</v>
      </c>
      <c r="AD34" s="10" t="s">
        <v>169</v>
      </c>
      <c r="AE34" s="10" t="s">
        <v>170</v>
      </c>
      <c r="AF34" s="10" t="s">
        <v>171</v>
      </c>
      <c r="AG34" s="10" t="s">
        <v>172</v>
      </c>
      <c r="AH34" s="10" t="s">
        <v>173</v>
      </c>
      <c r="AI34" s="75" t="s">
        <v>68</v>
      </c>
      <c r="AJ34" s="76" t="s">
        <v>69</v>
      </c>
    </row>
    <row r="35" spans="1:36" s="77" customFormat="1" ht="18" hidden="1" thickBot="1">
      <c r="A35" s="677"/>
      <c r="B35" s="679"/>
      <c r="C35" s="681"/>
      <c r="D35" s="12" t="s">
        <v>111</v>
      </c>
      <c r="E35" s="12" t="s">
        <v>112</v>
      </c>
      <c r="F35" s="12" t="s">
        <v>106</v>
      </c>
      <c r="G35" s="12" t="s">
        <v>107</v>
      </c>
      <c r="H35" s="12" t="s">
        <v>108</v>
      </c>
      <c r="I35" s="12" t="s">
        <v>109</v>
      </c>
      <c r="J35" s="12" t="s">
        <v>110</v>
      </c>
      <c r="K35" s="12" t="s">
        <v>111</v>
      </c>
      <c r="L35" s="12" t="s">
        <v>112</v>
      </c>
      <c r="M35" s="12" t="s">
        <v>106</v>
      </c>
      <c r="N35" s="12" t="s">
        <v>107</v>
      </c>
      <c r="O35" s="12" t="s">
        <v>108</v>
      </c>
      <c r="P35" s="12" t="s">
        <v>109</v>
      </c>
      <c r="Q35" s="12" t="s">
        <v>110</v>
      </c>
      <c r="R35" s="12" t="s">
        <v>111</v>
      </c>
      <c r="S35" s="12" t="s">
        <v>112</v>
      </c>
      <c r="T35" s="12" t="s">
        <v>106</v>
      </c>
      <c r="U35" s="12" t="s">
        <v>107</v>
      </c>
      <c r="V35" s="12" t="s">
        <v>108</v>
      </c>
      <c r="W35" s="12" t="s">
        <v>109</v>
      </c>
      <c r="X35" s="12" t="s">
        <v>110</v>
      </c>
      <c r="Y35" s="12" t="s">
        <v>111</v>
      </c>
      <c r="Z35" s="12" t="s">
        <v>112</v>
      </c>
      <c r="AA35" s="12" t="s">
        <v>106</v>
      </c>
      <c r="AB35" s="12" t="s">
        <v>107</v>
      </c>
      <c r="AC35" s="12" t="s">
        <v>108</v>
      </c>
      <c r="AD35" s="12" t="s">
        <v>109</v>
      </c>
      <c r="AE35" s="12" t="s">
        <v>110</v>
      </c>
      <c r="AF35" s="12" t="s">
        <v>111</v>
      </c>
      <c r="AG35" s="12" t="s">
        <v>112</v>
      </c>
      <c r="AH35" s="12" t="s">
        <v>106</v>
      </c>
      <c r="AI35" s="12"/>
      <c r="AJ35" s="78"/>
    </row>
    <row r="36" spans="1:36" ht="17.45" hidden="1">
      <c r="A36" s="62" t="s">
        <v>72</v>
      </c>
      <c r="B36" s="62">
        <v>1</v>
      </c>
      <c r="C36" s="79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5"/>
      <c r="AF36" s="86"/>
      <c r="AG36" s="80"/>
      <c r="AH36" s="80"/>
      <c r="AI36" s="87" t="e">
        <f>AVERAGE(D36:AH36)</f>
        <v>#DIV/0!</v>
      </c>
      <c r="AJ36" s="81" t="e">
        <f>AI36/AI$39</f>
        <v>#DIV/0!</v>
      </c>
    </row>
    <row r="37" spans="1:36" ht="17.45" hidden="1">
      <c r="A37" s="64" t="s">
        <v>72</v>
      </c>
      <c r="B37" s="64">
        <v>3</v>
      </c>
      <c r="C37" s="82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9"/>
      <c r="AF37" s="90"/>
      <c r="AG37" s="88"/>
      <c r="AH37" s="88"/>
      <c r="AI37" s="26" t="e">
        <f>AVERAGE(D37:AH37)</f>
        <v>#DIV/0!</v>
      </c>
      <c r="AJ37" s="81" t="e">
        <f>AI37/AI$39</f>
        <v>#DIV/0!</v>
      </c>
    </row>
    <row r="38" spans="1:36" ht="17.45" hidden="1">
      <c r="A38" s="64" t="s">
        <v>72</v>
      </c>
      <c r="B38" s="64">
        <v>4</v>
      </c>
      <c r="C38" s="82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9"/>
      <c r="AF38" s="90"/>
      <c r="AG38" s="88"/>
      <c r="AH38" s="88"/>
      <c r="AI38" s="26" t="e">
        <f>AVERAGE(D38:AH38)</f>
        <v>#DIV/0!</v>
      </c>
      <c r="AJ38" s="81" t="e">
        <f>AI38/AI$39</f>
        <v>#DIV/0!</v>
      </c>
    </row>
    <row r="39" spans="1:36" ht="19.5" hidden="1">
      <c r="A39" s="91" t="s">
        <v>73</v>
      </c>
      <c r="B39" s="92"/>
      <c r="C39" s="83"/>
      <c r="D39" s="84">
        <f t="shared" ref="D39:AI39" si="3">SUM(D36:D38)</f>
        <v>0</v>
      </c>
      <c r="E39" s="84">
        <f t="shared" si="3"/>
        <v>0</v>
      </c>
      <c r="F39" s="84">
        <f t="shared" si="3"/>
        <v>0</v>
      </c>
      <c r="G39" s="84">
        <f t="shared" si="3"/>
        <v>0</v>
      </c>
      <c r="H39" s="84">
        <f t="shared" si="3"/>
        <v>0</v>
      </c>
      <c r="I39" s="84">
        <f t="shared" si="3"/>
        <v>0</v>
      </c>
      <c r="J39" s="84">
        <f t="shared" si="3"/>
        <v>0</v>
      </c>
      <c r="K39" s="84">
        <f t="shared" si="3"/>
        <v>0</v>
      </c>
      <c r="L39" s="84">
        <f t="shared" si="3"/>
        <v>0</v>
      </c>
      <c r="M39" s="84">
        <f t="shared" si="3"/>
        <v>0</v>
      </c>
      <c r="N39" s="84">
        <f t="shared" si="3"/>
        <v>0</v>
      </c>
      <c r="O39" s="84">
        <f t="shared" si="3"/>
        <v>0</v>
      </c>
      <c r="P39" s="84">
        <f t="shared" si="3"/>
        <v>0</v>
      </c>
      <c r="Q39" s="84">
        <f t="shared" si="3"/>
        <v>0</v>
      </c>
      <c r="R39" s="84">
        <f t="shared" si="3"/>
        <v>0</v>
      </c>
      <c r="S39" s="84">
        <f t="shared" si="3"/>
        <v>0</v>
      </c>
      <c r="T39" s="84">
        <f t="shared" si="3"/>
        <v>0</v>
      </c>
      <c r="U39" s="84">
        <f t="shared" si="3"/>
        <v>0</v>
      </c>
      <c r="V39" s="84">
        <f t="shared" si="3"/>
        <v>0</v>
      </c>
      <c r="W39" s="84">
        <f t="shared" si="3"/>
        <v>0</v>
      </c>
      <c r="X39" s="84">
        <f t="shared" si="3"/>
        <v>0</v>
      </c>
      <c r="Y39" s="84">
        <f t="shared" si="3"/>
        <v>0</v>
      </c>
      <c r="Z39" s="84">
        <f t="shared" si="3"/>
        <v>0</v>
      </c>
      <c r="AA39" s="84">
        <f t="shared" si="3"/>
        <v>0</v>
      </c>
      <c r="AB39" s="84">
        <f t="shared" si="3"/>
        <v>0</v>
      </c>
      <c r="AC39" s="84">
        <f t="shared" si="3"/>
        <v>0</v>
      </c>
      <c r="AD39" s="84">
        <f t="shared" si="3"/>
        <v>0</v>
      </c>
      <c r="AE39" s="84">
        <f t="shared" si="3"/>
        <v>0</v>
      </c>
      <c r="AF39" s="84">
        <f t="shared" si="3"/>
        <v>0</v>
      </c>
      <c r="AG39" s="84">
        <f t="shared" si="3"/>
        <v>0</v>
      </c>
      <c r="AH39" s="84">
        <f t="shared" si="3"/>
        <v>0</v>
      </c>
      <c r="AI39" s="84" t="e">
        <f t="shared" si="3"/>
        <v>#DIV/0!</v>
      </c>
      <c r="AJ39" s="81" t="e">
        <f>AI39/AI$39</f>
        <v>#DIV/0!</v>
      </c>
    </row>
    <row r="40" spans="1:36" hidden="1"/>
    <row r="41" spans="1:36" hidden="1"/>
    <row r="42" spans="1:36" hidden="1"/>
    <row r="43" spans="1:36" ht="13.7" hidden="1" customHeight="1"/>
    <row r="44" spans="1:36" s="77" customFormat="1" ht="18" hidden="1" customHeight="1">
      <c r="A44" s="676" t="s">
        <v>1</v>
      </c>
      <c r="B44" s="678" t="s">
        <v>67</v>
      </c>
      <c r="C44" s="680" t="s">
        <v>74</v>
      </c>
      <c r="D44" s="10" t="s">
        <v>174</v>
      </c>
      <c r="E44" s="10" t="s">
        <v>175</v>
      </c>
      <c r="F44" s="10" t="s">
        <v>176</v>
      </c>
      <c r="G44" s="10" t="s">
        <v>177</v>
      </c>
      <c r="H44" s="10" t="s">
        <v>178</v>
      </c>
      <c r="I44" s="10" t="s">
        <v>179</v>
      </c>
      <c r="J44" s="10" t="s">
        <v>180</v>
      </c>
      <c r="K44" s="10" t="s">
        <v>181</v>
      </c>
      <c r="L44" s="10" t="s">
        <v>182</v>
      </c>
      <c r="M44" s="10" t="s">
        <v>183</v>
      </c>
      <c r="N44" s="10" t="s">
        <v>184</v>
      </c>
      <c r="O44" s="10" t="s">
        <v>185</v>
      </c>
      <c r="P44" s="10" t="s">
        <v>186</v>
      </c>
      <c r="Q44" s="10" t="s">
        <v>187</v>
      </c>
      <c r="R44" s="10" t="s">
        <v>188</v>
      </c>
      <c r="S44" s="10" t="s">
        <v>189</v>
      </c>
      <c r="T44" s="10" t="s">
        <v>190</v>
      </c>
      <c r="U44" s="10" t="s">
        <v>191</v>
      </c>
      <c r="V44" s="10" t="s">
        <v>192</v>
      </c>
      <c r="W44" s="10" t="s">
        <v>193</v>
      </c>
      <c r="X44" s="10" t="s">
        <v>194</v>
      </c>
      <c r="Y44" s="10" t="s">
        <v>195</v>
      </c>
      <c r="Z44" s="10" t="s">
        <v>196</v>
      </c>
      <c r="AA44" s="10" t="s">
        <v>197</v>
      </c>
      <c r="AB44" s="10" t="s">
        <v>198</v>
      </c>
      <c r="AC44" s="10" t="s">
        <v>199</v>
      </c>
      <c r="AD44" s="10" t="s">
        <v>200</v>
      </c>
      <c r="AE44" s="10" t="s">
        <v>201</v>
      </c>
      <c r="AF44" s="10" t="s">
        <v>202</v>
      </c>
      <c r="AG44" s="10" t="s">
        <v>203</v>
      </c>
      <c r="AH44" s="10"/>
      <c r="AI44" s="75" t="s">
        <v>68</v>
      </c>
      <c r="AJ44" s="76" t="s">
        <v>69</v>
      </c>
    </row>
    <row r="45" spans="1:36" s="77" customFormat="1" ht="18.95" hidden="1" customHeight="1">
      <c r="A45" s="677"/>
      <c r="B45" s="679"/>
      <c r="C45" s="681"/>
      <c r="D45" s="12" t="s">
        <v>107</v>
      </c>
      <c r="E45" s="12" t="s">
        <v>108</v>
      </c>
      <c r="F45" s="12" t="s">
        <v>109</v>
      </c>
      <c r="G45" s="12" t="s">
        <v>110</v>
      </c>
      <c r="H45" s="12" t="s">
        <v>111</v>
      </c>
      <c r="I45" s="12" t="s">
        <v>112</v>
      </c>
      <c r="J45" s="12" t="s">
        <v>106</v>
      </c>
      <c r="K45" s="12" t="s">
        <v>107</v>
      </c>
      <c r="L45" s="12" t="s">
        <v>108</v>
      </c>
      <c r="M45" s="12" t="s">
        <v>109</v>
      </c>
      <c r="N45" s="12" t="s">
        <v>110</v>
      </c>
      <c r="O45" s="12" t="s">
        <v>111</v>
      </c>
      <c r="P45" s="12" t="s">
        <v>112</v>
      </c>
      <c r="Q45" s="12" t="s">
        <v>106</v>
      </c>
      <c r="R45" s="12" t="s">
        <v>107</v>
      </c>
      <c r="S45" s="12" t="s">
        <v>108</v>
      </c>
      <c r="T45" s="12" t="s">
        <v>109</v>
      </c>
      <c r="U45" s="12" t="s">
        <v>110</v>
      </c>
      <c r="V45" s="12" t="s">
        <v>111</v>
      </c>
      <c r="W45" s="12" t="s">
        <v>112</v>
      </c>
      <c r="X45" s="12" t="s">
        <v>106</v>
      </c>
      <c r="Y45" s="12" t="s">
        <v>107</v>
      </c>
      <c r="Z45" s="12" t="s">
        <v>108</v>
      </c>
      <c r="AA45" s="12" t="s">
        <v>109</v>
      </c>
      <c r="AB45" s="12" t="s">
        <v>110</v>
      </c>
      <c r="AC45" s="12" t="s">
        <v>111</v>
      </c>
      <c r="AD45" s="12" t="s">
        <v>112</v>
      </c>
      <c r="AE45" s="12" t="s">
        <v>106</v>
      </c>
      <c r="AF45" s="12" t="s">
        <v>107</v>
      </c>
      <c r="AG45" s="12" t="s">
        <v>108</v>
      </c>
      <c r="AH45" s="93"/>
      <c r="AI45" s="12"/>
      <c r="AJ45" s="78"/>
    </row>
    <row r="46" spans="1:36" ht="18" hidden="1" customHeight="1">
      <c r="A46" s="62" t="s">
        <v>72</v>
      </c>
      <c r="B46" s="62">
        <v>1</v>
      </c>
      <c r="C46" s="79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5"/>
      <c r="AF46" s="86"/>
      <c r="AG46" s="80"/>
      <c r="AH46" s="80"/>
      <c r="AI46" s="87" t="e">
        <f>AVERAGE(D46:AH46)</f>
        <v>#DIV/0!</v>
      </c>
      <c r="AJ46" s="81" t="e">
        <f>AI46/AI$150</f>
        <v>#DIV/0!</v>
      </c>
    </row>
    <row r="47" spans="1:36" ht="18" hidden="1" customHeight="1">
      <c r="A47" s="64" t="s">
        <v>72</v>
      </c>
      <c r="B47" s="64">
        <v>3</v>
      </c>
      <c r="C47" s="82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9"/>
      <c r="AF47" s="90"/>
      <c r="AG47" s="88"/>
      <c r="AH47" s="88"/>
      <c r="AI47" s="26" t="e">
        <f>AVERAGE(D47:AH47)</f>
        <v>#DIV/0!</v>
      </c>
      <c r="AJ47" s="81" t="e">
        <f>AI47/AI$150</f>
        <v>#DIV/0!</v>
      </c>
    </row>
    <row r="48" spans="1:36" ht="18" hidden="1" customHeight="1">
      <c r="A48" s="64" t="s">
        <v>72</v>
      </c>
      <c r="B48" s="64">
        <v>4</v>
      </c>
      <c r="C48" s="82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9"/>
      <c r="AF48" s="90"/>
      <c r="AG48" s="88"/>
      <c r="AH48" s="88"/>
      <c r="AI48" s="26" t="e">
        <f>AVERAGE(D48:AH48)</f>
        <v>#DIV/0!</v>
      </c>
      <c r="AJ48" s="81" t="e">
        <f>AI48/AI$150</f>
        <v>#DIV/0!</v>
      </c>
    </row>
    <row r="49" spans="1:36" ht="19.5" hidden="1" customHeight="1">
      <c r="A49" s="91" t="s">
        <v>73</v>
      </c>
      <c r="B49" s="92"/>
      <c r="C49" s="83">
        <f>SUM(C46:C48)</f>
        <v>0</v>
      </c>
      <c r="D49" s="84">
        <f t="shared" ref="D49:AI49" si="4">SUM(D46:D48)</f>
        <v>0</v>
      </c>
      <c r="E49" s="84">
        <f t="shared" si="4"/>
        <v>0</v>
      </c>
      <c r="F49" s="84">
        <f t="shared" si="4"/>
        <v>0</v>
      </c>
      <c r="G49" s="84">
        <f t="shared" si="4"/>
        <v>0</v>
      </c>
      <c r="H49" s="84">
        <f t="shared" si="4"/>
        <v>0</v>
      </c>
      <c r="I49" s="84">
        <f t="shared" si="4"/>
        <v>0</v>
      </c>
      <c r="J49" s="84">
        <f t="shared" si="4"/>
        <v>0</v>
      </c>
      <c r="K49" s="84">
        <f t="shared" si="4"/>
        <v>0</v>
      </c>
      <c r="L49" s="84">
        <f t="shared" si="4"/>
        <v>0</v>
      </c>
      <c r="M49" s="84">
        <f t="shared" si="4"/>
        <v>0</v>
      </c>
      <c r="N49" s="84">
        <f t="shared" si="4"/>
        <v>0</v>
      </c>
      <c r="O49" s="84">
        <f t="shared" si="4"/>
        <v>0</v>
      </c>
      <c r="P49" s="84">
        <f t="shared" si="4"/>
        <v>0</v>
      </c>
      <c r="Q49" s="84">
        <f t="shared" si="4"/>
        <v>0</v>
      </c>
      <c r="R49" s="84">
        <f t="shared" si="4"/>
        <v>0</v>
      </c>
      <c r="S49" s="84">
        <f t="shared" si="4"/>
        <v>0</v>
      </c>
      <c r="T49" s="84">
        <f t="shared" si="4"/>
        <v>0</v>
      </c>
      <c r="U49" s="84">
        <f t="shared" si="4"/>
        <v>0</v>
      </c>
      <c r="V49" s="84">
        <f t="shared" si="4"/>
        <v>0</v>
      </c>
      <c r="W49" s="84">
        <f t="shared" si="4"/>
        <v>0</v>
      </c>
      <c r="X49" s="84">
        <f t="shared" si="4"/>
        <v>0</v>
      </c>
      <c r="Y49" s="84">
        <f t="shared" si="4"/>
        <v>0</v>
      </c>
      <c r="Z49" s="84">
        <f t="shared" si="4"/>
        <v>0</v>
      </c>
      <c r="AA49" s="84">
        <f t="shared" si="4"/>
        <v>0</v>
      </c>
      <c r="AB49" s="84">
        <f t="shared" si="4"/>
        <v>0</v>
      </c>
      <c r="AC49" s="84">
        <f t="shared" si="4"/>
        <v>0</v>
      </c>
      <c r="AD49" s="84">
        <f t="shared" si="4"/>
        <v>0</v>
      </c>
      <c r="AE49" s="84">
        <f t="shared" si="4"/>
        <v>0</v>
      </c>
      <c r="AF49" s="84">
        <f t="shared" si="4"/>
        <v>0</v>
      </c>
      <c r="AG49" s="84">
        <f t="shared" si="4"/>
        <v>0</v>
      </c>
      <c r="AH49" s="84">
        <f t="shared" si="4"/>
        <v>0</v>
      </c>
      <c r="AI49" s="84" t="e">
        <f t="shared" si="4"/>
        <v>#DIV/0!</v>
      </c>
      <c r="AJ49" s="81" t="e">
        <f>AI49/AI$150</f>
        <v>#DIV/0!</v>
      </c>
    </row>
    <row r="50" spans="1:36" ht="12.75" hidden="1" customHeight="1"/>
    <row r="51" spans="1:36" ht="12.75" hidden="1" customHeight="1"/>
    <row r="52" spans="1:36" hidden="1"/>
    <row r="53" spans="1:36" hidden="1"/>
    <row r="54" spans="1:36" s="77" customFormat="1" ht="18" hidden="1" customHeight="1">
      <c r="A54" s="676" t="s">
        <v>1</v>
      </c>
      <c r="B54" s="678" t="s">
        <v>67</v>
      </c>
      <c r="C54" s="680" t="s">
        <v>74</v>
      </c>
      <c r="D54" s="10" t="s">
        <v>204</v>
      </c>
      <c r="E54" s="10" t="s">
        <v>205</v>
      </c>
      <c r="F54" s="10" t="s">
        <v>206</v>
      </c>
      <c r="G54" s="10" t="s">
        <v>207</v>
      </c>
      <c r="H54" s="10" t="s">
        <v>208</v>
      </c>
      <c r="I54" s="10" t="s">
        <v>209</v>
      </c>
      <c r="J54" s="10" t="s">
        <v>210</v>
      </c>
      <c r="K54" s="10" t="s">
        <v>211</v>
      </c>
      <c r="L54" s="10" t="s">
        <v>212</v>
      </c>
      <c r="M54" s="10" t="s">
        <v>213</v>
      </c>
      <c r="N54" s="10" t="s">
        <v>214</v>
      </c>
      <c r="O54" s="10" t="s">
        <v>215</v>
      </c>
      <c r="P54" s="10" t="s">
        <v>216</v>
      </c>
      <c r="Q54" s="10" t="s">
        <v>217</v>
      </c>
      <c r="R54" s="10" t="s">
        <v>218</v>
      </c>
      <c r="S54" s="10" t="s">
        <v>219</v>
      </c>
      <c r="T54" s="10" t="s">
        <v>220</v>
      </c>
      <c r="U54" s="10" t="s">
        <v>221</v>
      </c>
      <c r="V54" s="10" t="s">
        <v>222</v>
      </c>
      <c r="W54" s="10" t="s">
        <v>223</v>
      </c>
      <c r="X54" s="10" t="s">
        <v>224</v>
      </c>
      <c r="Y54" s="10" t="s">
        <v>225</v>
      </c>
      <c r="Z54" s="10" t="s">
        <v>226</v>
      </c>
      <c r="AA54" s="10" t="s">
        <v>227</v>
      </c>
      <c r="AB54" s="10" t="s">
        <v>228</v>
      </c>
      <c r="AC54" s="10" t="s">
        <v>229</v>
      </c>
      <c r="AD54" s="10" t="s">
        <v>230</v>
      </c>
      <c r="AE54" s="10" t="s">
        <v>231</v>
      </c>
      <c r="AF54" s="10" t="s">
        <v>232</v>
      </c>
      <c r="AG54" s="10" t="s">
        <v>233</v>
      </c>
      <c r="AH54" s="10" t="s">
        <v>234</v>
      </c>
      <c r="AI54" s="75" t="s">
        <v>68</v>
      </c>
      <c r="AJ54" s="76" t="s">
        <v>69</v>
      </c>
    </row>
    <row r="55" spans="1:36" s="77" customFormat="1" ht="18" hidden="1" thickBot="1">
      <c r="A55" s="677"/>
      <c r="B55" s="679"/>
      <c r="C55" s="681"/>
      <c r="D55" s="12" t="s">
        <v>109</v>
      </c>
      <c r="E55" s="12" t="s">
        <v>110</v>
      </c>
      <c r="F55" s="12" t="s">
        <v>111</v>
      </c>
      <c r="G55" s="12" t="s">
        <v>112</v>
      </c>
      <c r="H55" s="12" t="s">
        <v>106</v>
      </c>
      <c r="I55" s="12" t="s">
        <v>107</v>
      </c>
      <c r="J55" s="12" t="s">
        <v>108</v>
      </c>
      <c r="K55" s="12" t="s">
        <v>109</v>
      </c>
      <c r="L55" s="12" t="s">
        <v>110</v>
      </c>
      <c r="M55" s="12" t="s">
        <v>111</v>
      </c>
      <c r="N55" s="12" t="s">
        <v>112</v>
      </c>
      <c r="O55" s="12" t="s">
        <v>106</v>
      </c>
      <c r="P55" s="12" t="s">
        <v>107</v>
      </c>
      <c r="Q55" s="12" t="s">
        <v>108</v>
      </c>
      <c r="R55" s="12" t="s">
        <v>109</v>
      </c>
      <c r="S55" s="12" t="s">
        <v>110</v>
      </c>
      <c r="T55" s="12" t="s">
        <v>111</v>
      </c>
      <c r="U55" s="12" t="s">
        <v>112</v>
      </c>
      <c r="V55" s="12" t="s">
        <v>106</v>
      </c>
      <c r="W55" s="12" t="s">
        <v>107</v>
      </c>
      <c r="X55" s="12" t="s">
        <v>108</v>
      </c>
      <c r="Y55" s="12" t="s">
        <v>109</v>
      </c>
      <c r="Z55" s="12" t="s">
        <v>110</v>
      </c>
      <c r="AA55" s="12" t="s">
        <v>111</v>
      </c>
      <c r="AB55" s="12" t="s">
        <v>112</v>
      </c>
      <c r="AC55" s="12" t="s">
        <v>106</v>
      </c>
      <c r="AD55" s="12" t="s">
        <v>107</v>
      </c>
      <c r="AE55" s="12" t="s">
        <v>108</v>
      </c>
      <c r="AF55" s="12" t="s">
        <v>109</v>
      </c>
      <c r="AG55" s="12" t="s">
        <v>110</v>
      </c>
      <c r="AH55" s="12" t="s">
        <v>111</v>
      </c>
      <c r="AI55" s="12"/>
      <c r="AJ55" s="78"/>
    </row>
    <row r="56" spans="1:36" ht="17.45" hidden="1">
      <c r="A56" s="62" t="s">
        <v>72</v>
      </c>
      <c r="B56" s="62">
        <v>1</v>
      </c>
      <c r="C56" s="79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5"/>
      <c r="AF56" s="86"/>
      <c r="AG56" s="80"/>
      <c r="AH56" s="80"/>
      <c r="AI56" s="87" t="e">
        <f>AVERAGE(D56:AH56)</f>
        <v>#DIV/0!</v>
      </c>
      <c r="AJ56" s="81" t="e">
        <f>AI56/AI$1150</f>
        <v>#DIV/0!</v>
      </c>
    </row>
    <row r="57" spans="1:36" ht="17.45" hidden="1">
      <c r="A57" s="64" t="s">
        <v>72</v>
      </c>
      <c r="B57" s="64">
        <v>3</v>
      </c>
      <c r="C57" s="82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9"/>
      <c r="AF57" s="90"/>
      <c r="AG57" s="88"/>
      <c r="AH57" s="88"/>
      <c r="AI57" s="26" t="e">
        <f>AVERAGE(D57:AH57)</f>
        <v>#DIV/0!</v>
      </c>
      <c r="AJ57" s="81" t="e">
        <f>AI57/AI$1150</f>
        <v>#DIV/0!</v>
      </c>
    </row>
    <row r="58" spans="1:36" ht="17.45" hidden="1">
      <c r="A58" s="64" t="s">
        <v>72</v>
      </c>
      <c r="B58" s="64">
        <v>4</v>
      </c>
      <c r="C58" s="82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9"/>
      <c r="AF58" s="90"/>
      <c r="AG58" s="88"/>
      <c r="AH58" s="88"/>
      <c r="AI58" s="26" t="e">
        <f>AVERAGE(D58:AH58)</f>
        <v>#DIV/0!</v>
      </c>
      <c r="AJ58" s="81" t="e">
        <f>AI58/AI$1150</f>
        <v>#DIV/0!</v>
      </c>
    </row>
    <row r="59" spans="1:36" ht="19.5" hidden="1">
      <c r="A59" s="91" t="s">
        <v>73</v>
      </c>
      <c r="B59" s="92"/>
      <c r="C59" s="83">
        <f>SUM(C56:C58)</f>
        <v>0</v>
      </c>
      <c r="D59" s="84">
        <f t="shared" ref="D59:AI59" si="5">SUM(D56:D58)</f>
        <v>0</v>
      </c>
      <c r="E59" s="84">
        <f t="shared" si="5"/>
        <v>0</v>
      </c>
      <c r="F59" s="84">
        <f t="shared" si="5"/>
        <v>0</v>
      </c>
      <c r="G59" s="84">
        <f t="shared" si="5"/>
        <v>0</v>
      </c>
      <c r="H59" s="84">
        <f t="shared" si="5"/>
        <v>0</v>
      </c>
      <c r="I59" s="84">
        <f t="shared" si="5"/>
        <v>0</v>
      </c>
      <c r="J59" s="84">
        <f t="shared" si="5"/>
        <v>0</v>
      </c>
      <c r="K59" s="84">
        <f t="shared" si="5"/>
        <v>0</v>
      </c>
      <c r="L59" s="84">
        <f t="shared" si="5"/>
        <v>0</v>
      </c>
      <c r="M59" s="84">
        <f t="shared" si="5"/>
        <v>0</v>
      </c>
      <c r="N59" s="84">
        <f t="shared" si="5"/>
        <v>0</v>
      </c>
      <c r="O59" s="84">
        <f t="shared" si="5"/>
        <v>0</v>
      </c>
      <c r="P59" s="84">
        <f t="shared" si="5"/>
        <v>0</v>
      </c>
      <c r="Q59" s="84">
        <f t="shared" si="5"/>
        <v>0</v>
      </c>
      <c r="R59" s="84">
        <f t="shared" si="5"/>
        <v>0</v>
      </c>
      <c r="S59" s="84">
        <f t="shared" si="5"/>
        <v>0</v>
      </c>
      <c r="T59" s="84">
        <f t="shared" si="5"/>
        <v>0</v>
      </c>
      <c r="U59" s="84">
        <f t="shared" si="5"/>
        <v>0</v>
      </c>
      <c r="V59" s="84">
        <f t="shared" si="5"/>
        <v>0</v>
      </c>
      <c r="W59" s="84">
        <f t="shared" si="5"/>
        <v>0</v>
      </c>
      <c r="X59" s="84">
        <f t="shared" si="5"/>
        <v>0</v>
      </c>
      <c r="Y59" s="84">
        <f t="shared" si="5"/>
        <v>0</v>
      </c>
      <c r="Z59" s="84">
        <f t="shared" si="5"/>
        <v>0</v>
      </c>
      <c r="AA59" s="84">
        <f t="shared" si="5"/>
        <v>0</v>
      </c>
      <c r="AB59" s="84">
        <f t="shared" si="5"/>
        <v>0</v>
      </c>
      <c r="AC59" s="84">
        <f t="shared" si="5"/>
        <v>0</v>
      </c>
      <c r="AD59" s="84">
        <f t="shared" si="5"/>
        <v>0</v>
      </c>
      <c r="AE59" s="84">
        <f t="shared" si="5"/>
        <v>0</v>
      </c>
      <c r="AF59" s="84">
        <f t="shared" si="5"/>
        <v>0</v>
      </c>
      <c r="AG59" s="84">
        <f t="shared" si="5"/>
        <v>0</v>
      </c>
      <c r="AH59" s="84">
        <f t="shared" si="5"/>
        <v>0</v>
      </c>
      <c r="AI59" s="84" t="e">
        <f t="shared" si="5"/>
        <v>#DIV/0!</v>
      </c>
      <c r="AJ59" s="81" t="e">
        <f>AI59/AI$1150</f>
        <v>#DIV/0!</v>
      </c>
    </row>
    <row r="60" spans="1:36" hidden="1"/>
    <row r="61" spans="1:36" hidden="1"/>
    <row r="62" spans="1:36" hidden="1"/>
    <row r="63" spans="1:36" hidden="1"/>
    <row r="64" spans="1:36" hidden="1">
      <c r="E64" s="94"/>
      <c r="H64" s="94"/>
    </row>
    <row r="65" spans="4:27">
      <c r="E65" s="94"/>
      <c r="H65" s="94"/>
      <c r="W65" s="94"/>
      <c r="X65" s="94"/>
      <c r="AA65" s="94"/>
    </row>
    <row r="66" spans="4:27">
      <c r="D66" s="94"/>
      <c r="E66" s="94"/>
      <c r="H66" s="94"/>
      <c r="K66" s="94"/>
      <c r="W66" s="94"/>
      <c r="X66" s="94"/>
      <c r="AA66" s="94"/>
    </row>
    <row r="67" spans="4:27">
      <c r="D67" s="94"/>
      <c r="E67" s="94"/>
      <c r="H67" s="94"/>
      <c r="K67" s="94"/>
      <c r="W67" s="94"/>
      <c r="X67" s="94"/>
      <c r="AA67" s="94"/>
    </row>
    <row r="68" spans="4:27">
      <c r="D68" s="94"/>
      <c r="E68" s="94"/>
      <c r="I68" s="94"/>
      <c r="K68" s="94"/>
      <c r="W68" s="94"/>
      <c r="AA68" s="94"/>
    </row>
    <row r="69" spans="4:27">
      <c r="E69" s="94"/>
      <c r="I69" s="94"/>
      <c r="AA69" s="94"/>
    </row>
    <row r="70" spans="4:27">
      <c r="E70" s="94"/>
      <c r="F70" s="94"/>
      <c r="AA70" s="94"/>
    </row>
    <row r="71" spans="4:27">
      <c r="E71" s="94"/>
      <c r="F71" s="94"/>
      <c r="AA71" s="94"/>
    </row>
    <row r="72" spans="4:27">
      <c r="E72" s="94"/>
      <c r="F72" s="94"/>
      <c r="AA72" s="94"/>
    </row>
    <row r="73" spans="4:27">
      <c r="E73" s="94"/>
      <c r="AA73" s="94"/>
    </row>
    <row r="74" spans="4:27">
      <c r="E74" s="94"/>
      <c r="AA74" s="94"/>
    </row>
    <row r="75" spans="4:27">
      <c r="E75" s="94"/>
      <c r="AA75" s="94"/>
    </row>
    <row r="76" spans="4:27">
      <c r="E76" s="94"/>
      <c r="AA76" s="94"/>
    </row>
    <row r="77" spans="4:27">
      <c r="E77" s="94"/>
      <c r="AA77" s="94"/>
    </row>
    <row r="78" spans="4:27">
      <c r="E78" s="94"/>
      <c r="I78" s="94"/>
      <c r="AA78" s="94"/>
    </row>
    <row r="79" spans="4:27">
      <c r="E79" s="94"/>
      <c r="I79" s="94"/>
    </row>
    <row r="80" spans="4:27">
      <c r="E80" s="94"/>
      <c r="I80" s="94"/>
      <c r="AA80" s="94"/>
    </row>
    <row r="81" spans="5:27">
      <c r="E81" s="94"/>
      <c r="Z81" s="94"/>
      <c r="AA81" s="94"/>
    </row>
    <row r="82" spans="5:27">
      <c r="E82" s="94"/>
      <c r="Z82" s="94"/>
      <c r="AA82" s="94"/>
    </row>
    <row r="83" spans="5:27">
      <c r="Z83" s="94"/>
    </row>
    <row r="89" spans="5:27">
      <c r="I89" s="95"/>
      <c r="J89" s="95"/>
      <c r="K89" s="95"/>
      <c r="L89" s="95"/>
    </row>
    <row r="90" spans="5:27">
      <c r="I90" s="96"/>
      <c r="J90" s="95"/>
      <c r="K90" s="95"/>
      <c r="L90" s="95"/>
    </row>
    <row r="91" spans="5:27">
      <c r="I91" s="96"/>
      <c r="J91" s="95"/>
      <c r="K91" s="95"/>
      <c r="L91" s="95"/>
    </row>
    <row r="92" spans="5:27">
      <c r="I92" s="96"/>
      <c r="J92" s="95"/>
      <c r="K92" s="95"/>
      <c r="L92" s="95"/>
    </row>
    <row r="93" spans="5:27">
      <c r="I93" s="96"/>
      <c r="J93" s="95"/>
      <c r="K93" s="95"/>
      <c r="L93" s="95"/>
    </row>
    <row r="94" spans="5:27">
      <c r="I94" s="96"/>
      <c r="J94" s="95"/>
      <c r="K94" s="95"/>
      <c r="L94" s="95"/>
    </row>
    <row r="95" spans="5:27">
      <c r="I95" s="96"/>
      <c r="J95" s="95"/>
      <c r="K95" s="95"/>
      <c r="L95" s="95"/>
    </row>
    <row r="96" spans="5:27">
      <c r="I96" s="96"/>
      <c r="J96" s="95"/>
      <c r="K96" s="95"/>
      <c r="L96" s="95"/>
    </row>
    <row r="97" spans="9:12">
      <c r="I97" s="96"/>
      <c r="J97" s="95"/>
      <c r="K97" s="95"/>
      <c r="L97" s="95"/>
    </row>
    <row r="98" spans="9:12">
      <c r="I98" s="96"/>
      <c r="J98" s="95"/>
      <c r="K98" s="95"/>
      <c r="L98" s="95"/>
    </row>
    <row r="99" spans="9:12">
      <c r="I99" s="96"/>
      <c r="J99" s="95"/>
      <c r="K99" s="95"/>
      <c r="L99" s="95"/>
    </row>
    <row r="100" spans="9:12">
      <c r="I100" s="96"/>
      <c r="J100" s="95"/>
      <c r="K100" s="95"/>
      <c r="L100" s="95"/>
    </row>
    <row r="101" spans="9:12">
      <c r="I101" s="96"/>
      <c r="J101" s="95"/>
      <c r="K101" s="95"/>
      <c r="L101" s="95"/>
    </row>
    <row r="102" spans="9:12">
      <c r="I102" s="96"/>
      <c r="J102" s="95"/>
      <c r="K102" s="95"/>
      <c r="L102" s="95"/>
    </row>
    <row r="103" spans="9:12">
      <c r="I103" s="96"/>
      <c r="J103" s="95"/>
      <c r="K103" s="95"/>
      <c r="L103" s="95"/>
    </row>
  </sheetData>
  <mergeCells count="24">
    <mergeCell ref="AJ24:AJ25"/>
    <mergeCell ref="AJ4:AJ5"/>
    <mergeCell ref="A54:A55"/>
    <mergeCell ref="B54:B55"/>
    <mergeCell ref="C54:C55"/>
    <mergeCell ref="A34:A35"/>
    <mergeCell ref="B34:B35"/>
    <mergeCell ref="C34:C35"/>
    <mergeCell ref="AI4:AI5"/>
    <mergeCell ref="A44:A45"/>
    <mergeCell ref="B44:B45"/>
    <mergeCell ref="C44:C45"/>
    <mergeCell ref="AJ14:AJ15"/>
    <mergeCell ref="A24:A25"/>
    <mergeCell ref="B24:B25"/>
    <mergeCell ref="C24:C25"/>
    <mergeCell ref="AI24:AI25"/>
    <mergeCell ref="A4:A5"/>
    <mergeCell ref="B4:B5"/>
    <mergeCell ref="A14:A15"/>
    <mergeCell ref="B14:B15"/>
    <mergeCell ref="AI14:AI15"/>
    <mergeCell ref="C14:C15"/>
    <mergeCell ref="A9:B9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26"/>
  <sheetViews>
    <sheetView zoomScale="70" workbookViewId="0">
      <pane xSplit="2" ySplit="5" topLeftCell="X6" activePane="bottomRight" state="frozen"/>
      <selection pane="bottomRight" activeCell="AB25" sqref="AB25"/>
      <selection pane="bottomLeft" activeCell="A6" sqref="A6"/>
      <selection pane="topRight" activeCell="C1" sqref="C1"/>
    </sheetView>
  </sheetViews>
  <sheetFormatPr defaultRowHeight="17.100000000000001"/>
  <cols>
    <col min="1" max="1" width="9.375" style="74" customWidth="1"/>
    <col min="2" max="2" width="9.625" style="74" bestFit="1" customWidth="1"/>
    <col min="3" max="3" width="17.5" style="98" bestFit="1" customWidth="1"/>
    <col min="4" max="9" width="17.5" style="98" customWidth="1"/>
    <col min="10" max="67" width="17.5" customWidth="1"/>
    <col min="68" max="68" width="16.5" customWidth="1"/>
  </cols>
  <sheetData>
    <row r="1" spans="1:35" ht="21.6">
      <c r="A1" s="72" t="s">
        <v>235</v>
      </c>
      <c r="B1" s="97"/>
      <c r="I1"/>
      <c r="AG1" s="99"/>
      <c r="AH1" s="100"/>
    </row>
    <row r="3" spans="1:35" ht="17.45" thickBot="1"/>
    <row r="4" spans="1:35" s="77" customFormat="1" ht="18" thickBot="1">
      <c r="A4" s="687" t="s">
        <v>1</v>
      </c>
      <c r="B4" s="689" t="s">
        <v>67</v>
      </c>
      <c r="C4" s="528" t="str">
        <f>日期!C2</f>
        <v>2024/12/01</v>
      </c>
      <c r="D4" s="528" t="str">
        <f>日期!D2</f>
        <v>2024/12/02</v>
      </c>
      <c r="E4" s="528" t="str">
        <f>日期!E2</f>
        <v>2024/12/03</v>
      </c>
      <c r="F4" s="528" t="str">
        <f>日期!F2</f>
        <v>2024/12/04</v>
      </c>
      <c r="G4" s="528" t="str">
        <f>日期!G2</f>
        <v>2024/12/05</v>
      </c>
      <c r="H4" s="528" t="str">
        <f>日期!H2</f>
        <v>2024/12/06</v>
      </c>
      <c r="I4" s="528" t="str">
        <f>日期!I2</f>
        <v>2024/12/07</v>
      </c>
      <c r="J4" s="528" t="str">
        <f>日期!J2</f>
        <v>2024/12/08</v>
      </c>
      <c r="K4" s="528" t="str">
        <f>日期!K2</f>
        <v>2024/12/09</v>
      </c>
      <c r="L4" s="528" t="str">
        <f>日期!L2</f>
        <v>2024/12/10</v>
      </c>
      <c r="M4" s="528" t="str">
        <f>日期!M2</f>
        <v>2024/12/11</v>
      </c>
      <c r="N4" s="528" t="str">
        <f>日期!N2</f>
        <v>2024/12/12</v>
      </c>
      <c r="O4" s="528" t="str">
        <f>日期!O2</f>
        <v>2024/12/13</v>
      </c>
      <c r="P4" s="528" t="str">
        <f>日期!P2</f>
        <v>2024/12/14</v>
      </c>
      <c r="Q4" s="528" t="str">
        <f>日期!Q2</f>
        <v>2024/12/15</v>
      </c>
      <c r="R4" s="528" t="str">
        <f>日期!R2</f>
        <v>2024/12/16</v>
      </c>
      <c r="S4" s="528" t="str">
        <f>日期!S2</f>
        <v>2024/12/17</v>
      </c>
      <c r="T4" s="528" t="str">
        <f>日期!T2</f>
        <v>2024/12/18</v>
      </c>
      <c r="U4" s="528" t="str">
        <f>日期!U2</f>
        <v>2024/12/19</v>
      </c>
      <c r="V4" s="528" t="str">
        <f>日期!V2</f>
        <v>2024/12/20</v>
      </c>
      <c r="W4" s="528" t="str">
        <f>日期!W2</f>
        <v>2024/12/21</v>
      </c>
      <c r="X4" s="528" t="str">
        <f>日期!X2</f>
        <v>2024/12/22</v>
      </c>
      <c r="Y4" s="528" t="str">
        <f>日期!Y2</f>
        <v>2024/12/23</v>
      </c>
      <c r="Z4" s="528" t="str">
        <f>日期!Z2</f>
        <v>2024/12/24</v>
      </c>
      <c r="AA4" s="528" t="str">
        <f>日期!AA2</f>
        <v>2024/12/25</v>
      </c>
      <c r="AB4" s="528" t="str">
        <f>日期!AB2</f>
        <v>2024/12/26</v>
      </c>
      <c r="AC4" s="528" t="str">
        <f>日期!AC2</f>
        <v>2024/12/27</v>
      </c>
      <c r="AD4" s="528" t="str">
        <f>日期!AD2</f>
        <v>2024/12/28</v>
      </c>
      <c r="AE4" s="528" t="str">
        <f>日期!AE2</f>
        <v>2024/12/29</v>
      </c>
      <c r="AF4" s="528" t="str">
        <f>日期!AF2</f>
        <v>2024/12/30</v>
      </c>
      <c r="AG4" s="528" t="str">
        <f>日期!AG2</f>
        <v>2024/12/31</v>
      </c>
      <c r="AH4" s="520" t="s">
        <v>68</v>
      </c>
      <c r="AI4" s="108" t="s">
        <v>69</v>
      </c>
    </row>
    <row r="5" spans="1:35" s="77" customFormat="1" ht="18" thickBot="1">
      <c r="A5" s="688"/>
      <c r="B5" s="690"/>
      <c r="C5" s="522" t="str">
        <f>日期!C3</f>
        <v>Sun</v>
      </c>
      <c r="D5" s="522" t="str">
        <f>日期!D3</f>
        <v>Mon</v>
      </c>
      <c r="E5" s="522" t="str">
        <f>日期!E3</f>
        <v>Tue</v>
      </c>
      <c r="F5" s="522" t="str">
        <f>日期!F3</f>
        <v>Wed</v>
      </c>
      <c r="G5" s="522" t="str">
        <f>日期!G3</f>
        <v>Thu</v>
      </c>
      <c r="H5" s="522" t="str">
        <f>日期!H3</f>
        <v>Fri</v>
      </c>
      <c r="I5" s="522" t="str">
        <f>日期!I3</f>
        <v>Sat</v>
      </c>
      <c r="J5" s="522" t="str">
        <f>日期!J3</f>
        <v>Sun</v>
      </c>
      <c r="K5" s="522" t="str">
        <f>日期!K3</f>
        <v>Mon</v>
      </c>
      <c r="L5" s="522" t="str">
        <f>日期!L3</f>
        <v>Tue</v>
      </c>
      <c r="M5" s="522" t="str">
        <f>日期!M3</f>
        <v>Wed</v>
      </c>
      <c r="N5" s="522" t="str">
        <f>日期!N3</f>
        <v>Thu</v>
      </c>
      <c r="O5" s="522" t="str">
        <f>日期!O3</f>
        <v>Fri</v>
      </c>
      <c r="P5" s="522" t="str">
        <f>日期!P3</f>
        <v>Sat</v>
      </c>
      <c r="Q5" s="522" t="str">
        <f>日期!Q3</f>
        <v>Sun</v>
      </c>
      <c r="R5" s="522" t="str">
        <f>日期!R3</f>
        <v>Mon</v>
      </c>
      <c r="S5" s="522" t="str">
        <f>日期!S3</f>
        <v>Tue</v>
      </c>
      <c r="T5" s="522" t="str">
        <f>日期!T3</f>
        <v>Wed</v>
      </c>
      <c r="U5" s="522" t="str">
        <f>日期!U3</f>
        <v>Thu</v>
      </c>
      <c r="V5" s="522" t="str">
        <f>日期!V3</f>
        <v>Fri</v>
      </c>
      <c r="W5" s="522" t="str">
        <f>日期!W3</f>
        <v>Sat</v>
      </c>
      <c r="X5" s="522" t="str">
        <f>日期!X3</f>
        <v>Sun</v>
      </c>
      <c r="Y5" s="522" t="str">
        <f>日期!Y3</f>
        <v>Mon</v>
      </c>
      <c r="Z5" s="522" t="str">
        <f>日期!Z3</f>
        <v>Tue</v>
      </c>
      <c r="AA5" s="522" t="str">
        <f>日期!AA3</f>
        <v>Wed</v>
      </c>
      <c r="AB5" s="522" t="str">
        <f>日期!AB3</f>
        <v>Thu</v>
      </c>
      <c r="AC5" s="522" t="str">
        <f>日期!AC3</f>
        <v>Fri</v>
      </c>
      <c r="AD5" s="522" t="str">
        <f>日期!AD3</f>
        <v>Sat</v>
      </c>
      <c r="AE5" s="522" t="str">
        <f>日期!AE3</f>
        <v>Sun</v>
      </c>
      <c r="AF5" s="522" t="str">
        <f>日期!AF3</f>
        <v>Mon</v>
      </c>
      <c r="AG5" s="522" t="str">
        <f>日期!AG3</f>
        <v>Tue</v>
      </c>
      <c r="AH5" s="521"/>
      <c r="AI5" s="109"/>
    </row>
    <row r="6" spans="1:35" ht="17.45">
      <c r="A6" s="101" t="s">
        <v>72</v>
      </c>
      <c r="B6" s="102" t="s">
        <v>236</v>
      </c>
      <c r="C6" s="103">
        <f>VALUE(期貨金額!D2)</f>
        <v>3617751</v>
      </c>
      <c r="D6" s="103">
        <f>VALUE(期貨金額!E2)</f>
        <v>3669929</v>
      </c>
      <c r="E6" s="103">
        <f>VALUE(期貨金額!F2)</f>
        <v>3386345</v>
      </c>
      <c r="F6" s="103">
        <f>VALUE(期貨金額!G2)</f>
        <v>3430302</v>
      </c>
      <c r="G6" s="103">
        <f>VALUE(期貨金額!H2)</f>
        <v>3439086</v>
      </c>
      <c r="H6" s="103">
        <f>VALUE(期貨金額!I2)</f>
        <v>3519868</v>
      </c>
      <c r="I6" s="103">
        <f>VALUE(期貨金額!J2)</f>
        <v>3522328</v>
      </c>
      <c r="J6" s="103">
        <f>VALUE(期貨金額!K2)</f>
        <v>3522328</v>
      </c>
      <c r="K6" s="103">
        <f>VALUE(期貨金額!L2)</f>
        <v>3676755</v>
      </c>
      <c r="L6" s="103">
        <f>VALUE(期貨金額!M2)</f>
        <v>3663163</v>
      </c>
      <c r="M6" s="103">
        <f>VALUE(期貨金額!N2)</f>
        <v>3680222</v>
      </c>
      <c r="N6" s="103">
        <f>VALUE(期貨金額!O2)</f>
        <v>3548338</v>
      </c>
      <c r="O6" s="103">
        <f>VALUE(期貨金額!P2)</f>
        <v>3631416</v>
      </c>
      <c r="P6" s="103">
        <f>VALUE(期貨金額!Q2)</f>
        <v>3631416</v>
      </c>
      <c r="Q6" s="103">
        <f>VALUE(期貨金額!R2)</f>
        <v>3631416</v>
      </c>
      <c r="R6" s="103">
        <f>VALUE(期貨金額!S2)</f>
        <v>3558496</v>
      </c>
      <c r="S6" s="103">
        <f>VALUE(期貨金額!T2)</f>
        <v>3627392</v>
      </c>
      <c r="T6" s="103">
        <f>VALUE(期貨金額!U2)</f>
        <v>3756358</v>
      </c>
      <c r="U6" s="103">
        <f>VALUE(期貨金額!V2)</f>
        <v>3685070</v>
      </c>
      <c r="V6" s="103">
        <f>VALUE(期貨金額!W2)</f>
        <v>3759177</v>
      </c>
      <c r="W6" s="103">
        <f>VALUE(期貨金額!X2)</f>
        <v>3765956</v>
      </c>
      <c r="X6" s="103">
        <f>VALUE(期貨金額!Y2)</f>
        <v>3765956</v>
      </c>
      <c r="Y6" s="103">
        <f>VALUE(期貨金額!Z2)</f>
        <v>3823363</v>
      </c>
      <c r="Z6" s="103">
        <f>VALUE(期貨金額!AA2)</f>
        <v>3865416</v>
      </c>
      <c r="AA6" s="103">
        <f>VALUE(期貨金額!AB2)</f>
        <v>3982065</v>
      </c>
      <c r="AB6" s="103">
        <f>VALUE(期貨金額!AC2)</f>
        <v>4057866</v>
      </c>
      <c r="AC6" s="103">
        <f>VALUE(期貨金額!AD2)</f>
        <v>4150043</v>
      </c>
      <c r="AD6" s="103">
        <f>VALUE(期貨金額!AE2)</f>
        <v>4161565</v>
      </c>
      <c r="AE6" s="103">
        <f>VALUE(期貨金額!AF2)</f>
        <v>4161565</v>
      </c>
      <c r="AF6" s="103">
        <f>VALUE(期貨金額!AG2)</f>
        <v>4299819</v>
      </c>
      <c r="AG6" s="103">
        <f>VALUE(期貨金額!AH2)</f>
        <v>4318723</v>
      </c>
      <c r="AH6" s="103">
        <f>VALUE(期貨金額!AI2)</f>
        <v>3751919.13</v>
      </c>
      <c r="AI6" s="504">
        <f>AH6/$AH$19</f>
        <v>0.34752492448156286</v>
      </c>
    </row>
    <row r="7" spans="1:35" ht="17.45">
      <c r="A7" s="105" t="s">
        <v>72</v>
      </c>
      <c r="B7" s="106" t="s">
        <v>237</v>
      </c>
      <c r="C7" s="103">
        <f>VALUE(期貨金額!D3)</f>
        <v>5228953</v>
      </c>
      <c r="D7" s="103">
        <f>VALUE(期貨金額!E3)</f>
        <v>5468264</v>
      </c>
      <c r="E7" s="103">
        <f>VALUE(期貨金額!F3)</f>
        <v>5418579</v>
      </c>
      <c r="F7" s="103">
        <f>VALUE(期貨金額!G3)</f>
        <v>5312981</v>
      </c>
      <c r="G7" s="103">
        <f>VALUE(期貨金額!H3)</f>
        <v>5276669</v>
      </c>
      <c r="H7" s="103">
        <f>VALUE(期貨金額!I3)</f>
        <v>5233969</v>
      </c>
      <c r="I7" s="103">
        <f>VALUE(期貨金額!J3)</f>
        <v>5231984</v>
      </c>
      <c r="J7" s="103">
        <f>VALUE(期貨金額!K3)</f>
        <v>5231984</v>
      </c>
      <c r="K7" s="103">
        <f>VALUE(期貨金額!L3)</f>
        <v>5237746</v>
      </c>
      <c r="L7" s="103">
        <f>VALUE(期貨金額!M3)</f>
        <v>5324038</v>
      </c>
      <c r="M7" s="103">
        <f>VALUE(期貨金額!N3)</f>
        <v>5312569</v>
      </c>
      <c r="N7" s="103">
        <f>VALUE(期貨金額!O3)</f>
        <v>5488913</v>
      </c>
      <c r="O7" s="103">
        <f>VALUE(期貨金額!P3)</f>
        <v>5612610</v>
      </c>
      <c r="P7" s="103">
        <f>VALUE(期貨金額!Q3)</f>
        <v>5612610</v>
      </c>
      <c r="Q7" s="103">
        <f>VALUE(期貨金額!R3)</f>
        <v>5612610</v>
      </c>
      <c r="R7" s="103">
        <f>VALUE(期貨金額!S3)</f>
        <v>6473094</v>
      </c>
      <c r="S7" s="103">
        <f>VALUE(期貨金額!T3)</f>
        <v>6275675</v>
      </c>
      <c r="T7" s="103">
        <f>VALUE(期貨金額!U3)</f>
        <v>6333610</v>
      </c>
      <c r="U7" s="103">
        <f>VALUE(期貨金額!V3)</f>
        <v>5307878</v>
      </c>
      <c r="V7" s="103">
        <f>VALUE(期貨金額!W3)</f>
        <v>4994061</v>
      </c>
      <c r="W7" s="103">
        <f>VALUE(期貨金額!X3)</f>
        <v>5076141</v>
      </c>
      <c r="X7" s="103">
        <f>VALUE(期貨金額!Y3)</f>
        <v>5076141</v>
      </c>
      <c r="Y7" s="103">
        <f>VALUE(期貨金額!Z3)</f>
        <v>5127793</v>
      </c>
      <c r="Z7" s="103">
        <f>VALUE(期貨金額!AA3)</f>
        <v>5144090</v>
      </c>
      <c r="AA7" s="103">
        <f>VALUE(期貨金額!AB3)</f>
        <v>5200334</v>
      </c>
      <c r="AB7" s="103">
        <f>VALUE(期貨金額!AC3)</f>
        <v>5471776</v>
      </c>
      <c r="AC7" s="103">
        <f>VALUE(期貨金額!AD3)</f>
        <v>5624702</v>
      </c>
      <c r="AD7" s="103">
        <f>VALUE(期貨金額!AE3)</f>
        <v>5730227</v>
      </c>
      <c r="AE7" s="103">
        <f>VALUE(期貨金額!AF3)</f>
        <v>5730227</v>
      </c>
      <c r="AF7" s="103">
        <f>VALUE(期貨金額!AG3)</f>
        <v>5855906</v>
      </c>
      <c r="AG7" s="103">
        <f>VALUE(期貨金額!AH3)</f>
        <v>5912997</v>
      </c>
      <c r="AH7" s="103">
        <f>VALUE(期貨金額!AI3)</f>
        <v>5481907.4500000002</v>
      </c>
      <c r="AI7" s="504">
        <f t="shared" ref="AI7:AI17" si="0">AH7/$AH$19</f>
        <v>0.50776666728852626</v>
      </c>
    </row>
    <row r="8" spans="1:35" ht="17.45">
      <c r="A8" s="105" t="s">
        <v>72</v>
      </c>
      <c r="B8" s="106">
        <v>4</v>
      </c>
      <c r="C8" s="103">
        <f>VALUE(期貨金額!D4)</f>
        <v>897434</v>
      </c>
      <c r="D8" s="103">
        <f>VALUE(期貨金額!E4)</f>
        <v>895732</v>
      </c>
      <c r="E8" s="103">
        <f>VALUE(期貨金額!F4)</f>
        <v>893084</v>
      </c>
      <c r="F8" s="103">
        <f>VALUE(期貨金額!G4)</f>
        <v>892928</v>
      </c>
      <c r="G8" s="103">
        <f>VALUE(期貨金額!H4)</f>
        <v>868908</v>
      </c>
      <c r="H8" s="103">
        <f>VALUE(期貨金額!I4)</f>
        <v>868983</v>
      </c>
      <c r="I8" s="103">
        <f>VALUE(期貨金額!J4)</f>
        <v>868908</v>
      </c>
      <c r="J8" s="103">
        <f>VALUE(期貨金額!K4)</f>
        <v>868908</v>
      </c>
      <c r="K8" s="103">
        <f>VALUE(期貨金額!L4)</f>
        <v>868482</v>
      </c>
      <c r="L8" s="103">
        <f>VALUE(期貨金額!M4)</f>
        <v>996772</v>
      </c>
      <c r="M8" s="103">
        <f>VALUE(期貨金額!N4)</f>
        <v>1118588</v>
      </c>
      <c r="N8" s="103">
        <f>VALUE(期貨金額!O4)</f>
        <v>1610833</v>
      </c>
      <c r="O8" s="103">
        <f>VALUE(期貨金額!P4)</f>
        <v>1609107</v>
      </c>
      <c r="P8" s="103">
        <f>VALUE(期貨金額!Q4)</f>
        <v>1609107</v>
      </c>
      <c r="Q8" s="103">
        <f>VALUE(期貨金額!R4)</f>
        <v>1609107</v>
      </c>
      <c r="R8" s="103">
        <f>VALUE(期貨金額!S4)</f>
        <v>1608680</v>
      </c>
      <c r="S8" s="103">
        <f>VALUE(期貨金額!T4)</f>
        <v>1609184</v>
      </c>
      <c r="T8" s="103">
        <f>VALUE(期貨金額!U4)</f>
        <v>1611164</v>
      </c>
      <c r="U8" s="103">
        <f>VALUE(期貨金額!V4)</f>
        <v>1756084</v>
      </c>
      <c r="V8" s="103">
        <f>VALUE(期貨金額!W4)</f>
        <v>1772949</v>
      </c>
      <c r="W8" s="103">
        <f>VALUE(期貨金額!X4)</f>
        <v>1779434</v>
      </c>
      <c r="X8" s="103">
        <f>VALUE(期貨金額!Y4)</f>
        <v>1779434</v>
      </c>
      <c r="Y8" s="103">
        <f>VALUE(期貨金額!Z4)</f>
        <v>1838107</v>
      </c>
      <c r="Z8" s="103">
        <f>VALUE(期貨金額!AA4)</f>
        <v>1809515</v>
      </c>
      <c r="AA8" s="103">
        <f>VALUE(期貨金額!AB4)</f>
        <v>2062248</v>
      </c>
      <c r="AB8" s="103">
        <f>VALUE(期貨金額!AC4)</f>
        <v>2062163</v>
      </c>
      <c r="AC8" s="103">
        <f>VALUE(期貨金額!AD4)</f>
        <v>2113135</v>
      </c>
      <c r="AD8" s="103">
        <f>VALUE(期貨金額!AE4)</f>
        <v>2113285</v>
      </c>
      <c r="AE8" s="103">
        <f>VALUE(期貨金額!AF4)</f>
        <v>2113285</v>
      </c>
      <c r="AF8" s="103">
        <f>VALUE(期貨金額!AG4)</f>
        <v>2114920</v>
      </c>
      <c r="AG8" s="103">
        <f>VALUE(期貨金額!AH4)</f>
        <v>2104304</v>
      </c>
      <c r="AH8" s="103">
        <f>VALUE(期貨金額!AI4)</f>
        <v>1507250.71</v>
      </c>
      <c r="AI8" s="504">
        <f t="shared" si="0"/>
        <v>0.13961046894087292</v>
      </c>
    </row>
    <row r="9" spans="1:35" ht="17.45">
      <c r="A9" s="105" t="s">
        <v>238</v>
      </c>
      <c r="B9" s="106" t="s">
        <v>236</v>
      </c>
      <c r="C9" s="103">
        <f>VALUE(期貨金額!D5)</f>
        <v>0</v>
      </c>
      <c r="D9" s="103">
        <f>VALUE(期貨金額!E5)</f>
        <v>0</v>
      </c>
      <c r="E9" s="103">
        <f>VALUE(期貨金額!F5)</f>
        <v>0</v>
      </c>
      <c r="F9" s="103">
        <f>VALUE(期貨金額!G5)</f>
        <v>0</v>
      </c>
      <c r="G9" s="103">
        <f>VALUE(期貨金額!H5)</f>
        <v>0</v>
      </c>
      <c r="H9" s="103">
        <f>VALUE(期貨金額!I5)</f>
        <v>0</v>
      </c>
      <c r="I9" s="103">
        <f>VALUE(期貨金額!J5)</f>
        <v>0</v>
      </c>
      <c r="J9" s="103">
        <f>VALUE(期貨金額!K5)</f>
        <v>0</v>
      </c>
      <c r="K9" s="103">
        <f>VALUE(期貨金額!L5)</f>
        <v>0</v>
      </c>
      <c r="L9" s="103">
        <f>VALUE(期貨金額!M5)</f>
        <v>0</v>
      </c>
      <c r="M9" s="103">
        <f>VALUE(期貨金額!N5)</f>
        <v>0</v>
      </c>
      <c r="N9" s="103">
        <f>VALUE(期貨金額!O5)</f>
        <v>0</v>
      </c>
      <c r="O9" s="103">
        <f>VALUE(期貨金額!P5)</f>
        <v>0</v>
      </c>
      <c r="P9" s="103">
        <f>VALUE(期貨金額!Q5)</f>
        <v>0</v>
      </c>
      <c r="Q9" s="103">
        <f>VALUE(期貨金額!R5)</f>
        <v>0</v>
      </c>
      <c r="R9" s="103">
        <f>VALUE(期貨金額!S5)</f>
        <v>0</v>
      </c>
      <c r="S9" s="103">
        <f>VALUE(期貨金額!T5)</f>
        <v>0</v>
      </c>
      <c r="T9" s="103">
        <f>VALUE(期貨金額!U5)</f>
        <v>0</v>
      </c>
      <c r="U9" s="103">
        <f>VALUE(期貨金額!V5)</f>
        <v>0</v>
      </c>
      <c r="V9" s="103">
        <f>VALUE(期貨金額!W5)</f>
        <v>0</v>
      </c>
      <c r="W9" s="103">
        <f>VALUE(期貨金額!X5)</f>
        <v>0</v>
      </c>
      <c r="X9" s="103">
        <f>VALUE(期貨金額!Y5)</f>
        <v>0</v>
      </c>
      <c r="Y9" s="103">
        <f>VALUE(期貨金額!Z5)</f>
        <v>0</v>
      </c>
      <c r="Z9" s="103">
        <f>VALUE(期貨金額!AA5)</f>
        <v>0</v>
      </c>
      <c r="AA9" s="103">
        <f>VALUE(期貨金額!AB5)</f>
        <v>0</v>
      </c>
      <c r="AB9" s="103">
        <f>VALUE(期貨金額!AC5)</f>
        <v>0</v>
      </c>
      <c r="AC9" s="103">
        <f>VALUE(期貨金額!AD5)</f>
        <v>0</v>
      </c>
      <c r="AD9" s="103">
        <f>VALUE(期貨金額!AE5)</f>
        <v>0</v>
      </c>
      <c r="AE9" s="103">
        <f>VALUE(期貨金額!AF5)</f>
        <v>0</v>
      </c>
      <c r="AF9" s="103">
        <f>VALUE(期貨金額!AG5)</f>
        <v>0</v>
      </c>
      <c r="AG9" s="103">
        <f>VALUE(期貨金額!AH5)</f>
        <v>0</v>
      </c>
      <c r="AH9" s="103">
        <f>VALUE(期貨金額!AI5)</f>
        <v>0</v>
      </c>
      <c r="AI9" s="504">
        <f t="shared" si="0"/>
        <v>0</v>
      </c>
    </row>
    <row r="10" spans="1:35" ht="17.45">
      <c r="A10" s="105" t="s">
        <v>238</v>
      </c>
      <c r="B10" s="106">
        <v>3</v>
      </c>
      <c r="C10" s="103">
        <f>VALUE(期貨金額!D6)</f>
        <v>0</v>
      </c>
      <c r="D10" s="103">
        <f>VALUE(期貨金額!E6)</f>
        <v>0</v>
      </c>
      <c r="E10" s="103">
        <f>VALUE(期貨金額!F6)</f>
        <v>0</v>
      </c>
      <c r="F10" s="103">
        <f>VALUE(期貨金額!G6)</f>
        <v>0</v>
      </c>
      <c r="G10" s="103">
        <f>VALUE(期貨金額!H6)</f>
        <v>0</v>
      </c>
      <c r="H10" s="103">
        <f>VALUE(期貨金額!I6)</f>
        <v>0</v>
      </c>
      <c r="I10" s="103">
        <f>VALUE(期貨金額!J6)</f>
        <v>0</v>
      </c>
      <c r="J10" s="103">
        <f>VALUE(期貨金額!K6)</f>
        <v>0</v>
      </c>
      <c r="K10" s="103">
        <f>VALUE(期貨金額!L6)</f>
        <v>0</v>
      </c>
      <c r="L10" s="103">
        <f>VALUE(期貨金額!M6)</f>
        <v>0</v>
      </c>
      <c r="M10" s="103">
        <f>VALUE(期貨金額!N6)</f>
        <v>0</v>
      </c>
      <c r="N10" s="103">
        <f>VALUE(期貨金額!O6)</f>
        <v>0</v>
      </c>
      <c r="O10" s="103">
        <f>VALUE(期貨金額!P6)</f>
        <v>0</v>
      </c>
      <c r="P10" s="103">
        <f>VALUE(期貨金額!Q6)</f>
        <v>0</v>
      </c>
      <c r="Q10" s="103">
        <f>VALUE(期貨金額!R6)</f>
        <v>0</v>
      </c>
      <c r="R10" s="103">
        <f>VALUE(期貨金額!S6)</f>
        <v>0</v>
      </c>
      <c r="S10" s="103">
        <f>VALUE(期貨金額!T6)</f>
        <v>0</v>
      </c>
      <c r="T10" s="103">
        <f>VALUE(期貨金額!U6)</f>
        <v>0</v>
      </c>
      <c r="U10" s="103">
        <f>VALUE(期貨金額!V6)</f>
        <v>0</v>
      </c>
      <c r="V10" s="103">
        <f>VALUE(期貨金額!W6)</f>
        <v>0</v>
      </c>
      <c r="W10" s="103">
        <f>VALUE(期貨金額!X6)</f>
        <v>0</v>
      </c>
      <c r="X10" s="103">
        <f>VALUE(期貨金額!Y6)</f>
        <v>0</v>
      </c>
      <c r="Y10" s="103">
        <f>VALUE(期貨金額!Z6)</f>
        <v>0</v>
      </c>
      <c r="Z10" s="103">
        <f>VALUE(期貨金額!AA6)</f>
        <v>0</v>
      </c>
      <c r="AA10" s="103">
        <f>VALUE(期貨金額!AB6)</f>
        <v>0</v>
      </c>
      <c r="AB10" s="103">
        <f>VALUE(期貨金額!AC6)</f>
        <v>0</v>
      </c>
      <c r="AC10" s="103">
        <f>VALUE(期貨金額!AD6)</f>
        <v>0</v>
      </c>
      <c r="AD10" s="103">
        <f>VALUE(期貨金額!AE6)</f>
        <v>0</v>
      </c>
      <c r="AE10" s="103">
        <f>VALUE(期貨金額!AF6)</f>
        <v>0</v>
      </c>
      <c r="AF10" s="103">
        <f>VALUE(期貨金額!AG6)</f>
        <v>0</v>
      </c>
      <c r="AG10" s="103">
        <f>VALUE(期貨金額!AH6)</f>
        <v>0</v>
      </c>
      <c r="AH10" s="103">
        <f>VALUE(期貨金額!AI6)</f>
        <v>0</v>
      </c>
      <c r="AI10" s="504">
        <f t="shared" si="0"/>
        <v>0</v>
      </c>
    </row>
    <row r="11" spans="1:35" ht="17.45">
      <c r="A11" s="105" t="s">
        <v>239</v>
      </c>
      <c r="B11" s="106" t="s">
        <v>236</v>
      </c>
      <c r="C11" s="103">
        <f>VALUE(期貨金額!D8)</f>
        <v>0</v>
      </c>
      <c r="D11" s="103">
        <f>VALUE(期貨金額!E8)</f>
        <v>0</v>
      </c>
      <c r="E11" s="103">
        <f>VALUE(期貨金額!F8)</f>
        <v>0</v>
      </c>
      <c r="F11" s="103">
        <f>VALUE(期貨金額!G8)</f>
        <v>0</v>
      </c>
      <c r="G11" s="103">
        <f>VALUE(期貨金額!H8)</f>
        <v>0</v>
      </c>
      <c r="H11" s="103">
        <f>VALUE(期貨金額!I8)</f>
        <v>0</v>
      </c>
      <c r="I11" s="103">
        <f>VALUE(期貨金額!J8)</f>
        <v>0</v>
      </c>
      <c r="J11" s="103">
        <f>VALUE(期貨金額!K8)</f>
        <v>0</v>
      </c>
      <c r="K11" s="103">
        <f>VALUE(期貨金額!L8)</f>
        <v>0</v>
      </c>
      <c r="L11" s="103">
        <f>VALUE(期貨金額!M8)</f>
        <v>0</v>
      </c>
      <c r="M11" s="103">
        <f>VALUE(期貨金額!N8)</f>
        <v>0</v>
      </c>
      <c r="N11" s="103">
        <f>VALUE(期貨金額!O8)</f>
        <v>0</v>
      </c>
      <c r="O11" s="103">
        <f>VALUE(期貨金額!P8)</f>
        <v>0</v>
      </c>
      <c r="P11" s="103">
        <f>VALUE(期貨金額!Q8)</f>
        <v>0</v>
      </c>
      <c r="Q11" s="103">
        <f>VALUE(期貨金額!R8)</f>
        <v>0</v>
      </c>
      <c r="R11" s="103">
        <f>VALUE(期貨金額!S8)</f>
        <v>0</v>
      </c>
      <c r="S11" s="103">
        <f>VALUE(期貨金額!T8)</f>
        <v>0</v>
      </c>
      <c r="T11" s="103">
        <f>VALUE(期貨金額!U8)</f>
        <v>0</v>
      </c>
      <c r="U11" s="103">
        <f>VALUE(期貨金額!V8)</f>
        <v>0</v>
      </c>
      <c r="V11" s="103">
        <f>VALUE(期貨金額!W8)</f>
        <v>0</v>
      </c>
      <c r="W11" s="103">
        <f>VALUE(期貨金額!X8)</f>
        <v>0</v>
      </c>
      <c r="X11" s="103">
        <f>VALUE(期貨金額!Y8)</f>
        <v>0</v>
      </c>
      <c r="Y11" s="103">
        <f>VALUE(期貨金額!Z8)</f>
        <v>0</v>
      </c>
      <c r="Z11" s="103">
        <f>VALUE(期貨金額!AA8)</f>
        <v>0</v>
      </c>
      <c r="AA11" s="103">
        <f>VALUE(期貨金額!AB8)</f>
        <v>0</v>
      </c>
      <c r="AB11" s="103">
        <f>VALUE(期貨金額!AC8)</f>
        <v>0</v>
      </c>
      <c r="AC11" s="103">
        <f>VALUE(期貨金額!AD8)</f>
        <v>0</v>
      </c>
      <c r="AD11" s="103">
        <f>VALUE(期貨金額!AE8)</f>
        <v>0</v>
      </c>
      <c r="AE11" s="103">
        <f>VALUE(期貨金額!AF8)</f>
        <v>0</v>
      </c>
      <c r="AF11" s="103">
        <f>VALUE(期貨金額!AG8)</f>
        <v>0</v>
      </c>
      <c r="AG11" s="103">
        <f>VALUE(期貨金額!AH8)</f>
        <v>0</v>
      </c>
      <c r="AH11" s="103">
        <f>VALUE(期貨金額!AI8)</f>
        <v>0</v>
      </c>
      <c r="AI11" s="504">
        <f t="shared" si="0"/>
        <v>0</v>
      </c>
    </row>
    <row r="12" spans="1:35" ht="17.45">
      <c r="A12" s="105" t="s">
        <v>239</v>
      </c>
      <c r="B12" s="106">
        <v>3</v>
      </c>
      <c r="C12" s="103">
        <f>VALUE(期貨金額!D9)</f>
        <v>0</v>
      </c>
      <c r="D12" s="103">
        <f>VALUE(期貨金額!E9)</f>
        <v>0</v>
      </c>
      <c r="E12" s="103">
        <f>VALUE(期貨金額!F9)</f>
        <v>0</v>
      </c>
      <c r="F12" s="103">
        <f>VALUE(期貨金額!G9)</f>
        <v>0</v>
      </c>
      <c r="G12" s="103">
        <f>VALUE(期貨金額!H9)</f>
        <v>0</v>
      </c>
      <c r="H12" s="103">
        <f>VALUE(期貨金額!I9)</f>
        <v>0</v>
      </c>
      <c r="I12" s="103">
        <f>VALUE(期貨金額!J9)</f>
        <v>0</v>
      </c>
      <c r="J12" s="103">
        <f>VALUE(期貨金額!K9)</f>
        <v>0</v>
      </c>
      <c r="K12" s="103">
        <f>VALUE(期貨金額!L9)</f>
        <v>0</v>
      </c>
      <c r="L12" s="103">
        <f>VALUE(期貨金額!M9)</f>
        <v>0</v>
      </c>
      <c r="M12" s="103">
        <f>VALUE(期貨金額!N9)</f>
        <v>0</v>
      </c>
      <c r="N12" s="103">
        <f>VALUE(期貨金額!O9)</f>
        <v>0</v>
      </c>
      <c r="O12" s="103">
        <f>VALUE(期貨金額!P9)</f>
        <v>0</v>
      </c>
      <c r="P12" s="103">
        <f>VALUE(期貨金額!Q9)</f>
        <v>0</v>
      </c>
      <c r="Q12" s="103">
        <f>VALUE(期貨金額!R9)</f>
        <v>0</v>
      </c>
      <c r="R12" s="103">
        <f>VALUE(期貨金額!S9)</f>
        <v>0</v>
      </c>
      <c r="S12" s="103">
        <f>VALUE(期貨金額!T9)</f>
        <v>0</v>
      </c>
      <c r="T12" s="103">
        <f>VALUE(期貨金額!U9)</f>
        <v>0</v>
      </c>
      <c r="U12" s="103">
        <f>VALUE(期貨金額!V9)</f>
        <v>0</v>
      </c>
      <c r="V12" s="103">
        <f>VALUE(期貨金額!W9)</f>
        <v>0</v>
      </c>
      <c r="W12" s="103">
        <f>VALUE(期貨金額!X9)</f>
        <v>0</v>
      </c>
      <c r="X12" s="103">
        <f>VALUE(期貨金額!Y9)</f>
        <v>0</v>
      </c>
      <c r="Y12" s="103">
        <f>VALUE(期貨金額!Z9)</f>
        <v>0</v>
      </c>
      <c r="Z12" s="103">
        <f>VALUE(期貨金額!AA9)</f>
        <v>0</v>
      </c>
      <c r="AA12" s="103">
        <f>VALUE(期貨金額!AB9)</f>
        <v>0</v>
      </c>
      <c r="AB12" s="103">
        <f>VALUE(期貨金額!AC9)</f>
        <v>0</v>
      </c>
      <c r="AC12" s="103">
        <f>VALUE(期貨金額!AD9)</f>
        <v>0</v>
      </c>
      <c r="AD12" s="103">
        <f>VALUE(期貨金額!AE9)</f>
        <v>0</v>
      </c>
      <c r="AE12" s="103">
        <f>VALUE(期貨金額!AF9)</f>
        <v>0</v>
      </c>
      <c r="AF12" s="103">
        <f>VALUE(期貨金額!AG9)</f>
        <v>0</v>
      </c>
      <c r="AG12" s="103">
        <f>VALUE(期貨金額!AH9)</f>
        <v>0</v>
      </c>
      <c r="AH12" s="103">
        <f>VALUE(期貨金額!AI9)</f>
        <v>0</v>
      </c>
      <c r="AI12" s="504">
        <f t="shared" si="0"/>
        <v>0</v>
      </c>
    </row>
    <row r="13" spans="1:35" ht="17.45">
      <c r="A13" s="105" t="s">
        <v>240</v>
      </c>
      <c r="B13" s="106">
        <v>1</v>
      </c>
      <c r="C13" s="103">
        <f>VALUE(期貨金額!D10)</f>
        <v>0</v>
      </c>
      <c r="D13" s="103">
        <f>VALUE(期貨金額!E10)</f>
        <v>0</v>
      </c>
      <c r="E13" s="103">
        <f>VALUE(期貨金額!F10)</f>
        <v>0</v>
      </c>
      <c r="F13" s="103">
        <f>VALUE(期貨金額!G10)</f>
        <v>0</v>
      </c>
      <c r="G13" s="103">
        <f>VALUE(期貨金額!H10)</f>
        <v>0</v>
      </c>
      <c r="H13" s="103">
        <f>VALUE(期貨金額!I10)</f>
        <v>0</v>
      </c>
      <c r="I13" s="103">
        <f>VALUE(期貨金額!J10)</f>
        <v>0</v>
      </c>
      <c r="J13" s="103">
        <f>VALUE(期貨金額!K10)</f>
        <v>0</v>
      </c>
      <c r="K13" s="103">
        <f>VALUE(期貨金額!L10)</f>
        <v>0</v>
      </c>
      <c r="L13" s="103">
        <f>VALUE(期貨金額!M10)</f>
        <v>0</v>
      </c>
      <c r="M13" s="103">
        <f>VALUE(期貨金額!N10)</f>
        <v>0</v>
      </c>
      <c r="N13" s="103">
        <f>VALUE(期貨金額!O10)</f>
        <v>0</v>
      </c>
      <c r="O13" s="103">
        <f>VALUE(期貨金額!P10)</f>
        <v>0</v>
      </c>
      <c r="P13" s="103">
        <f>VALUE(期貨金額!Q10)</f>
        <v>0</v>
      </c>
      <c r="Q13" s="103">
        <f>VALUE(期貨金額!R10)</f>
        <v>0</v>
      </c>
      <c r="R13" s="103">
        <f>VALUE(期貨金額!S10)</f>
        <v>0</v>
      </c>
      <c r="S13" s="103">
        <f>VALUE(期貨金額!T10)</f>
        <v>0</v>
      </c>
      <c r="T13" s="103">
        <f>VALUE(期貨金額!U10)</f>
        <v>0</v>
      </c>
      <c r="U13" s="103">
        <f>VALUE(期貨金額!V10)</f>
        <v>0</v>
      </c>
      <c r="V13" s="103">
        <f>VALUE(期貨金額!W10)</f>
        <v>0</v>
      </c>
      <c r="W13" s="103">
        <f>VALUE(期貨金額!X10)</f>
        <v>0</v>
      </c>
      <c r="X13" s="103">
        <f>VALUE(期貨金額!Y10)</f>
        <v>0</v>
      </c>
      <c r="Y13" s="103">
        <f>VALUE(期貨金額!Z10)</f>
        <v>0</v>
      </c>
      <c r="Z13" s="103">
        <f>VALUE(期貨金額!AA10)</f>
        <v>0</v>
      </c>
      <c r="AA13" s="103">
        <f>VALUE(期貨金額!AB10)</f>
        <v>0</v>
      </c>
      <c r="AB13" s="103">
        <f>VALUE(期貨金額!AC10)</f>
        <v>0</v>
      </c>
      <c r="AC13" s="103">
        <f>VALUE(期貨金額!AD10)</f>
        <v>0</v>
      </c>
      <c r="AD13" s="103">
        <f>VALUE(期貨金額!AE10)</f>
        <v>0</v>
      </c>
      <c r="AE13" s="103">
        <f>VALUE(期貨金額!AF10)</f>
        <v>0</v>
      </c>
      <c r="AF13" s="103">
        <f>VALUE(期貨金額!AG10)</f>
        <v>0</v>
      </c>
      <c r="AG13" s="103">
        <f>VALUE(期貨金額!AH10)</f>
        <v>0</v>
      </c>
      <c r="AH13" s="103">
        <f>VALUE(期貨金額!AI10)</f>
        <v>0</v>
      </c>
      <c r="AI13" s="504">
        <f t="shared" si="0"/>
        <v>0</v>
      </c>
    </row>
    <row r="14" spans="1:35" ht="17.45">
      <c r="A14" s="105" t="s">
        <v>240</v>
      </c>
      <c r="B14" s="106">
        <v>3</v>
      </c>
      <c r="C14" s="103">
        <f>VALUE(期貨金額!D11)</f>
        <v>0</v>
      </c>
      <c r="D14" s="103">
        <f>VALUE(期貨金額!E11)</f>
        <v>0</v>
      </c>
      <c r="E14" s="103">
        <f>VALUE(期貨金額!F11)</f>
        <v>0</v>
      </c>
      <c r="F14" s="103">
        <f>VALUE(期貨金額!G11)</f>
        <v>0</v>
      </c>
      <c r="G14" s="103">
        <f>VALUE(期貨金額!H11)</f>
        <v>0</v>
      </c>
      <c r="H14" s="103">
        <f>VALUE(期貨金額!I11)</f>
        <v>0</v>
      </c>
      <c r="I14" s="103">
        <f>VALUE(期貨金額!J11)</f>
        <v>0</v>
      </c>
      <c r="J14" s="103">
        <f>VALUE(期貨金額!K11)</f>
        <v>0</v>
      </c>
      <c r="K14" s="103">
        <f>VALUE(期貨金額!L11)</f>
        <v>0</v>
      </c>
      <c r="L14" s="103">
        <f>VALUE(期貨金額!M11)</f>
        <v>0</v>
      </c>
      <c r="M14" s="103">
        <f>VALUE(期貨金額!N11)</f>
        <v>0</v>
      </c>
      <c r="N14" s="103">
        <f>VALUE(期貨金額!O11)</f>
        <v>0</v>
      </c>
      <c r="O14" s="103">
        <f>VALUE(期貨金額!P11)</f>
        <v>0</v>
      </c>
      <c r="P14" s="103">
        <f>VALUE(期貨金額!Q11)</f>
        <v>0</v>
      </c>
      <c r="Q14" s="103">
        <f>VALUE(期貨金額!R11)</f>
        <v>0</v>
      </c>
      <c r="R14" s="103">
        <f>VALUE(期貨金額!S11)</f>
        <v>0</v>
      </c>
      <c r="S14" s="103">
        <f>VALUE(期貨金額!T11)</f>
        <v>0</v>
      </c>
      <c r="T14" s="103">
        <f>VALUE(期貨金額!U11)</f>
        <v>0</v>
      </c>
      <c r="U14" s="103">
        <f>VALUE(期貨金額!V11)</f>
        <v>0</v>
      </c>
      <c r="V14" s="103">
        <f>VALUE(期貨金額!W11)</f>
        <v>0</v>
      </c>
      <c r="W14" s="103">
        <f>VALUE(期貨金額!X11)</f>
        <v>0</v>
      </c>
      <c r="X14" s="103">
        <f>VALUE(期貨金額!Y11)</f>
        <v>0</v>
      </c>
      <c r="Y14" s="103">
        <f>VALUE(期貨金額!Z11)</f>
        <v>872428</v>
      </c>
      <c r="Z14" s="103">
        <f>VALUE(期貨金額!AA11)</f>
        <v>0</v>
      </c>
      <c r="AA14" s="103">
        <f>VALUE(期貨金額!AB11)</f>
        <v>0</v>
      </c>
      <c r="AB14" s="103">
        <f>VALUE(期貨金額!AC11)</f>
        <v>0</v>
      </c>
      <c r="AC14" s="103">
        <f>VALUE(期貨金額!AD11)</f>
        <v>0</v>
      </c>
      <c r="AD14" s="103">
        <f>VALUE(期貨金額!AE11)</f>
        <v>0</v>
      </c>
      <c r="AE14" s="103">
        <f>VALUE(期貨金額!AF11)</f>
        <v>0</v>
      </c>
      <c r="AF14" s="103">
        <f>VALUE(期貨金額!AG11)</f>
        <v>0</v>
      </c>
      <c r="AG14" s="103">
        <f>VALUE(期貨金額!AH11)</f>
        <v>0</v>
      </c>
      <c r="AH14" s="103">
        <f>VALUE(期貨金額!AI11)</f>
        <v>28142.84</v>
      </c>
      <c r="AI14" s="504">
        <f t="shared" si="0"/>
        <v>2.6067561711269364E-3</v>
      </c>
    </row>
    <row r="15" spans="1:35" ht="17.45">
      <c r="A15" s="105" t="s">
        <v>241</v>
      </c>
      <c r="B15" s="106" t="s">
        <v>237</v>
      </c>
      <c r="C15" s="103">
        <f>VALUE(期貨金額!D12)</f>
        <v>0</v>
      </c>
      <c r="D15" s="103">
        <f>VALUE(期貨金額!E12)</f>
        <v>0</v>
      </c>
      <c r="E15" s="103">
        <f>VALUE(期貨金額!F12)</f>
        <v>0</v>
      </c>
      <c r="F15" s="103">
        <f>VALUE(期貨金額!G12)</f>
        <v>0</v>
      </c>
      <c r="G15" s="103">
        <f>VALUE(期貨金額!H12)</f>
        <v>0</v>
      </c>
      <c r="H15" s="103">
        <f>VALUE(期貨金額!I12)</f>
        <v>0</v>
      </c>
      <c r="I15" s="103">
        <f>VALUE(期貨金額!J12)</f>
        <v>0</v>
      </c>
      <c r="J15" s="103">
        <f>VALUE(期貨金額!K12)</f>
        <v>0</v>
      </c>
      <c r="K15" s="103">
        <f>VALUE(期貨金額!L12)</f>
        <v>0</v>
      </c>
      <c r="L15" s="103">
        <f>VALUE(期貨金額!M12)</f>
        <v>0</v>
      </c>
      <c r="M15" s="103">
        <f>VALUE(期貨金額!N12)</f>
        <v>0</v>
      </c>
      <c r="N15" s="103">
        <f>VALUE(期貨金額!O12)</f>
        <v>0</v>
      </c>
      <c r="O15" s="103">
        <f>VALUE(期貨金額!P12)</f>
        <v>0</v>
      </c>
      <c r="P15" s="103">
        <f>VALUE(期貨金額!Q12)</f>
        <v>0</v>
      </c>
      <c r="Q15" s="103">
        <f>VALUE(期貨金額!R12)</f>
        <v>0</v>
      </c>
      <c r="R15" s="103">
        <f>VALUE(期貨金額!S12)</f>
        <v>0</v>
      </c>
      <c r="S15" s="103">
        <f>VALUE(期貨金額!T12)</f>
        <v>0</v>
      </c>
      <c r="T15" s="103">
        <f>VALUE(期貨金額!U12)</f>
        <v>0</v>
      </c>
      <c r="U15" s="103">
        <f>VALUE(期貨金額!V12)</f>
        <v>0</v>
      </c>
      <c r="V15" s="103">
        <f>VALUE(期貨金額!W12)</f>
        <v>0</v>
      </c>
      <c r="W15" s="103">
        <f>VALUE(期貨金額!X12)</f>
        <v>0</v>
      </c>
      <c r="X15" s="103">
        <f>VALUE(期貨金額!Y12)</f>
        <v>0</v>
      </c>
      <c r="Y15" s="103">
        <f>VALUE(期貨金額!Z12)</f>
        <v>0</v>
      </c>
      <c r="Z15" s="103">
        <f>VALUE(期貨金額!AA12)</f>
        <v>0</v>
      </c>
      <c r="AA15" s="103">
        <f>VALUE(期貨金額!AB12)</f>
        <v>0</v>
      </c>
      <c r="AB15" s="103">
        <f>VALUE(期貨金額!AC12)</f>
        <v>0</v>
      </c>
      <c r="AC15" s="103">
        <f>VALUE(期貨金額!AD12)</f>
        <v>0</v>
      </c>
      <c r="AD15" s="103">
        <f>VALUE(期貨金額!AE12)</f>
        <v>0</v>
      </c>
      <c r="AE15" s="103">
        <f>VALUE(期貨金額!AF12)</f>
        <v>0</v>
      </c>
      <c r="AF15" s="103">
        <f>VALUE(期貨金額!AG12)</f>
        <v>0</v>
      </c>
      <c r="AG15" s="103">
        <f>VALUE(期貨金額!AH12)</f>
        <v>0</v>
      </c>
      <c r="AH15" s="103">
        <f>VALUE(期貨金額!AI12)</f>
        <v>0</v>
      </c>
      <c r="AI15" s="504">
        <f t="shared" si="0"/>
        <v>0</v>
      </c>
    </row>
    <row r="16" spans="1:35" ht="17.45">
      <c r="A16" s="105" t="s">
        <v>242</v>
      </c>
      <c r="B16" s="106">
        <v>3</v>
      </c>
      <c r="C16" s="103">
        <f>VALUE(期貨金額!D13)</f>
        <v>0</v>
      </c>
      <c r="D16" s="103">
        <f>VALUE(期貨金額!E13)</f>
        <v>0</v>
      </c>
      <c r="E16" s="103">
        <f>VALUE(期貨金額!F13)</f>
        <v>0</v>
      </c>
      <c r="F16" s="103">
        <f>VALUE(期貨金額!G13)</f>
        <v>0</v>
      </c>
      <c r="G16" s="103">
        <f>VALUE(期貨金額!H13)</f>
        <v>0</v>
      </c>
      <c r="H16" s="103">
        <f>VALUE(期貨金額!I13)</f>
        <v>0</v>
      </c>
      <c r="I16" s="103">
        <f>VALUE(期貨金額!J13)</f>
        <v>0</v>
      </c>
      <c r="J16" s="103">
        <f>VALUE(期貨金額!K13)</f>
        <v>0</v>
      </c>
      <c r="K16" s="103">
        <f>VALUE(期貨金額!L13)</f>
        <v>0</v>
      </c>
      <c r="L16" s="103">
        <f>VALUE(期貨金額!M13)</f>
        <v>0</v>
      </c>
      <c r="M16" s="103">
        <f>VALUE(期貨金額!N13)</f>
        <v>0</v>
      </c>
      <c r="N16" s="103">
        <f>VALUE(期貨金額!O13)</f>
        <v>0</v>
      </c>
      <c r="O16" s="103">
        <f>VALUE(期貨金額!P13)</f>
        <v>0</v>
      </c>
      <c r="P16" s="103">
        <f>VALUE(期貨金額!Q13)</f>
        <v>0</v>
      </c>
      <c r="Q16" s="103">
        <f>VALUE(期貨金額!R13)</f>
        <v>0</v>
      </c>
      <c r="R16" s="103">
        <f>VALUE(期貨金額!S13)</f>
        <v>0</v>
      </c>
      <c r="S16" s="103">
        <f>VALUE(期貨金額!T13)</f>
        <v>0</v>
      </c>
      <c r="T16" s="103">
        <f>VALUE(期貨金額!U13)</f>
        <v>0</v>
      </c>
      <c r="U16" s="103">
        <f>VALUE(期貨金額!V13)</f>
        <v>0</v>
      </c>
      <c r="V16" s="103">
        <f>VALUE(期貨金額!W13)</f>
        <v>0</v>
      </c>
      <c r="W16" s="103">
        <f>VALUE(期貨金額!X13)</f>
        <v>0</v>
      </c>
      <c r="X16" s="103">
        <f>VALUE(期貨金額!Y13)</f>
        <v>0</v>
      </c>
      <c r="Y16" s="103">
        <f>VALUE(期貨金額!Z13)</f>
        <v>0</v>
      </c>
      <c r="Z16" s="103">
        <f>VALUE(期貨金額!AA13)</f>
        <v>0</v>
      </c>
      <c r="AA16" s="103">
        <f>VALUE(期貨金額!AB13)</f>
        <v>0</v>
      </c>
      <c r="AB16" s="103">
        <f>VALUE(期貨金額!AC13)</f>
        <v>0</v>
      </c>
      <c r="AC16" s="103">
        <f>VALUE(期貨金額!AD13)</f>
        <v>0</v>
      </c>
      <c r="AD16" s="103">
        <f>VALUE(期貨金額!AE13)</f>
        <v>0</v>
      </c>
      <c r="AE16" s="103">
        <f>VALUE(期貨金額!AF13)</f>
        <v>0</v>
      </c>
      <c r="AF16" s="103">
        <f>VALUE(期貨金額!AG13)</f>
        <v>0</v>
      </c>
      <c r="AG16" s="103">
        <f>VALUE(期貨金額!AH13)</f>
        <v>0</v>
      </c>
      <c r="AH16" s="103">
        <f>VALUE(期貨金額!AI13)</f>
        <v>0</v>
      </c>
      <c r="AI16" s="504">
        <f t="shared" si="0"/>
        <v>0</v>
      </c>
    </row>
    <row r="17" spans="1:35" ht="17.45">
      <c r="A17" s="105" t="s">
        <v>243</v>
      </c>
      <c r="B17" s="105">
        <v>3</v>
      </c>
      <c r="C17" s="103">
        <f>VALUE(期貨金額!D15)</f>
        <v>27148</v>
      </c>
      <c r="D17" s="103">
        <f>VALUE(期貨金額!E15)</f>
        <v>27148</v>
      </c>
      <c r="E17" s="103">
        <f>VALUE(期貨金額!F15)</f>
        <v>25918</v>
      </c>
      <c r="F17" s="103">
        <f>VALUE(期貨金額!G15)</f>
        <v>25070</v>
      </c>
      <c r="G17" s="103">
        <f>VALUE(期貨金額!H15)</f>
        <v>0</v>
      </c>
      <c r="H17" s="103">
        <f>VALUE(期貨金額!I15)</f>
        <v>7018</v>
      </c>
      <c r="I17" s="103">
        <f>VALUE(期貨金額!J15)</f>
        <v>5787</v>
      </c>
      <c r="J17" s="103">
        <f>VALUE(期貨金額!K15)</f>
        <v>5787</v>
      </c>
      <c r="K17" s="103">
        <f>VALUE(期貨金額!L15)</f>
        <v>5787</v>
      </c>
      <c r="L17" s="103">
        <f>VALUE(期貨金額!M15)</f>
        <v>8693</v>
      </c>
      <c r="M17" s="103">
        <f>VALUE(期貨金額!N15)</f>
        <v>8693</v>
      </c>
      <c r="N17" s="103">
        <f>VALUE(期貨金額!O15)</f>
        <v>8693</v>
      </c>
      <c r="O17" s="103">
        <f>VALUE(期貨金額!P15)</f>
        <v>8693</v>
      </c>
      <c r="P17" s="103">
        <f>VALUE(期貨金額!Q15)</f>
        <v>8693</v>
      </c>
      <c r="Q17" s="103">
        <f>VALUE(期貨金額!R15)</f>
        <v>8693</v>
      </c>
      <c r="R17" s="103">
        <f>VALUE(期貨金額!S15)</f>
        <v>40229</v>
      </c>
      <c r="S17" s="103">
        <f>VALUE(期貨金額!T15)</f>
        <v>40229</v>
      </c>
      <c r="T17" s="103">
        <f>VALUE(期貨金額!U15)</f>
        <v>40229</v>
      </c>
      <c r="U17" s="103">
        <f>VALUE(期貨金額!V15)</f>
        <v>40229</v>
      </c>
      <c r="V17" s="103">
        <f>VALUE(期貨金額!W15)</f>
        <v>40229</v>
      </c>
      <c r="W17" s="103">
        <f>VALUE(期貨金額!X15)</f>
        <v>40229</v>
      </c>
      <c r="X17" s="103">
        <f>VALUE(期貨金額!Y15)</f>
        <v>40229</v>
      </c>
      <c r="Y17" s="103">
        <f>VALUE(期貨金額!Z15)</f>
        <v>43531</v>
      </c>
      <c r="Z17" s="103">
        <f>VALUE(期貨金額!AA15)</f>
        <v>41971</v>
      </c>
      <c r="AA17" s="103">
        <f>VALUE(期貨金額!AB15)</f>
        <v>41971</v>
      </c>
      <c r="AB17" s="103">
        <f>VALUE(期貨金額!AC15)</f>
        <v>41971</v>
      </c>
      <c r="AC17" s="103">
        <f>VALUE(期貨金額!AD15)</f>
        <v>40176</v>
      </c>
      <c r="AD17" s="103">
        <f>VALUE(期貨金額!AE15)</f>
        <v>40176</v>
      </c>
      <c r="AE17" s="103">
        <f>VALUE(期貨金額!AF15)</f>
        <v>40176</v>
      </c>
      <c r="AF17" s="103">
        <f>VALUE(期貨金額!AG15)</f>
        <v>40176</v>
      </c>
      <c r="AG17" s="103">
        <f>VALUE(期貨金額!AH15)</f>
        <v>40176</v>
      </c>
      <c r="AH17" s="103">
        <f>VALUE(期貨金額!AI15)</f>
        <v>26895.1</v>
      </c>
      <c r="AI17" s="504">
        <f t="shared" si="0"/>
        <v>2.4911831179112009E-3</v>
      </c>
    </row>
    <row r="18" spans="1:35" ht="17.45">
      <c r="A18" s="105" t="s">
        <v>244</v>
      </c>
      <c r="B18" s="105">
        <v>3</v>
      </c>
      <c r="C18" s="103">
        <f>VALUE(期貨金額!D16)</f>
        <v>0</v>
      </c>
      <c r="D18" s="103">
        <f>VALUE(期貨金額!E16)</f>
        <v>0</v>
      </c>
      <c r="E18" s="103">
        <f>VALUE(期貨金額!F16)</f>
        <v>0</v>
      </c>
      <c r="F18" s="103">
        <f>VALUE(期貨金額!G16)</f>
        <v>0</v>
      </c>
      <c r="G18" s="103">
        <f>VALUE(期貨金額!H16)</f>
        <v>0</v>
      </c>
      <c r="H18" s="103">
        <f>VALUE(期貨金額!I16)</f>
        <v>0</v>
      </c>
      <c r="I18" s="103">
        <f>VALUE(期貨金額!J16)</f>
        <v>0</v>
      </c>
      <c r="J18" s="103">
        <f>VALUE(期貨金額!K16)</f>
        <v>0</v>
      </c>
      <c r="K18" s="103">
        <f>VALUE(期貨金額!L16)</f>
        <v>0</v>
      </c>
      <c r="L18" s="103">
        <f>VALUE(期貨金額!M16)</f>
        <v>0</v>
      </c>
      <c r="M18" s="103">
        <f>VALUE(期貨金額!N16)</f>
        <v>0</v>
      </c>
      <c r="N18" s="103">
        <f>VALUE(期貨金額!O16)</f>
        <v>0</v>
      </c>
      <c r="O18" s="103">
        <f>VALUE(期貨金額!P16)</f>
        <v>0</v>
      </c>
      <c r="P18" s="103">
        <f>VALUE(期貨金額!Q16)</f>
        <v>0</v>
      </c>
      <c r="Q18" s="103">
        <f>VALUE(期貨金額!R16)</f>
        <v>0</v>
      </c>
      <c r="R18" s="103">
        <f>VALUE(期貨金額!S16)</f>
        <v>0</v>
      </c>
      <c r="S18" s="103">
        <f>VALUE(期貨金額!T16)</f>
        <v>0</v>
      </c>
      <c r="T18" s="103">
        <f>VALUE(期貨金額!U16)</f>
        <v>0</v>
      </c>
      <c r="U18" s="103">
        <f>VALUE(期貨金額!V16)</f>
        <v>0</v>
      </c>
      <c r="V18" s="103">
        <f>VALUE(期貨金額!W16)</f>
        <v>0</v>
      </c>
      <c r="W18" s="103">
        <f>VALUE(期貨金額!X16)</f>
        <v>0</v>
      </c>
      <c r="X18" s="103">
        <f>VALUE(期貨金額!Y16)</f>
        <v>0</v>
      </c>
      <c r="Y18" s="103">
        <f>VALUE(期貨金額!Z16)</f>
        <v>0</v>
      </c>
      <c r="Z18" s="103">
        <f>VALUE(期貨金額!AA16)</f>
        <v>0</v>
      </c>
      <c r="AA18" s="103">
        <f>VALUE(期貨金額!AB16)</f>
        <v>0</v>
      </c>
      <c r="AB18" s="103">
        <f>VALUE(期貨金額!AC16)</f>
        <v>0</v>
      </c>
      <c r="AC18" s="103">
        <f>VALUE(期貨金額!AD16)</f>
        <v>0</v>
      </c>
      <c r="AD18" s="103">
        <f>VALUE(期貨金額!AE16)</f>
        <v>0</v>
      </c>
      <c r="AE18" s="103">
        <f>VALUE(期貨金額!AF16)</f>
        <v>0</v>
      </c>
      <c r="AF18" s="103">
        <f>VALUE(期貨金額!AG16)</f>
        <v>0</v>
      </c>
      <c r="AG18" s="103">
        <f>VALUE(期貨金額!AH16)</f>
        <v>0</v>
      </c>
      <c r="AH18" s="103">
        <f>VALUE(期貨金額!AI16)</f>
        <v>0</v>
      </c>
      <c r="AI18" s="504">
        <f>AH18/$AH$19</f>
        <v>0</v>
      </c>
    </row>
    <row r="19" spans="1:35" ht="19.5">
      <c r="A19" s="685" t="s">
        <v>42</v>
      </c>
      <c r="B19" s="686"/>
      <c r="C19" s="107">
        <f t="shared" ref="C19:AH19" si="1">SUM(C6:C18)</f>
        <v>9771286</v>
      </c>
      <c r="D19" s="107">
        <f t="shared" si="1"/>
        <v>10061073</v>
      </c>
      <c r="E19" s="107">
        <f t="shared" si="1"/>
        <v>9723926</v>
      </c>
      <c r="F19" s="107">
        <f t="shared" si="1"/>
        <v>9661281</v>
      </c>
      <c r="G19" s="107">
        <f t="shared" si="1"/>
        <v>9584663</v>
      </c>
      <c r="H19" s="107">
        <f t="shared" si="1"/>
        <v>9629838</v>
      </c>
      <c r="I19" s="107">
        <f t="shared" si="1"/>
        <v>9629007</v>
      </c>
      <c r="J19" s="107">
        <f t="shared" si="1"/>
        <v>9629007</v>
      </c>
      <c r="K19" s="107">
        <f t="shared" si="1"/>
        <v>9788770</v>
      </c>
      <c r="L19" s="107">
        <f t="shared" si="1"/>
        <v>9992666</v>
      </c>
      <c r="M19" s="107">
        <f t="shared" si="1"/>
        <v>10120072</v>
      </c>
      <c r="N19" s="107">
        <f t="shared" si="1"/>
        <v>10656777</v>
      </c>
      <c r="O19" s="107">
        <f t="shared" si="1"/>
        <v>10861826</v>
      </c>
      <c r="P19" s="107">
        <f t="shared" si="1"/>
        <v>10861826</v>
      </c>
      <c r="Q19" s="107">
        <f t="shared" si="1"/>
        <v>10861826</v>
      </c>
      <c r="R19" s="107">
        <f t="shared" si="1"/>
        <v>11680499</v>
      </c>
      <c r="S19" s="107">
        <f t="shared" si="1"/>
        <v>11552480</v>
      </c>
      <c r="T19" s="107">
        <f t="shared" si="1"/>
        <v>11741361</v>
      </c>
      <c r="U19" s="107">
        <f t="shared" si="1"/>
        <v>10789261</v>
      </c>
      <c r="V19" s="107">
        <f t="shared" si="1"/>
        <v>10566416</v>
      </c>
      <c r="W19" s="107">
        <f t="shared" si="1"/>
        <v>10661760</v>
      </c>
      <c r="X19" s="107">
        <f>SUM(X6:X18)</f>
        <v>10661760</v>
      </c>
      <c r="Y19" s="107">
        <f t="shared" si="1"/>
        <v>11705222</v>
      </c>
      <c r="Z19" s="107">
        <f t="shared" si="1"/>
        <v>10860992</v>
      </c>
      <c r="AA19" s="107">
        <f t="shared" si="1"/>
        <v>11286618</v>
      </c>
      <c r="AB19" s="107">
        <f t="shared" si="1"/>
        <v>11633776</v>
      </c>
      <c r="AC19" s="107">
        <f t="shared" si="1"/>
        <v>11928056</v>
      </c>
      <c r="AD19" s="107">
        <f t="shared" si="1"/>
        <v>12045253</v>
      </c>
      <c r="AE19" s="107">
        <f t="shared" si="1"/>
        <v>12045253</v>
      </c>
      <c r="AF19" s="107">
        <f t="shared" si="1"/>
        <v>12310821</v>
      </c>
      <c r="AG19" s="107">
        <f t="shared" si="1"/>
        <v>12376200</v>
      </c>
      <c r="AH19" s="107">
        <f t="shared" si="1"/>
        <v>10796115.229999999</v>
      </c>
      <c r="AI19" s="104">
        <f>AH19/AH$19</f>
        <v>1</v>
      </c>
    </row>
    <row r="20" spans="1:35" ht="17.45">
      <c r="A20" s="105" t="s">
        <v>245</v>
      </c>
      <c r="B20" s="106">
        <v>1</v>
      </c>
      <c r="C20" s="103">
        <f>VALUE(期貨金額!D7)</f>
        <v>1956851</v>
      </c>
      <c r="D20" s="103">
        <f>VALUE(期貨金額!E7)</f>
        <v>1960258</v>
      </c>
      <c r="E20" s="103">
        <f>VALUE(期貨金額!F7)</f>
        <v>1946812</v>
      </c>
      <c r="F20" s="103">
        <f>VALUE(期貨金額!G7)</f>
        <v>1675144</v>
      </c>
      <c r="G20" s="103">
        <f>VALUE(期貨金額!H7)</f>
        <v>1679462</v>
      </c>
      <c r="H20" s="103">
        <f>VALUE(期貨金額!I7)</f>
        <v>1681936</v>
      </c>
      <c r="I20" s="103">
        <f>VALUE(期貨金額!J7)</f>
        <v>1681953</v>
      </c>
      <c r="J20" s="103">
        <f>VALUE(期貨金額!K7)</f>
        <v>1681953</v>
      </c>
      <c r="K20" s="103">
        <f>VALUE(期貨金額!L7)</f>
        <v>1677449</v>
      </c>
      <c r="L20" s="103">
        <f>VALUE(期貨金額!M7)</f>
        <v>1889968</v>
      </c>
      <c r="M20" s="103">
        <f>VALUE(期貨金額!N7)</f>
        <v>1900310</v>
      </c>
      <c r="N20" s="103">
        <f>VALUE(期貨金額!O7)</f>
        <v>1900445</v>
      </c>
      <c r="O20" s="103">
        <f>VALUE(期貨金額!P7)</f>
        <v>1904508</v>
      </c>
      <c r="P20" s="103">
        <f>VALUE(期貨金額!Q7)</f>
        <v>1904508</v>
      </c>
      <c r="Q20" s="103">
        <f>VALUE(期貨金額!R7)</f>
        <v>1904508</v>
      </c>
      <c r="R20" s="103">
        <f>VALUE(期貨金額!S7)</f>
        <v>1980795</v>
      </c>
      <c r="S20" s="103">
        <f>VALUE(期貨金額!T7)</f>
        <v>2347032</v>
      </c>
      <c r="T20" s="103">
        <f>VALUE(期貨金額!U7)</f>
        <v>2494787</v>
      </c>
      <c r="U20" s="103">
        <f>VALUE(期貨金額!V7)</f>
        <v>2522545</v>
      </c>
      <c r="V20" s="103">
        <f>VALUE(期貨金額!W7)</f>
        <v>2586423</v>
      </c>
      <c r="W20" s="103">
        <f>VALUE(期貨金額!X7)</f>
        <v>2594065</v>
      </c>
      <c r="X20" s="103">
        <f>VALUE(期貨金額!Y7)</f>
        <v>2594065</v>
      </c>
      <c r="Y20" s="103">
        <f>VALUE(期貨金額!Z7)</f>
        <v>2724276</v>
      </c>
      <c r="Z20" s="103">
        <f>VALUE(期貨金額!AA7)</f>
        <v>2751144</v>
      </c>
      <c r="AA20" s="103">
        <f>VALUE(期貨金額!AB7)</f>
        <v>2769020</v>
      </c>
      <c r="AB20" s="103">
        <f>VALUE(期貨金額!AC7)</f>
        <v>2767699</v>
      </c>
      <c r="AC20" s="103">
        <f>VALUE(期貨金額!AD7)</f>
        <v>2775115</v>
      </c>
      <c r="AD20" s="103">
        <f>VALUE(期貨金額!AE7)</f>
        <v>2775257</v>
      </c>
      <c r="AE20" s="103">
        <f>VALUE(期貨金額!AF7)</f>
        <v>2775257</v>
      </c>
      <c r="AF20" s="103">
        <f>VALUE(期貨金額!AG7)</f>
        <v>2779466</v>
      </c>
      <c r="AG20" s="103">
        <f>VALUE(期貨金額!AH7)</f>
        <v>2761570</v>
      </c>
      <c r="AH20" s="103">
        <f>VALUE(期貨金額!AI7)</f>
        <v>2236921.9700000002</v>
      </c>
      <c r="AI20" s="504">
        <f>AH20/$AH$26</f>
        <v>1</v>
      </c>
    </row>
    <row r="21" spans="1:35" ht="17.45">
      <c r="A21" s="105" t="s">
        <v>246</v>
      </c>
      <c r="B21" s="106">
        <v>3</v>
      </c>
      <c r="C21" s="103">
        <f>VALUE(期貨金額!D19)</f>
        <v>0</v>
      </c>
      <c r="D21" s="103">
        <f>VALUE(期貨金額!E19)</f>
        <v>0</v>
      </c>
      <c r="E21" s="103">
        <f>VALUE(期貨金額!F19)</f>
        <v>0</v>
      </c>
      <c r="F21" s="103">
        <f>VALUE(期貨金額!G19)</f>
        <v>0</v>
      </c>
      <c r="G21" s="103">
        <f>VALUE(期貨金額!H19)</f>
        <v>0</v>
      </c>
      <c r="H21" s="103">
        <f>VALUE(期貨金額!I19)</f>
        <v>0</v>
      </c>
      <c r="I21" s="103">
        <f>VALUE(期貨金額!J19)</f>
        <v>0</v>
      </c>
      <c r="J21" s="103">
        <f>VALUE(期貨金額!K19)</f>
        <v>0</v>
      </c>
      <c r="K21" s="103">
        <f>VALUE(期貨金額!L19)</f>
        <v>0</v>
      </c>
      <c r="L21" s="103">
        <f>VALUE(期貨金額!M19)</f>
        <v>0</v>
      </c>
      <c r="M21" s="103">
        <f>VALUE(期貨金額!N19)</f>
        <v>0</v>
      </c>
      <c r="N21" s="103">
        <f>VALUE(期貨金額!O19)</f>
        <v>0</v>
      </c>
      <c r="O21" s="103">
        <f>VALUE(期貨金額!P19)</f>
        <v>0</v>
      </c>
      <c r="P21" s="103">
        <f>VALUE(期貨金額!Q19)</f>
        <v>0</v>
      </c>
      <c r="Q21" s="103">
        <f>VALUE(期貨金額!R19)</f>
        <v>0</v>
      </c>
      <c r="R21" s="103">
        <f>VALUE(期貨金額!S19)</f>
        <v>0</v>
      </c>
      <c r="S21" s="103">
        <f>VALUE(期貨金額!T19)</f>
        <v>0</v>
      </c>
      <c r="T21" s="103">
        <f>VALUE(期貨金額!U19)</f>
        <v>0</v>
      </c>
      <c r="U21" s="103">
        <f>VALUE(期貨金額!V19)</f>
        <v>0</v>
      </c>
      <c r="V21" s="103">
        <f>VALUE(期貨金額!W19)</f>
        <v>0</v>
      </c>
      <c r="W21" s="103">
        <f>VALUE(期貨金額!X19)</f>
        <v>0</v>
      </c>
      <c r="X21" s="103">
        <f>VALUE(期貨金額!Y19)</f>
        <v>0</v>
      </c>
      <c r="Y21" s="103">
        <f>VALUE(期貨金額!Z19)</f>
        <v>0</v>
      </c>
      <c r="Z21" s="103">
        <f>VALUE(期貨金額!AA19)</f>
        <v>0</v>
      </c>
      <c r="AA21" s="103">
        <f>VALUE(期貨金額!AB19)</f>
        <v>0</v>
      </c>
      <c r="AB21" s="103">
        <f>VALUE(期貨金額!AC19)</f>
        <v>0</v>
      </c>
      <c r="AC21" s="103">
        <f>VALUE(期貨金額!AD19)</f>
        <v>0</v>
      </c>
      <c r="AD21" s="103">
        <f>VALUE(期貨金額!AE19)</f>
        <v>0</v>
      </c>
      <c r="AE21" s="103">
        <f>VALUE(期貨金額!AF19)</f>
        <v>0</v>
      </c>
      <c r="AF21" s="103">
        <f>VALUE(期貨金額!AG19)</f>
        <v>0</v>
      </c>
      <c r="AG21" s="103">
        <f>VALUE(期貨金額!AH19)</f>
        <v>0</v>
      </c>
      <c r="AH21" s="103">
        <f>VALUE(期貨金額!AI19)</f>
        <v>0</v>
      </c>
      <c r="AI21" s="504">
        <f t="shared" ref="AI21:AI25" si="2">AH21/$AH$26</f>
        <v>0</v>
      </c>
    </row>
    <row r="22" spans="1:35" ht="17.45">
      <c r="A22" s="105" t="s">
        <v>247</v>
      </c>
      <c r="B22" s="106">
        <v>3</v>
      </c>
      <c r="C22" s="103">
        <f>VALUE(期貨金額!D21)</f>
        <v>0</v>
      </c>
      <c r="D22" s="103">
        <f>VALUE(期貨金額!E21)</f>
        <v>0</v>
      </c>
      <c r="E22" s="103">
        <f>VALUE(期貨金額!F21)</f>
        <v>0</v>
      </c>
      <c r="F22" s="103">
        <f>VALUE(期貨金額!G21)</f>
        <v>0</v>
      </c>
      <c r="G22" s="103">
        <f>VALUE(期貨金額!H21)</f>
        <v>0</v>
      </c>
      <c r="H22" s="103">
        <f>VALUE(期貨金額!I21)</f>
        <v>0</v>
      </c>
      <c r="I22" s="103">
        <f>VALUE(期貨金額!J21)</f>
        <v>0</v>
      </c>
      <c r="J22" s="103">
        <f>VALUE(期貨金額!K21)</f>
        <v>0</v>
      </c>
      <c r="K22" s="103">
        <f>VALUE(期貨金額!L21)</f>
        <v>0</v>
      </c>
      <c r="L22" s="103">
        <f>VALUE(期貨金額!M21)</f>
        <v>0</v>
      </c>
      <c r="M22" s="103">
        <f>VALUE(期貨金額!N21)</f>
        <v>0</v>
      </c>
      <c r="N22" s="103">
        <f>VALUE(期貨金額!O21)</f>
        <v>0</v>
      </c>
      <c r="O22" s="103">
        <f>VALUE(期貨金額!P21)</f>
        <v>0</v>
      </c>
      <c r="P22" s="103">
        <f>VALUE(期貨金額!Q21)</f>
        <v>0</v>
      </c>
      <c r="Q22" s="103">
        <f>VALUE(期貨金額!R21)</f>
        <v>0</v>
      </c>
      <c r="R22" s="103">
        <f>VALUE(期貨金額!S21)</f>
        <v>0</v>
      </c>
      <c r="S22" s="103">
        <f>VALUE(期貨金額!T21)</f>
        <v>0</v>
      </c>
      <c r="T22" s="103">
        <f>VALUE(期貨金額!U21)</f>
        <v>0</v>
      </c>
      <c r="U22" s="103">
        <f>VALUE(期貨金額!V21)</f>
        <v>0</v>
      </c>
      <c r="V22" s="103">
        <f>VALUE(期貨金額!W21)</f>
        <v>0</v>
      </c>
      <c r="W22" s="103">
        <f>VALUE(期貨金額!X21)</f>
        <v>0</v>
      </c>
      <c r="X22" s="103">
        <f>VALUE(期貨金額!Y21)</f>
        <v>0</v>
      </c>
      <c r="Y22" s="103">
        <f>VALUE(期貨金額!Z21)</f>
        <v>0</v>
      </c>
      <c r="Z22" s="103">
        <f>VALUE(期貨金額!AA21)</f>
        <v>0</v>
      </c>
      <c r="AA22" s="103">
        <f>VALUE(期貨金額!AB21)</f>
        <v>0</v>
      </c>
      <c r="AB22" s="103">
        <f>VALUE(期貨金額!AC21)</f>
        <v>0</v>
      </c>
      <c r="AC22" s="103">
        <f>VALUE(期貨金額!AD21)</f>
        <v>0</v>
      </c>
      <c r="AD22" s="103">
        <f>VALUE(期貨金額!AE21)</f>
        <v>0</v>
      </c>
      <c r="AE22" s="103">
        <f>VALUE(期貨金額!AF21)</f>
        <v>0</v>
      </c>
      <c r="AF22" s="103">
        <f>VALUE(期貨金額!AG21)</f>
        <v>0</v>
      </c>
      <c r="AG22" s="103">
        <f>VALUE(期貨金額!AH21)</f>
        <v>0</v>
      </c>
      <c r="AH22" s="103">
        <f>VALUE(期貨金額!AI21)</f>
        <v>0</v>
      </c>
      <c r="AI22" s="504">
        <f t="shared" si="2"/>
        <v>0</v>
      </c>
    </row>
    <row r="23" spans="1:35" ht="17.45">
      <c r="A23" s="105" t="s">
        <v>248</v>
      </c>
      <c r="B23" s="106">
        <v>3</v>
      </c>
      <c r="C23" s="103">
        <f>VALUE(期貨金額!D20)</f>
        <v>0</v>
      </c>
      <c r="D23" s="103">
        <f>VALUE(期貨金額!E20)</f>
        <v>0</v>
      </c>
      <c r="E23" s="103">
        <f>VALUE(期貨金額!F20)</f>
        <v>0</v>
      </c>
      <c r="F23" s="103">
        <f>VALUE(期貨金額!G20)</f>
        <v>0</v>
      </c>
      <c r="G23" s="103">
        <f>VALUE(期貨金額!H20)</f>
        <v>0</v>
      </c>
      <c r="H23" s="103">
        <f>VALUE(期貨金額!I20)</f>
        <v>0</v>
      </c>
      <c r="I23" s="103">
        <f>VALUE(期貨金額!J20)</f>
        <v>0</v>
      </c>
      <c r="J23" s="103">
        <f>VALUE(期貨金額!K20)</f>
        <v>0</v>
      </c>
      <c r="K23" s="103">
        <f>VALUE(期貨金額!L20)</f>
        <v>0</v>
      </c>
      <c r="L23" s="103">
        <f>VALUE(期貨金額!M20)</f>
        <v>0</v>
      </c>
      <c r="M23" s="103">
        <f>VALUE(期貨金額!N20)</f>
        <v>0</v>
      </c>
      <c r="N23" s="103">
        <f>VALUE(期貨金額!O20)</f>
        <v>0</v>
      </c>
      <c r="O23" s="103">
        <f>VALUE(期貨金額!P20)</f>
        <v>0</v>
      </c>
      <c r="P23" s="103">
        <f>VALUE(期貨金額!Q20)</f>
        <v>0</v>
      </c>
      <c r="Q23" s="103">
        <f>VALUE(期貨金額!R20)</f>
        <v>0</v>
      </c>
      <c r="R23" s="103">
        <f>VALUE(期貨金額!S20)</f>
        <v>0</v>
      </c>
      <c r="S23" s="103">
        <f>VALUE(期貨金額!T20)</f>
        <v>0</v>
      </c>
      <c r="T23" s="103">
        <f>VALUE(期貨金額!U20)</f>
        <v>0</v>
      </c>
      <c r="U23" s="103">
        <f>VALUE(期貨金額!V20)</f>
        <v>0</v>
      </c>
      <c r="V23" s="103">
        <f>VALUE(期貨金額!W20)</f>
        <v>0</v>
      </c>
      <c r="W23" s="103">
        <f>VALUE(期貨金額!X20)</f>
        <v>0</v>
      </c>
      <c r="X23" s="103">
        <f>VALUE(期貨金額!Y20)</f>
        <v>0</v>
      </c>
      <c r="Y23" s="103">
        <f>VALUE(期貨金額!Z20)</f>
        <v>0</v>
      </c>
      <c r="Z23" s="103">
        <f>VALUE(期貨金額!AA20)</f>
        <v>0</v>
      </c>
      <c r="AA23" s="103">
        <f>VALUE(期貨金額!AB20)</f>
        <v>0</v>
      </c>
      <c r="AB23" s="103">
        <f>VALUE(期貨金額!AC20)</f>
        <v>0</v>
      </c>
      <c r="AC23" s="103">
        <f>VALUE(期貨金額!AD20)</f>
        <v>0</v>
      </c>
      <c r="AD23" s="103">
        <f>VALUE(期貨金額!AE20)</f>
        <v>0</v>
      </c>
      <c r="AE23" s="103">
        <f>VALUE(期貨金額!AF20)</f>
        <v>0</v>
      </c>
      <c r="AF23" s="103">
        <f>VALUE(期貨金額!AG20)</f>
        <v>0</v>
      </c>
      <c r="AG23" s="103">
        <f>VALUE(期貨金額!AH20)</f>
        <v>0</v>
      </c>
      <c r="AH23" s="103">
        <f>VALUE(期貨金額!AI20)</f>
        <v>0</v>
      </c>
      <c r="AI23" s="504">
        <f t="shared" si="2"/>
        <v>0</v>
      </c>
    </row>
    <row r="24" spans="1:35" ht="17.45">
      <c r="A24" s="105" t="s">
        <v>249</v>
      </c>
      <c r="B24" s="106">
        <v>1</v>
      </c>
      <c r="C24" s="103">
        <f>VALUE(期貨金額!D17)</f>
        <v>0</v>
      </c>
      <c r="D24" s="103">
        <f>VALUE(期貨金額!E17)</f>
        <v>0</v>
      </c>
      <c r="E24" s="103">
        <f>VALUE(期貨金額!F17)</f>
        <v>0</v>
      </c>
      <c r="F24" s="103">
        <f>VALUE(期貨金額!G17)</f>
        <v>0</v>
      </c>
      <c r="G24" s="103">
        <f>VALUE(期貨金額!H17)</f>
        <v>0</v>
      </c>
      <c r="H24" s="103">
        <f>VALUE(期貨金額!I17)</f>
        <v>0</v>
      </c>
      <c r="I24" s="103">
        <f>VALUE(期貨金額!J17)</f>
        <v>0</v>
      </c>
      <c r="J24" s="103">
        <f>VALUE(期貨金額!K17)</f>
        <v>0</v>
      </c>
      <c r="K24" s="103">
        <f>VALUE(期貨金額!L17)</f>
        <v>0</v>
      </c>
      <c r="L24" s="103">
        <f>VALUE(期貨金額!M17)</f>
        <v>0</v>
      </c>
      <c r="M24" s="103">
        <f>VALUE(期貨金額!N17)</f>
        <v>0</v>
      </c>
      <c r="N24" s="103">
        <f>VALUE(期貨金額!O17)</f>
        <v>0</v>
      </c>
      <c r="O24" s="103">
        <f>VALUE(期貨金額!P17)</f>
        <v>0</v>
      </c>
      <c r="P24" s="103">
        <f>VALUE(期貨金額!Q17)</f>
        <v>0</v>
      </c>
      <c r="Q24" s="103">
        <f>VALUE(期貨金額!R17)</f>
        <v>0</v>
      </c>
      <c r="R24" s="103">
        <f>VALUE(期貨金額!S17)</f>
        <v>0</v>
      </c>
      <c r="S24" s="103">
        <f>VALUE(期貨金額!T17)</f>
        <v>0</v>
      </c>
      <c r="T24" s="103">
        <f>VALUE(期貨金額!U17)</f>
        <v>0</v>
      </c>
      <c r="U24" s="103">
        <f>VALUE(期貨金額!V17)</f>
        <v>0</v>
      </c>
      <c r="V24" s="103">
        <f>VALUE(期貨金額!W17)</f>
        <v>0</v>
      </c>
      <c r="W24" s="103">
        <f>VALUE(期貨金額!X17)</f>
        <v>0</v>
      </c>
      <c r="X24" s="103">
        <f>VALUE(期貨金額!Y17)</f>
        <v>0</v>
      </c>
      <c r="Y24" s="103">
        <f>VALUE(期貨金額!Z17)</f>
        <v>0</v>
      </c>
      <c r="Z24" s="103">
        <f>VALUE(期貨金額!AA17)</f>
        <v>0</v>
      </c>
      <c r="AA24" s="103">
        <f>VALUE(期貨金額!AB17)</f>
        <v>0</v>
      </c>
      <c r="AB24" s="103">
        <f>VALUE(期貨金額!AC17)</f>
        <v>0</v>
      </c>
      <c r="AC24" s="103">
        <f>VALUE(期貨金額!AD17)</f>
        <v>0</v>
      </c>
      <c r="AD24" s="103">
        <f>VALUE(期貨金額!AE17)</f>
        <v>0</v>
      </c>
      <c r="AE24" s="103">
        <f>VALUE(期貨金額!AF17)</f>
        <v>0</v>
      </c>
      <c r="AF24" s="103">
        <f>VALUE(期貨金額!AG17)</f>
        <v>0</v>
      </c>
      <c r="AG24" s="103">
        <f>VALUE(期貨金額!AH17)</f>
        <v>0</v>
      </c>
      <c r="AH24" s="103">
        <f>VALUE(期貨金額!AI17)</f>
        <v>0</v>
      </c>
      <c r="AI24" s="504">
        <f t="shared" si="2"/>
        <v>0</v>
      </c>
    </row>
    <row r="25" spans="1:35" ht="17.45">
      <c r="A25" s="105" t="s">
        <v>250</v>
      </c>
      <c r="B25" s="106">
        <v>3</v>
      </c>
      <c r="C25" s="103">
        <f>VALUE(期貨金額!D18)</f>
        <v>0</v>
      </c>
      <c r="D25" s="103">
        <f>VALUE(期貨金額!E18)</f>
        <v>0</v>
      </c>
      <c r="E25" s="103">
        <f>VALUE(期貨金額!F18)</f>
        <v>0</v>
      </c>
      <c r="F25" s="103">
        <f>VALUE(期貨金額!G18)</f>
        <v>0</v>
      </c>
      <c r="G25" s="103">
        <f>VALUE(期貨金額!H18)</f>
        <v>0</v>
      </c>
      <c r="H25" s="103">
        <f>VALUE(期貨金額!I18)</f>
        <v>0</v>
      </c>
      <c r="I25" s="103">
        <f>VALUE(期貨金額!J18)</f>
        <v>0</v>
      </c>
      <c r="J25" s="103">
        <f>VALUE(期貨金額!K18)</f>
        <v>0</v>
      </c>
      <c r="K25" s="103">
        <f>VALUE(期貨金額!L18)</f>
        <v>0</v>
      </c>
      <c r="L25" s="103">
        <f>VALUE(期貨金額!M18)</f>
        <v>0</v>
      </c>
      <c r="M25" s="103">
        <f>VALUE(期貨金額!N18)</f>
        <v>0</v>
      </c>
      <c r="N25" s="103">
        <f>VALUE(期貨金額!O18)</f>
        <v>0</v>
      </c>
      <c r="O25" s="103">
        <f>VALUE(期貨金額!P18)</f>
        <v>0</v>
      </c>
      <c r="P25" s="103">
        <f>VALUE(期貨金額!Q18)</f>
        <v>0</v>
      </c>
      <c r="Q25" s="103">
        <f>VALUE(期貨金額!R18)</f>
        <v>0</v>
      </c>
      <c r="R25" s="103">
        <f>VALUE(期貨金額!S18)</f>
        <v>0</v>
      </c>
      <c r="S25" s="103">
        <f>VALUE(期貨金額!T18)</f>
        <v>0</v>
      </c>
      <c r="T25" s="103">
        <f>VALUE(期貨金額!U18)</f>
        <v>0</v>
      </c>
      <c r="U25" s="103">
        <f>VALUE(期貨金額!V18)</f>
        <v>0</v>
      </c>
      <c r="V25" s="103">
        <f>VALUE(期貨金額!W18)</f>
        <v>0</v>
      </c>
      <c r="W25" s="103">
        <f>VALUE(期貨金額!X18)</f>
        <v>0</v>
      </c>
      <c r="X25" s="103">
        <f>VALUE(期貨金額!Y18)</f>
        <v>0</v>
      </c>
      <c r="Y25" s="103">
        <f>VALUE(期貨金額!Z18)</f>
        <v>0</v>
      </c>
      <c r="Z25" s="103">
        <f>VALUE(期貨金額!AA18)</f>
        <v>0</v>
      </c>
      <c r="AA25" s="103">
        <f>VALUE(期貨金額!AB18)</f>
        <v>0</v>
      </c>
      <c r="AB25" s="103">
        <f>VALUE(期貨金額!AC18)</f>
        <v>0</v>
      </c>
      <c r="AC25" s="103">
        <f>VALUE(期貨金額!AD18)</f>
        <v>0</v>
      </c>
      <c r="AD25" s="103">
        <f>VALUE(期貨金額!AE18)</f>
        <v>0</v>
      </c>
      <c r="AE25" s="103">
        <f>VALUE(期貨金額!AF18)</f>
        <v>0</v>
      </c>
      <c r="AF25" s="103">
        <f>VALUE(期貨金額!AG18)</f>
        <v>0</v>
      </c>
      <c r="AG25" s="103">
        <f>VALUE(期貨金額!AH18)</f>
        <v>0</v>
      </c>
      <c r="AH25" s="103">
        <f>VALUE(期貨金額!AI18)</f>
        <v>0</v>
      </c>
      <c r="AI25" s="504">
        <f t="shared" si="2"/>
        <v>0</v>
      </c>
    </row>
    <row r="26" spans="1:35" ht="19.5">
      <c r="A26" s="685" t="s">
        <v>42</v>
      </c>
      <c r="B26" s="686"/>
      <c r="C26" s="107">
        <f>SUM(C20:C25)</f>
        <v>1956851</v>
      </c>
      <c r="D26" s="107">
        <f>SUM(D20:D25)</f>
        <v>1960258</v>
      </c>
      <c r="E26" s="107">
        <f>SUM(E20:E25)</f>
        <v>1946812</v>
      </c>
      <c r="F26" s="107">
        <f t="shared" ref="F26:AH26" si="3">SUM(F20:F25)</f>
        <v>1675144</v>
      </c>
      <c r="G26" s="107">
        <f t="shared" si="3"/>
        <v>1679462</v>
      </c>
      <c r="H26" s="107">
        <f t="shared" si="3"/>
        <v>1681936</v>
      </c>
      <c r="I26" s="107">
        <f t="shared" si="3"/>
        <v>1681953</v>
      </c>
      <c r="J26" s="107">
        <f t="shared" si="3"/>
        <v>1681953</v>
      </c>
      <c r="K26" s="107">
        <f t="shared" si="3"/>
        <v>1677449</v>
      </c>
      <c r="L26" s="107">
        <f t="shared" si="3"/>
        <v>1889968</v>
      </c>
      <c r="M26" s="107">
        <f t="shared" si="3"/>
        <v>1900310</v>
      </c>
      <c r="N26" s="107">
        <f t="shared" si="3"/>
        <v>1900445</v>
      </c>
      <c r="O26" s="107">
        <f t="shared" si="3"/>
        <v>1904508</v>
      </c>
      <c r="P26" s="107">
        <f t="shared" si="3"/>
        <v>1904508</v>
      </c>
      <c r="Q26" s="107">
        <f t="shared" si="3"/>
        <v>1904508</v>
      </c>
      <c r="R26" s="107">
        <f t="shared" si="3"/>
        <v>1980795</v>
      </c>
      <c r="S26" s="107">
        <f t="shared" si="3"/>
        <v>2347032</v>
      </c>
      <c r="T26" s="107">
        <f t="shared" si="3"/>
        <v>2494787</v>
      </c>
      <c r="U26" s="107">
        <f t="shared" si="3"/>
        <v>2522545</v>
      </c>
      <c r="V26" s="107">
        <f t="shared" si="3"/>
        <v>2586423</v>
      </c>
      <c r="W26" s="107">
        <f t="shared" si="3"/>
        <v>2594065</v>
      </c>
      <c r="X26" s="107">
        <f t="shared" si="3"/>
        <v>2594065</v>
      </c>
      <c r="Y26" s="107">
        <f t="shared" si="3"/>
        <v>2724276</v>
      </c>
      <c r="Z26" s="107">
        <f t="shared" si="3"/>
        <v>2751144</v>
      </c>
      <c r="AA26" s="107">
        <f t="shared" si="3"/>
        <v>2769020</v>
      </c>
      <c r="AB26" s="107">
        <f t="shared" si="3"/>
        <v>2767699</v>
      </c>
      <c r="AC26" s="107">
        <f t="shared" si="3"/>
        <v>2775115</v>
      </c>
      <c r="AD26" s="107">
        <f t="shared" si="3"/>
        <v>2775257</v>
      </c>
      <c r="AE26" s="107">
        <f t="shared" si="3"/>
        <v>2775257</v>
      </c>
      <c r="AF26" s="107">
        <f t="shared" si="3"/>
        <v>2779466</v>
      </c>
      <c r="AG26" s="107">
        <f t="shared" si="3"/>
        <v>2761570</v>
      </c>
      <c r="AH26" s="107">
        <f t="shared" si="3"/>
        <v>2236921.9700000002</v>
      </c>
      <c r="AI26" s="104">
        <f>AH26/AH$26</f>
        <v>1</v>
      </c>
    </row>
  </sheetData>
  <mergeCells count="4">
    <mergeCell ref="A26:B26"/>
    <mergeCell ref="A4:A5"/>
    <mergeCell ref="B4:B5"/>
    <mergeCell ref="A19:B19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67"/>
  <sheetViews>
    <sheetView tabSelected="1" zoomScale="90" workbookViewId="0">
      <selection activeCell="P1" sqref="P1"/>
    </sheetView>
  </sheetViews>
  <sheetFormatPr defaultColWidth="9" defaultRowHeight="12.6"/>
  <cols>
    <col min="1" max="1" width="3.375" style="114" customWidth="1"/>
    <col min="2" max="2" width="4.5" style="114" customWidth="1"/>
    <col min="3" max="3" width="12.75" style="114" customWidth="1"/>
    <col min="4" max="4" width="10.375" style="114" customWidth="1"/>
    <col min="5" max="5" width="10" style="114" customWidth="1"/>
    <col min="6" max="6" width="11.125" style="114" bestFit="1" customWidth="1"/>
    <col min="7" max="8" width="11.5" style="114" bestFit="1" customWidth="1"/>
    <col min="9" max="15" width="10.375" style="114" customWidth="1"/>
    <col min="16" max="16" width="10.375" style="114" bestFit="1" customWidth="1"/>
    <col min="17" max="17" width="11.625" style="114" bestFit="1" customWidth="1"/>
    <col min="18" max="16384" width="9" style="114"/>
  </cols>
  <sheetData>
    <row r="1" spans="1:17" ht="14.1" thickBot="1">
      <c r="A1" s="112" t="s">
        <v>251</v>
      </c>
      <c r="B1" s="112"/>
      <c r="C1" s="112"/>
      <c r="D1" s="113"/>
      <c r="E1" s="113"/>
      <c r="F1" s="113"/>
      <c r="G1" s="113"/>
      <c r="H1" s="113"/>
      <c r="K1" s="115"/>
    </row>
    <row r="2" spans="1:17" s="118" customFormat="1" ht="13.5">
      <c r="A2" s="729" t="s">
        <v>1</v>
      </c>
      <c r="B2" s="730"/>
      <c r="C2" s="730"/>
      <c r="D2" s="116" t="s">
        <v>252</v>
      </c>
      <c r="E2" s="116" t="s">
        <v>253</v>
      </c>
      <c r="F2" s="116" t="s">
        <v>254</v>
      </c>
      <c r="G2" s="116" t="s">
        <v>255</v>
      </c>
      <c r="H2" s="116" t="s">
        <v>256</v>
      </c>
      <c r="I2" s="116" t="s">
        <v>257</v>
      </c>
      <c r="J2" s="116" t="s">
        <v>258</v>
      </c>
      <c r="K2" s="116" t="s">
        <v>259</v>
      </c>
      <c r="L2" s="116" t="s">
        <v>260</v>
      </c>
      <c r="M2" s="116" t="s">
        <v>261</v>
      </c>
      <c r="N2" s="116" t="s">
        <v>262</v>
      </c>
      <c r="O2" s="116" t="s">
        <v>263</v>
      </c>
      <c r="P2" s="116" t="s">
        <v>264</v>
      </c>
      <c r="Q2" s="536" t="s">
        <v>265</v>
      </c>
    </row>
    <row r="3" spans="1:17" s="122" customFormat="1" ht="13.5">
      <c r="A3" s="755" t="s">
        <v>9</v>
      </c>
      <c r="B3" s="756"/>
      <c r="C3" s="757"/>
      <c r="D3" s="119">
        <f>D4+D11+D16</f>
        <v>582567749.13000011</v>
      </c>
      <c r="E3" s="119">
        <f>E4+E11+E16</f>
        <v>597578531.07999992</v>
      </c>
      <c r="F3" s="119">
        <f>F4+F11+F16</f>
        <v>565851722.55999994</v>
      </c>
      <c r="G3" s="119">
        <f t="shared" ref="G3:P3" si="0">G4+G11+G16</f>
        <v>575794410.06999993</v>
      </c>
      <c r="H3" s="119">
        <f t="shared" si="0"/>
        <v>556354992.36000001</v>
      </c>
      <c r="I3" s="119">
        <f t="shared" si="0"/>
        <v>546513722.24000001</v>
      </c>
      <c r="J3" s="119">
        <f t="shared" si="0"/>
        <v>543964539.64999998</v>
      </c>
      <c r="K3" s="119">
        <f t="shared" si="0"/>
        <v>550328906.91000009</v>
      </c>
      <c r="L3" s="119">
        <f t="shared" si="0"/>
        <v>530633129.61000001</v>
      </c>
      <c r="M3" s="119">
        <f t="shared" si="0"/>
        <v>519610490.94999993</v>
      </c>
      <c r="N3" s="119">
        <f t="shared" si="0"/>
        <v>547405169.18000007</v>
      </c>
      <c r="O3" s="119">
        <f t="shared" si="0"/>
        <v>0</v>
      </c>
      <c r="P3" s="119">
        <f t="shared" si="0"/>
        <v>556054852</v>
      </c>
      <c r="Q3" s="529">
        <v>464677576.2836622</v>
      </c>
    </row>
    <row r="4" spans="1:17" ht="13.5">
      <c r="A4" s="123"/>
      <c r="B4" s="758" t="s">
        <v>10</v>
      </c>
      <c r="C4" s="759"/>
      <c r="D4" s="124">
        <f>SUM(D5:D10)</f>
        <v>362834229.83000004</v>
      </c>
      <c r="E4" s="124">
        <f t="shared" ref="E4:P4" si="1">SUM(E5:E10)</f>
        <v>368112918.41000003</v>
      </c>
      <c r="F4" s="124">
        <f t="shared" si="1"/>
        <v>345748242.99000001</v>
      </c>
      <c r="G4" s="124">
        <f t="shared" si="1"/>
        <v>357803763.97000003</v>
      </c>
      <c r="H4" s="124">
        <f t="shared" si="1"/>
        <v>341715432.11000001</v>
      </c>
      <c r="I4" s="124">
        <f t="shared" si="1"/>
        <v>328505126.10000002</v>
      </c>
      <c r="J4" s="124">
        <f t="shared" si="1"/>
        <v>321144906.19999999</v>
      </c>
      <c r="K4" s="124">
        <f t="shared" si="1"/>
        <v>319455963.16000003</v>
      </c>
      <c r="L4" s="124">
        <f t="shared" si="1"/>
        <v>310017988.81</v>
      </c>
      <c r="M4" s="124">
        <f t="shared" si="1"/>
        <v>297965481.23999995</v>
      </c>
      <c r="N4" s="124">
        <f t="shared" si="1"/>
        <v>320945379.44</v>
      </c>
      <c r="O4" s="124">
        <f t="shared" si="1"/>
        <v>0</v>
      </c>
      <c r="P4" s="124">
        <f t="shared" si="1"/>
        <v>334022677</v>
      </c>
      <c r="Q4" s="530">
        <v>273032650.54556781</v>
      </c>
    </row>
    <row r="5" spans="1:17" ht="13.5">
      <c r="A5" s="126"/>
      <c r="B5" s="127"/>
      <c r="C5" s="128" t="s">
        <v>11</v>
      </c>
      <c r="D5" s="129">
        <f>VALUE(月庫存金額!C2)</f>
        <v>314557533.81</v>
      </c>
      <c r="E5" s="129">
        <f>VALUE(月庫存金額!D2)</f>
        <v>320150563.13999999</v>
      </c>
      <c r="F5" s="129">
        <f>VALUE(月庫存金額!E2)</f>
        <v>299795944.48000002</v>
      </c>
      <c r="G5" s="129">
        <f>VALUE(月庫存金額!F2)</f>
        <v>312587014.39999998</v>
      </c>
      <c r="H5" s="129">
        <f>VALUE(月庫存金額!G2)</f>
        <v>298505561.35000002</v>
      </c>
      <c r="I5" s="129">
        <f>VALUE(月庫存金額!H2)</f>
        <v>285374822.87</v>
      </c>
      <c r="J5" s="129">
        <f>VALUE(月庫存金額!I2)</f>
        <v>278970094.55000001</v>
      </c>
      <c r="K5" s="129">
        <f>VALUE(月庫存金額!J2)</f>
        <v>275823889.94</v>
      </c>
      <c r="L5" s="129">
        <f>VALUE(月庫存金額!K2)</f>
        <v>270078075.37</v>
      </c>
      <c r="M5" s="129">
        <f>VALUE(月庫存金額!L2)</f>
        <v>259574066.44999999</v>
      </c>
      <c r="N5" s="129">
        <f>VALUE(月庫存金額!M2)</f>
        <v>277969704.87</v>
      </c>
      <c r="O5" s="129">
        <f>VALUE(月庫存金額!N2)</f>
        <v>0</v>
      </c>
      <c r="P5" s="129">
        <f>VALUE(月庫存金額!O2)</f>
        <v>290307934</v>
      </c>
      <c r="Q5" s="531">
        <v>234369660.42638603</v>
      </c>
    </row>
    <row r="6" spans="1:17" ht="13.5">
      <c r="A6" s="126"/>
      <c r="B6" s="127"/>
      <c r="C6" s="128" t="s">
        <v>12</v>
      </c>
      <c r="D6" s="129">
        <f>VALUE(月庫存金額!C4)</f>
        <v>6495886.3200000003</v>
      </c>
      <c r="E6" s="129">
        <f>VALUE(月庫存金額!D4)</f>
        <v>7494429.9299999997</v>
      </c>
      <c r="F6" s="129">
        <f>VALUE(月庫存金額!E4)</f>
        <v>6854343.6100000003</v>
      </c>
      <c r="G6" s="129">
        <f>VALUE(月庫存金額!F4)</f>
        <v>6053291.6299999999</v>
      </c>
      <c r="H6" s="129">
        <f>VALUE(月庫存金額!G4)</f>
        <v>5613134.7699999996</v>
      </c>
      <c r="I6" s="129">
        <f>VALUE(月庫存金額!H4)</f>
        <v>5989590.2000000002</v>
      </c>
      <c r="J6" s="129">
        <f>VALUE(月庫存金額!I4)</f>
        <v>5081936.26</v>
      </c>
      <c r="K6" s="129">
        <f>VALUE(月庫存金額!J4)</f>
        <v>5519734.1900000004</v>
      </c>
      <c r="L6" s="129">
        <f>VALUE(月庫存金額!K4)</f>
        <v>5154897.37</v>
      </c>
      <c r="M6" s="129">
        <f>VALUE(月庫存金額!L4)</f>
        <v>4752781.6500000004</v>
      </c>
      <c r="N6" s="129">
        <f>VALUE(月庫存金額!M4)</f>
        <v>6093536.9000000004</v>
      </c>
      <c r="O6" s="129">
        <f>VALUE(月庫存金額!N4)</f>
        <v>0</v>
      </c>
      <c r="P6" s="129">
        <f>VALUE(月庫存金額!O4)</f>
        <v>5918506</v>
      </c>
      <c r="Q6" s="531">
        <v>11732298.264378672</v>
      </c>
    </row>
    <row r="7" spans="1:17" ht="13.5">
      <c r="A7" s="126"/>
      <c r="B7" s="127"/>
      <c r="C7" s="128" t="s">
        <v>13</v>
      </c>
      <c r="D7" s="129">
        <f>VALUE(月庫存金額!C5)</f>
        <v>10135370.609999999</v>
      </c>
      <c r="E7" s="129">
        <f>VALUE(月庫存金額!D5)</f>
        <v>10139790.76</v>
      </c>
      <c r="F7" s="129">
        <f>VALUE(月庫存金額!E5)</f>
        <v>8646912.8399999999</v>
      </c>
      <c r="G7" s="129">
        <f>VALUE(月庫存金額!F5)</f>
        <v>8481362.5999999996</v>
      </c>
      <c r="H7" s="129">
        <f>VALUE(月庫存金額!G5)</f>
        <v>7583623.0599999996</v>
      </c>
      <c r="I7" s="129">
        <f>VALUE(月庫存金額!H5)</f>
        <v>7531368.5300000003</v>
      </c>
      <c r="J7" s="129">
        <f>VALUE(月庫存金額!I5)</f>
        <v>8089236.8700000001</v>
      </c>
      <c r="K7" s="129">
        <f>VALUE(月庫存金額!J5)</f>
        <v>7061758.9699999997</v>
      </c>
      <c r="L7" s="129">
        <f>VALUE(月庫存金額!K5)</f>
        <v>5167505.2699999996</v>
      </c>
      <c r="M7" s="129">
        <f>VALUE(月庫存金額!L5)</f>
        <v>5207362.2300000004</v>
      </c>
      <c r="N7" s="129">
        <f>VALUE(月庫存金額!M5)</f>
        <v>6381202.4699999997</v>
      </c>
      <c r="O7" s="129">
        <f>VALUE(月庫存金額!N5)</f>
        <v>0</v>
      </c>
      <c r="P7" s="129">
        <f>VALUE(月庫存金額!O5)</f>
        <v>7675045</v>
      </c>
      <c r="Q7" s="531">
        <v>1014645.0529197619</v>
      </c>
    </row>
    <row r="8" spans="1:17" ht="13.5">
      <c r="A8" s="126"/>
      <c r="B8" s="127"/>
      <c r="C8" s="128" t="s">
        <v>14</v>
      </c>
      <c r="D8" s="129">
        <f>VALUE(月庫存金額!C6)</f>
        <v>20171574.48</v>
      </c>
      <c r="E8" s="129">
        <f>VALUE(月庫存金額!D6)</f>
        <v>17560959.170000002</v>
      </c>
      <c r="F8" s="129">
        <f>VALUE(月庫存金額!E6)</f>
        <v>18385537.710000001</v>
      </c>
      <c r="G8" s="129">
        <f>VALUE(月庫存金額!F6)</f>
        <v>19386565.969999999</v>
      </c>
      <c r="H8" s="129">
        <f>VALUE(月庫存金額!G6)</f>
        <v>17634223.77</v>
      </c>
      <c r="I8" s="129">
        <f>VALUE(月庫存金額!H6)</f>
        <v>17733357.030000001</v>
      </c>
      <c r="J8" s="129">
        <f>VALUE(月庫存金額!I6)</f>
        <v>18843175.260000002</v>
      </c>
      <c r="K8" s="129">
        <f>VALUE(月庫存金額!J6)</f>
        <v>19498579.579999998</v>
      </c>
      <c r="L8" s="129">
        <f>VALUE(月庫存金額!K6)</f>
        <v>18278527</v>
      </c>
      <c r="M8" s="129">
        <f>VALUE(月庫存金額!L6)</f>
        <v>17949341.390000001</v>
      </c>
      <c r="N8" s="129">
        <f>VALUE(月庫存金額!M6)</f>
        <v>19855334.5</v>
      </c>
      <c r="O8" s="129">
        <f>VALUE(月庫存金額!N6)</f>
        <v>0</v>
      </c>
      <c r="P8" s="129">
        <f>VALUE(月庫存金額!O6)</f>
        <v>18663380</v>
      </c>
      <c r="Q8" s="531">
        <v>18506618.52265</v>
      </c>
    </row>
    <row r="9" spans="1:17" ht="13.5">
      <c r="A9" s="126"/>
      <c r="B9" s="127"/>
      <c r="C9" s="128" t="s">
        <v>15</v>
      </c>
      <c r="D9" s="129">
        <f>VALUE(月庫存金額!C7)</f>
        <v>0</v>
      </c>
      <c r="E9" s="129">
        <f>VALUE(月庫存金額!D7)</f>
        <v>0</v>
      </c>
      <c r="F9" s="129">
        <f>VALUE(月庫存金額!E7)</f>
        <v>0</v>
      </c>
      <c r="G9" s="129">
        <f>VALUE(月庫存金額!F7)</f>
        <v>0</v>
      </c>
      <c r="H9" s="129">
        <f>VALUE(月庫存金額!G7)</f>
        <v>0</v>
      </c>
      <c r="I9" s="129">
        <f>VALUE(月庫存金額!H7)</f>
        <v>0</v>
      </c>
      <c r="J9" s="129">
        <f>VALUE(月庫存金額!I7)</f>
        <v>0</v>
      </c>
      <c r="K9" s="129">
        <f>VALUE(月庫存金額!J7)</f>
        <v>0</v>
      </c>
      <c r="L9" s="129">
        <f>VALUE(月庫存金額!K7)</f>
        <v>0</v>
      </c>
      <c r="M9" s="129">
        <f>VALUE(月庫存金額!L7)</f>
        <v>0</v>
      </c>
      <c r="N9" s="129">
        <f>VALUE(月庫存金額!M7)</f>
        <v>0</v>
      </c>
      <c r="O9" s="129">
        <f>VALUE(月庫存金額!N7)</f>
        <v>0</v>
      </c>
      <c r="P9" s="129">
        <f>VALUE(月庫存金額!O7)</f>
        <v>0</v>
      </c>
      <c r="Q9" s="531">
        <v>0</v>
      </c>
    </row>
    <row r="10" spans="1:17" ht="13.5">
      <c r="A10" s="126"/>
      <c r="B10" s="132"/>
      <c r="C10" s="128" t="s">
        <v>16</v>
      </c>
      <c r="D10" s="129">
        <f>VALUE(月庫存金額!C8)</f>
        <v>11473864.609999999</v>
      </c>
      <c r="E10" s="129">
        <f>VALUE(月庫存金額!D8)</f>
        <v>12767175.41</v>
      </c>
      <c r="F10" s="129">
        <f>VALUE(月庫存金額!E8)</f>
        <v>12065504.35</v>
      </c>
      <c r="G10" s="129">
        <f>VALUE(月庫存金額!F8)</f>
        <v>11295529.369999999</v>
      </c>
      <c r="H10" s="129">
        <f>VALUE(月庫存金額!G8)</f>
        <v>12378889.16</v>
      </c>
      <c r="I10" s="129">
        <f>VALUE(月庫存金額!H8)</f>
        <v>11875987.470000001</v>
      </c>
      <c r="J10" s="129">
        <f>VALUE(月庫存金額!I8)</f>
        <v>10160463.26</v>
      </c>
      <c r="K10" s="129">
        <f>VALUE(月庫存金額!J8)</f>
        <v>11552000.48</v>
      </c>
      <c r="L10" s="129">
        <f>VALUE(月庫存金額!K8)</f>
        <v>11338983.800000001</v>
      </c>
      <c r="M10" s="129">
        <f>VALUE(月庫存金額!L8)</f>
        <v>10481929.52</v>
      </c>
      <c r="N10" s="129">
        <f>VALUE(月庫存金額!M8)</f>
        <v>10645600.699999999</v>
      </c>
      <c r="O10" s="129">
        <f>VALUE(月庫存金額!N8)</f>
        <v>0</v>
      </c>
      <c r="P10" s="129">
        <f>VALUE(月庫存金額!O8)</f>
        <v>11457812</v>
      </c>
      <c r="Q10" s="531">
        <v>7409428.2792333327</v>
      </c>
    </row>
    <row r="11" spans="1:17" ht="13.5">
      <c r="A11" s="126"/>
      <c r="B11" s="760" t="s">
        <v>17</v>
      </c>
      <c r="C11" s="761"/>
      <c r="D11" s="133">
        <f>SUM(D12:D15)</f>
        <v>1866545.23</v>
      </c>
      <c r="E11" s="133">
        <f>SUM(E12:E15)</f>
        <v>1629460.21</v>
      </c>
      <c r="F11" s="133">
        <f>SUM(F12:F15)</f>
        <v>1850537.06</v>
      </c>
      <c r="G11" s="133">
        <f t="shared" ref="G11:P11" si="2">SUM(G12:G15)</f>
        <v>2329094.5</v>
      </c>
      <c r="H11" s="133">
        <f t="shared" si="2"/>
        <v>3498808.84</v>
      </c>
      <c r="I11" s="133">
        <f t="shared" si="2"/>
        <v>4191380.17</v>
      </c>
      <c r="J11" s="133">
        <f t="shared" si="2"/>
        <v>2972940.77</v>
      </c>
      <c r="K11" s="133">
        <f t="shared" si="2"/>
        <v>5363763.55</v>
      </c>
      <c r="L11" s="133">
        <f t="shared" si="2"/>
        <v>3233393.84</v>
      </c>
      <c r="M11" s="133">
        <f t="shared" si="2"/>
        <v>2413815.42</v>
      </c>
      <c r="N11" s="133">
        <f t="shared" si="2"/>
        <v>1890943.74</v>
      </c>
      <c r="O11" s="133">
        <f t="shared" si="2"/>
        <v>0</v>
      </c>
      <c r="P11" s="133">
        <f t="shared" si="2"/>
        <v>2840062</v>
      </c>
      <c r="Q11" s="532">
        <v>13138072.522955555</v>
      </c>
    </row>
    <row r="12" spans="1:17" ht="13.5">
      <c r="A12" s="126"/>
      <c r="B12" s="127"/>
      <c r="C12" s="134" t="s">
        <v>18</v>
      </c>
      <c r="D12" s="129">
        <f>VALUE(月庫存金額!C9)</f>
        <v>0</v>
      </c>
      <c r="E12" s="129">
        <f>VALUE(月庫存金額!D9)</f>
        <v>0</v>
      </c>
      <c r="F12" s="129">
        <f>VALUE(月庫存金額!E9)</f>
        <v>0</v>
      </c>
      <c r="G12" s="129">
        <f>VALUE(月庫存金額!F9)</f>
        <v>0</v>
      </c>
      <c r="H12" s="129">
        <f>VALUE(月庫存金額!G9)</f>
        <v>0</v>
      </c>
      <c r="I12" s="129">
        <f>VALUE(月庫存金額!H9)</f>
        <v>0</v>
      </c>
      <c r="J12" s="129">
        <f>VALUE(月庫存金額!I9)</f>
        <v>0</v>
      </c>
      <c r="K12" s="129">
        <f>VALUE(月庫存金額!J9)</f>
        <v>0</v>
      </c>
      <c r="L12" s="129">
        <f>VALUE(月庫存金額!K9)</f>
        <v>0</v>
      </c>
      <c r="M12" s="129">
        <f>VALUE(月庫存金額!L9)</f>
        <v>0</v>
      </c>
      <c r="N12" s="129">
        <f>VALUE(月庫存金額!M9)</f>
        <v>0</v>
      </c>
      <c r="O12" s="129">
        <f>VALUE(月庫存金額!N9)</f>
        <v>0</v>
      </c>
      <c r="P12" s="129">
        <f>VALUE(月庫存金額!O9)</f>
        <v>0</v>
      </c>
      <c r="Q12" s="531">
        <v>0</v>
      </c>
    </row>
    <row r="13" spans="1:17" ht="13.5">
      <c r="A13" s="126"/>
      <c r="B13" s="127"/>
      <c r="C13" s="134" t="s">
        <v>19</v>
      </c>
      <c r="D13" s="129">
        <f>VALUE(月庫存金額!C10)</f>
        <v>1465750.13</v>
      </c>
      <c r="E13" s="129">
        <f>VALUE(月庫存金額!D10)</f>
        <v>1306846</v>
      </c>
      <c r="F13" s="129">
        <f>VALUE(月庫存金額!E10)</f>
        <v>1502212.29</v>
      </c>
      <c r="G13" s="129">
        <f>VALUE(月庫存金額!F10)</f>
        <v>1973206.5</v>
      </c>
      <c r="H13" s="129">
        <f>VALUE(月庫存金額!G10)</f>
        <v>3202960.19</v>
      </c>
      <c r="I13" s="129">
        <f>VALUE(月庫存金額!H10)</f>
        <v>3923864.5</v>
      </c>
      <c r="J13" s="129">
        <f>VALUE(月庫存金額!I10)</f>
        <v>2632016</v>
      </c>
      <c r="K13" s="129">
        <f>VALUE(月庫存金額!J10)</f>
        <v>5048715.55</v>
      </c>
      <c r="L13" s="129">
        <f>VALUE(月庫存金額!K10)</f>
        <v>2963393.17</v>
      </c>
      <c r="M13" s="129">
        <f>VALUE(月庫存金額!L10)</f>
        <v>2143242.9</v>
      </c>
      <c r="N13" s="129">
        <f>VALUE(月庫存金額!M10)</f>
        <v>1640558.07</v>
      </c>
      <c r="O13" s="129">
        <f>VALUE(月庫存金額!N10)</f>
        <v>0</v>
      </c>
      <c r="P13" s="129">
        <f>VALUE(月庫存金額!O10)</f>
        <v>2527524</v>
      </c>
      <c r="Q13" s="531">
        <v>1921849.43765</v>
      </c>
    </row>
    <row r="14" spans="1:17" ht="13.5">
      <c r="A14" s="126"/>
      <c r="B14" s="127"/>
      <c r="C14" s="134" t="s">
        <v>266</v>
      </c>
      <c r="D14" s="129">
        <f>VALUE(月庫存金額!C12)</f>
        <v>0</v>
      </c>
      <c r="E14" s="129">
        <f>VALUE(月庫存金額!D12)</f>
        <v>0</v>
      </c>
      <c r="F14" s="129">
        <f>VALUE(月庫存金額!E12)</f>
        <v>0</v>
      </c>
      <c r="G14" s="129">
        <f>VALUE(月庫存金額!F12)</f>
        <v>0</v>
      </c>
      <c r="H14" s="129">
        <f>VALUE(月庫存金額!G12)</f>
        <v>0</v>
      </c>
      <c r="I14" s="129">
        <f>VALUE(月庫存金額!H12)</f>
        <v>0</v>
      </c>
      <c r="J14" s="129">
        <f>VALUE(月庫存金額!I12)</f>
        <v>0</v>
      </c>
      <c r="K14" s="129">
        <f>VALUE(月庫存金額!J12)</f>
        <v>0</v>
      </c>
      <c r="L14" s="129">
        <f>VALUE(月庫存金額!K12)</f>
        <v>0</v>
      </c>
      <c r="M14" s="129">
        <f>VALUE(月庫存金額!L12)</f>
        <v>0</v>
      </c>
      <c r="N14" s="129">
        <f>VALUE(月庫存金額!M12)</f>
        <v>0</v>
      </c>
      <c r="O14" s="129">
        <f>VALUE(月庫存金額!N12)</f>
        <v>0</v>
      </c>
      <c r="P14" s="129">
        <f>VALUE(月庫存金額!O12)</f>
        <v>0</v>
      </c>
      <c r="Q14" s="531">
        <v>0</v>
      </c>
    </row>
    <row r="15" spans="1:17" ht="13.5">
      <c r="A15" s="126"/>
      <c r="B15" s="127"/>
      <c r="C15" s="233" t="s">
        <v>20</v>
      </c>
      <c r="D15" s="129">
        <f>VALUE(月庫存金額!C14)</f>
        <v>400795.1</v>
      </c>
      <c r="E15" s="129">
        <f>VALUE(月庫存金額!D14)</f>
        <v>322614.21000000002</v>
      </c>
      <c r="F15" s="129">
        <f>VALUE(月庫存金額!E14)</f>
        <v>348324.77</v>
      </c>
      <c r="G15" s="129">
        <f>VALUE(月庫存金額!F14)</f>
        <v>355888</v>
      </c>
      <c r="H15" s="129">
        <f>VALUE(月庫存金額!G14)</f>
        <v>295848.65000000002</v>
      </c>
      <c r="I15" s="129">
        <f>VALUE(月庫存金額!H14)</f>
        <v>267515.67</v>
      </c>
      <c r="J15" s="129">
        <f>VALUE(月庫存金額!I14)</f>
        <v>340924.77</v>
      </c>
      <c r="K15" s="129">
        <f>VALUE(月庫存金額!J14)</f>
        <v>315048</v>
      </c>
      <c r="L15" s="129">
        <f>VALUE(月庫存金額!K14)</f>
        <v>270000.67</v>
      </c>
      <c r="M15" s="129">
        <f>VALUE(月庫存金額!L14)</f>
        <v>270572.52</v>
      </c>
      <c r="N15" s="129">
        <f>VALUE(月庫存金額!M14)</f>
        <v>250385.67</v>
      </c>
      <c r="O15" s="129">
        <f>VALUE(月庫存金額!N14)</f>
        <v>0</v>
      </c>
      <c r="P15" s="129">
        <f>VALUE(月庫存金額!O14)</f>
        <v>312538</v>
      </c>
      <c r="Q15" s="531">
        <v>410834.40910555562</v>
      </c>
    </row>
    <row r="16" spans="1:17" ht="14.25" customHeight="1">
      <c r="A16" s="126"/>
      <c r="B16" s="758" t="s">
        <v>22</v>
      </c>
      <c r="C16" s="759"/>
      <c r="D16" s="133">
        <f>SUM(D17:D23)</f>
        <v>217866974.06999999</v>
      </c>
      <c r="E16" s="133">
        <f>SUM(E17:E23)</f>
        <v>227836152.45999998</v>
      </c>
      <c r="F16" s="133">
        <f>SUM(F17:F23)</f>
        <v>218252942.50999999</v>
      </c>
      <c r="G16" s="133">
        <f t="shared" ref="G16:O16" si="3">SUM(G17:G23)</f>
        <v>215661551.59999996</v>
      </c>
      <c r="H16" s="133">
        <f t="shared" si="3"/>
        <v>211140751.41</v>
      </c>
      <c r="I16" s="133">
        <f t="shared" si="3"/>
        <v>213817215.97000003</v>
      </c>
      <c r="J16" s="133">
        <f t="shared" si="3"/>
        <v>219846692.67999998</v>
      </c>
      <c r="K16" s="133">
        <f t="shared" si="3"/>
        <v>225509180.19999999</v>
      </c>
      <c r="L16" s="133">
        <f t="shared" si="3"/>
        <v>217381746.96000001</v>
      </c>
      <c r="M16" s="133">
        <f t="shared" si="3"/>
        <v>219231194.28999999</v>
      </c>
      <c r="N16" s="133">
        <f t="shared" si="3"/>
        <v>224568846</v>
      </c>
      <c r="O16" s="133">
        <f t="shared" si="3"/>
        <v>0</v>
      </c>
      <c r="P16" s="133">
        <f>SUM(P17:P23)</f>
        <v>219192113</v>
      </c>
      <c r="Q16" s="532">
        <v>178506853.21513885</v>
      </c>
    </row>
    <row r="17" spans="1:17" ht="13.5">
      <c r="A17" s="126"/>
      <c r="B17" s="127"/>
      <c r="C17" s="128" t="s">
        <v>23</v>
      </c>
      <c r="D17" s="129">
        <f>VALUE(月庫存金額!C3)</f>
        <v>206912123.09999999</v>
      </c>
      <c r="E17" s="129">
        <f>VALUE(月庫存金額!D3)</f>
        <v>215708609.13999999</v>
      </c>
      <c r="F17" s="129">
        <f>VALUE(月庫存金額!E3)</f>
        <v>207176431.06</v>
      </c>
      <c r="G17" s="129">
        <f>VALUE(月庫存金額!F3)</f>
        <v>204282453.19999999</v>
      </c>
      <c r="H17" s="129">
        <f>VALUE(月庫存金額!G3)</f>
        <v>200885550.97</v>
      </c>
      <c r="I17" s="129">
        <f>VALUE(月庫存金額!H3)</f>
        <v>202347703.87</v>
      </c>
      <c r="J17" s="129">
        <f>VALUE(月庫存金額!I3)</f>
        <v>208739071.28999999</v>
      </c>
      <c r="K17" s="129">
        <f>VALUE(月庫存金額!J3)</f>
        <v>214166359.13</v>
      </c>
      <c r="L17" s="129">
        <f>VALUE(月庫存金額!K3)</f>
        <v>207609539.90000001</v>
      </c>
      <c r="M17" s="129">
        <f>VALUE(月庫存金額!L3)</f>
        <v>206975412.09999999</v>
      </c>
      <c r="N17" s="129">
        <f>VALUE(月庫存金額!M3)</f>
        <v>212566828.16999999</v>
      </c>
      <c r="O17" s="129">
        <f>VALUE(月庫存金額!N3)</f>
        <v>0</v>
      </c>
      <c r="P17" s="129">
        <f>VALUE(月庫存金額!O3)</f>
        <v>207942735</v>
      </c>
      <c r="Q17" s="531">
        <v>151409196.64236107</v>
      </c>
    </row>
    <row r="18" spans="1:17" ht="13.5">
      <c r="A18" s="126"/>
      <c r="B18" s="127"/>
      <c r="C18" s="134" t="s">
        <v>24</v>
      </c>
      <c r="D18" s="129">
        <f>VALUE(月庫存金額!C13)</f>
        <v>2270012.39</v>
      </c>
      <c r="E18" s="129">
        <f>VALUE(月庫存金額!D13)</f>
        <v>2499969.66</v>
      </c>
      <c r="F18" s="129">
        <f>VALUE(月庫存金額!E13)</f>
        <v>2054333.39</v>
      </c>
      <c r="G18" s="129">
        <f>VALUE(月庫存金額!F13)</f>
        <v>2020258</v>
      </c>
      <c r="H18" s="129">
        <f>VALUE(月庫存金額!G13)</f>
        <v>1922622.77</v>
      </c>
      <c r="I18" s="129">
        <f>VALUE(月庫存金額!H13)</f>
        <v>2093974.77</v>
      </c>
      <c r="J18" s="129">
        <f>VALUE(月庫存金額!I13)</f>
        <v>1681575.87</v>
      </c>
      <c r="K18" s="129">
        <f>VALUE(月庫存金額!J13)</f>
        <v>1804394.48</v>
      </c>
      <c r="L18" s="129">
        <f>VALUE(月庫存金額!K13)</f>
        <v>1659056.93</v>
      </c>
      <c r="M18" s="129">
        <f>VALUE(月庫存金額!L13)</f>
        <v>1950907.87</v>
      </c>
      <c r="N18" s="129">
        <f>VALUE(月庫存金額!M13)</f>
        <v>2150497.4300000002</v>
      </c>
      <c r="O18" s="129">
        <f>VALUE(月庫存金額!N13)</f>
        <v>0</v>
      </c>
      <c r="P18" s="129">
        <f>VALUE(月庫存金額!O13)</f>
        <v>2009782</v>
      </c>
      <c r="Q18" s="531">
        <v>3134492.652888889</v>
      </c>
    </row>
    <row r="19" spans="1:17" ht="13.5">
      <c r="A19" s="126"/>
      <c r="B19" s="127"/>
      <c r="C19" s="134" t="s">
        <v>25</v>
      </c>
      <c r="D19" s="129">
        <f>VALUE(月庫存金額!C21)</f>
        <v>161176</v>
      </c>
      <c r="E19" s="129">
        <f>VALUE(月庫存金額!D21)</f>
        <v>161176</v>
      </c>
      <c r="F19" s="129">
        <f>VALUE(月庫存金額!E21)</f>
        <v>161176</v>
      </c>
      <c r="G19" s="129">
        <f>VALUE(月庫存金額!F21)</f>
        <v>161176</v>
      </c>
      <c r="H19" s="129">
        <f>VALUE(月庫存金額!G21)</f>
        <v>161176</v>
      </c>
      <c r="I19" s="129">
        <f>VALUE(月庫存金額!H21)</f>
        <v>161176</v>
      </c>
      <c r="J19" s="129">
        <f>VALUE(月庫存金額!I21)</f>
        <v>161176</v>
      </c>
      <c r="K19" s="129">
        <f>VALUE(月庫存金額!J21)</f>
        <v>161176</v>
      </c>
      <c r="L19" s="129">
        <f>VALUE(月庫存金額!K21)</f>
        <v>161176</v>
      </c>
      <c r="M19" s="129">
        <f>VALUE(月庫存金額!L21)</f>
        <v>161176</v>
      </c>
      <c r="N19" s="129">
        <f>VALUE(月庫存金額!M21)</f>
        <v>161176</v>
      </c>
      <c r="O19" s="129">
        <f>VALUE(月庫存金額!N21)</f>
        <v>0</v>
      </c>
      <c r="P19" s="129">
        <f>VALUE(月庫存金額!O21)</f>
        <v>161176</v>
      </c>
      <c r="Q19" s="531">
        <v>9206655.444444444</v>
      </c>
    </row>
    <row r="20" spans="1:17" ht="13.5">
      <c r="A20" s="126"/>
      <c r="B20" s="127"/>
      <c r="C20" s="134" t="s">
        <v>26</v>
      </c>
      <c r="D20" s="129">
        <f>VALUE(月庫存金額!C20)</f>
        <v>162800</v>
      </c>
      <c r="E20" s="129">
        <f>VALUE(月庫存金額!D20)</f>
        <v>162800</v>
      </c>
      <c r="F20" s="129">
        <f>VALUE(月庫存金額!E20)</f>
        <v>162800</v>
      </c>
      <c r="G20" s="129">
        <f>VALUE(月庫存金額!F20)</f>
        <v>162800</v>
      </c>
      <c r="H20" s="129">
        <f>VALUE(月庫存金額!G20)</f>
        <v>162800</v>
      </c>
      <c r="I20" s="129">
        <f>VALUE(月庫存金額!H20)</f>
        <v>162800</v>
      </c>
      <c r="J20" s="129">
        <f>VALUE(月庫存金額!I20)</f>
        <v>162800</v>
      </c>
      <c r="K20" s="129">
        <f>VALUE(月庫存金額!J20)</f>
        <v>162800</v>
      </c>
      <c r="L20" s="129">
        <f>VALUE(月庫存金額!K20)</f>
        <v>162800</v>
      </c>
      <c r="M20" s="129">
        <f>VALUE(月庫存金額!L20)</f>
        <v>162800</v>
      </c>
      <c r="N20" s="129">
        <f>VALUE(月庫存金額!M20)</f>
        <v>162800</v>
      </c>
      <c r="O20" s="129">
        <f>VALUE(月庫存金額!N20)</f>
        <v>0</v>
      </c>
      <c r="P20" s="129">
        <f>VALUE(月庫存金額!O20)</f>
        <v>162800</v>
      </c>
      <c r="Q20" s="531">
        <v>10542088.864333333</v>
      </c>
    </row>
    <row r="21" spans="1:17" ht="13.5">
      <c r="A21" s="126"/>
      <c r="B21" s="127"/>
      <c r="C21" s="134" t="s">
        <v>27</v>
      </c>
      <c r="D21" s="129">
        <f>VALUE(月庫存金額!C19)</f>
        <v>8107172.0300000003</v>
      </c>
      <c r="E21" s="129">
        <f>VALUE(月庫存金額!D19)</f>
        <v>8993685.0700000003</v>
      </c>
      <c r="F21" s="129">
        <f>VALUE(月庫存金額!E19)</f>
        <v>8422435.3499999996</v>
      </c>
      <c r="G21" s="129">
        <f>VALUE(月庫存金額!F19)</f>
        <v>8715484.7300000004</v>
      </c>
      <c r="H21" s="129">
        <f>VALUE(月庫存金額!G19)</f>
        <v>7724670.4800000004</v>
      </c>
      <c r="I21" s="129">
        <f>VALUE(月庫存金額!H19)</f>
        <v>8804428.3300000001</v>
      </c>
      <c r="J21" s="129">
        <f>VALUE(月庫存金額!I19)</f>
        <v>8796700.2599999998</v>
      </c>
      <c r="K21" s="129">
        <f>VALUE(月庫存金額!J19)</f>
        <v>8907951.3900000006</v>
      </c>
      <c r="L21" s="129">
        <f>VALUE(月庫存金額!K19)</f>
        <v>7524486.1299999999</v>
      </c>
      <c r="M21" s="129">
        <f>VALUE(月庫存金額!L19)</f>
        <v>9703232.9000000004</v>
      </c>
      <c r="N21" s="129">
        <f>VALUE(月庫存金額!M19)</f>
        <v>9283951.4700000007</v>
      </c>
      <c r="O21" s="129">
        <f>VALUE(月庫存金額!N19)</f>
        <v>0</v>
      </c>
      <c r="P21" s="129">
        <f>VALUE(月庫存金額!O19)</f>
        <v>8634927</v>
      </c>
      <c r="Q21" s="531">
        <v>3640844.9022222231</v>
      </c>
    </row>
    <row r="22" spans="1:17" ht="13.5">
      <c r="A22" s="126"/>
      <c r="B22" s="127"/>
      <c r="C22" s="134" t="s">
        <v>28</v>
      </c>
      <c r="D22" s="129">
        <f>VALUE(月庫存金額!C11)</f>
        <v>108451.9</v>
      </c>
      <c r="E22" s="129">
        <f>VALUE(月庫存金額!D11)</f>
        <v>106839</v>
      </c>
      <c r="F22" s="129">
        <f>VALUE(月庫存金額!E11)</f>
        <v>103632.55</v>
      </c>
      <c r="G22" s="129">
        <f>VALUE(月庫存金額!F11)</f>
        <v>104485.67</v>
      </c>
      <c r="H22" s="129">
        <f>VALUE(月庫存金額!G11)</f>
        <v>105700.29</v>
      </c>
      <c r="I22" s="129">
        <f>VALUE(月庫存金額!H11)</f>
        <v>103309</v>
      </c>
      <c r="J22" s="129">
        <f>VALUE(月庫存金額!I11)</f>
        <v>106839</v>
      </c>
      <c r="K22" s="129">
        <f>VALUE(月庫存金額!J11)</f>
        <v>101714.81</v>
      </c>
      <c r="L22" s="129">
        <f>VALUE(月庫存金額!K11)</f>
        <v>106839</v>
      </c>
      <c r="M22" s="129">
        <f>VALUE(月庫存金額!L11)</f>
        <v>106839</v>
      </c>
      <c r="N22" s="129">
        <f>VALUE(月庫存金額!M11)</f>
        <v>108372.33</v>
      </c>
      <c r="O22" s="129">
        <f>VALUE(月庫存金額!N11)</f>
        <v>0</v>
      </c>
      <c r="P22" s="129">
        <f>VALUE(月庫存金額!O11)</f>
        <v>105729</v>
      </c>
      <c r="Q22" s="531">
        <v>127003.2088888889</v>
      </c>
    </row>
    <row r="23" spans="1:17" ht="13.5">
      <c r="A23" s="126"/>
      <c r="B23" s="127"/>
      <c r="C23" s="138" t="s">
        <v>29</v>
      </c>
      <c r="D23" s="129">
        <f>VALUE(月庫存金額!C22)</f>
        <v>145238.65</v>
      </c>
      <c r="E23" s="129">
        <f>VALUE(月庫存金額!D22)</f>
        <v>203073.59</v>
      </c>
      <c r="F23" s="129">
        <f>VALUE(月庫存金額!E22)</f>
        <v>172134.16</v>
      </c>
      <c r="G23" s="129">
        <f>VALUE(月庫存金額!F22)</f>
        <v>214894</v>
      </c>
      <c r="H23" s="129">
        <f>VALUE(月庫存金額!G22)</f>
        <v>178230.9</v>
      </c>
      <c r="I23" s="129">
        <f>VALUE(月庫存金額!H22)</f>
        <v>143824</v>
      </c>
      <c r="J23" s="129">
        <f>VALUE(月庫存金額!I22)</f>
        <v>198530.26</v>
      </c>
      <c r="K23" s="129">
        <f>VALUE(月庫存金額!J22)</f>
        <v>204784.39</v>
      </c>
      <c r="L23" s="129">
        <f>VALUE(月庫存金額!K22)</f>
        <v>157849</v>
      </c>
      <c r="M23" s="129">
        <f>VALUE(月庫存金額!L22)</f>
        <v>170826.42</v>
      </c>
      <c r="N23" s="129">
        <f>VALUE(月庫存金額!M22)</f>
        <v>135220.6</v>
      </c>
      <c r="O23" s="129">
        <f>VALUE(月庫存金額!N22)</f>
        <v>0</v>
      </c>
      <c r="P23" s="129">
        <f>VALUE(月庫存金額!O22)</f>
        <v>174964</v>
      </c>
      <c r="Q23" s="531">
        <v>446571.5</v>
      </c>
    </row>
    <row r="24" spans="1:17" ht="14.25" customHeight="1">
      <c r="A24" s="126"/>
      <c r="B24" s="758" t="s">
        <v>30</v>
      </c>
      <c r="C24" s="759"/>
      <c r="D24" s="133">
        <f>SUM(D25:D28)</f>
        <v>15301838.359999999</v>
      </c>
      <c r="E24" s="133">
        <f t="shared" ref="E24:P24" si="4">SUM(E25:E28)</f>
        <v>15654090.309999999</v>
      </c>
      <c r="F24" s="133">
        <f t="shared" si="4"/>
        <v>14437150.77</v>
      </c>
      <c r="G24" s="133">
        <f t="shared" si="4"/>
        <v>14437943.370000001</v>
      </c>
      <c r="H24" s="133">
        <f t="shared" si="4"/>
        <v>14445426.390000001</v>
      </c>
      <c r="I24" s="133">
        <f t="shared" si="4"/>
        <v>13677700.23</v>
      </c>
      <c r="J24" s="133">
        <f t="shared" si="4"/>
        <v>11060745.16</v>
      </c>
      <c r="K24" s="133">
        <f t="shared" si="4"/>
        <v>12062395.23</v>
      </c>
      <c r="L24" s="133">
        <f t="shared" si="4"/>
        <v>9864126.7000000011</v>
      </c>
      <c r="M24" s="133">
        <f t="shared" si="4"/>
        <v>10092831.1</v>
      </c>
      <c r="N24" s="133">
        <f t="shared" si="4"/>
        <v>11908485.199999999</v>
      </c>
      <c r="O24" s="133">
        <f t="shared" si="4"/>
        <v>0</v>
      </c>
      <c r="P24" s="133">
        <f t="shared" si="4"/>
        <v>12994794</v>
      </c>
      <c r="Q24" s="532"/>
    </row>
    <row r="25" spans="1:17" ht="13.5">
      <c r="A25" s="126"/>
      <c r="B25" s="254"/>
      <c r="C25" s="233" t="s">
        <v>267</v>
      </c>
      <c r="D25" s="129">
        <f>VALUE(月庫存金額!C23)</f>
        <v>0</v>
      </c>
      <c r="E25" s="129">
        <f>VALUE(月庫存金額!D23)</f>
        <v>0</v>
      </c>
      <c r="F25" s="129">
        <f>VALUE(月庫存金額!E23)</f>
        <v>0</v>
      </c>
      <c r="G25" s="129">
        <f>VALUE(月庫存金額!F23)</f>
        <v>0</v>
      </c>
      <c r="H25" s="129">
        <f>VALUE(月庫存金額!G23)</f>
        <v>0</v>
      </c>
      <c r="I25" s="129">
        <f>VALUE(月庫存金額!H23)</f>
        <v>0</v>
      </c>
      <c r="J25" s="129">
        <f>VALUE(月庫存金額!I23)</f>
        <v>0</v>
      </c>
      <c r="K25" s="129">
        <f>VALUE(月庫存金額!J23)</f>
        <v>0</v>
      </c>
      <c r="L25" s="129">
        <f>VALUE(月庫存金額!K23)</f>
        <v>0</v>
      </c>
      <c r="M25" s="129">
        <f>VALUE(月庫存金額!L23)</f>
        <v>0</v>
      </c>
      <c r="N25" s="129">
        <f>VALUE(月庫存金額!M23)</f>
        <v>0</v>
      </c>
      <c r="O25" s="129">
        <f>VALUE(月庫存金額!N23)</f>
        <v>0</v>
      </c>
      <c r="P25" s="129">
        <f>VALUE(月庫存金額!O23)</f>
        <v>0</v>
      </c>
      <c r="Q25" s="531"/>
    </row>
    <row r="26" spans="1:17" ht="13.5">
      <c r="A26" s="126"/>
      <c r="B26" s="254"/>
      <c r="C26" s="134" t="s">
        <v>268</v>
      </c>
      <c r="D26" s="129">
        <f>VALUE(月庫存金額!C24)</f>
        <v>0</v>
      </c>
      <c r="E26" s="129">
        <f>VALUE(月庫存金額!D24)</f>
        <v>0</v>
      </c>
      <c r="F26" s="129">
        <f>VALUE(月庫存金額!E24)</f>
        <v>0</v>
      </c>
      <c r="G26" s="129">
        <f>VALUE(月庫存金額!F24)</f>
        <v>0</v>
      </c>
      <c r="H26" s="129">
        <f>VALUE(月庫存金額!G24)</f>
        <v>0</v>
      </c>
      <c r="I26" s="129">
        <f>VALUE(月庫存金額!H24)</f>
        <v>0</v>
      </c>
      <c r="J26" s="129">
        <f>VALUE(月庫存金額!I24)</f>
        <v>0</v>
      </c>
      <c r="K26" s="129">
        <f>VALUE(月庫存金額!J24)</f>
        <v>0</v>
      </c>
      <c r="L26" s="129">
        <f>VALUE(月庫存金額!K24)</f>
        <v>0</v>
      </c>
      <c r="M26" s="129">
        <f>VALUE(月庫存金額!L24)</f>
        <v>0</v>
      </c>
      <c r="N26" s="129">
        <f>VALUE(月庫存金額!M24)</f>
        <v>0</v>
      </c>
      <c r="O26" s="129">
        <f>VALUE(月庫存金額!N24)</f>
        <v>0</v>
      </c>
      <c r="P26" s="129">
        <f>VALUE(月庫存金額!O24)</f>
        <v>0</v>
      </c>
      <c r="Q26" s="531"/>
    </row>
    <row r="27" spans="1:17" ht="13.5">
      <c r="A27" s="126"/>
      <c r="B27" s="254"/>
      <c r="C27" s="134" t="s">
        <v>269</v>
      </c>
      <c r="D27" s="129">
        <f>VALUE(月庫存金額!C25)</f>
        <v>9666211.9399999995</v>
      </c>
      <c r="E27" s="129">
        <f>VALUE(月庫存金額!D25)</f>
        <v>9665747.1699999999</v>
      </c>
      <c r="F27" s="129">
        <f>VALUE(月庫存金額!E25)</f>
        <v>8302853.29</v>
      </c>
      <c r="G27" s="129">
        <f>VALUE(月庫存金額!F25)</f>
        <v>8758509.8000000007</v>
      </c>
      <c r="H27" s="129">
        <f>VALUE(月庫存金額!G25)</f>
        <v>9116051.6500000004</v>
      </c>
      <c r="I27" s="129">
        <f>VALUE(月庫存金額!H25)</f>
        <v>8379611.4699999997</v>
      </c>
      <c r="J27" s="129">
        <f>VALUE(月庫存金額!I25)</f>
        <v>7826773.4500000002</v>
      </c>
      <c r="K27" s="129">
        <f>VALUE(月庫存金額!J25)</f>
        <v>9554143.8399999999</v>
      </c>
      <c r="L27" s="129">
        <f>VALUE(月庫存金額!K25)</f>
        <v>7780853.2300000004</v>
      </c>
      <c r="M27" s="129">
        <f>VALUE(月庫存金額!L25)</f>
        <v>7906898.71</v>
      </c>
      <c r="N27" s="129">
        <f>VALUE(月庫存金額!M25)</f>
        <v>9181829.6999999993</v>
      </c>
      <c r="O27" s="129">
        <f>VALUE(月庫存金額!N25)</f>
        <v>0</v>
      </c>
      <c r="P27" s="129">
        <f>VALUE(月庫存金額!O25)</f>
        <v>8739953</v>
      </c>
      <c r="Q27" s="531"/>
    </row>
    <row r="28" spans="1:17" ht="13.5">
      <c r="A28" s="126"/>
      <c r="B28" s="266"/>
      <c r="C28" s="134" t="s">
        <v>270</v>
      </c>
      <c r="D28" s="129">
        <f>VALUE(月庫存金額!C26)</f>
        <v>5635626.4199999999</v>
      </c>
      <c r="E28" s="129">
        <f>VALUE(月庫存金額!D26)</f>
        <v>5988343.1399999997</v>
      </c>
      <c r="F28" s="129">
        <f>VALUE(月庫存金額!E26)</f>
        <v>6134297.4800000004</v>
      </c>
      <c r="G28" s="129">
        <f>VALUE(月庫存金額!F26)</f>
        <v>5679433.5700000003</v>
      </c>
      <c r="H28" s="129">
        <f>VALUE(月庫存金額!G26)</f>
        <v>5329374.74</v>
      </c>
      <c r="I28" s="129">
        <f>VALUE(月庫存金額!H26)</f>
        <v>5298088.76</v>
      </c>
      <c r="J28" s="129">
        <f>VALUE(月庫存金額!I26)</f>
        <v>3233971.71</v>
      </c>
      <c r="K28" s="129">
        <f>VALUE(月庫存金額!J26)</f>
        <v>2508251.39</v>
      </c>
      <c r="L28" s="129">
        <f>VALUE(月庫存金額!K26)</f>
        <v>2083273.47</v>
      </c>
      <c r="M28" s="129">
        <f>VALUE(月庫存金額!L26)</f>
        <v>2185932.39</v>
      </c>
      <c r="N28" s="129">
        <f>VALUE(月庫存金額!M26)</f>
        <v>2726655.5</v>
      </c>
      <c r="O28" s="129">
        <f>VALUE(月庫存金額!N26)</f>
        <v>0</v>
      </c>
      <c r="P28" s="129">
        <f>VALUE(月庫存金額!O26)</f>
        <v>4254841</v>
      </c>
      <c r="Q28" s="531"/>
    </row>
    <row r="29" spans="1:17" ht="13.5">
      <c r="A29" s="762" t="s">
        <v>36</v>
      </c>
      <c r="B29" s="763"/>
      <c r="C29" s="139" t="s">
        <v>37</v>
      </c>
      <c r="D29" s="140">
        <f>VALUE(月庫存金額!C15)</f>
        <v>1618314.65</v>
      </c>
      <c r="E29" s="140">
        <f>VALUE(月庫存金額!D15)</f>
        <v>1618917</v>
      </c>
      <c r="F29" s="140">
        <f>VALUE(月庫存金額!E15)</f>
        <v>1625469.81</v>
      </c>
      <c r="G29" s="140">
        <f>VALUE(月庫存金額!F15)</f>
        <v>1625428</v>
      </c>
      <c r="H29" s="140">
        <f>VALUE(月庫存金額!G15)</f>
        <v>1619820.16</v>
      </c>
      <c r="I29" s="140">
        <f>VALUE(月庫存金額!H15)</f>
        <v>4558497.83</v>
      </c>
      <c r="J29" s="140">
        <f>VALUE(月庫存金額!I15)</f>
        <v>11279914.65</v>
      </c>
      <c r="K29" s="140">
        <f>VALUE(月庫存金額!J15)</f>
        <v>8378661.1299999999</v>
      </c>
      <c r="L29" s="140">
        <f>VALUE(月庫存金額!K15)</f>
        <v>6825755.4000000004</v>
      </c>
      <c r="M29" s="140">
        <f>VALUE(月庫存金額!L15)</f>
        <v>5487272.4199999999</v>
      </c>
      <c r="N29" s="140">
        <f>VALUE(月庫存金額!M15)</f>
        <v>4200015.0999999996</v>
      </c>
      <c r="O29" s="140">
        <f>VALUE(月庫存金額!N15)</f>
        <v>0</v>
      </c>
      <c r="P29" s="140">
        <f>VALUE(月庫存金額!O15)</f>
        <v>4439824</v>
      </c>
      <c r="Q29" s="533"/>
    </row>
    <row r="30" spans="1:17" ht="13.5">
      <c r="A30" s="764"/>
      <c r="B30" s="765"/>
      <c r="C30" s="139" t="s">
        <v>38</v>
      </c>
      <c r="D30" s="143">
        <f>VALUE(月庫存金額!C16)</f>
        <v>0</v>
      </c>
      <c r="E30" s="143">
        <f>VALUE(月庫存金額!D16)</f>
        <v>0</v>
      </c>
      <c r="F30" s="143">
        <f>VALUE(月庫存金額!E16)</f>
        <v>0</v>
      </c>
      <c r="G30" s="143">
        <f>VALUE(月庫存金額!F16)</f>
        <v>0</v>
      </c>
      <c r="H30" s="143">
        <f>VALUE(月庫存金額!G16)</f>
        <v>0</v>
      </c>
      <c r="I30" s="143">
        <f>VALUE(月庫存金額!H16)</f>
        <v>0</v>
      </c>
      <c r="J30" s="143">
        <f>VALUE(月庫存金額!I16)</f>
        <v>0</v>
      </c>
      <c r="K30" s="143">
        <f>VALUE(月庫存金額!J16)</f>
        <v>0</v>
      </c>
      <c r="L30" s="143">
        <f>VALUE(月庫存金額!K16)</f>
        <v>0</v>
      </c>
      <c r="M30" s="143">
        <f>VALUE(月庫存金額!L16)</f>
        <v>0</v>
      </c>
      <c r="N30" s="143">
        <f>VALUE(月庫存金額!M16)</f>
        <v>0</v>
      </c>
      <c r="O30" s="143">
        <f>VALUE(月庫存金額!N16)</f>
        <v>0</v>
      </c>
      <c r="P30" s="143">
        <f>VALUE(月庫存金額!O16)</f>
        <v>0</v>
      </c>
      <c r="Q30" s="534"/>
    </row>
    <row r="31" spans="1:17" ht="13.5">
      <c r="A31" s="764"/>
      <c r="B31" s="765"/>
      <c r="C31" s="239" t="s">
        <v>39</v>
      </c>
      <c r="D31" s="143">
        <f>VALUE(月庫存金額!C17)</f>
        <v>6155182.0999999996</v>
      </c>
      <c r="E31" s="143">
        <f>VALUE(月庫存金額!D17)</f>
        <v>6128761.7199999997</v>
      </c>
      <c r="F31" s="143">
        <f>VALUE(月庫存金額!E17)</f>
        <v>6261052.6100000003</v>
      </c>
      <c r="G31" s="143">
        <f>VALUE(月庫存金額!F17)</f>
        <v>5420202.4699999997</v>
      </c>
      <c r="H31" s="143">
        <f>VALUE(月庫存金額!G17)</f>
        <v>6493475.7699999996</v>
      </c>
      <c r="I31" s="143">
        <f>VALUE(月庫存金額!H17)</f>
        <v>5367658.93</v>
      </c>
      <c r="J31" s="143">
        <f>VALUE(月庫存金額!I17)</f>
        <v>5440689.4800000004</v>
      </c>
      <c r="K31" s="143">
        <f>VALUE(月庫存金額!J17)</f>
        <v>5996135.1600000001</v>
      </c>
      <c r="L31" s="143">
        <f>VALUE(月庫存金額!K17)</f>
        <v>7195606.4699999997</v>
      </c>
      <c r="M31" s="143">
        <f>VALUE(月庫存金額!L17)</f>
        <v>6509718.5800000001</v>
      </c>
      <c r="N31" s="143">
        <f>VALUE(月庫存金額!M17)</f>
        <v>6182121</v>
      </c>
      <c r="O31" s="143">
        <f>VALUE(月庫存金額!N17)</f>
        <v>0</v>
      </c>
      <c r="P31" s="143">
        <f>VALUE(月庫存金額!O17)</f>
        <v>6104600</v>
      </c>
      <c r="Q31" s="534"/>
    </row>
    <row r="32" spans="1:17" ht="14.1" thickBot="1">
      <c r="A32" s="766"/>
      <c r="B32" s="767"/>
      <c r="C32" s="146" t="s">
        <v>40</v>
      </c>
      <c r="D32" s="147">
        <f>VALUE(月庫存金額!C18)</f>
        <v>12042609.42</v>
      </c>
      <c r="E32" s="147">
        <f>VALUE(月庫存金額!D18)</f>
        <v>10437480.619999999</v>
      </c>
      <c r="F32" s="147">
        <f>VALUE(月庫存金額!E18)</f>
        <v>11422439.35</v>
      </c>
      <c r="G32" s="147">
        <f>VALUE(月庫存金額!F18)</f>
        <v>13587909.43</v>
      </c>
      <c r="H32" s="147">
        <f>VALUE(月庫存金額!G18)</f>
        <v>11594011.58</v>
      </c>
      <c r="I32" s="147">
        <f>VALUE(月庫存金額!H18)</f>
        <v>12046821.23</v>
      </c>
      <c r="J32" s="147">
        <f>VALUE(月庫存金額!I18)</f>
        <v>11848238.029999999</v>
      </c>
      <c r="K32" s="147">
        <f>VALUE(月庫存金額!J18)</f>
        <v>11791748.65</v>
      </c>
      <c r="L32" s="147">
        <f>VALUE(月庫存金額!K18)</f>
        <v>11302143.77</v>
      </c>
      <c r="M32" s="147">
        <f>VALUE(月庫存金額!L18)</f>
        <v>11180635.68</v>
      </c>
      <c r="N32" s="147">
        <f>VALUE(月庫存金額!M18)</f>
        <v>11496396.17</v>
      </c>
      <c r="O32" s="147">
        <f>VALUE(月庫存金額!N18)</f>
        <v>0</v>
      </c>
      <c r="P32" s="147">
        <f>VALUE(月庫存金額!O18)</f>
        <v>11704585</v>
      </c>
      <c r="Q32" s="535"/>
    </row>
    <row r="33" spans="1:17" ht="13.5">
      <c r="A33" s="336"/>
      <c r="B33" s="336"/>
      <c r="C33" s="159">
        <v>6</v>
      </c>
      <c r="D33" s="337"/>
      <c r="E33" s="337"/>
      <c r="F33" s="337"/>
      <c r="G33" s="337"/>
      <c r="H33" s="337"/>
      <c r="I33" s="337"/>
      <c r="J33" s="337"/>
      <c r="K33" s="337"/>
      <c r="L33" s="337"/>
      <c r="M33" s="337"/>
      <c r="N33" s="337"/>
      <c r="O33" s="337"/>
      <c r="P33" s="337">
        <f>VALUE(月庫存金額!O27)</f>
        <v>0</v>
      </c>
      <c r="Q33" s="121"/>
    </row>
    <row r="34" spans="1:17" ht="19.5">
      <c r="A34" s="151"/>
      <c r="B34" s="152"/>
      <c r="C34" s="159">
        <v>7</v>
      </c>
      <c r="P34" s="154">
        <f>VALUE(月庫存金額!O28)</f>
        <v>0</v>
      </c>
      <c r="Q34" s="121"/>
    </row>
    <row r="35" spans="1:17" ht="14.1" thickBot="1">
      <c r="A35" s="112" t="s">
        <v>271</v>
      </c>
      <c r="B35" s="112"/>
      <c r="C35" s="112"/>
      <c r="Q35" s="121"/>
    </row>
    <row r="36" spans="1:17" ht="13.5">
      <c r="A36" s="729" t="s">
        <v>1</v>
      </c>
      <c r="B36" s="730"/>
      <c r="C36" s="730"/>
      <c r="D36" s="116" t="s">
        <v>252</v>
      </c>
      <c r="E36" s="116" t="s">
        <v>253</v>
      </c>
      <c r="F36" s="116" t="s">
        <v>254</v>
      </c>
      <c r="G36" s="116" t="s">
        <v>255</v>
      </c>
      <c r="H36" s="116" t="s">
        <v>256</v>
      </c>
      <c r="I36" s="116" t="s">
        <v>257</v>
      </c>
      <c r="J36" s="116" t="s">
        <v>258</v>
      </c>
      <c r="K36" s="116" t="s">
        <v>259</v>
      </c>
      <c r="L36" s="116" t="s">
        <v>260</v>
      </c>
      <c r="M36" s="116" t="s">
        <v>261</v>
      </c>
      <c r="N36" s="116" t="s">
        <v>262</v>
      </c>
      <c r="O36" s="116" t="s">
        <v>263</v>
      </c>
      <c r="P36" s="117" t="s">
        <v>264</v>
      </c>
      <c r="Q36" s="121"/>
    </row>
    <row r="37" spans="1:17" s="122" customFormat="1" ht="13.5">
      <c r="A37" s="755" t="s">
        <v>9</v>
      </c>
      <c r="B37" s="756"/>
      <c r="C37" s="757"/>
      <c r="D37" s="119">
        <f>D38+D45+D50</f>
        <v>605015478</v>
      </c>
      <c r="E37" s="119">
        <f>E38+E45+E50</f>
        <v>588701660</v>
      </c>
      <c r="F37" s="119">
        <f>F38+F45+F50</f>
        <v>568708442</v>
      </c>
      <c r="G37" s="119">
        <f t="shared" ref="G37:P37" si="5">G38+G45+G50</f>
        <v>591183044</v>
      </c>
      <c r="H37" s="119">
        <f t="shared" si="5"/>
        <v>580688062</v>
      </c>
      <c r="I37" s="119">
        <f t="shared" si="5"/>
        <v>538266068</v>
      </c>
      <c r="J37" s="119">
        <f t="shared" si="5"/>
        <v>568166566</v>
      </c>
      <c r="K37" s="119">
        <f t="shared" si="5"/>
        <v>542054632</v>
      </c>
      <c r="L37" s="119">
        <f t="shared" si="5"/>
        <v>533847431</v>
      </c>
      <c r="M37" s="119">
        <f t="shared" si="5"/>
        <v>543700037</v>
      </c>
      <c r="N37" s="119">
        <f t="shared" si="5"/>
        <v>541438802</v>
      </c>
      <c r="O37" s="119">
        <f t="shared" si="5"/>
        <v>0</v>
      </c>
      <c r="P37" s="119">
        <f t="shared" si="5"/>
        <v>563797292</v>
      </c>
      <c r="Q37" s="121"/>
    </row>
    <row r="38" spans="1:17" ht="13.5">
      <c r="A38" s="123"/>
      <c r="B38" s="758" t="s">
        <v>10</v>
      </c>
      <c r="C38" s="759"/>
      <c r="D38" s="124">
        <f>SUM(D39:D44)</f>
        <v>376084606</v>
      </c>
      <c r="E38" s="124">
        <f t="shared" ref="E38:P38" si="6">SUM(E39:E44)</f>
        <v>366054340</v>
      </c>
      <c r="F38" s="124">
        <f t="shared" si="6"/>
        <v>354294869</v>
      </c>
      <c r="G38" s="124">
        <f t="shared" si="6"/>
        <v>372135386</v>
      </c>
      <c r="H38" s="124">
        <f t="shared" si="6"/>
        <v>363376944</v>
      </c>
      <c r="I38" s="124">
        <f t="shared" si="6"/>
        <v>319430518</v>
      </c>
      <c r="J38" s="124">
        <f t="shared" si="6"/>
        <v>342464244</v>
      </c>
      <c r="K38" s="124">
        <f t="shared" si="6"/>
        <v>319799993</v>
      </c>
      <c r="L38" s="124">
        <f t="shared" si="6"/>
        <v>311804310</v>
      </c>
      <c r="M38" s="124">
        <f t="shared" si="6"/>
        <v>321714929</v>
      </c>
      <c r="N38" s="124">
        <f t="shared" si="6"/>
        <v>324640934</v>
      </c>
      <c r="O38" s="124">
        <f t="shared" si="6"/>
        <v>0</v>
      </c>
      <c r="P38" s="124">
        <f t="shared" si="6"/>
        <v>342891007</v>
      </c>
      <c r="Q38" s="121"/>
    </row>
    <row r="39" spans="1:17" ht="13.5">
      <c r="A39" s="126"/>
      <c r="B39" s="127"/>
      <c r="C39" s="128" t="s">
        <v>11</v>
      </c>
      <c r="D39" s="130">
        <f>VALUE(月庫存金額!P2)</f>
        <v>320041916</v>
      </c>
      <c r="E39" s="130">
        <f>VALUE(月庫存金額!Q2)</f>
        <v>310964603</v>
      </c>
      <c r="F39" s="130">
        <f>VALUE(月庫存金額!R2)</f>
        <v>296432421</v>
      </c>
      <c r="G39" s="130">
        <f>VALUE(月庫存金額!S2)</f>
        <v>317597899</v>
      </c>
      <c r="H39" s="130">
        <f>VALUE(月庫存金額!T2)</f>
        <v>305526976</v>
      </c>
      <c r="I39" s="130">
        <f>VALUE(月庫存金額!U2)</f>
        <v>269957930</v>
      </c>
      <c r="J39" s="130">
        <f>VALUE(月庫存金額!V2)</f>
        <v>289521785</v>
      </c>
      <c r="K39" s="130">
        <f>VALUE(月庫存金額!W2)</f>
        <v>271305369</v>
      </c>
      <c r="L39" s="130">
        <f>VALUE(月庫存金額!X2)</f>
        <v>269988390</v>
      </c>
      <c r="M39" s="130">
        <f>VALUE(月庫存金額!Y2)</f>
        <v>271714973</v>
      </c>
      <c r="N39" s="130">
        <f>VALUE(月庫存金額!Z2)</f>
        <v>275742463</v>
      </c>
      <c r="O39" s="130">
        <f>VALUE(月庫存金額!AA2)</f>
        <v>0</v>
      </c>
      <c r="P39" s="130">
        <f>VALUE(月庫存金額!AB2)</f>
        <v>290799520</v>
      </c>
      <c r="Q39" s="121"/>
    </row>
    <row r="40" spans="1:17" ht="13.5">
      <c r="A40" s="126"/>
      <c r="B40" s="127"/>
      <c r="C40" s="128" t="s">
        <v>12</v>
      </c>
      <c r="D40" s="130">
        <f>VALUE(月庫存金額!P4)</f>
        <v>8519446</v>
      </c>
      <c r="E40" s="130">
        <f>VALUE(月庫存金額!Q4)</f>
        <v>8857102</v>
      </c>
      <c r="F40" s="130">
        <f>VALUE(月庫存金額!R4)</f>
        <v>7752325</v>
      </c>
      <c r="G40" s="130">
        <f>VALUE(月庫存金額!S4)</f>
        <v>5965486</v>
      </c>
      <c r="H40" s="130">
        <f>VALUE(月庫存金額!T4)</f>
        <v>10220835</v>
      </c>
      <c r="I40" s="130">
        <f>VALUE(月庫存金額!U4)</f>
        <v>5818525</v>
      </c>
      <c r="J40" s="130">
        <f>VALUE(月庫存金額!V4)</f>
        <v>5300812</v>
      </c>
      <c r="K40" s="130">
        <f>VALUE(月庫存金額!W4)</f>
        <v>6322044</v>
      </c>
      <c r="L40" s="130">
        <f>VALUE(月庫存金額!X4)</f>
        <v>3634575</v>
      </c>
      <c r="M40" s="130">
        <f>VALUE(月庫存金額!Y4)</f>
        <v>7383719</v>
      </c>
      <c r="N40" s="130">
        <f>VALUE(月庫存金額!Z4)</f>
        <v>6251011</v>
      </c>
      <c r="O40" s="130">
        <f>VALUE(月庫存金額!AA4)</f>
        <v>0</v>
      </c>
      <c r="P40" s="130">
        <f>VALUE(月庫存金額!AB4)</f>
        <v>6911444</v>
      </c>
      <c r="Q40" s="121"/>
    </row>
    <row r="41" spans="1:17" ht="13.5">
      <c r="A41" s="126"/>
      <c r="B41" s="127"/>
      <c r="C41" s="128" t="s">
        <v>13</v>
      </c>
      <c r="D41" s="130">
        <f>VALUE(月庫存金額!P5)</f>
        <v>9491358</v>
      </c>
      <c r="E41" s="130">
        <f>VALUE(月庫存金額!Q5)</f>
        <v>9285181</v>
      </c>
      <c r="F41" s="130">
        <f>VALUE(月庫存金額!R5)</f>
        <v>8073862</v>
      </c>
      <c r="G41" s="130">
        <f>VALUE(月庫存金額!S5)</f>
        <v>8156705</v>
      </c>
      <c r="H41" s="130">
        <f>VALUE(月庫存金額!T5)</f>
        <v>7192801</v>
      </c>
      <c r="I41" s="130">
        <f>VALUE(月庫存金額!U5)</f>
        <v>8065885</v>
      </c>
      <c r="J41" s="130">
        <f>VALUE(月庫存金額!V5)</f>
        <v>7485164</v>
      </c>
      <c r="K41" s="130">
        <f>VALUE(月庫存金額!W5)</f>
        <v>5943657</v>
      </c>
      <c r="L41" s="130">
        <f>VALUE(月庫存金額!X5)</f>
        <v>5323568</v>
      </c>
      <c r="M41" s="130">
        <f>VALUE(月庫存金額!Y5)</f>
        <v>5600103</v>
      </c>
      <c r="N41" s="130">
        <f>VALUE(月庫存金額!Z5)</f>
        <v>9867686</v>
      </c>
      <c r="O41" s="130">
        <f>VALUE(月庫存金額!AA5)</f>
        <v>0</v>
      </c>
      <c r="P41" s="130">
        <f>VALUE(月庫存金額!AB5)</f>
        <v>7680543</v>
      </c>
      <c r="Q41" s="121"/>
    </row>
    <row r="42" spans="1:17" ht="13.5">
      <c r="A42" s="126"/>
      <c r="B42" s="127"/>
      <c r="C42" s="128" t="s">
        <v>14</v>
      </c>
      <c r="D42" s="130">
        <f>VALUE(月庫存金額!P6)</f>
        <v>19716020</v>
      </c>
      <c r="E42" s="130">
        <f>VALUE(月庫存金額!Q6)</f>
        <v>17301438</v>
      </c>
      <c r="F42" s="130">
        <f>VALUE(月庫存金額!R6)</f>
        <v>21680892</v>
      </c>
      <c r="G42" s="130">
        <f>VALUE(月庫存金額!S6)</f>
        <v>18557073</v>
      </c>
      <c r="H42" s="130">
        <f>VALUE(月庫存金額!T6)</f>
        <v>20311032</v>
      </c>
      <c r="I42" s="130">
        <f>VALUE(月庫存金額!U6)</f>
        <v>18159338</v>
      </c>
      <c r="J42" s="130">
        <f>VALUE(月庫存金額!V6)</f>
        <v>23062546</v>
      </c>
      <c r="K42" s="130">
        <f>VALUE(月庫存金額!W6)</f>
        <v>19586074</v>
      </c>
      <c r="L42" s="130">
        <f>VALUE(月庫存金額!X6)</f>
        <v>18620927</v>
      </c>
      <c r="M42" s="130">
        <f>VALUE(月庫存金額!Y6)</f>
        <v>20375119</v>
      </c>
      <c r="N42" s="130">
        <f>VALUE(月庫存金額!Z6)</f>
        <v>20590809</v>
      </c>
      <c r="O42" s="130">
        <f>VALUE(月庫存金額!AA6)</f>
        <v>0</v>
      </c>
      <c r="P42" s="130">
        <f>VALUE(月庫存金額!AB6)</f>
        <v>19814661</v>
      </c>
      <c r="Q42" s="121"/>
    </row>
    <row r="43" spans="1:17" ht="13.5">
      <c r="A43" s="126"/>
      <c r="B43" s="127"/>
      <c r="C43" s="128" t="s">
        <v>15</v>
      </c>
      <c r="D43" s="130">
        <f>VALUE(月庫存金額!P7)</f>
        <v>0</v>
      </c>
      <c r="E43" s="130">
        <f>VALUE(月庫存金額!Q7)</f>
        <v>0</v>
      </c>
      <c r="F43" s="130">
        <f>VALUE(月庫存金額!R7)</f>
        <v>0</v>
      </c>
      <c r="G43" s="130">
        <f>VALUE(月庫存金額!S7)</f>
        <v>0</v>
      </c>
      <c r="H43" s="130">
        <f>VALUE(月庫存金額!T7)</f>
        <v>0</v>
      </c>
      <c r="I43" s="130">
        <f>VALUE(月庫存金額!U7)</f>
        <v>0</v>
      </c>
      <c r="J43" s="130">
        <f>VALUE(月庫存金額!V7)</f>
        <v>0</v>
      </c>
      <c r="K43" s="130">
        <f>VALUE(月庫存金額!W7)</f>
        <v>0</v>
      </c>
      <c r="L43" s="130">
        <f>VALUE(月庫存金額!X7)</f>
        <v>0</v>
      </c>
      <c r="M43" s="130">
        <f>VALUE(月庫存金額!Y7)</f>
        <v>0</v>
      </c>
      <c r="N43" s="130">
        <f>VALUE(月庫存金額!Z7)</f>
        <v>0</v>
      </c>
      <c r="O43" s="130">
        <f>VALUE(月庫存金額!AA7)</f>
        <v>0</v>
      </c>
      <c r="P43" s="130">
        <f>VALUE(月庫存金額!AB7)</f>
        <v>0</v>
      </c>
      <c r="Q43" s="121"/>
    </row>
    <row r="44" spans="1:17" ht="13.5">
      <c r="A44" s="126"/>
      <c r="B44" s="132"/>
      <c r="C44" s="128" t="s">
        <v>16</v>
      </c>
      <c r="D44" s="130">
        <f>VALUE(月庫存金額!P8)</f>
        <v>18315866</v>
      </c>
      <c r="E44" s="130">
        <f>VALUE(月庫存金額!Q8)</f>
        <v>19646016</v>
      </c>
      <c r="F44" s="130">
        <f>VALUE(月庫存金額!R8)</f>
        <v>20355369</v>
      </c>
      <c r="G44" s="130">
        <f>VALUE(月庫存金額!S8)</f>
        <v>21858223</v>
      </c>
      <c r="H44" s="130">
        <f>VALUE(月庫存金額!T8)</f>
        <v>20125300</v>
      </c>
      <c r="I44" s="130">
        <f>VALUE(月庫存金額!U8)</f>
        <v>17428840</v>
      </c>
      <c r="J44" s="130">
        <f>VALUE(月庫存金額!V8)</f>
        <v>17093937</v>
      </c>
      <c r="K44" s="130">
        <f>VALUE(月庫存金額!W8)</f>
        <v>16642849</v>
      </c>
      <c r="L44" s="130">
        <f>VALUE(月庫存金額!X8)</f>
        <v>14236850</v>
      </c>
      <c r="M44" s="130">
        <f>VALUE(月庫存金額!Y8)</f>
        <v>16641015</v>
      </c>
      <c r="N44" s="130">
        <f>VALUE(月庫存金額!Z8)</f>
        <v>12188965</v>
      </c>
      <c r="O44" s="130">
        <f>VALUE(月庫存金額!AA8)</f>
        <v>0</v>
      </c>
      <c r="P44" s="130">
        <f>VALUE(月庫存金額!AB8)</f>
        <v>17684839</v>
      </c>
      <c r="Q44" s="121"/>
    </row>
    <row r="45" spans="1:17" ht="13.5">
      <c r="A45" s="126"/>
      <c r="B45" s="760" t="s">
        <v>17</v>
      </c>
      <c r="C45" s="761"/>
      <c r="D45" s="124">
        <f>SUM(D46:D49)</f>
        <v>1510449</v>
      </c>
      <c r="E45" s="124">
        <f>SUM(E46:E49)</f>
        <v>1396594</v>
      </c>
      <c r="F45" s="124">
        <f>SUM(F46:F49)</f>
        <v>2246144</v>
      </c>
      <c r="G45" s="124">
        <f t="shared" ref="G45:P45" si="7">SUM(G46:G49)</f>
        <v>2509339</v>
      </c>
      <c r="H45" s="124">
        <f t="shared" si="7"/>
        <v>4501274</v>
      </c>
      <c r="I45" s="124">
        <f t="shared" si="7"/>
        <v>3100819</v>
      </c>
      <c r="J45" s="124">
        <f t="shared" si="7"/>
        <v>3895065</v>
      </c>
      <c r="K45" s="124">
        <f t="shared" si="7"/>
        <v>4644262</v>
      </c>
      <c r="L45" s="124">
        <f t="shared" si="7"/>
        <v>2685268</v>
      </c>
      <c r="M45" s="124">
        <f t="shared" si="7"/>
        <v>2291748</v>
      </c>
      <c r="N45" s="124">
        <f t="shared" si="7"/>
        <v>1900153</v>
      </c>
      <c r="O45" s="124">
        <f t="shared" si="7"/>
        <v>0</v>
      </c>
      <c r="P45" s="124">
        <f t="shared" si="7"/>
        <v>2789192</v>
      </c>
      <c r="Q45" s="121"/>
    </row>
    <row r="46" spans="1:17" ht="13.5">
      <c r="A46" s="126"/>
      <c r="B46" s="127"/>
      <c r="C46" s="134" t="s">
        <v>18</v>
      </c>
      <c r="D46" s="130">
        <f>VALUE(月庫存金額!P9)</f>
        <v>0</v>
      </c>
      <c r="E46" s="130">
        <f>VALUE(月庫存金額!Q9)</f>
        <v>0</v>
      </c>
      <c r="F46" s="130">
        <f>VALUE(月庫存金額!R9)</f>
        <v>0</v>
      </c>
      <c r="G46" s="130">
        <f>VALUE(月庫存金額!S9)</f>
        <v>0</v>
      </c>
      <c r="H46" s="130">
        <f>VALUE(月庫存金額!T9)</f>
        <v>0</v>
      </c>
      <c r="I46" s="130">
        <f>VALUE(月庫存金額!U9)</f>
        <v>0</v>
      </c>
      <c r="J46" s="130">
        <f>VALUE(月庫存金額!V9)</f>
        <v>0</v>
      </c>
      <c r="K46" s="130">
        <f>VALUE(月庫存金額!W9)</f>
        <v>0</v>
      </c>
      <c r="L46" s="130">
        <f>VALUE(月庫存金額!X9)</f>
        <v>0</v>
      </c>
      <c r="M46" s="130">
        <f>VALUE(月庫存金額!Y9)</f>
        <v>0</v>
      </c>
      <c r="N46" s="130">
        <f>VALUE(月庫存金額!Z9)</f>
        <v>0</v>
      </c>
      <c r="O46" s="130">
        <f>VALUE(月庫存金額!AA9)</f>
        <v>0</v>
      </c>
      <c r="P46" s="130">
        <f>VALUE(月庫存金額!AB9)</f>
        <v>0</v>
      </c>
      <c r="Q46" s="121"/>
    </row>
    <row r="47" spans="1:17" ht="13.5">
      <c r="A47" s="126"/>
      <c r="B47" s="127"/>
      <c r="C47" s="134" t="s">
        <v>19</v>
      </c>
      <c r="D47" s="130">
        <f>VALUE(月庫存金額!P10)</f>
        <v>1153561</v>
      </c>
      <c r="E47" s="130">
        <f>VALUE(月庫存金額!Q10)</f>
        <v>1093026</v>
      </c>
      <c r="F47" s="130">
        <f>VALUE(月庫存金額!R10)</f>
        <v>1830576</v>
      </c>
      <c r="G47" s="130">
        <f>VALUE(月庫存金額!S10)</f>
        <v>2195011</v>
      </c>
      <c r="H47" s="130">
        <f>VALUE(月庫存金額!T10)</f>
        <v>4212366</v>
      </c>
      <c r="I47" s="130">
        <f>VALUE(月庫存金額!U10)</f>
        <v>2831031</v>
      </c>
      <c r="J47" s="130">
        <f>VALUE(月庫存金額!V10)</f>
        <v>3527857</v>
      </c>
      <c r="K47" s="130">
        <f>VALUE(月庫存金額!W10)</f>
        <v>4337244</v>
      </c>
      <c r="L47" s="130">
        <f>VALUE(月庫存金額!X10)</f>
        <v>2408410</v>
      </c>
      <c r="M47" s="130">
        <f>VALUE(月庫存金額!Y10)</f>
        <v>1991910</v>
      </c>
      <c r="N47" s="130">
        <f>VALUE(月庫存金額!Z10)</f>
        <v>1687825</v>
      </c>
      <c r="O47" s="130">
        <f>VALUE(月庫存金額!AA10)</f>
        <v>0</v>
      </c>
      <c r="P47" s="130">
        <f>VALUE(月庫存金額!AB10)</f>
        <v>2478983</v>
      </c>
      <c r="Q47" s="121"/>
    </row>
    <row r="48" spans="1:17" ht="13.5">
      <c r="A48" s="126"/>
      <c r="B48" s="127"/>
      <c r="C48" s="134" t="s">
        <v>266</v>
      </c>
      <c r="D48" s="130">
        <f>VALUE(月庫存金額!P12)</f>
        <v>0</v>
      </c>
      <c r="E48" s="130">
        <f>VALUE(月庫存金額!Q12)</f>
        <v>0</v>
      </c>
      <c r="F48" s="130">
        <f>VALUE(月庫存金額!R12)</f>
        <v>0</v>
      </c>
      <c r="G48" s="130">
        <f>VALUE(月庫存金額!S12)</f>
        <v>0</v>
      </c>
      <c r="H48" s="130">
        <f>VALUE(月庫存金額!T12)</f>
        <v>0</v>
      </c>
      <c r="I48" s="130">
        <f>VALUE(月庫存金額!U12)</f>
        <v>0</v>
      </c>
      <c r="J48" s="130">
        <f>VALUE(月庫存金額!V12)</f>
        <v>0</v>
      </c>
      <c r="K48" s="130">
        <f>VALUE(月庫存金額!W12)</f>
        <v>0</v>
      </c>
      <c r="L48" s="130">
        <f>VALUE(月庫存金額!X12)</f>
        <v>0</v>
      </c>
      <c r="M48" s="130">
        <f>VALUE(月庫存金額!Y12)</f>
        <v>0</v>
      </c>
      <c r="N48" s="130">
        <f>VALUE(月庫存金額!Z12)</f>
        <v>0</v>
      </c>
      <c r="O48" s="130">
        <f>VALUE(月庫存金額!AA12)</f>
        <v>0</v>
      </c>
      <c r="P48" s="130">
        <f>VALUE(月庫存金額!AB12)</f>
        <v>0</v>
      </c>
      <c r="Q48" s="121"/>
    </row>
    <row r="49" spans="1:17" ht="13.5">
      <c r="A49" s="126"/>
      <c r="B49" s="127"/>
      <c r="C49" s="233" t="s">
        <v>20</v>
      </c>
      <c r="D49" s="130">
        <f>VALUE(月庫存金額!P14)</f>
        <v>356888</v>
      </c>
      <c r="E49" s="130">
        <f>VALUE(月庫存金額!Q14)</f>
        <v>303568</v>
      </c>
      <c r="F49" s="130">
        <f>VALUE(月庫存金額!R14)</f>
        <v>415568</v>
      </c>
      <c r="G49" s="130">
        <f>VALUE(月庫存金額!S14)</f>
        <v>314328</v>
      </c>
      <c r="H49" s="130">
        <f>VALUE(月庫存金額!T14)</f>
        <v>288908</v>
      </c>
      <c r="I49" s="130">
        <f>VALUE(月庫存金額!U14)</f>
        <v>269788</v>
      </c>
      <c r="J49" s="130">
        <f>VALUE(月庫存金額!V14)</f>
        <v>367208</v>
      </c>
      <c r="K49" s="130">
        <f>VALUE(月庫存金額!W14)</f>
        <v>307018</v>
      </c>
      <c r="L49" s="130">
        <f>VALUE(月庫存金額!X14)</f>
        <v>276858</v>
      </c>
      <c r="M49" s="130">
        <f>VALUE(月庫存金額!Y14)</f>
        <v>299838</v>
      </c>
      <c r="N49" s="130">
        <f>VALUE(月庫存金額!Z14)</f>
        <v>212328</v>
      </c>
      <c r="O49" s="130">
        <f>VALUE(月庫存金額!AA14)</f>
        <v>0</v>
      </c>
      <c r="P49" s="130">
        <f>VALUE(月庫存金額!AB14)</f>
        <v>310209</v>
      </c>
      <c r="Q49" s="121"/>
    </row>
    <row r="50" spans="1:17" ht="16.5" customHeight="1">
      <c r="A50" s="126"/>
      <c r="B50" s="760" t="s">
        <v>22</v>
      </c>
      <c r="C50" s="761"/>
      <c r="D50" s="124">
        <f>SUM(D51:D57)</f>
        <v>227420423</v>
      </c>
      <c r="E50" s="124">
        <f>SUM(E51:E57)</f>
        <v>221250726</v>
      </c>
      <c r="F50" s="124">
        <f>SUM(F51:F57)</f>
        <v>212167429</v>
      </c>
      <c r="G50" s="124">
        <f t="shared" ref="G50:P50" si="8">SUM(G51:G57)</f>
        <v>216538319</v>
      </c>
      <c r="H50" s="124">
        <f t="shared" si="8"/>
        <v>212809844</v>
      </c>
      <c r="I50" s="124">
        <f t="shared" si="8"/>
        <v>215734731</v>
      </c>
      <c r="J50" s="124">
        <f t="shared" si="8"/>
        <v>221807257</v>
      </c>
      <c r="K50" s="124">
        <f t="shared" si="8"/>
        <v>217610377</v>
      </c>
      <c r="L50" s="124">
        <f t="shared" si="8"/>
        <v>219357853</v>
      </c>
      <c r="M50" s="124">
        <f t="shared" si="8"/>
        <v>219693360</v>
      </c>
      <c r="N50" s="124">
        <f t="shared" si="8"/>
        <v>214897715</v>
      </c>
      <c r="O50" s="124">
        <f t="shared" si="8"/>
        <v>0</v>
      </c>
      <c r="P50" s="124">
        <f t="shared" si="8"/>
        <v>218117093</v>
      </c>
      <c r="Q50" s="121"/>
    </row>
    <row r="51" spans="1:17" ht="13.5">
      <c r="A51" s="126"/>
      <c r="B51" s="127"/>
      <c r="C51" s="128" t="s">
        <v>23</v>
      </c>
      <c r="D51" s="130">
        <f>VALUE(月庫存金額!P3)</f>
        <v>215745402</v>
      </c>
      <c r="E51" s="130">
        <f>VALUE(月庫存金額!Q3)</f>
        <v>209131927</v>
      </c>
      <c r="F51" s="130">
        <f>VALUE(月庫存金額!R3)</f>
        <v>200568221</v>
      </c>
      <c r="G51" s="130">
        <f>VALUE(月庫存金額!S3)</f>
        <v>206201980</v>
      </c>
      <c r="H51" s="130">
        <f>VALUE(月庫存金額!T3)</f>
        <v>201548832</v>
      </c>
      <c r="I51" s="130">
        <f>VALUE(月庫存金額!U3)</f>
        <v>205116020</v>
      </c>
      <c r="J51" s="130">
        <f>VALUE(月庫存金額!V3)</f>
        <v>210389453</v>
      </c>
      <c r="K51" s="130">
        <f>VALUE(月庫存金額!W3)</f>
        <v>207252289</v>
      </c>
      <c r="L51" s="130">
        <f>VALUE(月庫存金額!X3)</f>
        <v>209906729</v>
      </c>
      <c r="M51" s="130">
        <f>VALUE(月庫存金額!Y3)</f>
        <v>207122102</v>
      </c>
      <c r="N51" s="130">
        <f>VALUE(月庫存金額!Z3)</f>
        <v>203514161</v>
      </c>
      <c r="O51" s="130">
        <f>VALUE(月庫存金額!AA3)</f>
        <v>0</v>
      </c>
      <c r="P51" s="130">
        <f>VALUE(月庫存金額!AB3)</f>
        <v>206954283</v>
      </c>
      <c r="Q51" s="121"/>
    </row>
    <row r="52" spans="1:17" ht="13.5">
      <c r="A52" s="126"/>
      <c r="B52" s="127"/>
      <c r="C52" s="134" t="s">
        <v>24</v>
      </c>
      <c r="D52" s="130">
        <f>VALUE(月庫存金額!P13)</f>
        <v>2503602</v>
      </c>
      <c r="E52" s="130">
        <f>VALUE(月庫存金額!Q13)</f>
        <v>2263935</v>
      </c>
      <c r="F52" s="130">
        <f>VALUE(月庫存金額!R13)</f>
        <v>2066460</v>
      </c>
      <c r="G52" s="130">
        <f>VALUE(月庫存金額!S13)</f>
        <v>1695859</v>
      </c>
      <c r="H52" s="130">
        <f>VALUE(月庫存金額!T13)</f>
        <v>2648719</v>
      </c>
      <c r="I52" s="130">
        <f>VALUE(月庫存金額!U13)</f>
        <v>1739655</v>
      </c>
      <c r="J52" s="130">
        <f>VALUE(月庫存金額!V13)</f>
        <v>1333941</v>
      </c>
      <c r="K52" s="130">
        <f>VALUE(月庫存金額!W13)</f>
        <v>1721883</v>
      </c>
      <c r="L52" s="130">
        <f>VALUE(月庫存金額!X13)</f>
        <v>1705812</v>
      </c>
      <c r="M52" s="130">
        <f>VALUE(月庫存金額!Y13)</f>
        <v>2517979</v>
      </c>
      <c r="N52" s="130">
        <f>VALUE(月庫存金額!Z13)</f>
        <v>2029081</v>
      </c>
      <c r="O52" s="130">
        <f>VALUE(月庫存金額!AA13)</f>
        <v>0</v>
      </c>
      <c r="P52" s="130">
        <f>VALUE(月庫存金額!AB13)</f>
        <v>2020630</v>
      </c>
      <c r="Q52" s="121"/>
    </row>
    <row r="53" spans="1:17" ht="13.5">
      <c r="A53" s="126"/>
      <c r="B53" s="127"/>
      <c r="C53" s="134" t="s">
        <v>25</v>
      </c>
      <c r="D53" s="130">
        <f>VALUE(月庫存金額!P21)</f>
        <v>161176</v>
      </c>
      <c r="E53" s="130">
        <f>VALUE(月庫存金額!Q21)</f>
        <v>161176</v>
      </c>
      <c r="F53" s="130">
        <f>VALUE(月庫存金額!R21)</f>
        <v>161176</v>
      </c>
      <c r="G53" s="130">
        <f>VALUE(月庫存金額!S21)</f>
        <v>161176</v>
      </c>
      <c r="H53" s="130">
        <f>VALUE(月庫存金額!T21)</f>
        <v>161176</v>
      </c>
      <c r="I53" s="130">
        <f>VALUE(月庫存金額!U21)</f>
        <v>161176</v>
      </c>
      <c r="J53" s="130">
        <f>VALUE(月庫存金額!V21)</f>
        <v>161176</v>
      </c>
      <c r="K53" s="130">
        <f>VALUE(月庫存金額!W21)</f>
        <v>161176</v>
      </c>
      <c r="L53" s="130">
        <f>VALUE(月庫存金額!X21)</f>
        <v>161176</v>
      </c>
      <c r="M53" s="130">
        <f>VALUE(月庫存金額!Y21)</f>
        <v>161176</v>
      </c>
      <c r="N53" s="130">
        <f>VALUE(月庫存金額!Z21)</f>
        <v>161176</v>
      </c>
      <c r="O53" s="130">
        <f>VALUE(月庫存金額!AA21)</f>
        <v>0</v>
      </c>
      <c r="P53" s="130">
        <f>VALUE(月庫存金額!AB21)</f>
        <v>161176</v>
      </c>
      <c r="Q53" s="121"/>
    </row>
    <row r="54" spans="1:17" ht="13.5">
      <c r="A54" s="126"/>
      <c r="B54" s="127"/>
      <c r="C54" s="134" t="s">
        <v>26</v>
      </c>
      <c r="D54" s="130">
        <f>VALUE(月庫存金額!P20)</f>
        <v>162800</v>
      </c>
      <c r="E54" s="130">
        <f>VALUE(月庫存金額!Q20)</f>
        <v>162800</v>
      </c>
      <c r="F54" s="130">
        <f>VALUE(月庫存金額!R20)</f>
        <v>162800</v>
      </c>
      <c r="G54" s="130">
        <f>VALUE(月庫存金額!S20)</f>
        <v>162800</v>
      </c>
      <c r="H54" s="130">
        <f>VALUE(月庫存金額!T20)</f>
        <v>162800</v>
      </c>
      <c r="I54" s="130">
        <f>VALUE(月庫存金額!U20)</f>
        <v>162800</v>
      </c>
      <c r="J54" s="130">
        <f>VALUE(月庫存金額!V20)</f>
        <v>162800</v>
      </c>
      <c r="K54" s="130">
        <f>VALUE(月庫存金額!W20)</f>
        <v>162800</v>
      </c>
      <c r="L54" s="130">
        <f>VALUE(月庫存金額!X20)</f>
        <v>162800</v>
      </c>
      <c r="M54" s="130">
        <f>VALUE(月庫存金額!Y20)</f>
        <v>162800</v>
      </c>
      <c r="N54" s="130">
        <f>VALUE(月庫存金額!Z20)</f>
        <v>162800</v>
      </c>
      <c r="O54" s="130">
        <f>VALUE(月庫存金額!AA20)</f>
        <v>0</v>
      </c>
      <c r="P54" s="130">
        <f>VALUE(月庫存金額!AB20)</f>
        <v>162800</v>
      </c>
      <c r="Q54" s="121"/>
    </row>
    <row r="55" spans="1:17" ht="13.5">
      <c r="A55" s="126"/>
      <c r="B55" s="127"/>
      <c r="C55" s="134" t="s">
        <v>27</v>
      </c>
      <c r="D55" s="130">
        <f>VALUE(月庫存金額!P19)</f>
        <v>8608438</v>
      </c>
      <c r="E55" s="130">
        <f>VALUE(月庫存金額!Q19)</f>
        <v>9283243</v>
      </c>
      <c r="F55" s="130">
        <f>VALUE(月庫存金額!R19)</f>
        <v>8908680</v>
      </c>
      <c r="G55" s="130">
        <f>VALUE(月庫存金額!S19)</f>
        <v>8046467</v>
      </c>
      <c r="H55" s="130">
        <f>VALUE(月庫存金額!T19)</f>
        <v>8010905</v>
      </c>
      <c r="I55" s="130">
        <f>VALUE(月庫存金額!U19)</f>
        <v>8333463</v>
      </c>
      <c r="J55" s="130">
        <f>VALUE(月庫存金額!V19)</f>
        <v>9465910</v>
      </c>
      <c r="K55" s="130">
        <f>VALUE(月庫存金額!W19)</f>
        <v>8047541</v>
      </c>
      <c r="L55" s="130">
        <f>VALUE(月庫存金額!X19)</f>
        <v>7156648</v>
      </c>
      <c r="M55" s="130">
        <f>VALUE(月庫存金額!Y19)</f>
        <v>9473615</v>
      </c>
      <c r="N55" s="130">
        <f>VALUE(月庫存金額!Z19)</f>
        <v>8808880</v>
      </c>
      <c r="O55" s="130">
        <f>VALUE(月庫存金額!AA19)</f>
        <v>0</v>
      </c>
      <c r="P55" s="130">
        <f>VALUE(月庫存金額!AB19)</f>
        <v>8558526</v>
      </c>
      <c r="Q55" s="121"/>
    </row>
    <row r="56" spans="1:17" ht="13.5">
      <c r="A56" s="126"/>
      <c r="B56" s="127"/>
      <c r="C56" s="134" t="s">
        <v>28</v>
      </c>
      <c r="D56" s="130">
        <f>VALUE(月庫存金額!P11)</f>
        <v>106839</v>
      </c>
      <c r="E56" s="130">
        <f>VALUE(月庫存金額!Q11)</f>
        <v>106839</v>
      </c>
      <c r="F56" s="130">
        <f>VALUE(月庫存金額!R11)</f>
        <v>98014</v>
      </c>
      <c r="G56" s="130">
        <f>VALUE(月庫存金額!S11)</f>
        <v>106839</v>
      </c>
      <c r="H56" s="130">
        <f>VALUE(月庫存金額!T11)</f>
        <v>98014</v>
      </c>
      <c r="I56" s="130">
        <f>VALUE(月庫存金額!U11)</f>
        <v>106839</v>
      </c>
      <c r="J56" s="130">
        <f>VALUE(月庫存金額!V11)</f>
        <v>106839</v>
      </c>
      <c r="K56" s="130">
        <f>VALUE(月庫存金額!W11)</f>
        <v>106839</v>
      </c>
      <c r="L56" s="130">
        <f>VALUE(月庫存金額!X11)</f>
        <v>106839</v>
      </c>
      <c r="M56" s="130">
        <f>VALUE(月庫存金額!Y11)</f>
        <v>106839</v>
      </c>
      <c r="N56" s="130">
        <f>VALUE(月庫存金額!Z11)</f>
        <v>106839</v>
      </c>
      <c r="O56" s="130">
        <f>VALUE(月庫存金額!AA11)</f>
        <v>0</v>
      </c>
      <c r="P56" s="130">
        <f>VALUE(月庫存金額!AB11)</f>
        <v>105234</v>
      </c>
      <c r="Q56" s="121"/>
    </row>
    <row r="57" spans="1:17" ht="13.5">
      <c r="A57" s="126"/>
      <c r="B57" s="127"/>
      <c r="C57" s="138" t="s">
        <v>29</v>
      </c>
      <c r="D57" s="130">
        <f>VALUE(月庫存金額!P22)</f>
        <v>132166</v>
      </c>
      <c r="E57" s="130">
        <f>VALUE(月庫存金額!Q22)</f>
        <v>140806</v>
      </c>
      <c r="F57" s="130">
        <f>VALUE(月庫存金額!R22)</f>
        <v>202078</v>
      </c>
      <c r="G57" s="130">
        <f>VALUE(月庫存金額!S22)</f>
        <v>163198</v>
      </c>
      <c r="H57" s="130">
        <f>VALUE(月庫存金額!T22)</f>
        <v>179398</v>
      </c>
      <c r="I57" s="130">
        <f>VALUE(月庫存金額!U22)</f>
        <v>114778</v>
      </c>
      <c r="J57" s="130">
        <f>VALUE(月庫存金額!V22)</f>
        <v>187138</v>
      </c>
      <c r="K57" s="130">
        <f>VALUE(月庫存金額!W22)</f>
        <v>157849</v>
      </c>
      <c r="L57" s="130">
        <f>VALUE(月庫存金額!X22)</f>
        <v>157849</v>
      </c>
      <c r="M57" s="130">
        <f>VALUE(月庫存金額!Y22)</f>
        <v>148849</v>
      </c>
      <c r="N57" s="130">
        <f>VALUE(月庫存金額!Z22)</f>
        <v>114778</v>
      </c>
      <c r="O57" s="130">
        <f>VALUE(月庫存金額!AA22)</f>
        <v>0</v>
      </c>
      <c r="P57" s="130">
        <f>VALUE(月庫存金額!AB22)</f>
        <v>154444</v>
      </c>
      <c r="Q57" s="121"/>
    </row>
    <row r="58" spans="1:17" ht="14.25" customHeight="1">
      <c r="A58" s="126"/>
      <c r="B58" s="758" t="s">
        <v>30</v>
      </c>
      <c r="C58" s="759"/>
      <c r="D58" s="124">
        <f>SUM(D59:D62)</f>
        <v>16565313</v>
      </c>
      <c r="E58" s="124">
        <f t="shared" ref="E58:P58" si="9">SUM(E59:E62)</f>
        <v>14264585</v>
      </c>
      <c r="F58" s="124">
        <f t="shared" si="9"/>
        <v>17611433</v>
      </c>
      <c r="G58" s="124">
        <f t="shared" si="9"/>
        <v>16997291</v>
      </c>
      <c r="H58" s="124">
        <f t="shared" si="9"/>
        <v>17081985</v>
      </c>
      <c r="I58" s="124">
        <f t="shared" si="9"/>
        <v>13484833</v>
      </c>
      <c r="J58" s="124">
        <f t="shared" si="9"/>
        <v>14025460</v>
      </c>
      <c r="K58" s="124">
        <f t="shared" si="9"/>
        <v>11930008</v>
      </c>
      <c r="L58" s="124">
        <f t="shared" si="9"/>
        <v>9154020</v>
      </c>
      <c r="M58" s="124">
        <f t="shared" si="9"/>
        <v>15513767</v>
      </c>
      <c r="N58" s="124">
        <f t="shared" si="9"/>
        <v>12550189</v>
      </c>
      <c r="O58" s="124">
        <f t="shared" si="9"/>
        <v>0</v>
      </c>
      <c r="P58" s="124">
        <f t="shared" si="9"/>
        <v>14470808</v>
      </c>
      <c r="Q58" s="121"/>
    </row>
    <row r="59" spans="1:17" ht="13.5">
      <c r="A59" s="126"/>
      <c r="B59" s="127"/>
      <c r="C59" s="233" t="s">
        <v>267</v>
      </c>
      <c r="D59" s="130">
        <f>VALUE(月庫存金額!P23)</f>
        <v>0</v>
      </c>
      <c r="E59" s="130">
        <f>VALUE(月庫存金額!Q23)</f>
        <v>0</v>
      </c>
      <c r="F59" s="130">
        <f>VALUE(月庫存金額!R23)</f>
        <v>0</v>
      </c>
      <c r="G59" s="130">
        <f>VALUE(月庫存金額!S23)</f>
        <v>0</v>
      </c>
      <c r="H59" s="130">
        <f>VALUE(月庫存金額!T23)</f>
        <v>0</v>
      </c>
      <c r="I59" s="130">
        <f>VALUE(月庫存金額!U23)</f>
        <v>0</v>
      </c>
      <c r="J59" s="130">
        <f>VALUE(月庫存金額!V23)</f>
        <v>0</v>
      </c>
      <c r="K59" s="130">
        <f>VALUE(月庫存金額!W23)</f>
        <v>0</v>
      </c>
      <c r="L59" s="130">
        <f>VALUE(月庫存金額!X23)</f>
        <v>0</v>
      </c>
      <c r="M59" s="130">
        <f>VALUE(月庫存金額!Y23)</f>
        <v>0</v>
      </c>
      <c r="N59" s="130">
        <f>VALUE(月庫存金額!Z23)</f>
        <v>0</v>
      </c>
      <c r="O59" s="130">
        <f>VALUE(月庫存金額!AA23)</f>
        <v>0</v>
      </c>
      <c r="P59" s="130">
        <f>VALUE(月庫存金額!AB23)</f>
        <v>0</v>
      </c>
      <c r="Q59" s="121"/>
    </row>
    <row r="60" spans="1:17" ht="13.5">
      <c r="A60" s="126"/>
      <c r="B60" s="127"/>
      <c r="C60" s="134" t="s">
        <v>268</v>
      </c>
      <c r="D60" s="130">
        <f>VALUE(月庫存金額!P24)</f>
        <v>0</v>
      </c>
      <c r="E60" s="130">
        <f>VALUE(月庫存金額!Q24)</f>
        <v>0</v>
      </c>
      <c r="F60" s="130">
        <f>VALUE(月庫存金額!R24)</f>
        <v>0</v>
      </c>
      <c r="G60" s="130">
        <f>VALUE(月庫存金額!S24)</f>
        <v>0</v>
      </c>
      <c r="H60" s="130">
        <f>VALUE(月庫存金額!T24)</f>
        <v>0</v>
      </c>
      <c r="I60" s="130">
        <f>VALUE(月庫存金額!U24)</f>
        <v>0</v>
      </c>
      <c r="J60" s="130">
        <f>VALUE(月庫存金額!V24)</f>
        <v>0</v>
      </c>
      <c r="K60" s="130">
        <f>VALUE(月庫存金額!W24)</f>
        <v>0</v>
      </c>
      <c r="L60" s="130">
        <f>VALUE(月庫存金額!X24)</f>
        <v>0</v>
      </c>
      <c r="M60" s="130">
        <f>VALUE(月庫存金額!Y24)</f>
        <v>0</v>
      </c>
      <c r="N60" s="130">
        <f>VALUE(月庫存金額!Z24)</f>
        <v>0</v>
      </c>
      <c r="O60" s="130">
        <f>VALUE(月庫存金額!AA24)</f>
        <v>0</v>
      </c>
      <c r="P60" s="130">
        <f>VALUE(月庫存金額!AB24)</f>
        <v>0</v>
      </c>
      <c r="Q60" s="121"/>
    </row>
    <row r="61" spans="1:17" ht="13.5">
      <c r="A61" s="126"/>
      <c r="B61" s="127"/>
      <c r="C61" s="134" t="s">
        <v>269</v>
      </c>
      <c r="D61" s="130">
        <f>VALUE(月庫存金額!P25)</f>
        <v>10106785</v>
      </c>
      <c r="E61" s="130">
        <f>VALUE(月庫存金額!Q25)</f>
        <v>8151178</v>
      </c>
      <c r="F61" s="130">
        <f>VALUE(月庫存金額!R25)</f>
        <v>10643731</v>
      </c>
      <c r="G61" s="130">
        <f>VALUE(月庫存金額!S25)</f>
        <v>10967729</v>
      </c>
      <c r="H61" s="130">
        <f>VALUE(月庫存金額!T25)</f>
        <v>10090440</v>
      </c>
      <c r="I61" s="130">
        <f>VALUE(月庫存金額!U25)</f>
        <v>9595298</v>
      </c>
      <c r="J61" s="130">
        <f>VALUE(月庫存金額!V25)</f>
        <v>10870131</v>
      </c>
      <c r="K61" s="130">
        <f>VALUE(月庫存金額!W25)</f>
        <v>9930428</v>
      </c>
      <c r="L61" s="130">
        <f>VALUE(月庫存金額!X25)</f>
        <v>6710340</v>
      </c>
      <c r="M61" s="130">
        <f>VALUE(月庫存金額!Y25)</f>
        <v>12962574</v>
      </c>
      <c r="N61" s="130">
        <f>VALUE(月庫存金額!Z25)</f>
        <v>9890075</v>
      </c>
      <c r="O61" s="130">
        <f>VALUE(月庫存金額!AA25)</f>
        <v>0</v>
      </c>
      <c r="P61" s="130">
        <f>VALUE(月庫存金額!AB25)</f>
        <v>9992610</v>
      </c>
      <c r="Q61" s="121"/>
    </row>
    <row r="62" spans="1:17" ht="13.5">
      <c r="A62" s="126"/>
      <c r="B62" s="132"/>
      <c r="C62" s="134" t="s">
        <v>270</v>
      </c>
      <c r="D62" s="130">
        <f>VALUE(月庫存金額!P26)</f>
        <v>6458528</v>
      </c>
      <c r="E62" s="130">
        <f>VALUE(月庫存金額!Q26)</f>
        <v>6113407</v>
      </c>
      <c r="F62" s="130">
        <f>VALUE(月庫存金額!R26)</f>
        <v>6967702</v>
      </c>
      <c r="G62" s="130">
        <f>VALUE(月庫存金額!S26)</f>
        <v>6029562</v>
      </c>
      <c r="H62" s="130">
        <f>VALUE(月庫存金額!T26)</f>
        <v>6991545</v>
      </c>
      <c r="I62" s="130">
        <f>VALUE(月庫存金額!U26)</f>
        <v>3889535</v>
      </c>
      <c r="J62" s="130">
        <f>VALUE(月庫存金額!V26)</f>
        <v>3155329</v>
      </c>
      <c r="K62" s="130">
        <f>VALUE(月庫存金額!W26)</f>
        <v>1999580</v>
      </c>
      <c r="L62" s="130">
        <f>VALUE(月庫存金額!X26)</f>
        <v>2443680</v>
      </c>
      <c r="M62" s="130">
        <f>VALUE(月庫存金額!Y26)</f>
        <v>2551193</v>
      </c>
      <c r="N62" s="130">
        <f>VALUE(月庫存金額!Z26)</f>
        <v>2660114</v>
      </c>
      <c r="O62" s="130">
        <f>VALUE(月庫存金額!AA26)</f>
        <v>0</v>
      </c>
      <c r="P62" s="130">
        <f>VALUE(月庫存金額!AB26)</f>
        <v>4478198</v>
      </c>
      <c r="Q62" s="121"/>
    </row>
    <row r="63" spans="1:17" ht="13.5">
      <c r="A63" s="762" t="s">
        <v>36</v>
      </c>
      <c r="B63" s="763"/>
      <c r="C63" s="139" t="s">
        <v>37</v>
      </c>
      <c r="D63" s="140">
        <f>VALUE(月庫存金額!P15)</f>
        <v>1617673</v>
      </c>
      <c r="E63" s="140">
        <f>VALUE(月庫存金額!Q15)</f>
        <v>1620429</v>
      </c>
      <c r="F63" s="140">
        <f>VALUE(月庫存金額!R15)</f>
        <v>1625428</v>
      </c>
      <c r="G63" s="140">
        <f>VALUE(月庫存金額!S15)</f>
        <v>1625428</v>
      </c>
      <c r="H63" s="140">
        <f>VALUE(月庫存金額!T15)</f>
        <v>1617673</v>
      </c>
      <c r="I63" s="140">
        <f>VALUE(月庫存金額!U15)</f>
        <v>15398392</v>
      </c>
      <c r="J63" s="140">
        <f>VALUE(月庫存金額!V15)</f>
        <v>9419954</v>
      </c>
      <c r="K63" s="140">
        <f>VALUE(月庫存金額!W15)</f>
        <v>7518594</v>
      </c>
      <c r="L63" s="140">
        <f>VALUE(月庫存金額!X15)</f>
        <v>6123983</v>
      </c>
      <c r="M63" s="140">
        <f>VALUE(月庫存金額!Y15)</f>
        <v>4909457</v>
      </c>
      <c r="N63" s="140">
        <f>VALUE(月庫存金額!Z15)</f>
        <v>3523222</v>
      </c>
      <c r="O63" s="140">
        <f>VALUE(月庫存金額!AA15)</f>
        <v>0</v>
      </c>
      <c r="P63" s="140">
        <f>VALUE(月庫存金額!AB15)</f>
        <v>5000021</v>
      </c>
      <c r="Q63" s="121"/>
    </row>
    <row r="64" spans="1:17" ht="14.25" customHeight="1">
      <c r="A64" s="764"/>
      <c r="B64" s="765"/>
      <c r="C64" s="139" t="s">
        <v>38</v>
      </c>
      <c r="D64" s="140">
        <f>VALUE(月庫存金額!P16)</f>
        <v>0</v>
      </c>
      <c r="E64" s="140">
        <f>VALUE(月庫存金額!Q16)</f>
        <v>0</v>
      </c>
      <c r="F64" s="140">
        <f>VALUE(月庫存金額!R16)</f>
        <v>0</v>
      </c>
      <c r="G64" s="140">
        <f>VALUE(月庫存金額!S16)</f>
        <v>0</v>
      </c>
      <c r="H64" s="140">
        <f>VALUE(月庫存金額!T16)</f>
        <v>0</v>
      </c>
      <c r="I64" s="140">
        <f>VALUE(月庫存金額!U16)</f>
        <v>0</v>
      </c>
      <c r="J64" s="140">
        <f>VALUE(月庫存金額!V16)</f>
        <v>0</v>
      </c>
      <c r="K64" s="140">
        <f>VALUE(月庫存金額!W16)</f>
        <v>0</v>
      </c>
      <c r="L64" s="140">
        <f>VALUE(月庫存金額!X16)</f>
        <v>0</v>
      </c>
      <c r="M64" s="140">
        <f>VALUE(月庫存金額!Y16)</f>
        <v>0</v>
      </c>
      <c r="N64" s="140">
        <f>VALUE(月庫存金額!Z16)</f>
        <v>0</v>
      </c>
      <c r="O64" s="140">
        <f>VALUE(月庫存金額!AA16)</f>
        <v>0</v>
      </c>
      <c r="P64" s="140">
        <f>VALUE(月庫存金額!AB16)</f>
        <v>0</v>
      </c>
      <c r="Q64" s="121"/>
    </row>
    <row r="65" spans="1:17" ht="14.25" customHeight="1">
      <c r="A65" s="764"/>
      <c r="B65" s="765"/>
      <c r="C65" s="239" t="s">
        <v>39</v>
      </c>
      <c r="D65" s="143">
        <f>VALUE(月庫存金額!P17)</f>
        <v>7043784</v>
      </c>
      <c r="E65" s="143">
        <f>VALUE(月庫存金額!Q17)</f>
        <v>9844788</v>
      </c>
      <c r="F65" s="143">
        <f>VALUE(月庫存金額!R17)</f>
        <v>6936000</v>
      </c>
      <c r="G65" s="143">
        <f>VALUE(月庫存金額!S17)</f>
        <v>10480425</v>
      </c>
      <c r="H65" s="143">
        <f>VALUE(月庫存金額!T17)</f>
        <v>6099202</v>
      </c>
      <c r="I65" s="143">
        <f>VALUE(月庫存金額!U17)</f>
        <v>8408873</v>
      </c>
      <c r="J65" s="143">
        <f>VALUE(月庫存金額!V17)</f>
        <v>6694936</v>
      </c>
      <c r="K65" s="143">
        <f>VALUE(月庫存金額!W17)</f>
        <v>8921404</v>
      </c>
      <c r="L65" s="143">
        <f>VALUE(月庫存金額!X17)</f>
        <v>8857867</v>
      </c>
      <c r="M65" s="143">
        <f>VALUE(月庫存金額!Y17)</f>
        <v>9356675</v>
      </c>
      <c r="N65" s="143">
        <f>VALUE(月庫存金額!Z17)</f>
        <v>6381701</v>
      </c>
      <c r="O65" s="143">
        <f>VALUE(月庫存金額!AA17)</f>
        <v>0</v>
      </c>
      <c r="P65" s="143">
        <f>VALUE(月庫存金額!AB17)</f>
        <v>8093241</v>
      </c>
      <c r="Q65" s="121"/>
    </row>
    <row r="66" spans="1:17" ht="14.1" thickBot="1">
      <c r="A66" s="766"/>
      <c r="B66" s="767"/>
      <c r="C66" s="146" t="s">
        <v>40</v>
      </c>
      <c r="D66" s="147">
        <f>VALUE(月庫存金額!P18)</f>
        <v>11455375</v>
      </c>
      <c r="E66" s="147">
        <f>VALUE(月庫存金額!Q18)</f>
        <v>10525971</v>
      </c>
      <c r="F66" s="147">
        <f>VALUE(月庫存金額!R18)</f>
        <v>12833619</v>
      </c>
      <c r="G66" s="147">
        <f>VALUE(月庫存金額!S18)</f>
        <v>12005213</v>
      </c>
      <c r="H66" s="147">
        <f>VALUE(月庫存金額!T18)</f>
        <v>13021816</v>
      </c>
      <c r="I66" s="147">
        <f>VALUE(月庫存金額!U18)</f>
        <v>12045912</v>
      </c>
      <c r="J66" s="147">
        <f>VALUE(月庫存金額!V18)</f>
        <v>12049234</v>
      </c>
      <c r="K66" s="147">
        <f>VALUE(月庫存金額!W18)</f>
        <v>12512149</v>
      </c>
      <c r="L66" s="147">
        <f>VALUE(月庫存金額!X18)</f>
        <v>11724433</v>
      </c>
      <c r="M66" s="147">
        <f>VALUE(月庫存金額!Y18)</f>
        <v>11370695</v>
      </c>
      <c r="N66" s="147">
        <f>VALUE(月庫存金額!Z18)</f>
        <v>12432559</v>
      </c>
      <c r="O66" s="147">
        <f>VALUE(月庫存金額!AA18)</f>
        <v>0</v>
      </c>
      <c r="P66" s="147">
        <f>VALUE(月庫存金額!AB18)</f>
        <v>11997907</v>
      </c>
      <c r="Q66" s="121"/>
    </row>
    <row r="67" spans="1:17" ht="13.5">
      <c r="A67" s="336"/>
      <c r="B67" s="336"/>
      <c r="C67" s="159">
        <v>6</v>
      </c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7">
        <f>VALUE(月庫存金額!AB27)</f>
        <v>0</v>
      </c>
      <c r="Q67" s="121"/>
    </row>
    <row r="68" spans="1:17" ht="13.5">
      <c r="A68" s="151"/>
      <c r="B68" s="158"/>
      <c r="C68" s="159">
        <v>7</v>
      </c>
      <c r="P68" s="338">
        <f>VALUE(月庫存金額!AB28)</f>
        <v>0</v>
      </c>
    </row>
    <row r="69" spans="1:17" ht="14.1" hidden="1" thickBot="1">
      <c r="A69" s="112" t="s">
        <v>272</v>
      </c>
      <c r="B69" s="112"/>
      <c r="C69" s="112"/>
      <c r="Q69" s="121"/>
    </row>
    <row r="70" spans="1:17" ht="13.5" hidden="1">
      <c r="A70" s="729" t="s">
        <v>1</v>
      </c>
      <c r="B70" s="730"/>
      <c r="C70" s="730"/>
      <c r="D70" s="116" t="s">
        <v>252</v>
      </c>
      <c r="E70" s="116" t="s">
        <v>253</v>
      </c>
      <c r="F70" s="116" t="s">
        <v>254</v>
      </c>
      <c r="G70" s="116" t="s">
        <v>255</v>
      </c>
      <c r="H70" s="116" t="s">
        <v>256</v>
      </c>
      <c r="I70" s="116" t="s">
        <v>257</v>
      </c>
      <c r="J70" s="116" t="s">
        <v>258</v>
      </c>
      <c r="K70" s="116" t="s">
        <v>259</v>
      </c>
      <c r="L70" s="116" t="s">
        <v>260</v>
      </c>
      <c r="M70" s="116" t="s">
        <v>261</v>
      </c>
      <c r="N70" s="116" t="s">
        <v>262</v>
      </c>
      <c r="O70" s="116" t="s">
        <v>263</v>
      </c>
      <c r="P70" s="117" t="s">
        <v>264</v>
      </c>
      <c r="Q70" s="121"/>
    </row>
    <row r="71" spans="1:17" s="122" customFormat="1" ht="13.5" hidden="1">
      <c r="A71" s="755" t="s">
        <v>9</v>
      </c>
      <c r="B71" s="756"/>
      <c r="C71" s="757"/>
      <c r="D71" s="160">
        <v>1.1838273935454371</v>
      </c>
      <c r="E71" s="160">
        <v>1.2354699565594323</v>
      </c>
      <c r="F71" s="160">
        <v>1.2360623749819755</v>
      </c>
      <c r="G71" s="160">
        <v>1.2517313098190632</v>
      </c>
      <c r="H71" s="160">
        <v>1.1993542717644554</v>
      </c>
      <c r="I71" s="160">
        <v>1.1957509275266929</v>
      </c>
      <c r="J71" s="160">
        <v>1.1398172133068236</v>
      </c>
      <c r="K71" s="160">
        <v>1.1090987468518156</v>
      </c>
      <c r="L71" s="160"/>
      <c r="M71" s="160"/>
      <c r="N71" s="160"/>
      <c r="O71" s="161"/>
      <c r="P71" s="162">
        <f t="shared" ref="P71:P78" si="10">AVERAGE(D71:O71)</f>
        <v>1.1938890242944618</v>
      </c>
      <c r="Q71" s="121"/>
    </row>
    <row r="72" spans="1:17" ht="13.5" hidden="1">
      <c r="A72" s="123"/>
      <c r="B72" s="758" t="s">
        <v>10</v>
      </c>
      <c r="C72" s="759"/>
      <c r="D72" s="163">
        <v>1.1534793270350965</v>
      </c>
      <c r="E72" s="163">
        <v>1.2063733803172607</v>
      </c>
      <c r="F72" s="163">
        <v>1.2085632876215895</v>
      </c>
      <c r="G72" s="163">
        <v>1.2285185530133773</v>
      </c>
      <c r="H72" s="163">
        <v>1.1842345776437535</v>
      </c>
      <c r="I72" s="163">
        <v>1.1880373837198381</v>
      </c>
      <c r="J72" s="163">
        <v>1.130463908856522</v>
      </c>
      <c r="K72" s="163">
        <v>1.1012417014960882</v>
      </c>
      <c r="L72" s="163"/>
      <c r="M72" s="163"/>
      <c r="N72" s="163"/>
      <c r="O72" s="164"/>
      <c r="P72" s="165">
        <f t="shared" si="10"/>
        <v>1.1751140149629407</v>
      </c>
      <c r="Q72" s="121"/>
    </row>
    <row r="73" spans="1:17" ht="13.5" hidden="1">
      <c r="A73" s="126"/>
      <c r="B73" s="127"/>
      <c r="C73" s="128" t="s">
        <v>11</v>
      </c>
      <c r="D73" s="166">
        <v>1.4068455661673427</v>
      </c>
      <c r="E73" s="166">
        <v>1.5298504301093909</v>
      </c>
      <c r="F73" s="166">
        <v>1.5164232353018425</v>
      </c>
      <c r="G73" s="166">
        <v>1.4947546076571967</v>
      </c>
      <c r="H73" s="166">
        <v>1.4991090173721713</v>
      </c>
      <c r="I73" s="166">
        <v>1.4892278497341052</v>
      </c>
      <c r="J73" s="166">
        <v>1.4333359188485393</v>
      </c>
      <c r="K73" s="166">
        <v>1.434461106167249</v>
      </c>
      <c r="L73" s="166"/>
      <c r="M73" s="166"/>
      <c r="N73" s="166"/>
      <c r="O73" s="167"/>
      <c r="P73" s="168">
        <f t="shared" si="10"/>
        <v>1.4755009664197298</v>
      </c>
      <c r="Q73" s="121"/>
    </row>
    <row r="74" spans="1:17" ht="13.5" hidden="1">
      <c r="A74" s="126"/>
      <c r="B74" s="127"/>
      <c r="C74" s="128" t="s">
        <v>12</v>
      </c>
      <c r="D74" s="166">
        <v>0.29281279730442555</v>
      </c>
      <c r="E74" s="166">
        <v>0.27708998087350395</v>
      </c>
      <c r="F74" s="166">
        <v>0.29935969737571427</v>
      </c>
      <c r="G74" s="166">
        <v>0.37769318756816167</v>
      </c>
      <c r="H74" s="166">
        <v>0.38769957836513863</v>
      </c>
      <c r="I74" s="166">
        <v>0.35893835372923688</v>
      </c>
      <c r="J74" s="166">
        <v>0.27436932801299568</v>
      </c>
      <c r="K74" s="166">
        <v>0.29420547890946697</v>
      </c>
      <c r="L74" s="166"/>
      <c r="M74" s="166"/>
      <c r="N74" s="166"/>
      <c r="O74" s="167"/>
      <c r="P74" s="168">
        <f t="shared" si="10"/>
        <v>0.32027105026733044</v>
      </c>
      <c r="Q74" s="121"/>
    </row>
    <row r="75" spans="1:17" ht="13.5" hidden="1">
      <c r="A75" s="126"/>
      <c r="B75" s="127"/>
      <c r="C75" s="128" t="s">
        <v>13</v>
      </c>
      <c r="D75" s="166">
        <v>1.0774899997920866</v>
      </c>
      <c r="E75" s="166">
        <v>1.3329143349151826</v>
      </c>
      <c r="F75" s="166">
        <v>1.3639279133796243</v>
      </c>
      <c r="G75" s="166">
        <v>1.1566890982240636</v>
      </c>
      <c r="H75" s="166">
        <v>0.89821526215143432</v>
      </c>
      <c r="I75" s="166">
        <v>1.1027928340964017</v>
      </c>
      <c r="J75" s="166">
        <v>0.84690336361772622</v>
      </c>
      <c r="K75" s="166">
        <v>0.70226054542378513</v>
      </c>
      <c r="L75" s="166"/>
      <c r="M75" s="166"/>
      <c r="N75" s="166"/>
      <c r="O75" s="167"/>
      <c r="P75" s="168">
        <f t="shared" si="10"/>
        <v>1.060149168950038</v>
      </c>
      <c r="Q75" s="121"/>
    </row>
    <row r="76" spans="1:17" ht="13.5" hidden="1">
      <c r="A76" s="126"/>
      <c r="B76" s="127"/>
      <c r="C76" s="128" t="s">
        <v>14</v>
      </c>
      <c r="D76" s="166">
        <v>0.40229434810348008</v>
      </c>
      <c r="E76" s="166">
        <v>0.43291226054246185</v>
      </c>
      <c r="F76" s="166">
        <v>0.44892689556170601</v>
      </c>
      <c r="G76" s="166">
        <v>0.40153375672625297</v>
      </c>
      <c r="H76" s="166">
        <v>0.39631957819945551</v>
      </c>
      <c r="I76" s="166">
        <v>0.41331518762719072</v>
      </c>
      <c r="J76" s="166">
        <v>0.36789811625024244</v>
      </c>
      <c r="K76" s="166">
        <v>0.35399508552809383</v>
      </c>
      <c r="L76" s="166"/>
      <c r="M76" s="166"/>
      <c r="N76" s="166"/>
      <c r="O76" s="167"/>
      <c r="P76" s="168">
        <f t="shared" si="10"/>
        <v>0.4021494035673604</v>
      </c>
      <c r="Q76" s="121"/>
    </row>
    <row r="77" spans="1:17" ht="13.5" hidden="1">
      <c r="A77" s="126"/>
      <c r="B77" s="127"/>
      <c r="C77" s="128" t="s">
        <v>15</v>
      </c>
      <c r="D77" s="166">
        <v>2.8402283298632574</v>
      </c>
      <c r="E77" s="166">
        <v>2.8945669030824752</v>
      </c>
      <c r="F77" s="166">
        <v>2.8438114995367902</v>
      </c>
      <c r="G77" s="166">
        <v>2.9429561281355623</v>
      </c>
      <c r="H77" s="166">
        <v>2.9126659783059901</v>
      </c>
      <c r="I77" s="166">
        <v>3.0087206621686642</v>
      </c>
      <c r="J77" s="166">
        <v>2.9498684367838268</v>
      </c>
      <c r="K77" s="166">
        <v>2.6832385699703107</v>
      </c>
      <c r="L77" s="166"/>
      <c r="M77" s="166"/>
      <c r="N77" s="166"/>
      <c r="O77" s="167"/>
      <c r="P77" s="168">
        <f t="shared" si="10"/>
        <v>2.8845070634808598</v>
      </c>
      <c r="Q77" s="121"/>
    </row>
    <row r="78" spans="1:17" ht="13.5" hidden="1">
      <c r="A78" s="126"/>
      <c r="B78" s="132"/>
      <c r="C78" s="128" t="s">
        <v>16</v>
      </c>
      <c r="D78" s="166">
        <v>0.1681052370704719</v>
      </c>
      <c r="E78" s="166">
        <v>0.16679034558095668</v>
      </c>
      <c r="F78" s="166">
        <v>0.14849058327406878</v>
      </c>
      <c r="G78" s="166">
        <v>0.17054305795792676</v>
      </c>
      <c r="H78" s="166">
        <v>0.16107062862013727</v>
      </c>
      <c r="I78" s="166">
        <v>0.1586154806042169</v>
      </c>
      <c r="J78" s="166">
        <v>0.16052361346379429</v>
      </c>
      <c r="K78" s="166">
        <v>0.14750703981763524</v>
      </c>
      <c r="L78" s="166"/>
      <c r="M78" s="166"/>
      <c r="N78" s="166"/>
      <c r="O78" s="167"/>
      <c r="P78" s="168">
        <f t="shared" si="10"/>
        <v>0.16020574829865097</v>
      </c>
      <c r="Q78" s="121"/>
    </row>
    <row r="79" spans="1:17" ht="14.1" hidden="1" thickBot="1">
      <c r="A79" s="126"/>
      <c r="B79" s="760" t="s">
        <v>17</v>
      </c>
      <c r="C79" s="768"/>
      <c r="D79" s="170">
        <v>3.2089682924976821</v>
      </c>
      <c r="E79" s="170">
        <v>2.9726598910987869</v>
      </c>
      <c r="F79" s="170">
        <v>2.9124529688368312</v>
      </c>
      <c r="G79" s="170">
        <v>2.4994528970586645</v>
      </c>
      <c r="H79" s="170">
        <v>1.9773008319151548</v>
      </c>
      <c r="I79" s="170">
        <v>1.4951908480809533</v>
      </c>
      <c r="J79" s="170">
        <v>1.4917262754572704</v>
      </c>
      <c r="K79" s="170">
        <v>1.378616394286017</v>
      </c>
      <c r="L79" s="170"/>
      <c r="M79" s="170"/>
      <c r="N79" s="170"/>
      <c r="O79" s="171"/>
      <c r="P79" s="172">
        <f>AVERAGE(D79:O79)</f>
        <v>2.2420460499039199</v>
      </c>
      <c r="Q79" s="121"/>
    </row>
    <row r="80" spans="1:17" ht="13.5" hidden="1">
      <c r="A80" s="126"/>
      <c r="B80" s="254"/>
      <c r="C80" s="173" t="s">
        <v>18</v>
      </c>
      <c r="D80" s="174">
        <v>3.6451916874216694</v>
      </c>
      <c r="E80" s="174">
        <v>2.6834410932740367</v>
      </c>
      <c r="F80" s="174">
        <v>2.6256599477081157</v>
      </c>
      <c r="G80" s="174">
        <v>1.9743939195273066</v>
      </c>
      <c r="H80" s="174">
        <v>1.5486185391562872</v>
      </c>
      <c r="I80" s="174">
        <v>0.63280078217946767</v>
      </c>
      <c r="J80" s="174">
        <v>0.60036342137195187</v>
      </c>
      <c r="K80" s="174">
        <v>0.41605526139513083</v>
      </c>
      <c r="L80" s="174"/>
      <c r="M80" s="174"/>
      <c r="N80" s="174"/>
      <c r="O80" s="175"/>
      <c r="P80" s="176">
        <f>AVERAGE(D80:O80)</f>
        <v>1.7658155815042458</v>
      </c>
      <c r="Q80" s="121"/>
    </row>
    <row r="81" spans="1:17" ht="13.5" hidden="1">
      <c r="A81" s="126"/>
      <c r="B81" s="127"/>
      <c r="C81" s="134" t="s">
        <v>19</v>
      </c>
      <c r="D81" s="177">
        <v>2.7267031152687009</v>
      </c>
      <c r="E81" s="166">
        <v>2.5578239395425335</v>
      </c>
      <c r="F81" s="166">
        <v>2.4695420657548182</v>
      </c>
      <c r="G81" s="166">
        <v>2.1347482679076548</v>
      </c>
      <c r="H81" s="166">
        <v>1.8215930054955334</v>
      </c>
      <c r="I81" s="166">
        <v>1.6277310282537929</v>
      </c>
      <c r="J81" s="166">
        <v>1.6991368325582623</v>
      </c>
      <c r="K81" s="166">
        <v>1.7318268893328328</v>
      </c>
      <c r="L81" s="166"/>
      <c r="M81" s="166"/>
      <c r="N81" s="166"/>
      <c r="O81" s="167"/>
      <c r="P81" s="178">
        <f>AVERAGE(D81:O81)</f>
        <v>2.096138143014266</v>
      </c>
    </row>
    <row r="82" spans="1:17" ht="13.5" hidden="1">
      <c r="A82" s="126"/>
      <c r="B82" s="127"/>
      <c r="C82" s="134" t="s">
        <v>266</v>
      </c>
      <c r="D82" s="177"/>
      <c r="E82" s="166"/>
      <c r="F82" s="166"/>
      <c r="G82" s="166"/>
      <c r="H82" s="166"/>
      <c r="I82" s="166"/>
      <c r="J82" s="166"/>
      <c r="K82" s="166"/>
      <c r="L82" s="166"/>
      <c r="M82" s="166"/>
      <c r="N82" s="167"/>
      <c r="O82" s="167"/>
      <c r="P82" s="178"/>
    </row>
    <row r="83" spans="1:17" ht="13.5" hidden="1">
      <c r="A83" s="126"/>
      <c r="B83" s="127"/>
      <c r="C83" s="255" t="s">
        <v>20</v>
      </c>
      <c r="D83" s="166">
        <v>0.47121829704124207</v>
      </c>
      <c r="E83" s="166">
        <v>0.71202744481149605</v>
      </c>
      <c r="F83" s="166">
        <v>0.63540306361978682</v>
      </c>
      <c r="G83" s="166">
        <v>0.30103094417244364</v>
      </c>
      <c r="H83" s="166">
        <v>0.57812335396196435</v>
      </c>
      <c r="I83" s="166">
        <v>0.42006024955735871</v>
      </c>
      <c r="J83" s="166">
        <v>0.40068714000513855</v>
      </c>
      <c r="K83" s="166">
        <v>0.47356865511514779</v>
      </c>
      <c r="L83" s="166"/>
      <c r="M83" s="166"/>
      <c r="N83" s="166"/>
      <c r="O83" s="167"/>
      <c r="P83" s="168">
        <f t="shared" ref="P83:P95" si="11">AVERAGE(D83:O83)</f>
        <v>0.49901489353557227</v>
      </c>
      <c r="Q83" s="154"/>
    </row>
    <row r="84" spans="1:17" ht="14.25" hidden="1" customHeight="1">
      <c r="A84" s="126"/>
      <c r="B84" s="758" t="s">
        <v>22</v>
      </c>
      <c r="C84" s="759"/>
      <c r="D84" s="163"/>
      <c r="E84" s="163"/>
      <c r="F84" s="163"/>
      <c r="G84" s="163"/>
      <c r="H84" s="163"/>
      <c r="I84" s="163"/>
      <c r="J84" s="163"/>
      <c r="K84" s="163"/>
      <c r="L84" s="163"/>
      <c r="M84" s="163"/>
      <c r="N84" s="164"/>
      <c r="O84" s="164"/>
      <c r="P84" s="165" t="e">
        <f t="shared" si="11"/>
        <v>#DIV/0!</v>
      </c>
      <c r="Q84" s="154"/>
    </row>
    <row r="85" spans="1:17" ht="13.5" hidden="1">
      <c r="A85" s="126"/>
      <c r="B85" s="127"/>
      <c r="C85" s="134" t="s">
        <v>23</v>
      </c>
      <c r="D85" s="166">
        <v>2.7648818774964394</v>
      </c>
      <c r="E85" s="166">
        <v>2.7596857021078183</v>
      </c>
      <c r="F85" s="166">
        <v>2.7134296417436321</v>
      </c>
      <c r="G85" s="166">
        <v>2.8274746062173985</v>
      </c>
      <c r="H85" s="166">
        <v>2.4803304060719098</v>
      </c>
      <c r="I85" s="166">
        <v>2.5041985699944189</v>
      </c>
      <c r="J85" s="166">
        <v>2.5386265954100145</v>
      </c>
      <c r="K85" s="166">
        <v>2.4471848938083083</v>
      </c>
      <c r="L85" s="166"/>
      <c r="M85" s="166"/>
      <c r="N85" s="166"/>
      <c r="O85" s="167"/>
      <c r="P85" s="168">
        <f t="shared" si="11"/>
        <v>2.6294765366062425</v>
      </c>
      <c r="Q85" s="154"/>
    </row>
    <row r="86" spans="1:17" ht="13.5" hidden="1">
      <c r="A86" s="126"/>
      <c r="B86" s="127"/>
      <c r="C86" s="134" t="s">
        <v>24</v>
      </c>
      <c r="D86" s="166"/>
      <c r="E86" s="166"/>
      <c r="F86" s="166"/>
      <c r="G86" s="166"/>
      <c r="H86" s="166"/>
      <c r="I86" s="166"/>
      <c r="J86" s="166"/>
      <c r="K86" s="166"/>
      <c r="L86" s="166"/>
      <c r="M86" s="166"/>
      <c r="N86" s="167"/>
      <c r="O86" s="167"/>
      <c r="P86" s="168" t="e">
        <f t="shared" si="11"/>
        <v>#DIV/0!</v>
      </c>
      <c r="Q86" s="154"/>
    </row>
    <row r="87" spans="1:17" ht="13.5" hidden="1">
      <c r="A87" s="126"/>
      <c r="B87" s="127"/>
      <c r="C87" s="134" t="s">
        <v>25</v>
      </c>
      <c r="D87" s="166"/>
      <c r="E87" s="166"/>
      <c r="F87" s="166"/>
      <c r="G87" s="166"/>
      <c r="H87" s="166"/>
      <c r="I87" s="166"/>
      <c r="J87" s="166"/>
      <c r="K87" s="166"/>
      <c r="L87" s="166"/>
      <c r="M87" s="166"/>
      <c r="N87" s="167"/>
      <c r="O87" s="167"/>
      <c r="P87" s="168" t="e">
        <f t="shared" si="11"/>
        <v>#DIV/0!</v>
      </c>
      <c r="Q87" s="154"/>
    </row>
    <row r="88" spans="1:17" ht="13.5" hidden="1">
      <c r="A88" s="126"/>
      <c r="B88" s="127"/>
      <c r="C88" s="134" t="s">
        <v>26</v>
      </c>
      <c r="D88" s="166"/>
      <c r="E88" s="166"/>
      <c r="F88" s="166"/>
      <c r="G88" s="166"/>
      <c r="H88" s="166"/>
      <c r="I88" s="166"/>
      <c r="J88" s="166"/>
      <c r="K88" s="166"/>
      <c r="L88" s="166"/>
      <c r="M88" s="166"/>
      <c r="N88" s="167"/>
      <c r="O88" s="167"/>
      <c r="P88" s="168" t="e">
        <f t="shared" si="11"/>
        <v>#DIV/0!</v>
      </c>
      <c r="Q88" s="154"/>
    </row>
    <row r="89" spans="1:17" ht="13.5" hidden="1">
      <c r="A89" s="126"/>
      <c r="B89" s="127"/>
      <c r="C89" s="134" t="s">
        <v>27</v>
      </c>
      <c r="D89" s="166"/>
      <c r="E89" s="166"/>
      <c r="F89" s="166"/>
      <c r="G89" s="166"/>
      <c r="H89" s="166"/>
      <c r="I89" s="166"/>
      <c r="J89" s="166"/>
      <c r="K89" s="166"/>
      <c r="L89" s="166"/>
      <c r="M89" s="166"/>
      <c r="N89" s="167"/>
      <c r="O89" s="167"/>
      <c r="P89" s="168" t="e">
        <f t="shared" si="11"/>
        <v>#DIV/0!</v>
      </c>
      <c r="Q89" s="154"/>
    </row>
    <row r="90" spans="1:17" ht="13.5" hidden="1">
      <c r="A90" s="126"/>
      <c r="B90" s="127"/>
      <c r="C90" s="134" t="s">
        <v>28</v>
      </c>
      <c r="D90" s="166"/>
      <c r="E90" s="166"/>
      <c r="F90" s="166"/>
      <c r="G90" s="166"/>
      <c r="H90" s="166"/>
      <c r="I90" s="166"/>
      <c r="J90" s="166"/>
      <c r="K90" s="166"/>
      <c r="L90" s="166"/>
      <c r="M90" s="166"/>
      <c r="N90" s="167"/>
      <c r="O90" s="167"/>
      <c r="P90" s="168" t="e">
        <f t="shared" si="11"/>
        <v>#DIV/0!</v>
      </c>
      <c r="Q90" s="154"/>
    </row>
    <row r="91" spans="1:17" ht="13.5" hidden="1">
      <c r="A91" s="126"/>
      <c r="B91" s="127"/>
      <c r="C91" s="255" t="s">
        <v>273</v>
      </c>
      <c r="D91" s="166"/>
      <c r="E91" s="166"/>
      <c r="F91" s="166"/>
      <c r="G91" s="166"/>
      <c r="H91" s="166"/>
      <c r="I91" s="166"/>
      <c r="J91" s="166"/>
      <c r="K91" s="166"/>
      <c r="L91" s="166"/>
      <c r="M91" s="166"/>
      <c r="N91" s="166"/>
      <c r="O91" s="167"/>
      <c r="P91" s="168" t="e">
        <f t="shared" si="11"/>
        <v>#DIV/0!</v>
      </c>
    </row>
    <row r="92" spans="1:17" ht="13.5" hidden="1">
      <c r="A92" s="762" t="s">
        <v>36</v>
      </c>
      <c r="B92" s="763"/>
      <c r="C92" s="139" t="s">
        <v>37</v>
      </c>
      <c r="D92" s="179"/>
      <c r="E92" s="179"/>
      <c r="F92" s="179"/>
      <c r="G92" s="180"/>
      <c r="H92" s="180"/>
      <c r="I92" s="180"/>
      <c r="J92" s="180"/>
      <c r="K92" s="180"/>
      <c r="L92" s="180"/>
      <c r="M92" s="180"/>
      <c r="N92" s="141"/>
      <c r="O92" s="141"/>
      <c r="P92" s="142" t="e">
        <f t="shared" si="11"/>
        <v>#DIV/0!</v>
      </c>
      <c r="Q92" s="121"/>
    </row>
    <row r="93" spans="1:17" ht="14.25" hidden="1" customHeight="1">
      <c r="A93" s="764"/>
      <c r="B93" s="765"/>
      <c r="C93" s="139" t="s">
        <v>38</v>
      </c>
      <c r="D93" s="181"/>
      <c r="E93" s="181"/>
      <c r="F93" s="181"/>
      <c r="G93" s="181"/>
      <c r="H93" s="181"/>
      <c r="I93" s="181"/>
      <c r="J93" s="181"/>
      <c r="K93" s="181"/>
      <c r="L93" s="181"/>
      <c r="M93" s="181"/>
      <c r="N93" s="182"/>
      <c r="O93" s="182"/>
      <c r="P93" s="183" t="e">
        <f t="shared" si="11"/>
        <v>#DIV/0!</v>
      </c>
    </row>
    <row r="94" spans="1:17" ht="14.25" hidden="1" customHeight="1">
      <c r="A94" s="764"/>
      <c r="B94" s="765"/>
      <c r="C94" s="239" t="s">
        <v>39</v>
      </c>
      <c r="D94" s="251"/>
      <c r="E94" s="251"/>
      <c r="F94" s="251"/>
      <c r="G94" s="251"/>
      <c r="H94" s="251"/>
      <c r="I94" s="251"/>
      <c r="J94" s="251"/>
      <c r="K94" s="251"/>
      <c r="L94" s="251"/>
      <c r="M94" s="251"/>
      <c r="N94" s="252"/>
      <c r="O94" s="252"/>
      <c r="P94" s="253" t="e">
        <f t="shared" si="11"/>
        <v>#DIV/0!</v>
      </c>
    </row>
    <row r="95" spans="1:17" ht="14.1" hidden="1" thickBot="1">
      <c r="A95" s="766"/>
      <c r="B95" s="767"/>
      <c r="C95" s="146" t="s">
        <v>40</v>
      </c>
      <c r="D95" s="184"/>
      <c r="E95" s="185"/>
      <c r="F95" s="184"/>
      <c r="G95" s="184"/>
      <c r="H95" s="184"/>
      <c r="I95" s="184"/>
      <c r="J95" s="184"/>
      <c r="K95" s="184"/>
      <c r="L95" s="184"/>
      <c r="M95" s="184"/>
      <c r="N95" s="185"/>
      <c r="O95" s="185"/>
      <c r="P95" s="186" t="e">
        <f t="shared" si="11"/>
        <v>#DIV/0!</v>
      </c>
    </row>
    <row r="96" spans="1:17" ht="13.5">
      <c r="A96" s="151"/>
      <c r="B96" s="158"/>
      <c r="C96" s="159"/>
    </row>
    <row r="97" spans="1:19" ht="14.1" thickBot="1">
      <c r="A97" s="112" t="s">
        <v>274</v>
      </c>
      <c r="B97" s="112"/>
      <c r="C97" s="112"/>
    </row>
    <row r="98" spans="1:19" ht="13.5">
      <c r="A98" s="729" t="s">
        <v>1</v>
      </c>
      <c r="B98" s="730"/>
      <c r="C98" s="730"/>
      <c r="D98" s="116" t="s">
        <v>252</v>
      </c>
      <c r="E98" s="116" t="s">
        <v>253</v>
      </c>
      <c r="F98" s="116" t="s">
        <v>254</v>
      </c>
      <c r="G98" s="116" t="s">
        <v>255</v>
      </c>
      <c r="H98" s="116" t="s">
        <v>256</v>
      </c>
      <c r="I98" s="116" t="s">
        <v>257</v>
      </c>
      <c r="J98" s="116" t="s">
        <v>258</v>
      </c>
      <c r="K98" s="116" t="s">
        <v>259</v>
      </c>
      <c r="L98" s="116" t="s">
        <v>260</v>
      </c>
      <c r="M98" s="116" t="s">
        <v>261</v>
      </c>
      <c r="N98" s="116" t="s">
        <v>262</v>
      </c>
      <c r="O98" s="116" t="s">
        <v>263</v>
      </c>
      <c r="P98" s="116" t="s">
        <v>275</v>
      </c>
      <c r="Q98" s="116" t="s">
        <v>5</v>
      </c>
    </row>
    <row r="99" spans="1:19" ht="13.5">
      <c r="A99" s="769" t="s">
        <v>11</v>
      </c>
      <c r="B99" s="770"/>
      <c r="C99" s="770"/>
      <c r="D99" s="187" t="str">
        <f>月供應率ALL!C2</f>
        <v>98.5</v>
      </c>
      <c r="E99" s="187" t="str">
        <f>月供應率ALL!D2</f>
        <v>98.4</v>
      </c>
      <c r="F99" s="187" t="str">
        <f>月供應率ALL!E2</f>
        <v>98.2</v>
      </c>
      <c r="G99" s="187" t="str">
        <f>月供應率ALL!F2</f>
        <v>98.6</v>
      </c>
      <c r="H99" s="187" t="str">
        <f>月供應率ALL!G2</f>
        <v>98.5</v>
      </c>
      <c r="I99" s="187" t="str">
        <f>月供應率ALL!H2</f>
        <v>98.6</v>
      </c>
      <c r="J99" s="187" t="str">
        <f>月供應率ALL!I2</f>
        <v>98.3</v>
      </c>
      <c r="K99" s="187" t="str">
        <f>月供應率ALL!J2</f>
        <v>97.7</v>
      </c>
      <c r="L99" s="187" t="str">
        <f>月供應率ALL!K2</f>
        <v>98</v>
      </c>
      <c r="M99" s="187" t="str">
        <f>月供應率ALL!L2</f>
        <v>97.4</v>
      </c>
      <c r="N99" s="187" t="str">
        <f>月供應率ALL!M2</f>
        <v>98</v>
      </c>
      <c r="O99" s="187" t="str">
        <f>月供應率ALL!N2</f>
        <v>0</v>
      </c>
      <c r="P99" s="187" t="str">
        <f>月供應率ALL!O2</f>
        <v>98.2</v>
      </c>
      <c r="Q99" s="537">
        <v>97.9</v>
      </c>
      <c r="R99" s="703"/>
      <c r="S99" s="704"/>
    </row>
    <row r="100" spans="1:19" ht="13.5">
      <c r="A100" s="737" t="s">
        <v>12</v>
      </c>
      <c r="B100" s="738"/>
      <c r="C100" s="738"/>
      <c r="D100" s="187" t="str">
        <f>月供應率ALL!C4</f>
        <v>100</v>
      </c>
      <c r="E100" s="187" t="str">
        <f>月供應率ALL!D4</f>
        <v>99.3</v>
      </c>
      <c r="F100" s="187" t="str">
        <f>月供應率ALL!E4</f>
        <v>100</v>
      </c>
      <c r="G100" s="187" t="str">
        <f>月供應率ALL!F4</f>
        <v>100</v>
      </c>
      <c r="H100" s="187" t="str">
        <f>月供應率ALL!G4</f>
        <v>100</v>
      </c>
      <c r="I100" s="187" t="str">
        <f>月供應率ALL!H4</f>
        <v>99.6</v>
      </c>
      <c r="J100" s="187" t="str">
        <f>月供應率ALL!I4</f>
        <v>99.8</v>
      </c>
      <c r="K100" s="187" t="str">
        <f>月供應率ALL!J4</f>
        <v>100</v>
      </c>
      <c r="L100" s="187" t="str">
        <f>月供應率ALL!K4</f>
        <v>100</v>
      </c>
      <c r="M100" s="187" t="str">
        <f>月供應率ALL!L4</f>
        <v>100</v>
      </c>
      <c r="N100" s="187" t="str">
        <f>月供應率ALL!M4</f>
        <v>99.9</v>
      </c>
      <c r="O100" s="187" t="str">
        <f>月供應率ALL!N4</f>
        <v>0</v>
      </c>
      <c r="P100" s="187" t="str">
        <f>月供應率ALL!O4</f>
        <v>99.8</v>
      </c>
      <c r="Q100" s="537">
        <v>99</v>
      </c>
      <c r="R100" s="703"/>
      <c r="S100" s="704"/>
    </row>
    <row r="101" spans="1:19" ht="13.5">
      <c r="A101" s="737" t="s">
        <v>13</v>
      </c>
      <c r="B101" s="738"/>
      <c r="C101" s="738"/>
      <c r="D101" s="187" t="str">
        <f>月供應率ALL!C5</f>
        <v>82.7</v>
      </c>
      <c r="E101" s="187" t="str">
        <f>月供應率ALL!D5</f>
        <v>92</v>
      </c>
      <c r="F101" s="187" t="str">
        <f>月供應率ALL!E5</f>
        <v>87</v>
      </c>
      <c r="G101" s="187" t="str">
        <f>月供應率ALL!F5</f>
        <v>84.8</v>
      </c>
      <c r="H101" s="187" t="str">
        <f>月供應率ALL!G5</f>
        <v>96.4</v>
      </c>
      <c r="I101" s="187" t="str">
        <f>月供應率ALL!H5</f>
        <v>97.3</v>
      </c>
      <c r="J101" s="187" t="str">
        <f>月供應率ALL!I5</f>
        <v>93</v>
      </c>
      <c r="K101" s="187" t="str">
        <f>月供應率ALL!J5</f>
        <v>93.5</v>
      </c>
      <c r="L101" s="187" t="str">
        <f>月供應率ALL!K5</f>
        <v>95.8</v>
      </c>
      <c r="M101" s="187" t="str">
        <f>月供應率ALL!L5</f>
        <v>92</v>
      </c>
      <c r="N101" s="187" t="str">
        <f>月供應率ALL!M5</f>
        <v>91.5</v>
      </c>
      <c r="O101" s="187" t="str">
        <f>月供應率ALL!N5</f>
        <v>0</v>
      </c>
      <c r="P101" s="187" t="str">
        <f>月供應率ALL!O5</f>
        <v>91.4</v>
      </c>
      <c r="Q101" s="537">
        <v>75</v>
      </c>
      <c r="R101" s="703"/>
      <c r="S101" s="704"/>
    </row>
    <row r="102" spans="1:19" ht="13.5">
      <c r="A102" s="737" t="s">
        <v>14</v>
      </c>
      <c r="B102" s="738"/>
      <c r="C102" s="738"/>
      <c r="D102" s="187" t="str">
        <f>月供應率ALL!C6</f>
        <v>99.4</v>
      </c>
      <c r="E102" s="187" t="str">
        <f>月供應率ALL!D6</f>
        <v>99.5</v>
      </c>
      <c r="F102" s="187" t="str">
        <f>月供應率ALL!E6</f>
        <v>99.4</v>
      </c>
      <c r="G102" s="187" t="str">
        <f>月供應率ALL!F6</f>
        <v>99.6</v>
      </c>
      <c r="H102" s="187" t="str">
        <f>月供應率ALL!G6</f>
        <v>99.5</v>
      </c>
      <c r="I102" s="187" t="str">
        <f>月供應率ALL!H6</f>
        <v>99.4</v>
      </c>
      <c r="J102" s="187" t="str">
        <f>月供應率ALL!I6</f>
        <v>99.3</v>
      </c>
      <c r="K102" s="187" t="str">
        <f>月供應率ALL!J6</f>
        <v>99.5</v>
      </c>
      <c r="L102" s="187" t="str">
        <f>月供應率ALL!K6</f>
        <v>99.5</v>
      </c>
      <c r="M102" s="187" t="str">
        <f>月供應率ALL!L6</f>
        <v>98.9</v>
      </c>
      <c r="N102" s="187" t="str">
        <f>月供應率ALL!M6</f>
        <v>99.5</v>
      </c>
      <c r="O102" s="187" t="str">
        <f>月供應率ALL!N6</f>
        <v>0</v>
      </c>
      <c r="P102" s="187" t="str">
        <f>月供應率ALL!O6</f>
        <v>99.4</v>
      </c>
      <c r="Q102" s="537">
        <v>99</v>
      </c>
      <c r="R102" s="703"/>
      <c r="S102" s="704"/>
    </row>
    <row r="103" spans="1:19" ht="13.5">
      <c r="A103" s="737" t="s">
        <v>21</v>
      </c>
      <c r="B103" s="738"/>
      <c r="C103" s="738"/>
      <c r="D103" s="187" t="str">
        <f>月供應率ALL!C23</f>
        <v>92.6</v>
      </c>
      <c r="E103" s="187" t="str">
        <f>月供應率ALL!D23</f>
        <v>93.2</v>
      </c>
      <c r="F103" s="187" t="str">
        <f>月供應率ALL!E23</f>
        <v>94.1</v>
      </c>
      <c r="G103" s="187" t="str">
        <f>月供應率ALL!F23</f>
        <v>93.2</v>
      </c>
      <c r="H103" s="187" t="str">
        <f>月供應率ALL!G23</f>
        <v>92.1</v>
      </c>
      <c r="I103" s="187" t="str">
        <f>月供應率ALL!H23</f>
        <v>93.7</v>
      </c>
      <c r="J103" s="187" t="str">
        <f>月供應率ALL!I23</f>
        <v>93.4</v>
      </c>
      <c r="K103" s="187" t="str">
        <f>月供應率ALL!J23</f>
        <v>93.4</v>
      </c>
      <c r="L103" s="187" t="str">
        <f>月供應率ALL!K23</f>
        <v>92.8</v>
      </c>
      <c r="M103" s="187" t="str">
        <f>月供應率ALL!L23</f>
        <v>91.2</v>
      </c>
      <c r="N103" s="187" t="str">
        <f>月供應率ALL!M23</f>
        <v>92.7</v>
      </c>
      <c r="O103" s="187" t="str">
        <f>月供應率ALL!N23</f>
        <v>0</v>
      </c>
      <c r="P103" s="187" t="str">
        <f>月供應率ALL!O23</f>
        <v>92.9</v>
      </c>
      <c r="Q103" s="537">
        <v>92</v>
      </c>
      <c r="R103" s="703"/>
      <c r="S103" s="704"/>
    </row>
    <row r="104" spans="1:19" ht="13.5">
      <c r="A104" s="737" t="s">
        <v>16</v>
      </c>
      <c r="B104" s="738"/>
      <c r="C104" s="738"/>
      <c r="D104" s="187" t="str">
        <f>月供應率ALL!C8</f>
        <v>98.8</v>
      </c>
      <c r="E104" s="187" t="str">
        <f>月供應率ALL!D8</f>
        <v>97.8</v>
      </c>
      <c r="F104" s="187" t="str">
        <f>月供應率ALL!E8</f>
        <v>98.8</v>
      </c>
      <c r="G104" s="187" t="str">
        <f>月供應率ALL!F8</f>
        <v>98.7</v>
      </c>
      <c r="H104" s="187" t="str">
        <f>月供應率ALL!G8</f>
        <v>98.3</v>
      </c>
      <c r="I104" s="187" t="str">
        <f>月供應率ALL!H8</f>
        <v>98.4</v>
      </c>
      <c r="J104" s="187" t="str">
        <f>月供應率ALL!I8</f>
        <v>95.8</v>
      </c>
      <c r="K104" s="187" t="str">
        <f>月供應率ALL!J8</f>
        <v>98.5</v>
      </c>
      <c r="L104" s="187" t="str">
        <f>月供應率ALL!K8</f>
        <v>96.4</v>
      </c>
      <c r="M104" s="187" t="str">
        <f>月供應率ALL!L8</f>
        <v>98.5</v>
      </c>
      <c r="N104" s="187" t="str">
        <f>月供應率ALL!M8</f>
        <v>99.3</v>
      </c>
      <c r="O104" s="187" t="str">
        <f>月供應率ALL!N8</f>
        <v>0</v>
      </c>
      <c r="P104" s="187" t="str">
        <f>月供應率ALL!O8</f>
        <v>98.1</v>
      </c>
      <c r="Q104" s="537">
        <v>95</v>
      </c>
      <c r="R104" s="703"/>
      <c r="S104" s="704"/>
    </row>
    <row r="105" spans="1:19" ht="13.5">
      <c r="A105" s="708" t="s">
        <v>17</v>
      </c>
      <c r="B105" s="709"/>
      <c r="C105" s="709"/>
      <c r="D105" s="187" t="str">
        <f>月供應率ALL!C9</f>
        <v>97.2</v>
      </c>
      <c r="E105" s="187" t="str">
        <f>月供應率ALL!D9</f>
        <v>91.3</v>
      </c>
      <c r="F105" s="187" t="str">
        <f>月供應率ALL!E9</f>
        <v>88.4</v>
      </c>
      <c r="G105" s="187" t="str">
        <f>月供應率ALL!F9</f>
        <v>84.9</v>
      </c>
      <c r="H105" s="187" t="str">
        <f>月供應率ALL!G9</f>
        <v>96.1</v>
      </c>
      <c r="I105" s="187" t="str">
        <f>月供應率ALL!H9</f>
        <v>98.8</v>
      </c>
      <c r="J105" s="187" t="str">
        <f>月供應率ALL!I9</f>
        <v>91.4</v>
      </c>
      <c r="K105" s="187" t="str">
        <f>月供應率ALL!J9</f>
        <v>99.5</v>
      </c>
      <c r="L105" s="187" t="str">
        <f>月供應率ALL!K9</f>
        <v>96.8</v>
      </c>
      <c r="M105" s="187" t="str">
        <f>月供應率ALL!L9</f>
        <v>97.3</v>
      </c>
      <c r="N105" s="187" t="str">
        <f>月供應率ALL!M9</f>
        <v>97.9</v>
      </c>
      <c r="O105" s="187" t="str">
        <f>月供應率ALL!N9</f>
        <v>0</v>
      </c>
      <c r="P105" s="187" t="str">
        <f>月供應率ALL!O9</f>
        <v>94.5</v>
      </c>
      <c r="Q105" s="537">
        <v>95</v>
      </c>
      <c r="R105" s="703"/>
      <c r="S105" s="704"/>
    </row>
    <row r="106" spans="1:19" ht="13.5">
      <c r="A106" s="747" t="s">
        <v>49</v>
      </c>
      <c r="B106" s="748"/>
      <c r="C106" s="749"/>
      <c r="D106" s="256" t="str">
        <f>月供應率ALL!C10</f>
        <v>98.4</v>
      </c>
      <c r="E106" s="256" t="str">
        <f>月供應率ALL!D10</f>
        <v>98.3</v>
      </c>
      <c r="F106" s="256" t="str">
        <f>月供應率ALL!E10</f>
        <v>98.2</v>
      </c>
      <c r="G106" s="256" t="str">
        <f>月供應率ALL!F10</f>
        <v>98.5</v>
      </c>
      <c r="H106" s="256" t="str">
        <f>月供應率ALL!G10</f>
        <v>98.4</v>
      </c>
      <c r="I106" s="256" t="str">
        <f>月供應率ALL!H10</f>
        <v>98.5</v>
      </c>
      <c r="J106" s="256" t="str">
        <f>月供應率ALL!I10</f>
        <v>98.2</v>
      </c>
      <c r="K106" s="256" t="str">
        <f>月供應率ALL!J10</f>
        <v>97.9</v>
      </c>
      <c r="L106" s="256" t="str">
        <f>月供應率ALL!K10</f>
        <v>98.1</v>
      </c>
      <c r="M106" s="256" t="str">
        <f>月供應率ALL!L10</f>
        <v>97.5</v>
      </c>
      <c r="N106" s="256" t="str">
        <f>月供應率ALL!M10</f>
        <v>98.1</v>
      </c>
      <c r="O106" s="256" t="str">
        <f>月供應率ALL!N10</f>
        <v>0</v>
      </c>
      <c r="P106" s="256" t="str">
        <f>月供應率ALL!O10</f>
        <v>98.1</v>
      </c>
      <c r="Q106" s="538">
        <v>97.8</v>
      </c>
      <c r="R106" s="240"/>
      <c r="S106" s="241"/>
    </row>
    <row r="107" spans="1:19" ht="13.5">
      <c r="A107" s="737" t="s">
        <v>276</v>
      </c>
      <c r="B107" s="738"/>
      <c r="C107" s="738"/>
      <c r="D107" s="187" t="str">
        <f>月供應率ALL!C3</f>
        <v>97.7</v>
      </c>
      <c r="E107" s="187" t="str">
        <f>月供應率ALL!D3</f>
        <v>98</v>
      </c>
      <c r="F107" s="187" t="str">
        <f>月供應率ALL!E3</f>
        <v>98.2</v>
      </c>
      <c r="G107" s="187" t="str">
        <f>月供應率ALL!F3</f>
        <v>98.2</v>
      </c>
      <c r="H107" s="187" t="str">
        <f>月供應率ALL!G3</f>
        <v>98.4</v>
      </c>
      <c r="I107" s="187" t="str">
        <f>月供應率ALL!H3</f>
        <v>98.2</v>
      </c>
      <c r="J107" s="187" t="str">
        <f>月供應率ALL!I3</f>
        <v>98.1</v>
      </c>
      <c r="K107" s="187" t="str">
        <f>月供應率ALL!J3</f>
        <v>98.1</v>
      </c>
      <c r="L107" s="187" t="str">
        <f>月供應率ALL!K3</f>
        <v>97.2</v>
      </c>
      <c r="M107" s="187" t="str">
        <f>月供應率ALL!L3</f>
        <v>97.7</v>
      </c>
      <c r="N107" s="187" t="str">
        <f>月供應率ALL!M3</f>
        <v>98</v>
      </c>
      <c r="O107" s="187" t="str">
        <f>月供應率ALL!N3</f>
        <v>0</v>
      </c>
      <c r="P107" s="187" t="str">
        <f>月供應率ALL!O3</f>
        <v>97.9</v>
      </c>
      <c r="Q107" s="537">
        <v>97.8</v>
      </c>
      <c r="R107" s="240"/>
      <c r="S107" s="241"/>
    </row>
    <row r="108" spans="1:19" ht="13.5">
      <c r="A108" s="257" t="s">
        <v>24</v>
      </c>
      <c r="B108" s="258"/>
      <c r="C108" s="259"/>
      <c r="D108" s="189" t="str">
        <f>月供應率ALL!C11</f>
        <v>98.6</v>
      </c>
      <c r="E108" s="189" t="str">
        <f>月供應率ALL!D11</f>
        <v>99.6</v>
      </c>
      <c r="F108" s="189" t="str">
        <f>月供應率ALL!E11</f>
        <v>99.8</v>
      </c>
      <c r="G108" s="189" t="str">
        <f>月供應率ALL!F11</f>
        <v>100</v>
      </c>
      <c r="H108" s="189" t="str">
        <f>月供應率ALL!G11</f>
        <v>100</v>
      </c>
      <c r="I108" s="189" t="str">
        <f>月供應率ALL!H11</f>
        <v>99.8</v>
      </c>
      <c r="J108" s="189" t="str">
        <f>月供應率ALL!I11</f>
        <v>100</v>
      </c>
      <c r="K108" s="189" t="str">
        <f>月供應率ALL!J11</f>
        <v>99.9</v>
      </c>
      <c r="L108" s="189" t="str">
        <f>月供應率ALL!K11</f>
        <v>100</v>
      </c>
      <c r="M108" s="189" t="str">
        <f>月供應率ALL!L11</f>
        <v>100</v>
      </c>
      <c r="N108" s="189" t="str">
        <f>月供應率ALL!M11</f>
        <v>99.8</v>
      </c>
      <c r="O108" s="189" t="str">
        <f>月供應率ALL!N11</f>
        <v>0</v>
      </c>
      <c r="P108" s="189" t="str">
        <f>月供應率ALL!O11</f>
        <v>99.7</v>
      </c>
      <c r="Q108" s="539">
        <v>99</v>
      </c>
      <c r="R108" s="240"/>
      <c r="S108" s="241"/>
    </row>
    <row r="109" spans="1:19" ht="13.5">
      <c r="A109" s="257" t="s">
        <v>25</v>
      </c>
      <c r="B109" s="258"/>
      <c r="C109" s="259"/>
      <c r="D109" s="189" t="str">
        <f>月供應率ALL!C12</f>
        <v>98</v>
      </c>
      <c r="E109" s="189" t="str">
        <f>月供應率ALL!D12</f>
        <v>95.1</v>
      </c>
      <c r="F109" s="189" t="str">
        <f>月供應率ALL!E12</f>
        <v>95</v>
      </c>
      <c r="G109" s="189" t="str">
        <f>月供應率ALL!F12</f>
        <v>93.5</v>
      </c>
      <c r="H109" s="189" t="str">
        <f>月供應率ALL!G12</f>
        <v>90.4</v>
      </c>
      <c r="I109" s="189" t="str">
        <f>月供應率ALL!H12</f>
        <v>94.4</v>
      </c>
      <c r="J109" s="189" t="str">
        <f>月供應率ALL!I12</f>
        <v>92.5</v>
      </c>
      <c r="K109" s="189" t="str">
        <f>月供應率ALL!J12</f>
        <v>91.4</v>
      </c>
      <c r="L109" s="189" t="str">
        <f>月供應率ALL!K12</f>
        <v>78.6</v>
      </c>
      <c r="M109" s="189" t="str">
        <f>月供應率ALL!L12</f>
        <v>89.3</v>
      </c>
      <c r="N109" s="189" t="str">
        <f>月供應率ALL!M12</f>
        <v>94.2</v>
      </c>
      <c r="O109" s="189" t="str">
        <f>月供應率ALL!N12</f>
        <v>0</v>
      </c>
      <c r="P109" s="189" t="str">
        <f>月供應率ALL!O12</f>
        <v>92</v>
      </c>
      <c r="Q109" s="539">
        <v>75</v>
      </c>
      <c r="R109" s="240"/>
      <c r="S109" s="241"/>
    </row>
    <row r="110" spans="1:19" ht="13.5">
      <c r="A110" s="257" t="s">
        <v>26</v>
      </c>
      <c r="B110" s="258"/>
      <c r="C110" s="259"/>
      <c r="D110" s="189" t="str">
        <f>月供應率ALL!C13</f>
        <v>96.3</v>
      </c>
      <c r="E110" s="189" t="str">
        <f>月供應率ALL!D13</f>
        <v>95.7</v>
      </c>
      <c r="F110" s="189" t="str">
        <f>月供應率ALL!E13</f>
        <v>97.3</v>
      </c>
      <c r="G110" s="189" t="str">
        <f>月供應率ALL!F13</f>
        <v>97.2</v>
      </c>
      <c r="H110" s="189" t="str">
        <f>月供應率ALL!G13</f>
        <v>97.3</v>
      </c>
      <c r="I110" s="189" t="str">
        <f>月供應率ALL!H13</f>
        <v>96.8</v>
      </c>
      <c r="J110" s="189" t="str">
        <f>月供應率ALL!I13</f>
        <v>97.3</v>
      </c>
      <c r="K110" s="189" t="str">
        <f>月供應率ALL!J13</f>
        <v>96.4</v>
      </c>
      <c r="L110" s="189" t="str">
        <f>月供應率ALL!K13</f>
        <v>97.6</v>
      </c>
      <c r="M110" s="189" t="str">
        <f>月供應率ALL!L13</f>
        <v>97</v>
      </c>
      <c r="N110" s="189" t="str">
        <f>月供應率ALL!M13</f>
        <v>97.3</v>
      </c>
      <c r="O110" s="189" t="str">
        <f>月供應率ALL!N13</f>
        <v>0</v>
      </c>
      <c r="P110" s="189" t="str">
        <f>月供應率ALL!O13</f>
        <v>96.9</v>
      </c>
      <c r="Q110" s="539">
        <v>98.7</v>
      </c>
      <c r="R110" s="240"/>
      <c r="S110" s="241"/>
    </row>
    <row r="111" spans="1:19" ht="13.5">
      <c r="A111" s="257" t="s">
        <v>27</v>
      </c>
      <c r="B111" s="258"/>
      <c r="C111" s="259"/>
      <c r="D111" s="189" t="str">
        <f>月供應率ALL!C14</f>
        <v>97.4</v>
      </c>
      <c r="E111" s="189" t="str">
        <f>月供應率ALL!D14</f>
        <v>90.3</v>
      </c>
      <c r="F111" s="189" t="str">
        <f>月供應率ALL!E14</f>
        <v>98.1</v>
      </c>
      <c r="G111" s="189" t="str">
        <f>月供應率ALL!F14</f>
        <v>92.7</v>
      </c>
      <c r="H111" s="189" t="str">
        <f>月供應率ALL!G14</f>
        <v>95.8</v>
      </c>
      <c r="I111" s="189" t="str">
        <f>月供應率ALL!H14</f>
        <v>95.8</v>
      </c>
      <c r="J111" s="189" t="str">
        <f>月供應率ALL!I14</f>
        <v>96.5</v>
      </c>
      <c r="K111" s="189" t="str">
        <f>月供應率ALL!J14</f>
        <v>95.4</v>
      </c>
      <c r="L111" s="189" t="str">
        <f>月供應率ALL!K14</f>
        <v>95.3</v>
      </c>
      <c r="M111" s="189" t="str">
        <f>月供應率ALL!L14</f>
        <v>97.6</v>
      </c>
      <c r="N111" s="189" t="str">
        <f>月供應率ALL!M14</f>
        <v>98.7</v>
      </c>
      <c r="O111" s="189" t="str">
        <f>月供應率ALL!N14</f>
        <v>0</v>
      </c>
      <c r="P111" s="189" t="str">
        <f>月供應率ALL!O14</f>
        <v>95.7</v>
      </c>
      <c r="Q111" s="539">
        <v>95</v>
      </c>
      <c r="R111" s="240"/>
      <c r="S111" s="241"/>
    </row>
    <row r="112" spans="1:19" ht="13.5">
      <c r="A112" s="257" t="s">
        <v>28</v>
      </c>
      <c r="B112" s="258"/>
      <c r="C112" s="259"/>
      <c r="D112" s="189" t="str">
        <f>月供應率ALL!C15</f>
        <v>0</v>
      </c>
      <c r="E112" s="189" t="str">
        <f>月供應率ALL!D15</f>
        <v>0</v>
      </c>
      <c r="F112" s="189" t="str">
        <f>月供應率ALL!E15</f>
        <v>50</v>
      </c>
      <c r="G112" s="189" t="str">
        <f>月供應率ALL!F15</f>
        <v>0</v>
      </c>
      <c r="H112" s="189" t="str">
        <f>月供應率ALL!G15</f>
        <v>100</v>
      </c>
      <c r="I112" s="189" t="str">
        <f>月供應率ALL!H15</f>
        <v>0</v>
      </c>
      <c r="J112" s="189" t="str">
        <f>月供應率ALL!I15</f>
        <v>0</v>
      </c>
      <c r="K112" s="189" t="str">
        <f>月供應率ALL!J15</f>
        <v>25</v>
      </c>
      <c r="L112" s="189" t="str">
        <f>月供應率ALL!K15</f>
        <v>0</v>
      </c>
      <c r="M112" s="189" t="str">
        <f>月供應率ALL!L15</f>
        <v>0</v>
      </c>
      <c r="N112" s="189" t="str">
        <f>月供應率ALL!M15</f>
        <v>0</v>
      </c>
      <c r="O112" s="189" t="str">
        <f>月供應率ALL!N15</f>
        <v>0</v>
      </c>
      <c r="P112" s="189" t="str">
        <f>月供應率ALL!O15</f>
        <v>15.9</v>
      </c>
      <c r="Q112" s="539"/>
      <c r="R112" s="240"/>
      <c r="S112" s="241"/>
    </row>
    <row r="113" spans="1:21" ht="14.1" thickBot="1">
      <c r="A113" s="750" t="s">
        <v>50</v>
      </c>
      <c r="B113" s="751"/>
      <c r="C113" s="751"/>
      <c r="D113" s="190" t="str">
        <f>月供應率ALL!C16</f>
        <v>97.5</v>
      </c>
      <c r="E113" s="190" t="str">
        <f>月供應率ALL!D16</f>
        <v>97.3</v>
      </c>
      <c r="F113" s="190" t="str">
        <f>月供應率ALL!E16</f>
        <v>98</v>
      </c>
      <c r="G113" s="190" t="str">
        <f>月供應率ALL!F16</f>
        <v>97.9</v>
      </c>
      <c r="H113" s="190" t="str">
        <f>月供應率ALL!G16</f>
        <v>98</v>
      </c>
      <c r="I113" s="190" t="str">
        <f>月供應率ALL!H16</f>
        <v>97.9</v>
      </c>
      <c r="J113" s="190" t="str">
        <f>月供應率ALL!I16</f>
        <v>97.8</v>
      </c>
      <c r="K113" s="190" t="str">
        <f>月供應率ALL!J16</f>
        <v>97.4</v>
      </c>
      <c r="L113" s="190" t="str">
        <f>月供應率ALL!K16</f>
        <v>96.8</v>
      </c>
      <c r="M113" s="190" t="str">
        <f>月供應率ALL!L16</f>
        <v>97.6</v>
      </c>
      <c r="N113" s="190" t="str">
        <f>月供應率ALL!M16</f>
        <v>97.7</v>
      </c>
      <c r="O113" s="190" t="str">
        <f>月供應率ALL!N16</f>
        <v>0</v>
      </c>
      <c r="P113" s="190" t="str">
        <f>月供應率ALL!O16</f>
        <v>97.6</v>
      </c>
      <c r="Q113" s="540"/>
      <c r="R113" s="703"/>
      <c r="S113" s="704"/>
    </row>
    <row r="114" spans="1:21" ht="16.5" customHeight="1">
      <c r="A114" s="752" t="s">
        <v>31</v>
      </c>
      <c r="B114" s="753"/>
      <c r="C114" s="754"/>
      <c r="D114" s="281" t="str">
        <f>月供應率ALL!C17</f>
        <v>0</v>
      </c>
      <c r="E114" s="281" t="str">
        <f>月供應率ALL!D17</f>
        <v>0</v>
      </c>
      <c r="F114" s="281" t="str">
        <f>月供應率ALL!E17</f>
        <v>0</v>
      </c>
      <c r="G114" s="281" t="str">
        <f>月供應率ALL!F17</f>
        <v>0</v>
      </c>
      <c r="H114" s="281" t="str">
        <f>月供應率ALL!G17</f>
        <v>0</v>
      </c>
      <c r="I114" s="281" t="str">
        <f>月供應率ALL!H17</f>
        <v>0</v>
      </c>
      <c r="J114" s="281" t="str">
        <f>月供應率ALL!I17</f>
        <v>0</v>
      </c>
      <c r="K114" s="281" t="str">
        <f>月供應率ALL!J17</f>
        <v>0</v>
      </c>
      <c r="L114" s="281" t="str">
        <f>月供應率ALL!K17</f>
        <v>0</v>
      </c>
      <c r="M114" s="281" t="str">
        <f>月供應率ALL!L17</f>
        <v>0</v>
      </c>
      <c r="N114" s="281" t="str">
        <f>月供應率ALL!M17</f>
        <v>0</v>
      </c>
      <c r="O114" s="281" t="str">
        <f>月供應率ALL!N17</f>
        <v>0</v>
      </c>
      <c r="P114" s="281" t="str">
        <f>月供應率ALL!O17</f>
        <v>0</v>
      </c>
      <c r="Q114" s="541"/>
      <c r="R114" s="240"/>
      <c r="S114" s="241"/>
    </row>
    <row r="115" spans="1:21" ht="13.5">
      <c r="A115" s="744" t="s">
        <v>32</v>
      </c>
      <c r="B115" s="745"/>
      <c r="C115" s="746"/>
      <c r="D115" s="187" t="str">
        <f>月供應率ALL!C18</f>
        <v>0</v>
      </c>
      <c r="E115" s="187" t="str">
        <f>月供應率ALL!D18</f>
        <v>0</v>
      </c>
      <c r="F115" s="187" t="str">
        <f>月供應率ALL!E18</f>
        <v>0</v>
      </c>
      <c r="G115" s="187" t="str">
        <f>月供應率ALL!F18</f>
        <v>0</v>
      </c>
      <c r="H115" s="187" t="str">
        <f>月供應率ALL!G18</f>
        <v>0</v>
      </c>
      <c r="I115" s="187" t="str">
        <f>月供應率ALL!H18</f>
        <v>0</v>
      </c>
      <c r="J115" s="187" t="str">
        <f>月供應率ALL!I18</f>
        <v>0</v>
      </c>
      <c r="K115" s="187" t="str">
        <f>月供應率ALL!J18</f>
        <v>0</v>
      </c>
      <c r="L115" s="187" t="str">
        <f>月供應率ALL!K18</f>
        <v>0</v>
      </c>
      <c r="M115" s="187" t="str">
        <f>月供應率ALL!L18</f>
        <v>0</v>
      </c>
      <c r="N115" s="187" t="str">
        <f>月供應率ALL!M18</f>
        <v>0</v>
      </c>
      <c r="O115" s="187" t="str">
        <f>月供應率ALL!N18</f>
        <v>0</v>
      </c>
      <c r="P115" s="187" t="str">
        <f>月供應率ALL!O18</f>
        <v>0</v>
      </c>
      <c r="Q115" s="537"/>
      <c r="R115" s="240"/>
      <c r="S115" s="241"/>
    </row>
    <row r="116" spans="1:21" ht="13.5">
      <c r="A116" s="744" t="s">
        <v>33</v>
      </c>
      <c r="B116" s="745"/>
      <c r="C116" s="746"/>
      <c r="D116" s="187" t="str">
        <f>月供應率ALL!C19</f>
        <v>0</v>
      </c>
      <c r="E116" s="187" t="str">
        <f>月供應率ALL!D19</f>
        <v>0</v>
      </c>
      <c r="F116" s="187" t="str">
        <f>月供應率ALL!E19</f>
        <v>0</v>
      </c>
      <c r="G116" s="187" t="str">
        <f>月供應率ALL!F19</f>
        <v>0</v>
      </c>
      <c r="H116" s="187" t="str">
        <f>月供應率ALL!G19</f>
        <v>0</v>
      </c>
      <c r="I116" s="187" t="str">
        <f>月供應率ALL!H19</f>
        <v>0</v>
      </c>
      <c r="J116" s="187" t="str">
        <f>月供應率ALL!I19</f>
        <v>0</v>
      </c>
      <c r="K116" s="187" t="str">
        <f>月供應率ALL!J19</f>
        <v>0</v>
      </c>
      <c r="L116" s="187" t="str">
        <f>月供應率ALL!K19</f>
        <v>0</v>
      </c>
      <c r="M116" s="187" t="str">
        <f>月供應率ALL!L19</f>
        <v>0</v>
      </c>
      <c r="N116" s="187" t="str">
        <f>月供應率ALL!M19</f>
        <v>0</v>
      </c>
      <c r="O116" s="187" t="str">
        <f>月供應率ALL!N19</f>
        <v>0</v>
      </c>
      <c r="P116" s="187" t="str">
        <f>月供應率ALL!O19</f>
        <v>0</v>
      </c>
      <c r="Q116" s="537"/>
      <c r="R116" s="240"/>
      <c r="S116" s="241"/>
    </row>
    <row r="117" spans="1:21" ht="13.5">
      <c r="A117" s="744" t="s">
        <v>34</v>
      </c>
      <c r="B117" s="745"/>
      <c r="C117" s="746"/>
      <c r="D117" s="187" t="str">
        <f>月供應率ALL!C20</f>
        <v>0</v>
      </c>
      <c r="E117" s="187" t="str">
        <f>月供應率ALL!D20</f>
        <v>0</v>
      </c>
      <c r="F117" s="187" t="str">
        <f>月供應率ALL!E20</f>
        <v>0</v>
      </c>
      <c r="G117" s="187" t="str">
        <f>月供應率ALL!F20</f>
        <v>0</v>
      </c>
      <c r="H117" s="187" t="str">
        <f>月供應率ALL!G20</f>
        <v>0</v>
      </c>
      <c r="I117" s="187" t="str">
        <f>月供應率ALL!H20</f>
        <v>0</v>
      </c>
      <c r="J117" s="187" t="str">
        <f>月供應率ALL!I20</f>
        <v>0</v>
      </c>
      <c r="K117" s="187" t="str">
        <f>月供應率ALL!J20</f>
        <v>0</v>
      </c>
      <c r="L117" s="187" t="str">
        <f>月供應率ALL!K20</f>
        <v>0</v>
      </c>
      <c r="M117" s="187" t="str">
        <f>月供應率ALL!L20</f>
        <v>0</v>
      </c>
      <c r="N117" s="187" t="str">
        <f>月供應率ALL!M20</f>
        <v>0</v>
      </c>
      <c r="O117" s="187" t="str">
        <f>月供應率ALL!N20</f>
        <v>0</v>
      </c>
      <c r="P117" s="187" t="str">
        <f>月供應率ALL!O20</f>
        <v>0</v>
      </c>
      <c r="Q117" s="537"/>
      <c r="R117" s="240"/>
      <c r="S117" s="241"/>
    </row>
    <row r="118" spans="1:21" ht="13.5">
      <c r="A118" s="291" t="s">
        <v>35</v>
      </c>
      <c r="B118" s="291"/>
      <c r="C118" s="292"/>
      <c r="D118" s="187" t="str">
        <f>月供應率ALL!C22</f>
        <v>0</v>
      </c>
      <c r="E118" s="187" t="str">
        <f>月供應率ALL!D22</f>
        <v>0</v>
      </c>
      <c r="F118" s="187" t="str">
        <f>月供應率ALL!E22</f>
        <v>0</v>
      </c>
      <c r="G118" s="187" t="str">
        <f>月供應率ALL!F22</f>
        <v>0</v>
      </c>
      <c r="H118" s="187" t="str">
        <f>月供應率ALL!G22</f>
        <v>0</v>
      </c>
      <c r="I118" s="187" t="str">
        <f>月供應率ALL!H22</f>
        <v>0</v>
      </c>
      <c r="J118" s="187" t="str">
        <f>月供應率ALL!I22</f>
        <v>0</v>
      </c>
      <c r="K118" s="187" t="str">
        <f>月供應率ALL!J22</f>
        <v>0</v>
      </c>
      <c r="L118" s="187" t="str">
        <f>月供應率ALL!K22</f>
        <v>0</v>
      </c>
      <c r="M118" s="187" t="str">
        <f>月供應率ALL!L22</f>
        <v>0</v>
      </c>
      <c r="N118" s="187" t="str">
        <f>月供應率ALL!M22</f>
        <v>0</v>
      </c>
      <c r="O118" s="187" t="str">
        <f>月供應率ALL!N22</f>
        <v>0</v>
      </c>
      <c r="P118" s="187" t="str">
        <f>月供應率ALL!O22</f>
        <v>0</v>
      </c>
      <c r="Q118" s="537"/>
      <c r="R118" s="240"/>
      <c r="S118" s="241"/>
    </row>
    <row r="119" spans="1:21" ht="15" customHeight="1" thickBot="1">
      <c r="A119" s="739" t="s">
        <v>30</v>
      </c>
      <c r="B119" s="740"/>
      <c r="C119" s="741"/>
      <c r="D119" s="190" t="str">
        <f>月供應率ALL!C21</f>
        <v>100</v>
      </c>
      <c r="E119" s="190" t="str">
        <f>月供應率ALL!D21</f>
        <v>100</v>
      </c>
      <c r="F119" s="190" t="str">
        <f>月供應率ALL!E21</f>
        <v>100</v>
      </c>
      <c r="G119" s="190" t="str">
        <f>月供應率ALL!F21</f>
        <v>100</v>
      </c>
      <c r="H119" s="190" t="str">
        <f>月供應率ALL!G21</f>
        <v>100</v>
      </c>
      <c r="I119" s="190" t="str">
        <f>月供應率ALL!H21</f>
        <v>100</v>
      </c>
      <c r="J119" s="190" t="str">
        <f>月供應率ALL!I21</f>
        <v>100</v>
      </c>
      <c r="K119" s="190" t="str">
        <f>月供應率ALL!J21</f>
        <v>75</v>
      </c>
      <c r="L119" s="190" t="str">
        <f>月供應率ALL!K21</f>
        <v>87.5</v>
      </c>
      <c r="M119" s="190" t="str">
        <f>月供應率ALL!L21</f>
        <v>99.7</v>
      </c>
      <c r="N119" s="190" t="str">
        <f>月供應率ALL!M21</f>
        <v>85.2</v>
      </c>
      <c r="O119" s="190" t="str">
        <f>月供應率ALL!N21</f>
        <v>0</v>
      </c>
      <c r="P119" s="190" t="str">
        <f>月供應率ALL!O21</f>
        <v>95.2</v>
      </c>
      <c r="Q119" s="540"/>
      <c r="R119" s="194"/>
      <c r="S119" s="194"/>
    </row>
    <row r="120" spans="1:21" ht="12.75" customHeight="1">
      <c r="A120" s="278"/>
      <c r="B120" s="278"/>
      <c r="C120" s="278"/>
      <c r="D120" s="279"/>
      <c r="E120" s="279"/>
      <c r="F120" s="279"/>
      <c r="G120" s="279"/>
      <c r="H120" s="280"/>
      <c r="I120" s="280"/>
      <c r="J120" s="280"/>
      <c r="K120" s="280"/>
      <c r="L120" s="280"/>
      <c r="M120" s="280"/>
      <c r="N120" s="280"/>
      <c r="O120" s="280"/>
      <c r="P120" s="280"/>
      <c r="R120" s="194"/>
      <c r="S120" s="194"/>
    </row>
    <row r="121" spans="1:21" ht="12.95">
      <c r="A121" s="151"/>
      <c r="R121" s="194"/>
      <c r="S121" s="194"/>
    </row>
    <row r="122" spans="1:21" ht="14.1" thickBot="1">
      <c r="A122" s="112" t="s">
        <v>277</v>
      </c>
      <c r="B122" s="112"/>
      <c r="C122" s="112"/>
      <c r="R122" s="194"/>
      <c r="S122" s="194"/>
    </row>
    <row r="123" spans="1:21" ht="13.5">
      <c r="A123" s="729" t="s">
        <v>1</v>
      </c>
      <c r="B123" s="730"/>
      <c r="C123" s="730"/>
      <c r="D123" s="116" t="s">
        <v>252</v>
      </c>
      <c r="E123" s="116" t="s">
        <v>253</v>
      </c>
      <c r="F123" s="116" t="s">
        <v>254</v>
      </c>
      <c r="G123" s="116" t="s">
        <v>255</v>
      </c>
      <c r="H123" s="116" t="s">
        <v>256</v>
      </c>
      <c r="I123" s="116" t="s">
        <v>257</v>
      </c>
      <c r="J123" s="116" t="s">
        <v>258</v>
      </c>
      <c r="K123" s="116" t="s">
        <v>259</v>
      </c>
      <c r="L123" s="116" t="s">
        <v>260</v>
      </c>
      <c r="M123" s="116" t="s">
        <v>261</v>
      </c>
      <c r="N123" s="116" t="s">
        <v>262</v>
      </c>
      <c r="O123" s="116" t="s">
        <v>263</v>
      </c>
      <c r="P123" s="117" t="s">
        <v>275</v>
      </c>
      <c r="R123" s="703"/>
      <c r="S123" s="704"/>
    </row>
    <row r="124" spans="1:21" s="198" customFormat="1">
      <c r="A124" s="742" t="s">
        <v>52</v>
      </c>
      <c r="B124" s="743"/>
      <c r="C124" s="743"/>
      <c r="D124" s="195" t="str">
        <f>月供應率!D2</f>
        <v>98.5</v>
      </c>
      <c r="E124" s="195" t="str">
        <f>月供應率!E2</f>
        <v>98.7</v>
      </c>
      <c r="F124" s="195" t="str">
        <f>月供應率!F2</f>
        <v>98.5</v>
      </c>
      <c r="G124" s="195" t="str">
        <f>月供應率!G2</f>
        <v>98.6</v>
      </c>
      <c r="H124" s="195" t="str">
        <f>月供應率!H2</f>
        <v>98.7</v>
      </c>
      <c r="I124" s="195" t="str">
        <f>月供應率!I2</f>
        <v>98.6</v>
      </c>
      <c r="J124" s="195" t="str">
        <f>月供應率!J2</f>
        <v>98.4</v>
      </c>
      <c r="K124" s="195" t="str">
        <f>月供應率!K2</f>
        <v>98</v>
      </c>
      <c r="L124" s="195" t="str">
        <f>月供應率!L2</f>
        <v>97.9</v>
      </c>
      <c r="M124" s="195" t="str">
        <f>月供應率!M2</f>
        <v>97.6</v>
      </c>
      <c r="N124" s="195" t="str">
        <f>月供應率!N2</f>
        <v>98.2</v>
      </c>
      <c r="O124" s="195" t="str">
        <f>月供應率!O2</f>
        <v>0</v>
      </c>
      <c r="P124" s="195" t="str">
        <f>月供應率!P2</f>
        <v>98.3</v>
      </c>
      <c r="Q124" s="197"/>
      <c r="R124" s="703"/>
      <c r="S124" s="704"/>
      <c r="T124" s="114"/>
      <c r="U124" s="114"/>
    </row>
    <row r="125" spans="1:21" s="198" customFormat="1">
      <c r="A125" s="712" t="s">
        <v>53</v>
      </c>
      <c r="B125" s="713"/>
      <c r="C125" s="713"/>
      <c r="D125" s="195" t="str">
        <f>月供應率!D3</f>
        <v>98.8</v>
      </c>
      <c r="E125" s="195" t="str">
        <f>月供應率!E3</f>
        <v>98.4</v>
      </c>
      <c r="F125" s="195" t="str">
        <f>月供應率!F3</f>
        <v>98.2</v>
      </c>
      <c r="G125" s="195" t="str">
        <f>月供應率!G3</f>
        <v>98.9</v>
      </c>
      <c r="H125" s="195" t="str">
        <f>月供應率!H3</f>
        <v>98.6</v>
      </c>
      <c r="I125" s="195" t="str">
        <f>月供應率!I3</f>
        <v>98.8</v>
      </c>
      <c r="J125" s="195" t="str">
        <f>月供應率!J3</f>
        <v>98.6</v>
      </c>
      <c r="K125" s="195" t="str">
        <f>月供應率!K3</f>
        <v>97.7</v>
      </c>
      <c r="L125" s="195" t="str">
        <f>月供應率!L3</f>
        <v>98.3</v>
      </c>
      <c r="M125" s="195" t="str">
        <f>月供應率!M3</f>
        <v>97.3</v>
      </c>
      <c r="N125" s="195" t="str">
        <f>月供應率!N3</f>
        <v>98</v>
      </c>
      <c r="O125" s="195" t="str">
        <f>月供應率!O3</f>
        <v>0</v>
      </c>
      <c r="P125" s="195" t="str">
        <f>月供應率!P3</f>
        <v>98.3</v>
      </c>
      <c r="Q125" s="197"/>
      <c r="R125" s="703"/>
      <c r="S125" s="704"/>
      <c r="T125" s="114"/>
      <c r="U125" s="114"/>
    </row>
    <row r="126" spans="1:21" s="198" customFormat="1">
      <c r="A126" s="712" t="s">
        <v>54</v>
      </c>
      <c r="B126" s="713"/>
      <c r="C126" s="713"/>
      <c r="D126" s="195" t="str">
        <f>月供應率!D4</f>
        <v>99.3</v>
      </c>
      <c r="E126" s="195" t="str">
        <f>月供應率!E4</f>
        <v>99.3</v>
      </c>
      <c r="F126" s="195" t="str">
        <f>月供應率!F4</f>
        <v>99.3</v>
      </c>
      <c r="G126" s="195" t="str">
        <f>月供應率!G4</f>
        <v>99.4</v>
      </c>
      <c r="H126" s="195" t="str">
        <f>月供應率!H4</f>
        <v>99.3</v>
      </c>
      <c r="I126" s="195" t="str">
        <f>月供應率!I4</f>
        <v>99.2</v>
      </c>
      <c r="J126" s="195" t="str">
        <f>月供應率!J4</f>
        <v>99.1</v>
      </c>
      <c r="K126" s="195" t="str">
        <f>月供應率!K4</f>
        <v>98.9</v>
      </c>
      <c r="L126" s="195" t="str">
        <f>月供應率!L4</f>
        <v>99.1</v>
      </c>
      <c r="M126" s="195" t="str">
        <f>月供應率!M4</f>
        <v>98.8</v>
      </c>
      <c r="N126" s="195" t="str">
        <f>月供應率!N4</f>
        <v>98.9</v>
      </c>
      <c r="O126" s="195" t="str">
        <f>月供應率!O4</f>
        <v>0</v>
      </c>
      <c r="P126" s="195" t="str">
        <f>月供應率!P4</f>
        <v>99.2</v>
      </c>
      <c r="Q126" s="197"/>
      <c r="R126" s="703"/>
      <c r="S126" s="704"/>
      <c r="T126" s="114"/>
      <c r="U126" s="114"/>
    </row>
    <row r="127" spans="1:21" s="198" customFormat="1">
      <c r="A127" s="719" t="s">
        <v>55</v>
      </c>
      <c r="B127" s="720"/>
      <c r="C127" s="721"/>
      <c r="D127" s="199" t="str">
        <f>月供應率!D5</f>
        <v>98.7</v>
      </c>
      <c r="E127" s="199" t="str">
        <f>月供應率!E5</f>
        <v>98.6</v>
      </c>
      <c r="F127" s="199" t="str">
        <f>月供應率!F5</f>
        <v>98.4</v>
      </c>
      <c r="G127" s="199" t="str">
        <f>月供應率!G5</f>
        <v>98.8</v>
      </c>
      <c r="H127" s="199" t="str">
        <f>月供應率!H5</f>
        <v>98.7</v>
      </c>
      <c r="I127" s="199" t="str">
        <f>月供應率!I5</f>
        <v>98.8</v>
      </c>
      <c r="J127" s="199" t="str">
        <f>月供應率!J5</f>
        <v>98.5</v>
      </c>
      <c r="K127" s="199" t="str">
        <f>月供應率!K5</f>
        <v>98</v>
      </c>
      <c r="L127" s="199" t="str">
        <f>月供應率!L5</f>
        <v>98.2</v>
      </c>
      <c r="M127" s="199" t="str">
        <f>月供應率!M5</f>
        <v>97.6</v>
      </c>
      <c r="N127" s="199" t="str">
        <f>月供應率!N5</f>
        <v>98.2</v>
      </c>
      <c r="O127" s="199" t="str">
        <f>月供應率!O5</f>
        <v>0</v>
      </c>
      <c r="P127" s="199" t="str">
        <f>月供應率!P5</f>
        <v>98.4</v>
      </c>
      <c r="Q127" s="197"/>
      <c r="R127" s="703"/>
      <c r="S127" s="704"/>
      <c r="T127" s="114"/>
      <c r="U127" s="114"/>
    </row>
    <row r="128" spans="1:21" s="198" customFormat="1">
      <c r="A128" s="712" t="s">
        <v>12</v>
      </c>
      <c r="B128" s="713"/>
      <c r="C128" s="713"/>
      <c r="D128" s="195" t="str">
        <f>月供應率!D7</f>
        <v>99.9</v>
      </c>
      <c r="E128" s="195" t="str">
        <f>月供應率!E7</f>
        <v>99.3</v>
      </c>
      <c r="F128" s="195" t="str">
        <f>月供應率!F7</f>
        <v>100</v>
      </c>
      <c r="G128" s="195" t="str">
        <f>月供應率!G7</f>
        <v>100</v>
      </c>
      <c r="H128" s="195" t="str">
        <f>月供應率!H7</f>
        <v>99.9</v>
      </c>
      <c r="I128" s="195" t="str">
        <f>月供應率!I7</f>
        <v>99.5</v>
      </c>
      <c r="J128" s="195" t="str">
        <f>月供應率!J7</f>
        <v>99.7</v>
      </c>
      <c r="K128" s="195" t="str">
        <f>月供應率!K7</f>
        <v>100</v>
      </c>
      <c r="L128" s="195" t="str">
        <f>月供應率!L7</f>
        <v>99.9</v>
      </c>
      <c r="M128" s="195" t="str">
        <f>月供應率!M7</f>
        <v>99.9</v>
      </c>
      <c r="N128" s="195" t="str">
        <f>月供應率!N7</f>
        <v>99.8</v>
      </c>
      <c r="O128" s="195" t="str">
        <f>月供應率!O7</f>
        <v>0</v>
      </c>
      <c r="P128" s="195" t="str">
        <f>月供應率!P7</f>
        <v>99.8</v>
      </c>
      <c r="Q128" s="197"/>
      <c r="R128" s="703"/>
      <c r="S128" s="704"/>
      <c r="T128" s="114"/>
      <c r="U128" s="114"/>
    </row>
    <row r="129" spans="1:21" s="198" customFormat="1">
      <c r="A129" s="712" t="s">
        <v>13</v>
      </c>
      <c r="B129" s="713"/>
      <c r="C129" s="713"/>
      <c r="D129" s="195" t="str">
        <f>月供應率!D8</f>
        <v>81.6</v>
      </c>
      <c r="E129" s="195" t="str">
        <f>月供應率!E8</f>
        <v>91.6</v>
      </c>
      <c r="F129" s="195" t="str">
        <f>月供應率!F8</f>
        <v>87.1</v>
      </c>
      <c r="G129" s="195" t="str">
        <f>月供應率!G8</f>
        <v>84.9</v>
      </c>
      <c r="H129" s="195" t="str">
        <f>月供應率!H8</f>
        <v>97</v>
      </c>
      <c r="I129" s="195" t="str">
        <f>月供應率!I8</f>
        <v>97.4</v>
      </c>
      <c r="J129" s="195" t="str">
        <f>月供應率!J8</f>
        <v>93.3</v>
      </c>
      <c r="K129" s="195" t="str">
        <f>月供應率!K8</f>
        <v>93.9</v>
      </c>
      <c r="L129" s="195" t="str">
        <f>月供應率!L8</f>
        <v>96</v>
      </c>
      <c r="M129" s="195" t="str">
        <f>月供應率!M8</f>
        <v>91.5</v>
      </c>
      <c r="N129" s="195" t="str">
        <f>月供應率!N8</f>
        <v>92.5</v>
      </c>
      <c r="O129" s="195" t="str">
        <f>月供應率!O8</f>
        <v>0</v>
      </c>
      <c r="P129" s="195" t="str">
        <f>月供應率!P8</f>
        <v>91.5</v>
      </c>
      <c r="Q129" s="197"/>
      <c r="R129" s="703"/>
      <c r="S129" s="704"/>
      <c r="T129" s="114"/>
      <c r="U129" s="114"/>
    </row>
    <row r="130" spans="1:21" s="198" customFormat="1">
      <c r="A130" s="712" t="s">
        <v>14</v>
      </c>
      <c r="B130" s="713"/>
      <c r="C130" s="713"/>
      <c r="D130" s="195" t="str">
        <f>月供應率!D9</f>
        <v>99.4</v>
      </c>
      <c r="E130" s="195" t="str">
        <f>月供應率!E9</f>
        <v>99.5</v>
      </c>
      <c r="F130" s="195" t="str">
        <f>月供應率!F9</f>
        <v>99.4</v>
      </c>
      <c r="G130" s="195" t="str">
        <f>月供應率!G9</f>
        <v>99.5</v>
      </c>
      <c r="H130" s="195" t="str">
        <f>月供應率!H9</f>
        <v>99.5</v>
      </c>
      <c r="I130" s="195" t="str">
        <f>月供應率!I9</f>
        <v>99.4</v>
      </c>
      <c r="J130" s="195" t="str">
        <f>月供應率!J9</f>
        <v>99.3</v>
      </c>
      <c r="K130" s="195" t="str">
        <f>月供應率!K9</f>
        <v>99.5</v>
      </c>
      <c r="L130" s="195" t="str">
        <f>月供應率!L9</f>
        <v>99.5</v>
      </c>
      <c r="M130" s="195" t="str">
        <f>月供應率!M9</f>
        <v>98.9</v>
      </c>
      <c r="N130" s="195" t="str">
        <f>月供應率!N9</f>
        <v>99.5</v>
      </c>
      <c r="O130" s="195" t="str">
        <f>月供應率!O9</f>
        <v>0</v>
      </c>
      <c r="P130" s="195" t="str">
        <f>月供應率!P9</f>
        <v>99.4</v>
      </c>
      <c r="Q130" s="197"/>
      <c r="R130" s="703"/>
      <c r="S130" s="704"/>
      <c r="T130" s="114"/>
      <c r="U130" s="114"/>
    </row>
    <row r="131" spans="1:21" s="198" customFormat="1">
      <c r="A131" s="712" t="s">
        <v>21</v>
      </c>
      <c r="B131" s="713"/>
      <c r="C131" s="713"/>
      <c r="D131" s="195" t="str">
        <f>月供應率!D22</f>
        <v>93.8</v>
      </c>
      <c r="E131" s="195" t="str">
        <f>月供應率!E22</f>
        <v>94.6</v>
      </c>
      <c r="F131" s="195" t="str">
        <f>月供應率!F22</f>
        <v>95.2</v>
      </c>
      <c r="G131" s="195" t="str">
        <f>月供應率!G22</f>
        <v>94.6</v>
      </c>
      <c r="H131" s="195" t="str">
        <f>月供應率!H22</f>
        <v>93.6</v>
      </c>
      <c r="I131" s="195" t="str">
        <f>月供應率!I22</f>
        <v>95</v>
      </c>
      <c r="J131" s="195" t="str">
        <f>月供應率!J22</f>
        <v>94.8</v>
      </c>
      <c r="K131" s="195" t="str">
        <f>月供應率!K22</f>
        <v>94.8</v>
      </c>
      <c r="L131" s="195" t="str">
        <f>月供應率!L22</f>
        <v>94</v>
      </c>
      <c r="M131" s="195" t="str">
        <f>月供應率!M22</f>
        <v>92.6</v>
      </c>
      <c r="N131" s="195" t="str">
        <f>月供應率!N22</f>
        <v>94.1</v>
      </c>
      <c r="O131" s="195" t="str">
        <f>月供應率!O22</f>
        <v>0</v>
      </c>
      <c r="P131" s="195" t="str">
        <f>月供應率!P22</f>
        <v>94.3</v>
      </c>
      <c r="Q131" s="197"/>
      <c r="R131" s="703"/>
      <c r="S131" s="704"/>
      <c r="T131" s="114"/>
      <c r="U131" s="114"/>
    </row>
    <row r="132" spans="1:21" s="198" customFormat="1" ht="12.95" thickBot="1">
      <c r="A132" s="735" t="s">
        <v>16</v>
      </c>
      <c r="B132" s="736"/>
      <c r="C132" s="736"/>
      <c r="D132" s="201" t="str">
        <f>月供應率!D11</f>
        <v>98.7</v>
      </c>
      <c r="E132" s="201" t="str">
        <f>月供應率!E11</f>
        <v>97.8</v>
      </c>
      <c r="F132" s="201" t="str">
        <f>月供應率!F11</f>
        <v>98.8</v>
      </c>
      <c r="G132" s="201" t="str">
        <f>月供應率!G11</f>
        <v>98.6</v>
      </c>
      <c r="H132" s="201" t="str">
        <f>月供應率!H11</f>
        <v>98.3</v>
      </c>
      <c r="I132" s="201" t="str">
        <f>月供應率!I11</f>
        <v>98.3</v>
      </c>
      <c r="J132" s="201" t="str">
        <f>月供應率!J11</f>
        <v>95.8</v>
      </c>
      <c r="K132" s="201" t="str">
        <f>月供應率!K11</f>
        <v>98.5</v>
      </c>
      <c r="L132" s="201" t="str">
        <f>月供應率!L11</f>
        <v>96.4</v>
      </c>
      <c r="M132" s="201" t="str">
        <f>月供應率!M11</f>
        <v>98.5</v>
      </c>
      <c r="N132" s="201" t="str">
        <f>月供應率!N11</f>
        <v>99.3</v>
      </c>
      <c r="O132" s="201" t="str">
        <f>月供應率!O11</f>
        <v>0</v>
      </c>
      <c r="P132" s="201" t="str">
        <f>月供應率!P11</f>
        <v>98.1</v>
      </c>
      <c r="Q132" s="197"/>
      <c r="R132" s="240"/>
      <c r="S132" s="241"/>
      <c r="T132" s="114"/>
      <c r="U132" s="114"/>
    </row>
    <row r="133" spans="1:21" s="198" customFormat="1">
      <c r="A133" s="712" t="s">
        <v>23</v>
      </c>
      <c r="B133" s="713"/>
      <c r="C133" s="713"/>
      <c r="D133" s="195" t="str">
        <f>月供應率!D6</f>
        <v>98.2</v>
      </c>
      <c r="E133" s="195" t="str">
        <f>月供應率!E6</f>
        <v>98.5</v>
      </c>
      <c r="F133" s="195" t="str">
        <f>月供應率!F6</f>
        <v>98.8</v>
      </c>
      <c r="G133" s="195" t="str">
        <f>月供應率!G6</f>
        <v>98.8</v>
      </c>
      <c r="H133" s="195" t="str">
        <f>月供應率!H6</f>
        <v>98.9</v>
      </c>
      <c r="I133" s="195" t="str">
        <f>月供應率!I6</f>
        <v>98.8</v>
      </c>
      <c r="J133" s="195" t="str">
        <f>月供應率!J6</f>
        <v>98.7</v>
      </c>
      <c r="K133" s="195" t="str">
        <f>月供應率!K6</f>
        <v>98.8</v>
      </c>
      <c r="L133" s="195" t="str">
        <f>月供應率!L6</f>
        <v>97.7</v>
      </c>
      <c r="M133" s="195" t="str">
        <f>月供應率!M6</f>
        <v>98.2</v>
      </c>
      <c r="N133" s="195" t="str">
        <f>月供應率!N6</f>
        <v>98.5</v>
      </c>
      <c r="O133" s="195" t="str">
        <f>月供應率!O6</f>
        <v>0</v>
      </c>
      <c r="P133" s="195" t="str">
        <f>月供應率!P6</f>
        <v>98.5</v>
      </c>
      <c r="Q133" s="197"/>
      <c r="R133" s="240"/>
      <c r="S133" s="241"/>
      <c r="T133" s="114"/>
      <c r="U133" s="114"/>
    </row>
    <row r="134" spans="1:21" s="198" customFormat="1">
      <c r="A134" s="700" t="s">
        <v>24</v>
      </c>
      <c r="B134" s="701"/>
      <c r="C134" s="702"/>
      <c r="D134" s="260" t="str">
        <f>月供應率!D12</f>
        <v>98.6</v>
      </c>
      <c r="E134" s="260" t="str">
        <f>月供應率!E12</f>
        <v>99.5</v>
      </c>
      <c r="F134" s="260" t="str">
        <f>月供應率!F12</f>
        <v>99.8</v>
      </c>
      <c r="G134" s="260" t="str">
        <f>月供應率!G12</f>
        <v>100</v>
      </c>
      <c r="H134" s="260" t="str">
        <f>月供應率!H12</f>
        <v>100</v>
      </c>
      <c r="I134" s="260" t="str">
        <f>月供應率!I12</f>
        <v>99.8</v>
      </c>
      <c r="J134" s="260" t="str">
        <f>月供應率!J12</f>
        <v>100</v>
      </c>
      <c r="K134" s="260" t="str">
        <f>月供應率!K12</f>
        <v>99.8</v>
      </c>
      <c r="L134" s="260" t="str">
        <f>月供應率!L12</f>
        <v>100</v>
      </c>
      <c r="M134" s="260" t="str">
        <f>月供應率!M12</f>
        <v>100</v>
      </c>
      <c r="N134" s="260" t="str">
        <f>月供應率!N12</f>
        <v>99.8</v>
      </c>
      <c r="O134" s="260" t="str">
        <f>月供應率!O12</f>
        <v>0</v>
      </c>
      <c r="P134" s="260" t="str">
        <f>月供應率!P12</f>
        <v>99.7</v>
      </c>
      <c r="Q134" s="197"/>
      <c r="R134" s="240"/>
      <c r="S134" s="241"/>
      <c r="T134" s="114"/>
      <c r="U134" s="114"/>
    </row>
    <row r="135" spans="1:21" s="198" customFormat="1">
      <c r="A135" s="700" t="s">
        <v>25</v>
      </c>
      <c r="B135" s="701"/>
      <c r="C135" s="702"/>
      <c r="D135" s="260" t="str">
        <f>月供應率!D13</f>
        <v>97.9</v>
      </c>
      <c r="E135" s="260" t="str">
        <f>月供應率!E13</f>
        <v>94.7</v>
      </c>
      <c r="F135" s="260" t="str">
        <f>月供應率!F13</f>
        <v>95.7</v>
      </c>
      <c r="G135" s="260" t="str">
        <f>月供應率!G13</f>
        <v>94.4</v>
      </c>
      <c r="H135" s="260" t="str">
        <f>月供應率!H13</f>
        <v>90.7</v>
      </c>
      <c r="I135" s="260" t="str">
        <f>月供應率!I13</f>
        <v>95.5</v>
      </c>
      <c r="J135" s="260" t="str">
        <f>月供應率!J13</f>
        <v>93.1</v>
      </c>
      <c r="K135" s="260" t="str">
        <f>月供應率!K13</f>
        <v>91.7</v>
      </c>
      <c r="L135" s="260" t="str">
        <f>月供應率!L13</f>
        <v>79</v>
      </c>
      <c r="M135" s="260" t="str">
        <f>月供應率!M13</f>
        <v>89.4</v>
      </c>
      <c r="N135" s="260" t="str">
        <f>月供應率!N13</f>
        <v>94.8</v>
      </c>
      <c r="O135" s="260" t="str">
        <f>月供應率!O13</f>
        <v>0</v>
      </c>
      <c r="P135" s="260" t="str">
        <f>月供應率!P13</f>
        <v>92.5</v>
      </c>
      <c r="Q135" s="197"/>
      <c r="R135" s="240"/>
      <c r="S135" s="241"/>
      <c r="T135" s="114"/>
      <c r="U135" s="114"/>
    </row>
    <row r="136" spans="1:21" s="198" customFormat="1">
      <c r="A136" s="700" t="s">
        <v>26</v>
      </c>
      <c r="B136" s="701"/>
      <c r="C136" s="702"/>
      <c r="D136" s="260" t="str">
        <f>月供應率!D14</f>
        <v>96.6</v>
      </c>
      <c r="E136" s="260" t="str">
        <f>月供應率!E14</f>
        <v>95.8</v>
      </c>
      <c r="F136" s="260" t="str">
        <f>月供應率!F14</f>
        <v>97.5</v>
      </c>
      <c r="G136" s="260" t="str">
        <f>月供應率!G14</f>
        <v>97.4</v>
      </c>
      <c r="H136" s="260" t="str">
        <f>月供應率!H14</f>
        <v>97.6</v>
      </c>
      <c r="I136" s="260" t="str">
        <f>月供應率!I14</f>
        <v>97</v>
      </c>
      <c r="J136" s="260" t="str">
        <f>月供應率!J14</f>
        <v>97.7</v>
      </c>
      <c r="K136" s="260" t="str">
        <f>月供應率!K14</f>
        <v>96.9</v>
      </c>
      <c r="L136" s="260" t="str">
        <f>月供應率!L14</f>
        <v>97.9</v>
      </c>
      <c r="M136" s="260" t="str">
        <f>月供應率!M14</f>
        <v>97.3</v>
      </c>
      <c r="N136" s="260" t="str">
        <f>月供應率!N14</f>
        <v>97.6</v>
      </c>
      <c r="O136" s="260" t="str">
        <f>月供應率!O14</f>
        <v>0</v>
      </c>
      <c r="P136" s="260" t="str">
        <f>月供應率!P14</f>
        <v>97.2</v>
      </c>
      <c r="Q136" s="197"/>
      <c r="R136" s="240"/>
      <c r="S136" s="241"/>
      <c r="T136" s="114"/>
      <c r="U136" s="114"/>
    </row>
    <row r="137" spans="1:21" s="198" customFormat="1">
      <c r="A137" s="700" t="s">
        <v>27</v>
      </c>
      <c r="B137" s="701"/>
      <c r="C137" s="702"/>
      <c r="D137" s="260" t="str">
        <f>月供應率!D15</f>
        <v>97.4</v>
      </c>
      <c r="E137" s="260" t="str">
        <f>月供應率!E15</f>
        <v>90.2</v>
      </c>
      <c r="F137" s="260" t="str">
        <f>月供應率!F15</f>
        <v>98.3</v>
      </c>
      <c r="G137" s="260" t="str">
        <f>月供應率!G15</f>
        <v>93.3</v>
      </c>
      <c r="H137" s="260" t="str">
        <f>月供應率!H15</f>
        <v>96.4</v>
      </c>
      <c r="I137" s="260" t="str">
        <f>月供應率!I15</f>
        <v>96.1</v>
      </c>
      <c r="J137" s="260" t="str">
        <f>月供應率!J15</f>
        <v>96.6</v>
      </c>
      <c r="K137" s="260" t="str">
        <f>月供應率!K15</f>
        <v>95.6</v>
      </c>
      <c r="L137" s="260" t="str">
        <f>月供應率!L15</f>
        <v>95.3</v>
      </c>
      <c r="M137" s="260" t="str">
        <f>月供應率!M15</f>
        <v>97.6</v>
      </c>
      <c r="N137" s="260" t="str">
        <f>月供應率!N15</f>
        <v>98.6</v>
      </c>
      <c r="O137" s="260" t="str">
        <f>月供應率!O15</f>
        <v>0</v>
      </c>
      <c r="P137" s="260" t="str">
        <f>月供應率!P15</f>
        <v>96</v>
      </c>
      <c r="Q137" s="197"/>
      <c r="R137" s="240"/>
      <c r="S137" s="241"/>
      <c r="T137" s="114"/>
      <c r="U137" s="114"/>
    </row>
    <row r="138" spans="1:21" s="198" customFormat="1" ht="12.95" thickBot="1">
      <c r="A138" s="726" t="s">
        <v>28</v>
      </c>
      <c r="B138" s="727"/>
      <c r="C138" s="728"/>
      <c r="D138" s="260" t="str">
        <f>月供應率!D16</f>
        <v>0</v>
      </c>
      <c r="E138" s="260" t="str">
        <f>月供應率!E16</f>
        <v>0</v>
      </c>
      <c r="F138" s="260" t="str">
        <f>月供應率!F16</f>
        <v>0</v>
      </c>
      <c r="G138" s="260" t="str">
        <f>月供應率!G16</f>
        <v>0</v>
      </c>
      <c r="H138" s="260" t="str">
        <f>月供應率!H16</f>
        <v>100</v>
      </c>
      <c r="I138" s="260" t="str">
        <f>月供應率!I16</f>
        <v>0</v>
      </c>
      <c r="J138" s="260" t="str">
        <f>月供應率!J16</f>
        <v>0</v>
      </c>
      <c r="K138" s="260" t="str">
        <f>月供應率!K16</f>
        <v>100</v>
      </c>
      <c r="L138" s="260" t="str">
        <f>月供應率!L16</f>
        <v>0</v>
      </c>
      <c r="M138" s="260" t="str">
        <f>月供應率!M16</f>
        <v>0</v>
      </c>
      <c r="N138" s="260" t="str">
        <f>月供應率!N16</f>
        <v>0</v>
      </c>
      <c r="O138" s="260" t="str">
        <f>月供應率!O16</f>
        <v>0</v>
      </c>
      <c r="P138" s="260" t="str">
        <f>月供應率!P16</f>
        <v>18.1</v>
      </c>
      <c r="Q138" s="197"/>
      <c r="R138" s="240"/>
      <c r="S138" s="241"/>
      <c r="T138" s="114"/>
      <c r="U138" s="114"/>
    </row>
    <row r="139" spans="1:21" s="198" customFormat="1" ht="12.75" customHeight="1">
      <c r="A139" s="731" t="s">
        <v>31</v>
      </c>
      <c r="B139" s="732"/>
      <c r="C139" s="732"/>
      <c r="D139" s="282" t="str">
        <f>月供應率!D17</f>
        <v>0</v>
      </c>
      <c r="E139" s="282" t="str">
        <f>月供應率!E17</f>
        <v>0</v>
      </c>
      <c r="F139" s="282" t="str">
        <f>月供應率!F17</f>
        <v>0</v>
      </c>
      <c r="G139" s="282" t="str">
        <f>月供應率!G17</f>
        <v>0</v>
      </c>
      <c r="H139" s="282" t="str">
        <f>月供應率!H17</f>
        <v>0</v>
      </c>
      <c r="I139" s="282" t="str">
        <f>月供應率!I17</f>
        <v>0</v>
      </c>
      <c r="J139" s="282" t="str">
        <f>月供應率!J17</f>
        <v>0</v>
      </c>
      <c r="K139" s="282" t="str">
        <f>月供應率!K17</f>
        <v>0</v>
      </c>
      <c r="L139" s="282" t="str">
        <f>月供應率!L17</f>
        <v>0</v>
      </c>
      <c r="M139" s="282" t="str">
        <f>月供應率!M17</f>
        <v>0</v>
      </c>
      <c r="N139" s="282" t="str">
        <f>月供應率!N17</f>
        <v>0</v>
      </c>
      <c r="O139" s="282" t="str">
        <f>月供應率!O17</f>
        <v>0</v>
      </c>
      <c r="P139" s="296" t="str">
        <f>月供應率!P17</f>
        <v>0</v>
      </c>
      <c r="Q139" s="197"/>
      <c r="R139" s="240"/>
      <c r="S139" s="241"/>
      <c r="T139" s="114"/>
      <c r="U139" s="114"/>
    </row>
    <row r="140" spans="1:21" s="198" customFormat="1" ht="12.75" customHeight="1">
      <c r="A140" s="724" t="s">
        <v>32</v>
      </c>
      <c r="B140" s="725"/>
      <c r="C140" s="725"/>
      <c r="D140" s="195" t="str">
        <f>月供應率!D18</f>
        <v>0</v>
      </c>
      <c r="E140" s="195" t="str">
        <f>月供應率!E18</f>
        <v>0</v>
      </c>
      <c r="F140" s="195" t="str">
        <f>月供應率!F18</f>
        <v>0</v>
      </c>
      <c r="G140" s="195" t="str">
        <f>月供應率!G18</f>
        <v>0</v>
      </c>
      <c r="H140" s="195" t="str">
        <f>月供應率!H18</f>
        <v>0</v>
      </c>
      <c r="I140" s="195" t="str">
        <f>月供應率!I18</f>
        <v>0</v>
      </c>
      <c r="J140" s="195" t="str">
        <f>月供應率!J18</f>
        <v>0</v>
      </c>
      <c r="K140" s="195" t="str">
        <f>月供應率!K18</f>
        <v>0</v>
      </c>
      <c r="L140" s="195" t="str">
        <f>月供應率!L18</f>
        <v>0</v>
      </c>
      <c r="M140" s="195" t="str">
        <f>月供應率!M18</f>
        <v>0</v>
      </c>
      <c r="N140" s="195" t="str">
        <f>月供應率!N18</f>
        <v>0</v>
      </c>
      <c r="O140" s="195" t="str">
        <f>月供應率!O18</f>
        <v>0</v>
      </c>
      <c r="P140" s="196" t="str">
        <f>月供應率!P18</f>
        <v>0</v>
      </c>
      <c r="Q140" s="197"/>
      <c r="R140" s="240"/>
      <c r="S140" s="241"/>
      <c r="T140" s="114"/>
      <c r="U140" s="114"/>
    </row>
    <row r="141" spans="1:21" s="198" customFormat="1" ht="13.5">
      <c r="A141" s="724" t="s">
        <v>33</v>
      </c>
      <c r="B141" s="725"/>
      <c r="C141" s="725"/>
      <c r="D141" s="195" t="str">
        <f>月供應率!D19</f>
        <v>0</v>
      </c>
      <c r="E141" s="195" t="str">
        <f>月供應率!E19</f>
        <v>0</v>
      </c>
      <c r="F141" s="195" t="str">
        <f>月供應率!F19</f>
        <v>0</v>
      </c>
      <c r="G141" s="195" t="str">
        <f>月供應率!G19</f>
        <v>0</v>
      </c>
      <c r="H141" s="195" t="str">
        <f>月供應率!H19</f>
        <v>0</v>
      </c>
      <c r="I141" s="195" t="str">
        <f>月供應率!I19</f>
        <v>0</v>
      </c>
      <c r="J141" s="195" t="str">
        <f>月供應率!J19</f>
        <v>0</v>
      </c>
      <c r="K141" s="195" t="str">
        <f>月供應率!K19</f>
        <v>0</v>
      </c>
      <c r="L141" s="195" t="str">
        <f>月供應率!L19</f>
        <v>0</v>
      </c>
      <c r="M141" s="195" t="str">
        <f>月供應率!M19</f>
        <v>0</v>
      </c>
      <c r="N141" s="195" t="str">
        <f>月供應率!N19</f>
        <v>0</v>
      </c>
      <c r="O141" s="195" t="str">
        <f>月供應率!O19</f>
        <v>0</v>
      </c>
      <c r="P141" s="196" t="str">
        <f>月供應率!P19</f>
        <v>0</v>
      </c>
      <c r="Q141" s="197"/>
      <c r="R141" s="240"/>
      <c r="S141" s="241"/>
      <c r="T141" s="114"/>
      <c r="U141" s="114"/>
    </row>
    <row r="142" spans="1:21" s="198" customFormat="1" ht="12.75" customHeight="1">
      <c r="A142" s="724" t="s">
        <v>34</v>
      </c>
      <c r="B142" s="725"/>
      <c r="C142" s="725"/>
      <c r="D142" s="195" t="str">
        <f>月供應率!D20</f>
        <v>0</v>
      </c>
      <c r="E142" s="195" t="str">
        <f>月供應率!E20</f>
        <v>0</v>
      </c>
      <c r="F142" s="195" t="str">
        <f>月供應率!F20</f>
        <v>0</v>
      </c>
      <c r="G142" s="195" t="str">
        <f>月供應率!G20</f>
        <v>0</v>
      </c>
      <c r="H142" s="195" t="str">
        <f>月供應率!H20</f>
        <v>0</v>
      </c>
      <c r="I142" s="195" t="str">
        <f>月供應率!I20</f>
        <v>0</v>
      </c>
      <c r="J142" s="195" t="str">
        <f>月供應率!J20</f>
        <v>0</v>
      </c>
      <c r="K142" s="195" t="str">
        <f>月供應率!K20</f>
        <v>0</v>
      </c>
      <c r="L142" s="195" t="str">
        <f>月供應率!L20</f>
        <v>0</v>
      </c>
      <c r="M142" s="195" t="str">
        <f>月供應率!M20</f>
        <v>0</v>
      </c>
      <c r="N142" s="195" t="str">
        <f>月供應率!N20</f>
        <v>0</v>
      </c>
      <c r="O142" s="195" t="str">
        <f>月供應率!O20</f>
        <v>0</v>
      </c>
      <c r="P142" s="196" t="str">
        <f>月供應率!P20</f>
        <v>0</v>
      </c>
      <c r="Q142" s="197"/>
      <c r="R142" s="240"/>
      <c r="S142" s="241"/>
      <c r="T142" s="114"/>
      <c r="U142" s="114"/>
    </row>
    <row r="143" spans="1:21" s="198" customFormat="1" ht="12.75" customHeight="1" thickBot="1">
      <c r="A143" s="733" t="s">
        <v>35</v>
      </c>
      <c r="B143" s="734"/>
      <c r="C143" s="734"/>
      <c r="D143" s="201" t="str">
        <f>月供應率!D21</f>
        <v>0</v>
      </c>
      <c r="E143" s="201" t="str">
        <f>月供應率!E21</f>
        <v>0</v>
      </c>
      <c r="F143" s="201" t="str">
        <f>月供應率!F21</f>
        <v>0</v>
      </c>
      <c r="G143" s="201" t="str">
        <f>月供應率!G21</f>
        <v>0</v>
      </c>
      <c r="H143" s="201" t="str">
        <f>月供應率!H21</f>
        <v>0</v>
      </c>
      <c r="I143" s="201" t="str">
        <f>月供應率!I21</f>
        <v>0</v>
      </c>
      <c r="J143" s="201" t="str">
        <f>月供應率!J21</f>
        <v>0</v>
      </c>
      <c r="K143" s="201" t="str">
        <f>月供應率!K21</f>
        <v>0</v>
      </c>
      <c r="L143" s="201" t="str">
        <f>月供應率!L21</f>
        <v>0</v>
      </c>
      <c r="M143" s="201" t="str">
        <f>月供應率!M21</f>
        <v>0</v>
      </c>
      <c r="N143" s="201" t="str">
        <f>月供應率!N21</f>
        <v>0</v>
      </c>
      <c r="O143" s="201" t="str">
        <f>月供應率!O21</f>
        <v>0</v>
      </c>
      <c r="P143" s="202" t="str">
        <f>月供應率!P21</f>
        <v>0</v>
      </c>
      <c r="Q143" s="197"/>
      <c r="R143" s="240"/>
      <c r="S143" s="241"/>
      <c r="T143" s="114"/>
      <c r="U143" s="114"/>
    </row>
    <row r="144" spans="1:21" ht="12.95">
      <c r="A144" s="151"/>
      <c r="B144" s="203"/>
      <c r="C144" s="203"/>
      <c r="R144" s="194"/>
      <c r="S144" s="194"/>
    </row>
    <row r="145" spans="1:19" ht="14.1" thickBot="1">
      <c r="A145" s="112" t="s">
        <v>278</v>
      </c>
      <c r="B145" s="112"/>
      <c r="C145" s="112"/>
      <c r="R145" s="194"/>
      <c r="S145" s="194"/>
    </row>
    <row r="146" spans="1:19" ht="13.5">
      <c r="A146" s="729" t="s">
        <v>1</v>
      </c>
      <c r="B146" s="730"/>
      <c r="C146" s="730"/>
      <c r="D146" s="116" t="s">
        <v>252</v>
      </c>
      <c r="E146" s="116" t="s">
        <v>253</v>
      </c>
      <c r="F146" s="116" t="s">
        <v>254</v>
      </c>
      <c r="G146" s="116" t="s">
        <v>255</v>
      </c>
      <c r="H146" s="116" t="s">
        <v>256</v>
      </c>
      <c r="I146" s="116" t="s">
        <v>257</v>
      </c>
      <c r="J146" s="116" t="s">
        <v>258</v>
      </c>
      <c r="K146" s="116" t="s">
        <v>259</v>
      </c>
      <c r="L146" s="116" t="s">
        <v>260</v>
      </c>
      <c r="M146" s="116" t="s">
        <v>261</v>
      </c>
      <c r="N146" s="116" t="s">
        <v>262</v>
      </c>
      <c r="O146" s="116" t="s">
        <v>263</v>
      </c>
      <c r="P146" s="117" t="s">
        <v>264</v>
      </c>
      <c r="R146" s="703"/>
      <c r="S146" s="704"/>
    </row>
    <row r="147" spans="1:19">
      <c r="A147" s="722" t="s">
        <v>11</v>
      </c>
      <c r="B147" s="723"/>
      <c r="C147" s="723"/>
      <c r="D147" s="204">
        <f>VALUE(月點數BO!C2)</f>
        <v>4854</v>
      </c>
      <c r="E147" s="204">
        <f>VALUE(月點數BO!D2)</f>
        <v>3515</v>
      </c>
      <c r="F147" s="204">
        <f>VALUE(月點數BO!E2)</f>
        <v>5075</v>
      </c>
      <c r="G147" s="204">
        <f>VALUE(月點數BO!F2)</f>
        <v>3601</v>
      </c>
      <c r="H147" s="204">
        <f>VALUE(月點數BO!G2)</f>
        <v>4098</v>
      </c>
      <c r="I147" s="204">
        <f>VALUE(月點數BO!H2)</f>
        <v>3642</v>
      </c>
      <c r="J147" s="204">
        <f>VALUE(月點數BO!I2)</f>
        <v>4783</v>
      </c>
      <c r="K147" s="204">
        <f>VALUE(月點數BO!J2)</f>
        <v>6328</v>
      </c>
      <c r="L147" s="204">
        <f>VALUE(月點數BO!K2)</f>
        <v>5071</v>
      </c>
      <c r="M147" s="204">
        <f>VALUE(月點數BO!L2)</f>
        <v>6703</v>
      </c>
      <c r="N147" s="204">
        <f>VALUE(月點數BO!M2)</f>
        <v>5572</v>
      </c>
      <c r="O147" s="204">
        <f>VALUE(月點數BO!N2)</f>
        <v>0</v>
      </c>
      <c r="P147" s="204">
        <f>VALUE(月點數BO!O2)</f>
        <v>4840</v>
      </c>
      <c r="Q147" s="206"/>
      <c r="R147" s="703"/>
      <c r="S147" s="704"/>
    </row>
    <row r="148" spans="1:19">
      <c r="A148" s="710" t="s">
        <v>12</v>
      </c>
      <c r="B148" s="711"/>
      <c r="C148" s="711"/>
      <c r="D148" s="204">
        <f>VALUE(月點數BO!C4)</f>
        <v>1</v>
      </c>
      <c r="E148" s="204">
        <f>VALUE(月點數BO!D4)</f>
        <v>53</v>
      </c>
      <c r="F148" s="204">
        <f>VALUE(月點數BO!E4)</f>
        <v>0</v>
      </c>
      <c r="G148" s="204">
        <f>VALUE(月點數BO!F4)</f>
        <v>1</v>
      </c>
      <c r="H148" s="204">
        <f>VALUE(月點數BO!G4)</f>
        <v>1</v>
      </c>
      <c r="I148" s="204">
        <f>VALUE(月點數BO!H4)</f>
        <v>45</v>
      </c>
      <c r="J148" s="204">
        <f>VALUE(月點數BO!I4)</f>
        <v>29</v>
      </c>
      <c r="K148" s="204">
        <f>VALUE(月點數BO!J4)</f>
        <v>0</v>
      </c>
      <c r="L148" s="204">
        <f>VALUE(月點數BO!K4)</f>
        <v>3</v>
      </c>
      <c r="M148" s="204">
        <f>VALUE(月點數BO!L4)</f>
        <v>1</v>
      </c>
      <c r="N148" s="204">
        <f>VALUE(月點數BO!M4)</f>
        <v>16</v>
      </c>
      <c r="O148" s="204">
        <f>VALUE(月點數BO!N4)</f>
        <v>0</v>
      </c>
      <c r="P148" s="204">
        <f>VALUE(月點數BO!O4)</f>
        <v>14</v>
      </c>
      <c r="R148" s="703"/>
      <c r="S148" s="704"/>
    </row>
    <row r="149" spans="1:19">
      <c r="A149" s="710" t="s">
        <v>13</v>
      </c>
      <c r="B149" s="711"/>
      <c r="C149" s="711"/>
      <c r="D149" s="204">
        <f>VALUE(月點數BO!C5)</f>
        <v>280</v>
      </c>
      <c r="E149" s="204">
        <f>VALUE(月點數BO!D5)</f>
        <v>96</v>
      </c>
      <c r="F149" s="204">
        <f>VALUE(月點數BO!E5)</f>
        <v>160</v>
      </c>
      <c r="G149" s="204">
        <f>VALUE(月點數BO!F5)</f>
        <v>245</v>
      </c>
      <c r="H149" s="204">
        <f>VALUE(月點數BO!G5)</f>
        <v>74</v>
      </c>
      <c r="I149" s="204">
        <f>VALUE(月點數BO!H5)</f>
        <v>48</v>
      </c>
      <c r="J149" s="204">
        <f>VALUE(月點數BO!I5)</f>
        <v>117</v>
      </c>
      <c r="K149" s="204">
        <f>VALUE(月點數BO!J5)</f>
        <v>165</v>
      </c>
      <c r="L149" s="204">
        <f>VALUE(月點數BO!K5)</f>
        <v>47</v>
      </c>
      <c r="M149" s="204">
        <f>VALUE(月點數BO!L5)</f>
        <v>49</v>
      </c>
      <c r="N149" s="204">
        <f>VALUE(月點數BO!M5)</f>
        <v>34</v>
      </c>
      <c r="O149" s="204">
        <f>VALUE(月點數BO!N5)</f>
        <v>0</v>
      </c>
      <c r="P149" s="204">
        <f>VALUE(月點數BO!O5)</f>
        <v>120</v>
      </c>
      <c r="R149" s="703"/>
      <c r="S149" s="704"/>
    </row>
    <row r="150" spans="1:19">
      <c r="A150" s="710" t="s">
        <v>14</v>
      </c>
      <c r="B150" s="711"/>
      <c r="C150" s="711"/>
      <c r="D150" s="204">
        <f>VALUE(月點數BO!C6)</f>
        <v>337</v>
      </c>
      <c r="E150" s="204">
        <f>VALUE(月點數BO!D6)</f>
        <v>179</v>
      </c>
      <c r="F150" s="204">
        <f>VALUE(月點數BO!E6)</f>
        <v>292</v>
      </c>
      <c r="G150" s="204">
        <f>VALUE(月點數BO!F6)</f>
        <v>197</v>
      </c>
      <c r="H150" s="204">
        <f>VALUE(月點數BO!G6)</f>
        <v>258</v>
      </c>
      <c r="I150" s="204">
        <f>VALUE(月點數BO!H6)</f>
        <v>284</v>
      </c>
      <c r="J150" s="204">
        <f>VALUE(月點數BO!I6)</f>
        <v>366</v>
      </c>
      <c r="K150" s="204">
        <f>VALUE(月點數BO!J6)</f>
        <v>250</v>
      </c>
      <c r="L150" s="204">
        <f>VALUE(月點數BO!K6)</f>
        <v>232</v>
      </c>
      <c r="M150" s="204">
        <f>VALUE(月點數BO!L6)</f>
        <v>528</v>
      </c>
      <c r="N150" s="204">
        <f>VALUE(月點數BO!M6)</f>
        <v>237</v>
      </c>
      <c r="O150" s="204">
        <f>VALUE(月點數BO!N6)</f>
        <v>0</v>
      </c>
      <c r="P150" s="204">
        <f>VALUE(月點數BO!O6)</f>
        <v>287</v>
      </c>
      <c r="R150" s="703"/>
      <c r="S150" s="704"/>
    </row>
    <row r="151" spans="1:19">
      <c r="A151" s="710" t="s">
        <v>21</v>
      </c>
      <c r="B151" s="711"/>
      <c r="C151" s="711"/>
      <c r="D151" s="204">
        <f>VALUE(月點數BO!C20)</f>
        <v>951</v>
      </c>
      <c r="E151" s="204">
        <f>VALUE(月點數BO!D20)</f>
        <v>613</v>
      </c>
      <c r="F151" s="204">
        <f>VALUE(月點數BO!E20)</f>
        <v>694</v>
      </c>
      <c r="G151" s="204">
        <f>VALUE(月點數BO!F20)</f>
        <v>726</v>
      </c>
      <c r="H151" s="204">
        <f>VALUE(月點數BO!G20)</f>
        <v>914</v>
      </c>
      <c r="I151" s="204">
        <f>VALUE(月點數BO!H20)</f>
        <v>715</v>
      </c>
      <c r="J151" s="204">
        <f>VALUE(月點數BO!I20)</f>
        <v>811</v>
      </c>
      <c r="K151" s="204">
        <f>VALUE(月點數BO!J20)</f>
        <v>808</v>
      </c>
      <c r="L151" s="204">
        <f>VALUE(月點數BO!K20)</f>
        <v>776</v>
      </c>
      <c r="M151" s="204">
        <f>VALUE(月點數BO!L20)</f>
        <v>995</v>
      </c>
      <c r="N151" s="204">
        <f>VALUE(月點數BO!M20)</f>
        <v>893</v>
      </c>
      <c r="O151" s="204">
        <f>VALUE(月點數BO!N20)</f>
        <v>0</v>
      </c>
      <c r="P151" s="204">
        <f>VALUE(月點數BO!O20)</f>
        <v>809</v>
      </c>
      <c r="R151" s="703"/>
      <c r="S151" s="704"/>
    </row>
    <row r="152" spans="1:19">
      <c r="A152" s="717" t="s">
        <v>16</v>
      </c>
      <c r="B152" s="718"/>
      <c r="C152" s="718"/>
      <c r="D152" s="204">
        <f>VALUE(月點數BO!C8)</f>
        <v>170</v>
      </c>
      <c r="E152" s="204">
        <f>VALUE(月點數BO!D8)</f>
        <v>191</v>
      </c>
      <c r="F152" s="204">
        <f>VALUE(月點數BO!E8)</f>
        <v>123</v>
      </c>
      <c r="G152" s="204">
        <f>VALUE(月點數BO!F8)</f>
        <v>146</v>
      </c>
      <c r="H152" s="204">
        <f>VALUE(月點數BO!G8)</f>
        <v>184</v>
      </c>
      <c r="I152" s="204">
        <f>VALUE(月點數BO!H8)</f>
        <v>201</v>
      </c>
      <c r="J152" s="204">
        <f>VALUE(月點數BO!I8)</f>
        <v>509</v>
      </c>
      <c r="K152" s="204">
        <f>VALUE(月點數BO!J8)</f>
        <v>178</v>
      </c>
      <c r="L152" s="204">
        <f>VALUE(月點數BO!K8)</f>
        <v>395</v>
      </c>
      <c r="M152" s="204">
        <f>VALUE(月點數BO!L8)</f>
        <v>164</v>
      </c>
      <c r="N152" s="204">
        <f>VALUE(月點數BO!M8)</f>
        <v>82</v>
      </c>
      <c r="O152" s="204">
        <f>VALUE(月點數BO!N8)</f>
        <v>0</v>
      </c>
      <c r="P152" s="204">
        <f>VALUE(月點數BO!O8)</f>
        <v>213</v>
      </c>
      <c r="R152" s="703"/>
      <c r="S152" s="704"/>
    </row>
    <row r="153" spans="1:19" ht="13.5">
      <c r="A153" s="708" t="s">
        <v>17</v>
      </c>
      <c r="B153" s="709"/>
      <c r="C153" s="709"/>
      <c r="D153" s="204">
        <f>VALUE(月點數BO!C9)</f>
        <v>7</v>
      </c>
      <c r="E153" s="204">
        <f>VALUE(月點數BO!D9)</f>
        <v>17</v>
      </c>
      <c r="F153" s="204">
        <f>VALUE(月點數BO!E9)</f>
        <v>38</v>
      </c>
      <c r="G153" s="204">
        <f>VALUE(月點數BO!F9)</f>
        <v>71</v>
      </c>
      <c r="H153" s="204">
        <f>VALUE(月點數BO!G9)</f>
        <v>18</v>
      </c>
      <c r="I153" s="204">
        <f>VALUE(月點數BO!H9)</f>
        <v>7</v>
      </c>
      <c r="J153" s="204">
        <f>VALUE(月點數BO!I9)</f>
        <v>65</v>
      </c>
      <c r="K153" s="204">
        <f>VALUE(月點數BO!J9)</f>
        <v>3</v>
      </c>
      <c r="L153" s="204">
        <f>VALUE(月點數BO!K9)</f>
        <v>14</v>
      </c>
      <c r="M153" s="204">
        <f>VALUE(月點數BO!L9)</f>
        <v>8</v>
      </c>
      <c r="N153" s="204">
        <f>VALUE(月點數BO!M9)</f>
        <v>5</v>
      </c>
      <c r="O153" s="204">
        <f>VALUE(月點數BO!N9)</f>
        <v>0</v>
      </c>
      <c r="P153" s="204">
        <f>VALUE(月點數BO!O9)</f>
        <v>23</v>
      </c>
      <c r="R153" s="703"/>
      <c r="S153" s="704"/>
    </row>
    <row r="154" spans="1:19" ht="13.5">
      <c r="A154" s="714" t="s">
        <v>49</v>
      </c>
      <c r="B154" s="715"/>
      <c r="C154" s="716"/>
      <c r="D154" s="261">
        <f>SUM(D147:D153)</f>
        <v>6600</v>
      </c>
      <c r="E154" s="261">
        <f>SUM(E147:E153)</f>
        <v>4664</v>
      </c>
      <c r="F154" s="261">
        <f>SUM(F147:F153)</f>
        <v>6382</v>
      </c>
      <c r="G154" s="261">
        <f t="shared" ref="G154:P154" si="12">SUM(G147:G153)</f>
        <v>4987</v>
      </c>
      <c r="H154" s="261">
        <f t="shared" si="12"/>
        <v>5547</v>
      </c>
      <c r="I154" s="261">
        <f t="shared" si="12"/>
        <v>4942</v>
      </c>
      <c r="J154" s="261">
        <f t="shared" si="12"/>
        <v>6680</v>
      </c>
      <c r="K154" s="261">
        <f t="shared" si="12"/>
        <v>7732</v>
      </c>
      <c r="L154" s="261">
        <f t="shared" si="12"/>
        <v>6538</v>
      </c>
      <c r="M154" s="261">
        <f t="shared" si="12"/>
        <v>8448</v>
      </c>
      <c r="N154" s="261">
        <f t="shared" si="12"/>
        <v>6839</v>
      </c>
      <c r="O154" s="261">
        <f t="shared" si="12"/>
        <v>0</v>
      </c>
      <c r="P154" s="261">
        <f t="shared" si="12"/>
        <v>6306</v>
      </c>
      <c r="R154" s="240"/>
      <c r="S154" s="241"/>
    </row>
    <row r="155" spans="1:19">
      <c r="A155" s="712" t="s">
        <v>23</v>
      </c>
      <c r="B155" s="713"/>
      <c r="C155" s="713"/>
      <c r="D155" s="204">
        <f>VALUE(月點數BO!C3)</f>
        <v>1018</v>
      </c>
      <c r="E155" s="204">
        <f>VALUE(月點數BO!D3)</f>
        <v>632</v>
      </c>
      <c r="F155" s="204">
        <f>VALUE(月點數BO!E3)</f>
        <v>672</v>
      </c>
      <c r="G155" s="204">
        <f>VALUE(月點數BO!F3)</f>
        <v>641</v>
      </c>
      <c r="H155" s="204">
        <f>VALUE(月點數BO!G3)</f>
        <v>653</v>
      </c>
      <c r="I155" s="204">
        <f>VALUE(月點數BO!H3)</f>
        <v>647</v>
      </c>
      <c r="J155" s="204">
        <f>VALUE(月點數BO!I3)</f>
        <v>806</v>
      </c>
      <c r="K155" s="204">
        <f>VALUE(月點數BO!J3)</f>
        <v>792</v>
      </c>
      <c r="L155" s="204">
        <f>VALUE(月點數BO!K3)</f>
        <v>1125</v>
      </c>
      <c r="M155" s="204">
        <f>VALUE(月點數BO!L3)</f>
        <v>949</v>
      </c>
      <c r="N155" s="204">
        <f>VALUE(月點數BO!M3)</f>
        <v>869</v>
      </c>
      <c r="O155" s="204">
        <f>VALUE(月點數BO!N3)</f>
        <v>0</v>
      </c>
      <c r="P155" s="204">
        <f>VALUE(月點數BO!O3)</f>
        <v>800</v>
      </c>
      <c r="R155" s="240"/>
      <c r="S155" s="241"/>
    </row>
    <row r="156" spans="1:19">
      <c r="A156" s="700" t="s">
        <v>24</v>
      </c>
      <c r="B156" s="701"/>
      <c r="C156" s="702"/>
      <c r="D156" s="207">
        <f>VALUE(月點數BO!C10)</f>
        <v>10</v>
      </c>
      <c r="E156" s="207">
        <f>VALUE(月點數BO!D10)</f>
        <v>2</v>
      </c>
      <c r="F156" s="207">
        <f>VALUE(月點數BO!E10)</f>
        <v>1</v>
      </c>
      <c r="G156" s="207">
        <f>VALUE(月點數BO!F10)</f>
        <v>0</v>
      </c>
      <c r="H156" s="207">
        <f>VALUE(月點數BO!G10)</f>
        <v>0</v>
      </c>
      <c r="I156" s="207">
        <f>VALUE(月點數BO!H10)</f>
        <v>1</v>
      </c>
      <c r="J156" s="207">
        <f>VALUE(月點數BO!I10)</f>
        <v>0</v>
      </c>
      <c r="K156" s="207">
        <f>VALUE(月點數BO!J10)</f>
        <v>1</v>
      </c>
      <c r="L156" s="207">
        <f>VALUE(月點數BO!K10)</f>
        <v>0</v>
      </c>
      <c r="M156" s="207">
        <f>VALUE(月點數BO!L10)</f>
        <v>0</v>
      </c>
      <c r="N156" s="207">
        <f>VALUE(月點數BO!M10)</f>
        <v>1</v>
      </c>
      <c r="O156" s="207">
        <f>VALUE(月點數BO!N10)</f>
        <v>0</v>
      </c>
      <c r="P156" s="207">
        <f>VALUE(月點數BO!O10)</f>
        <v>1</v>
      </c>
      <c r="R156" s="240"/>
      <c r="S156" s="241"/>
    </row>
    <row r="157" spans="1:19">
      <c r="A157" s="700" t="s">
        <v>25</v>
      </c>
      <c r="B157" s="701"/>
      <c r="C157" s="702"/>
      <c r="D157" s="207">
        <f>VALUE(月點數BO!C11)</f>
        <v>21</v>
      </c>
      <c r="E157" s="207">
        <f>VALUE(月點數BO!D11)</f>
        <v>24</v>
      </c>
      <c r="F157" s="207">
        <f>VALUE(月點數BO!E11)</f>
        <v>42</v>
      </c>
      <c r="G157" s="207">
        <f>VALUE(月點數BO!F11)</f>
        <v>55</v>
      </c>
      <c r="H157" s="207">
        <f>VALUE(月點數BO!G11)</f>
        <v>68</v>
      </c>
      <c r="I157" s="207">
        <f>VALUE(月點數BO!H11)</f>
        <v>51</v>
      </c>
      <c r="J157" s="207">
        <f>VALUE(月點數BO!I11)</f>
        <v>76</v>
      </c>
      <c r="K157" s="207">
        <f>VALUE(月點數BO!J11)</f>
        <v>118</v>
      </c>
      <c r="L157" s="207">
        <f>VALUE(月點數BO!K11)</f>
        <v>197</v>
      </c>
      <c r="M157" s="207">
        <f>VALUE(月點數BO!L11)</f>
        <v>59</v>
      </c>
      <c r="N157" s="207">
        <f>VALUE(月點數BO!M11)</f>
        <v>48</v>
      </c>
      <c r="O157" s="207">
        <f>VALUE(月點數BO!N11)</f>
        <v>0</v>
      </c>
      <c r="P157" s="207">
        <f>VALUE(月點數BO!O11)</f>
        <v>69</v>
      </c>
      <c r="R157" s="240"/>
      <c r="S157" s="241"/>
    </row>
    <row r="158" spans="1:19">
      <c r="A158" s="700" t="s">
        <v>26</v>
      </c>
      <c r="B158" s="701"/>
      <c r="C158" s="702"/>
      <c r="D158" s="207">
        <f>VALUE(月點數BO!C12)</f>
        <v>424</v>
      </c>
      <c r="E158" s="207">
        <f>VALUE(月點數BO!D12)</f>
        <v>338</v>
      </c>
      <c r="F158" s="207">
        <f>VALUE(月點數BO!E12)</f>
        <v>285</v>
      </c>
      <c r="G158" s="207">
        <f>VALUE(月點數BO!F12)</f>
        <v>266</v>
      </c>
      <c r="H158" s="207">
        <f>VALUE(月點數BO!G12)</f>
        <v>292</v>
      </c>
      <c r="I158" s="207">
        <f>VALUE(月點數BO!H12)</f>
        <v>303</v>
      </c>
      <c r="J158" s="207">
        <f>VALUE(月點數BO!I12)</f>
        <v>269</v>
      </c>
      <c r="K158" s="207">
        <f>VALUE(月點數BO!J12)</f>
        <v>337</v>
      </c>
      <c r="L158" s="207">
        <f>VALUE(月點數BO!K12)</f>
        <v>202</v>
      </c>
      <c r="M158" s="207">
        <f>VALUE(月點數BO!L12)</f>
        <v>263</v>
      </c>
      <c r="N158" s="207">
        <f>VALUE(月點數BO!M12)</f>
        <v>250</v>
      </c>
      <c r="O158" s="207">
        <f>VALUE(月點數BO!N12)</f>
        <v>0</v>
      </c>
      <c r="P158" s="207">
        <f>VALUE(月點數BO!O12)</f>
        <v>294</v>
      </c>
      <c r="R158" s="240"/>
      <c r="S158" s="241"/>
    </row>
    <row r="159" spans="1:19">
      <c r="A159" s="700" t="s">
        <v>27</v>
      </c>
      <c r="B159" s="701"/>
      <c r="C159" s="702"/>
      <c r="D159" s="207">
        <f>VALUE(月點數BO!C13)</f>
        <v>39</v>
      </c>
      <c r="E159" s="207">
        <f>VALUE(月點數BO!D13)</f>
        <v>103</v>
      </c>
      <c r="F159" s="207">
        <f>VALUE(月點數BO!E13)</f>
        <v>23</v>
      </c>
      <c r="G159" s="207">
        <f>VALUE(月點數BO!F13)</f>
        <v>90</v>
      </c>
      <c r="H159" s="207">
        <f>VALUE(月點數BO!G13)</f>
        <v>59</v>
      </c>
      <c r="I159" s="207">
        <f>VALUE(月點數BO!H13)</f>
        <v>52</v>
      </c>
      <c r="J159" s="207">
        <f>VALUE(月點數BO!I13)</f>
        <v>48</v>
      </c>
      <c r="K159" s="207">
        <f>VALUE(月點數BO!J13)</f>
        <v>67</v>
      </c>
      <c r="L159" s="207">
        <f>VALUE(月點數BO!K13)</f>
        <v>57</v>
      </c>
      <c r="M159" s="207">
        <f>VALUE(月點數BO!L13)</f>
        <v>31</v>
      </c>
      <c r="N159" s="207">
        <f>VALUE(月點數BO!M13)</f>
        <v>19</v>
      </c>
      <c r="O159" s="207">
        <f>VALUE(月點數BO!N13)</f>
        <v>0</v>
      </c>
      <c r="P159" s="207">
        <f>VALUE(月點數BO!O13)</f>
        <v>53</v>
      </c>
      <c r="R159" s="240"/>
      <c r="S159" s="241"/>
    </row>
    <row r="160" spans="1:19">
      <c r="A160" s="700" t="s">
        <v>28</v>
      </c>
      <c r="B160" s="701"/>
      <c r="C160" s="702"/>
      <c r="D160" s="207">
        <f>VALUE(月點數BO!C14)</f>
        <v>2</v>
      </c>
      <c r="E160" s="207">
        <f>VALUE(月點數BO!D14)</f>
        <v>2</v>
      </c>
      <c r="F160" s="207">
        <f>VALUE(月點數BO!E14)</f>
        <v>1</v>
      </c>
      <c r="G160" s="207">
        <f>VALUE(月點數BO!F14)</f>
        <v>0</v>
      </c>
      <c r="H160" s="207">
        <f>VALUE(月點數BO!G14)</f>
        <v>0</v>
      </c>
      <c r="I160" s="207">
        <f>VALUE(月點數BO!H14)</f>
        <v>0</v>
      </c>
      <c r="J160" s="207">
        <f>VALUE(月點數BO!I14)</f>
        <v>0</v>
      </c>
      <c r="K160" s="207">
        <f>VALUE(月點數BO!J14)</f>
        <v>3</v>
      </c>
      <c r="L160" s="207">
        <f>VALUE(月點數BO!K14)</f>
        <v>1</v>
      </c>
      <c r="M160" s="207">
        <f>VALUE(月點數BO!L14)</f>
        <v>0</v>
      </c>
      <c r="N160" s="207">
        <f>VALUE(月點數BO!M14)</f>
        <v>1</v>
      </c>
      <c r="O160" s="207">
        <f>VALUE(月點數BO!N14)</f>
        <v>0</v>
      </c>
      <c r="P160" s="207">
        <f>VALUE(月點數BO!O14)</f>
        <v>1</v>
      </c>
      <c r="R160" s="240"/>
      <c r="S160" s="241"/>
    </row>
    <row r="161" spans="1:19" ht="14.1" thickBot="1">
      <c r="A161" s="697" t="s">
        <v>50</v>
      </c>
      <c r="B161" s="698"/>
      <c r="C161" s="699"/>
      <c r="D161" s="211">
        <f>SUM(D155:D160)</f>
        <v>1514</v>
      </c>
      <c r="E161" s="211">
        <f t="shared" ref="E161:P161" si="13">SUM(E155:E160)</f>
        <v>1101</v>
      </c>
      <c r="F161" s="211">
        <f t="shared" si="13"/>
        <v>1024</v>
      </c>
      <c r="G161" s="211">
        <f t="shared" si="13"/>
        <v>1052</v>
      </c>
      <c r="H161" s="211">
        <f t="shared" si="13"/>
        <v>1072</v>
      </c>
      <c r="I161" s="211">
        <f t="shared" si="13"/>
        <v>1054</v>
      </c>
      <c r="J161" s="211">
        <f t="shared" si="13"/>
        <v>1199</v>
      </c>
      <c r="K161" s="211">
        <f t="shared" si="13"/>
        <v>1318</v>
      </c>
      <c r="L161" s="211">
        <f t="shared" si="13"/>
        <v>1582</v>
      </c>
      <c r="M161" s="211">
        <f t="shared" si="13"/>
        <v>1302</v>
      </c>
      <c r="N161" s="211">
        <f t="shared" si="13"/>
        <v>1188</v>
      </c>
      <c r="O161" s="211">
        <f t="shared" si="13"/>
        <v>0</v>
      </c>
      <c r="P161" s="211">
        <f t="shared" si="13"/>
        <v>1218</v>
      </c>
      <c r="R161" s="703"/>
      <c r="S161" s="704"/>
    </row>
    <row r="162" spans="1:19" ht="16.5" customHeight="1" thickBot="1">
      <c r="A162" s="705" t="s">
        <v>31</v>
      </c>
      <c r="B162" s="706"/>
      <c r="C162" s="707"/>
      <c r="D162" s="283">
        <f>VALUE(月點數BO!C15)</f>
        <v>0</v>
      </c>
      <c r="E162" s="283">
        <f>VALUE(月點數BO!D15)</f>
        <v>0</v>
      </c>
      <c r="F162" s="283">
        <f>VALUE(月點數BO!E15)</f>
        <v>0</v>
      </c>
      <c r="G162" s="283">
        <f>VALUE(月點數BO!F15)</f>
        <v>0</v>
      </c>
      <c r="H162" s="283">
        <f>VALUE(月點數BO!G15)</f>
        <v>0</v>
      </c>
      <c r="I162" s="283">
        <f>VALUE(月點數BO!H15)</f>
        <v>0</v>
      </c>
      <c r="J162" s="283">
        <f>VALUE(月點數BO!I15)</f>
        <v>0</v>
      </c>
      <c r="K162" s="283">
        <f>VALUE(月點數BO!J15)</f>
        <v>0</v>
      </c>
      <c r="L162" s="283">
        <f>VALUE(月點數BO!K15)</f>
        <v>0</v>
      </c>
      <c r="M162" s="283">
        <f>VALUE(月點數BO!L15)</f>
        <v>0</v>
      </c>
      <c r="N162" s="283">
        <f>VALUE(月點數BO!M15)</f>
        <v>0</v>
      </c>
      <c r="O162" s="283">
        <f>VALUE(月點數BO!N15)</f>
        <v>0</v>
      </c>
      <c r="P162" s="283">
        <f>VALUE(月點數BO!O15)</f>
        <v>0</v>
      </c>
    </row>
    <row r="163" spans="1:19" ht="14.1" thickBot="1">
      <c r="A163" s="694" t="s">
        <v>32</v>
      </c>
      <c r="B163" s="695"/>
      <c r="C163" s="696"/>
      <c r="D163" s="283">
        <f>VALUE(月點數BO!C16)</f>
        <v>0</v>
      </c>
      <c r="E163" s="283">
        <f>VALUE(月點數BO!D16)</f>
        <v>0</v>
      </c>
      <c r="F163" s="283">
        <f>VALUE(月點數BO!E16)</f>
        <v>0</v>
      </c>
      <c r="G163" s="283">
        <f>VALUE(月點數BO!F16)</f>
        <v>0</v>
      </c>
      <c r="H163" s="283">
        <f>VALUE(月點數BO!G16)</f>
        <v>0</v>
      </c>
      <c r="I163" s="283">
        <f>VALUE(月點數BO!H16)</f>
        <v>0</v>
      </c>
      <c r="J163" s="283">
        <f>VALUE(月點數BO!I16)</f>
        <v>0</v>
      </c>
      <c r="K163" s="283">
        <f>VALUE(月點數BO!J16)</f>
        <v>0</v>
      </c>
      <c r="L163" s="283">
        <f>VALUE(月點數BO!K16)</f>
        <v>0</v>
      </c>
      <c r="M163" s="283">
        <f>VALUE(月點數BO!L16)</f>
        <v>0</v>
      </c>
      <c r="N163" s="283">
        <f>VALUE(月點數BO!M16)</f>
        <v>0</v>
      </c>
      <c r="O163" s="283">
        <f>VALUE(月點數BO!N16)</f>
        <v>0</v>
      </c>
      <c r="P163" s="283">
        <f>VALUE(月點數BO!O16)</f>
        <v>0</v>
      </c>
    </row>
    <row r="164" spans="1:19" ht="14.1" thickBot="1">
      <c r="A164" s="694" t="s">
        <v>33</v>
      </c>
      <c r="B164" s="695"/>
      <c r="C164" s="696"/>
      <c r="D164" s="283">
        <f>VALUE(月點數BO!C17)</f>
        <v>0</v>
      </c>
      <c r="E164" s="283">
        <f>VALUE(月點數BO!D17)</f>
        <v>0</v>
      </c>
      <c r="F164" s="283">
        <f>VALUE(月點數BO!E17)</f>
        <v>0</v>
      </c>
      <c r="G164" s="283">
        <f>VALUE(月點數BO!F17)</f>
        <v>0</v>
      </c>
      <c r="H164" s="283">
        <f>VALUE(月點數BO!G17)</f>
        <v>0</v>
      </c>
      <c r="I164" s="283">
        <f>VALUE(月點數BO!H17)</f>
        <v>0</v>
      </c>
      <c r="J164" s="283">
        <f>VALUE(月點數BO!I17)</f>
        <v>0</v>
      </c>
      <c r="K164" s="283">
        <f>VALUE(月點數BO!J17)</f>
        <v>0</v>
      </c>
      <c r="L164" s="283">
        <f>VALUE(月點數BO!K17)</f>
        <v>0</v>
      </c>
      <c r="M164" s="283">
        <f>VALUE(月點數BO!L17)</f>
        <v>0</v>
      </c>
      <c r="N164" s="283">
        <f>VALUE(月點數BO!M17)</f>
        <v>0</v>
      </c>
      <c r="O164" s="283">
        <f>VALUE(月點數BO!N17)</f>
        <v>0</v>
      </c>
      <c r="P164" s="283">
        <f>VALUE(月點數BO!O17)</f>
        <v>0</v>
      </c>
    </row>
    <row r="165" spans="1:19" ht="15.75" customHeight="1" thickBot="1">
      <c r="A165" s="694" t="s">
        <v>34</v>
      </c>
      <c r="B165" s="695"/>
      <c r="C165" s="696"/>
      <c r="D165" s="283">
        <f>VALUE(月點數BO!C18)</f>
        <v>0</v>
      </c>
      <c r="E165" s="283">
        <f>VALUE(月點數BO!D18)</f>
        <v>0</v>
      </c>
      <c r="F165" s="283">
        <f>VALUE(月點數BO!E18)</f>
        <v>0</v>
      </c>
      <c r="G165" s="283">
        <f>VALUE(月點數BO!F18)</f>
        <v>0</v>
      </c>
      <c r="H165" s="283">
        <f>VALUE(月點數BO!G18)</f>
        <v>0</v>
      </c>
      <c r="I165" s="283">
        <f>VALUE(月點數BO!H18)</f>
        <v>0</v>
      </c>
      <c r="J165" s="283">
        <f>VALUE(月點數BO!I18)</f>
        <v>0</v>
      </c>
      <c r="K165" s="283">
        <f>VALUE(月點數BO!J18)</f>
        <v>0</v>
      </c>
      <c r="L165" s="283">
        <f>VALUE(月點數BO!K18)</f>
        <v>0</v>
      </c>
      <c r="M165" s="283">
        <f>VALUE(月點數BO!L18)</f>
        <v>0</v>
      </c>
      <c r="N165" s="283">
        <f>VALUE(月點數BO!M18)</f>
        <v>0</v>
      </c>
      <c r="O165" s="283">
        <f>VALUE(月點數BO!N18)</f>
        <v>0</v>
      </c>
      <c r="P165" s="283">
        <f>VALUE(月點數BO!O18)</f>
        <v>0</v>
      </c>
    </row>
    <row r="166" spans="1:19" ht="15.75" customHeight="1">
      <c r="A166" s="293" t="s">
        <v>35</v>
      </c>
      <c r="B166" s="294"/>
      <c r="C166" s="295"/>
      <c r="D166" s="283">
        <f>VALUE(月點數BO!C19)</f>
        <v>0</v>
      </c>
      <c r="E166" s="283">
        <f>VALUE(月點數BO!D19)</f>
        <v>0</v>
      </c>
      <c r="F166" s="283">
        <f>VALUE(月點數BO!E19)</f>
        <v>0</v>
      </c>
      <c r="G166" s="283">
        <f>VALUE(月點數BO!F19)</f>
        <v>0</v>
      </c>
      <c r="H166" s="283">
        <f>VALUE(月點數BO!G19)</f>
        <v>0</v>
      </c>
      <c r="I166" s="283">
        <f>VALUE(月點數BO!H19)</f>
        <v>0</v>
      </c>
      <c r="J166" s="283">
        <f>VALUE(月點數BO!I19)</f>
        <v>0</v>
      </c>
      <c r="K166" s="283">
        <f>VALUE(月點數BO!J19)</f>
        <v>0</v>
      </c>
      <c r="L166" s="283">
        <f>VALUE(月點數BO!K19)</f>
        <v>0</v>
      </c>
      <c r="M166" s="283">
        <f>VALUE(月點數BO!L19)</f>
        <v>0</v>
      </c>
      <c r="N166" s="283">
        <f>VALUE(月點數BO!M19)</f>
        <v>0</v>
      </c>
      <c r="O166" s="283">
        <f>VALUE(月點數BO!N19)</f>
        <v>0</v>
      </c>
      <c r="P166" s="283">
        <f>VALUE(月點數BO!O19)</f>
        <v>0</v>
      </c>
    </row>
    <row r="167" spans="1:19" ht="14.1" thickBot="1">
      <c r="A167" s="691" t="s">
        <v>30</v>
      </c>
      <c r="B167" s="692"/>
      <c r="C167" s="693"/>
      <c r="D167" s="284">
        <f>SUM(D162:D166)</f>
        <v>0</v>
      </c>
      <c r="E167" s="284">
        <f t="shared" ref="E167:O167" si="14">SUM(E162:E166)</f>
        <v>0</v>
      </c>
      <c r="F167" s="284">
        <f t="shared" si="14"/>
        <v>0</v>
      </c>
      <c r="G167" s="284">
        <f t="shared" si="14"/>
        <v>0</v>
      </c>
      <c r="H167" s="284">
        <f t="shared" si="14"/>
        <v>0</v>
      </c>
      <c r="I167" s="284">
        <f t="shared" si="14"/>
        <v>0</v>
      </c>
      <c r="J167" s="284">
        <f t="shared" si="14"/>
        <v>0</v>
      </c>
      <c r="K167" s="284">
        <f t="shared" si="14"/>
        <v>0</v>
      </c>
      <c r="L167" s="284">
        <f t="shared" si="14"/>
        <v>0</v>
      </c>
      <c r="M167" s="284">
        <f t="shared" si="14"/>
        <v>0</v>
      </c>
      <c r="N167" s="284">
        <f t="shared" si="14"/>
        <v>0</v>
      </c>
      <c r="O167" s="284">
        <f t="shared" si="14"/>
        <v>0</v>
      </c>
      <c r="P167" s="284">
        <f>SUM(P162:P166)</f>
        <v>0</v>
      </c>
    </row>
  </sheetData>
  <mergeCells count="104">
    <mergeCell ref="A92:B95"/>
    <mergeCell ref="A105:C105"/>
    <mergeCell ref="A107:C107"/>
    <mergeCell ref="B58:C58"/>
    <mergeCell ref="A29:B32"/>
    <mergeCell ref="A36:C36"/>
    <mergeCell ref="A37:C37"/>
    <mergeCell ref="B38:C38"/>
    <mergeCell ref="B50:C50"/>
    <mergeCell ref="B84:C84"/>
    <mergeCell ref="A71:C71"/>
    <mergeCell ref="B72:C72"/>
    <mergeCell ref="B79:C79"/>
    <mergeCell ref="A98:C98"/>
    <mergeCell ref="A99:C99"/>
    <mergeCell ref="A2:C2"/>
    <mergeCell ref="A3:C3"/>
    <mergeCell ref="B4:C4"/>
    <mergeCell ref="B11:C11"/>
    <mergeCell ref="B16:C16"/>
    <mergeCell ref="B45:C45"/>
    <mergeCell ref="B24:C24"/>
    <mergeCell ref="A70:C70"/>
    <mergeCell ref="A63:B66"/>
    <mergeCell ref="R99:S99"/>
    <mergeCell ref="A100:C100"/>
    <mergeCell ref="R100:S100"/>
    <mergeCell ref="A128:C128"/>
    <mergeCell ref="A123:C123"/>
    <mergeCell ref="A129:C129"/>
    <mergeCell ref="R123:S123"/>
    <mergeCell ref="A124:C124"/>
    <mergeCell ref="R124:S124"/>
    <mergeCell ref="A125:C125"/>
    <mergeCell ref="R125:S125"/>
    <mergeCell ref="A117:C117"/>
    <mergeCell ref="A101:C101"/>
    <mergeCell ref="A106:C106"/>
    <mergeCell ref="R103:S103"/>
    <mergeCell ref="A104:C104"/>
    <mergeCell ref="R104:S104"/>
    <mergeCell ref="R105:S105"/>
    <mergeCell ref="A113:C113"/>
    <mergeCell ref="A114:C114"/>
    <mergeCell ref="A115:C115"/>
    <mergeCell ref="A116:C116"/>
    <mergeCell ref="R113:S113"/>
    <mergeCell ref="A142:C142"/>
    <mergeCell ref="A143:C143"/>
    <mergeCell ref="A132:C132"/>
    <mergeCell ref="A133:C133"/>
    <mergeCell ref="R101:S101"/>
    <mergeCell ref="A102:C102"/>
    <mergeCell ref="R102:S102"/>
    <mergeCell ref="A119:C119"/>
    <mergeCell ref="A103:C103"/>
    <mergeCell ref="R148:S148"/>
    <mergeCell ref="A149:C149"/>
    <mergeCell ref="R130:S130"/>
    <mergeCell ref="A126:C126"/>
    <mergeCell ref="A131:C131"/>
    <mergeCell ref="R131:S131"/>
    <mergeCell ref="R128:S128"/>
    <mergeCell ref="A130:C130"/>
    <mergeCell ref="A127:C127"/>
    <mergeCell ref="R126:S126"/>
    <mergeCell ref="R127:S127"/>
    <mergeCell ref="R129:S129"/>
    <mergeCell ref="R147:S147"/>
    <mergeCell ref="A135:C135"/>
    <mergeCell ref="A147:C147"/>
    <mergeCell ref="A141:C141"/>
    <mergeCell ref="A134:C134"/>
    <mergeCell ref="R146:S146"/>
    <mergeCell ref="A138:C138"/>
    <mergeCell ref="A146:C146"/>
    <mergeCell ref="A139:C139"/>
    <mergeCell ref="A140:C140"/>
    <mergeCell ref="A136:C136"/>
    <mergeCell ref="A137:C137"/>
    <mergeCell ref="A167:C167"/>
    <mergeCell ref="A165:C165"/>
    <mergeCell ref="A161:C161"/>
    <mergeCell ref="A157:C157"/>
    <mergeCell ref="R153:S153"/>
    <mergeCell ref="R151:S151"/>
    <mergeCell ref="A162:C162"/>
    <mergeCell ref="A153:C153"/>
    <mergeCell ref="A148:C148"/>
    <mergeCell ref="R161:S161"/>
    <mergeCell ref="A151:C151"/>
    <mergeCell ref="A159:C159"/>
    <mergeCell ref="A160:C160"/>
    <mergeCell ref="A155:C155"/>
    <mergeCell ref="R149:S149"/>
    <mergeCell ref="A150:C150"/>
    <mergeCell ref="R150:S150"/>
    <mergeCell ref="R152:S152"/>
    <mergeCell ref="A163:C163"/>
    <mergeCell ref="A164:C164"/>
    <mergeCell ref="A158:C158"/>
    <mergeCell ref="A156:C156"/>
    <mergeCell ref="A154:C154"/>
    <mergeCell ref="A152:C152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04"/>
  <sheetViews>
    <sheetView topLeftCell="A19" workbookViewId="0">
      <selection activeCell="M97" sqref="M97"/>
    </sheetView>
  </sheetViews>
  <sheetFormatPr defaultColWidth="9" defaultRowHeight="12.6"/>
  <cols>
    <col min="1" max="1" width="3.375" style="114" customWidth="1"/>
    <col min="2" max="2" width="4.5" style="114" customWidth="1"/>
    <col min="3" max="3" width="11.375" style="114" customWidth="1"/>
    <col min="4" max="4" width="10.375" style="114" customWidth="1"/>
    <col min="5" max="5" width="10" style="114" customWidth="1"/>
    <col min="6" max="6" width="10.875" style="114" bestFit="1" customWidth="1"/>
    <col min="7" max="8" width="11.25" style="114" bestFit="1" customWidth="1"/>
    <col min="9" max="15" width="10.375" style="114" customWidth="1"/>
    <col min="16" max="16" width="9.625" style="114" bestFit="1" customWidth="1"/>
    <col min="17" max="17" width="11.625" style="114" bestFit="1" customWidth="1"/>
    <col min="18" max="16384" width="9" style="114"/>
  </cols>
  <sheetData>
    <row r="1" spans="1:17" ht="14.1" thickBot="1">
      <c r="A1" s="112" t="s">
        <v>251</v>
      </c>
      <c r="B1" s="112"/>
      <c r="C1" s="112"/>
      <c r="D1" s="339">
        <v>1</v>
      </c>
      <c r="E1" s="339">
        <v>2</v>
      </c>
      <c r="F1" s="339">
        <v>3</v>
      </c>
      <c r="G1" s="339">
        <v>4</v>
      </c>
      <c r="H1" s="339">
        <v>5</v>
      </c>
      <c r="I1" s="340">
        <v>6</v>
      </c>
      <c r="J1" s="340">
        <v>7</v>
      </c>
      <c r="K1" s="341">
        <v>8</v>
      </c>
      <c r="L1" s="340">
        <v>9</v>
      </c>
      <c r="M1" s="340">
        <v>10</v>
      </c>
      <c r="N1" s="340">
        <v>11</v>
      </c>
      <c r="O1" s="340">
        <v>12</v>
      </c>
    </row>
    <row r="2" spans="1:17" s="118" customFormat="1" ht="13.5">
      <c r="A2" s="729" t="s">
        <v>1</v>
      </c>
      <c r="B2" s="730"/>
      <c r="C2" s="730"/>
      <c r="D2" s="116" t="s">
        <v>252</v>
      </c>
      <c r="E2" s="116" t="s">
        <v>253</v>
      </c>
      <c r="F2" s="116" t="s">
        <v>254</v>
      </c>
      <c r="G2" s="116" t="s">
        <v>255</v>
      </c>
      <c r="H2" s="116" t="s">
        <v>256</v>
      </c>
      <c r="I2" s="116" t="s">
        <v>257</v>
      </c>
      <c r="J2" s="116" t="s">
        <v>258</v>
      </c>
      <c r="K2" s="116" t="s">
        <v>259</v>
      </c>
      <c r="L2" s="116" t="s">
        <v>260</v>
      </c>
      <c r="M2" s="116" t="s">
        <v>261</v>
      </c>
      <c r="N2" s="116" t="s">
        <v>262</v>
      </c>
      <c r="O2" s="116" t="s">
        <v>263</v>
      </c>
      <c r="P2" s="117" t="s">
        <v>264</v>
      </c>
    </row>
    <row r="3" spans="1:17" s="122" customFormat="1" ht="13.5">
      <c r="A3" s="755" t="s">
        <v>9</v>
      </c>
      <c r="B3" s="756"/>
      <c r="C3" s="757"/>
      <c r="D3" s="119">
        <v>410806920.12903219</v>
      </c>
      <c r="E3" s="119">
        <v>419636244.71428573</v>
      </c>
      <c r="F3" s="119">
        <v>417309587.16129035</v>
      </c>
      <c r="G3" s="119">
        <v>411340937</v>
      </c>
      <c r="H3" s="119">
        <f>H4+H12</f>
        <v>400401157.3870967</v>
      </c>
      <c r="I3" s="119">
        <v>396571737.16666675</v>
      </c>
      <c r="J3" s="119">
        <v>391139393.19354844</v>
      </c>
      <c r="K3" s="119">
        <v>396155662.41935486</v>
      </c>
      <c r="L3" s="119">
        <v>404662200.60000002</v>
      </c>
      <c r="M3" s="119">
        <v>386014955.83871001</v>
      </c>
      <c r="N3" s="119">
        <v>390651554.033333</v>
      </c>
      <c r="O3" s="119">
        <v>404560086.80645162</v>
      </c>
      <c r="P3" s="120">
        <f>AVERAGE(D3:O3)</f>
        <v>402437536.37081409</v>
      </c>
      <c r="Q3" s="121"/>
    </row>
    <row r="4" spans="1:17" ht="13.5">
      <c r="A4" s="123"/>
      <c r="B4" s="758" t="s">
        <v>10</v>
      </c>
      <c r="C4" s="759"/>
      <c r="D4" s="124">
        <v>394365827.77419347</v>
      </c>
      <c r="E4" s="124">
        <v>403003391.17857146</v>
      </c>
      <c r="F4" s="124">
        <v>401440435.74193549</v>
      </c>
      <c r="G4" s="124">
        <v>396339274.86666667</v>
      </c>
      <c r="H4" s="124">
        <f>SUM(H5:H11)</f>
        <v>387816131.25806445</v>
      </c>
      <c r="I4" s="124">
        <v>384118673.86666673</v>
      </c>
      <c r="J4" s="124">
        <v>377885977.06451619</v>
      </c>
      <c r="K4" s="124">
        <v>382207033.5806452</v>
      </c>
      <c r="L4" s="124">
        <v>391002189.9333334</v>
      </c>
      <c r="M4" s="124">
        <v>373004019.54838711</v>
      </c>
      <c r="N4" s="124">
        <v>377363072.10000002</v>
      </c>
      <c r="O4" s="124">
        <v>391073100.32258064</v>
      </c>
      <c r="P4" s="125">
        <f>AVERAGE(D4:O4)</f>
        <v>388301593.9362967</v>
      </c>
      <c r="Q4" s="121"/>
    </row>
    <row r="5" spans="1:17" ht="13.5">
      <c r="A5" s="126"/>
      <c r="B5" s="127"/>
      <c r="C5" s="128" t="s">
        <v>11</v>
      </c>
      <c r="D5" s="129">
        <v>221500325.3548387</v>
      </c>
      <c r="E5" s="130">
        <v>233855019.89285713</v>
      </c>
      <c r="F5" s="130">
        <v>233026463.96774194</v>
      </c>
      <c r="G5" s="130">
        <v>223344255.66666666</v>
      </c>
      <c r="H5" s="130">
        <v>224583227.12903225</v>
      </c>
      <c r="I5" s="130">
        <v>218462449.93333334</v>
      </c>
      <c r="J5" s="130">
        <v>212326963.3548387</v>
      </c>
      <c r="K5" s="130">
        <v>216994238.67741936</v>
      </c>
      <c r="L5" s="130">
        <v>223390877.30000001</v>
      </c>
      <c r="M5" s="130">
        <v>208617546.67741936</v>
      </c>
      <c r="N5" s="130">
        <v>210083417.93333334</v>
      </c>
      <c r="O5" s="130">
        <v>220500722.38709676</v>
      </c>
      <c r="P5" s="131">
        <f>AVERAGE(D5:O5)</f>
        <v>220557125.68954813</v>
      </c>
      <c r="Q5" s="121"/>
    </row>
    <row r="6" spans="1:17" ht="13.5">
      <c r="A6" s="126"/>
      <c r="B6" s="127"/>
      <c r="C6" s="128" t="s">
        <v>276</v>
      </c>
      <c r="D6" s="129">
        <v>87037848.806451619</v>
      </c>
      <c r="E6" s="130">
        <v>83565652.25</v>
      </c>
      <c r="F6" s="130">
        <v>82671583.129032254</v>
      </c>
      <c r="G6" s="130">
        <v>86154425.5</v>
      </c>
      <c r="H6" s="130">
        <v>77698381.774193555</v>
      </c>
      <c r="I6" s="130">
        <v>81308792.066666663</v>
      </c>
      <c r="J6" s="130">
        <v>84169228.032258064</v>
      </c>
      <c r="K6" s="130">
        <v>83292221.903225809</v>
      </c>
      <c r="L6" s="130">
        <v>81118791.299999997</v>
      </c>
      <c r="M6" s="130">
        <v>78568870.580645159</v>
      </c>
      <c r="N6" s="130">
        <v>78107583.833333328</v>
      </c>
      <c r="O6" s="130">
        <v>80902123.806451619</v>
      </c>
      <c r="P6" s="131">
        <f>AVERAGE(D6:O6)</f>
        <v>82049625.248521507</v>
      </c>
      <c r="Q6" s="121"/>
    </row>
    <row r="7" spans="1:17" ht="13.5">
      <c r="A7" s="126"/>
      <c r="B7" s="127"/>
      <c r="C7" s="128" t="s">
        <v>12</v>
      </c>
      <c r="D7" s="129">
        <v>14373862.322580645</v>
      </c>
      <c r="E7" s="130">
        <v>13547486.392857144</v>
      </c>
      <c r="F7" s="130">
        <v>14729058.709677419</v>
      </c>
      <c r="G7" s="130">
        <v>18156705.866666667</v>
      </c>
      <c r="H7" s="130">
        <v>19095588.709677421</v>
      </c>
      <c r="I7" s="130">
        <v>16806186.233333334</v>
      </c>
      <c r="J7" s="130">
        <v>13134520.032258065</v>
      </c>
      <c r="K7" s="130">
        <v>14558409</v>
      </c>
      <c r="L7" s="130">
        <v>17843013.033333335</v>
      </c>
      <c r="M7" s="130">
        <v>15070445.580645161</v>
      </c>
      <c r="N7" s="130">
        <v>15927524.800000001</v>
      </c>
      <c r="O7" s="130">
        <v>14884074.709677419</v>
      </c>
      <c r="P7" s="131">
        <f t="shared" ref="P7:P21" si="0">AVERAGE(D7:O7)</f>
        <v>15677239.615892222</v>
      </c>
      <c r="Q7" s="121"/>
    </row>
    <row r="8" spans="1:17" ht="13.5">
      <c r="A8" s="126"/>
      <c r="B8" s="127"/>
      <c r="C8" s="128" t="s">
        <v>13</v>
      </c>
      <c r="D8" s="129">
        <v>6860827.064516129</v>
      </c>
      <c r="E8" s="130">
        <v>6451848.3214285718</v>
      </c>
      <c r="F8" s="130">
        <v>5877684.5806451617</v>
      </c>
      <c r="G8" s="130">
        <v>5925421.3666666662</v>
      </c>
      <c r="H8" s="130">
        <v>5130155.8709677421</v>
      </c>
      <c r="I8" s="130">
        <v>5552409.3666666662</v>
      </c>
      <c r="J8" s="130">
        <v>5488159.3548387093</v>
      </c>
      <c r="K8" s="130">
        <v>4993557.7419354841</v>
      </c>
      <c r="L8" s="130">
        <v>5501341.7666666666</v>
      </c>
      <c r="M8" s="130">
        <v>5765568.3548387093</v>
      </c>
      <c r="N8" s="130">
        <v>5550510.4333333336</v>
      </c>
      <c r="O8" s="130">
        <v>5618462.4838709673</v>
      </c>
      <c r="P8" s="131">
        <f t="shared" si="0"/>
        <v>5726328.8921979005</v>
      </c>
      <c r="Q8" s="121"/>
    </row>
    <row r="9" spans="1:17" ht="13.5">
      <c r="A9" s="126"/>
      <c r="B9" s="127"/>
      <c r="C9" s="128" t="s">
        <v>14</v>
      </c>
      <c r="D9" s="129">
        <v>17382835.451612905</v>
      </c>
      <c r="E9" s="130">
        <v>18745134.071428571</v>
      </c>
      <c r="F9" s="130">
        <v>18741414.258064516</v>
      </c>
      <c r="G9" s="130">
        <v>16314307.166666666</v>
      </c>
      <c r="H9" s="130">
        <v>16586628.935483871</v>
      </c>
      <c r="I9" s="130">
        <v>17847242.566666666</v>
      </c>
      <c r="J9" s="130">
        <v>17177111.419354837</v>
      </c>
      <c r="K9" s="130">
        <v>17163439.451612905</v>
      </c>
      <c r="L9" s="130">
        <v>16676389.233333332</v>
      </c>
      <c r="M9" s="130">
        <v>16370840.290322581</v>
      </c>
      <c r="N9" s="130">
        <v>17103862.733333334</v>
      </c>
      <c r="O9" s="130">
        <v>16177110.064516129</v>
      </c>
      <c r="P9" s="131">
        <f>AVERAGE(D9:O9)</f>
        <v>17190526.303533021</v>
      </c>
      <c r="Q9" s="121"/>
    </row>
    <row r="10" spans="1:17" ht="13.5">
      <c r="A10" s="126"/>
      <c r="B10" s="127"/>
      <c r="C10" s="128" t="s">
        <v>15</v>
      </c>
      <c r="D10" s="129">
        <v>40477353.096774191</v>
      </c>
      <c r="E10" s="130">
        <v>40164755.142857142</v>
      </c>
      <c r="F10" s="130">
        <v>40682811.806451611</v>
      </c>
      <c r="G10" s="130">
        <v>40448375.533333331</v>
      </c>
      <c r="H10" s="130">
        <v>38895425.935483873</v>
      </c>
      <c r="I10" s="130">
        <v>38373318.100000001</v>
      </c>
      <c r="J10" s="130">
        <v>39395706.838709675</v>
      </c>
      <c r="K10" s="130">
        <v>38987535.129032262</v>
      </c>
      <c r="L10" s="130">
        <v>40691430.600000001</v>
      </c>
      <c r="M10" s="130">
        <v>41694370.387096778</v>
      </c>
      <c r="N10" s="130">
        <v>44919607.5</v>
      </c>
      <c r="O10" s="130">
        <v>46326309.612903222</v>
      </c>
      <c r="P10" s="131">
        <f>AVERAGE(D10:O10)</f>
        <v>40921416.640220173</v>
      </c>
      <c r="Q10" s="121"/>
    </row>
    <row r="11" spans="1:17" ht="13.5">
      <c r="A11" s="126"/>
      <c r="B11" s="132"/>
      <c r="C11" s="128" t="s">
        <v>16</v>
      </c>
      <c r="D11" s="129">
        <v>6732775.6774193551</v>
      </c>
      <c r="E11" s="130">
        <v>6673495.1071428573</v>
      </c>
      <c r="F11" s="130">
        <v>5711419.2903225804</v>
      </c>
      <c r="G11" s="130">
        <v>5995783.7666666666</v>
      </c>
      <c r="H11" s="130">
        <v>5826722.9032258065</v>
      </c>
      <c r="I11" s="130">
        <v>5768275.5999999996</v>
      </c>
      <c r="J11" s="130">
        <v>6194288.0322580645</v>
      </c>
      <c r="K11" s="130">
        <v>6217631.6774193551</v>
      </c>
      <c r="L11" s="130">
        <v>5780346.7000000002</v>
      </c>
      <c r="M11" s="130">
        <v>6916377.6774193551</v>
      </c>
      <c r="N11" s="130">
        <v>5670564.8666666662</v>
      </c>
      <c r="O11" s="130">
        <v>6664297.2580645159</v>
      </c>
      <c r="P11" s="131">
        <f>AVERAGE(D11:O11)</f>
        <v>6179331.5463837683</v>
      </c>
      <c r="Q11" s="121"/>
    </row>
    <row r="12" spans="1:17" ht="13.5">
      <c r="A12" s="126"/>
      <c r="B12" s="760" t="s">
        <v>17</v>
      </c>
      <c r="C12" s="761"/>
      <c r="D12" s="133">
        <v>16441092.354838708</v>
      </c>
      <c r="E12" s="124">
        <v>16632853.535714285</v>
      </c>
      <c r="F12" s="124">
        <v>15869151.419354839</v>
      </c>
      <c r="G12" s="124">
        <v>15001662.133333335</v>
      </c>
      <c r="H12" s="124">
        <f>SUM(H13:H18)</f>
        <v>12585026.129032258</v>
      </c>
      <c r="I12" s="124">
        <v>12453063.299999999</v>
      </c>
      <c r="J12" s="124">
        <v>13253416.129032258</v>
      </c>
      <c r="K12" s="124">
        <v>13948628.838709679</v>
      </c>
      <c r="L12" s="124">
        <v>13660010.6666667</v>
      </c>
      <c r="M12" s="124">
        <v>13010936.2903226</v>
      </c>
      <c r="N12" s="124">
        <v>13288481.933333334</v>
      </c>
      <c r="O12" s="124">
        <v>13486986.483870968</v>
      </c>
      <c r="P12" s="125">
        <f>AVERAGE(D12:O12)</f>
        <v>14135942.434517413</v>
      </c>
      <c r="Q12" s="121"/>
    </row>
    <row r="13" spans="1:17" ht="13.5">
      <c r="A13" s="126"/>
      <c r="B13" s="127"/>
      <c r="C13" s="134" t="s">
        <v>18</v>
      </c>
      <c r="D13" s="129">
        <v>1738181.7096774194</v>
      </c>
      <c r="E13" s="130">
        <v>1526474.5714285714</v>
      </c>
      <c r="F13" s="130">
        <v>1475703.1612903227</v>
      </c>
      <c r="G13" s="130">
        <v>1510813.4666666666</v>
      </c>
      <c r="H13" s="130">
        <v>1470976.4838709678</v>
      </c>
      <c r="I13" s="130">
        <v>1438765.6</v>
      </c>
      <c r="J13" s="130">
        <v>1549308.4516129033</v>
      </c>
      <c r="K13" s="130">
        <v>1436436.064516129</v>
      </c>
      <c r="L13" s="130">
        <v>1573119.1</v>
      </c>
      <c r="M13" s="130">
        <v>1463383</v>
      </c>
      <c r="N13" s="130">
        <v>1464064.2666666666</v>
      </c>
      <c r="O13" s="130">
        <v>1486034.5161290322</v>
      </c>
      <c r="P13" s="131">
        <f t="shared" si="0"/>
        <v>1511105.0326548899</v>
      </c>
      <c r="Q13" s="121"/>
    </row>
    <row r="14" spans="1:17" ht="13.5">
      <c r="A14" s="126"/>
      <c r="B14" s="127"/>
      <c r="C14" s="134" t="s">
        <v>19</v>
      </c>
      <c r="D14" s="135">
        <v>11390816.806451613</v>
      </c>
      <c r="E14" s="130">
        <v>11690788.392857144</v>
      </c>
      <c r="F14" s="130">
        <v>11037235.483870968</v>
      </c>
      <c r="G14" s="130">
        <v>10281144.766666668</v>
      </c>
      <c r="H14" s="130">
        <v>9005840.4516129028</v>
      </c>
      <c r="I14" s="130">
        <v>8950838.666666666</v>
      </c>
      <c r="J14" s="130">
        <v>9640436.2580645159</v>
      </c>
      <c r="K14" s="130">
        <v>10364817.096774194</v>
      </c>
      <c r="L14" s="130">
        <v>9983224.9000000004</v>
      </c>
      <c r="M14" s="130">
        <v>9752395.7419354841</v>
      </c>
      <c r="N14" s="130">
        <v>10083370.166666666</v>
      </c>
      <c r="O14" s="130">
        <v>10133665.419354839</v>
      </c>
      <c r="P14" s="136">
        <f t="shared" si="0"/>
        <v>10192881.179243473</v>
      </c>
      <c r="Q14" s="121"/>
    </row>
    <row r="15" spans="1:17" ht="13.5">
      <c r="A15" s="126"/>
      <c r="B15" s="127"/>
      <c r="C15" s="134" t="s">
        <v>279</v>
      </c>
      <c r="D15" s="137">
        <v>3091029</v>
      </c>
      <c r="E15" s="130">
        <v>3091029</v>
      </c>
      <c r="F15" s="130">
        <v>3091029</v>
      </c>
      <c r="G15" s="130">
        <v>3083065.5</v>
      </c>
      <c r="H15" s="130">
        <v>1835942</v>
      </c>
      <c r="I15" s="130">
        <v>1829850.3666666667</v>
      </c>
      <c r="J15" s="130">
        <v>1811129</v>
      </c>
      <c r="K15" s="130">
        <v>1825145.3548387096</v>
      </c>
      <c r="L15" s="130">
        <v>1826112</v>
      </c>
      <c r="M15" s="130">
        <v>1551121.2580645161</v>
      </c>
      <c r="N15" s="130">
        <v>1526333</v>
      </c>
      <c r="O15" s="130">
        <v>1526333</v>
      </c>
      <c r="P15" s="136">
        <f t="shared" si="0"/>
        <v>2174009.8732974911</v>
      </c>
      <c r="Q15" s="121"/>
    </row>
    <row r="16" spans="1:17" ht="13.5">
      <c r="A16" s="126"/>
      <c r="B16" s="127"/>
      <c r="C16" s="134" t="s">
        <v>266</v>
      </c>
      <c r="D16" s="137">
        <v>0</v>
      </c>
      <c r="E16" s="130">
        <v>0</v>
      </c>
      <c r="F16" s="130">
        <v>0</v>
      </c>
      <c r="G16" s="130">
        <v>0</v>
      </c>
      <c r="H16" s="130">
        <v>0</v>
      </c>
      <c r="I16" s="130">
        <v>0</v>
      </c>
      <c r="J16" s="130">
        <v>0</v>
      </c>
      <c r="K16" s="130">
        <v>0</v>
      </c>
      <c r="L16" s="130">
        <v>0</v>
      </c>
      <c r="M16" s="130">
        <v>0</v>
      </c>
      <c r="N16" s="130">
        <v>0</v>
      </c>
      <c r="O16" s="130">
        <v>0</v>
      </c>
      <c r="P16" s="136">
        <f t="shared" si="0"/>
        <v>0</v>
      </c>
      <c r="Q16" s="121"/>
    </row>
    <row r="17" spans="1:17" ht="13.5">
      <c r="A17" s="126"/>
      <c r="B17" s="127"/>
      <c r="C17" s="134" t="s">
        <v>280</v>
      </c>
      <c r="D17" s="129">
        <v>0</v>
      </c>
      <c r="E17" s="130">
        <v>0</v>
      </c>
      <c r="F17" s="130">
        <v>0</v>
      </c>
      <c r="G17" s="130">
        <v>0</v>
      </c>
      <c r="H17" s="130">
        <v>0</v>
      </c>
      <c r="I17" s="130">
        <v>0</v>
      </c>
      <c r="J17" s="130">
        <v>0</v>
      </c>
      <c r="K17" s="130">
        <v>0</v>
      </c>
      <c r="L17" s="130">
        <v>0</v>
      </c>
      <c r="M17" s="130">
        <v>0</v>
      </c>
      <c r="N17" s="130">
        <v>0</v>
      </c>
      <c r="O17" s="130">
        <v>0</v>
      </c>
      <c r="P17" s="131">
        <f t="shared" si="0"/>
        <v>0</v>
      </c>
      <c r="Q17" s="121"/>
    </row>
    <row r="18" spans="1:17" ht="13.5">
      <c r="A18" s="126"/>
      <c r="B18" s="127"/>
      <c r="C18" s="138" t="s">
        <v>20</v>
      </c>
      <c r="D18" s="129">
        <v>221064.83870967742</v>
      </c>
      <c r="E18" s="130">
        <v>324561.57142857142</v>
      </c>
      <c r="F18" s="130">
        <v>265183.77419354836</v>
      </c>
      <c r="G18" s="130">
        <v>126638.39999999999</v>
      </c>
      <c r="H18" s="130">
        <v>272267.19354838709</v>
      </c>
      <c r="I18" s="130">
        <v>233608.66666666666</v>
      </c>
      <c r="J18" s="130">
        <v>252542.4193548387</v>
      </c>
      <c r="K18" s="130">
        <v>322230.32258064515</v>
      </c>
      <c r="L18" s="130">
        <v>277554.66666666669</v>
      </c>
      <c r="M18" s="130">
        <v>244036.29032258064</v>
      </c>
      <c r="N18" s="130">
        <v>214714.5</v>
      </c>
      <c r="O18" s="130">
        <v>340953.54838709679</v>
      </c>
      <c r="P18" s="131">
        <f t="shared" si="0"/>
        <v>257946.3493215566</v>
      </c>
      <c r="Q18" s="121"/>
    </row>
    <row r="19" spans="1:17" ht="13.5">
      <c r="A19" s="762" t="s">
        <v>36</v>
      </c>
      <c r="B19" s="763"/>
      <c r="C19" s="139" t="s">
        <v>37</v>
      </c>
      <c r="D19" s="140">
        <v>3538208.3548387098</v>
      </c>
      <c r="E19" s="141">
        <v>2882522.1428571427</v>
      </c>
      <c r="F19" s="141">
        <v>2562157.1935483869</v>
      </c>
      <c r="G19" s="141">
        <v>2207710</v>
      </c>
      <c r="H19" s="141">
        <v>2766354.6129032257</v>
      </c>
      <c r="I19" s="141">
        <v>3671224.1666666665</v>
      </c>
      <c r="J19" s="141">
        <v>3466682.6774193547</v>
      </c>
      <c r="K19" s="141">
        <v>3131888.5161290322</v>
      </c>
      <c r="L19" s="141">
        <v>2830403.6</v>
      </c>
      <c r="M19" s="141">
        <v>2711648.6774193547</v>
      </c>
      <c r="N19" s="141">
        <v>2600600.0666666669</v>
      </c>
      <c r="O19" s="141">
        <v>2567092.1290322579</v>
      </c>
      <c r="P19" s="142">
        <f t="shared" si="0"/>
        <v>2911374.3447900661</v>
      </c>
      <c r="Q19" s="121"/>
    </row>
    <row r="20" spans="1:17" ht="13.5">
      <c r="A20" s="764"/>
      <c r="B20" s="765"/>
      <c r="C20" s="139" t="s">
        <v>38</v>
      </c>
      <c r="D20" s="143">
        <v>1271054.6129032257</v>
      </c>
      <c r="E20" s="144">
        <v>1367506.142857143</v>
      </c>
      <c r="F20" s="144">
        <v>1260832.064516129</v>
      </c>
      <c r="G20" s="144">
        <v>1194335.2</v>
      </c>
      <c r="H20" s="144">
        <v>1554194.7096774194</v>
      </c>
      <c r="I20" s="144">
        <v>1862772.9666666666</v>
      </c>
      <c r="J20" s="144">
        <v>1903316.0967741935</v>
      </c>
      <c r="K20" s="144">
        <v>1879103.8064516129</v>
      </c>
      <c r="L20" s="144">
        <v>2369591.8333333335</v>
      </c>
      <c r="M20" s="144">
        <v>2837568.8064516131</v>
      </c>
      <c r="N20" s="144">
        <v>2227512.4333333331</v>
      </c>
      <c r="O20" s="144">
        <v>2096725.8387096773</v>
      </c>
      <c r="P20" s="145">
        <f t="shared" si="0"/>
        <v>1818709.5426395293</v>
      </c>
      <c r="Q20" s="121"/>
    </row>
    <row r="21" spans="1:17" ht="14.1" thickBot="1">
      <c r="A21" s="766"/>
      <c r="B21" s="767"/>
      <c r="C21" s="146" t="s">
        <v>39</v>
      </c>
      <c r="D21" s="147">
        <v>0</v>
      </c>
      <c r="E21" s="148">
        <v>0</v>
      </c>
      <c r="F21" s="147">
        <v>0</v>
      </c>
      <c r="G21" s="147">
        <v>0</v>
      </c>
      <c r="H21" s="147">
        <v>0</v>
      </c>
      <c r="I21" s="147">
        <v>0</v>
      </c>
      <c r="J21" s="148">
        <v>0</v>
      </c>
      <c r="K21" s="148">
        <v>0</v>
      </c>
      <c r="L21" s="149">
        <v>0</v>
      </c>
      <c r="M21" s="149">
        <v>0</v>
      </c>
      <c r="N21" s="149">
        <v>0</v>
      </c>
      <c r="O21" s="149">
        <v>0</v>
      </c>
      <c r="P21" s="150">
        <f t="shared" si="0"/>
        <v>0</v>
      </c>
      <c r="Q21" s="121"/>
    </row>
    <row r="22" spans="1:17" ht="19.5">
      <c r="A22" s="151" t="s">
        <v>281</v>
      </c>
      <c r="B22" s="152"/>
      <c r="C22" s="153"/>
      <c r="P22" s="154"/>
      <c r="Q22" s="121"/>
    </row>
    <row r="23" spans="1:17" ht="14.1" thickBot="1">
      <c r="A23" s="112" t="s">
        <v>271</v>
      </c>
      <c r="B23" s="112"/>
      <c r="C23" s="112"/>
      <c r="Q23" s="121"/>
    </row>
    <row r="24" spans="1:17" ht="13.5">
      <c r="A24" s="729" t="s">
        <v>1</v>
      </c>
      <c r="B24" s="730"/>
      <c r="C24" s="730"/>
      <c r="D24" s="116" t="s">
        <v>252</v>
      </c>
      <c r="E24" s="116" t="s">
        <v>253</v>
      </c>
      <c r="F24" s="116" t="s">
        <v>254</v>
      </c>
      <c r="G24" s="116" t="s">
        <v>255</v>
      </c>
      <c r="H24" s="116" t="s">
        <v>256</v>
      </c>
      <c r="I24" s="116" t="s">
        <v>257</v>
      </c>
      <c r="J24" s="116" t="s">
        <v>258</v>
      </c>
      <c r="K24" s="116" t="s">
        <v>259</v>
      </c>
      <c r="L24" s="116" t="s">
        <v>260</v>
      </c>
      <c r="M24" s="116" t="s">
        <v>261</v>
      </c>
      <c r="N24" s="116" t="s">
        <v>262</v>
      </c>
      <c r="O24" s="116" t="s">
        <v>263</v>
      </c>
      <c r="P24" s="117" t="s">
        <v>264</v>
      </c>
      <c r="Q24" s="121"/>
    </row>
    <row r="25" spans="1:17" s="122" customFormat="1" ht="13.5">
      <c r="A25" s="755" t="s">
        <v>9</v>
      </c>
      <c r="B25" s="756"/>
      <c r="C25" s="757"/>
      <c r="D25" s="119">
        <v>419165791</v>
      </c>
      <c r="E25" s="119">
        <v>420827447</v>
      </c>
      <c r="F25" s="119">
        <v>414719759</v>
      </c>
      <c r="G25" s="119">
        <v>417845177</v>
      </c>
      <c r="H25" s="119">
        <v>396517725</v>
      </c>
      <c r="I25" s="119">
        <v>396113919</v>
      </c>
      <c r="J25" s="119">
        <v>392983234</v>
      </c>
      <c r="K25" s="119">
        <v>401986946</v>
      </c>
      <c r="L25" s="119">
        <v>402506684</v>
      </c>
      <c r="M25" s="119">
        <v>377027372</v>
      </c>
      <c r="N25" s="119">
        <v>396496616</v>
      </c>
      <c r="O25" s="119">
        <v>418833261</v>
      </c>
      <c r="P25" s="120">
        <f t="shared" ref="P25:P43" si="1">AVERAGE(D25:O25)</f>
        <v>404585327.58333331</v>
      </c>
      <c r="Q25" s="121"/>
    </row>
    <row r="26" spans="1:17" ht="13.5">
      <c r="A26" s="123"/>
      <c r="B26" s="758" t="s">
        <v>10</v>
      </c>
      <c r="C26" s="759"/>
      <c r="D26" s="124">
        <v>402418558</v>
      </c>
      <c r="E26" s="124">
        <v>404123741</v>
      </c>
      <c r="F26" s="124">
        <v>399740305</v>
      </c>
      <c r="G26" s="124">
        <v>403409048</v>
      </c>
      <c r="H26" s="124">
        <v>383840140</v>
      </c>
      <c r="I26" s="124">
        <v>383810440</v>
      </c>
      <c r="J26" s="124">
        <v>379181631</v>
      </c>
      <c r="K26" s="124">
        <v>386747331</v>
      </c>
      <c r="L26" s="124">
        <v>389160417</v>
      </c>
      <c r="M26" s="124">
        <v>363879747</v>
      </c>
      <c r="N26" s="124">
        <v>383156928</v>
      </c>
      <c r="O26" s="124">
        <v>405126246</v>
      </c>
      <c r="P26" s="125">
        <f t="shared" si="1"/>
        <v>390382877.66666669</v>
      </c>
      <c r="Q26" s="121"/>
    </row>
    <row r="27" spans="1:17" ht="13.5">
      <c r="A27" s="126"/>
      <c r="B27" s="127"/>
      <c r="C27" s="128" t="s">
        <v>11</v>
      </c>
      <c r="D27" s="130">
        <v>232229290</v>
      </c>
      <c r="E27" s="130">
        <v>234904839</v>
      </c>
      <c r="F27" s="130">
        <v>225285265</v>
      </c>
      <c r="G27" s="130">
        <v>230507712</v>
      </c>
      <c r="H27" s="130">
        <v>221346140</v>
      </c>
      <c r="I27" s="130">
        <v>212699675</v>
      </c>
      <c r="J27" s="130">
        <v>212943216</v>
      </c>
      <c r="K27" s="130">
        <v>218661583</v>
      </c>
      <c r="L27" s="130">
        <v>220584039</v>
      </c>
      <c r="M27" s="130">
        <v>205591403</v>
      </c>
      <c r="N27" s="130">
        <v>213732474</v>
      </c>
      <c r="O27" s="130">
        <v>233979428</v>
      </c>
      <c r="P27" s="131">
        <f t="shared" si="1"/>
        <v>221872088.66666666</v>
      </c>
      <c r="Q27" s="121"/>
    </row>
    <row r="28" spans="1:17" ht="13.5">
      <c r="A28" s="126"/>
      <c r="B28" s="127"/>
      <c r="C28" s="128" t="s">
        <v>276</v>
      </c>
      <c r="D28" s="130">
        <v>86708415</v>
      </c>
      <c r="E28" s="130">
        <v>82605553</v>
      </c>
      <c r="F28" s="130">
        <v>83885473</v>
      </c>
      <c r="G28" s="130">
        <v>85969483</v>
      </c>
      <c r="H28" s="130">
        <v>76320956</v>
      </c>
      <c r="I28" s="130">
        <v>81839810</v>
      </c>
      <c r="J28" s="130">
        <v>84824270</v>
      </c>
      <c r="K28" s="130">
        <v>81990635</v>
      </c>
      <c r="L28" s="130">
        <v>81218719</v>
      </c>
      <c r="M28" s="130">
        <v>76661389</v>
      </c>
      <c r="N28" s="130">
        <v>80442494</v>
      </c>
      <c r="O28" s="130">
        <v>82693475</v>
      </c>
      <c r="P28" s="131">
        <f t="shared" si="1"/>
        <v>82096722.666666672</v>
      </c>
      <c r="Q28" s="121"/>
    </row>
    <row r="29" spans="1:17" ht="13.5">
      <c r="A29" s="126"/>
      <c r="B29" s="127"/>
      <c r="C29" s="128" t="s">
        <v>12</v>
      </c>
      <c r="D29" s="130">
        <v>15313052</v>
      </c>
      <c r="E29" s="130">
        <v>14084421</v>
      </c>
      <c r="F29" s="130">
        <v>20510895</v>
      </c>
      <c r="G29" s="130">
        <v>19042321</v>
      </c>
      <c r="H29" s="130">
        <v>18256455</v>
      </c>
      <c r="I29" s="130">
        <v>17783984</v>
      </c>
      <c r="J29" s="130">
        <v>14700388</v>
      </c>
      <c r="K29" s="130">
        <v>16795363</v>
      </c>
      <c r="L29" s="130">
        <v>15646861</v>
      </c>
      <c r="M29" s="130">
        <v>14889470</v>
      </c>
      <c r="N29" s="130">
        <v>15708480</v>
      </c>
      <c r="O29" s="130">
        <v>12224149</v>
      </c>
      <c r="P29" s="131">
        <f t="shared" si="1"/>
        <v>16246319.916666666</v>
      </c>
      <c r="Q29" s="121"/>
    </row>
    <row r="30" spans="1:17" ht="13.5">
      <c r="A30" s="126"/>
      <c r="B30" s="127"/>
      <c r="C30" s="128" t="s">
        <v>13</v>
      </c>
      <c r="D30" s="130">
        <v>6338132</v>
      </c>
      <c r="E30" s="130">
        <v>6016056</v>
      </c>
      <c r="F30" s="130">
        <v>5898498</v>
      </c>
      <c r="G30" s="130">
        <v>6434186</v>
      </c>
      <c r="H30" s="130">
        <v>4922461</v>
      </c>
      <c r="I30" s="130">
        <v>7341973</v>
      </c>
      <c r="J30" s="130">
        <v>5325528</v>
      </c>
      <c r="K30" s="130">
        <v>4975124</v>
      </c>
      <c r="L30" s="130">
        <v>6522705</v>
      </c>
      <c r="M30" s="130">
        <v>5390520</v>
      </c>
      <c r="N30" s="130">
        <v>5630861</v>
      </c>
      <c r="O30" s="130">
        <v>5473130</v>
      </c>
      <c r="P30" s="131">
        <f t="shared" si="1"/>
        <v>5855764.5</v>
      </c>
      <c r="Q30" s="121"/>
    </row>
    <row r="31" spans="1:17" ht="13.5">
      <c r="A31" s="126"/>
      <c r="B31" s="127"/>
      <c r="C31" s="128" t="s">
        <v>14</v>
      </c>
      <c r="D31" s="130">
        <v>16660596</v>
      </c>
      <c r="E31" s="130">
        <v>19008244</v>
      </c>
      <c r="F31" s="130">
        <v>17210623</v>
      </c>
      <c r="G31" s="130">
        <v>16117801</v>
      </c>
      <c r="H31" s="130">
        <v>18940743</v>
      </c>
      <c r="I31" s="130">
        <v>16616268</v>
      </c>
      <c r="J31" s="130">
        <v>17341387</v>
      </c>
      <c r="K31" s="130">
        <v>17156572</v>
      </c>
      <c r="L31" s="130">
        <v>16687246</v>
      </c>
      <c r="M31" s="130">
        <v>16186710</v>
      </c>
      <c r="N31" s="130">
        <v>16584357</v>
      </c>
      <c r="O31" s="130">
        <v>15560155</v>
      </c>
      <c r="P31" s="131">
        <f t="shared" si="1"/>
        <v>17005891.833333332</v>
      </c>
      <c r="Q31" s="121"/>
    </row>
    <row r="32" spans="1:17" ht="13.5">
      <c r="A32" s="126"/>
      <c r="B32" s="127"/>
      <c r="C32" s="128" t="s">
        <v>15</v>
      </c>
      <c r="D32" s="130">
        <v>39311147</v>
      </c>
      <c r="E32" s="130">
        <v>40748444</v>
      </c>
      <c r="F32" s="130">
        <v>39656002</v>
      </c>
      <c r="G32" s="130">
        <v>40914909</v>
      </c>
      <c r="H32" s="130">
        <v>37565607</v>
      </c>
      <c r="I32" s="130">
        <v>40591125</v>
      </c>
      <c r="J32" s="130">
        <v>38324927</v>
      </c>
      <c r="K32" s="130">
        <v>40220698</v>
      </c>
      <c r="L32" s="130">
        <v>41722720</v>
      </c>
      <c r="M32" s="130">
        <v>40607233</v>
      </c>
      <c r="N32" s="130">
        <v>44802786</v>
      </c>
      <c r="O32" s="130">
        <v>48586257</v>
      </c>
      <c r="P32" s="131">
        <f t="shared" si="1"/>
        <v>41087654.583333336</v>
      </c>
      <c r="Q32" s="121"/>
    </row>
    <row r="33" spans="1:17" ht="13.5">
      <c r="A33" s="126"/>
      <c r="B33" s="132"/>
      <c r="C33" s="128" t="s">
        <v>16</v>
      </c>
      <c r="D33" s="130">
        <v>5857926</v>
      </c>
      <c r="E33" s="130">
        <v>6756184</v>
      </c>
      <c r="F33" s="130">
        <v>7293549</v>
      </c>
      <c r="G33" s="130">
        <v>4422636</v>
      </c>
      <c r="H33" s="130">
        <v>6487778</v>
      </c>
      <c r="I33" s="130">
        <v>6937605</v>
      </c>
      <c r="J33" s="130">
        <v>5721915</v>
      </c>
      <c r="K33" s="130">
        <v>6947356</v>
      </c>
      <c r="L33" s="130">
        <v>6778127</v>
      </c>
      <c r="M33" s="130">
        <v>4553022</v>
      </c>
      <c r="N33" s="130">
        <v>6255476</v>
      </c>
      <c r="O33" s="130">
        <v>6609652</v>
      </c>
      <c r="P33" s="131">
        <f t="shared" si="1"/>
        <v>6218435.5</v>
      </c>
      <c r="Q33" s="121"/>
    </row>
    <row r="34" spans="1:17" ht="13.5">
      <c r="A34" s="126"/>
      <c r="B34" s="760" t="s">
        <v>17</v>
      </c>
      <c r="C34" s="761"/>
      <c r="D34" s="124">
        <v>16747233</v>
      </c>
      <c r="E34" s="124">
        <v>16703706</v>
      </c>
      <c r="F34" s="124">
        <v>14979454</v>
      </c>
      <c r="G34" s="124">
        <v>14436129</v>
      </c>
      <c r="H34" s="124">
        <v>12677585</v>
      </c>
      <c r="I34" s="124">
        <v>12303479</v>
      </c>
      <c r="J34" s="124">
        <v>13801603</v>
      </c>
      <c r="K34" s="124">
        <v>15239615</v>
      </c>
      <c r="L34" s="124">
        <v>13346267</v>
      </c>
      <c r="M34" s="124">
        <v>13147625</v>
      </c>
      <c r="N34" s="124">
        <v>13339688</v>
      </c>
      <c r="O34" s="124">
        <v>13707015</v>
      </c>
      <c r="P34" s="125">
        <f t="shared" si="1"/>
        <v>14202449.916666666</v>
      </c>
      <c r="Q34" s="121"/>
    </row>
    <row r="35" spans="1:17" ht="13.5">
      <c r="A35" s="126"/>
      <c r="B35" s="127"/>
      <c r="C35" s="134" t="s">
        <v>18</v>
      </c>
      <c r="D35" s="130">
        <v>1923728</v>
      </c>
      <c r="E35" s="130">
        <v>1482201</v>
      </c>
      <c r="F35" s="130">
        <v>1455853</v>
      </c>
      <c r="G35" s="130">
        <v>1447618</v>
      </c>
      <c r="H35" s="130">
        <v>1435126</v>
      </c>
      <c r="I35" s="130">
        <v>1427439</v>
      </c>
      <c r="J35" s="130">
        <v>1424106</v>
      </c>
      <c r="K35" s="130">
        <v>1432332</v>
      </c>
      <c r="L35" s="130">
        <v>1429798</v>
      </c>
      <c r="M35" s="130">
        <v>1416680</v>
      </c>
      <c r="N35" s="130">
        <v>1511224</v>
      </c>
      <c r="O35" s="130">
        <v>1402789</v>
      </c>
      <c r="P35" s="131">
        <f t="shared" si="1"/>
        <v>1482407.8333333333</v>
      </c>
      <c r="Q35" s="121"/>
    </row>
    <row r="36" spans="1:17" ht="13.5">
      <c r="A36" s="126"/>
      <c r="B36" s="127"/>
      <c r="C36" s="134" t="s">
        <v>19</v>
      </c>
      <c r="D36" s="135">
        <v>11409214</v>
      </c>
      <c r="E36" s="130">
        <v>11671956</v>
      </c>
      <c r="F36" s="130">
        <v>10303342</v>
      </c>
      <c r="G36" s="130">
        <v>9705347</v>
      </c>
      <c r="H36" s="130">
        <v>9114127</v>
      </c>
      <c r="I36" s="130">
        <v>8863656</v>
      </c>
      <c r="J36" s="130">
        <v>10198733</v>
      </c>
      <c r="K36" s="130">
        <v>11619791</v>
      </c>
      <c r="L36" s="130">
        <v>9828662</v>
      </c>
      <c r="M36" s="130">
        <v>9948737</v>
      </c>
      <c r="N36" s="130">
        <v>9995101</v>
      </c>
      <c r="O36" s="130">
        <v>10366434</v>
      </c>
      <c r="P36" s="136">
        <f t="shared" si="1"/>
        <v>10252091.666666666</v>
      </c>
      <c r="Q36" s="121"/>
    </row>
    <row r="37" spans="1:17" ht="13.5">
      <c r="A37" s="126"/>
      <c r="B37" s="127"/>
      <c r="C37" s="134" t="s">
        <v>279</v>
      </c>
      <c r="D37" s="135">
        <v>3091029</v>
      </c>
      <c r="E37" s="135">
        <v>3091029</v>
      </c>
      <c r="F37" s="130">
        <v>3091029</v>
      </c>
      <c r="G37" s="130">
        <v>3043248</v>
      </c>
      <c r="H37" s="130">
        <v>1835942</v>
      </c>
      <c r="I37" s="130">
        <v>1811129</v>
      </c>
      <c r="J37" s="130">
        <v>1811129</v>
      </c>
      <c r="K37" s="130">
        <v>1826112</v>
      </c>
      <c r="L37" s="130">
        <v>1826112</v>
      </c>
      <c r="M37" s="130">
        <v>1526333</v>
      </c>
      <c r="N37" s="130">
        <v>1526333</v>
      </c>
      <c r="O37" s="130">
        <v>1526333</v>
      </c>
      <c r="P37" s="136">
        <f t="shared" si="1"/>
        <v>2167146.5</v>
      </c>
      <c r="Q37" s="121"/>
    </row>
    <row r="38" spans="1:17" ht="13.5">
      <c r="A38" s="126"/>
      <c r="B38" s="127"/>
      <c r="C38" s="134" t="s">
        <v>266</v>
      </c>
      <c r="D38" s="135">
        <v>0</v>
      </c>
      <c r="E38" s="129">
        <v>0</v>
      </c>
      <c r="F38" s="130">
        <v>0</v>
      </c>
      <c r="G38" s="130">
        <v>0</v>
      </c>
      <c r="H38" s="130">
        <v>0</v>
      </c>
      <c r="I38" s="130">
        <v>0</v>
      </c>
      <c r="J38" s="130">
        <v>0</v>
      </c>
      <c r="K38" s="130">
        <v>0</v>
      </c>
      <c r="L38" s="130">
        <v>0</v>
      </c>
      <c r="M38" s="130">
        <v>0</v>
      </c>
      <c r="N38" s="130">
        <v>0</v>
      </c>
      <c r="O38" s="130">
        <v>0</v>
      </c>
      <c r="P38" s="136">
        <f t="shared" si="1"/>
        <v>0</v>
      </c>
      <c r="Q38" s="121"/>
    </row>
    <row r="39" spans="1:17" ht="13.5">
      <c r="A39" s="126"/>
      <c r="B39" s="127"/>
      <c r="C39" s="134" t="s">
        <v>280</v>
      </c>
      <c r="D39" s="129">
        <v>0</v>
      </c>
      <c r="E39" s="130">
        <v>0</v>
      </c>
      <c r="F39" s="130">
        <v>0</v>
      </c>
      <c r="G39" s="130">
        <v>0</v>
      </c>
      <c r="H39" s="130">
        <v>0</v>
      </c>
      <c r="I39" s="130">
        <v>0</v>
      </c>
      <c r="J39" s="130">
        <v>0</v>
      </c>
      <c r="K39" s="130">
        <v>0</v>
      </c>
      <c r="L39" s="130">
        <v>0</v>
      </c>
      <c r="M39" s="130">
        <v>0</v>
      </c>
      <c r="N39" s="130">
        <v>0</v>
      </c>
      <c r="O39" s="130">
        <v>0</v>
      </c>
      <c r="P39" s="131">
        <f t="shared" si="1"/>
        <v>0</v>
      </c>
      <c r="Q39" s="121"/>
    </row>
    <row r="40" spans="1:17" ht="13.5">
      <c r="A40" s="126"/>
      <c r="B40" s="127"/>
      <c r="C40" s="138" t="s">
        <v>20</v>
      </c>
      <c r="D40" s="129">
        <v>323262</v>
      </c>
      <c r="E40" s="130">
        <v>458520</v>
      </c>
      <c r="F40" s="130">
        <v>129230</v>
      </c>
      <c r="G40" s="130">
        <v>239916</v>
      </c>
      <c r="H40" s="130">
        <v>292390</v>
      </c>
      <c r="I40" s="130">
        <v>201255</v>
      </c>
      <c r="J40" s="130">
        <v>367635</v>
      </c>
      <c r="K40" s="130">
        <v>361380</v>
      </c>
      <c r="L40" s="130">
        <v>261695</v>
      </c>
      <c r="M40" s="130">
        <v>255875</v>
      </c>
      <c r="N40" s="130">
        <v>307030</v>
      </c>
      <c r="O40" s="130">
        <v>411459</v>
      </c>
      <c r="P40" s="131">
        <f t="shared" si="1"/>
        <v>300803.91666666669</v>
      </c>
      <c r="Q40" s="121"/>
    </row>
    <row r="41" spans="1:17" ht="13.5">
      <c r="A41" s="762" t="s">
        <v>36</v>
      </c>
      <c r="B41" s="763"/>
      <c r="C41" s="139" t="s">
        <v>37</v>
      </c>
      <c r="D41" s="140">
        <v>3173663</v>
      </c>
      <c r="E41" s="141">
        <v>2830105</v>
      </c>
      <c r="F41" s="141">
        <v>2232465</v>
      </c>
      <c r="G41" s="141">
        <v>2322734</v>
      </c>
      <c r="H41" s="141">
        <v>4205198</v>
      </c>
      <c r="I41" s="141">
        <v>3577258</v>
      </c>
      <c r="J41" s="141">
        <v>3259900</v>
      </c>
      <c r="K41" s="141">
        <v>3102761</v>
      </c>
      <c r="L41" s="141">
        <v>2713679</v>
      </c>
      <c r="M41" s="141">
        <v>2710532</v>
      </c>
      <c r="N41" s="141">
        <v>2597749</v>
      </c>
      <c r="O41" s="141">
        <v>2653774</v>
      </c>
      <c r="P41" s="142">
        <f t="shared" si="1"/>
        <v>2948318.1666666665</v>
      </c>
      <c r="Q41" s="121"/>
    </row>
    <row r="42" spans="1:17" ht="14.25" customHeight="1">
      <c r="A42" s="764"/>
      <c r="B42" s="765"/>
      <c r="C42" s="139" t="s">
        <v>38</v>
      </c>
      <c r="D42" s="140">
        <v>1062464</v>
      </c>
      <c r="E42" s="141">
        <v>1270432</v>
      </c>
      <c r="F42" s="141">
        <v>1287122</v>
      </c>
      <c r="G42" s="141">
        <v>1191823</v>
      </c>
      <c r="H42" s="141">
        <v>2072800</v>
      </c>
      <c r="I42" s="141">
        <v>1673262</v>
      </c>
      <c r="J42" s="141">
        <v>1986033</v>
      </c>
      <c r="K42" s="141">
        <v>2178052</v>
      </c>
      <c r="L42" s="141">
        <v>3408316</v>
      </c>
      <c r="M42" s="141">
        <v>2760522</v>
      </c>
      <c r="N42" s="141">
        <v>2488694</v>
      </c>
      <c r="O42" s="141">
        <v>1983780</v>
      </c>
      <c r="P42" s="142">
        <f t="shared" si="1"/>
        <v>1946941.6666666667</v>
      </c>
      <c r="Q42" s="121"/>
    </row>
    <row r="43" spans="1:17" ht="14.1" thickBot="1">
      <c r="A43" s="766"/>
      <c r="B43" s="767"/>
      <c r="C43" s="146" t="s">
        <v>39</v>
      </c>
      <c r="D43" s="147">
        <v>0</v>
      </c>
      <c r="E43" s="147">
        <v>0</v>
      </c>
      <c r="F43" s="147">
        <v>0</v>
      </c>
      <c r="G43" s="147">
        <v>0</v>
      </c>
      <c r="H43" s="147">
        <v>0</v>
      </c>
      <c r="I43" s="147"/>
      <c r="J43" s="155">
        <v>0</v>
      </c>
      <c r="K43" s="155">
        <v>0</v>
      </c>
      <c r="L43" s="156">
        <v>0</v>
      </c>
      <c r="M43" s="156">
        <v>0</v>
      </c>
      <c r="N43" s="156">
        <v>0</v>
      </c>
      <c r="O43" s="156">
        <v>0</v>
      </c>
      <c r="P43" s="157">
        <f t="shared" si="1"/>
        <v>0</v>
      </c>
      <c r="Q43" s="121"/>
    </row>
    <row r="44" spans="1:17" ht="13.5">
      <c r="A44" s="151" t="s">
        <v>282</v>
      </c>
      <c r="B44" s="158"/>
      <c r="C44" s="159"/>
    </row>
    <row r="45" spans="1:17" ht="14.1" thickBot="1">
      <c r="A45" s="112" t="s">
        <v>272</v>
      </c>
      <c r="B45" s="112"/>
      <c r="C45" s="112"/>
      <c r="Q45" s="121"/>
    </row>
    <row r="46" spans="1:17" ht="13.5">
      <c r="A46" s="729" t="s">
        <v>1</v>
      </c>
      <c r="B46" s="730"/>
      <c r="C46" s="730"/>
      <c r="D46" s="116" t="s">
        <v>252</v>
      </c>
      <c r="E46" s="116" t="s">
        <v>253</v>
      </c>
      <c r="F46" s="116" t="s">
        <v>254</v>
      </c>
      <c r="G46" s="116" t="s">
        <v>255</v>
      </c>
      <c r="H46" s="116" t="s">
        <v>256</v>
      </c>
      <c r="I46" s="116" t="s">
        <v>257</v>
      </c>
      <c r="J46" s="116" t="s">
        <v>258</v>
      </c>
      <c r="K46" s="116" t="s">
        <v>259</v>
      </c>
      <c r="L46" s="116" t="s">
        <v>260</v>
      </c>
      <c r="M46" s="116" t="s">
        <v>261</v>
      </c>
      <c r="N46" s="116" t="s">
        <v>262</v>
      </c>
      <c r="O46" s="116" t="s">
        <v>263</v>
      </c>
      <c r="P46" s="117" t="s">
        <v>264</v>
      </c>
      <c r="Q46" s="121"/>
    </row>
    <row r="47" spans="1:17" s="122" customFormat="1" ht="13.5">
      <c r="A47" s="755" t="s">
        <v>9</v>
      </c>
      <c r="B47" s="756"/>
      <c r="C47" s="757"/>
      <c r="D47" s="160">
        <v>1.1838273935454371</v>
      </c>
      <c r="E47" s="160">
        <v>1.2354699565594323</v>
      </c>
      <c r="F47" s="160">
        <v>1.2360623749819755</v>
      </c>
      <c r="G47" s="160">
        <v>1.2517313098190632</v>
      </c>
      <c r="H47" s="160">
        <v>1.1993542717644554</v>
      </c>
      <c r="I47" s="160">
        <v>1.1957509275266929</v>
      </c>
      <c r="J47" s="160">
        <v>1.1398172133068236</v>
      </c>
      <c r="K47" s="160">
        <v>1.1090987468518156</v>
      </c>
      <c r="L47" s="160">
        <v>1.1180734501740168</v>
      </c>
      <c r="M47" s="160">
        <v>1.0336732116021001</v>
      </c>
      <c r="N47" s="160">
        <v>1.0506553324750589</v>
      </c>
      <c r="O47" s="161">
        <v>1.0530888570161614</v>
      </c>
      <c r="P47" s="162">
        <f t="shared" ref="P47:P56" si="2">AVERAGE(D47:O47)</f>
        <v>1.1505502538019192</v>
      </c>
      <c r="Q47" s="121"/>
    </row>
    <row r="48" spans="1:17" ht="13.5">
      <c r="A48" s="123"/>
      <c r="B48" s="758" t="s">
        <v>10</v>
      </c>
      <c r="C48" s="759"/>
      <c r="D48" s="163">
        <v>1.1534793270350965</v>
      </c>
      <c r="E48" s="163">
        <v>1.2063733803172607</v>
      </c>
      <c r="F48" s="163">
        <v>1.2085632876215895</v>
      </c>
      <c r="G48" s="163">
        <v>1.2285185530133773</v>
      </c>
      <c r="H48" s="163">
        <v>1.1842345776437535</v>
      </c>
      <c r="I48" s="163">
        <v>1.1880373837198381</v>
      </c>
      <c r="J48" s="163">
        <v>1.130463908856522</v>
      </c>
      <c r="K48" s="163">
        <v>1.1012417014960882</v>
      </c>
      <c r="L48" s="163">
        <v>1.1130964592089423</v>
      </c>
      <c r="M48" s="163">
        <v>1.0316452028557281</v>
      </c>
      <c r="N48" s="163">
        <v>1.0485193364816401</v>
      </c>
      <c r="O48" s="164">
        <v>1.0530888570161614</v>
      </c>
      <c r="P48" s="165">
        <f t="shared" si="2"/>
        <v>1.1372718312721664</v>
      </c>
      <c r="Q48" s="121"/>
    </row>
    <row r="49" spans="1:19" ht="13.5">
      <c r="A49" s="126"/>
      <c r="B49" s="127"/>
      <c r="C49" s="128" t="s">
        <v>11</v>
      </c>
      <c r="D49" s="166">
        <v>1.4068455661673427</v>
      </c>
      <c r="E49" s="166">
        <v>1.5298504301093909</v>
      </c>
      <c r="F49" s="166">
        <v>1.5164232353018425</v>
      </c>
      <c r="G49" s="166">
        <v>1.4947546076571967</v>
      </c>
      <c r="H49" s="166">
        <v>1.4991090173721713</v>
      </c>
      <c r="I49" s="166">
        <v>1.4892278497341052</v>
      </c>
      <c r="J49" s="166">
        <v>1.4333359188485393</v>
      </c>
      <c r="K49" s="166">
        <v>1.434461106167249</v>
      </c>
      <c r="L49" s="166">
        <v>1.4921336617345939</v>
      </c>
      <c r="M49" s="166">
        <v>1.3516959046191759</v>
      </c>
      <c r="N49" s="166">
        <v>1.3345674234577798</v>
      </c>
      <c r="O49" s="167">
        <v>1.3433710866621666</v>
      </c>
      <c r="P49" s="168">
        <f>AVERAGE(D49:O49)</f>
        <v>1.4438146506526295</v>
      </c>
      <c r="Q49" s="219"/>
      <c r="R49" s="220"/>
      <c r="S49" s="122"/>
    </row>
    <row r="50" spans="1:19" ht="13.5">
      <c r="A50" s="126"/>
      <c r="B50" s="127"/>
      <c r="C50" s="128" t="s">
        <v>276</v>
      </c>
      <c r="D50" s="166">
        <v>2.7648818774964394</v>
      </c>
      <c r="E50" s="166">
        <v>2.7596857021078183</v>
      </c>
      <c r="F50" s="166">
        <v>2.7134296417436321</v>
      </c>
      <c r="G50" s="166">
        <v>2.8274746062173985</v>
      </c>
      <c r="H50" s="166">
        <v>2.4803304060719098</v>
      </c>
      <c r="I50" s="166">
        <v>2.5041985699944189</v>
      </c>
      <c r="J50" s="166">
        <v>2.5386265954100145</v>
      </c>
      <c r="K50" s="166">
        <v>2.4471848938083083</v>
      </c>
      <c r="L50" s="166">
        <v>2.3710178529119652</v>
      </c>
      <c r="M50" s="166">
        <v>2.2571451998348913</v>
      </c>
      <c r="N50" s="166">
        <v>2.3130040004865227</v>
      </c>
      <c r="O50" s="167">
        <v>2.4791948096155543</v>
      </c>
      <c r="P50" s="168">
        <f t="shared" si="2"/>
        <v>2.5380145129749061</v>
      </c>
      <c r="Q50" s="219"/>
      <c r="R50" s="220"/>
    </row>
    <row r="51" spans="1:19" ht="13.5">
      <c r="A51" s="126"/>
      <c r="B51" s="127"/>
      <c r="C51" s="128" t="s">
        <v>12</v>
      </c>
      <c r="D51" s="166">
        <v>0.29281279730442555</v>
      </c>
      <c r="E51" s="166">
        <v>0.27708998087350395</v>
      </c>
      <c r="F51" s="166">
        <v>0.29935969737571427</v>
      </c>
      <c r="G51" s="166">
        <v>0.37769318756816167</v>
      </c>
      <c r="H51" s="166">
        <v>0.38769957836513863</v>
      </c>
      <c r="I51" s="166">
        <v>0.35893835372923688</v>
      </c>
      <c r="J51" s="166">
        <v>0.27436932801299568</v>
      </c>
      <c r="K51" s="166">
        <v>0.29420547890946697</v>
      </c>
      <c r="L51" s="166">
        <v>0.35334383924682983</v>
      </c>
      <c r="M51" s="166">
        <v>0.28636230224531428</v>
      </c>
      <c r="N51" s="166">
        <v>0.31369045835958909</v>
      </c>
      <c r="O51" s="167">
        <v>0.28999999999999998</v>
      </c>
      <c r="P51" s="168">
        <f t="shared" si="2"/>
        <v>0.3171304168325314</v>
      </c>
      <c r="Q51" s="219"/>
      <c r="R51" s="220"/>
    </row>
    <row r="52" spans="1:19" ht="13.5">
      <c r="A52" s="126"/>
      <c r="B52" s="127"/>
      <c r="C52" s="128" t="s">
        <v>13</v>
      </c>
      <c r="D52" s="166">
        <v>1.0774899997920866</v>
      </c>
      <c r="E52" s="166">
        <v>1.3329143349151826</v>
      </c>
      <c r="F52" s="166">
        <v>1.3639279133796243</v>
      </c>
      <c r="G52" s="166">
        <v>1.1566890982240636</v>
      </c>
      <c r="H52" s="166">
        <v>0.89821526215143432</v>
      </c>
      <c r="I52" s="166">
        <v>1.1027928340964017</v>
      </c>
      <c r="J52" s="166">
        <v>0.84690336361772622</v>
      </c>
      <c r="K52" s="166">
        <v>0.70226054542378513</v>
      </c>
      <c r="L52" s="166">
        <v>0.62775141226734821</v>
      </c>
      <c r="M52" s="166">
        <v>0.77284767612711147</v>
      </c>
      <c r="N52" s="166">
        <v>0.79898798835628881</v>
      </c>
      <c r="O52" s="167">
        <v>0.89</v>
      </c>
      <c r="P52" s="168">
        <f t="shared" si="2"/>
        <v>0.96423170236258782</v>
      </c>
      <c r="Q52" s="219"/>
      <c r="R52" s="221"/>
    </row>
    <row r="53" spans="1:19" ht="13.5">
      <c r="A53" s="126"/>
      <c r="B53" s="127"/>
      <c r="C53" s="128" t="s">
        <v>14</v>
      </c>
      <c r="D53" s="166">
        <v>0.40229434810348008</v>
      </c>
      <c r="E53" s="166">
        <v>0.43291226054246185</v>
      </c>
      <c r="F53" s="166">
        <v>0.44892689556170601</v>
      </c>
      <c r="G53" s="166">
        <v>0.40153375672625297</v>
      </c>
      <c r="H53" s="166">
        <v>0.39631957819945551</v>
      </c>
      <c r="I53" s="166">
        <v>0.41331518762719072</v>
      </c>
      <c r="J53" s="166">
        <v>0.36789811625024244</v>
      </c>
      <c r="K53" s="166">
        <v>0.35399508552809383</v>
      </c>
      <c r="L53" s="166">
        <v>0.34487292196820807</v>
      </c>
      <c r="M53" s="166">
        <v>0.35036031199685774</v>
      </c>
      <c r="N53" s="166">
        <v>0.37687504729154364</v>
      </c>
      <c r="O53" s="167">
        <v>0.34</v>
      </c>
      <c r="P53" s="168">
        <f t="shared" si="2"/>
        <v>0.38577529248295778</v>
      </c>
      <c r="Q53" s="219"/>
      <c r="R53" s="220"/>
    </row>
    <row r="54" spans="1:19" ht="13.5">
      <c r="A54" s="126"/>
      <c r="B54" s="127"/>
      <c r="C54" s="128" t="s">
        <v>15</v>
      </c>
      <c r="D54" s="166">
        <v>2.8402283298632574</v>
      </c>
      <c r="E54" s="166">
        <v>2.8945669030824752</v>
      </c>
      <c r="F54" s="166">
        <v>2.8438114995367902</v>
      </c>
      <c r="G54" s="166">
        <v>2.9429561281355623</v>
      </c>
      <c r="H54" s="166">
        <v>2.9126659783059901</v>
      </c>
      <c r="I54" s="166">
        <v>3.0087206621686642</v>
      </c>
      <c r="J54" s="166">
        <v>2.9498684367838268</v>
      </c>
      <c r="K54" s="166">
        <v>2.6832385699703107</v>
      </c>
      <c r="L54" s="166">
        <v>2.7886868275673486</v>
      </c>
      <c r="M54" s="166">
        <v>2.6952677823507747</v>
      </c>
      <c r="N54" s="166">
        <v>2.8061517543521268</v>
      </c>
      <c r="O54" s="167">
        <v>2.69</v>
      </c>
      <c r="P54" s="168">
        <f t="shared" si="2"/>
        <v>2.8380135726764273</v>
      </c>
      <c r="Q54" s="219"/>
      <c r="R54" s="220"/>
    </row>
    <row r="55" spans="1:19" ht="13.5">
      <c r="A55" s="126"/>
      <c r="B55" s="132"/>
      <c r="C55" s="128" t="s">
        <v>16</v>
      </c>
      <c r="D55" s="166">
        <v>0.1681052370704719</v>
      </c>
      <c r="E55" s="166">
        <v>0.16679034558095668</v>
      </c>
      <c r="F55" s="166">
        <v>0.14849058327406878</v>
      </c>
      <c r="G55" s="166">
        <v>0.17054305795792676</v>
      </c>
      <c r="H55" s="166">
        <v>0.16107062862013727</v>
      </c>
      <c r="I55" s="166">
        <v>0.1586154806042169</v>
      </c>
      <c r="J55" s="166">
        <v>0.16052361346379429</v>
      </c>
      <c r="K55" s="166">
        <v>0.14750703981763524</v>
      </c>
      <c r="L55" s="166">
        <v>0.12804993834145004</v>
      </c>
      <c r="M55" s="166">
        <v>0.1379601436638003</v>
      </c>
      <c r="N55" s="166">
        <v>0.11431978376534101</v>
      </c>
      <c r="O55" s="167">
        <v>0.13</v>
      </c>
      <c r="P55" s="168">
        <f t="shared" si="2"/>
        <v>0.14933132101331659</v>
      </c>
      <c r="Q55" s="219"/>
      <c r="R55" s="220"/>
    </row>
    <row r="56" spans="1:19" ht="14.1" thickBot="1">
      <c r="A56" s="169"/>
      <c r="B56" s="774" t="s">
        <v>17</v>
      </c>
      <c r="C56" s="768"/>
      <c r="D56" s="170">
        <v>3.2089682924976821</v>
      </c>
      <c r="E56" s="170">
        <v>2.9726598910987869</v>
      </c>
      <c r="F56" s="170">
        <v>2.9124529688368312</v>
      </c>
      <c r="G56" s="170">
        <v>2.4994528970586645</v>
      </c>
      <c r="H56" s="170">
        <v>1.9773008319151548</v>
      </c>
      <c r="I56" s="170">
        <v>1.4951908480809533</v>
      </c>
      <c r="J56" s="170">
        <v>1.4917262754572704</v>
      </c>
      <c r="K56" s="170">
        <v>1.378616394286017</v>
      </c>
      <c r="L56" s="170">
        <v>1.2821736239445267</v>
      </c>
      <c r="M56" s="170">
        <v>1.0954065488586464</v>
      </c>
      <c r="N56" s="170">
        <v>1.1151685229755997</v>
      </c>
      <c r="O56" s="171">
        <v>1.1269267203335849</v>
      </c>
      <c r="P56" s="172">
        <f t="shared" si="2"/>
        <v>1.87967031794531</v>
      </c>
      <c r="Q56" s="222"/>
      <c r="R56" s="223"/>
    </row>
    <row r="57" spans="1:19" ht="13.5">
      <c r="A57" s="126"/>
      <c r="B57" s="127"/>
      <c r="C57" s="173" t="s">
        <v>18</v>
      </c>
      <c r="D57" s="174">
        <v>3.6451916874216694</v>
      </c>
      <c r="E57" s="174">
        <v>2.6834410932740367</v>
      </c>
      <c r="F57" s="174">
        <v>2.6256599477081157</v>
      </c>
      <c r="G57" s="174">
        <v>1.9743939195273066</v>
      </c>
      <c r="H57" s="174">
        <v>1.5486185391562872</v>
      </c>
      <c r="I57" s="174">
        <v>0.63280078217946767</v>
      </c>
      <c r="J57" s="174">
        <v>0.60036342137195187</v>
      </c>
      <c r="K57" s="174">
        <v>0.41605526139513083</v>
      </c>
      <c r="L57" s="174">
        <v>0.48205128702749989</v>
      </c>
      <c r="M57" s="174">
        <v>0.39038874196206635</v>
      </c>
      <c r="N57" s="174">
        <v>0.44879591258060114</v>
      </c>
      <c r="O57" s="175">
        <v>0.62597347074287901</v>
      </c>
      <c r="P57" s="176">
        <f>AVERAGE(D57:O57)</f>
        <v>1.3394778386955846</v>
      </c>
      <c r="Q57" s="224"/>
      <c r="R57" s="224"/>
    </row>
    <row r="58" spans="1:19" ht="15.6">
      <c r="A58" s="126"/>
      <c r="B58" s="127"/>
      <c r="C58" s="134" t="s">
        <v>19</v>
      </c>
      <c r="D58" s="177">
        <v>2.7267031152687009</v>
      </c>
      <c r="E58" s="166">
        <v>2.5578239395425335</v>
      </c>
      <c r="F58" s="166">
        <v>2.4695420657548182</v>
      </c>
      <c r="G58" s="166">
        <v>2.1347482679076548</v>
      </c>
      <c r="H58" s="166">
        <v>1.8215930054955334</v>
      </c>
      <c r="I58" s="166">
        <v>1.6277310282537929</v>
      </c>
      <c r="J58" s="166">
        <v>1.6991368325582623</v>
      </c>
      <c r="K58" s="166">
        <v>1.7318268893328328</v>
      </c>
      <c r="L58" s="166">
        <v>1.485379452113698</v>
      </c>
      <c r="M58" s="166">
        <v>1.3029926517242776</v>
      </c>
      <c r="N58" s="166">
        <v>1.2574167786421662</v>
      </c>
      <c r="O58" s="167">
        <v>1.1425529900778162</v>
      </c>
      <c r="P58" s="178">
        <f>AVERAGE(D58:O58)</f>
        <v>1.8297872513893407</v>
      </c>
      <c r="Q58" s="225"/>
      <c r="R58" s="225"/>
    </row>
    <row r="59" spans="1:19" ht="13.5">
      <c r="A59" s="126"/>
      <c r="B59" s="127"/>
      <c r="C59" s="134" t="s">
        <v>279</v>
      </c>
      <c r="D59" s="177"/>
      <c r="E59" s="177"/>
      <c r="F59" s="166"/>
      <c r="G59" s="166"/>
      <c r="H59" s="166"/>
      <c r="I59" s="166"/>
      <c r="J59" s="166"/>
      <c r="K59" s="166"/>
      <c r="L59" s="166"/>
      <c r="M59" s="166"/>
      <c r="N59" s="167"/>
      <c r="O59" s="167"/>
      <c r="P59" s="178"/>
      <c r="Q59" s="219"/>
      <c r="R59" s="220"/>
    </row>
    <row r="60" spans="1:19" ht="13.5">
      <c r="A60" s="126"/>
      <c r="B60" s="127"/>
      <c r="C60" s="134" t="s">
        <v>266</v>
      </c>
      <c r="D60" s="177"/>
      <c r="E60" s="166"/>
      <c r="F60" s="166"/>
      <c r="G60" s="166"/>
      <c r="H60" s="166"/>
      <c r="I60" s="166"/>
      <c r="J60" s="166"/>
      <c r="K60" s="166"/>
      <c r="L60" s="166"/>
      <c r="M60" s="166"/>
      <c r="N60" s="167"/>
      <c r="O60" s="167"/>
      <c r="P60" s="178"/>
      <c r="Q60" s="219"/>
      <c r="R60" s="220"/>
    </row>
    <row r="61" spans="1:19" ht="13.5">
      <c r="A61" s="126"/>
      <c r="B61" s="127"/>
      <c r="C61" s="134" t="s">
        <v>280</v>
      </c>
      <c r="D61" s="166"/>
      <c r="E61" s="166"/>
      <c r="F61" s="166"/>
      <c r="G61" s="166"/>
      <c r="H61" s="166"/>
      <c r="I61" s="166"/>
      <c r="J61" s="166"/>
      <c r="K61" s="166"/>
      <c r="L61" s="166"/>
      <c r="M61" s="166"/>
      <c r="N61" s="167"/>
      <c r="O61" s="167"/>
      <c r="P61" s="168"/>
      <c r="Q61" s="219"/>
      <c r="R61" s="220"/>
    </row>
    <row r="62" spans="1:19" ht="13.5">
      <c r="A62" s="126"/>
      <c r="B62" s="127"/>
      <c r="C62" s="138" t="s">
        <v>20</v>
      </c>
      <c r="D62" s="166">
        <v>0.47121829704124207</v>
      </c>
      <c r="E62" s="166">
        <v>0.71202744481149605</v>
      </c>
      <c r="F62" s="166">
        <v>0.63540306361978682</v>
      </c>
      <c r="G62" s="166">
        <v>0.30103094417244364</v>
      </c>
      <c r="H62" s="166">
        <v>0.57812335396196435</v>
      </c>
      <c r="I62" s="166">
        <v>0.42006024955735871</v>
      </c>
      <c r="J62" s="166">
        <v>0.40068714000513855</v>
      </c>
      <c r="K62" s="166">
        <v>0.47356865511514779</v>
      </c>
      <c r="L62" s="166">
        <v>0.41462375512886901</v>
      </c>
      <c r="M62" s="166">
        <v>0.37859540788623142</v>
      </c>
      <c r="N62" s="166">
        <v>0.33823960302457468</v>
      </c>
      <c r="O62" s="167">
        <v>0.47050097470908225</v>
      </c>
      <c r="P62" s="168">
        <f>AVERAGE(D62:O62)</f>
        <v>0.46617324075277794</v>
      </c>
      <c r="Q62" s="219"/>
      <c r="R62" s="220"/>
    </row>
    <row r="63" spans="1:19" ht="13.5">
      <c r="A63" s="762" t="s">
        <v>36</v>
      </c>
      <c r="B63" s="763"/>
      <c r="C63" s="139" t="s">
        <v>37</v>
      </c>
      <c r="D63" s="179"/>
      <c r="E63" s="179"/>
      <c r="F63" s="179"/>
      <c r="G63" s="180"/>
      <c r="H63" s="180"/>
      <c r="I63" s="180"/>
      <c r="J63" s="180"/>
      <c r="K63" s="180"/>
      <c r="L63" s="180"/>
      <c r="M63" s="180"/>
      <c r="N63" s="141"/>
      <c r="O63" s="141"/>
      <c r="P63" s="142" t="e">
        <f>AVERAGE(D63:O63)</f>
        <v>#DIV/0!</v>
      </c>
      <c r="Q63" s="219"/>
      <c r="R63" s="220"/>
    </row>
    <row r="64" spans="1:19" ht="14.25" customHeight="1">
      <c r="A64" s="764"/>
      <c r="B64" s="765"/>
      <c r="C64" s="139" t="s">
        <v>38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2"/>
      <c r="O64" s="182"/>
      <c r="P64" s="183" t="e">
        <f>AVERAGE(D64:O64)</f>
        <v>#DIV/0!</v>
      </c>
      <c r="Q64" s="226"/>
      <c r="R64" s="227"/>
    </row>
    <row r="65" spans="1:19" ht="14.1" thickBot="1">
      <c r="A65" s="766"/>
      <c r="B65" s="767"/>
      <c r="C65" s="146" t="s">
        <v>39</v>
      </c>
      <c r="D65" s="184"/>
      <c r="E65" s="185"/>
      <c r="F65" s="184"/>
      <c r="G65" s="184"/>
      <c r="H65" s="184"/>
      <c r="I65" s="184"/>
      <c r="J65" s="184"/>
      <c r="K65" s="184"/>
      <c r="L65" s="184"/>
      <c r="M65" s="184"/>
      <c r="N65" s="185"/>
      <c r="O65" s="185"/>
      <c r="P65" s="186"/>
    </row>
    <row r="66" spans="1:19" ht="13.5">
      <c r="A66" s="151" t="s">
        <v>283</v>
      </c>
      <c r="B66" s="158"/>
      <c r="C66" s="159"/>
    </row>
    <row r="67" spans="1:19" ht="14.1" thickBot="1">
      <c r="A67" s="112" t="s">
        <v>274</v>
      </c>
      <c r="B67" s="112"/>
      <c r="C67" s="112"/>
    </row>
    <row r="68" spans="1:19" ht="13.5">
      <c r="A68" s="729" t="s">
        <v>1</v>
      </c>
      <c r="B68" s="730"/>
      <c r="C68" s="730"/>
      <c r="D68" s="116" t="s">
        <v>252</v>
      </c>
      <c r="E68" s="116" t="s">
        <v>253</v>
      </c>
      <c r="F68" s="116" t="s">
        <v>254</v>
      </c>
      <c r="G68" s="116" t="s">
        <v>255</v>
      </c>
      <c r="H68" s="116" t="s">
        <v>256</v>
      </c>
      <c r="I68" s="116" t="s">
        <v>257</v>
      </c>
      <c r="J68" s="116" t="s">
        <v>258</v>
      </c>
      <c r="K68" s="116" t="s">
        <v>259</v>
      </c>
      <c r="L68" s="116" t="s">
        <v>260</v>
      </c>
      <c r="M68" s="116" t="s">
        <v>261</v>
      </c>
      <c r="N68" s="116" t="s">
        <v>262</v>
      </c>
      <c r="O68" s="116" t="s">
        <v>263</v>
      </c>
      <c r="P68" s="117" t="s">
        <v>275</v>
      </c>
    </row>
    <row r="69" spans="1:19" ht="13.5">
      <c r="A69" s="769" t="s">
        <v>11</v>
      </c>
      <c r="B69" s="770"/>
      <c r="C69" s="770"/>
      <c r="D69" s="187">
        <v>95.977000000000004</v>
      </c>
      <c r="E69" s="187">
        <v>97.067999999999998</v>
      </c>
      <c r="F69" s="187">
        <v>97.808000000000007</v>
      </c>
      <c r="G69" s="187">
        <v>97.715999999999994</v>
      </c>
      <c r="H69" s="187">
        <v>98.317999999999998</v>
      </c>
      <c r="I69" s="187">
        <v>98.352999999999994</v>
      </c>
      <c r="J69" s="187">
        <v>97.605000000000004</v>
      </c>
      <c r="K69" s="187">
        <v>97.694999999999993</v>
      </c>
      <c r="L69" s="187">
        <v>98.004999999999995</v>
      </c>
      <c r="M69" s="187">
        <v>98.028999999999996</v>
      </c>
      <c r="N69" s="187">
        <v>97.61</v>
      </c>
      <c r="O69" s="187">
        <v>98.055999999999997</v>
      </c>
      <c r="P69" s="228">
        <f>AVERAGE(D69:O69)</f>
        <v>97.686666666666667</v>
      </c>
      <c r="R69" s="703"/>
      <c r="S69" s="704"/>
    </row>
    <row r="70" spans="1:19" ht="13.5">
      <c r="A70" s="737" t="s">
        <v>276</v>
      </c>
      <c r="B70" s="738"/>
      <c r="C70" s="738"/>
      <c r="D70" s="187">
        <v>98.022000000000006</v>
      </c>
      <c r="E70" s="187">
        <v>97.747</v>
      </c>
      <c r="F70" s="187">
        <v>97.817999999999998</v>
      </c>
      <c r="G70" s="187">
        <v>97.882000000000005</v>
      </c>
      <c r="H70" s="187">
        <v>97.501999999999995</v>
      </c>
      <c r="I70" s="187">
        <v>97.423000000000002</v>
      </c>
      <c r="J70" s="187">
        <v>97.959000000000003</v>
      </c>
      <c r="K70" s="187">
        <v>97.658000000000001</v>
      </c>
      <c r="L70" s="187">
        <v>97.512</v>
      </c>
      <c r="M70" s="187">
        <v>97.686999999999998</v>
      </c>
      <c r="N70" s="187">
        <v>97.751999999999995</v>
      </c>
      <c r="O70" s="187">
        <v>97.444999999999993</v>
      </c>
      <c r="P70" s="228">
        <f t="shared" ref="P70:P77" si="3">AVERAGE(D70:O70)</f>
        <v>97.700583333333341</v>
      </c>
      <c r="Q70" s="188"/>
      <c r="R70" s="703"/>
      <c r="S70" s="704"/>
    </row>
    <row r="71" spans="1:19" ht="13.5">
      <c r="A71" s="737" t="s">
        <v>12</v>
      </c>
      <c r="B71" s="738"/>
      <c r="C71" s="738"/>
      <c r="D71" s="187">
        <v>99.792000000000002</v>
      </c>
      <c r="E71" s="187">
        <v>99.302999999999997</v>
      </c>
      <c r="F71" s="187">
        <v>99.766000000000005</v>
      </c>
      <c r="G71" s="187">
        <v>99.561000000000007</v>
      </c>
      <c r="H71" s="187">
        <v>99.638000000000005</v>
      </c>
      <c r="I71" s="187">
        <v>99.444000000000003</v>
      </c>
      <c r="J71" s="187">
        <v>98.724000000000004</v>
      </c>
      <c r="K71" s="187">
        <v>99.369</v>
      </c>
      <c r="L71" s="187">
        <v>99.67</v>
      </c>
      <c r="M71" s="187">
        <v>99.53</v>
      </c>
      <c r="N71" s="187">
        <v>99.66</v>
      </c>
      <c r="O71" s="187">
        <v>99.77</v>
      </c>
      <c r="P71" s="228">
        <f>AVERAGE(D71:O71)</f>
        <v>99.518916666666669</v>
      </c>
      <c r="R71" s="703"/>
      <c r="S71" s="704"/>
    </row>
    <row r="72" spans="1:19" ht="13.5">
      <c r="A72" s="737" t="s">
        <v>13</v>
      </c>
      <c r="B72" s="738"/>
      <c r="C72" s="738"/>
      <c r="D72" s="187">
        <v>85.787999999999997</v>
      </c>
      <c r="E72" s="187">
        <v>76.516999999999996</v>
      </c>
      <c r="F72" s="187">
        <v>87.947000000000003</v>
      </c>
      <c r="G72" s="187">
        <v>96.411000000000001</v>
      </c>
      <c r="H72" s="187">
        <v>95.731999999999999</v>
      </c>
      <c r="I72" s="187">
        <v>98.313999999999993</v>
      </c>
      <c r="J72" s="187">
        <v>98.055000000000007</v>
      </c>
      <c r="K72" s="187">
        <v>98.256</v>
      </c>
      <c r="L72" s="187">
        <v>97.155000000000001</v>
      </c>
      <c r="M72" s="187">
        <v>90.709000000000003</v>
      </c>
      <c r="N72" s="187">
        <v>81.52</v>
      </c>
      <c r="O72" s="187">
        <v>89.781000000000006</v>
      </c>
      <c r="P72" s="228">
        <f t="shared" si="3"/>
        <v>91.348749999999981</v>
      </c>
      <c r="R72" s="703"/>
      <c r="S72" s="704"/>
    </row>
    <row r="73" spans="1:19" ht="13.5">
      <c r="A73" s="737" t="s">
        <v>14</v>
      </c>
      <c r="B73" s="738"/>
      <c r="C73" s="738"/>
      <c r="D73" s="187">
        <v>98.998000000000005</v>
      </c>
      <c r="E73" s="187">
        <v>98.463999999999999</v>
      </c>
      <c r="F73" s="187">
        <v>99.44</v>
      </c>
      <c r="G73" s="187">
        <v>99.061000000000007</v>
      </c>
      <c r="H73" s="187">
        <v>99.123000000000005</v>
      </c>
      <c r="I73" s="187">
        <v>99.600999999999999</v>
      </c>
      <c r="J73" s="187">
        <v>99.596000000000004</v>
      </c>
      <c r="K73" s="187">
        <v>99.478999999999999</v>
      </c>
      <c r="L73" s="187">
        <v>99.593000000000004</v>
      </c>
      <c r="M73" s="187">
        <v>99.536000000000001</v>
      </c>
      <c r="N73" s="187">
        <v>99.78</v>
      </c>
      <c r="O73" s="187">
        <v>99.700999999999993</v>
      </c>
      <c r="P73" s="228">
        <f t="shared" si="3"/>
        <v>99.36433333333332</v>
      </c>
      <c r="R73" s="703"/>
      <c r="S73" s="704"/>
    </row>
    <row r="74" spans="1:19" ht="13.5">
      <c r="A74" s="737" t="s">
        <v>15</v>
      </c>
      <c r="B74" s="738"/>
      <c r="C74" s="738"/>
      <c r="D74" s="187">
        <v>94.76</v>
      </c>
      <c r="E74" s="187">
        <v>95.11</v>
      </c>
      <c r="F74" s="187">
        <v>95.311000000000007</v>
      </c>
      <c r="G74" s="187">
        <v>93.7</v>
      </c>
      <c r="H74" s="187">
        <v>92.28</v>
      </c>
      <c r="I74" s="187">
        <v>93.572000000000003</v>
      </c>
      <c r="J74" s="187">
        <v>94.741</v>
      </c>
      <c r="K74" s="187">
        <v>93.727000000000004</v>
      </c>
      <c r="L74" s="187">
        <v>95.331999999999994</v>
      </c>
      <c r="M74" s="187">
        <v>94.984999999999999</v>
      </c>
      <c r="N74" s="187">
        <v>94.412000000000006</v>
      </c>
      <c r="O74" s="187">
        <v>95.034000000000006</v>
      </c>
      <c r="P74" s="228">
        <f t="shared" si="3"/>
        <v>94.413666666666686</v>
      </c>
      <c r="Q74" s="188"/>
      <c r="R74" s="703"/>
      <c r="S74" s="704"/>
    </row>
    <row r="75" spans="1:19" ht="13.5">
      <c r="A75" s="737" t="s">
        <v>16</v>
      </c>
      <c r="B75" s="738"/>
      <c r="C75" s="738"/>
      <c r="D75" s="187">
        <v>96.016999999999996</v>
      </c>
      <c r="E75" s="187">
        <v>95.436999999999998</v>
      </c>
      <c r="F75" s="187">
        <v>94.105999999999995</v>
      </c>
      <c r="G75" s="187">
        <v>95.953000000000003</v>
      </c>
      <c r="H75" s="187">
        <v>98.013000000000005</v>
      </c>
      <c r="I75" s="187">
        <v>94.742000000000004</v>
      </c>
      <c r="J75" s="187">
        <v>98.212000000000003</v>
      </c>
      <c r="K75" s="187">
        <v>98.629000000000005</v>
      </c>
      <c r="L75" s="187">
        <v>98.495000000000005</v>
      </c>
      <c r="M75" s="187">
        <v>98.177999999999997</v>
      </c>
      <c r="N75" s="187">
        <v>96.786000000000001</v>
      </c>
      <c r="O75" s="187">
        <v>97.283000000000001</v>
      </c>
      <c r="P75" s="228">
        <f t="shared" si="3"/>
        <v>96.820916666666662</v>
      </c>
      <c r="R75" s="703"/>
      <c r="S75" s="704"/>
    </row>
    <row r="76" spans="1:19" ht="13.5">
      <c r="A76" s="708" t="s">
        <v>17</v>
      </c>
      <c r="B76" s="709"/>
      <c r="C76" s="709"/>
      <c r="D76" s="189">
        <v>92.009</v>
      </c>
      <c r="E76" s="189">
        <v>86.417000000000002</v>
      </c>
      <c r="F76" s="189">
        <v>89.04</v>
      </c>
      <c r="G76" s="189">
        <v>78.114999999999995</v>
      </c>
      <c r="H76" s="189">
        <v>83.658000000000001</v>
      </c>
      <c r="I76" s="189">
        <v>84.275000000000006</v>
      </c>
      <c r="J76" s="189">
        <v>77.569999999999993</v>
      </c>
      <c r="K76" s="189">
        <v>85.082999999999998</v>
      </c>
      <c r="L76" s="189">
        <v>86.153000000000006</v>
      </c>
      <c r="M76" s="189">
        <v>90.686999999999998</v>
      </c>
      <c r="N76" s="189">
        <v>96.08</v>
      </c>
      <c r="O76" s="189">
        <v>92.861999999999995</v>
      </c>
      <c r="P76" s="229">
        <f t="shared" si="3"/>
        <v>86.829083333333344</v>
      </c>
      <c r="R76" s="703"/>
      <c r="S76" s="704"/>
    </row>
    <row r="77" spans="1:19" ht="14.1" thickBot="1">
      <c r="A77" s="750" t="s">
        <v>284</v>
      </c>
      <c r="B77" s="751"/>
      <c r="C77" s="751"/>
      <c r="D77" s="190">
        <v>96.620999999999995</v>
      </c>
      <c r="E77" s="190">
        <v>97.203999999999994</v>
      </c>
      <c r="F77" s="190">
        <v>97.805999999999997</v>
      </c>
      <c r="G77" s="190">
        <v>97.668000000000006</v>
      </c>
      <c r="H77" s="190">
        <v>98.058000000000007</v>
      </c>
      <c r="I77" s="190">
        <v>98.141999999999996</v>
      </c>
      <c r="J77" s="190">
        <v>97.742000000000004</v>
      </c>
      <c r="K77" s="190">
        <v>97.811999999999998</v>
      </c>
      <c r="L77" s="190">
        <v>98.087000000000003</v>
      </c>
      <c r="M77" s="190">
        <v>98.075999999999993</v>
      </c>
      <c r="N77" s="190">
        <v>97.724999999999994</v>
      </c>
      <c r="O77" s="190">
        <v>98.088999999999999</v>
      </c>
      <c r="P77" s="230">
        <f t="shared" si="3"/>
        <v>97.752499999999998</v>
      </c>
      <c r="R77" s="703"/>
      <c r="S77" s="704"/>
    </row>
    <row r="78" spans="1:19" ht="12.75" hidden="1" customHeight="1">
      <c r="A78" s="191"/>
      <c r="B78" s="191"/>
      <c r="C78" s="191"/>
      <c r="D78" s="192"/>
      <c r="E78" s="192"/>
      <c r="F78" s="192"/>
      <c r="G78" s="192"/>
      <c r="H78" s="193"/>
      <c r="I78" s="193"/>
      <c r="J78" s="193"/>
      <c r="K78" s="193"/>
      <c r="L78" s="193"/>
      <c r="M78" s="193"/>
      <c r="N78" s="193"/>
      <c r="O78" s="193"/>
      <c r="P78" s="193"/>
      <c r="R78" s="194"/>
      <c r="S78" s="194"/>
    </row>
    <row r="79" spans="1:19" ht="12.95">
      <c r="A79" s="151" t="s">
        <v>285</v>
      </c>
      <c r="R79" s="194"/>
      <c r="S79" s="194"/>
    </row>
    <row r="80" spans="1:19" ht="14.1" thickBot="1">
      <c r="A80" s="112" t="s">
        <v>277</v>
      </c>
      <c r="B80" s="112"/>
      <c r="C80" s="112"/>
      <c r="R80" s="194"/>
      <c r="S80" s="194"/>
    </row>
    <row r="81" spans="1:21" ht="13.5">
      <c r="A81" s="729" t="s">
        <v>1</v>
      </c>
      <c r="B81" s="730"/>
      <c r="C81" s="730"/>
      <c r="D81" s="116" t="s">
        <v>252</v>
      </c>
      <c r="E81" s="116" t="s">
        <v>253</v>
      </c>
      <c r="F81" s="116" t="s">
        <v>254</v>
      </c>
      <c r="G81" s="116" t="s">
        <v>255</v>
      </c>
      <c r="H81" s="116" t="s">
        <v>256</v>
      </c>
      <c r="I81" s="116" t="s">
        <v>257</v>
      </c>
      <c r="J81" s="116" t="s">
        <v>258</v>
      </c>
      <c r="K81" s="116" t="s">
        <v>259</v>
      </c>
      <c r="L81" s="116" t="s">
        <v>260</v>
      </c>
      <c r="M81" s="116" t="s">
        <v>261</v>
      </c>
      <c r="N81" s="116" t="s">
        <v>262</v>
      </c>
      <c r="O81" s="116" t="s">
        <v>263</v>
      </c>
      <c r="P81" s="117" t="s">
        <v>275</v>
      </c>
      <c r="R81" s="703"/>
      <c r="S81" s="704"/>
    </row>
    <row r="82" spans="1:21" s="198" customFormat="1">
      <c r="A82" s="742" t="s">
        <v>52</v>
      </c>
      <c r="B82" s="743"/>
      <c r="C82" s="743"/>
      <c r="D82" s="195">
        <v>94.540999999999997</v>
      </c>
      <c r="E82" s="195">
        <v>96.727000000000004</v>
      </c>
      <c r="F82" s="195">
        <v>98.305000000000007</v>
      </c>
      <c r="G82" s="195">
        <v>98.697999999999993</v>
      </c>
      <c r="H82" s="195">
        <v>98.316999999999993</v>
      </c>
      <c r="I82" s="195">
        <v>98.471999999999994</v>
      </c>
      <c r="J82" s="195">
        <v>98.37</v>
      </c>
      <c r="K82" s="195">
        <v>98.212999999999994</v>
      </c>
      <c r="L82" s="195">
        <v>98.512</v>
      </c>
      <c r="M82" s="195">
        <v>98.438000000000002</v>
      </c>
      <c r="N82" s="195">
        <v>98.364999999999995</v>
      </c>
      <c r="O82" s="195">
        <v>98.489000000000004</v>
      </c>
      <c r="P82" s="196">
        <f>AVERAGE(D82:O82)</f>
        <v>97.953916666666657</v>
      </c>
      <c r="Q82" s="197"/>
      <c r="R82" s="703"/>
      <c r="S82" s="704"/>
      <c r="T82" s="114"/>
      <c r="U82" s="114"/>
    </row>
    <row r="83" spans="1:21" s="198" customFormat="1">
      <c r="A83" s="712" t="s">
        <v>53</v>
      </c>
      <c r="B83" s="713"/>
      <c r="C83" s="713"/>
      <c r="D83" s="195">
        <v>97.376000000000005</v>
      </c>
      <c r="E83" s="195">
        <v>97.876000000000005</v>
      </c>
      <c r="F83" s="195">
        <v>97.679000000000002</v>
      </c>
      <c r="G83" s="195">
        <v>97.227000000000004</v>
      </c>
      <c r="H83" s="195">
        <v>98.775999999999996</v>
      </c>
      <c r="I83" s="195">
        <v>98.611000000000004</v>
      </c>
      <c r="J83" s="195">
        <v>97.274000000000001</v>
      </c>
      <c r="K83" s="195">
        <v>97.55</v>
      </c>
      <c r="L83" s="195">
        <v>98.073999999999998</v>
      </c>
      <c r="M83" s="195">
        <v>98.009</v>
      </c>
      <c r="N83" s="195">
        <v>97.194000000000003</v>
      </c>
      <c r="O83" s="195">
        <v>98.028999999999996</v>
      </c>
      <c r="P83" s="196">
        <f t="shared" ref="P83:P91" si="4">AVERAGE(D83:O83)</f>
        <v>97.806249999999991</v>
      </c>
      <c r="Q83" s="197"/>
      <c r="R83" s="703"/>
      <c r="S83" s="704"/>
      <c r="T83" s="114"/>
      <c r="U83" s="114"/>
    </row>
    <row r="84" spans="1:21" s="198" customFormat="1">
      <c r="A84" s="712" t="s">
        <v>54</v>
      </c>
      <c r="B84" s="713"/>
      <c r="C84" s="713"/>
      <c r="D84" s="195">
        <v>98.521000000000001</v>
      </c>
      <c r="E84" s="195">
        <v>96.614999999999995</v>
      </c>
      <c r="F84" s="195">
        <v>99.474999999999994</v>
      </c>
      <c r="G84" s="195">
        <v>99.218000000000004</v>
      </c>
      <c r="H84" s="195">
        <v>99.537000000000006</v>
      </c>
      <c r="I84" s="195">
        <v>99.503</v>
      </c>
      <c r="J84" s="195">
        <v>99.605000000000004</v>
      </c>
      <c r="K84" s="195">
        <v>99.602000000000004</v>
      </c>
      <c r="L84" s="195">
        <v>98.998000000000005</v>
      </c>
      <c r="M84" s="195">
        <v>99.557000000000002</v>
      </c>
      <c r="N84" s="195">
        <v>99.334999999999994</v>
      </c>
      <c r="O84" s="195">
        <v>99.185000000000002</v>
      </c>
      <c r="P84" s="196">
        <f>AVERAGE(D84:O84)</f>
        <v>99.095916666666668</v>
      </c>
      <c r="Q84" s="197"/>
      <c r="R84" s="703"/>
      <c r="S84" s="704"/>
      <c r="T84" s="114"/>
      <c r="U84" s="114"/>
    </row>
    <row r="85" spans="1:21" s="198" customFormat="1">
      <c r="A85" s="719" t="s">
        <v>55</v>
      </c>
      <c r="B85" s="720"/>
      <c r="C85" s="721"/>
      <c r="D85" s="199">
        <v>96.241</v>
      </c>
      <c r="E85" s="199">
        <v>97.272000000000006</v>
      </c>
      <c r="F85" s="199">
        <v>98.081999999999994</v>
      </c>
      <c r="G85" s="199">
        <v>98.009</v>
      </c>
      <c r="H85" s="199">
        <v>98.649000000000001</v>
      </c>
      <c r="I85" s="199">
        <v>98.628</v>
      </c>
      <c r="J85" s="199">
        <v>97.912000000000006</v>
      </c>
      <c r="K85" s="199">
        <v>97.981999999999999</v>
      </c>
      <c r="L85" s="199">
        <v>98.325000000000003</v>
      </c>
      <c r="M85" s="199">
        <v>98.313999999999993</v>
      </c>
      <c r="N85" s="199">
        <v>97.852000000000004</v>
      </c>
      <c r="O85" s="199">
        <v>98.316000000000003</v>
      </c>
      <c r="P85" s="200">
        <f t="shared" si="4"/>
        <v>97.965166666666676</v>
      </c>
      <c r="Q85" s="197"/>
      <c r="R85" s="703"/>
      <c r="S85" s="704"/>
      <c r="T85" s="114"/>
      <c r="U85" s="114"/>
    </row>
    <row r="86" spans="1:21" s="198" customFormat="1">
      <c r="A86" s="712" t="s">
        <v>276</v>
      </c>
      <c r="B86" s="713"/>
      <c r="C86" s="713"/>
      <c r="D86" s="195">
        <v>98.869</v>
      </c>
      <c r="E86" s="195">
        <v>98.561000000000007</v>
      </c>
      <c r="F86" s="195">
        <v>98.763999999999996</v>
      </c>
      <c r="G86" s="195">
        <v>98.905000000000001</v>
      </c>
      <c r="H86" s="195">
        <v>98.549000000000007</v>
      </c>
      <c r="I86" s="195">
        <v>98.58</v>
      </c>
      <c r="J86" s="195">
        <v>98.861000000000004</v>
      </c>
      <c r="K86" s="195">
        <v>98.674999999999997</v>
      </c>
      <c r="L86" s="195">
        <v>98.584000000000003</v>
      </c>
      <c r="M86" s="195">
        <v>98.5</v>
      </c>
      <c r="N86" s="195">
        <v>98.709000000000003</v>
      </c>
      <c r="O86" s="195">
        <v>98.603999999999999</v>
      </c>
      <c r="P86" s="196">
        <f t="shared" si="4"/>
        <v>98.680083333333343</v>
      </c>
      <c r="Q86" s="197"/>
      <c r="R86" s="703"/>
      <c r="S86" s="704"/>
      <c r="T86" s="114"/>
      <c r="U86" s="114"/>
    </row>
    <row r="87" spans="1:21" s="198" customFormat="1">
      <c r="A87" s="712" t="s">
        <v>12</v>
      </c>
      <c r="B87" s="713"/>
      <c r="C87" s="713"/>
      <c r="D87" s="195">
        <v>99.792000000000002</v>
      </c>
      <c r="E87" s="195">
        <v>99.381</v>
      </c>
      <c r="F87" s="195">
        <v>99.753</v>
      </c>
      <c r="G87" s="195">
        <v>99.56</v>
      </c>
      <c r="H87" s="195">
        <v>99.638000000000005</v>
      </c>
      <c r="I87" s="195">
        <v>99.457999999999998</v>
      </c>
      <c r="J87" s="195">
        <v>98.724000000000004</v>
      </c>
      <c r="K87" s="195">
        <v>99.369</v>
      </c>
      <c r="L87" s="195">
        <v>99.67</v>
      </c>
      <c r="M87" s="195">
        <v>99.53</v>
      </c>
      <c r="N87" s="195">
        <v>99.66</v>
      </c>
      <c r="O87" s="195">
        <v>99.781999999999996</v>
      </c>
      <c r="P87" s="196">
        <f t="shared" si="4"/>
        <v>99.526416666666663</v>
      </c>
      <c r="Q87" s="197"/>
      <c r="R87" s="703"/>
      <c r="S87" s="704"/>
      <c r="T87" s="114"/>
      <c r="U87" s="114"/>
    </row>
    <row r="88" spans="1:21" s="198" customFormat="1">
      <c r="A88" s="712" t="s">
        <v>13</v>
      </c>
      <c r="B88" s="713"/>
      <c r="C88" s="713"/>
      <c r="D88" s="195">
        <v>89.174000000000007</v>
      </c>
      <c r="E88" s="195">
        <v>75.691999999999993</v>
      </c>
      <c r="F88" s="195">
        <v>86.335999999999999</v>
      </c>
      <c r="G88" s="195">
        <v>97.004000000000005</v>
      </c>
      <c r="H88" s="195">
        <v>98.549000000000007</v>
      </c>
      <c r="I88" s="195">
        <v>98.58</v>
      </c>
      <c r="J88" s="195">
        <v>98.861000000000004</v>
      </c>
      <c r="K88" s="195">
        <v>98.674999999999997</v>
      </c>
      <c r="L88" s="195">
        <v>98.584000000000003</v>
      </c>
      <c r="M88" s="195">
        <v>98.5</v>
      </c>
      <c r="N88" s="195">
        <v>98.709000000000003</v>
      </c>
      <c r="O88" s="195">
        <v>98.603999999999999</v>
      </c>
      <c r="P88" s="196">
        <f t="shared" si="4"/>
        <v>94.772333333333336</v>
      </c>
      <c r="Q88" s="197"/>
      <c r="R88" s="703"/>
      <c r="S88" s="704"/>
      <c r="T88" s="114"/>
      <c r="U88" s="114"/>
    </row>
    <row r="89" spans="1:21" s="198" customFormat="1">
      <c r="A89" s="712" t="s">
        <v>14</v>
      </c>
      <c r="B89" s="713"/>
      <c r="C89" s="713"/>
      <c r="D89" s="195">
        <v>99.025000000000006</v>
      </c>
      <c r="E89" s="195">
        <v>98.477999999999994</v>
      </c>
      <c r="F89" s="195">
        <v>99.456000000000003</v>
      </c>
      <c r="G89" s="195">
        <v>99.100999999999999</v>
      </c>
      <c r="H89" s="195">
        <v>99.141000000000005</v>
      </c>
      <c r="I89" s="195">
        <v>99.605000000000004</v>
      </c>
      <c r="J89" s="195">
        <v>99.61</v>
      </c>
      <c r="K89" s="195">
        <v>99.49</v>
      </c>
      <c r="L89" s="195">
        <v>99.623999999999995</v>
      </c>
      <c r="M89" s="195">
        <v>99.546000000000006</v>
      </c>
      <c r="N89" s="195">
        <v>99.786000000000001</v>
      </c>
      <c r="O89" s="195">
        <v>99.710999999999999</v>
      </c>
      <c r="P89" s="196">
        <f t="shared" si="4"/>
        <v>99.381083333333336</v>
      </c>
      <c r="Q89" s="197"/>
      <c r="R89" s="703"/>
      <c r="S89" s="704"/>
      <c r="T89" s="114"/>
      <c r="U89" s="114"/>
    </row>
    <row r="90" spans="1:21" s="198" customFormat="1">
      <c r="A90" s="712" t="s">
        <v>15</v>
      </c>
      <c r="B90" s="713"/>
      <c r="C90" s="713"/>
      <c r="D90" s="195">
        <v>96.19</v>
      </c>
      <c r="E90" s="195">
        <v>96.326999999999998</v>
      </c>
      <c r="F90" s="195">
        <v>96.379000000000005</v>
      </c>
      <c r="G90" s="195">
        <v>94.742000000000004</v>
      </c>
      <c r="H90" s="195">
        <v>93.015000000000001</v>
      </c>
      <c r="I90" s="195">
        <v>94.912000000000006</v>
      </c>
      <c r="J90" s="195">
        <v>95.894000000000005</v>
      </c>
      <c r="K90" s="195">
        <v>94.819000000000003</v>
      </c>
      <c r="L90" s="195">
        <v>96.72</v>
      </c>
      <c r="M90" s="195">
        <v>96.111000000000004</v>
      </c>
      <c r="N90" s="195">
        <v>95.751000000000005</v>
      </c>
      <c r="O90" s="195">
        <v>96.438999999999993</v>
      </c>
      <c r="P90" s="196">
        <f t="shared" si="4"/>
        <v>95.608250000000012</v>
      </c>
      <c r="Q90" s="197"/>
      <c r="R90" s="703"/>
      <c r="S90" s="704"/>
      <c r="T90" s="114"/>
      <c r="U90" s="114"/>
    </row>
    <row r="91" spans="1:21" s="197" customFormat="1" ht="12.95" thickBot="1">
      <c r="A91" s="735" t="s">
        <v>16</v>
      </c>
      <c r="B91" s="736"/>
      <c r="C91" s="736"/>
      <c r="D91" s="201">
        <v>96.015000000000001</v>
      </c>
      <c r="E91" s="201">
        <v>95.448999999999998</v>
      </c>
      <c r="F91" s="201">
        <v>94.117999999999995</v>
      </c>
      <c r="G91" s="201">
        <v>95.950999999999993</v>
      </c>
      <c r="H91" s="201">
        <v>98.013000000000005</v>
      </c>
      <c r="I91" s="201">
        <v>94.769000000000005</v>
      </c>
      <c r="J91" s="201">
        <v>98.210999999999999</v>
      </c>
      <c r="K91" s="201">
        <v>98.64</v>
      </c>
      <c r="L91" s="201">
        <v>98.703000000000003</v>
      </c>
      <c r="M91" s="201">
        <v>98.186999999999998</v>
      </c>
      <c r="N91" s="201">
        <v>96.786000000000001</v>
      </c>
      <c r="O91" s="201">
        <v>97.302999999999997</v>
      </c>
      <c r="P91" s="202">
        <f t="shared" si="4"/>
        <v>96.845416666666665</v>
      </c>
      <c r="R91" s="703"/>
      <c r="S91" s="704"/>
      <c r="T91" s="114"/>
      <c r="U91" s="114"/>
    </row>
    <row r="92" spans="1:21" ht="12.95">
      <c r="A92" s="151"/>
      <c r="B92" s="203"/>
      <c r="C92" s="203"/>
      <c r="R92" s="194"/>
      <c r="S92" s="194"/>
    </row>
    <row r="93" spans="1:21" ht="14.1" thickBot="1">
      <c r="A93" s="112" t="s">
        <v>278</v>
      </c>
      <c r="B93" s="112"/>
      <c r="C93" s="112"/>
      <c r="R93" s="194"/>
      <c r="S93" s="194"/>
    </row>
    <row r="94" spans="1:21" ht="13.5">
      <c r="A94" s="729" t="s">
        <v>1</v>
      </c>
      <c r="B94" s="730"/>
      <c r="C94" s="730"/>
      <c r="D94" s="116" t="s">
        <v>252</v>
      </c>
      <c r="E94" s="116" t="s">
        <v>253</v>
      </c>
      <c r="F94" s="116" t="s">
        <v>254</v>
      </c>
      <c r="G94" s="116" t="s">
        <v>255</v>
      </c>
      <c r="H94" s="116" t="s">
        <v>256</v>
      </c>
      <c r="I94" s="116" t="s">
        <v>257</v>
      </c>
      <c r="J94" s="116" t="s">
        <v>258</v>
      </c>
      <c r="K94" s="116" t="s">
        <v>259</v>
      </c>
      <c r="L94" s="116" t="s">
        <v>260</v>
      </c>
      <c r="M94" s="116" t="s">
        <v>261</v>
      </c>
      <c r="N94" s="116" t="s">
        <v>262</v>
      </c>
      <c r="O94" s="116" t="s">
        <v>263</v>
      </c>
      <c r="P94" s="117" t="s">
        <v>264</v>
      </c>
      <c r="R94" s="703"/>
      <c r="S94" s="704"/>
    </row>
    <row r="95" spans="1:21">
      <c r="A95" s="722" t="s">
        <v>11</v>
      </c>
      <c r="B95" s="723"/>
      <c r="C95" s="723"/>
      <c r="D95" s="204">
        <v>9181</v>
      </c>
      <c r="E95" s="204">
        <v>5057</v>
      </c>
      <c r="F95" s="204">
        <v>4647</v>
      </c>
      <c r="G95" s="204">
        <v>4426</v>
      </c>
      <c r="H95" s="204">
        <v>3241</v>
      </c>
      <c r="I95" s="204">
        <v>3286</v>
      </c>
      <c r="J95" s="204">
        <v>5325</v>
      </c>
      <c r="K95" s="204">
        <v>4902</v>
      </c>
      <c r="L95" s="204">
        <v>4072</v>
      </c>
      <c r="M95" s="204">
        <v>4148</v>
      </c>
      <c r="N95" s="204">
        <v>4954</v>
      </c>
      <c r="O95" s="204">
        <v>4527</v>
      </c>
      <c r="P95" s="205">
        <f t="shared" ref="P95:P103" si="5">AVERAGE(D95:O95)</f>
        <v>4813.833333333333</v>
      </c>
      <c r="Q95" s="206"/>
      <c r="R95" s="703"/>
      <c r="S95" s="704"/>
    </row>
    <row r="96" spans="1:21">
      <c r="A96" s="710" t="s">
        <v>276</v>
      </c>
      <c r="B96" s="711"/>
      <c r="C96" s="711"/>
      <c r="D96" s="207">
        <v>558</v>
      </c>
      <c r="E96" s="207">
        <v>503</v>
      </c>
      <c r="F96" s="207">
        <v>594</v>
      </c>
      <c r="G96" s="207">
        <v>532</v>
      </c>
      <c r="H96" s="207">
        <v>628</v>
      </c>
      <c r="I96" s="207">
        <v>679</v>
      </c>
      <c r="J96" s="207">
        <v>566</v>
      </c>
      <c r="K96" s="207">
        <v>611</v>
      </c>
      <c r="L96" s="207">
        <v>632</v>
      </c>
      <c r="M96" s="207">
        <v>597</v>
      </c>
      <c r="N96" s="207">
        <v>555</v>
      </c>
      <c r="O96" s="207">
        <v>733</v>
      </c>
      <c r="P96" s="208">
        <f t="shared" si="5"/>
        <v>599</v>
      </c>
      <c r="R96" s="703"/>
      <c r="S96" s="704"/>
    </row>
    <row r="97" spans="1:19">
      <c r="A97" s="710" t="s">
        <v>12</v>
      </c>
      <c r="B97" s="711"/>
      <c r="C97" s="711"/>
      <c r="D97" s="207">
        <v>17</v>
      </c>
      <c r="E97" s="207">
        <v>44</v>
      </c>
      <c r="F97" s="207">
        <v>18</v>
      </c>
      <c r="G97" s="207">
        <v>33</v>
      </c>
      <c r="H97" s="207">
        <v>25</v>
      </c>
      <c r="I97" s="207">
        <v>38</v>
      </c>
      <c r="J97" s="207">
        <v>100</v>
      </c>
      <c r="K97" s="207">
        <v>47</v>
      </c>
      <c r="L97" s="207">
        <v>24</v>
      </c>
      <c r="M97" s="207">
        <v>37</v>
      </c>
      <c r="N97" s="207">
        <v>24</v>
      </c>
      <c r="O97" s="207">
        <v>19</v>
      </c>
      <c r="P97" s="208">
        <f t="shared" si="5"/>
        <v>35.5</v>
      </c>
      <c r="R97" s="703"/>
      <c r="S97" s="704"/>
    </row>
    <row r="98" spans="1:19">
      <c r="A98" s="710" t="s">
        <v>13</v>
      </c>
      <c r="B98" s="711"/>
      <c r="C98" s="711"/>
      <c r="D98" s="207">
        <v>55</v>
      </c>
      <c r="E98" s="207">
        <v>89</v>
      </c>
      <c r="F98" s="207">
        <v>209</v>
      </c>
      <c r="G98" s="207">
        <v>67</v>
      </c>
      <c r="H98" s="207">
        <v>58</v>
      </c>
      <c r="I98" s="207">
        <v>28</v>
      </c>
      <c r="J98" s="207">
        <v>42</v>
      </c>
      <c r="K98" s="207">
        <v>30</v>
      </c>
      <c r="L98" s="207">
        <v>48</v>
      </c>
      <c r="M98" s="207">
        <v>219</v>
      </c>
      <c r="N98" s="207">
        <v>411</v>
      </c>
      <c r="O98" s="207">
        <v>247</v>
      </c>
      <c r="P98" s="208">
        <f t="shared" si="5"/>
        <v>125.25</v>
      </c>
      <c r="R98" s="703"/>
      <c r="S98" s="704"/>
    </row>
    <row r="99" spans="1:19">
      <c r="A99" s="710" t="s">
        <v>14</v>
      </c>
      <c r="B99" s="711"/>
      <c r="C99" s="711"/>
      <c r="D99" s="207">
        <v>479</v>
      </c>
      <c r="E99" s="207">
        <v>569</v>
      </c>
      <c r="F99" s="207">
        <v>236</v>
      </c>
      <c r="G99" s="207">
        <v>382</v>
      </c>
      <c r="H99" s="207">
        <v>347</v>
      </c>
      <c r="I99" s="207">
        <v>170</v>
      </c>
      <c r="J99" s="207">
        <v>196</v>
      </c>
      <c r="K99" s="207">
        <v>235</v>
      </c>
      <c r="L99" s="207">
        <v>175</v>
      </c>
      <c r="M99" s="207">
        <v>213</v>
      </c>
      <c r="N99" s="207">
        <v>96</v>
      </c>
      <c r="O99" s="207">
        <v>150</v>
      </c>
      <c r="P99" s="208">
        <f t="shared" si="5"/>
        <v>270.66666666666669</v>
      </c>
      <c r="R99" s="703"/>
      <c r="S99" s="704"/>
    </row>
    <row r="100" spans="1:19">
      <c r="A100" s="710" t="s">
        <v>15</v>
      </c>
      <c r="B100" s="711"/>
      <c r="C100" s="711"/>
      <c r="D100" s="207">
        <v>467</v>
      </c>
      <c r="E100" s="207">
        <v>333</v>
      </c>
      <c r="F100" s="207">
        <v>515</v>
      </c>
      <c r="G100" s="207">
        <v>577</v>
      </c>
      <c r="H100" s="207">
        <v>782</v>
      </c>
      <c r="I100" s="207">
        <v>606</v>
      </c>
      <c r="J100" s="207">
        <v>566</v>
      </c>
      <c r="K100" s="207">
        <v>635</v>
      </c>
      <c r="L100" s="207">
        <v>440</v>
      </c>
      <c r="M100" s="207">
        <v>500</v>
      </c>
      <c r="N100" s="207">
        <v>571</v>
      </c>
      <c r="O100" s="207">
        <v>533</v>
      </c>
      <c r="P100" s="208">
        <f t="shared" si="5"/>
        <v>543.75</v>
      </c>
      <c r="R100" s="703"/>
      <c r="S100" s="704"/>
    </row>
    <row r="101" spans="1:19">
      <c r="A101" s="717" t="s">
        <v>16</v>
      </c>
      <c r="B101" s="718"/>
      <c r="C101" s="718"/>
      <c r="D101" s="209">
        <v>350</v>
      </c>
      <c r="E101" s="209">
        <v>327</v>
      </c>
      <c r="F101" s="209">
        <v>410</v>
      </c>
      <c r="G101" s="209">
        <v>269</v>
      </c>
      <c r="H101" s="209">
        <v>134</v>
      </c>
      <c r="I101" s="209">
        <v>374</v>
      </c>
      <c r="J101" s="209">
        <v>142</v>
      </c>
      <c r="K101" s="209">
        <v>121</v>
      </c>
      <c r="L101" s="209">
        <v>128</v>
      </c>
      <c r="M101" s="209">
        <v>180</v>
      </c>
      <c r="N101" s="209">
        <v>265</v>
      </c>
      <c r="O101" s="209">
        <v>254</v>
      </c>
      <c r="P101" s="210">
        <f t="shared" si="5"/>
        <v>246.16666666666666</v>
      </c>
      <c r="R101" s="703"/>
      <c r="S101" s="704"/>
    </row>
    <row r="102" spans="1:19" ht="13.5">
      <c r="A102" s="708" t="s">
        <v>17</v>
      </c>
      <c r="B102" s="709"/>
      <c r="C102" s="709"/>
      <c r="D102" s="209">
        <v>105</v>
      </c>
      <c r="E102" s="209">
        <v>174</v>
      </c>
      <c r="F102" s="209">
        <v>185</v>
      </c>
      <c r="G102" s="209">
        <v>397</v>
      </c>
      <c r="H102" s="209">
        <v>310</v>
      </c>
      <c r="I102" s="209">
        <v>309</v>
      </c>
      <c r="J102" s="209">
        <v>504</v>
      </c>
      <c r="K102" s="209">
        <v>287</v>
      </c>
      <c r="L102" s="209">
        <v>239</v>
      </c>
      <c r="M102" s="209">
        <v>145</v>
      </c>
      <c r="N102" s="209">
        <v>55</v>
      </c>
      <c r="O102" s="209">
        <v>115</v>
      </c>
      <c r="P102" s="210">
        <f t="shared" si="5"/>
        <v>235.41666666666666</v>
      </c>
      <c r="R102" s="703"/>
      <c r="S102" s="704"/>
    </row>
    <row r="103" spans="1:19" ht="14.1" thickBot="1">
      <c r="A103" s="771" t="s">
        <v>284</v>
      </c>
      <c r="B103" s="772"/>
      <c r="C103" s="773"/>
      <c r="D103" s="211">
        <v>11212</v>
      </c>
      <c r="E103" s="211">
        <v>7096</v>
      </c>
      <c r="F103" s="211">
        <v>6814</v>
      </c>
      <c r="G103" s="211">
        <v>6683</v>
      </c>
      <c r="H103" s="211">
        <v>5525</v>
      </c>
      <c r="I103" s="211">
        <v>5490</v>
      </c>
      <c r="J103" s="211">
        <v>7441</v>
      </c>
      <c r="K103" s="211">
        <v>6868</v>
      </c>
      <c r="L103" s="211">
        <v>5758</v>
      </c>
      <c r="M103" s="211">
        <v>6039</v>
      </c>
      <c r="N103" s="211">
        <v>6931</v>
      </c>
      <c r="O103" s="211">
        <v>6578</v>
      </c>
      <c r="P103" s="212">
        <f t="shared" si="5"/>
        <v>6869.583333333333</v>
      </c>
      <c r="R103" s="703"/>
      <c r="S103" s="704"/>
    </row>
    <row r="104" spans="1:19" ht="12.95">
      <c r="A104" s="151" t="s">
        <v>282</v>
      </c>
    </row>
  </sheetData>
  <mergeCells count="76">
    <mergeCell ref="A2:C2"/>
    <mergeCell ref="A3:C3"/>
    <mergeCell ref="B4:C4"/>
    <mergeCell ref="B12:C12"/>
    <mergeCell ref="A19:B21"/>
    <mergeCell ref="A24:C24"/>
    <mergeCell ref="A25:C25"/>
    <mergeCell ref="B26:C26"/>
    <mergeCell ref="B56:C56"/>
    <mergeCell ref="A63:B65"/>
    <mergeCell ref="A46:C46"/>
    <mergeCell ref="A47:C47"/>
    <mergeCell ref="B34:C34"/>
    <mergeCell ref="A41:B43"/>
    <mergeCell ref="A76:C76"/>
    <mergeCell ref="B48:C48"/>
    <mergeCell ref="A72:C72"/>
    <mergeCell ref="A73:C73"/>
    <mergeCell ref="A74:C74"/>
    <mergeCell ref="A68:C68"/>
    <mergeCell ref="A69:C69"/>
    <mergeCell ref="A71:C71"/>
    <mergeCell ref="A70:C70"/>
    <mergeCell ref="A103:C103"/>
    <mergeCell ref="A98:C98"/>
    <mergeCell ref="A99:C99"/>
    <mergeCell ref="A100:C100"/>
    <mergeCell ref="A101:C101"/>
    <mergeCell ref="A102:C102"/>
    <mergeCell ref="A96:C96"/>
    <mergeCell ref="A97:C97"/>
    <mergeCell ref="A87:C87"/>
    <mergeCell ref="A94:C94"/>
    <mergeCell ref="A95:C95"/>
    <mergeCell ref="A90:C90"/>
    <mergeCell ref="A88:C88"/>
    <mergeCell ref="A89:C89"/>
    <mergeCell ref="R74:S74"/>
    <mergeCell ref="R82:S82"/>
    <mergeCell ref="R83:S83"/>
    <mergeCell ref="A91:C91"/>
    <mergeCell ref="A86:C86"/>
    <mergeCell ref="A85:C85"/>
    <mergeCell ref="A84:C84"/>
    <mergeCell ref="A77:C77"/>
    <mergeCell ref="A81:C81"/>
    <mergeCell ref="A82:C82"/>
    <mergeCell ref="A83:C83"/>
    <mergeCell ref="R75:S75"/>
    <mergeCell ref="R76:S76"/>
    <mergeCell ref="R77:S77"/>
    <mergeCell ref="R81:S81"/>
    <mergeCell ref="A75:C75"/>
    <mergeCell ref="R69:S69"/>
    <mergeCell ref="R70:S70"/>
    <mergeCell ref="R71:S71"/>
    <mergeCell ref="R72:S72"/>
    <mergeCell ref="R73:S73"/>
    <mergeCell ref="R96:S96"/>
    <mergeCell ref="R84:S84"/>
    <mergeCell ref="R85:S85"/>
    <mergeCell ref="R86:S86"/>
    <mergeCell ref="R87:S87"/>
    <mergeCell ref="R88:S88"/>
    <mergeCell ref="R95:S95"/>
    <mergeCell ref="R90:S90"/>
    <mergeCell ref="R91:S91"/>
    <mergeCell ref="R94:S94"/>
    <mergeCell ref="R89:S89"/>
    <mergeCell ref="R97:S97"/>
    <mergeCell ref="R102:S102"/>
    <mergeCell ref="R103:S103"/>
    <mergeCell ref="R98:S98"/>
    <mergeCell ref="R99:S99"/>
    <mergeCell ref="R100:S100"/>
    <mergeCell ref="R101:S101"/>
  </mergeCells>
  <phoneticPr fontId="2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IF190"/>
  <sheetViews>
    <sheetView topLeftCell="A155" zoomScale="85" zoomScaleNormal="85" workbookViewId="0">
      <selection activeCell="I131" sqref="I131"/>
    </sheetView>
  </sheetViews>
  <sheetFormatPr defaultColWidth="9" defaultRowHeight="12.6"/>
  <cols>
    <col min="1" max="1" width="3.375" style="343" customWidth="1"/>
    <col min="2" max="2" width="4.5" style="343" customWidth="1"/>
    <col min="3" max="3" width="24.25" style="343" bestFit="1" customWidth="1"/>
    <col min="4" max="4" width="10.375" style="343" customWidth="1"/>
    <col min="5" max="5" width="10" style="343" customWidth="1"/>
    <col min="6" max="6" width="11.125" style="343" bestFit="1" customWidth="1"/>
    <col min="7" max="8" width="11.5" style="343" bestFit="1" customWidth="1"/>
    <col min="9" max="15" width="10.375" style="343" customWidth="1"/>
    <col min="16" max="16" width="10.375" style="343" bestFit="1" customWidth="1"/>
    <col min="17" max="18" width="9" style="343"/>
    <col min="19" max="19" width="17.875" style="343" bestFit="1" customWidth="1"/>
    <col min="20" max="20" width="13.5" style="343" bestFit="1" customWidth="1"/>
    <col min="21" max="21" width="17.875" style="343" bestFit="1" customWidth="1"/>
    <col min="22" max="22" width="13.5" style="343" bestFit="1" customWidth="1"/>
    <col min="23" max="23" width="17.875" style="343" bestFit="1" customWidth="1"/>
    <col min="24" max="24" width="13.25" style="343" bestFit="1" customWidth="1"/>
    <col min="25" max="25" width="17.875" style="343" bestFit="1" customWidth="1"/>
    <col min="26" max="26" width="13.25" style="343" bestFit="1" customWidth="1"/>
    <col min="27" max="27" width="17.875" style="343" bestFit="1" customWidth="1"/>
    <col min="28" max="28" width="13.5" style="343" bestFit="1" customWidth="1"/>
    <col min="29" max="29" width="26.125" style="343" bestFit="1" customWidth="1"/>
    <col min="30" max="30" width="21.375" style="343" bestFit="1" customWidth="1"/>
    <col min="31" max="16384" width="9" style="343"/>
  </cols>
  <sheetData>
    <row r="1" spans="1:240" ht="14.1" thickBot="1">
      <c r="A1" s="342" t="s">
        <v>251</v>
      </c>
      <c r="B1" s="342"/>
      <c r="C1" s="342"/>
      <c r="D1" s="339">
        <v>1</v>
      </c>
      <c r="E1" s="339">
        <v>2</v>
      </c>
      <c r="F1" s="339">
        <v>3</v>
      </c>
      <c r="G1" s="339">
        <v>4</v>
      </c>
      <c r="H1" s="339">
        <v>5</v>
      </c>
      <c r="I1" s="340">
        <v>6</v>
      </c>
      <c r="J1" s="340">
        <v>7</v>
      </c>
      <c r="K1" s="341">
        <v>8</v>
      </c>
      <c r="L1" s="340">
        <v>9</v>
      </c>
      <c r="M1" s="340">
        <v>10</v>
      </c>
      <c r="N1" s="340">
        <v>11</v>
      </c>
      <c r="O1" s="340">
        <v>12</v>
      </c>
    </row>
    <row r="2" spans="1:240" s="118" customFormat="1" ht="13.5">
      <c r="A2" s="729" t="s">
        <v>1</v>
      </c>
      <c r="B2" s="730"/>
      <c r="C2" s="730"/>
      <c r="D2" s="344" t="s">
        <v>252</v>
      </c>
      <c r="E2" s="344" t="s">
        <v>253</v>
      </c>
      <c r="F2" s="344" t="s">
        <v>254</v>
      </c>
      <c r="G2" s="344" t="s">
        <v>255</v>
      </c>
      <c r="H2" s="344" t="s">
        <v>256</v>
      </c>
      <c r="I2" s="344" t="s">
        <v>257</v>
      </c>
      <c r="J2" s="344" t="s">
        <v>258</v>
      </c>
      <c r="K2" s="344" t="s">
        <v>259</v>
      </c>
      <c r="L2" s="344" t="s">
        <v>260</v>
      </c>
      <c r="M2" s="344" t="s">
        <v>261</v>
      </c>
      <c r="N2" s="344" t="s">
        <v>262</v>
      </c>
      <c r="O2" s="344" t="s">
        <v>263</v>
      </c>
      <c r="P2" s="345" t="s">
        <v>264</v>
      </c>
      <c r="Q2" s="346"/>
      <c r="R2" s="346"/>
      <c r="S2" s="346"/>
      <c r="T2" s="346"/>
      <c r="U2" s="346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6"/>
      <c r="AO2" s="346"/>
      <c r="AP2" s="346"/>
      <c r="AQ2" s="346"/>
      <c r="AR2" s="346"/>
      <c r="AS2" s="346"/>
      <c r="AT2" s="346"/>
      <c r="AU2" s="346"/>
      <c r="AV2" s="346"/>
      <c r="AW2" s="346"/>
      <c r="AX2" s="346"/>
      <c r="AY2" s="346"/>
      <c r="AZ2" s="346"/>
      <c r="BA2" s="346"/>
      <c r="BB2" s="346"/>
      <c r="BC2" s="346"/>
      <c r="BD2" s="346"/>
      <c r="BE2" s="346"/>
      <c r="BF2" s="346"/>
      <c r="BG2" s="346"/>
      <c r="BH2" s="346"/>
      <c r="BI2" s="346"/>
      <c r="BJ2" s="346"/>
      <c r="BK2" s="346"/>
      <c r="BL2" s="346"/>
      <c r="BM2" s="346"/>
      <c r="BN2" s="346"/>
      <c r="BO2" s="346"/>
      <c r="BP2" s="346"/>
      <c r="BQ2" s="346"/>
      <c r="BR2" s="346"/>
      <c r="BS2" s="346"/>
      <c r="BT2" s="346"/>
      <c r="BU2" s="346"/>
      <c r="BV2" s="346"/>
      <c r="BW2" s="346"/>
      <c r="BX2" s="346"/>
      <c r="BY2" s="346"/>
      <c r="BZ2" s="346"/>
      <c r="CA2" s="346"/>
      <c r="CB2" s="346"/>
      <c r="CC2" s="346"/>
      <c r="CD2" s="346"/>
      <c r="CE2" s="346"/>
      <c r="CF2" s="346"/>
      <c r="CG2" s="346"/>
      <c r="CH2" s="346"/>
      <c r="CI2" s="346"/>
      <c r="CJ2" s="346"/>
      <c r="CK2" s="346"/>
      <c r="CL2" s="346"/>
      <c r="CM2" s="346"/>
      <c r="CN2" s="346"/>
      <c r="CO2" s="346"/>
      <c r="CP2" s="346"/>
      <c r="CQ2" s="346"/>
      <c r="CR2" s="346"/>
      <c r="CS2" s="346"/>
      <c r="CT2" s="346"/>
      <c r="CU2" s="346"/>
      <c r="CV2" s="346"/>
      <c r="CW2" s="346"/>
      <c r="CX2" s="346"/>
      <c r="CY2" s="346"/>
      <c r="CZ2" s="346"/>
      <c r="DA2" s="346"/>
      <c r="DB2" s="346"/>
      <c r="DC2" s="346"/>
      <c r="DD2" s="346"/>
      <c r="DE2" s="346"/>
      <c r="DF2" s="346"/>
      <c r="DG2" s="346"/>
      <c r="DH2" s="346"/>
      <c r="DI2" s="346"/>
      <c r="DJ2" s="346"/>
      <c r="DK2" s="346"/>
      <c r="DL2" s="346"/>
      <c r="DM2" s="346"/>
      <c r="DN2" s="346"/>
      <c r="DO2" s="346"/>
      <c r="DP2" s="346"/>
      <c r="DQ2" s="346"/>
      <c r="DR2" s="346"/>
      <c r="DS2" s="346"/>
      <c r="DT2" s="346"/>
      <c r="DU2" s="346"/>
      <c r="DV2" s="346"/>
      <c r="DW2" s="346"/>
      <c r="DX2" s="346"/>
      <c r="DY2" s="346"/>
      <c r="DZ2" s="346"/>
      <c r="EA2" s="346"/>
      <c r="EB2" s="346"/>
      <c r="EC2" s="346"/>
      <c r="ED2" s="346"/>
      <c r="EE2" s="346"/>
      <c r="EF2" s="346"/>
      <c r="EG2" s="346"/>
      <c r="EH2" s="346"/>
      <c r="EI2" s="346"/>
      <c r="EJ2" s="346"/>
      <c r="EK2" s="346"/>
      <c r="EL2" s="346"/>
      <c r="EM2" s="346"/>
      <c r="EN2" s="346"/>
      <c r="EO2" s="346"/>
      <c r="EP2" s="346"/>
      <c r="EQ2" s="346"/>
      <c r="ER2" s="346"/>
      <c r="ES2" s="346"/>
      <c r="ET2" s="346"/>
      <c r="EU2" s="346"/>
      <c r="EV2" s="346"/>
      <c r="EW2" s="346"/>
      <c r="EX2" s="346"/>
      <c r="EY2" s="346"/>
      <c r="EZ2" s="346"/>
      <c r="FA2" s="346"/>
      <c r="FB2" s="346"/>
      <c r="FC2" s="346"/>
      <c r="FD2" s="346"/>
      <c r="FE2" s="346"/>
      <c r="FF2" s="346"/>
      <c r="FG2" s="346"/>
      <c r="FH2" s="346"/>
      <c r="FI2" s="346"/>
      <c r="FJ2" s="346"/>
      <c r="FK2" s="346"/>
      <c r="FL2" s="346"/>
      <c r="FM2" s="346"/>
      <c r="FN2" s="346"/>
      <c r="FO2" s="346"/>
      <c r="FP2" s="346"/>
      <c r="FQ2" s="346"/>
      <c r="FR2" s="346"/>
      <c r="FS2" s="346"/>
      <c r="FT2" s="346"/>
      <c r="FU2" s="346"/>
      <c r="FV2" s="346"/>
      <c r="FW2" s="346"/>
      <c r="FX2" s="346"/>
      <c r="FY2" s="346"/>
      <c r="FZ2" s="346"/>
      <c r="GA2" s="346"/>
      <c r="GB2" s="346"/>
      <c r="GC2" s="346"/>
      <c r="GD2" s="346"/>
      <c r="GE2" s="346"/>
      <c r="GF2" s="346"/>
      <c r="GG2" s="346"/>
      <c r="GH2" s="346"/>
      <c r="GI2" s="346"/>
      <c r="GJ2" s="346"/>
      <c r="GK2" s="346"/>
      <c r="GL2" s="346"/>
      <c r="GM2" s="346"/>
      <c r="GN2" s="346"/>
      <c r="GO2" s="346"/>
      <c r="GP2" s="346"/>
      <c r="GQ2" s="346"/>
      <c r="GR2" s="346"/>
      <c r="GS2" s="346"/>
      <c r="GT2" s="346"/>
      <c r="GU2" s="346"/>
      <c r="GV2" s="346"/>
      <c r="GW2" s="346"/>
      <c r="GX2" s="346"/>
      <c r="GY2" s="346"/>
      <c r="GZ2" s="346"/>
      <c r="HA2" s="346"/>
      <c r="HB2" s="346"/>
      <c r="HC2" s="346"/>
      <c r="HD2" s="346"/>
      <c r="HE2" s="346"/>
      <c r="HF2" s="346"/>
      <c r="HG2" s="346"/>
      <c r="HH2" s="346"/>
      <c r="HI2" s="346"/>
      <c r="HJ2" s="346"/>
      <c r="HK2" s="346"/>
      <c r="HL2" s="346"/>
      <c r="HM2" s="346"/>
      <c r="HN2" s="346"/>
      <c r="HO2" s="346"/>
      <c r="HP2" s="346"/>
      <c r="HQ2" s="346"/>
      <c r="HR2" s="346"/>
      <c r="HS2" s="346"/>
      <c r="HT2" s="346"/>
      <c r="HU2" s="346"/>
      <c r="HV2" s="346"/>
      <c r="HW2" s="346"/>
      <c r="HX2" s="346"/>
      <c r="HY2" s="346"/>
      <c r="HZ2" s="346"/>
      <c r="IA2" s="346"/>
      <c r="IB2" s="346"/>
      <c r="IC2" s="346"/>
      <c r="ID2" s="346"/>
      <c r="IE2" s="346"/>
      <c r="IF2" s="346"/>
    </row>
    <row r="3" spans="1:240" s="122" customFormat="1" ht="13.5">
      <c r="A3" s="755" t="s">
        <v>9</v>
      </c>
      <c r="B3" s="756"/>
      <c r="C3" s="757"/>
      <c r="D3" s="347">
        <v>527153077.12903219</v>
      </c>
      <c r="E3" s="347">
        <v>493184085.86206901</v>
      </c>
      <c r="F3" s="347">
        <v>512707631.77419353</v>
      </c>
      <c r="G3" s="347">
        <v>532452496.9666667</v>
      </c>
      <c r="H3" s="347">
        <v>532254763.80645156</v>
      </c>
      <c r="I3" s="347">
        <v>528683446.47000003</v>
      </c>
      <c r="J3" s="347">
        <v>512254767.77000004</v>
      </c>
      <c r="K3" s="347">
        <v>529951311.35999995</v>
      </c>
      <c r="L3" s="347">
        <v>520708380.00000006</v>
      </c>
      <c r="M3" s="347">
        <v>501432135.25806451</v>
      </c>
      <c r="N3" s="347">
        <v>521917827.30000001</v>
      </c>
      <c r="O3" s="347">
        <v>535159084.35000002</v>
      </c>
      <c r="P3" s="347">
        <f>P4+P11+P16+P24</f>
        <v>550557901.50983024</v>
      </c>
      <c r="Q3" s="348"/>
      <c r="R3" s="348"/>
      <c r="S3" s="348"/>
      <c r="T3" s="348"/>
      <c r="U3" s="348"/>
      <c r="V3" s="348"/>
      <c r="W3" s="348"/>
      <c r="X3" s="348"/>
      <c r="Y3" s="348"/>
      <c r="Z3" s="348"/>
      <c r="AA3" s="348"/>
      <c r="AB3" s="348"/>
      <c r="AC3" s="348"/>
      <c r="AD3" s="348"/>
      <c r="AE3" s="348"/>
      <c r="AF3" s="348"/>
      <c r="AG3" s="348"/>
      <c r="AH3" s="348"/>
      <c r="AI3" s="348"/>
      <c r="AJ3" s="348"/>
      <c r="AK3" s="348"/>
      <c r="AL3" s="348"/>
      <c r="AM3" s="348"/>
      <c r="AN3" s="348"/>
      <c r="AO3" s="348"/>
      <c r="AP3" s="348"/>
      <c r="AQ3" s="348"/>
      <c r="AR3" s="348"/>
      <c r="AS3" s="348"/>
      <c r="AT3" s="348"/>
      <c r="AU3" s="348"/>
      <c r="AV3" s="348"/>
      <c r="AW3" s="348"/>
      <c r="AX3" s="348"/>
      <c r="AY3" s="348"/>
      <c r="AZ3" s="348"/>
      <c r="BA3" s="348"/>
      <c r="BB3" s="348"/>
      <c r="BC3" s="348"/>
      <c r="BD3" s="348"/>
      <c r="BE3" s="348"/>
      <c r="BF3" s="348"/>
      <c r="BG3" s="348"/>
      <c r="BH3" s="348"/>
      <c r="BI3" s="348"/>
      <c r="BJ3" s="348"/>
      <c r="BK3" s="348"/>
      <c r="BL3" s="348"/>
      <c r="BM3" s="348"/>
      <c r="BN3" s="348"/>
      <c r="BO3" s="348"/>
      <c r="BP3" s="348"/>
      <c r="BQ3" s="348"/>
      <c r="BR3" s="348"/>
      <c r="BS3" s="348"/>
      <c r="BT3" s="348"/>
      <c r="BU3" s="348"/>
      <c r="BV3" s="348"/>
      <c r="BW3" s="348"/>
      <c r="BX3" s="348"/>
      <c r="BY3" s="348"/>
      <c r="BZ3" s="348"/>
      <c r="CA3" s="348"/>
      <c r="CB3" s="348"/>
      <c r="CC3" s="348"/>
      <c r="CD3" s="348"/>
      <c r="CE3" s="348"/>
      <c r="CF3" s="348"/>
      <c r="CG3" s="348"/>
      <c r="CH3" s="348"/>
      <c r="CI3" s="348"/>
      <c r="CJ3" s="348"/>
      <c r="CK3" s="348"/>
      <c r="CL3" s="348"/>
      <c r="CM3" s="348"/>
      <c r="CN3" s="348"/>
      <c r="CO3" s="348"/>
      <c r="CP3" s="348"/>
      <c r="CQ3" s="348"/>
      <c r="CR3" s="348"/>
      <c r="CS3" s="348"/>
      <c r="CT3" s="348"/>
      <c r="CU3" s="348"/>
      <c r="CV3" s="348"/>
      <c r="CW3" s="348"/>
      <c r="CX3" s="348"/>
      <c r="CY3" s="348"/>
      <c r="CZ3" s="348"/>
      <c r="DA3" s="348"/>
      <c r="DB3" s="348"/>
      <c r="DC3" s="348"/>
      <c r="DD3" s="348"/>
      <c r="DE3" s="348"/>
      <c r="DF3" s="348"/>
      <c r="DG3" s="348"/>
      <c r="DH3" s="348"/>
      <c r="DI3" s="348"/>
      <c r="DJ3" s="348"/>
      <c r="DK3" s="348"/>
      <c r="DL3" s="348"/>
      <c r="DM3" s="348"/>
      <c r="DN3" s="348"/>
      <c r="DO3" s="348"/>
      <c r="DP3" s="348"/>
      <c r="DQ3" s="348"/>
      <c r="DR3" s="348"/>
      <c r="DS3" s="348"/>
      <c r="DT3" s="348"/>
      <c r="DU3" s="348"/>
      <c r="DV3" s="348"/>
      <c r="DW3" s="348"/>
      <c r="DX3" s="348"/>
      <c r="DY3" s="348"/>
      <c r="DZ3" s="348"/>
      <c r="EA3" s="348"/>
      <c r="EB3" s="348"/>
      <c r="EC3" s="348"/>
      <c r="ED3" s="348"/>
      <c r="EE3" s="348"/>
      <c r="EF3" s="348"/>
      <c r="EG3" s="348"/>
      <c r="EH3" s="348"/>
      <c r="EI3" s="348"/>
      <c r="EJ3" s="348"/>
      <c r="EK3" s="348"/>
      <c r="EL3" s="348"/>
      <c r="EM3" s="348"/>
      <c r="EN3" s="348"/>
      <c r="EO3" s="348"/>
      <c r="EP3" s="348"/>
      <c r="EQ3" s="348"/>
      <c r="ER3" s="348"/>
      <c r="ES3" s="348"/>
      <c r="ET3" s="348"/>
      <c r="EU3" s="348"/>
      <c r="EV3" s="348"/>
      <c r="EW3" s="348"/>
      <c r="EX3" s="348"/>
      <c r="EY3" s="348"/>
      <c r="EZ3" s="348"/>
      <c r="FA3" s="348"/>
      <c r="FB3" s="348"/>
      <c r="FC3" s="348"/>
      <c r="FD3" s="348"/>
      <c r="FE3" s="348"/>
      <c r="FF3" s="348"/>
      <c r="FG3" s="348"/>
      <c r="FH3" s="348"/>
      <c r="FI3" s="348"/>
      <c r="FJ3" s="348"/>
      <c r="FK3" s="348"/>
      <c r="FL3" s="348"/>
      <c r="FM3" s="348"/>
      <c r="FN3" s="348"/>
      <c r="FO3" s="348"/>
      <c r="FP3" s="348"/>
      <c r="FQ3" s="348"/>
      <c r="FR3" s="348"/>
      <c r="FS3" s="348"/>
      <c r="FT3" s="348"/>
      <c r="FU3" s="348"/>
      <c r="FV3" s="348"/>
      <c r="FW3" s="348"/>
      <c r="FX3" s="348"/>
      <c r="FY3" s="348"/>
      <c r="FZ3" s="348"/>
      <c r="GA3" s="348"/>
      <c r="GB3" s="348"/>
      <c r="GC3" s="348"/>
      <c r="GD3" s="348"/>
      <c r="GE3" s="348"/>
      <c r="GF3" s="348"/>
      <c r="GG3" s="348"/>
      <c r="GH3" s="348"/>
      <c r="GI3" s="348"/>
      <c r="GJ3" s="348"/>
      <c r="GK3" s="348"/>
      <c r="GL3" s="348"/>
      <c r="GM3" s="348"/>
      <c r="GN3" s="348"/>
      <c r="GO3" s="348"/>
      <c r="GP3" s="348"/>
      <c r="GQ3" s="348"/>
      <c r="GR3" s="348"/>
      <c r="GS3" s="348"/>
      <c r="GT3" s="348"/>
      <c r="GU3" s="348"/>
      <c r="GV3" s="348"/>
      <c r="GW3" s="348"/>
      <c r="GX3" s="348"/>
      <c r="GY3" s="348"/>
      <c r="GZ3" s="348"/>
      <c r="HA3" s="348"/>
      <c r="HB3" s="348"/>
      <c r="HC3" s="348"/>
      <c r="HD3" s="348"/>
      <c r="HE3" s="348"/>
      <c r="HF3" s="348"/>
      <c r="HG3" s="348"/>
      <c r="HH3" s="348"/>
      <c r="HI3" s="348"/>
      <c r="HJ3" s="348"/>
      <c r="HK3" s="348"/>
      <c r="HL3" s="348"/>
      <c r="HM3" s="348"/>
      <c r="HN3" s="348"/>
      <c r="HO3" s="348"/>
      <c r="HP3" s="348"/>
      <c r="HQ3" s="348"/>
      <c r="HR3" s="348"/>
      <c r="HS3" s="348"/>
      <c r="HT3" s="348"/>
      <c r="HU3" s="348"/>
      <c r="HV3" s="348"/>
      <c r="HW3" s="348"/>
      <c r="HX3" s="348"/>
      <c r="HY3" s="348"/>
      <c r="HZ3" s="348"/>
      <c r="IA3" s="348"/>
      <c r="IB3" s="348"/>
      <c r="IC3" s="348"/>
      <c r="ID3" s="348"/>
      <c r="IE3" s="348"/>
      <c r="IF3" s="348"/>
    </row>
    <row r="4" spans="1:240" ht="13.5">
      <c r="A4" s="123"/>
      <c r="B4" s="758" t="s">
        <v>10</v>
      </c>
      <c r="C4" s="759"/>
      <c r="D4" s="349">
        <v>301267979.4193548</v>
      </c>
      <c r="E4" s="349">
        <v>280908772.62068969</v>
      </c>
      <c r="F4" s="349">
        <v>287966480.16129029</v>
      </c>
      <c r="G4" s="349">
        <v>306003563.26666665</v>
      </c>
      <c r="H4" s="349">
        <v>308942445.32258058</v>
      </c>
      <c r="I4" s="349">
        <v>306813796.65999997</v>
      </c>
      <c r="J4" s="349">
        <v>294815195.19999999</v>
      </c>
      <c r="K4" s="349">
        <v>307759113.77999997</v>
      </c>
      <c r="L4" s="349">
        <v>301388862.90000004</v>
      </c>
      <c r="M4" s="349">
        <v>291561162.64516127</v>
      </c>
      <c r="N4" s="349">
        <v>302398790.76666671</v>
      </c>
      <c r="O4" s="349">
        <v>309372014.48000002</v>
      </c>
      <c r="P4" s="349">
        <f>SUM(P5:P10)</f>
        <v>327808854.15723091</v>
      </c>
    </row>
    <row r="5" spans="1:240" ht="13.5">
      <c r="A5" s="126"/>
      <c r="B5" s="127"/>
      <c r="C5" s="128" t="s">
        <v>11</v>
      </c>
      <c r="D5" s="350">
        <v>289321329.89999998</v>
      </c>
      <c r="E5" s="350">
        <v>294828766</v>
      </c>
      <c r="F5" s="350">
        <v>288458012.44999999</v>
      </c>
      <c r="G5" s="350">
        <v>296979593.43000001</v>
      </c>
      <c r="H5" s="350">
        <v>290494156.06</v>
      </c>
      <c r="I5" s="350">
        <v>278880108.76999998</v>
      </c>
      <c r="J5" s="350">
        <v>263721214.52000001</v>
      </c>
      <c r="K5" s="350">
        <v>276129773.57999998</v>
      </c>
      <c r="L5" s="350">
        <v>262566323.37</v>
      </c>
      <c r="M5" s="350">
        <v>267465025.65000001</v>
      </c>
      <c r="N5" s="350">
        <v>294436778.38999999</v>
      </c>
      <c r="O5" s="350">
        <v>315456704.48387003</v>
      </c>
      <c r="P5" s="350">
        <f t="shared" ref="P5:P10" si="0">AVERAGE(D5:O5)</f>
        <v>284894815.55032247</v>
      </c>
    </row>
    <row r="6" spans="1:240" ht="13.5">
      <c r="A6" s="126"/>
      <c r="B6" s="127"/>
      <c r="C6" s="128" t="s">
        <v>12</v>
      </c>
      <c r="D6" s="350">
        <v>7544209.5499999998</v>
      </c>
      <c r="E6" s="350">
        <v>8684465.6099999994</v>
      </c>
      <c r="F6" s="350">
        <v>6315696.9400000004</v>
      </c>
      <c r="G6" s="350">
        <v>6379189.9699999997</v>
      </c>
      <c r="H6" s="350">
        <v>5803713.5199999996</v>
      </c>
      <c r="I6" s="350">
        <v>5058505.9000000004</v>
      </c>
      <c r="J6" s="350">
        <v>5686301.3899999997</v>
      </c>
      <c r="K6" s="350">
        <v>5374548.71</v>
      </c>
      <c r="L6" s="350">
        <v>6312221.3700000001</v>
      </c>
      <c r="M6" s="350">
        <v>6147893.6100000003</v>
      </c>
      <c r="N6" s="350">
        <v>6366239.7300000004</v>
      </c>
      <c r="O6" s="350">
        <v>6514880.2580639999</v>
      </c>
      <c r="P6" s="350">
        <f t="shared" si="0"/>
        <v>6348988.8798386669</v>
      </c>
    </row>
    <row r="7" spans="1:240" ht="13.5">
      <c r="A7" s="126"/>
      <c r="B7" s="127"/>
      <c r="C7" s="128" t="s">
        <v>13</v>
      </c>
      <c r="D7" s="350">
        <v>1762491.6099999994</v>
      </c>
      <c r="E7" s="350">
        <v>1694362.0399999991</v>
      </c>
      <c r="F7" s="350">
        <v>1637628.1900000013</v>
      </c>
      <c r="G7" s="350">
        <v>1569699.9699999988</v>
      </c>
      <c r="H7" s="350">
        <v>3746962.8999999985</v>
      </c>
      <c r="I7" s="350">
        <v>4566381.790000001</v>
      </c>
      <c r="J7" s="350">
        <v>3929388.09</v>
      </c>
      <c r="K7" s="350">
        <v>7488577.2000000002</v>
      </c>
      <c r="L7" s="350">
        <v>6567854.9899999993</v>
      </c>
      <c r="M7" s="350">
        <v>11974555.74</v>
      </c>
      <c r="N7" s="350">
        <v>11121668.83</v>
      </c>
      <c r="O7" s="350">
        <v>11383036.129032001</v>
      </c>
      <c r="P7" s="350">
        <f t="shared" si="0"/>
        <v>5620217.2899193326</v>
      </c>
    </row>
    <row r="8" spans="1:240" ht="13.5">
      <c r="A8" s="126"/>
      <c r="B8" s="127"/>
      <c r="C8" s="128" t="s">
        <v>14</v>
      </c>
      <c r="D8" s="350">
        <v>19939384.68</v>
      </c>
      <c r="E8" s="350">
        <v>18665091</v>
      </c>
      <c r="F8" s="350">
        <v>19997371.899999999</v>
      </c>
      <c r="G8" s="350">
        <v>20372883.300000001</v>
      </c>
      <c r="H8" s="350">
        <v>19958824.550000001</v>
      </c>
      <c r="I8" s="350">
        <v>18999752.800000001</v>
      </c>
      <c r="J8" s="350">
        <v>18758457.350000001</v>
      </c>
      <c r="K8" s="350">
        <v>19611807.23</v>
      </c>
      <c r="L8" s="350">
        <v>19531056.93</v>
      </c>
      <c r="M8" s="350">
        <v>19581492.870000001</v>
      </c>
      <c r="N8" s="350">
        <v>19973997.23</v>
      </c>
      <c r="O8" s="350">
        <v>21520725.612902999</v>
      </c>
      <c r="P8" s="350">
        <f t="shared" si="0"/>
        <v>19742570.454408582</v>
      </c>
    </row>
    <row r="9" spans="1:240" ht="13.5">
      <c r="A9" s="126"/>
      <c r="B9" s="127"/>
      <c r="C9" s="128" t="s">
        <v>15</v>
      </c>
      <c r="D9" s="350">
        <v>0</v>
      </c>
      <c r="E9" s="350">
        <v>0</v>
      </c>
      <c r="F9" s="350">
        <v>0</v>
      </c>
      <c r="G9" s="350">
        <v>0</v>
      </c>
      <c r="H9" s="350">
        <v>0</v>
      </c>
      <c r="I9" s="350">
        <v>0</v>
      </c>
      <c r="J9" s="350">
        <v>0</v>
      </c>
      <c r="K9" s="350">
        <v>0</v>
      </c>
      <c r="L9" s="350">
        <v>0</v>
      </c>
      <c r="M9" s="350">
        <v>0</v>
      </c>
      <c r="N9" s="350">
        <v>0</v>
      </c>
      <c r="O9" s="350">
        <v>0</v>
      </c>
      <c r="P9" s="350">
        <f t="shared" si="0"/>
        <v>0</v>
      </c>
    </row>
    <row r="10" spans="1:240" ht="13.5">
      <c r="A10" s="126"/>
      <c r="B10" s="132"/>
      <c r="C10" s="128" t="s">
        <v>16</v>
      </c>
      <c r="D10" s="350">
        <v>10052816.77</v>
      </c>
      <c r="E10" s="350">
        <v>11889240.5</v>
      </c>
      <c r="F10" s="350">
        <v>11100500.52</v>
      </c>
      <c r="G10" s="350">
        <v>10776948.869999999</v>
      </c>
      <c r="H10" s="350">
        <v>10712094.609999999</v>
      </c>
      <c r="I10" s="350">
        <v>10076009.23</v>
      </c>
      <c r="J10" s="350">
        <v>10093904.609999999</v>
      </c>
      <c r="K10" s="350">
        <v>11680011.58</v>
      </c>
      <c r="L10" s="350">
        <v>11678819.1</v>
      </c>
      <c r="M10" s="350">
        <v>12475311.189999999</v>
      </c>
      <c r="N10" s="350">
        <v>12329428.199999999</v>
      </c>
      <c r="O10" s="350">
        <v>11562058.612903001</v>
      </c>
      <c r="P10" s="350">
        <f t="shared" si="0"/>
        <v>11202261.982741917</v>
      </c>
    </row>
    <row r="11" spans="1:240" ht="13.5">
      <c r="A11" s="126"/>
      <c r="B11" s="760" t="s">
        <v>17</v>
      </c>
      <c r="C11" s="761"/>
      <c r="D11" s="351">
        <v>10653907.419354839</v>
      </c>
      <c r="E11" s="351">
        <v>10432864.285714285</v>
      </c>
      <c r="F11" s="351">
        <v>10082267</v>
      </c>
      <c r="G11" s="351">
        <v>11239741.140000001</v>
      </c>
      <c r="H11" s="351">
        <v>11694705.741935484</v>
      </c>
      <c r="I11" s="351">
        <v>11026164.27</v>
      </c>
      <c r="J11" s="351">
        <v>9465851.8387096766</v>
      </c>
      <c r="K11" s="351">
        <v>11277474.49</v>
      </c>
      <c r="L11" s="351">
        <v>12077131.4</v>
      </c>
      <c r="M11" s="351">
        <v>9444889.8709677421</v>
      </c>
      <c r="N11" s="351">
        <v>9774971.8666666672</v>
      </c>
      <c r="O11" s="351">
        <v>10997409.741935484</v>
      </c>
      <c r="P11" s="351">
        <f>SUM(P12:P15)</f>
        <v>10851555.956263335</v>
      </c>
    </row>
    <row r="12" spans="1:240" ht="13.5">
      <c r="A12" s="126"/>
      <c r="B12" s="127"/>
      <c r="C12" s="134" t="s">
        <v>18</v>
      </c>
      <c r="D12" s="350">
        <v>0</v>
      </c>
      <c r="E12" s="350">
        <v>0</v>
      </c>
      <c r="F12" s="350">
        <v>0</v>
      </c>
      <c r="G12" s="350">
        <v>0</v>
      </c>
      <c r="H12" s="350">
        <v>0</v>
      </c>
      <c r="I12" s="350">
        <v>0</v>
      </c>
      <c r="J12" s="350">
        <v>0</v>
      </c>
      <c r="K12" s="350">
        <v>0</v>
      </c>
      <c r="L12" s="350">
        <v>0</v>
      </c>
      <c r="M12" s="350">
        <v>0</v>
      </c>
      <c r="N12" s="350">
        <v>0</v>
      </c>
      <c r="O12" s="350">
        <v>0</v>
      </c>
      <c r="P12" s="350">
        <f>AVERAGE(D12:O12)</f>
        <v>0</v>
      </c>
    </row>
    <row r="13" spans="1:240" ht="13.5">
      <c r="A13" s="126"/>
      <c r="B13" s="127"/>
      <c r="C13" s="134" t="s">
        <v>19</v>
      </c>
      <c r="D13" s="350">
        <v>1025696.03</v>
      </c>
      <c r="E13" s="350">
        <v>981348.79</v>
      </c>
      <c r="F13" s="350">
        <v>1551223.65</v>
      </c>
      <c r="G13" s="350">
        <v>2755574.17</v>
      </c>
      <c r="H13" s="350">
        <v>3735778.23</v>
      </c>
      <c r="I13" s="350">
        <v>3641635.07</v>
      </c>
      <c r="J13" s="350">
        <v>2744695.13</v>
      </c>
      <c r="K13" s="350">
        <v>3666724.58</v>
      </c>
      <c r="L13" s="350">
        <v>2527222.4700000002</v>
      </c>
      <c r="M13" s="350">
        <v>1647552.94</v>
      </c>
      <c r="N13" s="350">
        <v>1622746.33</v>
      </c>
      <c r="O13" s="350">
        <v>1875752</v>
      </c>
      <c r="P13" s="350">
        <f>AVERAGE(D13:O13)</f>
        <v>2314662.4491666667</v>
      </c>
    </row>
    <row r="14" spans="1:240" ht="13.5">
      <c r="A14" s="126"/>
      <c r="B14" s="127"/>
      <c r="C14" s="233" t="s">
        <v>20</v>
      </c>
      <c r="D14" s="350">
        <v>321893.96999999997</v>
      </c>
      <c r="E14" s="350">
        <v>298712.78999999998</v>
      </c>
      <c r="F14" s="350">
        <v>254428.03</v>
      </c>
      <c r="G14" s="350">
        <v>202614.67</v>
      </c>
      <c r="H14" s="350">
        <v>173471.55</v>
      </c>
      <c r="I14" s="350">
        <v>123497</v>
      </c>
      <c r="J14" s="350">
        <v>258893.81</v>
      </c>
      <c r="K14" s="350">
        <v>336011.23</v>
      </c>
      <c r="L14" s="350">
        <v>330625</v>
      </c>
      <c r="M14" s="350">
        <v>232240.58</v>
      </c>
      <c r="N14" s="350">
        <v>196612.67</v>
      </c>
      <c r="O14" s="350">
        <v>277386.38709600002</v>
      </c>
      <c r="P14" s="350">
        <f>AVERAGE(D14:O14)</f>
        <v>250532.30725799999</v>
      </c>
    </row>
    <row r="15" spans="1:240" ht="13.5">
      <c r="A15" s="126"/>
      <c r="B15" s="127"/>
      <c r="C15" s="233" t="s">
        <v>21</v>
      </c>
      <c r="D15" s="350">
        <v>8279386.1900000004</v>
      </c>
      <c r="E15" s="350">
        <v>8168714.21</v>
      </c>
      <c r="F15" s="350">
        <v>8443878.4800000004</v>
      </c>
      <c r="G15" s="350">
        <v>10458257.17</v>
      </c>
      <c r="H15" s="350">
        <v>9212882.5800000001</v>
      </c>
      <c r="I15" s="350">
        <v>6694869.5</v>
      </c>
      <c r="J15" s="350">
        <v>7726512.1600000001</v>
      </c>
      <c r="K15" s="350">
        <v>8795869.3900000006</v>
      </c>
      <c r="L15" s="350">
        <v>7845997.2300000004</v>
      </c>
      <c r="M15" s="350">
        <v>8331504.2599999998</v>
      </c>
      <c r="N15" s="350">
        <v>7489846.9699999997</v>
      </c>
      <c r="O15" s="350">
        <v>7988616.2580639999</v>
      </c>
      <c r="P15" s="350">
        <f>AVERAGE(D15:O15)</f>
        <v>8286361.1998386681</v>
      </c>
    </row>
    <row r="16" spans="1:240" ht="13.5">
      <c r="A16" s="126"/>
      <c r="B16" s="758" t="s">
        <v>22</v>
      </c>
      <c r="C16" s="759"/>
      <c r="D16" s="351">
        <v>210545889.32258064</v>
      </c>
      <c r="E16" s="351">
        <v>214977597.60714287</v>
      </c>
      <c r="F16" s="351">
        <v>213164465.45161289</v>
      </c>
      <c r="G16" s="351">
        <v>225470134.08999997</v>
      </c>
      <c r="H16" s="351">
        <v>238083252.74193549</v>
      </c>
      <c r="I16" s="351">
        <v>237532776.38</v>
      </c>
      <c r="J16" s="351">
        <v>228768906.06451613</v>
      </c>
      <c r="K16" s="351">
        <v>208853934.19999999</v>
      </c>
      <c r="L16" s="351">
        <v>188253285.44</v>
      </c>
      <c r="M16" s="351">
        <v>182773215.61290324</v>
      </c>
      <c r="N16" s="351">
        <v>188386084.69999999</v>
      </c>
      <c r="O16" s="351">
        <v>200060720.51612905</v>
      </c>
      <c r="P16" s="351">
        <f>SUM(P17:P23)</f>
        <v>210361355.419231</v>
      </c>
    </row>
    <row r="17" spans="1:240" ht="13.5">
      <c r="A17" s="126"/>
      <c r="B17" s="127"/>
      <c r="C17" s="128" t="s">
        <v>23</v>
      </c>
      <c r="D17" s="350">
        <v>190552998.41935399</v>
      </c>
      <c r="E17" s="350">
        <v>183693337.67857099</v>
      </c>
      <c r="F17" s="350">
        <v>181533989.32258001</v>
      </c>
      <c r="G17" s="350">
        <v>184701881.73333299</v>
      </c>
      <c r="H17" s="350">
        <v>181758393.38709599</v>
      </c>
      <c r="I17" s="350">
        <v>182280088</v>
      </c>
      <c r="J17" s="350">
        <v>183837350.12903199</v>
      </c>
      <c r="K17" s="350">
        <v>177270240.54838699</v>
      </c>
      <c r="L17" s="350">
        <v>171637107.30000001</v>
      </c>
      <c r="M17" s="350">
        <v>170701080.51612899</v>
      </c>
      <c r="N17" s="350">
        <v>189085071.69999999</v>
      </c>
      <c r="O17" s="350">
        <v>200192582.645161</v>
      </c>
      <c r="P17" s="350">
        <f t="shared" ref="P17:P23" si="1">AVERAGE(D17:O17)</f>
        <v>183103676.78163692</v>
      </c>
    </row>
    <row r="18" spans="1:240" ht="13.5">
      <c r="A18" s="126"/>
      <c r="B18" s="127"/>
      <c r="C18" s="134" t="s">
        <v>24</v>
      </c>
      <c r="D18" s="350">
        <v>2782957.903225</v>
      </c>
      <c r="E18" s="350">
        <v>2321740.1428570002</v>
      </c>
      <c r="F18" s="350">
        <v>2115375.967741</v>
      </c>
      <c r="G18" s="350">
        <v>2642764.5666660001</v>
      </c>
      <c r="H18" s="350">
        <v>2373800.7096770001</v>
      </c>
      <c r="I18" s="350">
        <v>2230419.1</v>
      </c>
      <c r="J18" s="350">
        <v>2232554.6129029999</v>
      </c>
      <c r="K18" s="350">
        <v>2065437.16129</v>
      </c>
      <c r="L18" s="350">
        <v>2358959.6</v>
      </c>
      <c r="M18" s="350">
        <v>2103310.3548380001</v>
      </c>
      <c r="N18" s="350">
        <v>1875211.966666</v>
      </c>
      <c r="O18" s="350">
        <v>2063635.6774190001</v>
      </c>
      <c r="P18" s="350">
        <f t="shared" si="1"/>
        <v>2263847.3136068336</v>
      </c>
    </row>
    <row r="19" spans="1:240" ht="14.25" customHeight="1">
      <c r="A19" s="126"/>
      <c r="B19" s="127"/>
      <c r="C19" s="134" t="s">
        <v>25</v>
      </c>
      <c r="D19" s="350">
        <v>7557112.1935480004</v>
      </c>
      <c r="E19" s="350">
        <v>7864284.3928570002</v>
      </c>
      <c r="F19" s="350">
        <v>6875000.6451610001</v>
      </c>
      <c r="G19" s="350">
        <v>6695718.7999999998</v>
      </c>
      <c r="H19" s="350">
        <v>7812749.5806449996</v>
      </c>
      <c r="I19" s="350">
        <v>7624451.7999999998</v>
      </c>
      <c r="J19" s="350">
        <v>7520042.9354830002</v>
      </c>
      <c r="K19" s="350">
        <v>9385709.6774189994</v>
      </c>
      <c r="L19" s="350">
        <v>8000020.966666</v>
      </c>
      <c r="M19" s="350">
        <v>8646673.5806450006</v>
      </c>
      <c r="N19" s="350">
        <v>7990120.0333329998</v>
      </c>
      <c r="O19" s="350">
        <v>8598658.0967740007</v>
      </c>
      <c r="P19" s="350">
        <f t="shared" si="1"/>
        <v>7880878.5585442493</v>
      </c>
    </row>
    <row r="20" spans="1:240" ht="13.5">
      <c r="A20" s="126"/>
      <c r="B20" s="127"/>
      <c r="C20" s="134" t="s">
        <v>26</v>
      </c>
      <c r="D20" s="350">
        <v>12577249.451611999</v>
      </c>
      <c r="E20" s="350">
        <v>11798065.535714</v>
      </c>
      <c r="F20" s="350">
        <v>11802339.387096001</v>
      </c>
      <c r="G20" s="350">
        <v>13020017.166665999</v>
      </c>
      <c r="H20" s="350">
        <v>12864029.548387</v>
      </c>
      <c r="I20" s="350">
        <v>10530547.6</v>
      </c>
      <c r="J20" s="350">
        <v>10562257.548387</v>
      </c>
      <c r="K20" s="350">
        <v>11395313.096774001</v>
      </c>
      <c r="L20" s="350">
        <v>10919392.9</v>
      </c>
      <c r="M20" s="350">
        <v>11642981.354838001</v>
      </c>
      <c r="N20" s="350">
        <v>10873450.433333</v>
      </c>
      <c r="O20" s="350">
        <v>11950493.580645001</v>
      </c>
      <c r="P20" s="350">
        <f t="shared" si="1"/>
        <v>11661344.800287666</v>
      </c>
    </row>
    <row r="21" spans="1:240" ht="13.5">
      <c r="A21" s="126"/>
      <c r="B21" s="127"/>
      <c r="C21" s="134" t="s">
        <v>27</v>
      </c>
      <c r="D21" s="350">
        <v>4724667.7419349998</v>
      </c>
      <c r="E21" s="350">
        <v>4528828.3571420005</v>
      </c>
      <c r="F21" s="350">
        <v>4459637.0322580002</v>
      </c>
      <c r="G21" s="350">
        <v>4388760.4000000004</v>
      </c>
      <c r="H21" s="350">
        <v>4186738.3225799999</v>
      </c>
      <c r="I21" s="350">
        <v>5264596.1333330004</v>
      </c>
      <c r="J21" s="350">
        <v>5032566.4516120004</v>
      </c>
      <c r="K21" s="350">
        <v>5113218.4516120004</v>
      </c>
      <c r="L21" s="350">
        <v>5748725.1666660002</v>
      </c>
      <c r="M21" s="350">
        <v>5909441.5806449996</v>
      </c>
      <c r="N21" s="350">
        <v>6244909.2666659998</v>
      </c>
      <c r="O21" s="350">
        <v>6503298.0322580002</v>
      </c>
      <c r="P21" s="350">
        <f t="shared" si="1"/>
        <v>5175448.9113922501</v>
      </c>
    </row>
    <row r="22" spans="1:240" ht="13.5">
      <c r="A22" s="126"/>
      <c r="B22" s="127"/>
      <c r="C22" s="134" t="s">
        <v>28</v>
      </c>
      <c r="D22" s="350">
        <v>109482.870967</v>
      </c>
      <c r="E22" s="350">
        <v>130589</v>
      </c>
      <c r="F22" s="350">
        <v>135948.67741900001</v>
      </c>
      <c r="G22" s="350">
        <v>133339</v>
      </c>
      <c r="H22" s="350">
        <v>124926.09677400001</v>
      </c>
      <c r="I22" s="350">
        <v>92005.666666000005</v>
      </c>
      <c r="J22" s="350">
        <v>102580.93548299999</v>
      </c>
      <c r="K22" s="350">
        <v>96677.709677000006</v>
      </c>
      <c r="L22" s="350">
        <v>109339</v>
      </c>
      <c r="M22" s="350">
        <v>106839</v>
      </c>
      <c r="N22" s="350">
        <v>109322.333333</v>
      </c>
      <c r="O22" s="350">
        <v>109258.354838</v>
      </c>
      <c r="P22" s="350">
        <f t="shared" si="1"/>
        <v>113359.05376308334</v>
      </c>
    </row>
    <row r="23" spans="1:240" ht="14.1" thickBot="1">
      <c r="A23" s="126"/>
      <c r="B23" s="127"/>
      <c r="C23" s="138" t="s">
        <v>29</v>
      </c>
      <c r="D23" s="350">
        <v>162800</v>
      </c>
      <c r="E23" s="350">
        <v>162800</v>
      </c>
      <c r="F23" s="350">
        <v>162800</v>
      </c>
      <c r="G23" s="350">
        <v>162800</v>
      </c>
      <c r="H23" s="350">
        <v>162800</v>
      </c>
      <c r="I23" s="350">
        <v>162800</v>
      </c>
      <c r="J23" s="350">
        <v>162800</v>
      </c>
      <c r="K23" s="350">
        <v>162800</v>
      </c>
      <c r="L23" s="350">
        <v>162800</v>
      </c>
      <c r="M23" s="350">
        <v>162800</v>
      </c>
      <c r="N23" s="350">
        <v>162800</v>
      </c>
      <c r="O23" s="350">
        <v>162800</v>
      </c>
      <c r="P23" s="350">
        <f t="shared" si="1"/>
        <v>162800</v>
      </c>
    </row>
    <row r="24" spans="1:240" ht="13.5">
      <c r="A24" s="126"/>
      <c r="B24" s="352"/>
      <c r="C24" s="353" t="s">
        <v>30</v>
      </c>
      <c r="D24" s="354">
        <v>1868321.0967741935</v>
      </c>
      <c r="E24" s="354">
        <v>2084420.5</v>
      </c>
      <c r="F24" s="354">
        <v>1825899.6129032257</v>
      </c>
      <c r="G24" s="354">
        <v>1808284.51</v>
      </c>
      <c r="H24" s="354">
        <v>1950302.935483871</v>
      </c>
      <c r="I24" s="354">
        <v>1872309.36</v>
      </c>
      <c r="J24" s="354">
        <v>2890332.5483870967</v>
      </c>
      <c r="K24" s="354">
        <v>2262420.58</v>
      </c>
      <c r="L24" s="354">
        <v>2521225.5</v>
      </c>
      <c r="M24" s="354">
        <v>4106907.5161290322</v>
      </c>
      <c r="N24" s="354">
        <v>4029319.6</v>
      </c>
      <c r="O24" s="354">
        <v>2992011.9032258065</v>
      </c>
      <c r="P24" s="355">
        <f>SUM(P25:P29)</f>
        <v>1536135.9771049167</v>
      </c>
      <c r="Q24" s="356"/>
      <c r="R24" s="356"/>
      <c r="S24" s="356"/>
      <c r="T24" s="356"/>
      <c r="U24" s="356"/>
      <c r="V24" s="356"/>
      <c r="W24" s="356"/>
      <c r="X24" s="356"/>
      <c r="Y24" s="356"/>
      <c r="Z24" s="356"/>
      <c r="AA24" s="356"/>
      <c r="AB24" s="356"/>
      <c r="AC24" s="356"/>
      <c r="AD24" s="356"/>
      <c r="AE24" s="356"/>
      <c r="AF24" s="356"/>
      <c r="AG24" s="356"/>
      <c r="AH24" s="356"/>
      <c r="AI24" s="356"/>
      <c r="AJ24" s="356"/>
      <c r="AK24" s="356"/>
      <c r="AL24" s="356"/>
      <c r="AM24" s="356"/>
      <c r="AN24" s="356"/>
      <c r="AO24" s="356"/>
      <c r="AP24" s="356"/>
      <c r="AQ24" s="356"/>
      <c r="AR24" s="356"/>
      <c r="AS24" s="356"/>
      <c r="AT24" s="356"/>
      <c r="AU24" s="356"/>
      <c r="AV24" s="356"/>
      <c r="AW24" s="356"/>
      <c r="AX24" s="356"/>
      <c r="AY24" s="356"/>
      <c r="AZ24" s="356"/>
      <c r="BA24" s="356"/>
      <c r="BB24" s="356"/>
      <c r="BC24" s="356"/>
      <c r="BD24" s="356"/>
      <c r="BE24" s="356"/>
      <c r="BF24" s="356"/>
      <c r="BG24" s="356"/>
      <c r="BH24" s="356"/>
      <c r="BI24" s="356"/>
      <c r="BJ24" s="356"/>
      <c r="BK24" s="356"/>
      <c r="BL24" s="356"/>
      <c r="BM24" s="356"/>
      <c r="BN24" s="356"/>
      <c r="BO24" s="356"/>
      <c r="BP24" s="356"/>
      <c r="BQ24" s="356"/>
      <c r="BR24" s="356"/>
      <c r="BS24" s="356"/>
      <c r="BT24" s="356"/>
      <c r="BU24" s="356"/>
      <c r="BV24" s="356"/>
      <c r="BW24" s="356"/>
      <c r="BX24" s="356"/>
      <c r="BY24" s="356"/>
      <c r="BZ24" s="356"/>
      <c r="CA24" s="356"/>
      <c r="CB24" s="356"/>
      <c r="CC24" s="356"/>
      <c r="CD24" s="356"/>
      <c r="CE24" s="356"/>
      <c r="CF24" s="356"/>
      <c r="CG24" s="356"/>
      <c r="CH24" s="356"/>
      <c r="CI24" s="356"/>
      <c r="CJ24" s="356"/>
      <c r="CK24" s="356"/>
      <c r="CL24" s="356"/>
      <c r="CM24" s="356"/>
      <c r="CN24" s="356"/>
      <c r="CO24" s="356"/>
      <c r="CP24" s="356"/>
      <c r="CQ24" s="356"/>
      <c r="CR24" s="356"/>
      <c r="CS24" s="356"/>
      <c r="CT24" s="356"/>
      <c r="CU24" s="356"/>
      <c r="CV24" s="356"/>
      <c r="CW24" s="356"/>
      <c r="CX24" s="356"/>
      <c r="CY24" s="356"/>
      <c r="CZ24" s="356"/>
      <c r="DA24" s="356"/>
      <c r="DB24" s="356"/>
      <c r="DC24" s="356"/>
      <c r="DD24" s="356"/>
      <c r="DE24" s="356"/>
      <c r="DF24" s="356"/>
      <c r="DG24" s="356"/>
      <c r="DH24" s="356"/>
      <c r="DI24" s="356"/>
      <c r="DJ24" s="356"/>
      <c r="DK24" s="356"/>
      <c r="DL24" s="356"/>
      <c r="DM24" s="356"/>
      <c r="DN24" s="356"/>
      <c r="DO24" s="356"/>
      <c r="DP24" s="356"/>
      <c r="DQ24" s="356"/>
      <c r="DR24" s="356"/>
      <c r="DS24" s="356"/>
      <c r="DT24" s="356"/>
      <c r="DU24" s="356"/>
      <c r="DV24" s="356"/>
      <c r="DW24" s="356"/>
      <c r="DX24" s="356"/>
      <c r="DY24" s="356"/>
      <c r="DZ24" s="356"/>
      <c r="EA24" s="356"/>
      <c r="EB24" s="356"/>
      <c r="EC24" s="356"/>
      <c r="ED24" s="356"/>
      <c r="EE24" s="356"/>
      <c r="EF24" s="356"/>
      <c r="EG24" s="356"/>
      <c r="EH24" s="356"/>
      <c r="EI24" s="356"/>
      <c r="EJ24" s="356"/>
      <c r="EK24" s="356"/>
      <c r="EL24" s="356"/>
      <c r="EM24" s="356"/>
      <c r="EN24" s="356"/>
      <c r="EO24" s="356"/>
      <c r="EP24" s="356"/>
      <c r="EQ24" s="356"/>
      <c r="ER24" s="356"/>
      <c r="ES24" s="356"/>
      <c r="ET24" s="356"/>
      <c r="EU24" s="356"/>
      <c r="EV24" s="356"/>
      <c r="EW24" s="356"/>
      <c r="EX24" s="356"/>
      <c r="EY24" s="356"/>
      <c r="EZ24" s="356"/>
      <c r="FA24" s="356"/>
      <c r="FB24" s="356"/>
      <c r="FC24" s="356"/>
      <c r="FD24" s="356"/>
      <c r="FE24" s="356"/>
      <c r="FF24" s="356"/>
      <c r="FG24" s="356"/>
      <c r="FH24" s="356"/>
      <c r="FI24" s="356"/>
      <c r="FJ24" s="356"/>
      <c r="FK24" s="356"/>
      <c r="FL24" s="356"/>
      <c r="FM24" s="356"/>
      <c r="FN24" s="356"/>
      <c r="FO24" s="356"/>
      <c r="FP24" s="356"/>
      <c r="FQ24" s="356"/>
      <c r="FR24" s="356"/>
      <c r="FS24" s="356"/>
      <c r="FT24" s="356"/>
      <c r="FU24" s="356"/>
      <c r="FV24" s="356"/>
      <c r="FW24" s="356"/>
      <c r="FX24" s="356"/>
      <c r="FY24" s="356"/>
      <c r="FZ24" s="356"/>
      <c r="GA24" s="356"/>
      <c r="GB24" s="356"/>
      <c r="GC24" s="356"/>
      <c r="GD24" s="356"/>
      <c r="GE24" s="356"/>
      <c r="GF24" s="356"/>
      <c r="GG24" s="356"/>
      <c r="GH24" s="356"/>
      <c r="GI24" s="356"/>
      <c r="GJ24" s="356"/>
      <c r="GK24" s="356"/>
      <c r="GL24" s="356"/>
      <c r="GM24" s="356"/>
      <c r="GN24" s="356"/>
      <c r="GO24" s="356"/>
      <c r="GP24" s="356"/>
      <c r="GQ24" s="356"/>
      <c r="GR24" s="356"/>
      <c r="GS24" s="356"/>
      <c r="GT24" s="356"/>
      <c r="GU24" s="356"/>
      <c r="GV24" s="356"/>
      <c r="GW24" s="356"/>
      <c r="GX24" s="356"/>
      <c r="GY24" s="356"/>
      <c r="GZ24" s="356"/>
      <c r="HA24" s="356"/>
      <c r="HB24" s="356"/>
      <c r="HC24" s="356"/>
      <c r="HD24" s="356"/>
      <c r="HE24" s="356"/>
      <c r="HF24" s="356"/>
      <c r="HG24" s="356"/>
      <c r="HH24" s="356"/>
      <c r="HI24" s="356"/>
      <c r="HJ24" s="356"/>
      <c r="HK24" s="356"/>
      <c r="HL24" s="356"/>
      <c r="HM24" s="356"/>
      <c r="HN24" s="356"/>
      <c r="HO24" s="356"/>
      <c r="HP24" s="356"/>
      <c r="HQ24" s="356"/>
      <c r="HR24" s="356"/>
      <c r="HS24" s="356"/>
      <c r="HT24" s="356"/>
      <c r="HU24" s="356"/>
      <c r="HV24" s="356"/>
      <c r="HW24" s="356"/>
      <c r="HX24" s="356"/>
      <c r="HY24" s="356"/>
      <c r="HZ24" s="356"/>
      <c r="IA24" s="356"/>
      <c r="IB24" s="356"/>
      <c r="IC24" s="356"/>
      <c r="ID24" s="356"/>
      <c r="IE24" s="356"/>
      <c r="IF24" s="356"/>
    </row>
    <row r="25" spans="1:240" s="122" customFormat="1" ht="13.5">
      <c r="A25" s="126"/>
      <c r="B25" s="254"/>
      <c r="C25" s="233" t="s">
        <v>267</v>
      </c>
      <c r="D25" s="357">
        <v>161176</v>
      </c>
      <c r="E25" s="358">
        <v>161176</v>
      </c>
      <c r="F25" s="359">
        <v>161176</v>
      </c>
      <c r="G25" s="360">
        <v>161176</v>
      </c>
      <c r="H25" s="361">
        <v>161176</v>
      </c>
      <c r="I25" s="362">
        <v>161176</v>
      </c>
      <c r="J25" s="362">
        <v>161176</v>
      </c>
      <c r="K25" s="362">
        <v>161176</v>
      </c>
      <c r="L25" s="362">
        <v>161176</v>
      </c>
      <c r="M25" s="362">
        <v>161176</v>
      </c>
      <c r="N25" s="362">
        <v>161176</v>
      </c>
      <c r="O25" s="362">
        <v>161176</v>
      </c>
      <c r="P25" s="363">
        <f t="shared" ref="P25:P33" si="2">AVERAGE(D25:O25)</f>
        <v>161176</v>
      </c>
      <c r="Q25" s="356"/>
      <c r="R25" s="356"/>
      <c r="S25" s="356"/>
      <c r="T25" s="356"/>
      <c r="U25" s="356"/>
      <c r="V25" s="356"/>
      <c r="W25" s="356"/>
      <c r="X25" s="356"/>
      <c r="Y25" s="356"/>
      <c r="Z25" s="356"/>
      <c r="AA25" s="356"/>
      <c r="AB25" s="356"/>
      <c r="AC25" s="356"/>
      <c r="AD25" s="356"/>
      <c r="AE25" s="356"/>
      <c r="AF25" s="356"/>
      <c r="AG25" s="356"/>
      <c r="AH25" s="356"/>
      <c r="AI25" s="356"/>
      <c r="AJ25" s="356"/>
      <c r="AK25" s="356"/>
      <c r="AL25" s="356"/>
      <c r="AM25" s="356"/>
      <c r="AN25" s="356"/>
      <c r="AO25" s="356"/>
      <c r="AP25" s="356"/>
      <c r="AQ25" s="356"/>
      <c r="AR25" s="356"/>
      <c r="AS25" s="356"/>
      <c r="AT25" s="356"/>
      <c r="AU25" s="356"/>
      <c r="AV25" s="356"/>
      <c r="AW25" s="356"/>
      <c r="AX25" s="356"/>
      <c r="AY25" s="356"/>
      <c r="AZ25" s="356"/>
      <c r="BA25" s="356"/>
      <c r="BB25" s="356"/>
      <c r="BC25" s="356"/>
      <c r="BD25" s="356"/>
      <c r="BE25" s="356"/>
      <c r="BF25" s="356"/>
      <c r="BG25" s="356"/>
      <c r="BH25" s="356"/>
      <c r="BI25" s="356"/>
      <c r="BJ25" s="356"/>
      <c r="BK25" s="356"/>
      <c r="BL25" s="356"/>
      <c r="BM25" s="356"/>
      <c r="BN25" s="356"/>
      <c r="BO25" s="356"/>
      <c r="BP25" s="356"/>
      <c r="BQ25" s="356"/>
      <c r="BR25" s="356"/>
      <c r="BS25" s="356"/>
      <c r="BT25" s="356"/>
      <c r="BU25" s="356"/>
      <c r="BV25" s="356"/>
      <c r="BW25" s="356"/>
      <c r="BX25" s="356"/>
      <c r="BY25" s="356"/>
      <c r="BZ25" s="356"/>
      <c r="CA25" s="356"/>
      <c r="CB25" s="356"/>
      <c r="CC25" s="356"/>
      <c r="CD25" s="356"/>
      <c r="CE25" s="356"/>
      <c r="CF25" s="356"/>
      <c r="CG25" s="356"/>
      <c r="CH25" s="356"/>
      <c r="CI25" s="356"/>
      <c r="CJ25" s="356"/>
      <c r="CK25" s="356"/>
      <c r="CL25" s="356"/>
      <c r="CM25" s="356"/>
      <c r="CN25" s="356"/>
      <c r="CO25" s="356"/>
      <c r="CP25" s="356"/>
      <c r="CQ25" s="356"/>
      <c r="CR25" s="356"/>
      <c r="CS25" s="356"/>
      <c r="CT25" s="356"/>
      <c r="CU25" s="356"/>
      <c r="CV25" s="356"/>
      <c r="CW25" s="356"/>
      <c r="CX25" s="356"/>
      <c r="CY25" s="356"/>
      <c r="CZ25" s="356"/>
      <c r="DA25" s="356"/>
      <c r="DB25" s="356"/>
      <c r="DC25" s="356"/>
      <c r="DD25" s="356"/>
      <c r="DE25" s="356"/>
      <c r="DF25" s="356"/>
      <c r="DG25" s="356"/>
      <c r="DH25" s="356"/>
      <c r="DI25" s="356"/>
      <c r="DJ25" s="356"/>
      <c r="DK25" s="356"/>
      <c r="DL25" s="356"/>
      <c r="DM25" s="356"/>
      <c r="DN25" s="356"/>
      <c r="DO25" s="356"/>
      <c r="DP25" s="356"/>
      <c r="DQ25" s="356"/>
      <c r="DR25" s="356"/>
      <c r="DS25" s="356"/>
      <c r="DT25" s="356"/>
      <c r="DU25" s="356"/>
      <c r="DV25" s="356"/>
      <c r="DW25" s="356"/>
      <c r="DX25" s="356"/>
      <c r="DY25" s="356"/>
      <c r="DZ25" s="356"/>
      <c r="EA25" s="356"/>
      <c r="EB25" s="356"/>
      <c r="EC25" s="356"/>
      <c r="ED25" s="356"/>
      <c r="EE25" s="356"/>
      <c r="EF25" s="356"/>
      <c r="EG25" s="356"/>
      <c r="EH25" s="356"/>
      <c r="EI25" s="356"/>
      <c r="EJ25" s="356"/>
      <c r="EK25" s="356"/>
      <c r="EL25" s="356"/>
      <c r="EM25" s="356"/>
      <c r="EN25" s="356"/>
      <c r="EO25" s="356"/>
      <c r="EP25" s="356"/>
      <c r="EQ25" s="356"/>
      <c r="ER25" s="356"/>
      <c r="ES25" s="356"/>
      <c r="ET25" s="356"/>
      <c r="EU25" s="356"/>
      <c r="EV25" s="356"/>
      <c r="EW25" s="356"/>
      <c r="EX25" s="356"/>
      <c r="EY25" s="356"/>
      <c r="EZ25" s="356"/>
      <c r="FA25" s="356"/>
      <c r="FB25" s="356"/>
      <c r="FC25" s="356"/>
      <c r="FD25" s="356"/>
      <c r="FE25" s="356"/>
      <c r="FF25" s="356"/>
      <c r="FG25" s="356"/>
      <c r="FH25" s="356"/>
      <c r="FI25" s="356"/>
      <c r="FJ25" s="356"/>
      <c r="FK25" s="356"/>
      <c r="FL25" s="356"/>
      <c r="FM25" s="356"/>
      <c r="FN25" s="356"/>
      <c r="FO25" s="356"/>
      <c r="FP25" s="356"/>
      <c r="FQ25" s="356"/>
      <c r="FR25" s="356"/>
      <c r="FS25" s="356"/>
      <c r="FT25" s="356"/>
      <c r="FU25" s="356"/>
      <c r="FV25" s="356"/>
      <c r="FW25" s="356"/>
      <c r="FX25" s="356"/>
      <c r="FY25" s="356"/>
      <c r="FZ25" s="356"/>
      <c r="GA25" s="356"/>
      <c r="GB25" s="356"/>
      <c r="GC25" s="356"/>
      <c r="GD25" s="356"/>
      <c r="GE25" s="356"/>
      <c r="GF25" s="356"/>
      <c r="GG25" s="356"/>
      <c r="GH25" s="356"/>
      <c r="GI25" s="356"/>
      <c r="GJ25" s="356"/>
      <c r="GK25" s="356"/>
      <c r="GL25" s="356"/>
      <c r="GM25" s="356"/>
      <c r="GN25" s="356"/>
      <c r="GO25" s="356"/>
      <c r="GP25" s="356"/>
      <c r="GQ25" s="356"/>
      <c r="GR25" s="356"/>
      <c r="GS25" s="356"/>
      <c r="GT25" s="356"/>
      <c r="GU25" s="356"/>
      <c r="GV25" s="356"/>
      <c r="GW25" s="356"/>
      <c r="GX25" s="356"/>
      <c r="GY25" s="356"/>
      <c r="GZ25" s="356"/>
      <c r="HA25" s="356"/>
      <c r="HB25" s="356"/>
      <c r="HC25" s="356"/>
      <c r="HD25" s="356"/>
      <c r="HE25" s="356"/>
      <c r="HF25" s="356"/>
      <c r="HG25" s="356"/>
      <c r="HH25" s="356"/>
      <c r="HI25" s="356"/>
      <c r="HJ25" s="356"/>
      <c r="HK25" s="356"/>
      <c r="HL25" s="356"/>
      <c r="HM25" s="356"/>
      <c r="HN25" s="356"/>
      <c r="HO25" s="356"/>
      <c r="HP25" s="356"/>
      <c r="HQ25" s="356"/>
      <c r="HR25" s="356"/>
      <c r="HS25" s="356"/>
      <c r="HT25" s="356"/>
      <c r="HU25" s="356"/>
      <c r="HV25" s="356"/>
      <c r="HW25" s="356"/>
      <c r="HX25" s="356"/>
      <c r="HY25" s="356"/>
      <c r="HZ25" s="356"/>
      <c r="IA25" s="356"/>
      <c r="IB25" s="356"/>
      <c r="IC25" s="356"/>
      <c r="ID25" s="356"/>
      <c r="IE25" s="356"/>
      <c r="IF25" s="356"/>
    </row>
    <row r="26" spans="1:240" ht="13.5">
      <c r="A26" s="126"/>
      <c r="B26" s="254"/>
      <c r="C26" s="134" t="s">
        <v>268</v>
      </c>
      <c r="D26" s="357">
        <v>122787.419354</v>
      </c>
      <c r="E26" s="358">
        <v>123839.285714</v>
      </c>
      <c r="F26" s="359">
        <v>135205.48387</v>
      </c>
      <c r="G26" s="360">
        <v>128162.8</v>
      </c>
      <c r="H26" s="361">
        <v>173744.451612</v>
      </c>
      <c r="I26" s="362">
        <v>166891.6</v>
      </c>
      <c r="J26" s="362">
        <v>110889.225806</v>
      </c>
      <c r="K26" s="362">
        <v>104188.58064499999</v>
      </c>
      <c r="L26" s="362">
        <v>133078</v>
      </c>
      <c r="M26" s="362">
        <v>109341.225806</v>
      </c>
      <c r="N26" s="362">
        <v>117466.8</v>
      </c>
      <c r="O26" s="362">
        <v>90548.064515999999</v>
      </c>
      <c r="P26" s="363">
        <f t="shared" si="2"/>
        <v>126345.24477691668</v>
      </c>
      <c r="Q26" s="356"/>
      <c r="R26" s="356"/>
      <c r="S26" s="356"/>
      <c r="T26" s="356"/>
      <c r="U26" s="356"/>
      <c r="V26" s="356"/>
      <c r="W26" s="356"/>
      <c r="X26" s="356"/>
      <c r="Y26" s="356"/>
      <c r="Z26" s="356"/>
      <c r="AA26" s="356"/>
      <c r="AB26" s="356"/>
      <c r="AC26" s="356"/>
      <c r="AD26" s="356"/>
      <c r="AE26" s="356"/>
      <c r="AF26" s="356"/>
      <c r="AG26" s="356"/>
      <c r="AH26" s="356"/>
      <c r="AI26" s="356"/>
      <c r="AJ26" s="356"/>
      <c r="AK26" s="356"/>
      <c r="AL26" s="356"/>
      <c r="AM26" s="356"/>
      <c r="AN26" s="356"/>
      <c r="AO26" s="356"/>
      <c r="AP26" s="356"/>
      <c r="AQ26" s="356"/>
      <c r="AR26" s="356"/>
      <c r="AS26" s="356"/>
      <c r="AT26" s="356"/>
      <c r="AU26" s="356"/>
      <c r="AV26" s="356"/>
      <c r="AW26" s="356"/>
      <c r="AX26" s="356"/>
      <c r="AY26" s="356"/>
      <c r="AZ26" s="356"/>
      <c r="BA26" s="356"/>
      <c r="BB26" s="356"/>
      <c r="BC26" s="356"/>
      <c r="BD26" s="356"/>
      <c r="BE26" s="356"/>
      <c r="BF26" s="356"/>
      <c r="BG26" s="356"/>
      <c r="BH26" s="356"/>
      <c r="BI26" s="356"/>
      <c r="BJ26" s="356"/>
      <c r="BK26" s="356"/>
      <c r="BL26" s="356"/>
      <c r="BM26" s="356"/>
      <c r="BN26" s="356"/>
      <c r="BO26" s="356"/>
      <c r="BP26" s="356"/>
      <c r="BQ26" s="356"/>
      <c r="BR26" s="356"/>
      <c r="BS26" s="356"/>
      <c r="BT26" s="356"/>
      <c r="BU26" s="356"/>
      <c r="BV26" s="356"/>
      <c r="BW26" s="356"/>
      <c r="BX26" s="356"/>
      <c r="BY26" s="356"/>
      <c r="BZ26" s="356"/>
      <c r="CA26" s="356"/>
      <c r="CB26" s="356"/>
      <c r="CC26" s="356"/>
      <c r="CD26" s="356"/>
      <c r="CE26" s="356"/>
      <c r="CF26" s="356"/>
      <c r="CG26" s="356"/>
      <c r="CH26" s="356"/>
      <c r="CI26" s="356"/>
      <c r="CJ26" s="356"/>
      <c r="CK26" s="356"/>
      <c r="CL26" s="356"/>
      <c r="CM26" s="356"/>
      <c r="CN26" s="356"/>
      <c r="CO26" s="356"/>
      <c r="CP26" s="356"/>
      <c r="CQ26" s="356"/>
      <c r="CR26" s="356"/>
      <c r="CS26" s="356"/>
      <c r="CT26" s="356"/>
      <c r="CU26" s="356"/>
      <c r="CV26" s="356"/>
      <c r="CW26" s="356"/>
      <c r="CX26" s="356"/>
      <c r="CY26" s="356"/>
      <c r="CZ26" s="356"/>
      <c r="DA26" s="356"/>
      <c r="DB26" s="356"/>
      <c r="DC26" s="356"/>
      <c r="DD26" s="356"/>
      <c r="DE26" s="356"/>
      <c r="DF26" s="356"/>
      <c r="DG26" s="356"/>
      <c r="DH26" s="356"/>
      <c r="DI26" s="356"/>
      <c r="DJ26" s="356"/>
      <c r="DK26" s="356"/>
      <c r="DL26" s="356"/>
      <c r="DM26" s="356"/>
      <c r="DN26" s="356"/>
      <c r="DO26" s="356"/>
      <c r="DP26" s="356"/>
      <c r="DQ26" s="356"/>
      <c r="DR26" s="356"/>
      <c r="DS26" s="356"/>
      <c r="DT26" s="356"/>
      <c r="DU26" s="356"/>
      <c r="DV26" s="356"/>
      <c r="DW26" s="356"/>
      <c r="DX26" s="356"/>
      <c r="DY26" s="356"/>
      <c r="DZ26" s="356"/>
      <c r="EA26" s="356"/>
      <c r="EB26" s="356"/>
      <c r="EC26" s="356"/>
      <c r="ED26" s="356"/>
      <c r="EE26" s="356"/>
      <c r="EF26" s="356"/>
      <c r="EG26" s="356"/>
      <c r="EH26" s="356"/>
      <c r="EI26" s="356"/>
      <c r="EJ26" s="356"/>
      <c r="EK26" s="356"/>
      <c r="EL26" s="356"/>
      <c r="EM26" s="356"/>
      <c r="EN26" s="356"/>
      <c r="EO26" s="356"/>
      <c r="EP26" s="356"/>
      <c r="EQ26" s="356"/>
      <c r="ER26" s="356"/>
      <c r="ES26" s="356"/>
      <c r="ET26" s="356"/>
      <c r="EU26" s="356"/>
      <c r="EV26" s="356"/>
      <c r="EW26" s="356"/>
      <c r="EX26" s="356"/>
      <c r="EY26" s="356"/>
      <c r="EZ26" s="356"/>
      <c r="FA26" s="356"/>
      <c r="FB26" s="356"/>
      <c r="FC26" s="356"/>
      <c r="FD26" s="356"/>
      <c r="FE26" s="356"/>
      <c r="FF26" s="356"/>
      <c r="FG26" s="356"/>
      <c r="FH26" s="356"/>
      <c r="FI26" s="356"/>
      <c r="FJ26" s="356"/>
      <c r="FK26" s="356"/>
      <c r="FL26" s="356"/>
      <c r="FM26" s="356"/>
      <c r="FN26" s="356"/>
      <c r="FO26" s="356"/>
      <c r="FP26" s="356"/>
      <c r="FQ26" s="356"/>
      <c r="FR26" s="356"/>
      <c r="FS26" s="356"/>
      <c r="FT26" s="356"/>
      <c r="FU26" s="356"/>
      <c r="FV26" s="356"/>
      <c r="FW26" s="356"/>
      <c r="FX26" s="356"/>
      <c r="FY26" s="356"/>
      <c r="FZ26" s="356"/>
      <c r="GA26" s="356"/>
      <c r="GB26" s="356"/>
      <c r="GC26" s="356"/>
      <c r="GD26" s="356"/>
      <c r="GE26" s="356"/>
      <c r="GF26" s="356"/>
      <c r="GG26" s="356"/>
      <c r="GH26" s="356"/>
      <c r="GI26" s="356"/>
      <c r="GJ26" s="356"/>
      <c r="GK26" s="356"/>
      <c r="GL26" s="356"/>
      <c r="GM26" s="356"/>
      <c r="GN26" s="356"/>
      <c r="GO26" s="356"/>
      <c r="GP26" s="356"/>
      <c r="GQ26" s="356"/>
      <c r="GR26" s="356"/>
      <c r="GS26" s="356"/>
      <c r="GT26" s="356"/>
      <c r="GU26" s="356"/>
      <c r="GV26" s="356"/>
      <c r="GW26" s="356"/>
      <c r="GX26" s="356"/>
      <c r="GY26" s="356"/>
      <c r="GZ26" s="356"/>
      <c r="HA26" s="356"/>
      <c r="HB26" s="356"/>
      <c r="HC26" s="356"/>
      <c r="HD26" s="356"/>
      <c r="HE26" s="356"/>
      <c r="HF26" s="356"/>
      <c r="HG26" s="356"/>
      <c r="HH26" s="356"/>
      <c r="HI26" s="356"/>
      <c r="HJ26" s="356"/>
      <c r="HK26" s="356"/>
      <c r="HL26" s="356"/>
      <c r="HM26" s="356"/>
      <c r="HN26" s="356"/>
      <c r="HO26" s="356"/>
      <c r="HP26" s="356"/>
      <c r="HQ26" s="356"/>
      <c r="HR26" s="356"/>
      <c r="HS26" s="356"/>
      <c r="HT26" s="356"/>
      <c r="HU26" s="356"/>
      <c r="HV26" s="356"/>
      <c r="HW26" s="356"/>
      <c r="HX26" s="356"/>
      <c r="HY26" s="356"/>
      <c r="HZ26" s="356"/>
      <c r="IA26" s="356"/>
      <c r="IB26" s="356"/>
      <c r="IC26" s="356"/>
      <c r="ID26" s="356"/>
      <c r="IE26" s="356"/>
      <c r="IF26" s="356"/>
    </row>
    <row r="27" spans="1:240" ht="13.5">
      <c r="A27" s="126"/>
      <c r="B27" s="254"/>
      <c r="C27" s="134" t="s">
        <v>269</v>
      </c>
      <c r="D27" s="357">
        <v>0</v>
      </c>
      <c r="E27" s="358">
        <v>0</v>
      </c>
      <c r="F27" s="359">
        <v>0</v>
      </c>
      <c r="G27" s="360">
        <v>0</v>
      </c>
      <c r="H27" s="361">
        <v>0</v>
      </c>
      <c r="I27" s="362">
        <v>0</v>
      </c>
      <c r="J27" s="362">
        <v>0</v>
      </c>
      <c r="K27" s="362">
        <v>0</v>
      </c>
      <c r="L27" s="362">
        <v>0</v>
      </c>
      <c r="M27" s="362">
        <v>0</v>
      </c>
      <c r="N27" s="362">
        <v>0</v>
      </c>
      <c r="O27" s="362">
        <v>0</v>
      </c>
      <c r="P27" s="363">
        <f>AVERAGE(D27:O27)</f>
        <v>0</v>
      </c>
      <c r="Q27" s="356"/>
      <c r="R27" s="356"/>
      <c r="S27" s="356"/>
      <c r="T27" s="356"/>
      <c r="U27" s="356"/>
      <c r="V27" s="356"/>
      <c r="W27" s="356"/>
      <c r="X27" s="356"/>
      <c r="Y27" s="356"/>
      <c r="Z27" s="356"/>
      <c r="AA27" s="356"/>
      <c r="AB27" s="356"/>
      <c r="AC27" s="356"/>
      <c r="AD27" s="356"/>
      <c r="AE27" s="356"/>
      <c r="AF27" s="356"/>
      <c r="AG27" s="356"/>
      <c r="AH27" s="356"/>
      <c r="AI27" s="356"/>
      <c r="AJ27" s="356"/>
      <c r="AK27" s="356"/>
      <c r="AL27" s="356"/>
      <c r="AM27" s="356"/>
      <c r="AN27" s="356"/>
      <c r="AO27" s="356"/>
      <c r="AP27" s="356"/>
      <c r="AQ27" s="356"/>
      <c r="AR27" s="356"/>
      <c r="AS27" s="356"/>
      <c r="AT27" s="356"/>
      <c r="AU27" s="356"/>
      <c r="AV27" s="356"/>
      <c r="AW27" s="356"/>
      <c r="AX27" s="356"/>
      <c r="AY27" s="356"/>
      <c r="AZ27" s="356"/>
      <c r="BA27" s="356"/>
      <c r="BB27" s="356"/>
      <c r="BC27" s="356"/>
      <c r="BD27" s="356"/>
      <c r="BE27" s="356"/>
      <c r="BF27" s="356"/>
      <c r="BG27" s="356"/>
      <c r="BH27" s="356"/>
      <c r="BI27" s="356"/>
      <c r="BJ27" s="356"/>
      <c r="BK27" s="356"/>
      <c r="BL27" s="356"/>
      <c r="BM27" s="356"/>
      <c r="BN27" s="356"/>
      <c r="BO27" s="356"/>
      <c r="BP27" s="356"/>
      <c r="BQ27" s="356"/>
      <c r="BR27" s="356"/>
      <c r="BS27" s="356"/>
      <c r="BT27" s="356"/>
      <c r="BU27" s="356"/>
      <c r="BV27" s="356"/>
      <c r="BW27" s="356"/>
      <c r="BX27" s="356"/>
      <c r="BY27" s="356"/>
      <c r="BZ27" s="356"/>
      <c r="CA27" s="356"/>
      <c r="CB27" s="356"/>
      <c r="CC27" s="356"/>
      <c r="CD27" s="356"/>
      <c r="CE27" s="356"/>
      <c r="CF27" s="356"/>
      <c r="CG27" s="356"/>
      <c r="CH27" s="356"/>
      <c r="CI27" s="356"/>
      <c r="CJ27" s="356"/>
      <c r="CK27" s="356"/>
      <c r="CL27" s="356"/>
      <c r="CM27" s="356"/>
      <c r="CN27" s="356"/>
      <c r="CO27" s="356"/>
      <c r="CP27" s="356"/>
      <c r="CQ27" s="356"/>
      <c r="CR27" s="356"/>
      <c r="CS27" s="356"/>
      <c r="CT27" s="356"/>
      <c r="CU27" s="356"/>
      <c r="CV27" s="356"/>
      <c r="CW27" s="356"/>
      <c r="CX27" s="356"/>
      <c r="CY27" s="356"/>
      <c r="CZ27" s="356"/>
      <c r="DA27" s="356"/>
      <c r="DB27" s="356"/>
      <c r="DC27" s="356"/>
      <c r="DD27" s="356"/>
      <c r="DE27" s="356"/>
      <c r="DF27" s="356"/>
      <c r="DG27" s="356"/>
      <c r="DH27" s="356"/>
      <c r="DI27" s="356"/>
      <c r="DJ27" s="356"/>
      <c r="DK27" s="356"/>
      <c r="DL27" s="356"/>
      <c r="DM27" s="356"/>
      <c r="DN27" s="356"/>
      <c r="DO27" s="356"/>
      <c r="DP27" s="356"/>
      <c r="DQ27" s="356"/>
      <c r="DR27" s="356"/>
      <c r="DS27" s="356"/>
      <c r="DT27" s="356"/>
      <c r="DU27" s="356"/>
      <c r="DV27" s="356"/>
      <c r="DW27" s="356"/>
      <c r="DX27" s="356"/>
      <c r="DY27" s="356"/>
      <c r="DZ27" s="356"/>
      <c r="EA27" s="356"/>
      <c r="EB27" s="356"/>
      <c r="EC27" s="356"/>
      <c r="ED27" s="356"/>
      <c r="EE27" s="356"/>
      <c r="EF27" s="356"/>
      <c r="EG27" s="356"/>
      <c r="EH27" s="356"/>
      <c r="EI27" s="356"/>
      <c r="EJ27" s="356"/>
      <c r="EK27" s="356"/>
      <c r="EL27" s="356"/>
      <c r="EM27" s="356"/>
      <c r="EN27" s="356"/>
      <c r="EO27" s="356"/>
      <c r="EP27" s="356"/>
      <c r="EQ27" s="356"/>
      <c r="ER27" s="356"/>
      <c r="ES27" s="356"/>
      <c r="ET27" s="356"/>
      <c r="EU27" s="356"/>
      <c r="EV27" s="356"/>
      <c r="EW27" s="356"/>
      <c r="EX27" s="356"/>
      <c r="EY27" s="356"/>
      <c r="EZ27" s="356"/>
      <c r="FA27" s="356"/>
      <c r="FB27" s="356"/>
      <c r="FC27" s="356"/>
      <c r="FD27" s="356"/>
      <c r="FE27" s="356"/>
      <c r="FF27" s="356"/>
      <c r="FG27" s="356"/>
      <c r="FH27" s="356"/>
      <c r="FI27" s="356"/>
      <c r="FJ27" s="356"/>
      <c r="FK27" s="356"/>
      <c r="FL27" s="356"/>
      <c r="FM27" s="356"/>
      <c r="FN27" s="356"/>
      <c r="FO27" s="356"/>
      <c r="FP27" s="356"/>
      <c r="FQ27" s="356"/>
      <c r="FR27" s="356"/>
      <c r="FS27" s="356"/>
      <c r="FT27" s="356"/>
      <c r="FU27" s="356"/>
      <c r="FV27" s="356"/>
      <c r="FW27" s="356"/>
      <c r="FX27" s="356"/>
      <c r="FY27" s="356"/>
      <c r="FZ27" s="356"/>
      <c r="GA27" s="356"/>
      <c r="GB27" s="356"/>
      <c r="GC27" s="356"/>
      <c r="GD27" s="356"/>
      <c r="GE27" s="356"/>
      <c r="GF27" s="356"/>
      <c r="GG27" s="356"/>
      <c r="GH27" s="356"/>
      <c r="GI27" s="356"/>
      <c r="GJ27" s="356"/>
      <c r="GK27" s="356"/>
      <c r="GL27" s="356"/>
      <c r="GM27" s="356"/>
      <c r="GN27" s="356"/>
      <c r="GO27" s="356"/>
      <c r="GP27" s="356"/>
      <c r="GQ27" s="356"/>
      <c r="GR27" s="356"/>
      <c r="GS27" s="356"/>
      <c r="GT27" s="356"/>
      <c r="GU27" s="356"/>
      <c r="GV27" s="356"/>
      <c r="GW27" s="356"/>
      <c r="GX27" s="356"/>
      <c r="GY27" s="356"/>
      <c r="GZ27" s="356"/>
      <c r="HA27" s="356"/>
      <c r="HB27" s="356"/>
      <c r="HC27" s="356"/>
      <c r="HD27" s="356"/>
      <c r="HE27" s="356"/>
      <c r="HF27" s="356"/>
      <c r="HG27" s="356"/>
      <c r="HH27" s="356"/>
      <c r="HI27" s="356"/>
      <c r="HJ27" s="356"/>
      <c r="HK27" s="356"/>
      <c r="HL27" s="356"/>
      <c r="HM27" s="356"/>
      <c r="HN27" s="356"/>
      <c r="HO27" s="356"/>
      <c r="HP27" s="356"/>
      <c r="HQ27" s="356"/>
      <c r="HR27" s="356"/>
      <c r="HS27" s="356"/>
      <c r="HT27" s="356"/>
      <c r="HU27" s="356"/>
      <c r="HV27" s="356"/>
      <c r="HW27" s="356"/>
      <c r="HX27" s="356"/>
      <c r="HY27" s="356"/>
      <c r="HZ27" s="356"/>
      <c r="IA27" s="356"/>
      <c r="IB27" s="356"/>
      <c r="IC27" s="356"/>
      <c r="ID27" s="356"/>
      <c r="IE27" s="356"/>
      <c r="IF27" s="356"/>
    </row>
    <row r="28" spans="1:240" ht="13.5">
      <c r="A28" s="126"/>
      <c r="B28" s="254"/>
      <c r="C28" s="134" t="s">
        <v>270</v>
      </c>
      <c r="D28" s="357">
        <v>0</v>
      </c>
      <c r="E28" s="358">
        <v>0</v>
      </c>
      <c r="F28" s="364">
        <v>0</v>
      </c>
      <c r="G28" s="365">
        <v>0</v>
      </c>
      <c r="H28" s="366">
        <v>0</v>
      </c>
      <c r="I28" s="367">
        <v>0</v>
      </c>
      <c r="J28" s="367">
        <v>0</v>
      </c>
      <c r="K28" s="367">
        <v>0</v>
      </c>
      <c r="L28" s="367">
        <v>0</v>
      </c>
      <c r="M28" s="367">
        <v>0</v>
      </c>
      <c r="N28" s="367">
        <v>0</v>
      </c>
      <c r="O28" s="367">
        <v>0</v>
      </c>
      <c r="P28" s="363">
        <f>AVERAGE(D28:O28)</f>
        <v>0</v>
      </c>
      <c r="Q28" s="356"/>
      <c r="R28" s="356"/>
      <c r="S28" s="356"/>
      <c r="T28" s="356"/>
      <c r="U28" s="356"/>
      <c r="V28" s="356"/>
      <c r="W28" s="356"/>
      <c r="X28" s="356"/>
      <c r="Y28" s="356"/>
      <c r="Z28" s="356"/>
      <c r="AA28" s="356"/>
      <c r="AB28" s="356"/>
      <c r="AC28" s="356"/>
      <c r="AD28" s="356"/>
      <c r="AE28" s="356"/>
      <c r="AF28" s="356"/>
      <c r="AG28" s="356"/>
      <c r="AH28" s="356"/>
      <c r="AI28" s="356"/>
      <c r="AJ28" s="356"/>
      <c r="AK28" s="356"/>
      <c r="AL28" s="356"/>
      <c r="AM28" s="356"/>
      <c r="AN28" s="356"/>
      <c r="AO28" s="356"/>
      <c r="AP28" s="356"/>
      <c r="AQ28" s="356"/>
      <c r="AR28" s="356"/>
      <c r="AS28" s="356"/>
      <c r="AT28" s="356"/>
      <c r="AU28" s="356"/>
      <c r="AV28" s="356"/>
      <c r="AW28" s="356"/>
      <c r="AX28" s="356"/>
      <c r="AY28" s="356"/>
      <c r="AZ28" s="356"/>
      <c r="BA28" s="356"/>
      <c r="BB28" s="356"/>
      <c r="BC28" s="356"/>
      <c r="BD28" s="356"/>
      <c r="BE28" s="356"/>
      <c r="BF28" s="356"/>
      <c r="BG28" s="356"/>
      <c r="BH28" s="356"/>
      <c r="BI28" s="356"/>
      <c r="BJ28" s="356"/>
      <c r="BK28" s="356"/>
      <c r="BL28" s="356"/>
      <c r="BM28" s="356"/>
      <c r="BN28" s="356"/>
      <c r="BO28" s="356"/>
      <c r="BP28" s="356"/>
      <c r="BQ28" s="356"/>
      <c r="BR28" s="356"/>
      <c r="BS28" s="356"/>
      <c r="BT28" s="356"/>
      <c r="BU28" s="356"/>
      <c r="BV28" s="356"/>
      <c r="BW28" s="356"/>
      <c r="BX28" s="356"/>
      <c r="BY28" s="356"/>
      <c r="BZ28" s="356"/>
      <c r="CA28" s="356"/>
      <c r="CB28" s="356"/>
      <c r="CC28" s="356"/>
      <c r="CD28" s="356"/>
      <c r="CE28" s="356"/>
      <c r="CF28" s="356"/>
      <c r="CG28" s="356"/>
      <c r="CH28" s="356"/>
      <c r="CI28" s="356"/>
      <c r="CJ28" s="356"/>
      <c r="CK28" s="356"/>
      <c r="CL28" s="356"/>
      <c r="CM28" s="356"/>
      <c r="CN28" s="356"/>
      <c r="CO28" s="356"/>
      <c r="CP28" s="356"/>
      <c r="CQ28" s="356"/>
      <c r="CR28" s="356"/>
      <c r="CS28" s="356"/>
      <c r="CT28" s="356"/>
      <c r="CU28" s="356"/>
      <c r="CV28" s="356"/>
      <c r="CW28" s="356"/>
      <c r="CX28" s="356"/>
      <c r="CY28" s="356"/>
      <c r="CZ28" s="356"/>
      <c r="DA28" s="356"/>
      <c r="DB28" s="356"/>
      <c r="DC28" s="356"/>
      <c r="DD28" s="356"/>
      <c r="DE28" s="356"/>
      <c r="DF28" s="356"/>
      <c r="DG28" s="356"/>
      <c r="DH28" s="356"/>
      <c r="DI28" s="356"/>
      <c r="DJ28" s="356"/>
      <c r="DK28" s="356"/>
      <c r="DL28" s="356"/>
      <c r="DM28" s="356"/>
      <c r="DN28" s="356"/>
      <c r="DO28" s="356"/>
      <c r="DP28" s="356"/>
      <c r="DQ28" s="356"/>
      <c r="DR28" s="356"/>
      <c r="DS28" s="356"/>
      <c r="DT28" s="356"/>
      <c r="DU28" s="356"/>
      <c r="DV28" s="356"/>
      <c r="DW28" s="356"/>
      <c r="DX28" s="356"/>
      <c r="DY28" s="356"/>
      <c r="DZ28" s="356"/>
      <c r="EA28" s="356"/>
      <c r="EB28" s="356"/>
      <c r="EC28" s="356"/>
      <c r="ED28" s="356"/>
      <c r="EE28" s="356"/>
      <c r="EF28" s="356"/>
      <c r="EG28" s="356"/>
      <c r="EH28" s="356"/>
      <c r="EI28" s="356"/>
      <c r="EJ28" s="356"/>
      <c r="EK28" s="356"/>
      <c r="EL28" s="356"/>
      <c r="EM28" s="356"/>
      <c r="EN28" s="356"/>
      <c r="EO28" s="356"/>
      <c r="EP28" s="356"/>
      <c r="EQ28" s="356"/>
      <c r="ER28" s="356"/>
      <c r="ES28" s="356"/>
      <c r="ET28" s="356"/>
      <c r="EU28" s="356"/>
      <c r="EV28" s="356"/>
      <c r="EW28" s="356"/>
      <c r="EX28" s="356"/>
      <c r="EY28" s="356"/>
      <c r="EZ28" s="356"/>
      <c r="FA28" s="356"/>
      <c r="FB28" s="356"/>
      <c r="FC28" s="356"/>
      <c r="FD28" s="356"/>
      <c r="FE28" s="356"/>
      <c r="FF28" s="356"/>
      <c r="FG28" s="356"/>
      <c r="FH28" s="356"/>
      <c r="FI28" s="356"/>
      <c r="FJ28" s="356"/>
      <c r="FK28" s="356"/>
      <c r="FL28" s="356"/>
      <c r="FM28" s="356"/>
      <c r="FN28" s="356"/>
      <c r="FO28" s="356"/>
      <c r="FP28" s="356"/>
      <c r="FQ28" s="356"/>
      <c r="FR28" s="356"/>
      <c r="FS28" s="356"/>
      <c r="FT28" s="356"/>
      <c r="FU28" s="356"/>
      <c r="FV28" s="356"/>
      <c r="FW28" s="356"/>
      <c r="FX28" s="356"/>
      <c r="FY28" s="356"/>
      <c r="FZ28" s="356"/>
      <c r="GA28" s="356"/>
      <c r="GB28" s="356"/>
      <c r="GC28" s="356"/>
      <c r="GD28" s="356"/>
      <c r="GE28" s="356"/>
      <c r="GF28" s="356"/>
      <c r="GG28" s="356"/>
      <c r="GH28" s="356"/>
      <c r="GI28" s="356"/>
      <c r="GJ28" s="356"/>
      <c r="GK28" s="356"/>
      <c r="GL28" s="356"/>
      <c r="GM28" s="356"/>
      <c r="GN28" s="356"/>
      <c r="GO28" s="356"/>
      <c r="GP28" s="356"/>
      <c r="GQ28" s="356"/>
      <c r="GR28" s="356"/>
      <c r="GS28" s="356"/>
      <c r="GT28" s="356"/>
      <c r="GU28" s="356"/>
      <c r="GV28" s="356"/>
      <c r="GW28" s="356"/>
      <c r="GX28" s="356"/>
      <c r="GY28" s="356"/>
      <c r="GZ28" s="356"/>
      <c r="HA28" s="356"/>
      <c r="HB28" s="356"/>
      <c r="HC28" s="356"/>
      <c r="HD28" s="356"/>
      <c r="HE28" s="356"/>
      <c r="HF28" s="356"/>
      <c r="HG28" s="356"/>
      <c r="HH28" s="356"/>
      <c r="HI28" s="356"/>
      <c r="HJ28" s="356"/>
      <c r="HK28" s="356"/>
      <c r="HL28" s="356"/>
      <c r="HM28" s="356"/>
      <c r="HN28" s="356"/>
      <c r="HO28" s="356"/>
      <c r="HP28" s="356"/>
      <c r="HQ28" s="356"/>
      <c r="HR28" s="356"/>
      <c r="HS28" s="356"/>
      <c r="HT28" s="356"/>
      <c r="HU28" s="356"/>
      <c r="HV28" s="356"/>
      <c r="HW28" s="356"/>
      <c r="HX28" s="356"/>
      <c r="HY28" s="356"/>
      <c r="HZ28" s="356"/>
      <c r="IA28" s="356"/>
      <c r="IB28" s="356"/>
      <c r="IC28" s="356"/>
      <c r="ID28" s="356"/>
      <c r="IE28" s="356"/>
      <c r="IF28" s="356"/>
    </row>
    <row r="29" spans="1:240" ht="14.1" thickBot="1">
      <c r="A29" s="126"/>
      <c r="B29" s="368"/>
      <c r="C29" s="233" t="s">
        <v>35</v>
      </c>
      <c r="D29" s="369">
        <v>1056495.3225799999</v>
      </c>
      <c r="E29" s="370">
        <v>1101754.964285</v>
      </c>
      <c r="F29" s="371">
        <v>1147692.16129</v>
      </c>
      <c r="G29" s="372">
        <v>1518318.1</v>
      </c>
      <c r="H29" s="373">
        <v>1388271.5483870001</v>
      </c>
      <c r="I29" s="374">
        <v>1359118.233333</v>
      </c>
      <c r="J29" s="374">
        <v>1382364.193548</v>
      </c>
      <c r="K29" s="374">
        <v>1204349.967741</v>
      </c>
      <c r="L29" s="374">
        <v>1275896.6333329999</v>
      </c>
      <c r="M29" s="374">
        <v>1219894.2903219999</v>
      </c>
      <c r="N29" s="374">
        <v>1284767.5666660001</v>
      </c>
      <c r="O29" s="374">
        <v>1044453.806451</v>
      </c>
      <c r="P29" s="363">
        <f t="shared" si="2"/>
        <v>1248614.732328</v>
      </c>
      <c r="Q29" s="356"/>
      <c r="R29" s="356"/>
      <c r="S29" s="356"/>
      <c r="T29" s="356"/>
      <c r="U29" s="356"/>
      <c r="V29" s="356"/>
      <c r="W29" s="356"/>
      <c r="X29" s="356"/>
      <c r="Y29" s="356"/>
      <c r="Z29" s="356"/>
      <c r="AA29" s="356"/>
      <c r="AB29" s="356"/>
      <c r="AC29" s="356"/>
      <c r="AD29" s="356"/>
      <c r="AE29" s="356"/>
      <c r="AF29" s="356"/>
      <c r="AG29" s="356"/>
      <c r="AH29" s="356"/>
      <c r="AI29" s="356"/>
      <c r="AJ29" s="356"/>
      <c r="AK29" s="356"/>
      <c r="AL29" s="356"/>
      <c r="AM29" s="356"/>
      <c r="AN29" s="356"/>
      <c r="AO29" s="356"/>
      <c r="AP29" s="356"/>
      <c r="AQ29" s="356"/>
      <c r="AR29" s="356"/>
      <c r="AS29" s="356"/>
      <c r="AT29" s="356"/>
      <c r="AU29" s="356"/>
      <c r="AV29" s="356"/>
      <c r="AW29" s="356"/>
      <c r="AX29" s="356"/>
      <c r="AY29" s="356"/>
      <c r="AZ29" s="356"/>
      <c r="BA29" s="356"/>
      <c r="BB29" s="356"/>
      <c r="BC29" s="356"/>
      <c r="BD29" s="356"/>
      <c r="BE29" s="356"/>
      <c r="BF29" s="356"/>
      <c r="BG29" s="356"/>
      <c r="BH29" s="356"/>
      <c r="BI29" s="356"/>
      <c r="BJ29" s="356"/>
      <c r="BK29" s="356"/>
      <c r="BL29" s="356"/>
      <c r="BM29" s="356"/>
      <c r="BN29" s="356"/>
      <c r="BO29" s="356"/>
      <c r="BP29" s="356"/>
      <c r="BQ29" s="356"/>
      <c r="BR29" s="356"/>
      <c r="BS29" s="356"/>
      <c r="BT29" s="356"/>
      <c r="BU29" s="356"/>
      <c r="BV29" s="356"/>
      <c r="BW29" s="356"/>
      <c r="BX29" s="356"/>
      <c r="BY29" s="356"/>
      <c r="BZ29" s="356"/>
      <c r="CA29" s="356"/>
      <c r="CB29" s="356"/>
      <c r="CC29" s="356"/>
      <c r="CD29" s="356"/>
      <c r="CE29" s="356"/>
      <c r="CF29" s="356"/>
      <c r="CG29" s="356"/>
      <c r="CH29" s="356"/>
      <c r="CI29" s="356"/>
      <c r="CJ29" s="356"/>
      <c r="CK29" s="356"/>
      <c r="CL29" s="356"/>
      <c r="CM29" s="356"/>
      <c r="CN29" s="356"/>
      <c r="CO29" s="356"/>
      <c r="CP29" s="356"/>
      <c r="CQ29" s="356"/>
      <c r="CR29" s="356"/>
      <c r="CS29" s="356"/>
      <c r="CT29" s="356"/>
      <c r="CU29" s="356"/>
      <c r="CV29" s="356"/>
      <c r="CW29" s="356"/>
      <c r="CX29" s="356"/>
      <c r="CY29" s="356"/>
      <c r="CZ29" s="356"/>
      <c r="DA29" s="356"/>
      <c r="DB29" s="356"/>
      <c r="DC29" s="356"/>
      <c r="DD29" s="356"/>
      <c r="DE29" s="356"/>
      <c r="DF29" s="356"/>
      <c r="DG29" s="356"/>
      <c r="DH29" s="356"/>
      <c r="DI29" s="356"/>
      <c r="DJ29" s="356"/>
      <c r="DK29" s="356"/>
      <c r="DL29" s="356"/>
      <c r="DM29" s="356"/>
      <c r="DN29" s="356"/>
      <c r="DO29" s="356"/>
      <c r="DP29" s="356"/>
      <c r="DQ29" s="356"/>
      <c r="DR29" s="356"/>
      <c r="DS29" s="356"/>
      <c r="DT29" s="356"/>
      <c r="DU29" s="356"/>
      <c r="DV29" s="356"/>
      <c r="DW29" s="356"/>
      <c r="DX29" s="356"/>
      <c r="DY29" s="356"/>
      <c r="DZ29" s="356"/>
      <c r="EA29" s="356"/>
      <c r="EB29" s="356"/>
      <c r="EC29" s="356"/>
      <c r="ED29" s="356"/>
      <c r="EE29" s="356"/>
      <c r="EF29" s="356"/>
      <c r="EG29" s="356"/>
      <c r="EH29" s="356"/>
      <c r="EI29" s="356"/>
      <c r="EJ29" s="356"/>
      <c r="EK29" s="356"/>
      <c r="EL29" s="356"/>
      <c r="EM29" s="356"/>
      <c r="EN29" s="356"/>
      <c r="EO29" s="356"/>
      <c r="EP29" s="356"/>
      <c r="EQ29" s="356"/>
      <c r="ER29" s="356"/>
      <c r="ES29" s="356"/>
      <c r="ET29" s="356"/>
      <c r="EU29" s="356"/>
      <c r="EV29" s="356"/>
      <c r="EW29" s="356"/>
      <c r="EX29" s="356"/>
      <c r="EY29" s="356"/>
      <c r="EZ29" s="356"/>
      <c r="FA29" s="356"/>
      <c r="FB29" s="356"/>
      <c r="FC29" s="356"/>
      <c r="FD29" s="356"/>
      <c r="FE29" s="356"/>
      <c r="FF29" s="356"/>
      <c r="FG29" s="356"/>
      <c r="FH29" s="356"/>
      <c r="FI29" s="356"/>
      <c r="FJ29" s="356"/>
      <c r="FK29" s="356"/>
      <c r="FL29" s="356"/>
      <c r="FM29" s="356"/>
      <c r="FN29" s="356"/>
      <c r="FO29" s="356"/>
      <c r="FP29" s="356"/>
      <c r="FQ29" s="356"/>
      <c r="FR29" s="356"/>
      <c r="FS29" s="356"/>
      <c r="FT29" s="356"/>
      <c r="FU29" s="356"/>
      <c r="FV29" s="356"/>
      <c r="FW29" s="356"/>
      <c r="FX29" s="356"/>
      <c r="FY29" s="356"/>
      <c r="FZ29" s="356"/>
      <c r="GA29" s="356"/>
      <c r="GB29" s="356"/>
      <c r="GC29" s="356"/>
      <c r="GD29" s="356"/>
      <c r="GE29" s="356"/>
      <c r="GF29" s="356"/>
      <c r="GG29" s="356"/>
      <c r="GH29" s="356"/>
      <c r="GI29" s="356"/>
      <c r="GJ29" s="356"/>
      <c r="GK29" s="356"/>
      <c r="GL29" s="356"/>
      <c r="GM29" s="356"/>
      <c r="GN29" s="356"/>
      <c r="GO29" s="356"/>
      <c r="GP29" s="356"/>
      <c r="GQ29" s="356"/>
      <c r="GR29" s="356"/>
      <c r="GS29" s="356"/>
      <c r="GT29" s="356"/>
      <c r="GU29" s="356"/>
      <c r="GV29" s="356"/>
      <c r="GW29" s="356"/>
      <c r="GX29" s="356"/>
      <c r="GY29" s="356"/>
      <c r="GZ29" s="356"/>
      <c r="HA29" s="356"/>
      <c r="HB29" s="356"/>
      <c r="HC29" s="356"/>
      <c r="HD29" s="356"/>
      <c r="HE29" s="356"/>
      <c r="HF29" s="356"/>
      <c r="HG29" s="356"/>
      <c r="HH29" s="356"/>
      <c r="HI29" s="356"/>
      <c r="HJ29" s="356"/>
      <c r="HK29" s="356"/>
      <c r="HL29" s="356"/>
      <c r="HM29" s="356"/>
      <c r="HN29" s="356"/>
      <c r="HO29" s="356"/>
      <c r="HP29" s="356"/>
      <c r="HQ29" s="356"/>
      <c r="HR29" s="356"/>
      <c r="HS29" s="356"/>
      <c r="HT29" s="356"/>
      <c r="HU29" s="356"/>
      <c r="HV29" s="356"/>
      <c r="HW29" s="356"/>
      <c r="HX29" s="356"/>
      <c r="HY29" s="356"/>
      <c r="HZ29" s="356"/>
      <c r="IA29" s="356"/>
      <c r="IB29" s="356"/>
      <c r="IC29" s="356"/>
      <c r="ID29" s="356"/>
      <c r="IE29" s="356"/>
      <c r="IF29" s="356"/>
    </row>
    <row r="30" spans="1:240" ht="13.5">
      <c r="A30" s="762" t="s">
        <v>36</v>
      </c>
      <c r="B30" s="763"/>
      <c r="C30" s="375" t="s">
        <v>37</v>
      </c>
      <c r="D30" s="376">
        <v>2952680.4516129033</v>
      </c>
      <c r="E30" s="376">
        <v>2932651.25</v>
      </c>
      <c r="F30" s="377">
        <v>2900210.064516129</v>
      </c>
      <c r="G30" s="377">
        <v>2850462.3</v>
      </c>
      <c r="H30" s="377">
        <v>2763037.1290322579</v>
      </c>
      <c r="I30" s="377">
        <v>2730252.47</v>
      </c>
      <c r="J30" s="377">
        <v>2613312.064516129</v>
      </c>
      <c r="K30" s="377">
        <v>2588106.6800000002</v>
      </c>
      <c r="L30" s="377">
        <v>2445744.33</v>
      </c>
      <c r="M30" s="377">
        <v>2306652.3870967743</v>
      </c>
      <c r="N30" s="377">
        <v>2224143.8333333335</v>
      </c>
      <c r="O30" s="377">
        <v>2142201</v>
      </c>
      <c r="P30" s="378">
        <f t="shared" si="2"/>
        <v>2620787.8300089599</v>
      </c>
    </row>
    <row r="31" spans="1:240" ht="13.5">
      <c r="A31" s="764"/>
      <c r="B31" s="765"/>
      <c r="C31" s="139" t="s">
        <v>38</v>
      </c>
      <c r="D31" s="379">
        <v>0</v>
      </c>
      <c r="E31" s="379">
        <v>0</v>
      </c>
      <c r="F31" s="379">
        <v>0</v>
      </c>
      <c r="G31" s="379">
        <v>0</v>
      </c>
      <c r="H31" s="379">
        <v>0</v>
      </c>
      <c r="I31" s="379">
        <v>0</v>
      </c>
      <c r="J31" s="379">
        <v>0</v>
      </c>
      <c r="K31" s="379">
        <v>0</v>
      </c>
      <c r="L31" s="379">
        <v>0</v>
      </c>
      <c r="M31" s="379">
        <v>0</v>
      </c>
      <c r="N31" s="379">
        <v>0</v>
      </c>
      <c r="O31" s="379">
        <v>0</v>
      </c>
      <c r="P31" s="378">
        <f t="shared" si="2"/>
        <v>0</v>
      </c>
    </row>
    <row r="32" spans="1:240" ht="13.5">
      <c r="A32" s="764"/>
      <c r="B32" s="765"/>
      <c r="C32" s="239" t="s">
        <v>39</v>
      </c>
      <c r="D32" s="379">
        <v>0</v>
      </c>
      <c r="E32" s="379">
        <v>0</v>
      </c>
      <c r="F32" s="379">
        <v>0</v>
      </c>
      <c r="G32" s="379">
        <v>0</v>
      </c>
      <c r="H32" s="379">
        <v>0</v>
      </c>
      <c r="I32" s="379">
        <v>0</v>
      </c>
      <c r="J32" s="379">
        <v>0</v>
      </c>
      <c r="K32" s="379">
        <v>0</v>
      </c>
      <c r="L32" s="379">
        <v>0</v>
      </c>
      <c r="M32" s="379">
        <v>0</v>
      </c>
      <c r="N32" s="379">
        <v>0</v>
      </c>
      <c r="O32" s="379">
        <v>0</v>
      </c>
      <c r="P32" s="378">
        <f t="shared" si="2"/>
        <v>0</v>
      </c>
    </row>
    <row r="33" spans="1:240" ht="14.1" thickBot="1">
      <c r="A33" s="766"/>
      <c r="B33" s="767"/>
      <c r="C33" s="146" t="s">
        <v>40</v>
      </c>
      <c r="D33" s="380">
        <v>0</v>
      </c>
      <c r="E33" s="380">
        <v>0</v>
      </c>
      <c r="F33" s="380">
        <v>0</v>
      </c>
      <c r="G33" s="380">
        <v>0</v>
      </c>
      <c r="H33" s="380">
        <v>0</v>
      </c>
      <c r="I33" s="380">
        <v>0</v>
      </c>
      <c r="J33" s="380">
        <v>0</v>
      </c>
      <c r="K33" s="380">
        <v>0</v>
      </c>
      <c r="L33" s="380">
        <v>0</v>
      </c>
      <c r="M33" s="380">
        <v>0</v>
      </c>
      <c r="N33" s="380">
        <v>0</v>
      </c>
      <c r="O33" s="380">
        <v>0</v>
      </c>
      <c r="P33" s="378">
        <f t="shared" si="2"/>
        <v>0</v>
      </c>
    </row>
    <row r="34" spans="1:240" ht="19.5">
      <c r="A34" s="151"/>
      <c r="B34" s="152"/>
      <c r="C34" s="153"/>
      <c r="P34" s="381"/>
    </row>
    <row r="35" spans="1:240" ht="14.1" thickBot="1">
      <c r="A35" s="342" t="s">
        <v>271</v>
      </c>
      <c r="B35" s="342"/>
      <c r="C35" s="342"/>
    </row>
    <row r="36" spans="1:240" ht="13.5">
      <c r="A36" s="729" t="s">
        <v>1</v>
      </c>
      <c r="B36" s="730"/>
      <c r="C36" s="730"/>
      <c r="D36" s="344" t="s">
        <v>252</v>
      </c>
      <c r="E36" s="344" t="s">
        <v>253</v>
      </c>
      <c r="F36" s="344" t="s">
        <v>254</v>
      </c>
      <c r="G36" s="344" t="s">
        <v>255</v>
      </c>
      <c r="H36" s="344" t="s">
        <v>256</v>
      </c>
      <c r="I36" s="344" t="s">
        <v>257</v>
      </c>
      <c r="J36" s="344" t="s">
        <v>258</v>
      </c>
      <c r="K36" s="344" t="s">
        <v>259</v>
      </c>
      <c r="L36" s="344" t="s">
        <v>260</v>
      </c>
      <c r="M36" s="344" t="s">
        <v>261</v>
      </c>
      <c r="N36" s="344" t="s">
        <v>262</v>
      </c>
      <c r="O36" s="344" t="s">
        <v>263</v>
      </c>
      <c r="P36" s="345" t="s">
        <v>264</v>
      </c>
    </row>
    <row r="37" spans="1:240" ht="13.5">
      <c r="A37" s="755" t="s">
        <v>9</v>
      </c>
      <c r="B37" s="756"/>
      <c r="C37" s="757"/>
      <c r="D37" s="347">
        <v>513110978</v>
      </c>
      <c r="E37" s="347">
        <v>509030175</v>
      </c>
      <c r="F37" s="347">
        <v>527162627</v>
      </c>
      <c r="G37" s="347">
        <v>529728459</v>
      </c>
      <c r="H37" s="347">
        <v>540636930</v>
      </c>
      <c r="I37" s="347">
        <v>523059165</v>
      </c>
      <c r="J37" s="347">
        <v>534265512</v>
      </c>
      <c r="K37" s="347">
        <v>536853948</v>
      </c>
      <c r="L37" s="347">
        <v>518327092</v>
      </c>
      <c r="M37" s="347">
        <v>497093938</v>
      </c>
      <c r="N37" s="347">
        <v>522872914</v>
      </c>
      <c r="O37" s="347">
        <v>554357421</v>
      </c>
      <c r="P37" s="347">
        <f>P38+P45+P50+P58</f>
        <v>571691049.64750004</v>
      </c>
      <c r="Q37" s="348"/>
      <c r="R37" s="348"/>
      <c r="S37" s="348"/>
      <c r="T37" s="348"/>
      <c r="U37" s="348"/>
      <c r="V37" s="348"/>
      <c r="W37" s="348"/>
      <c r="X37" s="348"/>
      <c r="Y37" s="348"/>
      <c r="Z37" s="348"/>
      <c r="AA37" s="348"/>
      <c r="AB37" s="348"/>
      <c r="AC37" s="348"/>
      <c r="AD37" s="348"/>
      <c r="AE37" s="348"/>
      <c r="AF37" s="348"/>
      <c r="AG37" s="348"/>
      <c r="AH37" s="348"/>
      <c r="AI37" s="348"/>
      <c r="AJ37" s="348"/>
      <c r="AK37" s="348"/>
      <c r="AL37" s="348"/>
      <c r="AM37" s="348"/>
      <c r="AN37" s="348"/>
      <c r="AO37" s="348"/>
      <c r="AP37" s="348"/>
      <c r="AQ37" s="348"/>
      <c r="AR37" s="348"/>
      <c r="AS37" s="348"/>
      <c r="AT37" s="348"/>
      <c r="AU37" s="348"/>
      <c r="AV37" s="348"/>
      <c r="AW37" s="348"/>
      <c r="AX37" s="348"/>
      <c r="AY37" s="348"/>
      <c r="AZ37" s="348"/>
      <c r="BA37" s="348"/>
      <c r="BB37" s="348"/>
      <c r="BC37" s="348"/>
      <c r="BD37" s="348"/>
      <c r="BE37" s="348"/>
      <c r="BF37" s="348"/>
      <c r="BG37" s="348"/>
      <c r="BH37" s="348"/>
      <c r="BI37" s="348"/>
      <c r="BJ37" s="348"/>
      <c r="BK37" s="348"/>
      <c r="BL37" s="348"/>
      <c r="BM37" s="348"/>
      <c r="BN37" s="348"/>
      <c r="BO37" s="348"/>
      <c r="BP37" s="348"/>
      <c r="BQ37" s="348"/>
      <c r="BR37" s="348"/>
      <c r="BS37" s="348"/>
      <c r="BT37" s="348"/>
      <c r="BU37" s="348"/>
      <c r="BV37" s="348"/>
      <c r="BW37" s="348"/>
      <c r="BX37" s="348"/>
      <c r="BY37" s="348"/>
      <c r="BZ37" s="348"/>
      <c r="CA37" s="348"/>
      <c r="CB37" s="348"/>
      <c r="CC37" s="348"/>
      <c r="CD37" s="348"/>
      <c r="CE37" s="348"/>
      <c r="CF37" s="348"/>
      <c r="CG37" s="348"/>
      <c r="CH37" s="348"/>
      <c r="CI37" s="348"/>
      <c r="CJ37" s="348"/>
      <c r="CK37" s="348"/>
      <c r="CL37" s="348"/>
      <c r="CM37" s="348"/>
      <c r="CN37" s="348"/>
      <c r="CO37" s="348"/>
      <c r="CP37" s="348"/>
      <c r="CQ37" s="348"/>
      <c r="CR37" s="348"/>
      <c r="CS37" s="348"/>
      <c r="CT37" s="348"/>
      <c r="CU37" s="348"/>
      <c r="CV37" s="348"/>
      <c r="CW37" s="348"/>
      <c r="CX37" s="348"/>
      <c r="CY37" s="348"/>
      <c r="CZ37" s="348"/>
      <c r="DA37" s="348"/>
      <c r="DB37" s="348"/>
      <c r="DC37" s="348"/>
      <c r="DD37" s="348"/>
      <c r="DE37" s="348"/>
      <c r="DF37" s="348"/>
      <c r="DG37" s="348"/>
      <c r="DH37" s="348"/>
      <c r="DI37" s="348"/>
      <c r="DJ37" s="348"/>
      <c r="DK37" s="348"/>
      <c r="DL37" s="348"/>
      <c r="DM37" s="348"/>
      <c r="DN37" s="348"/>
      <c r="DO37" s="348"/>
      <c r="DP37" s="348"/>
      <c r="DQ37" s="348"/>
      <c r="DR37" s="348"/>
      <c r="DS37" s="348"/>
      <c r="DT37" s="348"/>
      <c r="DU37" s="348"/>
      <c r="DV37" s="348"/>
      <c r="DW37" s="348"/>
      <c r="DX37" s="348"/>
      <c r="DY37" s="348"/>
      <c r="DZ37" s="348"/>
      <c r="EA37" s="348"/>
      <c r="EB37" s="348"/>
      <c r="EC37" s="348"/>
      <c r="ED37" s="348"/>
      <c r="EE37" s="348"/>
      <c r="EF37" s="348"/>
      <c r="EG37" s="348"/>
      <c r="EH37" s="348"/>
      <c r="EI37" s="348"/>
      <c r="EJ37" s="348"/>
      <c r="EK37" s="348"/>
      <c r="EL37" s="348"/>
      <c r="EM37" s="348"/>
      <c r="EN37" s="348"/>
      <c r="EO37" s="348"/>
      <c r="EP37" s="348"/>
      <c r="EQ37" s="348"/>
      <c r="ER37" s="348"/>
      <c r="ES37" s="348"/>
      <c r="ET37" s="348"/>
      <c r="EU37" s="348"/>
      <c r="EV37" s="348"/>
      <c r="EW37" s="348"/>
      <c r="EX37" s="348"/>
      <c r="EY37" s="348"/>
      <c r="EZ37" s="348"/>
      <c r="FA37" s="348"/>
      <c r="FB37" s="348"/>
      <c r="FC37" s="348"/>
      <c r="FD37" s="348"/>
      <c r="FE37" s="348"/>
      <c r="FF37" s="348"/>
      <c r="FG37" s="348"/>
      <c r="FH37" s="348"/>
      <c r="FI37" s="348"/>
      <c r="FJ37" s="348"/>
      <c r="FK37" s="348"/>
      <c r="FL37" s="348"/>
      <c r="FM37" s="348"/>
      <c r="FN37" s="348"/>
      <c r="FO37" s="348"/>
      <c r="FP37" s="348"/>
      <c r="FQ37" s="348"/>
      <c r="FR37" s="348"/>
      <c r="FS37" s="348"/>
      <c r="FT37" s="348"/>
      <c r="FU37" s="348"/>
      <c r="FV37" s="348"/>
      <c r="FW37" s="348"/>
      <c r="FX37" s="348"/>
      <c r="FY37" s="348"/>
      <c r="FZ37" s="348"/>
      <c r="GA37" s="348"/>
      <c r="GB37" s="348"/>
      <c r="GC37" s="348"/>
      <c r="GD37" s="348"/>
      <c r="GE37" s="348"/>
      <c r="GF37" s="348"/>
      <c r="GG37" s="348"/>
      <c r="GH37" s="348"/>
      <c r="GI37" s="348"/>
      <c r="GJ37" s="348"/>
      <c r="GK37" s="348"/>
      <c r="GL37" s="348"/>
      <c r="GM37" s="348"/>
      <c r="GN37" s="348"/>
      <c r="GO37" s="348"/>
      <c r="GP37" s="348"/>
      <c r="GQ37" s="348"/>
      <c r="GR37" s="348"/>
      <c r="GS37" s="348"/>
      <c r="GT37" s="348"/>
      <c r="GU37" s="348"/>
      <c r="GV37" s="348"/>
      <c r="GW37" s="348"/>
      <c r="GX37" s="348"/>
      <c r="GY37" s="348"/>
      <c r="GZ37" s="348"/>
      <c r="HA37" s="348"/>
      <c r="HB37" s="348"/>
      <c r="HC37" s="348"/>
      <c r="HD37" s="348"/>
      <c r="HE37" s="348"/>
      <c r="HF37" s="348"/>
      <c r="HG37" s="348"/>
      <c r="HH37" s="348"/>
      <c r="HI37" s="348"/>
      <c r="HJ37" s="348"/>
      <c r="HK37" s="348"/>
      <c r="HL37" s="348"/>
      <c r="HM37" s="348"/>
      <c r="HN37" s="348"/>
      <c r="HO37" s="348"/>
      <c r="HP37" s="348"/>
      <c r="HQ37" s="348"/>
      <c r="HR37" s="348"/>
      <c r="HS37" s="348"/>
      <c r="HT37" s="348"/>
      <c r="HU37" s="348"/>
      <c r="HV37" s="348"/>
      <c r="HW37" s="348"/>
      <c r="HX37" s="348"/>
      <c r="HY37" s="348"/>
      <c r="HZ37" s="348"/>
      <c r="IA37" s="348"/>
      <c r="IB37" s="348"/>
      <c r="IC37" s="348"/>
      <c r="ID37" s="348"/>
      <c r="IE37" s="348"/>
      <c r="IF37" s="348"/>
    </row>
    <row r="38" spans="1:240" ht="13.5">
      <c r="A38" s="123"/>
      <c r="B38" s="758" t="s">
        <v>10</v>
      </c>
      <c r="C38" s="759"/>
      <c r="D38" s="349">
        <v>297453876</v>
      </c>
      <c r="E38" s="349">
        <v>288247725</v>
      </c>
      <c r="F38" s="349">
        <v>302360974</v>
      </c>
      <c r="G38" s="349">
        <v>306427905</v>
      </c>
      <c r="H38" s="349">
        <v>317409051</v>
      </c>
      <c r="I38" s="349">
        <v>301959905</v>
      </c>
      <c r="J38" s="349">
        <v>310944240</v>
      </c>
      <c r="K38" s="349">
        <v>313379819</v>
      </c>
      <c r="L38" s="349">
        <v>298248860</v>
      </c>
      <c r="M38" s="349">
        <v>288745073</v>
      </c>
      <c r="N38" s="349">
        <v>304619792</v>
      </c>
      <c r="O38" s="349">
        <v>320886157</v>
      </c>
      <c r="P38" s="349">
        <f>SUM(P39:P44)</f>
        <v>346108307.41666669</v>
      </c>
    </row>
    <row r="39" spans="1:240" ht="13.5">
      <c r="A39" s="126"/>
      <c r="B39" s="127"/>
      <c r="C39" s="128" t="s">
        <v>11</v>
      </c>
      <c r="D39" s="382">
        <v>302264313.80000001</v>
      </c>
      <c r="E39" s="382">
        <v>300250669.49000001</v>
      </c>
      <c r="F39" s="382">
        <v>297888482.12</v>
      </c>
      <c r="G39" s="382">
        <v>299624177.12</v>
      </c>
      <c r="H39" s="382">
        <v>292492966.32999998</v>
      </c>
      <c r="I39" s="382">
        <v>259238624.53</v>
      </c>
      <c r="J39" s="382">
        <v>284298715.99000001</v>
      </c>
      <c r="K39" s="382">
        <v>258153385.09999999</v>
      </c>
      <c r="L39" s="382">
        <v>264237929.80000001</v>
      </c>
      <c r="M39" s="382">
        <v>281941247.35000002</v>
      </c>
      <c r="N39" s="382">
        <v>308163299.95999998</v>
      </c>
      <c r="O39" s="382">
        <v>315868482.64999998</v>
      </c>
      <c r="P39" s="382">
        <f t="shared" ref="P39:P44" si="3">AVERAGE(D39:O39)</f>
        <v>288701857.85333335</v>
      </c>
    </row>
    <row r="40" spans="1:240" ht="13.5">
      <c r="A40" s="126"/>
      <c r="B40" s="127"/>
      <c r="C40" s="128" t="s">
        <v>12</v>
      </c>
      <c r="D40" s="382">
        <v>11270364.98</v>
      </c>
      <c r="E40" s="382">
        <v>9148833.8200000003</v>
      </c>
      <c r="F40" s="382">
        <v>8271384.8300000001</v>
      </c>
      <c r="G40" s="382">
        <v>6965673.5499999998</v>
      </c>
      <c r="H40" s="382">
        <v>6743824.0599999996</v>
      </c>
      <c r="I40" s="382">
        <v>6274762.0800000001</v>
      </c>
      <c r="J40" s="382">
        <v>8548667.0800000001</v>
      </c>
      <c r="K40" s="382">
        <v>9190649.5800000001</v>
      </c>
      <c r="L40" s="382">
        <v>6169116.1799999997</v>
      </c>
      <c r="M40" s="382">
        <v>8266201.1100000003</v>
      </c>
      <c r="N40" s="382">
        <v>7704101.4199999999</v>
      </c>
      <c r="O40" s="382">
        <v>8556217.3399999999</v>
      </c>
      <c r="P40" s="382">
        <f t="shared" si="3"/>
        <v>8092483.0025000004</v>
      </c>
    </row>
    <row r="41" spans="1:240" ht="14.25" customHeight="1">
      <c r="A41" s="126"/>
      <c r="B41" s="127"/>
      <c r="C41" s="128" t="s">
        <v>13</v>
      </c>
      <c r="D41" s="382">
        <v>17359496.170000002</v>
      </c>
      <c r="E41" s="382">
        <v>16864056.379999999</v>
      </c>
      <c r="F41" s="382">
        <v>18227366.739999998</v>
      </c>
      <c r="G41" s="382">
        <v>19560773.739999998</v>
      </c>
      <c r="H41" s="382">
        <v>16650732.5</v>
      </c>
      <c r="I41" s="382">
        <v>16952292.77</v>
      </c>
      <c r="J41" s="382">
        <v>15081944.189999999</v>
      </c>
      <c r="K41" s="382">
        <v>13408805.52</v>
      </c>
      <c r="L41" s="382">
        <v>11373310.630000001</v>
      </c>
      <c r="M41" s="382">
        <v>11429619.48</v>
      </c>
      <c r="N41" s="382">
        <v>10957918.699999999</v>
      </c>
      <c r="O41" s="382">
        <v>11142634.449999999</v>
      </c>
      <c r="P41" s="382">
        <f t="shared" si="3"/>
        <v>14917412.605833329</v>
      </c>
    </row>
    <row r="42" spans="1:240" ht="14.25" customHeight="1">
      <c r="A42" s="126"/>
      <c r="B42" s="127"/>
      <c r="C42" s="128" t="s">
        <v>14</v>
      </c>
      <c r="D42" s="382">
        <v>17956126.260000002</v>
      </c>
      <c r="E42" s="382">
        <v>20747460.609999999</v>
      </c>
      <c r="F42" s="382">
        <v>22855920.93</v>
      </c>
      <c r="G42" s="382">
        <v>19694097.420000002</v>
      </c>
      <c r="H42" s="382">
        <v>22139365.07</v>
      </c>
      <c r="I42" s="382">
        <v>20631154.260000002</v>
      </c>
      <c r="J42" s="382">
        <v>21506620.149999999</v>
      </c>
      <c r="K42" s="382">
        <v>21928486.23</v>
      </c>
      <c r="L42" s="382">
        <v>21277202.289999999</v>
      </c>
      <c r="M42" s="382">
        <v>18670527.710000001</v>
      </c>
      <c r="N42" s="382">
        <v>21111110.199999999</v>
      </c>
      <c r="O42" s="382">
        <v>23076080.579999998</v>
      </c>
      <c r="P42" s="382">
        <f t="shared" si="3"/>
        <v>20966179.309166666</v>
      </c>
    </row>
    <row r="43" spans="1:240" ht="13.5">
      <c r="A43" s="126"/>
      <c r="B43" s="127"/>
      <c r="C43" s="128" t="s">
        <v>15</v>
      </c>
      <c r="D43" s="382">
        <v>0</v>
      </c>
      <c r="E43" s="382">
        <v>0</v>
      </c>
      <c r="F43" s="382">
        <v>0</v>
      </c>
      <c r="G43" s="382">
        <v>0</v>
      </c>
      <c r="H43" s="382">
        <v>0</v>
      </c>
      <c r="I43" s="382">
        <v>0</v>
      </c>
      <c r="J43" s="382">
        <v>0</v>
      </c>
      <c r="K43" s="382">
        <v>0</v>
      </c>
      <c r="L43" s="382">
        <v>0</v>
      </c>
      <c r="M43" s="382">
        <v>0</v>
      </c>
      <c r="N43" s="382">
        <v>0</v>
      </c>
      <c r="O43" s="382">
        <v>0</v>
      </c>
      <c r="P43" s="382">
        <f t="shared" si="3"/>
        <v>0</v>
      </c>
    </row>
    <row r="44" spans="1:240" ht="13.5">
      <c r="A44" s="126"/>
      <c r="B44" s="132"/>
      <c r="C44" s="128" t="s">
        <v>16</v>
      </c>
      <c r="D44" s="382">
        <v>10255151.300000001</v>
      </c>
      <c r="E44" s="382">
        <v>10875522.68</v>
      </c>
      <c r="F44" s="382">
        <v>7743956.0499999998</v>
      </c>
      <c r="G44" s="382">
        <v>16547659.49</v>
      </c>
      <c r="H44" s="382">
        <v>8727800.8200000003</v>
      </c>
      <c r="I44" s="382">
        <v>9417096.9800000004</v>
      </c>
      <c r="J44" s="382">
        <v>11839584.65</v>
      </c>
      <c r="K44" s="382">
        <v>17836715.84</v>
      </c>
      <c r="L44" s="382">
        <v>15046517.640000001</v>
      </c>
      <c r="M44" s="382">
        <v>20516373.77</v>
      </c>
      <c r="N44" s="382">
        <v>20304670.359999999</v>
      </c>
      <c r="O44" s="382">
        <v>12053446.17</v>
      </c>
      <c r="P44" s="382">
        <f t="shared" si="3"/>
        <v>13430374.645833334</v>
      </c>
    </row>
    <row r="45" spans="1:240" ht="13.5">
      <c r="A45" s="126"/>
      <c r="B45" s="760" t="s">
        <v>17</v>
      </c>
      <c r="C45" s="761"/>
      <c r="D45" s="349">
        <v>10339771</v>
      </c>
      <c r="E45" s="349">
        <v>6515869</v>
      </c>
      <c r="F45" s="349">
        <v>10667002</v>
      </c>
      <c r="G45" s="349">
        <v>11396473</v>
      </c>
      <c r="H45" s="349">
        <v>10802532</v>
      </c>
      <c r="I45" s="349">
        <v>9685812</v>
      </c>
      <c r="J45" s="349">
        <v>8846335</v>
      </c>
      <c r="K45" s="349">
        <v>10995093</v>
      </c>
      <c r="L45" s="349">
        <v>13494723</v>
      </c>
      <c r="M45" s="349">
        <v>8410657</v>
      </c>
      <c r="N45" s="349">
        <v>9754378</v>
      </c>
      <c r="O45" s="349">
        <v>9176503</v>
      </c>
      <c r="P45" s="349">
        <f>SUM(P46:P49)</f>
        <v>10919422.826666668</v>
      </c>
    </row>
    <row r="46" spans="1:240" ht="13.5">
      <c r="A46" s="126"/>
      <c r="B46" s="127"/>
      <c r="C46" s="134" t="s">
        <v>18</v>
      </c>
      <c r="D46" s="382">
        <v>0</v>
      </c>
      <c r="E46" s="382">
        <v>0</v>
      </c>
      <c r="F46" s="382">
        <v>0</v>
      </c>
      <c r="G46" s="382">
        <v>0</v>
      </c>
      <c r="H46" s="382">
        <v>0</v>
      </c>
      <c r="I46" s="382">
        <v>0</v>
      </c>
      <c r="J46" s="382">
        <v>0</v>
      </c>
      <c r="K46" s="382">
        <v>0</v>
      </c>
      <c r="L46" s="382">
        <v>0</v>
      </c>
      <c r="M46" s="382">
        <v>0</v>
      </c>
      <c r="N46" s="382">
        <v>0</v>
      </c>
      <c r="O46" s="382">
        <v>0</v>
      </c>
      <c r="P46" s="382">
        <f>AVERAGE(D46:O46)</f>
        <v>0</v>
      </c>
    </row>
    <row r="47" spans="1:240" s="122" customFormat="1" ht="13.5">
      <c r="A47" s="126"/>
      <c r="B47" s="127"/>
      <c r="C47" s="134" t="s">
        <v>19</v>
      </c>
      <c r="D47" s="382">
        <v>947056.87</v>
      </c>
      <c r="E47" s="382">
        <v>1008186.87</v>
      </c>
      <c r="F47" s="382">
        <v>2235109.84</v>
      </c>
      <c r="G47" s="382">
        <v>4015475.18</v>
      </c>
      <c r="H47" s="382">
        <v>2969855.18</v>
      </c>
      <c r="I47" s="382">
        <v>3788484.51</v>
      </c>
      <c r="J47" s="382">
        <v>2729127</v>
      </c>
      <c r="K47" s="382">
        <v>3043076.64</v>
      </c>
      <c r="L47" s="382">
        <v>2081580.84</v>
      </c>
      <c r="M47" s="382">
        <v>1390916.5</v>
      </c>
      <c r="N47" s="382">
        <v>2062436.5</v>
      </c>
      <c r="O47" s="382">
        <v>1561682.5</v>
      </c>
      <c r="P47" s="382">
        <f>AVERAGE(D47:O47)</f>
        <v>2319415.7025000001</v>
      </c>
      <c r="Q47" s="343"/>
      <c r="R47" s="343"/>
      <c r="S47" s="343"/>
      <c r="T47" s="343"/>
      <c r="U47" s="343"/>
      <c r="V47" s="343"/>
      <c r="W47" s="343"/>
      <c r="X47" s="343"/>
      <c r="Y47" s="343"/>
      <c r="Z47" s="343"/>
      <c r="AA47" s="343"/>
      <c r="AB47" s="343"/>
      <c r="AC47" s="343"/>
      <c r="AD47" s="343"/>
      <c r="AE47" s="343"/>
      <c r="AF47" s="343"/>
      <c r="AG47" s="343"/>
      <c r="AH47" s="343"/>
      <c r="AI47" s="343"/>
      <c r="AJ47" s="343"/>
      <c r="AK47" s="343"/>
      <c r="AL47" s="343"/>
      <c r="AM47" s="343"/>
      <c r="AN47" s="343"/>
      <c r="AO47" s="343"/>
      <c r="AP47" s="343"/>
      <c r="AQ47" s="343"/>
      <c r="AR47" s="343"/>
      <c r="AS47" s="343"/>
      <c r="AT47" s="343"/>
      <c r="AU47" s="343"/>
      <c r="AV47" s="343"/>
      <c r="AW47" s="343"/>
      <c r="AX47" s="343"/>
      <c r="AY47" s="343"/>
      <c r="AZ47" s="343"/>
      <c r="BA47" s="343"/>
      <c r="BB47" s="343"/>
      <c r="BC47" s="343"/>
      <c r="BD47" s="343"/>
      <c r="BE47" s="343"/>
      <c r="BF47" s="343"/>
      <c r="BG47" s="343"/>
      <c r="BH47" s="343"/>
      <c r="BI47" s="343"/>
      <c r="BJ47" s="343"/>
      <c r="BK47" s="343"/>
      <c r="BL47" s="343"/>
      <c r="BM47" s="343"/>
      <c r="BN47" s="343"/>
      <c r="BO47" s="343"/>
      <c r="BP47" s="343"/>
      <c r="BQ47" s="343"/>
      <c r="BR47" s="343"/>
      <c r="BS47" s="343"/>
      <c r="BT47" s="343"/>
      <c r="BU47" s="343"/>
      <c r="BV47" s="343"/>
      <c r="BW47" s="343"/>
      <c r="BX47" s="343"/>
      <c r="BY47" s="343"/>
      <c r="BZ47" s="343"/>
      <c r="CA47" s="343"/>
      <c r="CB47" s="343"/>
      <c r="CC47" s="343"/>
      <c r="CD47" s="343"/>
      <c r="CE47" s="343"/>
      <c r="CF47" s="343"/>
      <c r="CG47" s="343"/>
      <c r="CH47" s="343"/>
      <c r="CI47" s="343"/>
      <c r="CJ47" s="343"/>
      <c r="CK47" s="343"/>
      <c r="CL47" s="343"/>
      <c r="CM47" s="343"/>
      <c r="CN47" s="343"/>
      <c r="CO47" s="343"/>
      <c r="CP47" s="343"/>
      <c r="CQ47" s="343"/>
      <c r="CR47" s="343"/>
      <c r="CS47" s="343"/>
      <c r="CT47" s="343"/>
      <c r="CU47" s="343"/>
      <c r="CV47" s="343"/>
      <c r="CW47" s="343"/>
      <c r="CX47" s="343"/>
      <c r="CY47" s="343"/>
      <c r="CZ47" s="343"/>
      <c r="DA47" s="343"/>
      <c r="DB47" s="343"/>
      <c r="DC47" s="343"/>
      <c r="DD47" s="343"/>
      <c r="DE47" s="343"/>
      <c r="DF47" s="343"/>
      <c r="DG47" s="343"/>
      <c r="DH47" s="343"/>
      <c r="DI47" s="343"/>
      <c r="DJ47" s="343"/>
      <c r="DK47" s="343"/>
      <c r="DL47" s="343"/>
      <c r="DM47" s="343"/>
      <c r="DN47" s="343"/>
      <c r="DO47" s="343"/>
      <c r="DP47" s="343"/>
      <c r="DQ47" s="343"/>
      <c r="DR47" s="343"/>
      <c r="DS47" s="343"/>
      <c r="DT47" s="343"/>
      <c r="DU47" s="343"/>
      <c r="DV47" s="343"/>
      <c r="DW47" s="343"/>
      <c r="DX47" s="343"/>
      <c r="DY47" s="343"/>
      <c r="DZ47" s="343"/>
      <c r="EA47" s="343"/>
      <c r="EB47" s="343"/>
      <c r="EC47" s="343"/>
      <c r="ED47" s="343"/>
      <c r="EE47" s="343"/>
      <c r="EF47" s="343"/>
      <c r="EG47" s="343"/>
      <c r="EH47" s="343"/>
      <c r="EI47" s="343"/>
      <c r="EJ47" s="343"/>
      <c r="EK47" s="343"/>
      <c r="EL47" s="343"/>
      <c r="EM47" s="343"/>
      <c r="EN47" s="343"/>
      <c r="EO47" s="343"/>
      <c r="EP47" s="343"/>
      <c r="EQ47" s="343"/>
      <c r="ER47" s="343"/>
      <c r="ES47" s="343"/>
      <c r="ET47" s="343"/>
      <c r="EU47" s="343"/>
      <c r="EV47" s="343"/>
      <c r="EW47" s="343"/>
      <c r="EX47" s="343"/>
      <c r="EY47" s="343"/>
      <c r="EZ47" s="343"/>
      <c r="FA47" s="343"/>
      <c r="FB47" s="343"/>
      <c r="FC47" s="343"/>
      <c r="FD47" s="343"/>
      <c r="FE47" s="343"/>
      <c r="FF47" s="343"/>
      <c r="FG47" s="343"/>
      <c r="FH47" s="343"/>
      <c r="FI47" s="343"/>
      <c r="FJ47" s="343"/>
      <c r="FK47" s="343"/>
      <c r="FL47" s="343"/>
      <c r="FM47" s="343"/>
      <c r="FN47" s="343"/>
      <c r="FO47" s="343"/>
      <c r="FP47" s="343"/>
      <c r="FQ47" s="343"/>
      <c r="FR47" s="343"/>
      <c r="FS47" s="343"/>
      <c r="FT47" s="343"/>
      <c r="FU47" s="343"/>
      <c r="FV47" s="343"/>
      <c r="FW47" s="343"/>
      <c r="FX47" s="343"/>
      <c r="FY47" s="343"/>
      <c r="FZ47" s="343"/>
      <c r="GA47" s="343"/>
      <c r="GB47" s="343"/>
      <c r="GC47" s="343"/>
      <c r="GD47" s="343"/>
      <c r="GE47" s="343"/>
      <c r="GF47" s="343"/>
      <c r="GG47" s="343"/>
      <c r="GH47" s="343"/>
      <c r="GI47" s="343"/>
      <c r="GJ47" s="343"/>
      <c r="GK47" s="343"/>
      <c r="GL47" s="343"/>
      <c r="GM47" s="343"/>
      <c r="GN47" s="343"/>
      <c r="GO47" s="343"/>
      <c r="GP47" s="343"/>
      <c r="GQ47" s="343"/>
      <c r="GR47" s="343"/>
      <c r="GS47" s="343"/>
      <c r="GT47" s="343"/>
      <c r="GU47" s="343"/>
      <c r="GV47" s="343"/>
      <c r="GW47" s="343"/>
      <c r="GX47" s="343"/>
      <c r="GY47" s="343"/>
      <c r="GZ47" s="343"/>
      <c r="HA47" s="343"/>
      <c r="HB47" s="343"/>
      <c r="HC47" s="343"/>
      <c r="HD47" s="343"/>
      <c r="HE47" s="343"/>
      <c r="HF47" s="343"/>
      <c r="HG47" s="343"/>
      <c r="HH47" s="343"/>
      <c r="HI47" s="343"/>
      <c r="HJ47" s="343"/>
      <c r="HK47" s="343"/>
      <c r="HL47" s="343"/>
      <c r="HM47" s="343"/>
      <c r="HN47" s="343"/>
      <c r="HO47" s="343"/>
      <c r="HP47" s="343"/>
      <c r="HQ47" s="343"/>
      <c r="HR47" s="343"/>
      <c r="HS47" s="343"/>
      <c r="HT47" s="343"/>
      <c r="HU47" s="343"/>
      <c r="HV47" s="343"/>
      <c r="HW47" s="343"/>
      <c r="HX47" s="343"/>
      <c r="HY47" s="343"/>
      <c r="HZ47" s="343"/>
      <c r="IA47" s="343"/>
      <c r="IB47" s="343"/>
      <c r="IC47" s="343"/>
      <c r="ID47" s="343"/>
      <c r="IE47" s="343"/>
      <c r="IF47" s="343"/>
    </row>
    <row r="48" spans="1:240" ht="13.5">
      <c r="A48" s="126"/>
      <c r="B48" s="127"/>
      <c r="C48" s="233" t="s">
        <v>20</v>
      </c>
      <c r="D48" s="382">
        <v>357032.38</v>
      </c>
      <c r="E48" s="382">
        <v>290287.56</v>
      </c>
      <c r="F48" s="382">
        <v>229148.08</v>
      </c>
      <c r="G48" s="382">
        <v>220718.07999999999</v>
      </c>
      <c r="H48" s="382">
        <v>141698.07999999999</v>
      </c>
      <c r="I48" s="382">
        <v>210458.08</v>
      </c>
      <c r="J48" s="382">
        <v>328528.08</v>
      </c>
      <c r="K48" s="382">
        <v>334158.08000000002</v>
      </c>
      <c r="L48" s="382">
        <v>300848.08</v>
      </c>
      <c r="M48" s="382">
        <v>200328.08</v>
      </c>
      <c r="N48" s="382">
        <v>256108.08</v>
      </c>
      <c r="O48" s="382">
        <v>259068.08</v>
      </c>
      <c r="P48" s="382">
        <f>AVERAGE(D48:O48)</f>
        <v>260698.39500000002</v>
      </c>
    </row>
    <row r="49" spans="1:240" ht="13.5">
      <c r="A49" s="126"/>
      <c r="B49" s="127"/>
      <c r="C49" s="233" t="s">
        <v>21</v>
      </c>
      <c r="D49" s="382">
        <v>8509313.9800000004</v>
      </c>
      <c r="E49" s="382">
        <v>6687091.2400000002</v>
      </c>
      <c r="F49" s="382">
        <v>11539613.550000001</v>
      </c>
      <c r="G49" s="382">
        <v>10494677.609999999</v>
      </c>
      <c r="H49" s="382">
        <v>7096164.2800000003</v>
      </c>
      <c r="I49" s="382">
        <v>8001414.4400000004</v>
      </c>
      <c r="J49" s="382">
        <v>9507328.0999999996</v>
      </c>
      <c r="K49" s="382">
        <v>8594745.4800000004</v>
      </c>
      <c r="L49" s="382">
        <v>7942496.2199999997</v>
      </c>
      <c r="M49" s="382">
        <v>6295339.1500000004</v>
      </c>
      <c r="N49" s="382">
        <v>7590409.71</v>
      </c>
      <c r="O49" s="382">
        <v>7813110.9900000002</v>
      </c>
      <c r="P49" s="382">
        <f>AVERAGE(D49:O49)</f>
        <v>8339308.729166667</v>
      </c>
    </row>
    <row r="50" spans="1:240" ht="13.5">
      <c r="A50" s="126"/>
      <c r="B50" s="760" t="s">
        <v>22</v>
      </c>
      <c r="C50" s="761"/>
      <c r="D50" s="349">
        <v>211441395</v>
      </c>
      <c r="E50" s="349">
        <v>210026404</v>
      </c>
      <c r="F50" s="349">
        <v>220517049</v>
      </c>
      <c r="G50" s="349">
        <v>238734090</v>
      </c>
      <c r="H50" s="349">
        <v>238626999</v>
      </c>
      <c r="I50" s="349">
        <v>236126001</v>
      </c>
      <c r="J50" s="349">
        <v>219360314</v>
      </c>
      <c r="K50" s="349">
        <v>198730491</v>
      </c>
      <c r="L50" s="349">
        <v>181758145</v>
      </c>
      <c r="M50" s="349">
        <v>185479238</v>
      </c>
      <c r="N50" s="349">
        <v>192181177</v>
      </c>
      <c r="O50" s="349">
        <v>202828079</v>
      </c>
      <c r="P50" s="349">
        <f>SUM(P51:P57)</f>
        <v>213127525.85750005</v>
      </c>
    </row>
    <row r="51" spans="1:240" ht="13.5">
      <c r="A51" s="126"/>
      <c r="B51" s="127"/>
      <c r="C51" s="128" t="s">
        <v>23</v>
      </c>
      <c r="D51" s="382">
        <v>190299126.94</v>
      </c>
      <c r="E51" s="382">
        <v>187380800.84999999</v>
      </c>
      <c r="F51" s="382">
        <v>185487677.75999999</v>
      </c>
      <c r="G51" s="382">
        <v>182902644.52000001</v>
      </c>
      <c r="H51" s="382">
        <v>179642192.47</v>
      </c>
      <c r="I51" s="382">
        <v>181578909.99000001</v>
      </c>
      <c r="J51" s="382">
        <v>186225231.19</v>
      </c>
      <c r="K51" s="382">
        <v>172267839.13</v>
      </c>
      <c r="L51" s="382">
        <v>164684420.91999999</v>
      </c>
      <c r="M51" s="382">
        <v>182432532.25999999</v>
      </c>
      <c r="N51" s="382">
        <v>193887557.66</v>
      </c>
      <c r="O51" s="382">
        <v>198976714.81999999</v>
      </c>
      <c r="P51" s="382">
        <f t="shared" ref="P51:P57" si="4">AVERAGE(D51:O51)</f>
        <v>183813804.04250002</v>
      </c>
    </row>
    <row r="52" spans="1:240" ht="13.5">
      <c r="A52" s="126"/>
      <c r="B52" s="127"/>
      <c r="C52" s="134" t="s">
        <v>24</v>
      </c>
      <c r="D52" s="382">
        <v>3398671.78</v>
      </c>
      <c r="E52" s="382">
        <v>2351647.08</v>
      </c>
      <c r="F52" s="382">
        <v>3022175.44</v>
      </c>
      <c r="G52" s="382">
        <v>2456111.62</v>
      </c>
      <c r="H52" s="382">
        <v>2180188.2200000002</v>
      </c>
      <c r="I52" s="382">
        <v>2995304.59</v>
      </c>
      <c r="J52" s="382">
        <v>2493732.0299999998</v>
      </c>
      <c r="K52" s="382">
        <v>2905523.76</v>
      </c>
      <c r="L52" s="382">
        <v>1705339.59</v>
      </c>
      <c r="M52" s="382">
        <v>2183356.89</v>
      </c>
      <c r="N52" s="382">
        <v>2221393.44</v>
      </c>
      <c r="O52" s="382">
        <v>3034353.85</v>
      </c>
      <c r="P52" s="382">
        <f t="shared" si="4"/>
        <v>2578983.1908333334</v>
      </c>
    </row>
    <row r="53" spans="1:240" ht="13.5">
      <c r="A53" s="126"/>
      <c r="B53" s="127"/>
      <c r="C53" s="134" t="s">
        <v>25</v>
      </c>
      <c r="D53" s="382">
        <v>8700616.4700000007</v>
      </c>
      <c r="E53" s="382">
        <v>7525051.9800000004</v>
      </c>
      <c r="F53" s="382">
        <v>6532623.7400000002</v>
      </c>
      <c r="G53" s="382">
        <v>7875428.71</v>
      </c>
      <c r="H53" s="382">
        <v>7984653.4000000004</v>
      </c>
      <c r="I53" s="382">
        <v>7351575.9199999999</v>
      </c>
      <c r="J53" s="382">
        <v>9564535.0199999996</v>
      </c>
      <c r="K53" s="382">
        <v>8603739.1600000001</v>
      </c>
      <c r="L53" s="382">
        <v>7502096.1799999997</v>
      </c>
      <c r="M53" s="382">
        <v>8700420.5299999993</v>
      </c>
      <c r="N53" s="382">
        <v>7747474.4699999997</v>
      </c>
      <c r="O53" s="382">
        <v>8686291.6600000001</v>
      </c>
      <c r="P53" s="382">
        <f t="shared" si="4"/>
        <v>8064542.2700000005</v>
      </c>
    </row>
    <row r="54" spans="1:240" ht="13.5">
      <c r="A54" s="126"/>
      <c r="B54" s="127"/>
      <c r="C54" s="134" t="s">
        <v>26</v>
      </c>
      <c r="D54" s="382">
        <v>12134451.800000001</v>
      </c>
      <c r="E54" s="382">
        <v>11738771.300000001</v>
      </c>
      <c r="F54" s="382">
        <v>13999916.970000001</v>
      </c>
      <c r="G54" s="382">
        <v>11502696.74</v>
      </c>
      <c r="H54" s="382">
        <v>10543919.699999999</v>
      </c>
      <c r="I54" s="382">
        <v>11831286.77</v>
      </c>
      <c r="J54" s="382">
        <v>12080787.16</v>
      </c>
      <c r="K54" s="382">
        <v>12670390.01</v>
      </c>
      <c r="L54" s="382">
        <v>13190501.779999999</v>
      </c>
      <c r="M54" s="382">
        <v>9940148.1600000001</v>
      </c>
      <c r="N54" s="382">
        <v>11650202.58</v>
      </c>
      <c r="O54" s="382">
        <v>12203917.15</v>
      </c>
      <c r="P54" s="382">
        <f t="shared" si="4"/>
        <v>11957249.176666668</v>
      </c>
    </row>
    <row r="55" spans="1:240" ht="13.5">
      <c r="A55" s="126"/>
      <c r="B55" s="127"/>
      <c r="C55" s="134" t="s">
        <v>27</v>
      </c>
      <c r="D55" s="382">
        <v>4704247.37</v>
      </c>
      <c r="E55" s="382">
        <v>4302153.0199999996</v>
      </c>
      <c r="F55" s="382">
        <v>4185080.19</v>
      </c>
      <c r="G55" s="382">
        <v>5577956.8300000001</v>
      </c>
      <c r="H55" s="382">
        <v>4479662.33</v>
      </c>
      <c r="I55" s="382">
        <v>6479045.96</v>
      </c>
      <c r="J55" s="382">
        <v>5233414.71</v>
      </c>
      <c r="K55" s="382">
        <v>7640675.3399999999</v>
      </c>
      <c r="L55" s="382">
        <v>8196087.3799999999</v>
      </c>
      <c r="M55" s="382">
        <v>9653095.9600000009</v>
      </c>
      <c r="N55" s="382">
        <v>9086340.1500000004</v>
      </c>
      <c r="O55" s="382">
        <v>7678943.3300000001</v>
      </c>
      <c r="P55" s="382">
        <f t="shared" si="4"/>
        <v>6434725.2141666673</v>
      </c>
    </row>
    <row r="56" spans="1:240" ht="13.5">
      <c r="A56" s="126"/>
      <c r="B56" s="127"/>
      <c r="C56" s="134" t="s">
        <v>28</v>
      </c>
      <c r="D56" s="382">
        <v>106838.63</v>
      </c>
      <c r="E56" s="382">
        <v>176838.63</v>
      </c>
      <c r="F56" s="382">
        <v>130838.63</v>
      </c>
      <c r="G56" s="382">
        <v>130838.63</v>
      </c>
      <c r="H56" s="382">
        <v>106838.63</v>
      </c>
      <c r="I56" s="382">
        <v>91838.63</v>
      </c>
      <c r="J56" s="382">
        <v>106838.63</v>
      </c>
      <c r="K56" s="382">
        <v>106838.63</v>
      </c>
      <c r="L56" s="382">
        <v>106838.63</v>
      </c>
      <c r="M56" s="382">
        <v>106838.63</v>
      </c>
      <c r="N56" s="382">
        <v>106838.63</v>
      </c>
      <c r="O56" s="382">
        <v>106838.63</v>
      </c>
      <c r="P56" s="382">
        <f t="shared" si="4"/>
        <v>115421.9633333333</v>
      </c>
    </row>
    <row r="57" spans="1:240" ht="14.1" thickBot="1">
      <c r="A57" s="126"/>
      <c r="B57" s="127"/>
      <c r="C57" s="138" t="s">
        <v>29</v>
      </c>
      <c r="D57" s="382">
        <v>162800</v>
      </c>
      <c r="E57" s="382">
        <v>162800</v>
      </c>
      <c r="F57" s="382">
        <v>162800</v>
      </c>
      <c r="G57" s="382">
        <v>162800</v>
      </c>
      <c r="H57" s="382">
        <v>162800</v>
      </c>
      <c r="I57" s="382">
        <v>162800</v>
      </c>
      <c r="J57" s="382">
        <v>162800</v>
      </c>
      <c r="K57" s="382">
        <v>162800</v>
      </c>
      <c r="L57" s="382">
        <v>162800</v>
      </c>
      <c r="M57" s="382">
        <v>162800</v>
      </c>
      <c r="N57" s="382">
        <v>162800</v>
      </c>
      <c r="O57" s="382">
        <v>162800</v>
      </c>
      <c r="P57" s="382">
        <f t="shared" si="4"/>
        <v>162800</v>
      </c>
    </row>
    <row r="58" spans="1:240" ht="13.5">
      <c r="A58" s="126"/>
      <c r="B58" s="352"/>
      <c r="C58" s="353" t="s">
        <v>30</v>
      </c>
      <c r="D58" s="354">
        <v>2080201</v>
      </c>
      <c r="E58" s="354">
        <v>2120435</v>
      </c>
      <c r="F58" s="354">
        <v>1697126</v>
      </c>
      <c r="G58" s="354">
        <v>2017040</v>
      </c>
      <c r="H58" s="354">
        <v>1841996</v>
      </c>
      <c r="I58" s="354">
        <v>3795015</v>
      </c>
      <c r="J58" s="354">
        <v>2721449</v>
      </c>
      <c r="K58" s="354">
        <v>2301064</v>
      </c>
      <c r="L58" s="354">
        <v>5679020</v>
      </c>
      <c r="M58" s="354">
        <v>5684120</v>
      </c>
      <c r="N58" s="354">
        <v>4452299</v>
      </c>
      <c r="O58" s="354">
        <v>2174352</v>
      </c>
      <c r="P58" s="355">
        <f>SUM(P59:P63)</f>
        <v>1535793.5466666664</v>
      </c>
      <c r="Q58" s="356"/>
      <c r="R58" s="356"/>
      <c r="S58" s="356"/>
      <c r="T58" s="356"/>
      <c r="U58" s="356"/>
      <c r="V58" s="356"/>
      <c r="W58" s="356"/>
      <c r="X58" s="356"/>
      <c r="Y58" s="356"/>
      <c r="Z58" s="356"/>
      <c r="AA58" s="356"/>
      <c r="AB58" s="356"/>
      <c r="AC58" s="356"/>
      <c r="AD58" s="356"/>
      <c r="AE58" s="356"/>
      <c r="AF58" s="356"/>
      <c r="AG58" s="356"/>
      <c r="AH58" s="356"/>
      <c r="AI58" s="356"/>
      <c r="AJ58" s="356"/>
      <c r="AK58" s="356"/>
      <c r="AL58" s="356"/>
      <c r="AM58" s="356"/>
      <c r="AN58" s="356"/>
      <c r="AO58" s="356"/>
      <c r="AP58" s="356"/>
      <c r="AQ58" s="356"/>
      <c r="AR58" s="356"/>
      <c r="AS58" s="356"/>
      <c r="AT58" s="356"/>
      <c r="AU58" s="356"/>
      <c r="AV58" s="356"/>
      <c r="AW58" s="356"/>
      <c r="AX58" s="356"/>
      <c r="AY58" s="356"/>
      <c r="AZ58" s="356"/>
      <c r="BA58" s="356"/>
      <c r="BB58" s="356"/>
      <c r="BC58" s="356"/>
      <c r="BD58" s="356"/>
      <c r="BE58" s="356"/>
      <c r="BF58" s="356"/>
      <c r="BG58" s="356"/>
      <c r="BH58" s="356"/>
      <c r="BI58" s="356"/>
      <c r="BJ58" s="356"/>
      <c r="BK58" s="356"/>
      <c r="BL58" s="356"/>
      <c r="BM58" s="356"/>
      <c r="BN58" s="356"/>
      <c r="BO58" s="356"/>
      <c r="BP58" s="356"/>
      <c r="BQ58" s="356"/>
      <c r="BR58" s="356"/>
      <c r="BS58" s="356"/>
      <c r="BT58" s="356"/>
      <c r="BU58" s="356"/>
      <c r="BV58" s="356"/>
      <c r="BW58" s="356"/>
      <c r="BX58" s="356"/>
      <c r="BY58" s="356"/>
      <c r="BZ58" s="356"/>
      <c r="CA58" s="356"/>
      <c r="CB58" s="356"/>
      <c r="CC58" s="356"/>
      <c r="CD58" s="356"/>
      <c r="CE58" s="356"/>
      <c r="CF58" s="356"/>
      <c r="CG58" s="356"/>
      <c r="CH58" s="356"/>
      <c r="CI58" s="356"/>
      <c r="CJ58" s="356"/>
      <c r="CK58" s="356"/>
      <c r="CL58" s="356"/>
      <c r="CM58" s="356"/>
      <c r="CN58" s="356"/>
      <c r="CO58" s="356"/>
      <c r="CP58" s="356"/>
      <c r="CQ58" s="356"/>
      <c r="CR58" s="356"/>
      <c r="CS58" s="356"/>
      <c r="CT58" s="356"/>
      <c r="CU58" s="356"/>
      <c r="CV58" s="356"/>
      <c r="CW58" s="356"/>
      <c r="CX58" s="356"/>
      <c r="CY58" s="356"/>
      <c r="CZ58" s="356"/>
      <c r="DA58" s="356"/>
      <c r="DB58" s="356"/>
      <c r="DC58" s="356"/>
      <c r="DD58" s="356"/>
      <c r="DE58" s="356"/>
      <c r="DF58" s="356"/>
      <c r="DG58" s="356"/>
      <c r="DH58" s="356"/>
      <c r="DI58" s="356"/>
      <c r="DJ58" s="356"/>
      <c r="DK58" s="356"/>
      <c r="DL58" s="356"/>
      <c r="DM58" s="356"/>
      <c r="DN58" s="356"/>
      <c r="DO58" s="356"/>
      <c r="DP58" s="356"/>
      <c r="DQ58" s="356"/>
      <c r="DR58" s="356"/>
      <c r="DS58" s="356"/>
      <c r="DT58" s="356"/>
      <c r="DU58" s="356"/>
      <c r="DV58" s="356"/>
      <c r="DW58" s="356"/>
      <c r="DX58" s="356"/>
      <c r="DY58" s="356"/>
      <c r="DZ58" s="356"/>
      <c r="EA58" s="356"/>
      <c r="EB58" s="356"/>
      <c r="EC58" s="356"/>
      <c r="ED58" s="356"/>
      <c r="EE58" s="356"/>
      <c r="EF58" s="356"/>
      <c r="EG58" s="356"/>
      <c r="EH58" s="356"/>
      <c r="EI58" s="356"/>
      <c r="EJ58" s="356"/>
      <c r="EK58" s="356"/>
      <c r="EL58" s="356"/>
      <c r="EM58" s="356"/>
      <c r="EN58" s="356"/>
      <c r="EO58" s="356"/>
      <c r="EP58" s="356"/>
      <c r="EQ58" s="356"/>
      <c r="ER58" s="356"/>
      <c r="ES58" s="356"/>
      <c r="ET58" s="356"/>
      <c r="EU58" s="356"/>
      <c r="EV58" s="356"/>
      <c r="EW58" s="356"/>
      <c r="EX58" s="356"/>
      <c r="EY58" s="356"/>
      <c r="EZ58" s="356"/>
      <c r="FA58" s="356"/>
      <c r="FB58" s="356"/>
      <c r="FC58" s="356"/>
      <c r="FD58" s="356"/>
      <c r="FE58" s="356"/>
      <c r="FF58" s="356"/>
      <c r="FG58" s="356"/>
      <c r="FH58" s="356"/>
      <c r="FI58" s="356"/>
      <c r="FJ58" s="356"/>
      <c r="FK58" s="356"/>
      <c r="FL58" s="356"/>
      <c r="FM58" s="356"/>
      <c r="FN58" s="356"/>
      <c r="FO58" s="356"/>
      <c r="FP58" s="356"/>
      <c r="FQ58" s="356"/>
      <c r="FR58" s="356"/>
      <c r="FS58" s="356"/>
      <c r="FT58" s="356"/>
      <c r="FU58" s="356"/>
      <c r="FV58" s="356"/>
      <c r="FW58" s="356"/>
      <c r="FX58" s="356"/>
      <c r="FY58" s="356"/>
      <c r="FZ58" s="356"/>
      <c r="GA58" s="356"/>
      <c r="GB58" s="356"/>
      <c r="GC58" s="356"/>
      <c r="GD58" s="356"/>
      <c r="GE58" s="356"/>
      <c r="GF58" s="356"/>
      <c r="GG58" s="356"/>
      <c r="GH58" s="356"/>
      <c r="GI58" s="356"/>
      <c r="GJ58" s="356"/>
      <c r="GK58" s="356"/>
      <c r="GL58" s="356"/>
      <c r="GM58" s="356"/>
      <c r="GN58" s="356"/>
      <c r="GO58" s="356"/>
      <c r="GP58" s="356"/>
      <c r="GQ58" s="356"/>
      <c r="GR58" s="356"/>
      <c r="GS58" s="356"/>
      <c r="GT58" s="356"/>
      <c r="GU58" s="356"/>
      <c r="GV58" s="356"/>
      <c r="GW58" s="356"/>
      <c r="GX58" s="356"/>
      <c r="GY58" s="356"/>
      <c r="GZ58" s="356"/>
      <c r="HA58" s="356"/>
      <c r="HB58" s="356"/>
      <c r="HC58" s="356"/>
      <c r="HD58" s="356"/>
      <c r="HE58" s="356"/>
      <c r="HF58" s="356"/>
      <c r="HG58" s="356"/>
      <c r="HH58" s="356"/>
      <c r="HI58" s="356"/>
      <c r="HJ58" s="356"/>
      <c r="HK58" s="356"/>
      <c r="HL58" s="356"/>
      <c r="HM58" s="356"/>
      <c r="HN58" s="356"/>
      <c r="HO58" s="356"/>
      <c r="HP58" s="356"/>
      <c r="HQ58" s="356"/>
      <c r="HR58" s="356"/>
      <c r="HS58" s="356"/>
      <c r="HT58" s="356"/>
      <c r="HU58" s="356"/>
      <c r="HV58" s="356"/>
      <c r="HW58" s="356"/>
      <c r="HX58" s="356"/>
      <c r="HY58" s="356"/>
      <c r="HZ58" s="356"/>
      <c r="IA58" s="356"/>
      <c r="IB58" s="356"/>
      <c r="IC58" s="356"/>
      <c r="ID58" s="356"/>
      <c r="IE58" s="356"/>
      <c r="IF58" s="356"/>
    </row>
    <row r="59" spans="1:240" ht="13.5">
      <c r="A59" s="126"/>
      <c r="B59" s="254"/>
      <c r="C59" s="233" t="s">
        <v>31</v>
      </c>
      <c r="D59" s="357">
        <v>161175.53</v>
      </c>
      <c r="E59" s="357">
        <v>161175.53</v>
      </c>
      <c r="F59" s="383">
        <v>161175.53</v>
      </c>
      <c r="G59" s="384">
        <v>161175.53</v>
      </c>
      <c r="H59" s="361">
        <v>161175.53</v>
      </c>
      <c r="I59" s="362">
        <v>161175.53</v>
      </c>
      <c r="J59" s="362">
        <v>161175.53</v>
      </c>
      <c r="K59" s="362">
        <v>161175.53</v>
      </c>
      <c r="L59" s="362">
        <v>161175.53</v>
      </c>
      <c r="M59" s="362">
        <v>161175.53</v>
      </c>
      <c r="N59" s="362">
        <v>161175.53</v>
      </c>
      <c r="O59" s="362">
        <v>161175.53</v>
      </c>
      <c r="P59" s="363">
        <f t="shared" ref="P59:P67" si="5">AVERAGE(D59:O59)</f>
        <v>161175.53</v>
      </c>
      <c r="Q59" s="356"/>
      <c r="R59" s="356"/>
      <c r="S59" s="356"/>
      <c r="T59" s="356"/>
      <c r="U59" s="356"/>
      <c r="V59" s="356"/>
      <c r="W59" s="356"/>
      <c r="X59" s="356"/>
      <c r="Y59" s="356"/>
      <c r="Z59" s="356"/>
      <c r="AA59" s="356"/>
      <c r="AB59" s="356"/>
      <c r="AC59" s="356"/>
      <c r="AD59" s="356"/>
      <c r="AE59" s="356"/>
      <c r="AF59" s="356"/>
      <c r="AG59" s="356"/>
      <c r="AH59" s="356"/>
      <c r="AI59" s="356"/>
      <c r="AJ59" s="356"/>
      <c r="AK59" s="356"/>
      <c r="AL59" s="356"/>
      <c r="AM59" s="356"/>
      <c r="AN59" s="356"/>
      <c r="AO59" s="356"/>
      <c r="AP59" s="356"/>
      <c r="AQ59" s="356"/>
      <c r="AR59" s="356"/>
      <c r="AS59" s="356"/>
      <c r="AT59" s="356"/>
      <c r="AU59" s="356"/>
      <c r="AV59" s="356"/>
      <c r="AW59" s="356"/>
      <c r="AX59" s="356"/>
      <c r="AY59" s="356"/>
      <c r="AZ59" s="356"/>
      <c r="BA59" s="356"/>
      <c r="BB59" s="356"/>
      <c r="BC59" s="356"/>
      <c r="BD59" s="356"/>
      <c r="BE59" s="356"/>
      <c r="BF59" s="356"/>
      <c r="BG59" s="356"/>
      <c r="BH59" s="356"/>
      <c r="BI59" s="356"/>
      <c r="BJ59" s="356"/>
      <c r="BK59" s="356"/>
      <c r="BL59" s="356"/>
      <c r="BM59" s="356"/>
      <c r="BN59" s="356"/>
      <c r="BO59" s="356"/>
      <c r="BP59" s="356"/>
      <c r="BQ59" s="356"/>
      <c r="BR59" s="356"/>
      <c r="BS59" s="356"/>
      <c r="BT59" s="356"/>
      <c r="BU59" s="356"/>
      <c r="BV59" s="356"/>
      <c r="BW59" s="356"/>
      <c r="BX59" s="356"/>
      <c r="BY59" s="356"/>
      <c r="BZ59" s="356"/>
      <c r="CA59" s="356"/>
      <c r="CB59" s="356"/>
      <c r="CC59" s="356"/>
      <c r="CD59" s="356"/>
      <c r="CE59" s="356"/>
      <c r="CF59" s="356"/>
      <c r="CG59" s="356"/>
      <c r="CH59" s="356"/>
      <c r="CI59" s="356"/>
      <c r="CJ59" s="356"/>
      <c r="CK59" s="356"/>
      <c r="CL59" s="356"/>
      <c r="CM59" s="356"/>
      <c r="CN59" s="356"/>
      <c r="CO59" s="356"/>
      <c r="CP59" s="356"/>
      <c r="CQ59" s="356"/>
      <c r="CR59" s="356"/>
      <c r="CS59" s="356"/>
      <c r="CT59" s="356"/>
      <c r="CU59" s="356"/>
      <c r="CV59" s="356"/>
      <c r="CW59" s="356"/>
      <c r="CX59" s="356"/>
      <c r="CY59" s="356"/>
      <c r="CZ59" s="356"/>
      <c r="DA59" s="356"/>
      <c r="DB59" s="356"/>
      <c r="DC59" s="356"/>
      <c r="DD59" s="356"/>
      <c r="DE59" s="356"/>
      <c r="DF59" s="356"/>
      <c r="DG59" s="356"/>
      <c r="DH59" s="356"/>
      <c r="DI59" s="356"/>
      <c r="DJ59" s="356"/>
      <c r="DK59" s="356"/>
      <c r="DL59" s="356"/>
      <c r="DM59" s="356"/>
      <c r="DN59" s="356"/>
      <c r="DO59" s="356"/>
      <c r="DP59" s="356"/>
      <c r="DQ59" s="356"/>
      <c r="DR59" s="356"/>
      <c r="DS59" s="356"/>
      <c r="DT59" s="356"/>
      <c r="DU59" s="356"/>
      <c r="DV59" s="356"/>
      <c r="DW59" s="356"/>
      <c r="DX59" s="356"/>
      <c r="DY59" s="356"/>
      <c r="DZ59" s="356"/>
      <c r="EA59" s="356"/>
      <c r="EB59" s="356"/>
      <c r="EC59" s="356"/>
      <c r="ED59" s="356"/>
      <c r="EE59" s="356"/>
      <c r="EF59" s="356"/>
      <c r="EG59" s="356"/>
      <c r="EH59" s="356"/>
      <c r="EI59" s="356"/>
      <c r="EJ59" s="356"/>
      <c r="EK59" s="356"/>
      <c r="EL59" s="356"/>
      <c r="EM59" s="356"/>
      <c r="EN59" s="356"/>
      <c r="EO59" s="356"/>
      <c r="EP59" s="356"/>
      <c r="EQ59" s="356"/>
      <c r="ER59" s="356"/>
      <c r="ES59" s="356"/>
      <c r="ET59" s="356"/>
      <c r="EU59" s="356"/>
      <c r="EV59" s="356"/>
      <c r="EW59" s="356"/>
      <c r="EX59" s="356"/>
      <c r="EY59" s="356"/>
      <c r="EZ59" s="356"/>
      <c r="FA59" s="356"/>
      <c r="FB59" s="356"/>
      <c r="FC59" s="356"/>
      <c r="FD59" s="356"/>
      <c r="FE59" s="356"/>
      <c r="FF59" s="356"/>
      <c r="FG59" s="356"/>
      <c r="FH59" s="356"/>
      <c r="FI59" s="356"/>
      <c r="FJ59" s="356"/>
      <c r="FK59" s="356"/>
      <c r="FL59" s="356"/>
      <c r="FM59" s="356"/>
      <c r="FN59" s="356"/>
      <c r="FO59" s="356"/>
      <c r="FP59" s="356"/>
      <c r="FQ59" s="356"/>
      <c r="FR59" s="356"/>
      <c r="FS59" s="356"/>
      <c r="FT59" s="356"/>
      <c r="FU59" s="356"/>
      <c r="FV59" s="356"/>
      <c r="FW59" s="356"/>
      <c r="FX59" s="356"/>
      <c r="FY59" s="356"/>
      <c r="FZ59" s="356"/>
      <c r="GA59" s="356"/>
      <c r="GB59" s="356"/>
      <c r="GC59" s="356"/>
      <c r="GD59" s="356"/>
      <c r="GE59" s="356"/>
      <c r="GF59" s="356"/>
      <c r="GG59" s="356"/>
      <c r="GH59" s="356"/>
      <c r="GI59" s="356"/>
      <c r="GJ59" s="356"/>
      <c r="GK59" s="356"/>
      <c r="GL59" s="356"/>
      <c r="GM59" s="356"/>
      <c r="GN59" s="356"/>
      <c r="GO59" s="356"/>
      <c r="GP59" s="356"/>
      <c r="GQ59" s="356"/>
      <c r="GR59" s="356"/>
      <c r="GS59" s="356"/>
      <c r="GT59" s="356"/>
      <c r="GU59" s="356"/>
      <c r="GV59" s="356"/>
      <c r="GW59" s="356"/>
      <c r="GX59" s="356"/>
      <c r="GY59" s="356"/>
      <c r="GZ59" s="356"/>
      <c r="HA59" s="356"/>
      <c r="HB59" s="356"/>
      <c r="HC59" s="356"/>
      <c r="HD59" s="356"/>
      <c r="HE59" s="356"/>
      <c r="HF59" s="356"/>
      <c r="HG59" s="356"/>
      <c r="HH59" s="356"/>
      <c r="HI59" s="356"/>
      <c r="HJ59" s="356"/>
      <c r="HK59" s="356"/>
      <c r="HL59" s="356"/>
      <c r="HM59" s="356"/>
      <c r="HN59" s="356"/>
      <c r="HO59" s="356"/>
      <c r="HP59" s="356"/>
      <c r="HQ59" s="356"/>
      <c r="HR59" s="356"/>
      <c r="HS59" s="356"/>
      <c r="HT59" s="356"/>
      <c r="HU59" s="356"/>
      <c r="HV59" s="356"/>
      <c r="HW59" s="356"/>
      <c r="HX59" s="356"/>
      <c r="HY59" s="356"/>
      <c r="HZ59" s="356"/>
      <c r="IA59" s="356"/>
      <c r="IB59" s="356"/>
      <c r="IC59" s="356"/>
      <c r="ID59" s="356"/>
      <c r="IE59" s="356"/>
      <c r="IF59" s="356"/>
    </row>
    <row r="60" spans="1:240" ht="13.5">
      <c r="A60" s="126"/>
      <c r="B60" s="254"/>
      <c r="C60" s="134" t="s">
        <v>32</v>
      </c>
      <c r="D60" s="357">
        <v>119109.6</v>
      </c>
      <c r="E60" s="357">
        <v>125169.60000000001</v>
      </c>
      <c r="F60" s="383">
        <v>115509.6</v>
      </c>
      <c r="G60" s="384">
        <v>125205.6</v>
      </c>
      <c r="H60" s="361">
        <v>126993.60000000001</v>
      </c>
      <c r="I60" s="362">
        <v>127065.60000000001</v>
      </c>
      <c r="J60" s="362">
        <v>103845.6</v>
      </c>
      <c r="K60" s="362">
        <v>142005.6</v>
      </c>
      <c r="L60" s="362">
        <v>137685.6</v>
      </c>
      <c r="M60" s="362">
        <v>83037.600000000006</v>
      </c>
      <c r="N60" s="362">
        <v>99081.600000000006</v>
      </c>
      <c r="O60" s="362">
        <v>81105.600000000006</v>
      </c>
      <c r="P60" s="363">
        <f t="shared" si="5"/>
        <v>115484.60000000002</v>
      </c>
      <c r="Q60" s="356"/>
      <c r="R60" s="356"/>
      <c r="S60" s="356"/>
      <c r="T60" s="356"/>
      <c r="U60" s="356"/>
      <c r="V60" s="356"/>
      <c r="W60" s="356"/>
      <c r="X60" s="356"/>
      <c r="Y60" s="356"/>
      <c r="Z60" s="356"/>
      <c r="AA60" s="356"/>
      <c r="AB60" s="356"/>
      <c r="AC60" s="356"/>
      <c r="AD60" s="356"/>
      <c r="AE60" s="356"/>
      <c r="AF60" s="356"/>
      <c r="AG60" s="356"/>
      <c r="AH60" s="356"/>
      <c r="AI60" s="356"/>
      <c r="AJ60" s="356"/>
      <c r="AK60" s="356"/>
      <c r="AL60" s="356"/>
      <c r="AM60" s="356"/>
      <c r="AN60" s="356"/>
      <c r="AO60" s="356"/>
      <c r="AP60" s="356"/>
      <c r="AQ60" s="356"/>
      <c r="AR60" s="356"/>
      <c r="AS60" s="356"/>
      <c r="AT60" s="356"/>
      <c r="AU60" s="356"/>
      <c r="AV60" s="356"/>
      <c r="AW60" s="356"/>
      <c r="AX60" s="356"/>
      <c r="AY60" s="356"/>
      <c r="AZ60" s="356"/>
      <c r="BA60" s="356"/>
      <c r="BB60" s="356"/>
      <c r="BC60" s="356"/>
      <c r="BD60" s="356"/>
      <c r="BE60" s="356"/>
      <c r="BF60" s="356"/>
      <c r="BG60" s="356"/>
      <c r="BH60" s="356"/>
      <c r="BI60" s="356"/>
      <c r="BJ60" s="356"/>
      <c r="BK60" s="356"/>
      <c r="BL60" s="356"/>
      <c r="BM60" s="356"/>
      <c r="BN60" s="356"/>
      <c r="BO60" s="356"/>
      <c r="BP60" s="356"/>
      <c r="BQ60" s="356"/>
      <c r="BR60" s="356"/>
      <c r="BS60" s="356"/>
      <c r="BT60" s="356"/>
      <c r="BU60" s="356"/>
      <c r="BV60" s="356"/>
      <c r="BW60" s="356"/>
      <c r="BX60" s="356"/>
      <c r="BY60" s="356"/>
      <c r="BZ60" s="356"/>
      <c r="CA60" s="356"/>
      <c r="CB60" s="356"/>
      <c r="CC60" s="356"/>
      <c r="CD60" s="356"/>
      <c r="CE60" s="356"/>
      <c r="CF60" s="356"/>
      <c r="CG60" s="356"/>
      <c r="CH60" s="356"/>
      <c r="CI60" s="356"/>
      <c r="CJ60" s="356"/>
      <c r="CK60" s="356"/>
      <c r="CL60" s="356"/>
      <c r="CM60" s="356"/>
      <c r="CN60" s="356"/>
      <c r="CO60" s="356"/>
      <c r="CP60" s="356"/>
      <c r="CQ60" s="356"/>
      <c r="CR60" s="356"/>
      <c r="CS60" s="356"/>
      <c r="CT60" s="356"/>
      <c r="CU60" s="356"/>
      <c r="CV60" s="356"/>
      <c r="CW60" s="356"/>
      <c r="CX60" s="356"/>
      <c r="CY60" s="356"/>
      <c r="CZ60" s="356"/>
      <c r="DA60" s="356"/>
      <c r="DB60" s="356"/>
      <c r="DC60" s="356"/>
      <c r="DD60" s="356"/>
      <c r="DE60" s="356"/>
      <c r="DF60" s="356"/>
      <c r="DG60" s="356"/>
      <c r="DH60" s="356"/>
      <c r="DI60" s="356"/>
      <c r="DJ60" s="356"/>
      <c r="DK60" s="356"/>
      <c r="DL60" s="356"/>
      <c r="DM60" s="356"/>
      <c r="DN60" s="356"/>
      <c r="DO60" s="356"/>
      <c r="DP60" s="356"/>
      <c r="DQ60" s="356"/>
      <c r="DR60" s="356"/>
      <c r="DS60" s="356"/>
      <c r="DT60" s="356"/>
      <c r="DU60" s="356"/>
      <c r="DV60" s="356"/>
      <c r="DW60" s="356"/>
      <c r="DX60" s="356"/>
      <c r="DY60" s="356"/>
      <c r="DZ60" s="356"/>
      <c r="EA60" s="356"/>
      <c r="EB60" s="356"/>
      <c r="EC60" s="356"/>
      <c r="ED60" s="356"/>
      <c r="EE60" s="356"/>
      <c r="EF60" s="356"/>
      <c r="EG60" s="356"/>
      <c r="EH60" s="356"/>
      <c r="EI60" s="356"/>
      <c r="EJ60" s="356"/>
      <c r="EK60" s="356"/>
      <c r="EL60" s="356"/>
      <c r="EM60" s="356"/>
      <c r="EN60" s="356"/>
      <c r="EO60" s="356"/>
      <c r="EP60" s="356"/>
      <c r="EQ60" s="356"/>
      <c r="ER60" s="356"/>
      <c r="ES60" s="356"/>
      <c r="ET60" s="356"/>
      <c r="EU60" s="356"/>
      <c r="EV60" s="356"/>
      <c r="EW60" s="356"/>
      <c r="EX60" s="356"/>
      <c r="EY60" s="356"/>
      <c r="EZ60" s="356"/>
      <c r="FA60" s="356"/>
      <c r="FB60" s="356"/>
      <c r="FC60" s="356"/>
      <c r="FD60" s="356"/>
      <c r="FE60" s="356"/>
      <c r="FF60" s="356"/>
      <c r="FG60" s="356"/>
      <c r="FH60" s="356"/>
      <c r="FI60" s="356"/>
      <c r="FJ60" s="356"/>
      <c r="FK60" s="356"/>
      <c r="FL60" s="356"/>
      <c r="FM60" s="356"/>
      <c r="FN60" s="356"/>
      <c r="FO60" s="356"/>
      <c r="FP60" s="356"/>
      <c r="FQ60" s="356"/>
      <c r="FR60" s="356"/>
      <c r="FS60" s="356"/>
      <c r="FT60" s="356"/>
      <c r="FU60" s="356"/>
      <c r="FV60" s="356"/>
      <c r="FW60" s="356"/>
      <c r="FX60" s="356"/>
      <c r="FY60" s="356"/>
      <c r="FZ60" s="356"/>
      <c r="GA60" s="356"/>
      <c r="GB60" s="356"/>
      <c r="GC60" s="356"/>
      <c r="GD60" s="356"/>
      <c r="GE60" s="356"/>
      <c r="GF60" s="356"/>
      <c r="GG60" s="356"/>
      <c r="GH60" s="356"/>
      <c r="GI60" s="356"/>
      <c r="GJ60" s="356"/>
      <c r="GK60" s="356"/>
      <c r="GL60" s="356"/>
      <c r="GM60" s="356"/>
      <c r="GN60" s="356"/>
      <c r="GO60" s="356"/>
      <c r="GP60" s="356"/>
      <c r="GQ60" s="356"/>
      <c r="GR60" s="356"/>
      <c r="GS60" s="356"/>
      <c r="GT60" s="356"/>
      <c r="GU60" s="356"/>
      <c r="GV60" s="356"/>
      <c r="GW60" s="356"/>
      <c r="GX60" s="356"/>
      <c r="GY60" s="356"/>
      <c r="GZ60" s="356"/>
      <c r="HA60" s="356"/>
      <c r="HB60" s="356"/>
      <c r="HC60" s="356"/>
      <c r="HD60" s="356"/>
      <c r="HE60" s="356"/>
      <c r="HF60" s="356"/>
      <c r="HG60" s="356"/>
      <c r="HH60" s="356"/>
      <c r="HI60" s="356"/>
      <c r="HJ60" s="356"/>
      <c r="HK60" s="356"/>
      <c r="HL60" s="356"/>
      <c r="HM60" s="356"/>
      <c r="HN60" s="356"/>
      <c r="HO60" s="356"/>
      <c r="HP60" s="356"/>
      <c r="HQ60" s="356"/>
      <c r="HR60" s="356"/>
      <c r="HS60" s="356"/>
      <c r="HT60" s="356"/>
      <c r="HU60" s="356"/>
      <c r="HV60" s="356"/>
      <c r="HW60" s="356"/>
      <c r="HX60" s="356"/>
      <c r="HY60" s="356"/>
      <c r="HZ60" s="356"/>
      <c r="IA60" s="356"/>
      <c r="IB60" s="356"/>
      <c r="IC60" s="356"/>
      <c r="ID60" s="356"/>
      <c r="IE60" s="356"/>
      <c r="IF60" s="356"/>
    </row>
    <row r="61" spans="1:240" ht="13.5">
      <c r="A61" s="126"/>
      <c r="B61" s="254"/>
      <c r="C61" s="134" t="s">
        <v>33</v>
      </c>
      <c r="D61" s="357">
        <v>0</v>
      </c>
      <c r="E61" s="357">
        <v>0</v>
      </c>
      <c r="F61" s="383">
        <v>0</v>
      </c>
      <c r="G61" s="384">
        <v>0</v>
      </c>
      <c r="H61" s="361">
        <v>0</v>
      </c>
      <c r="I61" s="362">
        <v>0</v>
      </c>
      <c r="J61" s="362">
        <v>0</v>
      </c>
      <c r="K61" s="362">
        <v>0</v>
      </c>
      <c r="L61" s="362">
        <v>0</v>
      </c>
      <c r="M61" s="362">
        <v>0</v>
      </c>
      <c r="N61" s="362">
        <v>0</v>
      </c>
      <c r="O61" s="362">
        <v>0</v>
      </c>
      <c r="P61" s="363">
        <f t="shared" si="5"/>
        <v>0</v>
      </c>
      <c r="Q61" s="356"/>
      <c r="R61" s="356"/>
      <c r="S61" s="356"/>
      <c r="T61" s="356"/>
      <c r="U61" s="356"/>
      <c r="V61" s="356"/>
      <c r="W61" s="356"/>
      <c r="X61" s="356"/>
      <c r="Y61" s="356"/>
      <c r="Z61" s="356"/>
      <c r="AA61" s="356"/>
      <c r="AB61" s="356"/>
      <c r="AC61" s="356"/>
      <c r="AD61" s="356"/>
      <c r="AE61" s="356"/>
      <c r="AF61" s="356"/>
      <c r="AG61" s="356"/>
      <c r="AH61" s="356"/>
      <c r="AI61" s="356"/>
      <c r="AJ61" s="356"/>
      <c r="AK61" s="356"/>
      <c r="AL61" s="356"/>
      <c r="AM61" s="356"/>
      <c r="AN61" s="356"/>
      <c r="AO61" s="356"/>
      <c r="AP61" s="356"/>
      <c r="AQ61" s="356"/>
      <c r="AR61" s="356"/>
      <c r="AS61" s="356"/>
      <c r="AT61" s="356"/>
      <c r="AU61" s="356"/>
      <c r="AV61" s="356"/>
      <c r="AW61" s="356"/>
      <c r="AX61" s="356"/>
      <c r="AY61" s="356"/>
      <c r="AZ61" s="356"/>
      <c r="BA61" s="356"/>
      <c r="BB61" s="356"/>
      <c r="BC61" s="356"/>
      <c r="BD61" s="356"/>
      <c r="BE61" s="356"/>
      <c r="BF61" s="356"/>
      <c r="BG61" s="356"/>
      <c r="BH61" s="356"/>
      <c r="BI61" s="356"/>
      <c r="BJ61" s="356"/>
      <c r="BK61" s="356"/>
      <c r="BL61" s="356"/>
      <c r="BM61" s="356"/>
      <c r="BN61" s="356"/>
      <c r="BO61" s="356"/>
      <c r="BP61" s="356"/>
      <c r="BQ61" s="356"/>
      <c r="BR61" s="356"/>
      <c r="BS61" s="356"/>
      <c r="BT61" s="356"/>
      <c r="BU61" s="356"/>
      <c r="BV61" s="356"/>
      <c r="BW61" s="356"/>
      <c r="BX61" s="356"/>
      <c r="BY61" s="356"/>
      <c r="BZ61" s="356"/>
      <c r="CA61" s="356"/>
      <c r="CB61" s="356"/>
      <c r="CC61" s="356"/>
      <c r="CD61" s="356"/>
      <c r="CE61" s="356"/>
      <c r="CF61" s="356"/>
      <c r="CG61" s="356"/>
      <c r="CH61" s="356"/>
      <c r="CI61" s="356"/>
      <c r="CJ61" s="356"/>
      <c r="CK61" s="356"/>
      <c r="CL61" s="356"/>
      <c r="CM61" s="356"/>
      <c r="CN61" s="356"/>
      <c r="CO61" s="356"/>
      <c r="CP61" s="356"/>
      <c r="CQ61" s="356"/>
      <c r="CR61" s="356"/>
      <c r="CS61" s="356"/>
      <c r="CT61" s="356"/>
      <c r="CU61" s="356"/>
      <c r="CV61" s="356"/>
      <c r="CW61" s="356"/>
      <c r="CX61" s="356"/>
      <c r="CY61" s="356"/>
      <c r="CZ61" s="356"/>
      <c r="DA61" s="356"/>
      <c r="DB61" s="356"/>
      <c r="DC61" s="356"/>
      <c r="DD61" s="356"/>
      <c r="DE61" s="356"/>
      <c r="DF61" s="356"/>
      <c r="DG61" s="356"/>
      <c r="DH61" s="356"/>
      <c r="DI61" s="356"/>
      <c r="DJ61" s="356"/>
      <c r="DK61" s="356"/>
      <c r="DL61" s="356"/>
      <c r="DM61" s="356"/>
      <c r="DN61" s="356"/>
      <c r="DO61" s="356"/>
      <c r="DP61" s="356"/>
      <c r="DQ61" s="356"/>
      <c r="DR61" s="356"/>
      <c r="DS61" s="356"/>
      <c r="DT61" s="356"/>
      <c r="DU61" s="356"/>
      <c r="DV61" s="356"/>
      <c r="DW61" s="356"/>
      <c r="DX61" s="356"/>
      <c r="DY61" s="356"/>
      <c r="DZ61" s="356"/>
      <c r="EA61" s="356"/>
      <c r="EB61" s="356"/>
      <c r="EC61" s="356"/>
      <c r="ED61" s="356"/>
      <c r="EE61" s="356"/>
      <c r="EF61" s="356"/>
      <c r="EG61" s="356"/>
      <c r="EH61" s="356"/>
      <c r="EI61" s="356"/>
      <c r="EJ61" s="356"/>
      <c r="EK61" s="356"/>
      <c r="EL61" s="356"/>
      <c r="EM61" s="356"/>
      <c r="EN61" s="356"/>
      <c r="EO61" s="356"/>
      <c r="EP61" s="356"/>
      <c r="EQ61" s="356"/>
      <c r="ER61" s="356"/>
      <c r="ES61" s="356"/>
      <c r="ET61" s="356"/>
      <c r="EU61" s="356"/>
      <c r="EV61" s="356"/>
      <c r="EW61" s="356"/>
      <c r="EX61" s="356"/>
      <c r="EY61" s="356"/>
      <c r="EZ61" s="356"/>
      <c r="FA61" s="356"/>
      <c r="FB61" s="356"/>
      <c r="FC61" s="356"/>
      <c r="FD61" s="356"/>
      <c r="FE61" s="356"/>
      <c r="FF61" s="356"/>
      <c r="FG61" s="356"/>
      <c r="FH61" s="356"/>
      <c r="FI61" s="356"/>
      <c r="FJ61" s="356"/>
      <c r="FK61" s="356"/>
      <c r="FL61" s="356"/>
      <c r="FM61" s="356"/>
      <c r="FN61" s="356"/>
      <c r="FO61" s="356"/>
      <c r="FP61" s="356"/>
      <c r="FQ61" s="356"/>
      <c r="FR61" s="356"/>
      <c r="FS61" s="356"/>
      <c r="FT61" s="356"/>
      <c r="FU61" s="356"/>
      <c r="FV61" s="356"/>
      <c r="FW61" s="356"/>
      <c r="FX61" s="356"/>
      <c r="FY61" s="356"/>
      <c r="FZ61" s="356"/>
      <c r="GA61" s="356"/>
      <c r="GB61" s="356"/>
      <c r="GC61" s="356"/>
      <c r="GD61" s="356"/>
      <c r="GE61" s="356"/>
      <c r="GF61" s="356"/>
      <c r="GG61" s="356"/>
      <c r="GH61" s="356"/>
      <c r="GI61" s="356"/>
      <c r="GJ61" s="356"/>
      <c r="GK61" s="356"/>
      <c r="GL61" s="356"/>
      <c r="GM61" s="356"/>
      <c r="GN61" s="356"/>
      <c r="GO61" s="356"/>
      <c r="GP61" s="356"/>
      <c r="GQ61" s="356"/>
      <c r="GR61" s="356"/>
      <c r="GS61" s="356"/>
      <c r="GT61" s="356"/>
      <c r="GU61" s="356"/>
      <c r="GV61" s="356"/>
      <c r="GW61" s="356"/>
      <c r="GX61" s="356"/>
      <c r="GY61" s="356"/>
      <c r="GZ61" s="356"/>
      <c r="HA61" s="356"/>
      <c r="HB61" s="356"/>
      <c r="HC61" s="356"/>
      <c r="HD61" s="356"/>
      <c r="HE61" s="356"/>
      <c r="HF61" s="356"/>
      <c r="HG61" s="356"/>
      <c r="HH61" s="356"/>
      <c r="HI61" s="356"/>
      <c r="HJ61" s="356"/>
      <c r="HK61" s="356"/>
      <c r="HL61" s="356"/>
      <c r="HM61" s="356"/>
      <c r="HN61" s="356"/>
      <c r="HO61" s="356"/>
      <c r="HP61" s="356"/>
      <c r="HQ61" s="356"/>
      <c r="HR61" s="356"/>
      <c r="HS61" s="356"/>
      <c r="HT61" s="356"/>
      <c r="HU61" s="356"/>
      <c r="HV61" s="356"/>
      <c r="HW61" s="356"/>
      <c r="HX61" s="356"/>
      <c r="HY61" s="356"/>
      <c r="HZ61" s="356"/>
      <c r="IA61" s="356"/>
      <c r="IB61" s="356"/>
      <c r="IC61" s="356"/>
      <c r="ID61" s="356"/>
      <c r="IE61" s="356"/>
      <c r="IF61" s="356"/>
    </row>
    <row r="62" spans="1:240" ht="13.5">
      <c r="A62" s="126"/>
      <c r="B62" s="254"/>
      <c r="C62" s="233" t="s">
        <v>34</v>
      </c>
      <c r="D62" s="369">
        <v>0</v>
      </c>
      <c r="E62" s="369">
        <v>0</v>
      </c>
      <c r="F62" s="385">
        <v>0</v>
      </c>
      <c r="G62" s="386">
        <v>0</v>
      </c>
      <c r="H62" s="366">
        <v>0</v>
      </c>
      <c r="I62" s="367">
        <v>0</v>
      </c>
      <c r="J62" s="367">
        <v>0</v>
      </c>
      <c r="K62" s="367">
        <v>0</v>
      </c>
      <c r="L62" s="367">
        <v>0</v>
      </c>
      <c r="M62" s="367">
        <v>0</v>
      </c>
      <c r="N62" s="367">
        <v>0</v>
      </c>
      <c r="O62" s="367">
        <v>0</v>
      </c>
      <c r="P62" s="363">
        <f>AVERAGE(D62:O62)</f>
        <v>0</v>
      </c>
      <c r="Q62" s="356"/>
      <c r="R62" s="356"/>
      <c r="S62" s="356"/>
      <c r="T62" s="356"/>
      <c r="U62" s="356"/>
      <c r="V62" s="356"/>
      <c r="W62" s="356"/>
      <c r="X62" s="356"/>
      <c r="Y62" s="356"/>
      <c r="Z62" s="356"/>
      <c r="AA62" s="356"/>
      <c r="AB62" s="356"/>
      <c r="AC62" s="356"/>
      <c r="AD62" s="356"/>
      <c r="AE62" s="356"/>
      <c r="AF62" s="356"/>
      <c r="AG62" s="356"/>
      <c r="AH62" s="356"/>
      <c r="AI62" s="356"/>
      <c r="AJ62" s="356"/>
      <c r="AK62" s="356"/>
      <c r="AL62" s="356"/>
      <c r="AM62" s="356"/>
      <c r="AN62" s="356"/>
      <c r="AO62" s="356"/>
      <c r="AP62" s="356"/>
      <c r="AQ62" s="356"/>
      <c r="AR62" s="356"/>
      <c r="AS62" s="356"/>
      <c r="AT62" s="356"/>
      <c r="AU62" s="356"/>
      <c r="AV62" s="356"/>
      <c r="AW62" s="356"/>
      <c r="AX62" s="356"/>
      <c r="AY62" s="356"/>
      <c r="AZ62" s="356"/>
      <c r="BA62" s="356"/>
      <c r="BB62" s="356"/>
      <c r="BC62" s="356"/>
      <c r="BD62" s="356"/>
      <c r="BE62" s="356"/>
      <c r="BF62" s="356"/>
      <c r="BG62" s="356"/>
      <c r="BH62" s="356"/>
      <c r="BI62" s="356"/>
      <c r="BJ62" s="356"/>
      <c r="BK62" s="356"/>
      <c r="BL62" s="356"/>
      <c r="BM62" s="356"/>
      <c r="BN62" s="356"/>
      <c r="BO62" s="356"/>
      <c r="BP62" s="356"/>
      <c r="BQ62" s="356"/>
      <c r="BR62" s="356"/>
      <c r="BS62" s="356"/>
      <c r="BT62" s="356"/>
      <c r="BU62" s="356"/>
      <c r="BV62" s="356"/>
      <c r="BW62" s="356"/>
      <c r="BX62" s="356"/>
      <c r="BY62" s="356"/>
      <c r="BZ62" s="356"/>
      <c r="CA62" s="356"/>
      <c r="CB62" s="356"/>
      <c r="CC62" s="356"/>
      <c r="CD62" s="356"/>
      <c r="CE62" s="356"/>
      <c r="CF62" s="356"/>
      <c r="CG62" s="356"/>
      <c r="CH62" s="356"/>
      <c r="CI62" s="356"/>
      <c r="CJ62" s="356"/>
      <c r="CK62" s="356"/>
      <c r="CL62" s="356"/>
      <c r="CM62" s="356"/>
      <c r="CN62" s="356"/>
      <c r="CO62" s="356"/>
      <c r="CP62" s="356"/>
      <c r="CQ62" s="356"/>
      <c r="CR62" s="356"/>
      <c r="CS62" s="356"/>
      <c r="CT62" s="356"/>
      <c r="CU62" s="356"/>
      <c r="CV62" s="356"/>
      <c r="CW62" s="356"/>
      <c r="CX62" s="356"/>
      <c r="CY62" s="356"/>
      <c r="CZ62" s="356"/>
      <c r="DA62" s="356"/>
      <c r="DB62" s="356"/>
      <c r="DC62" s="356"/>
      <c r="DD62" s="356"/>
      <c r="DE62" s="356"/>
      <c r="DF62" s="356"/>
      <c r="DG62" s="356"/>
      <c r="DH62" s="356"/>
      <c r="DI62" s="356"/>
      <c r="DJ62" s="356"/>
      <c r="DK62" s="356"/>
      <c r="DL62" s="356"/>
      <c r="DM62" s="356"/>
      <c r="DN62" s="356"/>
      <c r="DO62" s="356"/>
      <c r="DP62" s="356"/>
      <c r="DQ62" s="356"/>
      <c r="DR62" s="356"/>
      <c r="DS62" s="356"/>
      <c r="DT62" s="356"/>
      <c r="DU62" s="356"/>
      <c r="DV62" s="356"/>
      <c r="DW62" s="356"/>
      <c r="DX62" s="356"/>
      <c r="DY62" s="356"/>
      <c r="DZ62" s="356"/>
      <c r="EA62" s="356"/>
      <c r="EB62" s="356"/>
      <c r="EC62" s="356"/>
      <c r="ED62" s="356"/>
      <c r="EE62" s="356"/>
      <c r="EF62" s="356"/>
      <c r="EG62" s="356"/>
      <c r="EH62" s="356"/>
      <c r="EI62" s="356"/>
      <c r="EJ62" s="356"/>
      <c r="EK62" s="356"/>
      <c r="EL62" s="356"/>
      <c r="EM62" s="356"/>
      <c r="EN62" s="356"/>
      <c r="EO62" s="356"/>
      <c r="EP62" s="356"/>
      <c r="EQ62" s="356"/>
      <c r="ER62" s="356"/>
      <c r="ES62" s="356"/>
      <c r="ET62" s="356"/>
      <c r="EU62" s="356"/>
      <c r="EV62" s="356"/>
      <c r="EW62" s="356"/>
      <c r="EX62" s="356"/>
      <c r="EY62" s="356"/>
      <c r="EZ62" s="356"/>
      <c r="FA62" s="356"/>
      <c r="FB62" s="356"/>
      <c r="FC62" s="356"/>
      <c r="FD62" s="356"/>
      <c r="FE62" s="356"/>
      <c r="FF62" s="356"/>
      <c r="FG62" s="356"/>
      <c r="FH62" s="356"/>
      <c r="FI62" s="356"/>
      <c r="FJ62" s="356"/>
      <c r="FK62" s="356"/>
      <c r="FL62" s="356"/>
      <c r="FM62" s="356"/>
      <c r="FN62" s="356"/>
      <c r="FO62" s="356"/>
      <c r="FP62" s="356"/>
      <c r="FQ62" s="356"/>
      <c r="FR62" s="356"/>
      <c r="FS62" s="356"/>
      <c r="FT62" s="356"/>
      <c r="FU62" s="356"/>
      <c r="FV62" s="356"/>
      <c r="FW62" s="356"/>
      <c r="FX62" s="356"/>
      <c r="FY62" s="356"/>
      <c r="FZ62" s="356"/>
      <c r="GA62" s="356"/>
      <c r="GB62" s="356"/>
      <c r="GC62" s="356"/>
      <c r="GD62" s="356"/>
      <c r="GE62" s="356"/>
      <c r="GF62" s="356"/>
      <c r="GG62" s="356"/>
      <c r="GH62" s="356"/>
      <c r="GI62" s="356"/>
      <c r="GJ62" s="356"/>
      <c r="GK62" s="356"/>
      <c r="GL62" s="356"/>
      <c r="GM62" s="356"/>
      <c r="GN62" s="356"/>
      <c r="GO62" s="356"/>
      <c r="GP62" s="356"/>
      <c r="GQ62" s="356"/>
      <c r="GR62" s="356"/>
      <c r="GS62" s="356"/>
      <c r="GT62" s="356"/>
      <c r="GU62" s="356"/>
      <c r="GV62" s="356"/>
      <c r="GW62" s="356"/>
      <c r="GX62" s="356"/>
      <c r="GY62" s="356"/>
      <c r="GZ62" s="356"/>
      <c r="HA62" s="356"/>
      <c r="HB62" s="356"/>
      <c r="HC62" s="356"/>
      <c r="HD62" s="356"/>
      <c r="HE62" s="356"/>
      <c r="HF62" s="356"/>
      <c r="HG62" s="356"/>
      <c r="HH62" s="356"/>
      <c r="HI62" s="356"/>
      <c r="HJ62" s="356"/>
      <c r="HK62" s="356"/>
      <c r="HL62" s="356"/>
      <c r="HM62" s="356"/>
      <c r="HN62" s="356"/>
      <c r="HO62" s="356"/>
      <c r="HP62" s="356"/>
      <c r="HQ62" s="356"/>
      <c r="HR62" s="356"/>
      <c r="HS62" s="356"/>
      <c r="HT62" s="356"/>
      <c r="HU62" s="356"/>
      <c r="HV62" s="356"/>
      <c r="HW62" s="356"/>
      <c r="HX62" s="356"/>
      <c r="HY62" s="356"/>
      <c r="HZ62" s="356"/>
      <c r="IA62" s="356"/>
      <c r="IB62" s="356"/>
      <c r="IC62" s="356"/>
      <c r="ID62" s="356"/>
      <c r="IE62" s="356"/>
      <c r="IF62" s="356"/>
    </row>
    <row r="63" spans="1:240" ht="14.25" customHeight="1" thickBot="1">
      <c r="A63" s="126"/>
      <c r="B63" s="368"/>
      <c r="C63" s="134" t="s">
        <v>35</v>
      </c>
      <c r="D63" s="387">
        <v>1009213.84</v>
      </c>
      <c r="E63" s="387">
        <v>953964</v>
      </c>
      <c r="F63" s="385">
        <v>1193712.48</v>
      </c>
      <c r="G63" s="388">
        <v>1754628.56</v>
      </c>
      <c r="H63" s="373">
        <v>1131600.08</v>
      </c>
      <c r="I63" s="374">
        <v>1533638.92</v>
      </c>
      <c r="J63" s="374">
        <v>1431260</v>
      </c>
      <c r="K63" s="374">
        <v>1298482.28</v>
      </c>
      <c r="L63" s="374">
        <v>1209776.48</v>
      </c>
      <c r="M63" s="374">
        <v>978289.2</v>
      </c>
      <c r="N63" s="374">
        <v>967409.12</v>
      </c>
      <c r="O63" s="374">
        <v>1647626.04</v>
      </c>
      <c r="P63" s="389">
        <f t="shared" si="5"/>
        <v>1259133.4166666663</v>
      </c>
      <c r="Q63" s="356"/>
      <c r="R63" s="356"/>
      <c r="S63" s="356"/>
      <c r="T63" s="356"/>
      <c r="U63" s="356"/>
      <c r="V63" s="356"/>
      <c r="W63" s="356"/>
      <c r="X63" s="356"/>
      <c r="Y63" s="356"/>
      <c r="Z63" s="356"/>
      <c r="AA63" s="356"/>
      <c r="AB63" s="356"/>
      <c r="AC63" s="356"/>
      <c r="AD63" s="356"/>
      <c r="AE63" s="356"/>
      <c r="AF63" s="356"/>
      <c r="AG63" s="356"/>
      <c r="AH63" s="356"/>
      <c r="AI63" s="356"/>
      <c r="AJ63" s="356"/>
      <c r="AK63" s="356"/>
      <c r="AL63" s="356"/>
      <c r="AM63" s="356"/>
      <c r="AN63" s="356"/>
      <c r="AO63" s="356"/>
      <c r="AP63" s="356"/>
      <c r="AQ63" s="356"/>
      <c r="AR63" s="356"/>
      <c r="AS63" s="356"/>
      <c r="AT63" s="356"/>
      <c r="AU63" s="356"/>
      <c r="AV63" s="356"/>
      <c r="AW63" s="356"/>
      <c r="AX63" s="356"/>
      <c r="AY63" s="356"/>
      <c r="AZ63" s="356"/>
      <c r="BA63" s="356"/>
      <c r="BB63" s="356"/>
      <c r="BC63" s="356"/>
      <c r="BD63" s="356"/>
      <c r="BE63" s="356"/>
      <c r="BF63" s="356"/>
      <c r="BG63" s="356"/>
      <c r="BH63" s="356"/>
      <c r="BI63" s="356"/>
      <c r="BJ63" s="356"/>
      <c r="BK63" s="356"/>
      <c r="BL63" s="356"/>
      <c r="BM63" s="356"/>
      <c r="BN63" s="356"/>
      <c r="BO63" s="356"/>
      <c r="BP63" s="356"/>
      <c r="BQ63" s="356"/>
      <c r="BR63" s="356"/>
      <c r="BS63" s="356"/>
      <c r="BT63" s="356"/>
      <c r="BU63" s="356"/>
      <c r="BV63" s="356"/>
      <c r="BW63" s="356"/>
      <c r="BX63" s="356"/>
      <c r="BY63" s="356"/>
      <c r="BZ63" s="356"/>
      <c r="CA63" s="356"/>
      <c r="CB63" s="356"/>
      <c r="CC63" s="356"/>
      <c r="CD63" s="356"/>
      <c r="CE63" s="356"/>
      <c r="CF63" s="356"/>
      <c r="CG63" s="356"/>
      <c r="CH63" s="356"/>
      <c r="CI63" s="356"/>
      <c r="CJ63" s="356"/>
      <c r="CK63" s="356"/>
      <c r="CL63" s="356"/>
      <c r="CM63" s="356"/>
      <c r="CN63" s="356"/>
      <c r="CO63" s="356"/>
      <c r="CP63" s="356"/>
      <c r="CQ63" s="356"/>
      <c r="CR63" s="356"/>
      <c r="CS63" s="356"/>
      <c r="CT63" s="356"/>
      <c r="CU63" s="356"/>
      <c r="CV63" s="356"/>
      <c r="CW63" s="356"/>
      <c r="CX63" s="356"/>
      <c r="CY63" s="356"/>
      <c r="CZ63" s="356"/>
      <c r="DA63" s="356"/>
      <c r="DB63" s="356"/>
      <c r="DC63" s="356"/>
      <c r="DD63" s="356"/>
      <c r="DE63" s="356"/>
      <c r="DF63" s="356"/>
      <c r="DG63" s="356"/>
      <c r="DH63" s="356"/>
      <c r="DI63" s="356"/>
      <c r="DJ63" s="356"/>
      <c r="DK63" s="356"/>
      <c r="DL63" s="356"/>
      <c r="DM63" s="356"/>
      <c r="DN63" s="356"/>
      <c r="DO63" s="356"/>
      <c r="DP63" s="356"/>
      <c r="DQ63" s="356"/>
      <c r="DR63" s="356"/>
      <c r="DS63" s="356"/>
      <c r="DT63" s="356"/>
      <c r="DU63" s="356"/>
      <c r="DV63" s="356"/>
      <c r="DW63" s="356"/>
      <c r="DX63" s="356"/>
      <c r="DY63" s="356"/>
      <c r="DZ63" s="356"/>
      <c r="EA63" s="356"/>
      <c r="EB63" s="356"/>
      <c r="EC63" s="356"/>
      <c r="ED63" s="356"/>
      <c r="EE63" s="356"/>
      <c r="EF63" s="356"/>
      <c r="EG63" s="356"/>
      <c r="EH63" s="356"/>
      <c r="EI63" s="356"/>
      <c r="EJ63" s="356"/>
      <c r="EK63" s="356"/>
      <c r="EL63" s="356"/>
      <c r="EM63" s="356"/>
      <c r="EN63" s="356"/>
      <c r="EO63" s="356"/>
      <c r="EP63" s="356"/>
      <c r="EQ63" s="356"/>
      <c r="ER63" s="356"/>
      <c r="ES63" s="356"/>
      <c r="ET63" s="356"/>
      <c r="EU63" s="356"/>
      <c r="EV63" s="356"/>
      <c r="EW63" s="356"/>
      <c r="EX63" s="356"/>
      <c r="EY63" s="356"/>
      <c r="EZ63" s="356"/>
      <c r="FA63" s="356"/>
      <c r="FB63" s="356"/>
      <c r="FC63" s="356"/>
      <c r="FD63" s="356"/>
      <c r="FE63" s="356"/>
      <c r="FF63" s="356"/>
      <c r="FG63" s="356"/>
      <c r="FH63" s="356"/>
      <c r="FI63" s="356"/>
      <c r="FJ63" s="356"/>
      <c r="FK63" s="356"/>
      <c r="FL63" s="356"/>
      <c r="FM63" s="356"/>
      <c r="FN63" s="356"/>
      <c r="FO63" s="356"/>
      <c r="FP63" s="356"/>
      <c r="FQ63" s="356"/>
      <c r="FR63" s="356"/>
      <c r="FS63" s="356"/>
      <c r="FT63" s="356"/>
      <c r="FU63" s="356"/>
      <c r="FV63" s="356"/>
      <c r="FW63" s="356"/>
      <c r="FX63" s="356"/>
      <c r="FY63" s="356"/>
      <c r="FZ63" s="356"/>
      <c r="GA63" s="356"/>
      <c r="GB63" s="356"/>
      <c r="GC63" s="356"/>
      <c r="GD63" s="356"/>
      <c r="GE63" s="356"/>
      <c r="GF63" s="356"/>
      <c r="GG63" s="356"/>
      <c r="GH63" s="356"/>
      <c r="GI63" s="356"/>
      <c r="GJ63" s="356"/>
      <c r="GK63" s="356"/>
      <c r="GL63" s="356"/>
      <c r="GM63" s="356"/>
      <c r="GN63" s="356"/>
      <c r="GO63" s="356"/>
      <c r="GP63" s="356"/>
      <c r="GQ63" s="356"/>
      <c r="GR63" s="356"/>
      <c r="GS63" s="356"/>
      <c r="GT63" s="356"/>
      <c r="GU63" s="356"/>
      <c r="GV63" s="356"/>
      <c r="GW63" s="356"/>
      <c r="GX63" s="356"/>
      <c r="GY63" s="356"/>
      <c r="GZ63" s="356"/>
      <c r="HA63" s="356"/>
      <c r="HB63" s="356"/>
      <c r="HC63" s="356"/>
      <c r="HD63" s="356"/>
      <c r="HE63" s="356"/>
      <c r="HF63" s="356"/>
      <c r="HG63" s="356"/>
      <c r="HH63" s="356"/>
      <c r="HI63" s="356"/>
      <c r="HJ63" s="356"/>
      <c r="HK63" s="356"/>
      <c r="HL63" s="356"/>
      <c r="HM63" s="356"/>
      <c r="HN63" s="356"/>
      <c r="HO63" s="356"/>
      <c r="HP63" s="356"/>
      <c r="HQ63" s="356"/>
      <c r="HR63" s="356"/>
      <c r="HS63" s="356"/>
      <c r="HT63" s="356"/>
      <c r="HU63" s="356"/>
      <c r="HV63" s="356"/>
      <c r="HW63" s="356"/>
      <c r="HX63" s="356"/>
      <c r="HY63" s="356"/>
      <c r="HZ63" s="356"/>
      <c r="IA63" s="356"/>
      <c r="IB63" s="356"/>
      <c r="IC63" s="356"/>
      <c r="ID63" s="356"/>
      <c r="IE63" s="356"/>
      <c r="IF63" s="356"/>
    </row>
    <row r="64" spans="1:240" ht="14.25" customHeight="1">
      <c r="A64" s="762" t="s">
        <v>36</v>
      </c>
      <c r="B64" s="763"/>
      <c r="C64" s="375" t="s">
        <v>37</v>
      </c>
      <c r="D64" s="390">
        <v>1968818.73</v>
      </c>
      <c r="E64" s="390">
        <v>1964638.73</v>
      </c>
      <c r="F64" s="376">
        <v>1964638.73</v>
      </c>
      <c r="G64" s="377">
        <v>1964638.73</v>
      </c>
      <c r="H64" s="377">
        <v>1794131.68</v>
      </c>
      <c r="I64" s="377">
        <v>1788179.28</v>
      </c>
      <c r="J64" s="377">
        <v>2034405.26</v>
      </c>
      <c r="K64" s="377">
        <v>1703708.27</v>
      </c>
      <c r="L64" s="377">
        <v>1647339.83</v>
      </c>
      <c r="M64" s="377">
        <v>1617672.23</v>
      </c>
      <c r="N64" s="377">
        <v>1622400.23</v>
      </c>
      <c r="O64" s="377">
        <v>1621612.23</v>
      </c>
      <c r="P64" s="391">
        <f t="shared" si="5"/>
        <v>1807681.9941666666</v>
      </c>
    </row>
    <row r="65" spans="1:240" ht="13.5">
      <c r="A65" s="764"/>
      <c r="B65" s="765"/>
      <c r="C65" s="139" t="s">
        <v>38</v>
      </c>
      <c r="D65" s="377">
        <v>0</v>
      </c>
      <c r="E65" s="377">
        <v>0</v>
      </c>
      <c r="F65" s="377">
        <v>0</v>
      </c>
      <c r="G65" s="377">
        <v>0</v>
      </c>
      <c r="H65" s="377">
        <v>0</v>
      </c>
      <c r="I65" s="377">
        <v>0</v>
      </c>
      <c r="J65" s="377">
        <v>0</v>
      </c>
      <c r="K65" s="377">
        <v>0</v>
      </c>
      <c r="L65" s="377">
        <v>0</v>
      </c>
      <c r="M65" s="377">
        <v>0</v>
      </c>
      <c r="N65" s="377">
        <v>0</v>
      </c>
      <c r="O65" s="377">
        <v>0</v>
      </c>
      <c r="P65" s="382">
        <f t="shared" si="5"/>
        <v>0</v>
      </c>
    </row>
    <row r="66" spans="1:240" ht="13.5">
      <c r="A66" s="764"/>
      <c r="B66" s="765"/>
      <c r="C66" s="239" t="s">
        <v>39</v>
      </c>
      <c r="D66" s="379">
        <v>0</v>
      </c>
      <c r="E66" s="379">
        <v>0</v>
      </c>
      <c r="F66" s="379">
        <v>0</v>
      </c>
      <c r="G66" s="379">
        <v>0</v>
      </c>
      <c r="H66" s="379">
        <v>0</v>
      </c>
      <c r="I66" s="379">
        <v>0</v>
      </c>
      <c r="J66" s="379">
        <v>0</v>
      </c>
      <c r="K66" s="379">
        <v>0</v>
      </c>
      <c r="L66" s="379">
        <v>0</v>
      </c>
      <c r="M66" s="379">
        <v>0</v>
      </c>
      <c r="N66" s="379">
        <v>0</v>
      </c>
      <c r="O66" s="379">
        <v>0</v>
      </c>
      <c r="P66" s="382">
        <f t="shared" si="5"/>
        <v>0</v>
      </c>
    </row>
    <row r="67" spans="1:240" ht="14.1" thickBot="1">
      <c r="A67" s="766"/>
      <c r="B67" s="767"/>
      <c r="C67" s="146" t="s">
        <v>40</v>
      </c>
      <c r="D67" s="380">
        <v>0</v>
      </c>
      <c r="E67" s="380">
        <v>0</v>
      </c>
      <c r="F67" s="380">
        <v>0</v>
      </c>
      <c r="G67" s="380">
        <v>0</v>
      </c>
      <c r="H67" s="380">
        <v>0</v>
      </c>
      <c r="I67" s="380">
        <v>0</v>
      </c>
      <c r="J67" s="380">
        <v>0</v>
      </c>
      <c r="K67" s="380">
        <v>0</v>
      </c>
      <c r="L67" s="380">
        <v>0</v>
      </c>
      <c r="M67" s="380">
        <v>0</v>
      </c>
      <c r="N67" s="380">
        <v>0</v>
      </c>
      <c r="O67" s="380">
        <v>0</v>
      </c>
      <c r="P67" s="382">
        <f t="shared" si="5"/>
        <v>0</v>
      </c>
    </row>
    <row r="68" spans="1:240" ht="13.5">
      <c r="A68" s="151"/>
      <c r="B68" s="158"/>
      <c r="C68" s="159"/>
    </row>
    <row r="69" spans="1:240" ht="14.1" hidden="1" customHeight="1" thickBot="1">
      <c r="A69" s="342" t="s">
        <v>272</v>
      </c>
      <c r="B69" s="342"/>
      <c r="C69" s="342"/>
      <c r="Q69" s="343">
        <v>1617672.23</v>
      </c>
    </row>
    <row r="70" spans="1:240" ht="13.5" hidden="1" customHeight="1">
      <c r="A70" s="729" t="s">
        <v>1</v>
      </c>
      <c r="B70" s="730"/>
      <c r="C70" s="730"/>
      <c r="D70" s="344" t="s">
        <v>252</v>
      </c>
      <c r="E70" s="344" t="s">
        <v>253</v>
      </c>
      <c r="F70" s="344" t="s">
        <v>254</v>
      </c>
      <c r="G70" s="344" t="s">
        <v>255</v>
      </c>
      <c r="H70" s="344" t="s">
        <v>256</v>
      </c>
      <c r="I70" s="344" t="s">
        <v>257</v>
      </c>
      <c r="J70" s="344" t="s">
        <v>258</v>
      </c>
      <c r="K70" s="344" t="s">
        <v>259</v>
      </c>
      <c r="L70" s="344" t="s">
        <v>260</v>
      </c>
      <c r="M70" s="344" t="s">
        <v>261</v>
      </c>
      <c r="N70" s="344" t="s">
        <v>262</v>
      </c>
      <c r="O70" s="344" t="s">
        <v>263</v>
      </c>
      <c r="P70" s="345" t="s">
        <v>264</v>
      </c>
      <c r="Q70" s="343">
        <v>1622400.23</v>
      </c>
    </row>
    <row r="71" spans="1:240" ht="13.5" hidden="1" customHeight="1">
      <c r="A71" s="755" t="s">
        <v>9</v>
      </c>
      <c r="B71" s="756"/>
      <c r="C71" s="757"/>
      <c r="D71" s="392"/>
      <c r="E71" s="392"/>
      <c r="F71" s="392"/>
      <c r="G71" s="392"/>
      <c r="H71" s="392"/>
      <c r="I71" s="392"/>
      <c r="J71" s="392"/>
      <c r="K71" s="392"/>
      <c r="L71" s="392"/>
      <c r="M71" s="392"/>
      <c r="N71" s="392"/>
      <c r="O71" s="393"/>
      <c r="P71" s="394" t="e">
        <f t="shared" ref="P71:P94" si="6">AVERAGE(D71:O71)</f>
        <v>#DIV/0!</v>
      </c>
      <c r="Q71" s="348">
        <v>1621612.23</v>
      </c>
      <c r="R71" s="348"/>
      <c r="S71" s="348"/>
      <c r="T71" s="348"/>
      <c r="U71" s="348"/>
      <c r="V71" s="348"/>
      <c r="W71" s="348"/>
      <c r="X71" s="348"/>
      <c r="Y71" s="348"/>
      <c r="Z71" s="348"/>
      <c r="AA71" s="348"/>
      <c r="AB71" s="348"/>
      <c r="AC71" s="348"/>
      <c r="AD71" s="348"/>
      <c r="AE71" s="348"/>
      <c r="AF71" s="348"/>
      <c r="AG71" s="348"/>
      <c r="AH71" s="348"/>
      <c r="AI71" s="348"/>
      <c r="AJ71" s="348"/>
      <c r="AK71" s="348"/>
      <c r="AL71" s="348"/>
      <c r="AM71" s="348"/>
      <c r="AN71" s="348"/>
      <c r="AO71" s="348"/>
      <c r="AP71" s="348"/>
      <c r="AQ71" s="348"/>
      <c r="AR71" s="348"/>
      <c r="AS71" s="348"/>
      <c r="AT71" s="348"/>
      <c r="AU71" s="348"/>
      <c r="AV71" s="348"/>
      <c r="AW71" s="348"/>
      <c r="AX71" s="348"/>
      <c r="AY71" s="348"/>
      <c r="AZ71" s="348"/>
      <c r="BA71" s="348"/>
      <c r="BB71" s="348"/>
      <c r="BC71" s="348"/>
      <c r="BD71" s="348"/>
      <c r="BE71" s="348"/>
      <c r="BF71" s="348"/>
      <c r="BG71" s="348"/>
      <c r="BH71" s="348"/>
      <c r="BI71" s="348"/>
      <c r="BJ71" s="348"/>
      <c r="BK71" s="348"/>
      <c r="BL71" s="348"/>
      <c r="BM71" s="348"/>
      <c r="BN71" s="348"/>
      <c r="BO71" s="348"/>
      <c r="BP71" s="348"/>
      <c r="BQ71" s="348"/>
      <c r="BR71" s="348"/>
      <c r="BS71" s="348"/>
      <c r="BT71" s="348"/>
      <c r="BU71" s="348"/>
      <c r="BV71" s="348"/>
      <c r="BW71" s="348"/>
      <c r="BX71" s="348"/>
      <c r="BY71" s="348"/>
      <c r="BZ71" s="348"/>
      <c r="CA71" s="348"/>
      <c r="CB71" s="348"/>
      <c r="CC71" s="348"/>
      <c r="CD71" s="348"/>
      <c r="CE71" s="348"/>
      <c r="CF71" s="348"/>
      <c r="CG71" s="348"/>
      <c r="CH71" s="348"/>
      <c r="CI71" s="348"/>
      <c r="CJ71" s="348"/>
      <c r="CK71" s="348"/>
      <c r="CL71" s="348"/>
      <c r="CM71" s="348"/>
      <c r="CN71" s="348"/>
      <c r="CO71" s="348"/>
      <c r="CP71" s="348"/>
      <c r="CQ71" s="348"/>
      <c r="CR71" s="348"/>
      <c r="CS71" s="348"/>
      <c r="CT71" s="348"/>
      <c r="CU71" s="348"/>
      <c r="CV71" s="348"/>
      <c r="CW71" s="348"/>
      <c r="CX71" s="348"/>
      <c r="CY71" s="348"/>
      <c r="CZ71" s="348"/>
      <c r="DA71" s="348"/>
      <c r="DB71" s="348"/>
      <c r="DC71" s="348"/>
      <c r="DD71" s="348"/>
      <c r="DE71" s="348"/>
      <c r="DF71" s="348"/>
      <c r="DG71" s="348"/>
      <c r="DH71" s="348"/>
      <c r="DI71" s="348"/>
      <c r="DJ71" s="348"/>
      <c r="DK71" s="348"/>
      <c r="DL71" s="348"/>
      <c r="DM71" s="348"/>
      <c r="DN71" s="348"/>
      <c r="DO71" s="348"/>
      <c r="DP71" s="348"/>
      <c r="DQ71" s="348"/>
      <c r="DR71" s="348"/>
      <c r="DS71" s="348"/>
      <c r="DT71" s="348"/>
      <c r="DU71" s="348"/>
      <c r="DV71" s="348"/>
      <c r="DW71" s="348"/>
      <c r="DX71" s="348"/>
      <c r="DY71" s="348"/>
      <c r="DZ71" s="348"/>
      <c r="EA71" s="348"/>
      <c r="EB71" s="348"/>
      <c r="EC71" s="348"/>
      <c r="ED71" s="348"/>
      <c r="EE71" s="348"/>
      <c r="EF71" s="348"/>
      <c r="EG71" s="348"/>
      <c r="EH71" s="348"/>
      <c r="EI71" s="348"/>
      <c r="EJ71" s="348"/>
      <c r="EK71" s="348"/>
      <c r="EL71" s="348"/>
      <c r="EM71" s="348"/>
      <c r="EN71" s="348"/>
      <c r="EO71" s="348"/>
      <c r="EP71" s="348"/>
      <c r="EQ71" s="348"/>
      <c r="ER71" s="348"/>
      <c r="ES71" s="348"/>
      <c r="ET71" s="348"/>
      <c r="EU71" s="348"/>
      <c r="EV71" s="348"/>
      <c r="EW71" s="348"/>
      <c r="EX71" s="348"/>
      <c r="EY71" s="348"/>
      <c r="EZ71" s="348"/>
      <c r="FA71" s="348"/>
      <c r="FB71" s="348"/>
      <c r="FC71" s="348"/>
      <c r="FD71" s="348"/>
      <c r="FE71" s="348"/>
      <c r="FF71" s="348"/>
      <c r="FG71" s="348"/>
      <c r="FH71" s="348"/>
      <c r="FI71" s="348"/>
      <c r="FJ71" s="348"/>
      <c r="FK71" s="348"/>
      <c r="FL71" s="348"/>
      <c r="FM71" s="348"/>
      <c r="FN71" s="348"/>
      <c r="FO71" s="348"/>
      <c r="FP71" s="348"/>
      <c r="FQ71" s="348"/>
      <c r="FR71" s="348"/>
      <c r="FS71" s="348"/>
      <c r="FT71" s="348"/>
      <c r="FU71" s="348"/>
      <c r="FV71" s="348"/>
      <c r="FW71" s="348"/>
      <c r="FX71" s="348"/>
      <c r="FY71" s="348"/>
      <c r="FZ71" s="348"/>
      <c r="GA71" s="348"/>
      <c r="GB71" s="348"/>
      <c r="GC71" s="348"/>
      <c r="GD71" s="348"/>
      <c r="GE71" s="348"/>
      <c r="GF71" s="348"/>
      <c r="GG71" s="348"/>
      <c r="GH71" s="348"/>
      <c r="GI71" s="348"/>
      <c r="GJ71" s="348"/>
      <c r="GK71" s="348"/>
      <c r="GL71" s="348"/>
      <c r="GM71" s="348"/>
      <c r="GN71" s="348"/>
      <c r="GO71" s="348"/>
      <c r="GP71" s="348"/>
      <c r="GQ71" s="348"/>
      <c r="GR71" s="348"/>
      <c r="GS71" s="348"/>
      <c r="GT71" s="348"/>
      <c r="GU71" s="348"/>
      <c r="GV71" s="348"/>
      <c r="GW71" s="348"/>
      <c r="GX71" s="348"/>
      <c r="GY71" s="348"/>
      <c r="GZ71" s="348"/>
      <c r="HA71" s="348"/>
      <c r="HB71" s="348"/>
      <c r="HC71" s="348"/>
      <c r="HD71" s="348"/>
      <c r="HE71" s="348"/>
      <c r="HF71" s="348"/>
      <c r="HG71" s="348"/>
      <c r="HH71" s="348"/>
      <c r="HI71" s="348"/>
      <c r="HJ71" s="348"/>
      <c r="HK71" s="348"/>
      <c r="HL71" s="348"/>
      <c r="HM71" s="348"/>
      <c r="HN71" s="348"/>
      <c r="HO71" s="348"/>
      <c r="HP71" s="348"/>
      <c r="HQ71" s="348"/>
      <c r="HR71" s="348"/>
      <c r="HS71" s="348"/>
      <c r="HT71" s="348"/>
      <c r="HU71" s="348"/>
      <c r="HV71" s="348"/>
      <c r="HW71" s="348"/>
      <c r="HX71" s="348"/>
      <c r="HY71" s="348"/>
      <c r="HZ71" s="348"/>
      <c r="IA71" s="348"/>
      <c r="IB71" s="348"/>
      <c r="IC71" s="348"/>
      <c r="ID71" s="348"/>
      <c r="IE71" s="348"/>
      <c r="IF71" s="348"/>
    </row>
    <row r="72" spans="1:240" ht="13.5" hidden="1" customHeight="1">
      <c r="A72" s="123"/>
      <c r="B72" s="758" t="s">
        <v>10</v>
      </c>
      <c r="C72" s="759"/>
      <c r="D72" s="395"/>
      <c r="E72" s="395"/>
      <c r="F72" s="395"/>
      <c r="G72" s="395"/>
      <c r="H72" s="395"/>
      <c r="I72" s="395"/>
      <c r="J72" s="395"/>
      <c r="K72" s="395"/>
      <c r="L72" s="395"/>
      <c r="M72" s="395"/>
      <c r="N72" s="395"/>
      <c r="O72" s="396"/>
      <c r="P72" s="397" t="e">
        <f t="shared" si="6"/>
        <v>#DIV/0!</v>
      </c>
    </row>
    <row r="73" spans="1:240" ht="13.5" hidden="1" customHeight="1">
      <c r="A73" s="126"/>
      <c r="B73" s="127"/>
      <c r="C73" s="128" t="s">
        <v>11</v>
      </c>
      <c r="D73" s="398"/>
      <c r="E73" s="398"/>
      <c r="F73" s="398"/>
      <c r="G73" s="398"/>
      <c r="H73" s="398"/>
      <c r="I73" s="398"/>
      <c r="J73" s="398"/>
      <c r="K73" s="398"/>
      <c r="L73" s="398"/>
      <c r="M73" s="398"/>
      <c r="N73" s="398"/>
      <c r="O73" s="399"/>
      <c r="P73" s="400" t="e">
        <f t="shared" si="6"/>
        <v>#DIV/0!</v>
      </c>
    </row>
    <row r="74" spans="1:240" ht="13.5" hidden="1" customHeight="1">
      <c r="A74" s="126"/>
      <c r="B74" s="127"/>
      <c r="C74" s="128" t="s">
        <v>12</v>
      </c>
      <c r="D74" s="398"/>
      <c r="E74" s="398"/>
      <c r="F74" s="398"/>
      <c r="G74" s="398"/>
      <c r="H74" s="398"/>
      <c r="I74" s="398"/>
      <c r="J74" s="398"/>
      <c r="K74" s="398"/>
      <c r="L74" s="398"/>
      <c r="M74" s="398"/>
      <c r="N74" s="398"/>
      <c r="O74" s="399"/>
      <c r="P74" s="400" t="e">
        <f t="shared" si="6"/>
        <v>#DIV/0!</v>
      </c>
    </row>
    <row r="75" spans="1:240" ht="13.5" hidden="1" customHeight="1">
      <c r="A75" s="126"/>
      <c r="B75" s="127"/>
      <c r="C75" s="128" t="s">
        <v>13</v>
      </c>
      <c r="D75" s="398"/>
      <c r="E75" s="398"/>
      <c r="F75" s="398"/>
      <c r="G75" s="398"/>
      <c r="H75" s="398"/>
      <c r="I75" s="398"/>
      <c r="J75" s="398"/>
      <c r="K75" s="398"/>
      <c r="L75" s="398"/>
      <c r="M75" s="398"/>
      <c r="N75" s="398"/>
      <c r="O75" s="399"/>
      <c r="P75" s="400" t="e">
        <f t="shared" si="6"/>
        <v>#DIV/0!</v>
      </c>
    </row>
    <row r="76" spans="1:240" ht="13.5" hidden="1" customHeight="1">
      <c r="A76" s="126"/>
      <c r="B76" s="127"/>
      <c r="C76" s="128" t="s">
        <v>14</v>
      </c>
      <c r="D76" s="398"/>
      <c r="E76" s="398"/>
      <c r="F76" s="398"/>
      <c r="G76" s="398"/>
      <c r="H76" s="398"/>
      <c r="I76" s="398"/>
      <c r="J76" s="398"/>
      <c r="K76" s="398"/>
      <c r="L76" s="398"/>
      <c r="M76" s="398"/>
      <c r="N76" s="398"/>
      <c r="O76" s="399"/>
      <c r="P76" s="400" t="e">
        <f t="shared" si="6"/>
        <v>#DIV/0!</v>
      </c>
    </row>
    <row r="77" spans="1:240" ht="13.5" hidden="1" customHeight="1">
      <c r="A77" s="126"/>
      <c r="B77" s="127"/>
      <c r="C77" s="128" t="s">
        <v>15</v>
      </c>
      <c r="D77" s="398"/>
      <c r="E77" s="398"/>
      <c r="F77" s="398"/>
      <c r="G77" s="398"/>
      <c r="H77" s="398"/>
      <c r="I77" s="398"/>
      <c r="J77" s="398"/>
      <c r="K77" s="398"/>
      <c r="L77" s="398"/>
      <c r="M77" s="398"/>
      <c r="N77" s="398"/>
      <c r="O77" s="399"/>
      <c r="P77" s="400" t="e">
        <f t="shared" si="6"/>
        <v>#DIV/0!</v>
      </c>
    </row>
    <row r="78" spans="1:240" ht="12.75" hidden="1" customHeight="1">
      <c r="A78" s="126"/>
      <c r="B78" s="132"/>
      <c r="C78" s="128" t="s">
        <v>16</v>
      </c>
      <c r="D78" s="398"/>
      <c r="E78" s="398"/>
      <c r="F78" s="398"/>
      <c r="G78" s="398"/>
      <c r="H78" s="398"/>
      <c r="I78" s="398"/>
      <c r="J78" s="398"/>
      <c r="K78" s="398"/>
      <c r="L78" s="398"/>
      <c r="M78" s="398"/>
      <c r="N78" s="398"/>
      <c r="O78" s="399"/>
      <c r="P78" s="400" t="e">
        <f t="shared" si="6"/>
        <v>#DIV/0!</v>
      </c>
    </row>
    <row r="79" spans="1:240" ht="14.1" hidden="1" customHeight="1" thickBot="1">
      <c r="A79" s="126"/>
      <c r="B79" s="760" t="s">
        <v>17</v>
      </c>
      <c r="C79" s="768"/>
      <c r="D79" s="401"/>
      <c r="E79" s="401"/>
      <c r="F79" s="401"/>
      <c r="G79" s="401"/>
      <c r="H79" s="401"/>
      <c r="I79" s="401"/>
      <c r="J79" s="401"/>
      <c r="K79" s="401"/>
      <c r="L79" s="401"/>
      <c r="M79" s="401"/>
      <c r="N79" s="401"/>
      <c r="O79" s="402"/>
      <c r="P79" s="403" t="e">
        <f t="shared" si="6"/>
        <v>#DIV/0!</v>
      </c>
    </row>
    <row r="80" spans="1:240" ht="13.5" hidden="1" customHeight="1">
      <c r="A80" s="126"/>
      <c r="B80" s="254"/>
      <c r="C80" s="173" t="s">
        <v>18</v>
      </c>
      <c r="D80" s="404"/>
      <c r="E80" s="404"/>
      <c r="F80" s="404"/>
      <c r="G80" s="404"/>
      <c r="H80" s="404"/>
      <c r="I80" s="404"/>
      <c r="J80" s="404"/>
      <c r="K80" s="404"/>
      <c r="L80" s="404"/>
      <c r="M80" s="404"/>
      <c r="N80" s="404"/>
      <c r="O80" s="405"/>
      <c r="P80" s="406" t="e">
        <f t="shared" si="6"/>
        <v>#DIV/0!</v>
      </c>
    </row>
    <row r="81" spans="1:240" ht="13.5" hidden="1" customHeight="1">
      <c r="A81" s="126"/>
      <c r="B81" s="127"/>
      <c r="C81" s="134" t="s">
        <v>19</v>
      </c>
      <c r="D81" s="407"/>
      <c r="E81" s="398"/>
      <c r="F81" s="398"/>
      <c r="G81" s="398"/>
      <c r="H81" s="398"/>
      <c r="I81" s="398"/>
      <c r="J81" s="398"/>
      <c r="K81" s="398"/>
      <c r="L81" s="398"/>
      <c r="M81" s="398"/>
      <c r="N81" s="398"/>
      <c r="O81" s="399"/>
      <c r="P81" s="406" t="e">
        <f t="shared" si="6"/>
        <v>#DIV/0!</v>
      </c>
    </row>
    <row r="82" spans="1:240" s="198" customFormat="1" ht="13.5" hidden="1" customHeight="1">
      <c r="A82" s="126"/>
      <c r="B82" s="127"/>
      <c r="C82" s="255" t="s">
        <v>20</v>
      </c>
      <c r="D82" s="407"/>
      <c r="E82" s="398"/>
      <c r="F82" s="398"/>
      <c r="G82" s="398"/>
      <c r="H82" s="398"/>
      <c r="I82" s="398"/>
      <c r="J82" s="398"/>
      <c r="K82" s="398"/>
      <c r="L82" s="398"/>
      <c r="M82" s="398"/>
      <c r="N82" s="399"/>
      <c r="O82" s="399"/>
      <c r="P82" s="406" t="e">
        <f t="shared" si="6"/>
        <v>#DIV/0!</v>
      </c>
      <c r="Q82" s="343"/>
      <c r="R82" s="343"/>
      <c r="S82" s="343"/>
      <c r="T82" s="343"/>
      <c r="U82" s="343"/>
      <c r="V82" s="343"/>
      <c r="W82" s="343"/>
      <c r="X82" s="343"/>
      <c r="Y82" s="343"/>
      <c r="Z82" s="343"/>
      <c r="AA82" s="343"/>
      <c r="AB82" s="343"/>
      <c r="AC82" s="343"/>
      <c r="AD82" s="343"/>
      <c r="AE82" s="343"/>
      <c r="AF82" s="343"/>
      <c r="AG82" s="343"/>
      <c r="AH82" s="343"/>
      <c r="AI82" s="343"/>
      <c r="AJ82" s="343"/>
      <c r="AK82" s="343"/>
      <c r="AL82" s="343"/>
      <c r="AM82" s="343"/>
      <c r="AN82" s="343"/>
      <c r="AO82" s="343"/>
      <c r="AP82" s="343"/>
      <c r="AQ82" s="343"/>
      <c r="AR82" s="343"/>
      <c r="AS82" s="343"/>
      <c r="AT82" s="343"/>
      <c r="AU82" s="343"/>
      <c r="AV82" s="343"/>
      <c r="AW82" s="343"/>
      <c r="AX82" s="343"/>
      <c r="AY82" s="343"/>
      <c r="AZ82" s="343"/>
      <c r="BA82" s="343"/>
      <c r="BB82" s="343"/>
      <c r="BC82" s="343"/>
      <c r="BD82" s="343"/>
      <c r="BE82" s="343"/>
      <c r="BF82" s="343"/>
      <c r="BG82" s="343"/>
      <c r="BH82" s="343"/>
      <c r="BI82" s="343"/>
      <c r="BJ82" s="343"/>
      <c r="BK82" s="343"/>
      <c r="BL82" s="343"/>
      <c r="BM82" s="343"/>
      <c r="BN82" s="343"/>
      <c r="BO82" s="343"/>
      <c r="BP82" s="343"/>
      <c r="BQ82" s="343"/>
      <c r="BR82" s="343"/>
      <c r="BS82" s="343"/>
      <c r="BT82" s="343"/>
      <c r="BU82" s="343"/>
      <c r="BV82" s="343"/>
      <c r="BW82" s="343"/>
      <c r="BX82" s="343"/>
      <c r="BY82" s="343"/>
      <c r="BZ82" s="343"/>
      <c r="CA82" s="343"/>
      <c r="CB82" s="343"/>
      <c r="CC82" s="343"/>
      <c r="CD82" s="343"/>
      <c r="CE82" s="343"/>
      <c r="CF82" s="343"/>
      <c r="CG82" s="343"/>
      <c r="CH82" s="343"/>
      <c r="CI82" s="343"/>
      <c r="CJ82" s="343"/>
      <c r="CK82" s="343"/>
      <c r="CL82" s="343"/>
      <c r="CM82" s="343"/>
      <c r="CN82" s="343"/>
      <c r="CO82" s="343"/>
      <c r="CP82" s="343"/>
      <c r="CQ82" s="343"/>
      <c r="CR82" s="343"/>
      <c r="CS82" s="343"/>
      <c r="CT82" s="343"/>
      <c r="CU82" s="343"/>
      <c r="CV82" s="343"/>
      <c r="CW82" s="343"/>
      <c r="CX82" s="343"/>
      <c r="CY82" s="343"/>
      <c r="CZ82" s="343"/>
      <c r="DA82" s="343"/>
      <c r="DB82" s="343"/>
      <c r="DC82" s="343"/>
      <c r="DD82" s="343"/>
      <c r="DE82" s="343"/>
      <c r="DF82" s="343"/>
      <c r="DG82" s="343"/>
      <c r="DH82" s="343"/>
      <c r="DI82" s="343"/>
      <c r="DJ82" s="343"/>
      <c r="DK82" s="343"/>
      <c r="DL82" s="343"/>
      <c r="DM82" s="343"/>
      <c r="DN82" s="343"/>
      <c r="DO82" s="343"/>
      <c r="DP82" s="343"/>
      <c r="DQ82" s="343"/>
      <c r="DR82" s="343"/>
      <c r="DS82" s="343"/>
      <c r="DT82" s="343"/>
      <c r="DU82" s="343"/>
      <c r="DV82" s="343"/>
      <c r="DW82" s="343"/>
      <c r="DX82" s="343"/>
      <c r="DY82" s="343"/>
      <c r="DZ82" s="343"/>
      <c r="EA82" s="343"/>
      <c r="EB82" s="343"/>
      <c r="EC82" s="343"/>
      <c r="ED82" s="343"/>
      <c r="EE82" s="343"/>
      <c r="EF82" s="343"/>
      <c r="EG82" s="343"/>
      <c r="EH82" s="343"/>
      <c r="EI82" s="343"/>
      <c r="EJ82" s="343"/>
      <c r="EK82" s="343"/>
      <c r="EL82" s="343"/>
      <c r="EM82" s="343"/>
      <c r="EN82" s="343"/>
      <c r="EO82" s="343"/>
      <c r="EP82" s="343"/>
      <c r="EQ82" s="343"/>
      <c r="ER82" s="343"/>
      <c r="ES82" s="343"/>
      <c r="ET82" s="343"/>
      <c r="EU82" s="343"/>
      <c r="EV82" s="343"/>
      <c r="EW82" s="343"/>
      <c r="EX82" s="343"/>
      <c r="EY82" s="343"/>
      <c r="EZ82" s="343"/>
      <c r="FA82" s="343"/>
      <c r="FB82" s="343"/>
      <c r="FC82" s="343"/>
      <c r="FD82" s="343"/>
      <c r="FE82" s="343"/>
      <c r="FF82" s="343"/>
      <c r="FG82" s="343"/>
      <c r="FH82" s="343"/>
      <c r="FI82" s="343"/>
      <c r="FJ82" s="343"/>
      <c r="FK82" s="343"/>
      <c r="FL82" s="343"/>
      <c r="FM82" s="343"/>
      <c r="FN82" s="343"/>
      <c r="FO82" s="343"/>
      <c r="FP82" s="343"/>
      <c r="FQ82" s="343"/>
      <c r="FR82" s="343"/>
      <c r="FS82" s="343"/>
      <c r="FT82" s="343"/>
      <c r="FU82" s="343"/>
      <c r="FV82" s="343"/>
      <c r="FW82" s="343"/>
      <c r="FX82" s="343"/>
      <c r="FY82" s="343"/>
      <c r="FZ82" s="343"/>
      <c r="GA82" s="343"/>
      <c r="GB82" s="343"/>
      <c r="GC82" s="343"/>
      <c r="GD82" s="343"/>
      <c r="GE82" s="343"/>
      <c r="GF82" s="343"/>
      <c r="GG82" s="343"/>
      <c r="GH82" s="343"/>
      <c r="GI82" s="343"/>
      <c r="GJ82" s="343"/>
      <c r="GK82" s="343"/>
      <c r="GL82" s="343"/>
      <c r="GM82" s="343"/>
      <c r="GN82" s="343"/>
      <c r="GO82" s="343"/>
      <c r="GP82" s="343"/>
      <c r="GQ82" s="343"/>
      <c r="GR82" s="343"/>
      <c r="GS82" s="343"/>
      <c r="GT82" s="343"/>
      <c r="GU82" s="343"/>
      <c r="GV82" s="343"/>
      <c r="GW82" s="343"/>
      <c r="GX82" s="343"/>
      <c r="GY82" s="343"/>
      <c r="GZ82" s="343"/>
      <c r="HA82" s="343"/>
      <c r="HB82" s="343"/>
      <c r="HC82" s="343"/>
      <c r="HD82" s="343"/>
      <c r="HE82" s="343"/>
      <c r="HF82" s="343"/>
      <c r="HG82" s="343"/>
      <c r="HH82" s="343"/>
      <c r="HI82" s="343"/>
      <c r="HJ82" s="343"/>
      <c r="HK82" s="343"/>
      <c r="HL82" s="343"/>
      <c r="HM82" s="343"/>
      <c r="HN82" s="343"/>
      <c r="HO82" s="343"/>
      <c r="HP82" s="343"/>
      <c r="HQ82" s="343"/>
      <c r="HR82" s="343"/>
      <c r="HS82" s="343"/>
      <c r="HT82" s="343"/>
      <c r="HU82" s="343"/>
      <c r="HV82" s="343"/>
      <c r="HW82" s="343"/>
      <c r="HX82" s="343"/>
      <c r="HY82" s="343"/>
      <c r="HZ82" s="343"/>
      <c r="IA82" s="343"/>
      <c r="IB82" s="343"/>
      <c r="IC82" s="343"/>
      <c r="ID82" s="343"/>
      <c r="IE82" s="343"/>
      <c r="IF82" s="343"/>
    </row>
    <row r="83" spans="1:240" s="198" customFormat="1" ht="13.5" hidden="1" customHeight="1">
      <c r="A83" s="126"/>
      <c r="B83" s="758" t="s">
        <v>22</v>
      </c>
      <c r="C83" s="759"/>
      <c r="D83" s="395"/>
      <c r="E83" s="395"/>
      <c r="F83" s="395"/>
      <c r="G83" s="395"/>
      <c r="H83" s="395"/>
      <c r="I83" s="395"/>
      <c r="J83" s="395"/>
      <c r="K83" s="395"/>
      <c r="L83" s="395"/>
      <c r="M83" s="395"/>
      <c r="N83" s="396"/>
      <c r="O83" s="396"/>
      <c r="P83" s="397" t="e">
        <f t="shared" si="6"/>
        <v>#DIV/0!</v>
      </c>
      <c r="Q83" s="343"/>
      <c r="R83" s="343"/>
      <c r="S83" s="343"/>
      <c r="T83" s="343"/>
      <c r="U83" s="343"/>
      <c r="V83" s="343"/>
      <c r="W83" s="343"/>
      <c r="X83" s="343"/>
      <c r="Y83" s="343"/>
      <c r="Z83" s="343"/>
      <c r="AA83" s="343"/>
      <c r="AB83" s="343"/>
      <c r="AC83" s="343"/>
      <c r="AD83" s="343"/>
      <c r="AE83" s="343"/>
      <c r="AF83" s="343"/>
      <c r="AG83" s="343"/>
      <c r="AH83" s="343"/>
      <c r="AI83" s="343"/>
      <c r="AJ83" s="343"/>
      <c r="AK83" s="343"/>
      <c r="AL83" s="343"/>
      <c r="AM83" s="343"/>
      <c r="AN83" s="343"/>
      <c r="AO83" s="343"/>
      <c r="AP83" s="343"/>
      <c r="AQ83" s="343"/>
      <c r="AR83" s="343"/>
      <c r="AS83" s="343"/>
      <c r="AT83" s="343"/>
      <c r="AU83" s="343"/>
      <c r="AV83" s="343"/>
      <c r="AW83" s="343"/>
      <c r="AX83" s="343"/>
      <c r="AY83" s="343"/>
      <c r="AZ83" s="343"/>
      <c r="BA83" s="343"/>
      <c r="BB83" s="343"/>
      <c r="BC83" s="343"/>
      <c r="BD83" s="343"/>
      <c r="BE83" s="343"/>
      <c r="BF83" s="343"/>
      <c r="BG83" s="343"/>
      <c r="BH83" s="343"/>
      <c r="BI83" s="343"/>
      <c r="BJ83" s="343"/>
      <c r="BK83" s="343"/>
      <c r="BL83" s="343"/>
      <c r="BM83" s="343"/>
      <c r="BN83" s="343"/>
      <c r="BO83" s="343"/>
      <c r="BP83" s="343"/>
      <c r="BQ83" s="343"/>
      <c r="BR83" s="343"/>
      <c r="BS83" s="343"/>
      <c r="BT83" s="343"/>
      <c r="BU83" s="343"/>
      <c r="BV83" s="343"/>
      <c r="BW83" s="343"/>
      <c r="BX83" s="343"/>
      <c r="BY83" s="343"/>
      <c r="BZ83" s="343"/>
      <c r="CA83" s="343"/>
      <c r="CB83" s="343"/>
      <c r="CC83" s="343"/>
      <c r="CD83" s="343"/>
      <c r="CE83" s="343"/>
      <c r="CF83" s="343"/>
      <c r="CG83" s="343"/>
      <c r="CH83" s="343"/>
      <c r="CI83" s="343"/>
      <c r="CJ83" s="343"/>
      <c r="CK83" s="343"/>
      <c r="CL83" s="343"/>
      <c r="CM83" s="343"/>
      <c r="CN83" s="343"/>
      <c r="CO83" s="343"/>
      <c r="CP83" s="343"/>
      <c r="CQ83" s="343"/>
      <c r="CR83" s="343"/>
      <c r="CS83" s="343"/>
      <c r="CT83" s="343"/>
      <c r="CU83" s="343"/>
      <c r="CV83" s="343"/>
      <c r="CW83" s="343"/>
      <c r="CX83" s="343"/>
      <c r="CY83" s="343"/>
      <c r="CZ83" s="343"/>
      <c r="DA83" s="343"/>
      <c r="DB83" s="343"/>
      <c r="DC83" s="343"/>
      <c r="DD83" s="343"/>
      <c r="DE83" s="343"/>
      <c r="DF83" s="343"/>
      <c r="DG83" s="343"/>
      <c r="DH83" s="343"/>
      <c r="DI83" s="343"/>
      <c r="DJ83" s="343"/>
      <c r="DK83" s="343"/>
      <c r="DL83" s="343"/>
      <c r="DM83" s="343"/>
      <c r="DN83" s="343"/>
      <c r="DO83" s="343"/>
      <c r="DP83" s="343"/>
      <c r="DQ83" s="343"/>
      <c r="DR83" s="343"/>
      <c r="DS83" s="343"/>
      <c r="DT83" s="343"/>
      <c r="DU83" s="343"/>
      <c r="DV83" s="343"/>
      <c r="DW83" s="343"/>
      <c r="DX83" s="343"/>
      <c r="DY83" s="343"/>
      <c r="DZ83" s="343"/>
      <c r="EA83" s="343"/>
      <c r="EB83" s="343"/>
      <c r="EC83" s="343"/>
      <c r="ED83" s="343"/>
      <c r="EE83" s="343"/>
      <c r="EF83" s="343"/>
      <c r="EG83" s="343"/>
      <c r="EH83" s="343"/>
      <c r="EI83" s="343"/>
      <c r="EJ83" s="343"/>
      <c r="EK83" s="343"/>
      <c r="EL83" s="343"/>
      <c r="EM83" s="343"/>
      <c r="EN83" s="343"/>
      <c r="EO83" s="343"/>
      <c r="EP83" s="343"/>
      <c r="EQ83" s="343"/>
      <c r="ER83" s="343"/>
      <c r="ES83" s="343"/>
      <c r="ET83" s="343"/>
      <c r="EU83" s="343"/>
      <c r="EV83" s="343"/>
      <c r="EW83" s="343"/>
      <c r="EX83" s="343"/>
      <c r="EY83" s="343"/>
      <c r="EZ83" s="343"/>
      <c r="FA83" s="343"/>
      <c r="FB83" s="343"/>
      <c r="FC83" s="343"/>
      <c r="FD83" s="343"/>
      <c r="FE83" s="343"/>
      <c r="FF83" s="343"/>
      <c r="FG83" s="343"/>
      <c r="FH83" s="343"/>
      <c r="FI83" s="343"/>
      <c r="FJ83" s="343"/>
      <c r="FK83" s="343"/>
      <c r="FL83" s="343"/>
      <c r="FM83" s="343"/>
      <c r="FN83" s="343"/>
      <c r="FO83" s="343"/>
      <c r="FP83" s="343"/>
      <c r="FQ83" s="343"/>
      <c r="FR83" s="343"/>
      <c r="FS83" s="343"/>
      <c r="FT83" s="343"/>
      <c r="FU83" s="343"/>
      <c r="FV83" s="343"/>
      <c r="FW83" s="343"/>
      <c r="FX83" s="343"/>
      <c r="FY83" s="343"/>
      <c r="FZ83" s="343"/>
      <c r="GA83" s="343"/>
      <c r="GB83" s="343"/>
      <c r="GC83" s="343"/>
      <c r="GD83" s="343"/>
      <c r="GE83" s="343"/>
      <c r="GF83" s="343"/>
      <c r="GG83" s="343"/>
      <c r="GH83" s="343"/>
      <c r="GI83" s="343"/>
      <c r="GJ83" s="343"/>
      <c r="GK83" s="343"/>
      <c r="GL83" s="343"/>
      <c r="GM83" s="343"/>
      <c r="GN83" s="343"/>
      <c r="GO83" s="343"/>
      <c r="GP83" s="343"/>
      <c r="GQ83" s="343"/>
      <c r="GR83" s="343"/>
      <c r="GS83" s="343"/>
      <c r="GT83" s="343"/>
      <c r="GU83" s="343"/>
      <c r="GV83" s="343"/>
      <c r="GW83" s="343"/>
      <c r="GX83" s="343"/>
      <c r="GY83" s="343"/>
      <c r="GZ83" s="343"/>
      <c r="HA83" s="343"/>
      <c r="HB83" s="343"/>
      <c r="HC83" s="343"/>
      <c r="HD83" s="343"/>
      <c r="HE83" s="343"/>
      <c r="HF83" s="343"/>
      <c r="HG83" s="343"/>
      <c r="HH83" s="343"/>
      <c r="HI83" s="343"/>
      <c r="HJ83" s="343"/>
      <c r="HK83" s="343"/>
      <c r="HL83" s="343"/>
      <c r="HM83" s="343"/>
      <c r="HN83" s="343"/>
      <c r="HO83" s="343"/>
      <c r="HP83" s="343"/>
      <c r="HQ83" s="343"/>
      <c r="HR83" s="343"/>
      <c r="HS83" s="343"/>
      <c r="HT83" s="343"/>
      <c r="HU83" s="343"/>
      <c r="HV83" s="343"/>
      <c r="HW83" s="343"/>
      <c r="HX83" s="343"/>
      <c r="HY83" s="343"/>
      <c r="HZ83" s="343"/>
      <c r="IA83" s="343"/>
      <c r="IB83" s="343"/>
      <c r="IC83" s="343"/>
      <c r="ID83" s="343"/>
      <c r="IE83" s="343"/>
      <c r="IF83" s="343"/>
    </row>
    <row r="84" spans="1:240" s="198" customFormat="1" ht="13.5" hidden="1" customHeight="1">
      <c r="A84" s="126"/>
      <c r="B84" s="127"/>
      <c r="C84" s="134" t="s">
        <v>23</v>
      </c>
      <c r="D84" s="398"/>
      <c r="E84" s="398"/>
      <c r="F84" s="398"/>
      <c r="G84" s="398"/>
      <c r="H84" s="398"/>
      <c r="I84" s="398"/>
      <c r="J84" s="398"/>
      <c r="K84" s="398"/>
      <c r="L84" s="398"/>
      <c r="M84" s="398"/>
      <c r="N84" s="398"/>
      <c r="O84" s="399"/>
      <c r="P84" s="400" t="e">
        <f t="shared" si="6"/>
        <v>#DIV/0!</v>
      </c>
      <c r="Q84" s="343"/>
      <c r="R84" s="343"/>
      <c r="S84" s="343"/>
      <c r="T84" s="343"/>
      <c r="U84" s="343"/>
      <c r="V84" s="343"/>
      <c r="W84" s="343"/>
      <c r="X84" s="343"/>
      <c r="Y84" s="343"/>
      <c r="Z84" s="343"/>
      <c r="AA84" s="343"/>
      <c r="AB84" s="343"/>
      <c r="AC84" s="343"/>
      <c r="AD84" s="343"/>
      <c r="AE84" s="343"/>
      <c r="AF84" s="343"/>
      <c r="AG84" s="343"/>
      <c r="AH84" s="343"/>
      <c r="AI84" s="343"/>
      <c r="AJ84" s="343"/>
      <c r="AK84" s="343"/>
      <c r="AL84" s="343"/>
      <c r="AM84" s="343"/>
      <c r="AN84" s="343"/>
      <c r="AO84" s="343"/>
      <c r="AP84" s="343"/>
      <c r="AQ84" s="343"/>
      <c r="AR84" s="343"/>
      <c r="AS84" s="343"/>
      <c r="AT84" s="343"/>
      <c r="AU84" s="343"/>
      <c r="AV84" s="343"/>
      <c r="AW84" s="343"/>
      <c r="AX84" s="343"/>
      <c r="AY84" s="343"/>
      <c r="AZ84" s="343"/>
      <c r="BA84" s="343"/>
      <c r="BB84" s="343"/>
      <c r="BC84" s="343"/>
      <c r="BD84" s="343"/>
      <c r="BE84" s="343"/>
      <c r="BF84" s="343"/>
      <c r="BG84" s="343"/>
      <c r="BH84" s="343"/>
      <c r="BI84" s="343"/>
      <c r="BJ84" s="343"/>
      <c r="BK84" s="343"/>
      <c r="BL84" s="343"/>
      <c r="BM84" s="343"/>
      <c r="BN84" s="343"/>
      <c r="BO84" s="343"/>
      <c r="BP84" s="343"/>
      <c r="BQ84" s="343"/>
      <c r="BR84" s="343"/>
      <c r="BS84" s="343"/>
      <c r="BT84" s="343"/>
      <c r="BU84" s="343"/>
      <c r="BV84" s="343"/>
      <c r="BW84" s="343"/>
      <c r="BX84" s="343"/>
      <c r="BY84" s="343"/>
      <c r="BZ84" s="343"/>
      <c r="CA84" s="343"/>
      <c r="CB84" s="343"/>
      <c r="CC84" s="343"/>
      <c r="CD84" s="343"/>
      <c r="CE84" s="343"/>
      <c r="CF84" s="343"/>
      <c r="CG84" s="343"/>
      <c r="CH84" s="343"/>
      <c r="CI84" s="343"/>
      <c r="CJ84" s="343"/>
      <c r="CK84" s="343"/>
      <c r="CL84" s="343"/>
      <c r="CM84" s="343"/>
      <c r="CN84" s="343"/>
      <c r="CO84" s="343"/>
      <c r="CP84" s="343"/>
      <c r="CQ84" s="343"/>
      <c r="CR84" s="343"/>
      <c r="CS84" s="343"/>
      <c r="CT84" s="343"/>
      <c r="CU84" s="343"/>
      <c r="CV84" s="343"/>
      <c r="CW84" s="343"/>
      <c r="CX84" s="343"/>
      <c r="CY84" s="343"/>
      <c r="CZ84" s="343"/>
      <c r="DA84" s="343"/>
      <c r="DB84" s="343"/>
      <c r="DC84" s="343"/>
      <c r="DD84" s="343"/>
      <c r="DE84" s="343"/>
      <c r="DF84" s="343"/>
      <c r="DG84" s="343"/>
      <c r="DH84" s="343"/>
      <c r="DI84" s="343"/>
      <c r="DJ84" s="343"/>
      <c r="DK84" s="343"/>
      <c r="DL84" s="343"/>
      <c r="DM84" s="343"/>
      <c r="DN84" s="343"/>
      <c r="DO84" s="343"/>
      <c r="DP84" s="343"/>
      <c r="DQ84" s="343"/>
      <c r="DR84" s="343"/>
      <c r="DS84" s="343"/>
      <c r="DT84" s="343"/>
      <c r="DU84" s="343"/>
      <c r="DV84" s="343"/>
      <c r="DW84" s="343"/>
      <c r="DX84" s="343"/>
      <c r="DY84" s="343"/>
      <c r="DZ84" s="343"/>
      <c r="EA84" s="343"/>
      <c r="EB84" s="343"/>
      <c r="EC84" s="343"/>
      <c r="ED84" s="343"/>
      <c r="EE84" s="343"/>
      <c r="EF84" s="343"/>
      <c r="EG84" s="343"/>
      <c r="EH84" s="343"/>
      <c r="EI84" s="343"/>
      <c r="EJ84" s="343"/>
      <c r="EK84" s="343"/>
      <c r="EL84" s="343"/>
      <c r="EM84" s="343"/>
      <c r="EN84" s="343"/>
      <c r="EO84" s="343"/>
      <c r="EP84" s="343"/>
      <c r="EQ84" s="343"/>
      <c r="ER84" s="343"/>
      <c r="ES84" s="343"/>
      <c r="ET84" s="343"/>
      <c r="EU84" s="343"/>
      <c r="EV84" s="343"/>
      <c r="EW84" s="343"/>
      <c r="EX84" s="343"/>
      <c r="EY84" s="343"/>
      <c r="EZ84" s="343"/>
      <c r="FA84" s="343"/>
      <c r="FB84" s="343"/>
      <c r="FC84" s="343"/>
      <c r="FD84" s="343"/>
      <c r="FE84" s="343"/>
      <c r="FF84" s="343"/>
      <c r="FG84" s="343"/>
      <c r="FH84" s="343"/>
      <c r="FI84" s="343"/>
      <c r="FJ84" s="343"/>
      <c r="FK84" s="343"/>
      <c r="FL84" s="343"/>
      <c r="FM84" s="343"/>
      <c r="FN84" s="343"/>
      <c r="FO84" s="343"/>
      <c r="FP84" s="343"/>
      <c r="FQ84" s="343"/>
      <c r="FR84" s="343"/>
      <c r="FS84" s="343"/>
      <c r="FT84" s="343"/>
      <c r="FU84" s="343"/>
      <c r="FV84" s="343"/>
      <c r="FW84" s="343"/>
      <c r="FX84" s="343"/>
      <c r="FY84" s="343"/>
      <c r="FZ84" s="343"/>
      <c r="GA84" s="343"/>
      <c r="GB84" s="343"/>
      <c r="GC84" s="343"/>
      <c r="GD84" s="343"/>
      <c r="GE84" s="343"/>
      <c r="GF84" s="343"/>
      <c r="GG84" s="343"/>
      <c r="GH84" s="343"/>
      <c r="GI84" s="343"/>
      <c r="GJ84" s="343"/>
      <c r="GK84" s="343"/>
      <c r="GL84" s="343"/>
      <c r="GM84" s="343"/>
      <c r="GN84" s="343"/>
      <c r="GO84" s="343"/>
      <c r="GP84" s="343"/>
      <c r="GQ84" s="343"/>
      <c r="GR84" s="343"/>
      <c r="GS84" s="343"/>
      <c r="GT84" s="343"/>
      <c r="GU84" s="343"/>
      <c r="GV84" s="343"/>
      <c r="GW84" s="343"/>
      <c r="GX84" s="343"/>
      <c r="GY84" s="343"/>
      <c r="GZ84" s="343"/>
      <c r="HA84" s="343"/>
      <c r="HB84" s="343"/>
      <c r="HC84" s="343"/>
      <c r="HD84" s="343"/>
      <c r="HE84" s="343"/>
      <c r="HF84" s="343"/>
      <c r="HG84" s="343"/>
      <c r="HH84" s="343"/>
      <c r="HI84" s="343"/>
      <c r="HJ84" s="343"/>
      <c r="HK84" s="343"/>
      <c r="HL84" s="343"/>
      <c r="HM84" s="343"/>
      <c r="HN84" s="343"/>
      <c r="HO84" s="343"/>
      <c r="HP84" s="343"/>
      <c r="HQ84" s="343"/>
      <c r="HR84" s="343"/>
      <c r="HS84" s="343"/>
      <c r="HT84" s="343"/>
      <c r="HU84" s="343"/>
      <c r="HV84" s="343"/>
      <c r="HW84" s="343"/>
      <c r="HX84" s="343"/>
      <c r="HY84" s="343"/>
      <c r="HZ84" s="343"/>
      <c r="IA84" s="343"/>
      <c r="IB84" s="343"/>
      <c r="IC84" s="343"/>
      <c r="ID84" s="343"/>
      <c r="IE84" s="343"/>
      <c r="IF84" s="343"/>
    </row>
    <row r="85" spans="1:240" s="198" customFormat="1" ht="13.5" hidden="1" customHeight="1">
      <c r="A85" s="126"/>
      <c r="B85" s="127"/>
      <c r="C85" s="134" t="s">
        <v>24</v>
      </c>
      <c r="D85" s="398"/>
      <c r="E85" s="398"/>
      <c r="F85" s="398"/>
      <c r="G85" s="398"/>
      <c r="H85" s="398"/>
      <c r="I85" s="398"/>
      <c r="J85" s="398"/>
      <c r="K85" s="398"/>
      <c r="L85" s="398"/>
      <c r="M85" s="398"/>
      <c r="N85" s="399"/>
      <c r="O85" s="399"/>
      <c r="P85" s="400" t="e">
        <f t="shared" si="6"/>
        <v>#DIV/0!</v>
      </c>
      <c r="Q85" s="343"/>
      <c r="R85" s="343"/>
      <c r="S85" s="343"/>
      <c r="T85" s="343"/>
      <c r="U85" s="343"/>
      <c r="V85" s="343"/>
      <c r="W85" s="343"/>
      <c r="X85" s="343"/>
      <c r="Y85" s="343"/>
      <c r="Z85" s="343"/>
      <c r="AA85" s="343"/>
      <c r="AB85" s="343"/>
      <c r="AC85" s="343"/>
      <c r="AD85" s="343"/>
      <c r="AE85" s="343"/>
      <c r="AF85" s="343"/>
      <c r="AG85" s="343"/>
      <c r="AH85" s="343"/>
      <c r="AI85" s="343"/>
      <c r="AJ85" s="343"/>
      <c r="AK85" s="343"/>
      <c r="AL85" s="343"/>
      <c r="AM85" s="343"/>
      <c r="AN85" s="343"/>
      <c r="AO85" s="343"/>
      <c r="AP85" s="343"/>
      <c r="AQ85" s="343"/>
      <c r="AR85" s="343"/>
      <c r="AS85" s="343"/>
      <c r="AT85" s="343"/>
      <c r="AU85" s="343"/>
      <c r="AV85" s="343"/>
      <c r="AW85" s="343"/>
      <c r="AX85" s="343"/>
      <c r="AY85" s="343"/>
      <c r="AZ85" s="343"/>
      <c r="BA85" s="343"/>
      <c r="BB85" s="343"/>
      <c r="BC85" s="343"/>
      <c r="BD85" s="343"/>
      <c r="BE85" s="343"/>
      <c r="BF85" s="343"/>
      <c r="BG85" s="343"/>
      <c r="BH85" s="343"/>
      <c r="BI85" s="343"/>
      <c r="BJ85" s="343"/>
      <c r="BK85" s="343"/>
      <c r="BL85" s="343"/>
      <c r="BM85" s="343"/>
      <c r="BN85" s="343"/>
      <c r="BO85" s="343"/>
      <c r="BP85" s="343"/>
      <c r="BQ85" s="343"/>
      <c r="BR85" s="343"/>
      <c r="BS85" s="343"/>
      <c r="BT85" s="343"/>
      <c r="BU85" s="343"/>
      <c r="BV85" s="343"/>
      <c r="BW85" s="343"/>
      <c r="BX85" s="343"/>
      <c r="BY85" s="343"/>
      <c r="BZ85" s="343"/>
      <c r="CA85" s="343"/>
      <c r="CB85" s="343"/>
      <c r="CC85" s="343"/>
      <c r="CD85" s="343"/>
      <c r="CE85" s="343"/>
      <c r="CF85" s="343"/>
      <c r="CG85" s="343"/>
      <c r="CH85" s="343"/>
      <c r="CI85" s="343"/>
      <c r="CJ85" s="343"/>
      <c r="CK85" s="343"/>
      <c r="CL85" s="343"/>
      <c r="CM85" s="343"/>
      <c r="CN85" s="343"/>
      <c r="CO85" s="343"/>
      <c r="CP85" s="343"/>
      <c r="CQ85" s="343"/>
      <c r="CR85" s="343"/>
      <c r="CS85" s="343"/>
      <c r="CT85" s="343"/>
      <c r="CU85" s="343"/>
      <c r="CV85" s="343"/>
      <c r="CW85" s="343"/>
      <c r="CX85" s="343"/>
      <c r="CY85" s="343"/>
      <c r="CZ85" s="343"/>
      <c r="DA85" s="343"/>
      <c r="DB85" s="343"/>
      <c r="DC85" s="343"/>
      <c r="DD85" s="343"/>
      <c r="DE85" s="343"/>
      <c r="DF85" s="343"/>
      <c r="DG85" s="343"/>
      <c r="DH85" s="343"/>
      <c r="DI85" s="343"/>
      <c r="DJ85" s="343"/>
      <c r="DK85" s="343"/>
      <c r="DL85" s="343"/>
      <c r="DM85" s="343"/>
      <c r="DN85" s="343"/>
      <c r="DO85" s="343"/>
      <c r="DP85" s="343"/>
      <c r="DQ85" s="343"/>
      <c r="DR85" s="343"/>
      <c r="DS85" s="343"/>
      <c r="DT85" s="343"/>
      <c r="DU85" s="343"/>
      <c r="DV85" s="343"/>
      <c r="DW85" s="343"/>
      <c r="DX85" s="343"/>
      <c r="DY85" s="343"/>
      <c r="DZ85" s="343"/>
      <c r="EA85" s="343"/>
      <c r="EB85" s="343"/>
      <c r="EC85" s="343"/>
      <c r="ED85" s="343"/>
      <c r="EE85" s="343"/>
      <c r="EF85" s="343"/>
      <c r="EG85" s="343"/>
      <c r="EH85" s="343"/>
      <c r="EI85" s="343"/>
      <c r="EJ85" s="343"/>
      <c r="EK85" s="343"/>
      <c r="EL85" s="343"/>
      <c r="EM85" s="343"/>
      <c r="EN85" s="343"/>
      <c r="EO85" s="343"/>
      <c r="EP85" s="343"/>
      <c r="EQ85" s="343"/>
      <c r="ER85" s="343"/>
      <c r="ES85" s="343"/>
      <c r="ET85" s="343"/>
      <c r="EU85" s="343"/>
      <c r="EV85" s="343"/>
      <c r="EW85" s="343"/>
      <c r="EX85" s="343"/>
      <c r="EY85" s="343"/>
      <c r="EZ85" s="343"/>
      <c r="FA85" s="343"/>
      <c r="FB85" s="343"/>
      <c r="FC85" s="343"/>
      <c r="FD85" s="343"/>
      <c r="FE85" s="343"/>
      <c r="FF85" s="343"/>
      <c r="FG85" s="343"/>
      <c r="FH85" s="343"/>
      <c r="FI85" s="343"/>
      <c r="FJ85" s="343"/>
      <c r="FK85" s="343"/>
      <c r="FL85" s="343"/>
      <c r="FM85" s="343"/>
      <c r="FN85" s="343"/>
      <c r="FO85" s="343"/>
      <c r="FP85" s="343"/>
      <c r="FQ85" s="343"/>
      <c r="FR85" s="343"/>
      <c r="FS85" s="343"/>
      <c r="FT85" s="343"/>
      <c r="FU85" s="343"/>
      <c r="FV85" s="343"/>
      <c r="FW85" s="343"/>
      <c r="FX85" s="343"/>
      <c r="FY85" s="343"/>
      <c r="FZ85" s="343"/>
      <c r="GA85" s="343"/>
      <c r="GB85" s="343"/>
      <c r="GC85" s="343"/>
      <c r="GD85" s="343"/>
      <c r="GE85" s="343"/>
      <c r="GF85" s="343"/>
      <c r="GG85" s="343"/>
      <c r="GH85" s="343"/>
      <c r="GI85" s="343"/>
      <c r="GJ85" s="343"/>
      <c r="GK85" s="343"/>
      <c r="GL85" s="343"/>
      <c r="GM85" s="343"/>
      <c r="GN85" s="343"/>
      <c r="GO85" s="343"/>
      <c r="GP85" s="343"/>
      <c r="GQ85" s="343"/>
      <c r="GR85" s="343"/>
      <c r="GS85" s="343"/>
      <c r="GT85" s="343"/>
      <c r="GU85" s="343"/>
      <c r="GV85" s="343"/>
      <c r="GW85" s="343"/>
      <c r="GX85" s="343"/>
      <c r="GY85" s="343"/>
      <c r="GZ85" s="343"/>
      <c r="HA85" s="343"/>
      <c r="HB85" s="343"/>
      <c r="HC85" s="343"/>
      <c r="HD85" s="343"/>
      <c r="HE85" s="343"/>
      <c r="HF85" s="343"/>
      <c r="HG85" s="343"/>
      <c r="HH85" s="343"/>
      <c r="HI85" s="343"/>
      <c r="HJ85" s="343"/>
      <c r="HK85" s="343"/>
      <c r="HL85" s="343"/>
      <c r="HM85" s="343"/>
      <c r="HN85" s="343"/>
      <c r="HO85" s="343"/>
      <c r="HP85" s="343"/>
      <c r="HQ85" s="343"/>
      <c r="HR85" s="343"/>
      <c r="HS85" s="343"/>
      <c r="HT85" s="343"/>
      <c r="HU85" s="343"/>
      <c r="HV85" s="343"/>
      <c r="HW85" s="343"/>
      <c r="HX85" s="343"/>
      <c r="HY85" s="343"/>
      <c r="HZ85" s="343"/>
      <c r="IA85" s="343"/>
      <c r="IB85" s="343"/>
      <c r="IC85" s="343"/>
      <c r="ID85" s="343"/>
      <c r="IE85" s="343"/>
      <c r="IF85" s="343"/>
    </row>
    <row r="86" spans="1:240" s="198" customFormat="1" ht="13.5" hidden="1" customHeight="1">
      <c r="A86" s="126"/>
      <c r="B86" s="127"/>
      <c r="C86" s="134" t="s">
        <v>25</v>
      </c>
      <c r="D86" s="398"/>
      <c r="E86" s="398"/>
      <c r="F86" s="398"/>
      <c r="G86" s="398"/>
      <c r="H86" s="398"/>
      <c r="I86" s="398"/>
      <c r="J86" s="398"/>
      <c r="K86" s="398"/>
      <c r="L86" s="398"/>
      <c r="M86" s="398"/>
      <c r="N86" s="399"/>
      <c r="O86" s="399"/>
      <c r="P86" s="400" t="e">
        <f t="shared" si="6"/>
        <v>#DIV/0!</v>
      </c>
      <c r="Q86" s="343"/>
      <c r="R86" s="343"/>
      <c r="S86" s="343"/>
      <c r="T86" s="343"/>
      <c r="U86" s="343"/>
      <c r="V86" s="343"/>
      <c r="W86" s="343"/>
      <c r="X86" s="343"/>
      <c r="Y86" s="343"/>
      <c r="Z86" s="343"/>
      <c r="AA86" s="343"/>
      <c r="AB86" s="343"/>
      <c r="AC86" s="343"/>
      <c r="AD86" s="343"/>
      <c r="AE86" s="343"/>
      <c r="AF86" s="343"/>
      <c r="AG86" s="343"/>
      <c r="AH86" s="343"/>
      <c r="AI86" s="343"/>
      <c r="AJ86" s="343"/>
      <c r="AK86" s="343"/>
      <c r="AL86" s="343"/>
      <c r="AM86" s="343"/>
      <c r="AN86" s="343"/>
      <c r="AO86" s="343"/>
      <c r="AP86" s="343"/>
      <c r="AQ86" s="343"/>
      <c r="AR86" s="343"/>
      <c r="AS86" s="343"/>
      <c r="AT86" s="343"/>
      <c r="AU86" s="343"/>
      <c r="AV86" s="343"/>
      <c r="AW86" s="343"/>
      <c r="AX86" s="343"/>
      <c r="AY86" s="343"/>
      <c r="AZ86" s="343"/>
      <c r="BA86" s="343"/>
      <c r="BB86" s="343"/>
      <c r="BC86" s="343"/>
      <c r="BD86" s="343"/>
      <c r="BE86" s="343"/>
      <c r="BF86" s="343"/>
      <c r="BG86" s="343"/>
      <c r="BH86" s="343"/>
      <c r="BI86" s="343"/>
      <c r="BJ86" s="343"/>
      <c r="BK86" s="343"/>
      <c r="BL86" s="343"/>
      <c r="BM86" s="343"/>
      <c r="BN86" s="343"/>
      <c r="BO86" s="343"/>
      <c r="BP86" s="343"/>
      <c r="BQ86" s="343"/>
      <c r="BR86" s="343"/>
      <c r="BS86" s="343"/>
      <c r="BT86" s="343"/>
      <c r="BU86" s="343"/>
      <c r="BV86" s="343"/>
      <c r="BW86" s="343"/>
      <c r="BX86" s="343"/>
      <c r="BY86" s="343"/>
      <c r="BZ86" s="343"/>
      <c r="CA86" s="343"/>
      <c r="CB86" s="343"/>
      <c r="CC86" s="343"/>
      <c r="CD86" s="343"/>
      <c r="CE86" s="343"/>
      <c r="CF86" s="343"/>
      <c r="CG86" s="343"/>
      <c r="CH86" s="343"/>
      <c r="CI86" s="343"/>
      <c r="CJ86" s="343"/>
      <c r="CK86" s="343"/>
      <c r="CL86" s="343"/>
      <c r="CM86" s="343"/>
      <c r="CN86" s="343"/>
      <c r="CO86" s="343"/>
      <c r="CP86" s="343"/>
      <c r="CQ86" s="343"/>
      <c r="CR86" s="343"/>
      <c r="CS86" s="343"/>
      <c r="CT86" s="343"/>
      <c r="CU86" s="343"/>
      <c r="CV86" s="343"/>
      <c r="CW86" s="343"/>
      <c r="CX86" s="343"/>
      <c r="CY86" s="343"/>
      <c r="CZ86" s="343"/>
      <c r="DA86" s="343"/>
      <c r="DB86" s="343"/>
      <c r="DC86" s="343"/>
      <c r="DD86" s="343"/>
      <c r="DE86" s="343"/>
      <c r="DF86" s="343"/>
      <c r="DG86" s="343"/>
      <c r="DH86" s="343"/>
      <c r="DI86" s="343"/>
      <c r="DJ86" s="343"/>
      <c r="DK86" s="343"/>
      <c r="DL86" s="343"/>
      <c r="DM86" s="343"/>
      <c r="DN86" s="343"/>
      <c r="DO86" s="343"/>
      <c r="DP86" s="343"/>
      <c r="DQ86" s="343"/>
      <c r="DR86" s="343"/>
      <c r="DS86" s="343"/>
      <c r="DT86" s="343"/>
      <c r="DU86" s="343"/>
      <c r="DV86" s="343"/>
      <c r="DW86" s="343"/>
      <c r="DX86" s="343"/>
      <c r="DY86" s="343"/>
      <c r="DZ86" s="343"/>
      <c r="EA86" s="343"/>
      <c r="EB86" s="343"/>
      <c r="EC86" s="343"/>
      <c r="ED86" s="343"/>
      <c r="EE86" s="343"/>
      <c r="EF86" s="343"/>
      <c r="EG86" s="343"/>
      <c r="EH86" s="343"/>
      <c r="EI86" s="343"/>
      <c r="EJ86" s="343"/>
      <c r="EK86" s="343"/>
      <c r="EL86" s="343"/>
      <c r="EM86" s="343"/>
      <c r="EN86" s="343"/>
      <c r="EO86" s="343"/>
      <c r="EP86" s="343"/>
      <c r="EQ86" s="343"/>
      <c r="ER86" s="343"/>
      <c r="ES86" s="343"/>
      <c r="ET86" s="343"/>
      <c r="EU86" s="343"/>
      <c r="EV86" s="343"/>
      <c r="EW86" s="343"/>
      <c r="EX86" s="343"/>
      <c r="EY86" s="343"/>
      <c r="EZ86" s="343"/>
      <c r="FA86" s="343"/>
      <c r="FB86" s="343"/>
      <c r="FC86" s="343"/>
      <c r="FD86" s="343"/>
      <c r="FE86" s="343"/>
      <c r="FF86" s="343"/>
      <c r="FG86" s="343"/>
      <c r="FH86" s="343"/>
      <c r="FI86" s="343"/>
      <c r="FJ86" s="343"/>
      <c r="FK86" s="343"/>
      <c r="FL86" s="343"/>
      <c r="FM86" s="343"/>
      <c r="FN86" s="343"/>
      <c r="FO86" s="343"/>
      <c r="FP86" s="343"/>
      <c r="FQ86" s="343"/>
      <c r="FR86" s="343"/>
      <c r="FS86" s="343"/>
      <c r="FT86" s="343"/>
      <c r="FU86" s="343"/>
      <c r="FV86" s="343"/>
      <c r="FW86" s="343"/>
      <c r="FX86" s="343"/>
      <c r="FY86" s="343"/>
      <c r="FZ86" s="343"/>
      <c r="GA86" s="343"/>
      <c r="GB86" s="343"/>
      <c r="GC86" s="343"/>
      <c r="GD86" s="343"/>
      <c r="GE86" s="343"/>
      <c r="GF86" s="343"/>
      <c r="GG86" s="343"/>
      <c r="GH86" s="343"/>
      <c r="GI86" s="343"/>
      <c r="GJ86" s="343"/>
      <c r="GK86" s="343"/>
      <c r="GL86" s="343"/>
      <c r="GM86" s="343"/>
      <c r="GN86" s="343"/>
      <c r="GO86" s="343"/>
      <c r="GP86" s="343"/>
      <c r="GQ86" s="343"/>
      <c r="GR86" s="343"/>
      <c r="GS86" s="343"/>
      <c r="GT86" s="343"/>
      <c r="GU86" s="343"/>
      <c r="GV86" s="343"/>
      <c r="GW86" s="343"/>
      <c r="GX86" s="343"/>
      <c r="GY86" s="343"/>
      <c r="GZ86" s="343"/>
      <c r="HA86" s="343"/>
      <c r="HB86" s="343"/>
      <c r="HC86" s="343"/>
      <c r="HD86" s="343"/>
      <c r="HE86" s="343"/>
      <c r="HF86" s="343"/>
      <c r="HG86" s="343"/>
      <c r="HH86" s="343"/>
      <c r="HI86" s="343"/>
      <c r="HJ86" s="343"/>
      <c r="HK86" s="343"/>
      <c r="HL86" s="343"/>
      <c r="HM86" s="343"/>
      <c r="HN86" s="343"/>
      <c r="HO86" s="343"/>
      <c r="HP86" s="343"/>
      <c r="HQ86" s="343"/>
      <c r="HR86" s="343"/>
      <c r="HS86" s="343"/>
      <c r="HT86" s="343"/>
      <c r="HU86" s="343"/>
      <c r="HV86" s="343"/>
      <c r="HW86" s="343"/>
      <c r="HX86" s="343"/>
      <c r="HY86" s="343"/>
      <c r="HZ86" s="343"/>
      <c r="IA86" s="343"/>
      <c r="IB86" s="343"/>
      <c r="IC86" s="343"/>
      <c r="ID86" s="343"/>
      <c r="IE86" s="343"/>
      <c r="IF86" s="343"/>
    </row>
    <row r="87" spans="1:240" s="198" customFormat="1" ht="13.5" hidden="1" customHeight="1">
      <c r="A87" s="126"/>
      <c r="B87" s="127"/>
      <c r="C87" s="134" t="s">
        <v>26</v>
      </c>
      <c r="D87" s="398"/>
      <c r="E87" s="398"/>
      <c r="F87" s="398"/>
      <c r="G87" s="398"/>
      <c r="H87" s="398"/>
      <c r="I87" s="398"/>
      <c r="J87" s="398"/>
      <c r="K87" s="398"/>
      <c r="L87" s="398"/>
      <c r="M87" s="398"/>
      <c r="N87" s="399"/>
      <c r="O87" s="399"/>
      <c r="P87" s="400" t="e">
        <f t="shared" si="6"/>
        <v>#DIV/0!</v>
      </c>
      <c r="Q87" s="343"/>
      <c r="R87" s="343"/>
      <c r="S87" s="343"/>
      <c r="T87" s="343"/>
      <c r="U87" s="343"/>
      <c r="V87" s="343"/>
      <c r="W87" s="343"/>
      <c r="X87" s="343"/>
      <c r="Y87" s="343"/>
      <c r="Z87" s="343"/>
      <c r="AA87" s="343"/>
      <c r="AB87" s="343"/>
      <c r="AC87" s="343"/>
      <c r="AD87" s="343"/>
      <c r="AE87" s="343"/>
      <c r="AF87" s="343"/>
      <c r="AG87" s="343"/>
      <c r="AH87" s="343"/>
      <c r="AI87" s="343"/>
      <c r="AJ87" s="343"/>
      <c r="AK87" s="343"/>
      <c r="AL87" s="343"/>
      <c r="AM87" s="343"/>
      <c r="AN87" s="343"/>
      <c r="AO87" s="343"/>
      <c r="AP87" s="343"/>
      <c r="AQ87" s="343"/>
      <c r="AR87" s="343"/>
      <c r="AS87" s="343"/>
      <c r="AT87" s="343"/>
      <c r="AU87" s="343"/>
      <c r="AV87" s="343"/>
      <c r="AW87" s="343"/>
      <c r="AX87" s="343"/>
      <c r="AY87" s="343"/>
      <c r="AZ87" s="343"/>
      <c r="BA87" s="343"/>
      <c r="BB87" s="343"/>
      <c r="BC87" s="343"/>
      <c r="BD87" s="343"/>
      <c r="BE87" s="343"/>
      <c r="BF87" s="343"/>
      <c r="BG87" s="343"/>
      <c r="BH87" s="343"/>
      <c r="BI87" s="343"/>
      <c r="BJ87" s="343"/>
      <c r="BK87" s="343"/>
      <c r="BL87" s="343"/>
      <c r="BM87" s="343"/>
      <c r="BN87" s="343"/>
      <c r="BO87" s="343"/>
      <c r="BP87" s="343"/>
      <c r="BQ87" s="343"/>
      <c r="BR87" s="343"/>
      <c r="BS87" s="343"/>
      <c r="BT87" s="343"/>
      <c r="BU87" s="343"/>
      <c r="BV87" s="343"/>
      <c r="BW87" s="343"/>
      <c r="BX87" s="343"/>
      <c r="BY87" s="343"/>
      <c r="BZ87" s="343"/>
      <c r="CA87" s="343"/>
      <c r="CB87" s="343"/>
      <c r="CC87" s="343"/>
      <c r="CD87" s="343"/>
      <c r="CE87" s="343"/>
      <c r="CF87" s="343"/>
      <c r="CG87" s="343"/>
      <c r="CH87" s="343"/>
      <c r="CI87" s="343"/>
      <c r="CJ87" s="343"/>
      <c r="CK87" s="343"/>
      <c r="CL87" s="343"/>
      <c r="CM87" s="343"/>
      <c r="CN87" s="343"/>
      <c r="CO87" s="343"/>
      <c r="CP87" s="343"/>
      <c r="CQ87" s="343"/>
      <c r="CR87" s="343"/>
      <c r="CS87" s="343"/>
      <c r="CT87" s="343"/>
      <c r="CU87" s="343"/>
      <c r="CV87" s="343"/>
      <c r="CW87" s="343"/>
      <c r="CX87" s="343"/>
      <c r="CY87" s="343"/>
      <c r="CZ87" s="343"/>
      <c r="DA87" s="343"/>
      <c r="DB87" s="343"/>
      <c r="DC87" s="343"/>
      <c r="DD87" s="343"/>
      <c r="DE87" s="343"/>
      <c r="DF87" s="343"/>
      <c r="DG87" s="343"/>
      <c r="DH87" s="343"/>
      <c r="DI87" s="343"/>
      <c r="DJ87" s="343"/>
      <c r="DK87" s="343"/>
      <c r="DL87" s="343"/>
      <c r="DM87" s="343"/>
      <c r="DN87" s="343"/>
      <c r="DO87" s="343"/>
      <c r="DP87" s="343"/>
      <c r="DQ87" s="343"/>
      <c r="DR87" s="343"/>
      <c r="DS87" s="343"/>
      <c r="DT87" s="343"/>
      <c r="DU87" s="343"/>
      <c r="DV87" s="343"/>
      <c r="DW87" s="343"/>
      <c r="DX87" s="343"/>
      <c r="DY87" s="343"/>
      <c r="DZ87" s="343"/>
      <c r="EA87" s="343"/>
      <c r="EB87" s="343"/>
      <c r="EC87" s="343"/>
      <c r="ED87" s="343"/>
      <c r="EE87" s="343"/>
      <c r="EF87" s="343"/>
      <c r="EG87" s="343"/>
      <c r="EH87" s="343"/>
      <c r="EI87" s="343"/>
      <c r="EJ87" s="343"/>
      <c r="EK87" s="343"/>
      <c r="EL87" s="343"/>
      <c r="EM87" s="343"/>
      <c r="EN87" s="343"/>
      <c r="EO87" s="343"/>
      <c r="EP87" s="343"/>
      <c r="EQ87" s="343"/>
      <c r="ER87" s="343"/>
      <c r="ES87" s="343"/>
      <c r="ET87" s="343"/>
      <c r="EU87" s="343"/>
      <c r="EV87" s="343"/>
      <c r="EW87" s="343"/>
      <c r="EX87" s="343"/>
      <c r="EY87" s="343"/>
      <c r="EZ87" s="343"/>
      <c r="FA87" s="343"/>
      <c r="FB87" s="343"/>
      <c r="FC87" s="343"/>
      <c r="FD87" s="343"/>
      <c r="FE87" s="343"/>
      <c r="FF87" s="343"/>
      <c r="FG87" s="343"/>
      <c r="FH87" s="343"/>
      <c r="FI87" s="343"/>
      <c r="FJ87" s="343"/>
      <c r="FK87" s="343"/>
      <c r="FL87" s="343"/>
      <c r="FM87" s="343"/>
      <c r="FN87" s="343"/>
      <c r="FO87" s="343"/>
      <c r="FP87" s="343"/>
      <c r="FQ87" s="343"/>
      <c r="FR87" s="343"/>
      <c r="FS87" s="343"/>
      <c r="FT87" s="343"/>
      <c r="FU87" s="343"/>
      <c r="FV87" s="343"/>
      <c r="FW87" s="343"/>
      <c r="FX87" s="343"/>
      <c r="FY87" s="343"/>
      <c r="FZ87" s="343"/>
      <c r="GA87" s="343"/>
      <c r="GB87" s="343"/>
      <c r="GC87" s="343"/>
      <c r="GD87" s="343"/>
      <c r="GE87" s="343"/>
      <c r="GF87" s="343"/>
      <c r="GG87" s="343"/>
      <c r="GH87" s="343"/>
      <c r="GI87" s="343"/>
      <c r="GJ87" s="343"/>
      <c r="GK87" s="343"/>
      <c r="GL87" s="343"/>
      <c r="GM87" s="343"/>
      <c r="GN87" s="343"/>
      <c r="GO87" s="343"/>
      <c r="GP87" s="343"/>
      <c r="GQ87" s="343"/>
      <c r="GR87" s="343"/>
      <c r="GS87" s="343"/>
      <c r="GT87" s="343"/>
      <c r="GU87" s="343"/>
      <c r="GV87" s="343"/>
      <c r="GW87" s="343"/>
      <c r="GX87" s="343"/>
      <c r="GY87" s="343"/>
      <c r="GZ87" s="343"/>
      <c r="HA87" s="343"/>
      <c r="HB87" s="343"/>
      <c r="HC87" s="343"/>
      <c r="HD87" s="343"/>
      <c r="HE87" s="343"/>
      <c r="HF87" s="343"/>
      <c r="HG87" s="343"/>
      <c r="HH87" s="343"/>
      <c r="HI87" s="343"/>
      <c r="HJ87" s="343"/>
      <c r="HK87" s="343"/>
      <c r="HL87" s="343"/>
      <c r="HM87" s="343"/>
      <c r="HN87" s="343"/>
      <c r="HO87" s="343"/>
      <c r="HP87" s="343"/>
      <c r="HQ87" s="343"/>
      <c r="HR87" s="343"/>
      <c r="HS87" s="343"/>
      <c r="HT87" s="343"/>
      <c r="HU87" s="343"/>
      <c r="HV87" s="343"/>
      <c r="HW87" s="343"/>
      <c r="HX87" s="343"/>
      <c r="HY87" s="343"/>
      <c r="HZ87" s="343"/>
      <c r="IA87" s="343"/>
      <c r="IB87" s="343"/>
      <c r="IC87" s="343"/>
      <c r="ID87" s="343"/>
      <c r="IE87" s="343"/>
      <c r="IF87" s="343"/>
    </row>
    <row r="88" spans="1:240" s="198" customFormat="1" ht="13.5" hidden="1" customHeight="1">
      <c r="A88" s="126"/>
      <c r="B88" s="127"/>
      <c r="C88" s="134" t="s">
        <v>27</v>
      </c>
      <c r="D88" s="398"/>
      <c r="E88" s="398"/>
      <c r="F88" s="398"/>
      <c r="G88" s="398"/>
      <c r="H88" s="398"/>
      <c r="I88" s="398"/>
      <c r="J88" s="398"/>
      <c r="K88" s="398"/>
      <c r="L88" s="398"/>
      <c r="M88" s="398"/>
      <c r="N88" s="399"/>
      <c r="O88" s="399"/>
      <c r="P88" s="400" t="e">
        <f t="shared" si="6"/>
        <v>#DIV/0!</v>
      </c>
      <c r="Q88" s="343"/>
      <c r="R88" s="343"/>
      <c r="S88" s="343"/>
      <c r="T88" s="343"/>
      <c r="U88" s="343"/>
      <c r="V88" s="343"/>
      <c r="W88" s="343"/>
      <c r="X88" s="343"/>
      <c r="Y88" s="343"/>
      <c r="Z88" s="343"/>
      <c r="AA88" s="343"/>
      <c r="AB88" s="343"/>
      <c r="AC88" s="343"/>
      <c r="AD88" s="343"/>
      <c r="AE88" s="343"/>
      <c r="AF88" s="343"/>
      <c r="AG88" s="343"/>
      <c r="AH88" s="343"/>
      <c r="AI88" s="343"/>
      <c r="AJ88" s="343"/>
      <c r="AK88" s="343"/>
      <c r="AL88" s="343"/>
      <c r="AM88" s="343"/>
      <c r="AN88" s="343"/>
      <c r="AO88" s="343"/>
      <c r="AP88" s="343"/>
      <c r="AQ88" s="343"/>
      <c r="AR88" s="343"/>
      <c r="AS88" s="343"/>
      <c r="AT88" s="343"/>
      <c r="AU88" s="343"/>
      <c r="AV88" s="343"/>
      <c r="AW88" s="343"/>
      <c r="AX88" s="343"/>
      <c r="AY88" s="343"/>
      <c r="AZ88" s="343"/>
      <c r="BA88" s="343"/>
      <c r="BB88" s="343"/>
      <c r="BC88" s="343"/>
      <c r="BD88" s="343"/>
      <c r="BE88" s="343"/>
      <c r="BF88" s="343"/>
      <c r="BG88" s="343"/>
      <c r="BH88" s="343"/>
      <c r="BI88" s="343"/>
      <c r="BJ88" s="343"/>
      <c r="BK88" s="343"/>
      <c r="BL88" s="343"/>
      <c r="BM88" s="343"/>
      <c r="BN88" s="343"/>
      <c r="BO88" s="343"/>
      <c r="BP88" s="343"/>
      <c r="BQ88" s="343"/>
      <c r="BR88" s="343"/>
      <c r="BS88" s="343"/>
      <c r="BT88" s="343"/>
      <c r="BU88" s="343"/>
      <c r="BV88" s="343"/>
      <c r="BW88" s="343"/>
      <c r="BX88" s="343"/>
      <c r="BY88" s="343"/>
      <c r="BZ88" s="343"/>
      <c r="CA88" s="343"/>
      <c r="CB88" s="343"/>
      <c r="CC88" s="343"/>
      <c r="CD88" s="343"/>
      <c r="CE88" s="343"/>
      <c r="CF88" s="343"/>
      <c r="CG88" s="343"/>
      <c r="CH88" s="343"/>
      <c r="CI88" s="343"/>
      <c r="CJ88" s="343"/>
      <c r="CK88" s="343"/>
      <c r="CL88" s="343"/>
      <c r="CM88" s="343"/>
      <c r="CN88" s="343"/>
      <c r="CO88" s="343"/>
      <c r="CP88" s="343"/>
      <c r="CQ88" s="343"/>
      <c r="CR88" s="343"/>
      <c r="CS88" s="343"/>
      <c r="CT88" s="343"/>
      <c r="CU88" s="343"/>
      <c r="CV88" s="343"/>
      <c r="CW88" s="343"/>
      <c r="CX88" s="343"/>
      <c r="CY88" s="343"/>
      <c r="CZ88" s="343"/>
      <c r="DA88" s="343"/>
      <c r="DB88" s="343"/>
      <c r="DC88" s="343"/>
      <c r="DD88" s="343"/>
      <c r="DE88" s="343"/>
      <c r="DF88" s="343"/>
      <c r="DG88" s="343"/>
      <c r="DH88" s="343"/>
      <c r="DI88" s="343"/>
      <c r="DJ88" s="343"/>
      <c r="DK88" s="343"/>
      <c r="DL88" s="343"/>
      <c r="DM88" s="343"/>
      <c r="DN88" s="343"/>
      <c r="DO88" s="343"/>
      <c r="DP88" s="343"/>
      <c r="DQ88" s="343"/>
      <c r="DR88" s="343"/>
      <c r="DS88" s="343"/>
      <c r="DT88" s="343"/>
      <c r="DU88" s="343"/>
      <c r="DV88" s="343"/>
      <c r="DW88" s="343"/>
      <c r="DX88" s="343"/>
      <c r="DY88" s="343"/>
      <c r="DZ88" s="343"/>
      <c r="EA88" s="343"/>
      <c r="EB88" s="343"/>
      <c r="EC88" s="343"/>
      <c r="ED88" s="343"/>
      <c r="EE88" s="343"/>
      <c r="EF88" s="343"/>
      <c r="EG88" s="343"/>
      <c r="EH88" s="343"/>
      <c r="EI88" s="343"/>
      <c r="EJ88" s="343"/>
      <c r="EK88" s="343"/>
      <c r="EL88" s="343"/>
      <c r="EM88" s="343"/>
      <c r="EN88" s="343"/>
      <c r="EO88" s="343"/>
      <c r="EP88" s="343"/>
      <c r="EQ88" s="343"/>
      <c r="ER88" s="343"/>
      <c r="ES88" s="343"/>
      <c r="ET88" s="343"/>
      <c r="EU88" s="343"/>
      <c r="EV88" s="343"/>
      <c r="EW88" s="343"/>
      <c r="EX88" s="343"/>
      <c r="EY88" s="343"/>
      <c r="EZ88" s="343"/>
      <c r="FA88" s="343"/>
      <c r="FB88" s="343"/>
      <c r="FC88" s="343"/>
      <c r="FD88" s="343"/>
      <c r="FE88" s="343"/>
      <c r="FF88" s="343"/>
      <c r="FG88" s="343"/>
      <c r="FH88" s="343"/>
      <c r="FI88" s="343"/>
      <c r="FJ88" s="343"/>
      <c r="FK88" s="343"/>
      <c r="FL88" s="343"/>
      <c r="FM88" s="343"/>
      <c r="FN88" s="343"/>
      <c r="FO88" s="343"/>
      <c r="FP88" s="343"/>
      <c r="FQ88" s="343"/>
      <c r="FR88" s="343"/>
      <c r="FS88" s="343"/>
      <c r="FT88" s="343"/>
      <c r="FU88" s="343"/>
      <c r="FV88" s="343"/>
      <c r="FW88" s="343"/>
      <c r="FX88" s="343"/>
      <c r="FY88" s="343"/>
      <c r="FZ88" s="343"/>
      <c r="GA88" s="343"/>
      <c r="GB88" s="343"/>
      <c r="GC88" s="343"/>
      <c r="GD88" s="343"/>
      <c r="GE88" s="343"/>
      <c r="GF88" s="343"/>
      <c r="GG88" s="343"/>
      <c r="GH88" s="343"/>
      <c r="GI88" s="343"/>
      <c r="GJ88" s="343"/>
      <c r="GK88" s="343"/>
      <c r="GL88" s="343"/>
      <c r="GM88" s="343"/>
      <c r="GN88" s="343"/>
      <c r="GO88" s="343"/>
      <c r="GP88" s="343"/>
      <c r="GQ88" s="343"/>
      <c r="GR88" s="343"/>
      <c r="GS88" s="343"/>
      <c r="GT88" s="343"/>
      <c r="GU88" s="343"/>
      <c r="GV88" s="343"/>
      <c r="GW88" s="343"/>
      <c r="GX88" s="343"/>
      <c r="GY88" s="343"/>
      <c r="GZ88" s="343"/>
      <c r="HA88" s="343"/>
      <c r="HB88" s="343"/>
      <c r="HC88" s="343"/>
      <c r="HD88" s="343"/>
      <c r="HE88" s="343"/>
      <c r="HF88" s="343"/>
      <c r="HG88" s="343"/>
      <c r="HH88" s="343"/>
      <c r="HI88" s="343"/>
      <c r="HJ88" s="343"/>
      <c r="HK88" s="343"/>
      <c r="HL88" s="343"/>
      <c r="HM88" s="343"/>
      <c r="HN88" s="343"/>
      <c r="HO88" s="343"/>
      <c r="HP88" s="343"/>
      <c r="HQ88" s="343"/>
      <c r="HR88" s="343"/>
      <c r="HS88" s="343"/>
      <c r="HT88" s="343"/>
      <c r="HU88" s="343"/>
      <c r="HV88" s="343"/>
      <c r="HW88" s="343"/>
      <c r="HX88" s="343"/>
      <c r="HY88" s="343"/>
      <c r="HZ88" s="343"/>
      <c r="IA88" s="343"/>
      <c r="IB88" s="343"/>
      <c r="IC88" s="343"/>
      <c r="ID88" s="343"/>
      <c r="IE88" s="343"/>
      <c r="IF88" s="343"/>
    </row>
    <row r="89" spans="1:240" s="198" customFormat="1" ht="13.5" hidden="1" customHeight="1">
      <c r="A89" s="126"/>
      <c r="B89" s="127"/>
      <c r="C89" s="134" t="s">
        <v>28</v>
      </c>
      <c r="D89" s="398"/>
      <c r="E89" s="398"/>
      <c r="F89" s="398"/>
      <c r="G89" s="398"/>
      <c r="H89" s="398"/>
      <c r="I89" s="398"/>
      <c r="J89" s="398"/>
      <c r="K89" s="398"/>
      <c r="L89" s="398"/>
      <c r="M89" s="398"/>
      <c r="N89" s="399"/>
      <c r="O89" s="399"/>
      <c r="P89" s="400" t="e">
        <f t="shared" si="6"/>
        <v>#DIV/0!</v>
      </c>
      <c r="Q89" s="343"/>
      <c r="R89" s="343"/>
      <c r="S89" s="343"/>
      <c r="T89" s="343"/>
      <c r="U89" s="343"/>
      <c r="V89" s="343"/>
      <c r="W89" s="343"/>
      <c r="X89" s="343"/>
      <c r="Y89" s="343"/>
      <c r="Z89" s="343"/>
      <c r="AA89" s="343"/>
      <c r="AB89" s="343"/>
      <c r="AC89" s="343"/>
      <c r="AD89" s="343"/>
      <c r="AE89" s="343"/>
      <c r="AF89" s="343"/>
      <c r="AG89" s="343"/>
      <c r="AH89" s="343"/>
      <c r="AI89" s="343"/>
      <c r="AJ89" s="343"/>
      <c r="AK89" s="343"/>
      <c r="AL89" s="343"/>
      <c r="AM89" s="343"/>
      <c r="AN89" s="343"/>
      <c r="AO89" s="343"/>
      <c r="AP89" s="343"/>
      <c r="AQ89" s="343"/>
      <c r="AR89" s="343"/>
      <c r="AS89" s="343"/>
      <c r="AT89" s="343"/>
      <c r="AU89" s="343"/>
      <c r="AV89" s="343"/>
      <c r="AW89" s="343"/>
      <c r="AX89" s="343"/>
      <c r="AY89" s="343"/>
      <c r="AZ89" s="343"/>
      <c r="BA89" s="343"/>
      <c r="BB89" s="343"/>
      <c r="BC89" s="343"/>
      <c r="BD89" s="343"/>
      <c r="BE89" s="343"/>
      <c r="BF89" s="343"/>
      <c r="BG89" s="343"/>
      <c r="BH89" s="343"/>
      <c r="BI89" s="343"/>
      <c r="BJ89" s="343"/>
      <c r="BK89" s="343"/>
      <c r="BL89" s="343"/>
      <c r="BM89" s="343"/>
      <c r="BN89" s="343"/>
      <c r="BO89" s="343"/>
      <c r="BP89" s="343"/>
      <c r="BQ89" s="343"/>
      <c r="BR89" s="343"/>
      <c r="BS89" s="343"/>
      <c r="BT89" s="343"/>
      <c r="BU89" s="343"/>
      <c r="BV89" s="343"/>
      <c r="BW89" s="343"/>
      <c r="BX89" s="343"/>
      <c r="BY89" s="343"/>
      <c r="BZ89" s="343"/>
      <c r="CA89" s="343"/>
      <c r="CB89" s="343"/>
      <c r="CC89" s="343"/>
      <c r="CD89" s="343"/>
      <c r="CE89" s="343"/>
      <c r="CF89" s="343"/>
      <c r="CG89" s="343"/>
      <c r="CH89" s="343"/>
      <c r="CI89" s="343"/>
      <c r="CJ89" s="343"/>
      <c r="CK89" s="343"/>
      <c r="CL89" s="343"/>
      <c r="CM89" s="343"/>
      <c r="CN89" s="343"/>
      <c r="CO89" s="343"/>
      <c r="CP89" s="343"/>
      <c r="CQ89" s="343"/>
      <c r="CR89" s="343"/>
      <c r="CS89" s="343"/>
      <c r="CT89" s="343"/>
      <c r="CU89" s="343"/>
      <c r="CV89" s="343"/>
      <c r="CW89" s="343"/>
      <c r="CX89" s="343"/>
      <c r="CY89" s="343"/>
      <c r="CZ89" s="343"/>
      <c r="DA89" s="343"/>
      <c r="DB89" s="343"/>
      <c r="DC89" s="343"/>
      <c r="DD89" s="343"/>
      <c r="DE89" s="343"/>
      <c r="DF89" s="343"/>
      <c r="DG89" s="343"/>
      <c r="DH89" s="343"/>
      <c r="DI89" s="343"/>
      <c r="DJ89" s="343"/>
      <c r="DK89" s="343"/>
      <c r="DL89" s="343"/>
      <c r="DM89" s="343"/>
      <c r="DN89" s="343"/>
      <c r="DO89" s="343"/>
      <c r="DP89" s="343"/>
      <c r="DQ89" s="343"/>
      <c r="DR89" s="343"/>
      <c r="DS89" s="343"/>
      <c r="DT89" s="343"/>
      <c r="DU89" s="343"/>
      <c r="DV89" s="343"/>
      <c r="DW89" s="343"/>
      <c r="DX89" s="343"/>
      <c r="DY89" s="343"/>
      <c r="DZ89" s="343"/>
      <c r="EA89" s="343"/>
      <c r="EB89" s="343"/>
      <c r="EC89" s="343"/>
      <c r="ED89" s="343"/>
      <c r="EE89" s="343"/>
      <c r="EF89" s="343"/>
      <c r="EG89" s="343"/>
      <c r="EH89" s="343"/>
      <c r="EI89" s="343"/>
      <c r="EJ89" s="343"/>
      <c r="EK89" s="343"/>
      <c r="EL89" s="343"/>
      <c r="EM89" s="343"/>
      <c r="EN89" s="343"/>
      <c r="EO89" s="343"/>
      <c r="EP89" s="343"/>
      <c r="EQ89" s="343"/>
      <c r="ER89" s="343"/>
      <c r="ES89" s="343"/>
      <c r="ET89" s="343"/>
      <c r="EU89" s="343"/>
      <c r="EV89" s="343"/>
      <c r="EW89" s="343"/>
      <c r="EX89" s="343"/>
      <c r="EY89" s="343"/>
      <c r="EZ89" s="343"/>
      <c r="FA89" s="343"/>
      <c r="FB89" s="343"/>
      <c r="FC89" s="343"/>
      <c r="FD89" s="343"/>
      <c r="FE89" s="343"/>
      <c r="FF89" s="343"/>
      <c r="FG89" s="343"/>
      <c r="FH89" s="343"/>
      <c r="FI89" s="343"/>
      <c r="FJ89" s="343"/>
      <c r="FK89" s="343"/>
      <c r="FL89" s="343"/>
      <c r="FM89" s="343"/>
      <c r="FN89" s="343"/>
      <c r="FO89" s="343"/>
      <c r="FP89" s="343"/>
      <c r="FQ89" s="343"/>
      <c r="FR89" s="343"/>
      <c r="FS89" s="343"/>
      <c r="FT89" s="343"/>
      <c r="FU89" s="343"/>
      <c r="FV89" s="343"/>
      <c r="FW89" s="343"/>
      <c r="FX89" s="343"/>
      <c r="FY89" s="343"/>
      <c r="FZ89" s="343"/>
      <c r="GA89" s="343"/>
      <c r="GB89" s="343"/>
      <c r="GC89" s="343"/>
      <c r="GD89" s="343"/>
      <c r="GE89" s="343"/>
      <c r="GF89" s="343"/>
      <c r="GG89" s="343"/>
      <c r="GH89" s="343"/>
      <c r="GI89" s="343"/>
      <c r="GJ89" s="343"/>
      <c r="GK89" s="343"/>
      <c r="GL89" s="343"/>
      <c r="GM89" s="343"/>
      <c r="GN89" s="343"/>
      <c r="GO89" s="343"/>
      <c r="GP89" s="343"/>
      <c r="GQ89" s="343"/>
      <c r="GR89" s="343"/>
      <c r="GS89" s="343"/>
      <c r="GT89" s="343"/>
      <c r="GU89" s="343"/>
      <c r="GV89" s="343"/>
      <c r="GW89" s="343"/>
      <c r="GX89" s="343"/>
      <c r="GY89" s="343"/>
      <c r="GZ89" s="343"/>
      <c r="HA89" s="343"/>
      <c r="HB89" s="343"/>
      <c r="HC89" s="343"/>
      <c r="HD89" s="343"/>
      <c r="HE89" s="343"/>
      <c r="HF89" s="343"/>
      <c r="HG89" s="343"/>
      <c r="HH89" s="343"/>
      <c r="HI89" s="343"/>
      <c r="HJ89" s="343"/>
      <c r="HK89" s="343"/>
      <c r="HL89" s="343"/>
      <c r="HM89" s="343"/>
      <c r="HN89" s="343"/>
      <c r="HO89" s="343"/>
      <c r="HP89" s="343"/>
      <c r="HQ89" s="343"/>
      <c r="HR89" s="343"/>
      <c r="HS89" s="343"/>
      <c r="HT89" s="343"/>
      <c r="HU89" s="343"/>
      <c r="HV89" s="343"/>
      <c r="HW89" s="343"/>
      <c r="HX89" s="343"/>
      <c r="HY89" s="343"/>
      <c r="HZ89" s="343"/>
      <c r="IA89" s="343"/>
      <c r="IB89" s="343"/>
      <c r="IC89" s="343"/>
      <c r="ID89" s="343"/>
      <c r="IE89" s="343"/>
      <c r="IF89" s="343"/>
    </row>
    <row r="90" spans="1:240" s="198" customFormat="1" ht="13.5" hidden="1" customHeight="1">
      <c r="A90" s="126"/>
      <c r="B90" s="127"/>
      <c r="C90" s="255" t="s">
        <v>273</v>
      </c>
      <c r="D90" s="398"/>
      <c r="E90" s="398"/>
      <c r="F90" s="398"/>
      <c r="G90" s="398"/>
      <c r="H90" s="398"/>
      <c r="I90" s="398"/>
      <c r="J90" s="398"/>
      <c r="K90" s="398"/>
      <c r="L90" s="398"/>
      <c r="M90" s="398"/>
      <c r="N90" s="398"/>
      <c r="O90" s="399"/>
      <c r="P90" s="400" t="e">
        <f t="shared" si="6"/>
        <v>#DIV/0!</v>
      </c>
      <c r="Q90" s="343"/>
      <c r="R90" s="343"/>
      <c r="S90" s="343"/>
      <c r="T90" s="343"/>
      <c r="U90" s="343"/>
      <c r="V90" s="343"/>
      <c r="W90" s="343"/>
      <c r="X90" s="343"/>
      <c r="Y90" s="343"/>
      <c r="Z90" s="343"/>
      <c r="AA90" s="343"/>
      <c r="AB90" s="343"/>
      <c r="AC90" s="343"/>
      <c r="AD90" s="343"/>
      <c r="AE90" s="343"/>
      <c r="AF90" s="343"/>
      <c r="AG90" s="343"/>
      <c r="AH90" s="343"/>
      <c r="AI90" s="343"/>
      <c r="AJ90" s="343"/>
      <c r="AK90" s="343"/>
      <c r="AL90" s="343"/>
      <c r="AM90" s="343"/>
      <c r="AN90" s="343"/>
      <c r="AO90" s="343"/>
      <c r="AP90" s="343"/>
      <c r="AQ90" s="343"/>
      <c r="AR90" s="343"/>
      <c r="AS90" s="343"/>
      <c r="AT90" s="343"/>
      <c r="AU90" s="343"/>
      <c r="AV90" s="343"/>
      <c r="AW90" s="343"/>
      <c r="AX90" s="343"/>
      <c r="AY90" s="343"/>
      <c r="AZ90" s="343"/>
      <c r="BA90" s="343"/>
      <c r="BB90" s="343"/>
      <c r="BC90" s="343"/>
      <c r="BD90" s="343"/>
      <c r="BE90" s="343"/>
      <c r="BF90" s="343"/>
      <c r="BG90" s="343"/>
      <c r="BH90" s="343"/>
      <c r="BI90" s="343"/>
      <c r="BJ90" s="343"/>
      <c r="BK90" s="343"/>
      <c r="BL90" s="343"/>
      <c r="BM90" s="343"/>
      <c r="BN90" s="343"/>
      <c r="BO90" s="343"/>
      <c r="BP90" s="343"/>
      <c r="BQ90" s="343"/>
      <c r="BR90" s="343"/>
      <c r="BS90" s="343"/>
      <c r="BT90" s="343"/>
      <c r="BU90" s="343"/>
      <c r="BV90" s="343"/>
      <c r="BW90" s="343"/>
      <c r="BX90" s="343"/>
      <c r="BY90" s="343"/>
      <c r="BZ90" s="343"/>
      <c r="CA90" s="343"/>
      <c r="CB90" s="343"/>
      <c r="CC90" s="343"/>
      <c r="CD90" s="343"/>
      <c r="CE90" s="343"/>
      <c r="CF90" s="343"/>
      <c r="CG90" s="343"/>
      <c r="CH90" s="343"/>
      <c r="CI90" s="343"/>
      <c r="CJ90" s="343"/>
      <c r="CK90" s="343"/>
      <c r="CL90" s="343"/>
      <c r="CM90" s="343"/>
      <c r="CN90" s="343"/>
      <c r="CO90" s="343"/>
      <c r="CP90" s="343"/>
      <c r="CQ90" s="343"/>
      <c r="CR90" s="343"/>
      <c r="CS90" s="343"/>
      <c r="CT90" s="343"/>
      <c r="CU90" s="343"/>
      <c r="CV90" s="343"/>
      <c r="CW90" s="343"/>
      <c r="CX90" s="343"/>
      <c r="CY90" s="343"/>
      <c r="CZ90" s="343"/>
      <c r="DA90" s="343"/>
      <c r="DB90" s="343"/>
      <c r="DC90" s="343"/>
      <c r="DD90" s="343"/>
      <c r="DE90" s="343"/>
      <c r="DF90" s="343"/>
      <c r="DG90" s="343"/>
      <c r="DH90" s="343"/>
      <c r="DI90" s="343"/>
      <c r="DJ90" s="343"/>
      <c r="DK90" s="343"/>
      <c r="DL90" s="343"/>
      <c r="DM90" s="343"/>
      <c r="DN90" s="343"/>
      <c r="DO90" s="343"/>
      <c r="DP90" s="343"/>
      <c r="DQ90" s="343"/>
      <c r="DR90" s="343"/>
      <c r="DS90" s="343"/>
      <c r="DT90" s="343"/>
      <c r="DU90" s="343"/>
      <c r="DV90" s="343"/>
      <c r="DW90" s="343"/>
      <c r="DX90" s="343"/>
      <c r="DY90" s="343"/>
      <c r="DZ90" s="343"/>
      <c r="EA90" s="343"/>
      <c r="EB90" s="343"/>
      <c r="EC90" s="343"/>
      <c r="ED90" s="343"/>
      <c r="EE90" s="343"/>
      <c r="EF90" s="343"/>
      <c r="EG90" s="343"/>
      <c r="EH90" s="343"/>
      <c r="EI90" s="343"/>
      <c r="EJ90" s="343"/>
      <c r="EK90" s="343"/>
      <c r="EL90" s="343"/>
      <c r="EM90" s="343"/>
      <c r="EN90" s="343"/>
      <c r="EO90" s="343"/>
      <c r="EP90" s="343"/>
      <c r="EQ90" s="343"/>
      <c r="ER90" s="343"/>
      <c r="ES90" s="343"/>
      <c r="ET90" s="343"/>
      <c r="EU90" s="343"/>
      <c r="EV90" s="343"/>
      <c r="EW90" s="343"/>
      <c r="EX90" s="343"/>
      <c r="EY90" s="343"/>
      <c r="EZ90" s="343"/>
      <c r="FA90" s="343"/>
      <c r="FB90" s="343"/>
      <c r="FC90" s="343"/>
      <c r="FD90" s="343"/>
      <c r="FE90" s="343"/>
      <c r="FF90" s="343"/>
      <c r="FG90" s="343"/>
      <c r="FH90" s="343"/>
      <c r="FI90" s="343"/>
      <c r="FJ90" s="343"/>
      <c r="FK90" s="343"/>
      <c r="FL90" s="343"/>
      <c r="FM90" s="343"/>
      <c r="FN90" s="343"/>
      <c r="FO90" s="343"/>
      <c r="FP90" s="343"/>
      <c r="FQ90" s="343"/>
      <c r="FR90" s="343"/>
      <c r="FS90" s="343"/>
      <c r="FT90" s="343"/>
      <c r="FU90" s="343"/>
      <c r="FV90" s="343"/>
      <c r="FW90" s="343"/>
      <c r="FX90" s="343"/>
      <c r="FY90" s="343"/>
      <c r="FZ90" s="343"/>
      <c r="GA90" s="343"/>
      <c r="GB90" s="343"/>
      <c r="GC90" s="343"/>
      <c r="GD90" s="343"/>
      <c r="GE90" s="343"/>
      <c r="GF90" s="343"/>
      <c r="GG90" s="343"/>
      <c r="GH90" s="343"/>
      <c r="GI90" s="343"/>
      <c r="GJ90" s="343"/>
      <c r="GK90" s="343"/>
      <c r="GL90" s="343"/>
      <c r="GM90" s="343"/>
      <c r="GN90" s="343"/>
      <c r="GO90" s="343"/>
      <c r="GP90" s="343"/>
      <c r="GQ90" s="343"/>
      <c r="GR90" s="343"/>
      <c r="GS90" s="343"/>
      <c r="GT90" s="343"/>
      <c r="GU90" s="343"/>
      <c r="GV90" s="343"/>
      <c r="GW90" s="343"/>
      <c r="GX90" s="343"/>
      <c r="GY90" s="343"/>
      <c r="GZ90" s="343"/>
      <c r="HA90" s="343"/>
      <c r="HB90" s="343"/>
      <c r="HC90" s="343"/>
      <c r="HD90" s="343"/>
      <c r="HE90" s="343"/>
      <c r="HF90" s="343"/>
      <c r="HG90" s="343"/>
      <c r="HH90" s="343"/>
      <c r="HI90" s="343"/>
      <c r="HJ90" s="343"/>
      <c r="HK90" s="343"/>
      <c r="HL90" s="343"/>
      <c r="HM90" s="343"/>
      <c r="HN90" s="343"/>
      <c r="HO90" s="343"/>
      <c r="HP90" s="343"/>
      <c r="HQ90" s="343"/>
      <c r="HR90" s="343"/>
      <c r="HS90" s="343"/>
      <c r="HT90" s="343"/>
      <c r="HU90" s="343"/>
      <c r="HV90" s="343"/>
      <c r="HW90" s="343"/>
      <c r="HX90" s="343"/>
      <c r="HY90" s="343"/>
      <c r="HZ90" s="343"/>
      <c r="IA90" s="343"/>
      <c r="IB90" s="343"/>
      <c r="IC90" s="343"/>
      <c r="ID90" s="343"/>
      <c r="IE90" s="343"/>
      <c r="IF90" s="343"/>
    </row>
    <row r="91" spans="1:240" s="197" customFormat="1" ht="13.5" hidden="1" customHeight="1">
      <c r="A91" s="762" t="s">
        <v>36</v>
      </c>
      <c r="B91" s="763"/>
      <c r="C91" s="139" t="s">
        <v>37</v>
      </c>
      <c r="D91" s="408"/>
      <c r="E91" s="408"/>
      <c r="F91" s="408"/>
      <c r="G91" s="409"/>
      <c r="H91" s="409"/>
      <c r="I91" s="409"/>
      <c r="J91" s="409"/>
      <c r="K91" s="409"/>
      <c r="L91" s="409"/>
      <c r="M91" s="409"/>
      <c r="N91" s="410"/>
      <c r="O91" s="410"/>
      <c r="P91" s="411" t="e">
        <f t="shared" si="6"/>
        <v>#DIV/0!</v>
      </c>
      <c r="Q91" s="343"/>
      <c r="R91" s="343"/>
      <c r="S91" s="343"/>
      <c r="T91" s="343"/>
      <c r="U91" s="343"/>
      <c r="V91" s="343"/>
      <c r="W91" s="343"/>
      <c r="X91" s="343"/>
      <c r="Y91" s="343"/>
      <c r="Z91" s="343"/>
      <c r="AA91" s="343"/>
      <c r="AB91" s="343"/>
      <c r="AC91" s="343"/>
      <c r="AD91" s="343"/>
      <c r="AE91" s="343"/>
      <c r="AF91" s="343"/>
      <c r="AG91" s="343"/>
      <c r="AH91" s="343"/>
      <c r="AI91" s="343"/>
      <c r="AJ91" s="343"/>
      <c r="AK91" s="343"/>
      <c r="AL91" s="343"/>
      <c r="AM91" s="343"/>
      <c r="AN91" s="343"/>
      <c r="AO91" s="343"/>
      <c r="AP91" s="343"/>
      <c r="AQ91" s="343"/>
      <c r="AR91" s="343"/>
      <c r="AS91" s="343"/>
      <c r="AT91" s="343"/>
      <c r="AU91" s="343"/>
      <c r="AV91" s="343"/>
      <c r="AW91" s="343"/>
      <c r="AX91" s="343"/>
      <c r="AY91" s="343"/>
      <c r="AZ91" s="343"/>
      <c r="BA91" s="343"/>
      <c r="BB91" s="343"/>
      <c r="BC91" s="343"/>
      <c r="BD91" s="343"/>
      <c r="BE91" s="343"/>
      <c r="BF91" s="343"/>
      <c r="BG91" s="343"/>
      <c r="BH91" s="343"/>
      <c r="BI91" s="343"/>
      <c r="BJ91" s="343"/>
      <c r="BK91" s="343"/>
      <c r="BL91" s="343"/>
      <c r="BM91" s="343"/>
      <c r="BN91" s="343"/>
      <c r="BO91" s="343"/>
      <c r="BP91" s="343"/>
      <c r="BQ91" s="343"/>
      <c r="BR91" s="343"/>
      <c r="BS91" s="343"/>
      <c r="BT91" s="343"/>
      <c r="BU91" s="343"/>
      <c r="BV91" s="343"/>
      <c r="BW91" s="343"/>
      <c r="BX91" s="343"/>
      <c r="BY91" s="343"/>
      <c r="BZ91" s="343"/>
      <c r="CA91" s="343"/>
      <c r="CB91" s="343"/>
      <c r="CC91" s="343"/>
      <c r="CD91" s="343"/>
      <c r="CE91" s="343"/>
      <c r="CF91" s="343"/>
      <c r="CG91" s="343"/>
      <c r="CH91" s="343"/>
      <c r="CI91" s="343"/>
      <c r="CJ91" s="343"/>
      <c r="CK91" s="343"/>
      <c r="CL91" s="343"/>
      <c r="CM91" s="343"/>
      <c r="CN91" s="343"/>
      <c r="CO91" s="343"/>
      <c r="CP91" s="343"/>
      <c r="CQ91" s="343"/>
      <c r="CR91" s="343"/>
      <c r="CS91" s="343"/>
      <c r="CT91" s="343"/>
      <c r="CU91" s="343"/>
      <c r="CV91" s="343"/>
      <c r="CW91" s="343"/>
      <c r="CX91" s="343"/>
      <c r="CY91" s="343"/>
      <c r="CZ91" s="343"/>
      <c r="DA91" s="343"/>
      <c r="DB91" s="343"/>
      <c r="DC91" s="343"/>
      <c r="DD91" s="343"/>
      <c r="DE91" s="343"/>
      <c r="DF91" s="343"/>
      <c r="DG91" s="343"/>
      <c r="DH91" s="343"/>
      <c r="DI91" s="343"/>
      <c r="DJ91" s="343"/>
      <c r="DK91" s="343"/>
      <c r="DL91" s="343"/>
      <c r="DM91" s="343"/>
      <c r="DN91" s="343"/>
      <c r="DO91" s="343"/>
      <c r="DP91" s="343"/>
      <c r="DQ91" s="343"/>
      <c r="DR91" s="343"/>
      <c r="DS91" s="343"/>
      <c r="DT91" s="343"/>
      <c r="DU91" s="343"/>
      <c r="DV91" s="343"/>
      <c r="DW91" s="343"/>
      <c r="DX91" s="343"/>
      <c r="DY91" s="343"/>
      <c r="DZ91" s="343"/>
      <c r="EA91" s="343"/>
      <c r="EB91" s="343"/>
      <c r="EC91" s="343"/>
      <c r="ED91" s="343"/>
      <c r="EE91" s="343"/>
      <c r="EF91" s="343"/>
      <c r="EG91" s="343"/>
      <c r="EH91" s="343"/>
      <c r="EI91" s="343"/>
      <c r="EJ91" s="343"/>
      <c r="EK91" s="343"/>
      <c r="EL91" s="343"/>
      <c r="EM91" s="343"/>
      <c r="EN91" s="343"/>
      <c r="EO91" s="343"/>
      <c r="EP91" s="343"/>
      <c r="EQ91" s="343"/>
      <c r="ER91" s="343"/>
      <c r="ES91" s="343"/>
      <c r="ET91" s="343"/>
      <c r="EU91" s="343"/>
      <c r="EV91" s="343"/>
      <c r="EW91" s="343"/>
      <c r="EX91" s="343"/>
      <c r="EY91" s="343"/>
      <c r="EZ91" s="343"/>
      <c r="FA91" s="343"/>
      <c r="FB91" s="343"/>
      <c r="FC91" s="343"/>
      <c r="FD91" s="343"/>
      <c r="FE91" s="343"/>
      <c r="FF91" s="343"/>
      <c r="FG91" s="343"/>
      <c r="FH91" s="343"/>
      <c r="FI91" s="343"/>
      <c r="FJ91" s="343"/>
      <c r="FK91" s="343"/>
      <c r="FL91" s="343"/>
      <c r="FM91" s="343"/>
      <c r="FN91" s="343"/>
      <c r="FO91" s="343"/>
      <c r="FP91" s="343"/>
      <c r="FQ91" s="343"/>
      <c r="FR91" s="343"/>
      <c r="FS91" s="343"/>
      <c r="FT91" s="343"/>
      <c r="FU91" s="343"/>
      <c r="FV91" s="343"/>
      <c r="FW91" s="343"/>
      <c r="FX91" s="343"/>
      <c r="FY91" s="343"/>
      <c r="FZ91" s="343"/>
      <c r="GA91" s="343"/>
      <c r="GB91" s="343"/>
      <c r="GC91" s="343"/>
      <c r="GD91" s="343"/>
      <c r="GE91" s="343"/>
      <c r="GF91" s="343"/>
      <c r="GG91" s="343"/>
      <c r="GH91" s="343"/>
      <c r="GI91" s="343"/>
      <c r="GJ91" s="343"/>
      <c r="GK91" s="343"/>
      <c r="GL91" s="343"/>
      <c r="GM91" s="343"/>
      <c r="GN91" s="343"/>
      <c r="GO91" s="343"/>
      <c r="GP91" s="343"/>
      <c r="GQ91" s="343"/>
      <c r="GR91" s="343"/>
      <c r="GS91" s="343"/>
      <c r="GT91" s="343"/>
      <c r="GU91" s="343"/>
      <c r="GV91" s="343"/>
      <c r="GW91" s="343"/>
      <c r="GX91" s="343"/>
      <c r="GY91" s="343"/>
      <c r="GZ91" s="343"/>
      <c r="HA91" s="343"/>
      <c r="HB91" s="343"/>
      <c r="HC91" s="343"/>
      <c r="HD91" s="343"/>
      <c r="HE91" s="343"/>
      <c r="HF91" s="343"/>
      <c r="HG91" s="343"/>
      <c r="HH91" s="343"/>
      <c r="HI91" s="343"/>
      <c r="HJ91" s="343"/>
      <c r="HK91" s="343"/>
      <c r="HL91" s="343"/>
      <c r="HM91" s="343"/>
      <c r="HN91" s="343"/>
      <c r="HO91" s="343"/>
      <c r="HP91" s="343"/>
      <c r="HQ91" s="343"/>
      <c r="HR91" s="343"/>
      <c r="HS91" s="343"/>
      <c r="HT91" s="343"/>
      <c r="HU91" s="343"/>
      <c r="HV91" s="343"/>
      <c r="HW91" s="343"/>
      <c r="HX91" s="343"/>
      <c r="HY91" s="343"/>
      <c r="HZ91" s="343"/>
      <c r="IA91" s="343"/>
      <c r="IB91" s="343"/>
      <c r="IC91" s="343"/>
      <c r="ID91" s="343"/>
      <c r="IE91" s="343"/>
      <c r="IF91" s="343"/>
    </row>
    <row r="92" spans="1:240" ht="13.5" hidden="1" customHeight="1">
      <c r="A92" s="764"/>
      <c r="B92" s="765"/>
      <c r="C92" s="139" t="s">
        <v>38</v>
      </c>
      <c r="D92" s="412"/>
      <c r="E92" s="412"/>
      <c r="F92" s="412"/>
      <c r="G92" s="412"/>
      <c r="H92" s="412"/>
      <c r="I92" s="412"/>
      <c r="J92" s="412"/>
      <c r="K92" s="412"/>
      <c r="L92" s="412"/>
      <c r="M92" s="412"/>
      <c r="N92" s="413"/>
      <c r="O92" s="413"/>
      <c r="P92" s="414" t="e">
        <f t="shared" si="6"/>
        <v>#DIV/0!</v>
      </c>
    </row>
    <row r="93" spans="1:240" ht="13.5" hidden="1" customHeight="1">
      <c r="A93" s="764"/>
      <c r="B93" s="765"/>
      <c r="C93" s="239" t="s">
        <v>39</v>
      </c>
      <c r="D93" s="415"/>
      <c r="E93" s="415"/>
      <c r="F93" s="415"/>
      <c r="G93" s="415"/>
      <c r="H93" s="415"/>
      <c r="I93" s="415"/>
      <c r="J93" s="415"/>
      <c r="K93" s="415"/>
      <c r="L93" s="415"/>
      <c r="M93" s="415"/>
      <c r="N93" s="416"/>
      <c r="O93" s="416"/>
      <c r="P93" s="417" t="e">
        <f t="shared" si="6"/>
        <v>#DIV/0!</v>
      </c>
    </row>
    <row r="94" spans="1:240" ht="14.1" hidden="1" customHeight="1" thickBot="1">
      <c r="A94" s="766"/>
      <c r="B94" s="767"/>
      <c r="C94" s="146" t="s">
        <v>40</v>
      </c>
      <c r="D94" s="418"/>
      <c r="E94" s="419"/>
      <c r="F94" s="418"/>
      <c r="G94" s="418"/>
      <c r="H94" s="418"/>
      <c r="I94" s="418"/>
      <c r="J94" s="418"/>
      <c r="K94" s="418"/>
      <c r="L94" s="418"/>
      <c r="M94" s="418"/>
      <c r="N94" s="419"/>
      <c r="O94" s="419"/>
      <c r="P94" s="420" t="e">
        <f t="shared" si="6"/>
        <v>#DIV/0!</v>
      </c>
    </row>
    <row r="95" spans="1:240" ht="13.5">
      <c r="A95" s="151"/>
      <c r="B95" s="158"/>
      <c r="C95" s="159"/>
    </row>
    <row r="96" spans="1:240" ht="14.1" thickBot="1">
      <c r="A96" s="342" t="s">
        <v>274</v>
      </c>
      <c r="B96" s="342"/>
      <c r="C96" s="342"/>
    </row>
    <row r="97" spans="1:18" ht="13.5">
      <c r="A97" s="729" t="s">
        <v>1</v>
      </c>
      <c r="B97" s="730"/>
      <c r="C97" s="730"/>
      <c r="D97" s="344" t="s">
        <v>252</v>
      </c>
      <c r="E97" s="344" t="s">
        <v>253</v>
      </c>
      <c r="F97" s="344" t="s">
        <v>254</v>
      </c>
      <c r="G97" s="344" t="s">
        <v>255</v>
      </c>
      <c r="H97" s="344" t="s">
        <v>256</v>
      </c>
      <c r="I97" s="344" t="s">
        <v>257</v>
      </c>
      <c r="J97" s="344" t="s">
        <v>258</v>
      </c>
      <c r="K97" s="344" t="s">
        <v>259</v>
      </c>
      <c r="L97" s="344" t="s">
        <v>260</v>
      </c>
      <c r="M97" s="344" t="s">
        <v>261</v>
      </c>
      <c r="N97" s="344" t="s">
        <v>262</v>
      </c>
      <c r="O97" s="344" t="s">
        <v>263</v>
      </c>
      <c r="P97" s="345" t="s">
        <v>275</v>
      </c>
    </row>
    <row r="98" spans="1:18" ht="13.5">
      <c r="A98" s="769" t="s">
        <v>11</v>
      </c>
      <c r="B98" s="770"/>
      <c r="C98" s="770"/>
      <c r="D98" s="421">
        <v>97.622474999999994</v>
      </c>
      <c r="E98" s="422">
        <v>98.078862000000001</v>
      </c>
      <c r="F98" s="422">
        <v>98.441522000000006</v>
      </c>
      <c r="G98" s="422">
        <v>98.597690999999998</v>
      </c>
      <c r="H98" s="422">
        <v>98.731240999999997</v>
      </c>
      <c r="I98" s="422">
        <v>98.546818000000002</v>
      </c>
      <c r="J98" s="422">
        <v>97.923922000000005</v>
      </c>
      <c r="K98" s="422">
        <v>97.948582999999999</v>
      </c>
      <c r="L98" s="422">
        <v>97.810646000000006</v>
      </c>
      <c r="M98" s="422">
        <v>97.676486999999995</v>
      </c>
      <c r="N98" s="422">
        <v>98.372005000000001</v>
      </c>
      <c r="O98" s="422">
        <v>98.681274000000002</v>
      </c>
      <c r="P98" s="422">
        <v>98.202627166666659</v>
      </c>
    </row>
    <row r="99" spans="1:18" ht="13.5">
      <c r="A99" s="737" t="s">
        <v>12</v>
      </c>
      <c r="B99" s="738"/>
      <c r="C99" s="738"/>
      <c r="D99" s="421">
        <v>98.877724000000001</v>
      </c>
      <c r="E99" s="422">
        <v>99.496313999999998</v>
      </c>
      <c r="F99" s="422">
        <v>100</v>
      </c>
      <c r="G99" s="422">
        <v>99.919190999999998</v>
      </c>
      <c r="H99" s="422">
        <v>99.989087999999995</v>
      </c>
      <c r="I99" s="422">
        <v>99.921638000000002</v>
      </c>
      <c r="J99" s="422">
        <v>100</v>
      </c>
      <c r="K99" s="422">
        <v>99.923046999999997</v>
      </c>
      <c r="L99" s="422">
        <v>100</v>
      </c>
      <c r="M99" s="422">
        <v>100</v>
      </c>
      <c r="N99" s="422">
        <v>98.840783000000002</v>
      </c>
      <c r="O99" s="422">
        <v>99.915526</v>
      </c>
      <c r="P99" s="422">
        <v>99.740275916666675</v>
      </c>
    </row>
    <row r="100" spans="1:18" ht="13.5">
      <c r="A100" s="737" t="s">
        <v>13</v>
      </c>
      <c r="B100" s="738"/>
      <c r="C100" s="738"/>
      <c r="D100" s="421">
        <v>32.622950000000003</v>
      </c>
      <c r="E100" s="422">
        <v>35.348225999999997</v>
      </c>
      <c r="F100" s="422">
        <v>49.071925</v>
      </c>
      <c r="G100" s="422">
        <v>76.769024999999999</v>
      </c>
      <c r="H100" s="422">
        <v>86.044273000000004</v>
      </c>
      <c r="I100" s="422">
        <v>88.375164999999996</v>
      </c>
      <c r="J100" s="422">
        <v>90.236686000000006</v>
      </c>
      <c r="K100" s="422">
        <v>89.022756999999999</v>
      </c>
      <c r="L100" s="422">
        <v>85.917496</v>
      </c>
      <c r="M100" s="422">
        <v>88.950276000000002</v>
      </c>
      <c r="N100" s="422">
        <v>94.079600999999997</v>
      </c>
      <c r="O100" s="422">
        <v>97.639054999999999</v>
      </c>
      <c r="P100" s="422">
        <v>76.173119583333332</v>
      </c>
    </row>
    <row r="101" spans="1:18" ht="13.5">
      <c r="A101" s="737" t="s">
        <v>14</v>
      </c>
      <c r="B101" s="738"/>
      <c r="C101" s="738"/>
      <c r="D101" s="421">
        <v>99.305364999999995</v>
      </c>
      <c r="E101" s="422">
        <v>98.924037999999996</v>
      </c>
      <c r="F101" s="422">
        <v>99.472970000000004</v>
      </c>
      <c r="G101" s="422">
        <v>99.613371999999998</v>
      </c>
      <c r="H101" s="422">
        <v>99.481830000000002</v>
      </c>
      <c r="I101" s="422">
        <v>99.522551000000007</v>
      </c>
      <c r="J101" s="422">
        <v>99.368544</v>
      </c>
      <c r="K101" s="422">
        <v>99.488767999999993</v>
      </c>
      <c r="L101" s="422">
        <v>99.410224999999997</v>
      </c>
      <c r="M101" s="422">
        <v>99.029639000000003</v>
      </c>
      <c r="N101" s="422">
        <v>99.536237999999997</v>
      </c>
      <c r="O101" s="422">
        <v>99.536033000000003</v>
      </c>
      <c r="P101" s="422">
        <v>99.39079774999999</v>
      </c>
    </row>
    <row r="102" spans="1:18" ht="13.5">
      <c r="A102" s="737" t="s">
        <v>21</v>
      </c>
      <c r="B102" s="738"/>
      <c r="C102" s="738"/>
      <c r="D102" s="421">
        <v>94.981834000000006</v>
      </c>
      <c r="E102" s="422">
        <v>94.122911000000002</v>
      </c>
      <c r="F102" s="422">
        <v>92.018929</v>
      </c>
      <c r="G102" s="422">
        <v>92.749100999999996</v>
      </c>
      <c r="H102" s="422">
        <v>93.484419000000003</v>
      </c>
      <c r="I102" s="422">
        <v>94.163597999999993</v>
      </c>
      <c r="J102" s="422">
        <v>93.963712000000001</v>
      </c>
      <c r="K102" s="422">
        <v>92.592591999999996</v>
      </c>
      <c r="L102" s="422">
        <v>95.074297999999999</v>
      </c>
      <c r="M102" s="422">
        <v>93.710863000000003</v>
      </c>
      <c r="N102" s="422">
        <v>91.875263000000004</v>
      </c>
      <c r="O102" s="422">
        <v>93.80301</v>
      </c>
      <c r="P102" s="422">
        <v>93.545044166666671</v>
      </c>
    </row>
    <row r="103" spans="1:18" ht="13.5">
      <c r="A103" s="737" t="s">
        <v>16</v>
      </c>
      <c r="B103" s="738"/>
      <c r="C103" s="738"/>
      <c r="D103" s="421">
        <v>97.581902999999997</v>
      </c>
      <c r="E103" s="422">
        <v>99.032713000000001</v>
      </c>
      <c r="F103" s="422">
        <v>99.378435999999994</v>
      </c>
      <c r="G103" s="422">
        <v>98.977628999999993</v>
      </c>
      <c r="H103" s="422">
        <v>98.716325999999995</v>
      </c>
      <c r="I103" s="422">
        <v>98.478899999999996</v>
      </c>
      <c r="J103" s="422">
        <v>99.226500000000001</v>
      </c>
      <c r="K103" s="422">
        <v>99.038623000000001</v>
      </c>
      <c r="L103" s="422">
        <v>98.428900999999996</v>
      </c>
      <c r="M103" s="422">
        <v>99.059765999999996</v>
      </c>
      <c r="N103" s="422">
        <v>98.788739000000007</v>
      </c>
      <c r="O103" s="422">
        <v>99.134463999999994</v>
      </c>
      <c r="P103" s="422">
        <v>98.820241666666661</v>
      </c>
    </row>
    <row r="104" spans="1:18" ht="13.5">
      <c r="A104" s="708" t="s">
        <v>17</v>
      </c>
      <c r="B104" s="709"/>
      <c r="C104" s="709"/>
      <c r="D104" s="421">
        <v>92.613636</v>
      </c>
      <c r="E104" s="422">
        <v>86.069650999999993</v>
      </c>
      <c r="F104" s="422">
        <v>97.667637999999997</v>
      </c>
      <c r="G104" s="422">
        <v>97.142857000000006</v>
      </c>
      <c r="H104" s="422">
        <v>99.816175999999999</v>
      </c>
      <c r="I104" s="422">
        <v>98.598129999999998</v>
      </c>
      <c r="J104" s="422">
        <v>92.328398000000007</v>
      </c>
      <c r="K104" s="422">
        <v>97.695035000000004</v>
      </c>
      <c r="L104" s="422">
        <v>98.469386999999998</v>
      </c>
      <c r="M104" s="422">
        <v>92.835819999999998</v>
      </c>
      <c r="N104" s="422">
        <v>92.031872000000007</v>
      </c>
      <c r="O104" s="422">
        <v>94.955489</v>
      </c>
      <c r="P104" s="422">
        <v>80.933333333333323</v>
      </c>
    </row>
    <row r="105" spans="1:18" ht="13.5">
      <c r="A105" s="747" t="s">
        <v>49</v>
      </c>
      <c r="B105" s="748"/>
      <c r="C105" s="749"/>
      <c r="D105" s="423">
        <v>97.686214000000007</v>
      </c>
      <c r="E105" s="424">
        <v>97.980958999999999</v>
      </c>
      <c r="F105" s="424">
        <v>98.338605999999999</v>
      </c>
      <c r="G105" s="424">
        <v>98.516259000000005</v>
      </c>
      <c r="H105" s="424">
        <v>98.650398999999993</v>
      </c>
      <c r="I105" s="424">
        <v>98.543567999999993</v>
      </c>
      <c r="J105" s="424">
        <v>98.069644999999994</v>
      </c>
      <c r="K105" s="424">
        <v>98.056971000000004</v>
      </c>
      <c r="L105" s="424">
        <v>98.010716000000002</v>
      </c>
      <c r="M105" s="424">
        <v>97.821056999999996</v>
      </c>
      <c r="N105" s="424">
        <v>98.328682000000001</v>
      </c>
      <c r="O105" s="424">
        <v>98.684548000000007</v>
      </c>
      <c r="P105" s="424">
        <v>98.223968666666664</v>
      </c>
    </row>
    <row r="106" spans="1:18" ht="17.100000000000001">
      <c r="A106" s="737" t="s">
        <v>276</v>
      </c>
      <c r="B106" s="738"/>
      <c r="C106" s="738"/>
      <c r="D106" s="421">
        <v>96.733611999999994</v>
      </c>
      <c r="E106" s="422">
        <v>97.874868000000006</v>
      </c>
      <c r="F106" s="422">
        <v>97.880985999999993</v>
      </c>
      <c r="G106" s="422">
        <v>97.971451999999999</v>
      </c>
      <c r="H106" s="422">
        <v>97.718209000000002</v>
      </c>
      <c r="I106" s="422">
        <v>97.601391000000007</v>
      </c>
      <c r="J106" s="422">
        <v>97.158030999999994</v>
      </c>
      <c r="K106" s="422">
        <v>96.561702999999994</v>
      </c>
      <c r="L106" s="422">
        <v>96.722943999999998</v>
      </c>
      <c r="M106" s="422">
        <v>96.360566000000006</v>
      </c>
      <c r="N106" s="422">
        <v>97.486900000000006</v>
      </c>
      <c r="O106" s="422">
        <v>97.809297000000001</v>
      </c>
      <c r="P106" s="422">
        <v>97.32332991666668</v>
      </c>
      <c r="R106" s="556"/>
    </row>
    <row r="107" spans="1:18" ht="17.100000000000001">
      <c r="A107" s="257" t="s">
        <v>24</v>
      </c>
      <c r="B107" s="258"/>
      <c r="C107" s="425"/>
      <c r="D107" s="426">
        <v>96.836555000000004</v>
      </c>
      <c r="E107" s="427">
        <v>100</v>
      </c>
      <c r="F107" s="427">
        <v>100</v>
      </c>
      <c r="G107" s="427">
        <v>100</v>
      </c>
      <c r="H107" s="427">
        <v>99.682034000000002</v>
      </c>
      <c r="I107" s="427">
        <v>100</v>
      </c>
      <c r="J107" s="427">
        <v>100</v>
      </c>
      <c r="K107" s="427">
        <v>99.708878999999996</v>
      </c>
      <c r="L107" s="427">
        <v>100</v>
      </c>
      <c r="M107" s="427">
        <v>99.844479000000007</v>
      </c>
      <c r="N107" s="427">
        <v>100</v>
      </c>
      <c r="O107" s="427">
        <v>99.850299000000007</v>
      </c>
      <c r="P107" s="422">
        <v>99.66018716666666</v>
      </c>
      <c r="R107" s="556"/>
    </row>
    <row r="108" spans="1:18" ht="17.100000000000001">
      <c r="A108" s="257" t="s">
        <v>25</v>
      </c>
      <c r="B108" s="258"/>
      <c r="C108" s="425"/>
      <c r="D108" s="426">
        <v>94.712990000000005</v>
      </c>
      <c r="E108" s="427">
        <v>96.682846999999995</v>
      </c>
      <c r="F108" s="427">
        <v>88.179669000000004</v>
      </c>
      <c r="G108" s="427">
        <v>44.617562999999997</v>
      </c>
      <c r="H108" s="427">
        <v>76.346153000000001</v>
      </c>
      <c r="I108" s="427">
        <v>89.507772000000003</v>
      </c>
      <c r="J108" s="427">
        <v>96.109271000000007</v>
      </c>
      <c r="K108" s="427">
        <v>93.688361999999998</v>
      </c>
      <c r="L108" s="427">
        <v>92.514718000000002</v>
      </c>
      <c r="M108" s="427">
        <v>95.417236000000003</v>
      </c>
      <c r="N108" s="427">
        <v>96.139358999999999</v>
      </c>
      <c r="O108" s="427">
        <v>94.670406</v>
      </c>
      <c r="P108" s="422">
        <v>88.215528833333337</v>
      </c>
      <c r="R108" s="556"/>
    </row>
    <row r="109" spans="1:18" ht="17.100000000000001">
      <c r="A109" s="257" t="s">
        <v>26</v>
      </c>
      <c r="B109" s="258"/>
      <c r="C109" s="425"/>
      <c r="D109" s="426">
        <v>98.235523999999998</v>
      </c>
      <c r="E109" s="427">
        <v>97.858180000000004</v>
      </c>
      <c r="F109" s="427">
        <v>97.554963999999998</v>
      </c>
      <c r="G109" s="427">
        <v>93.335678999999999</v>
      </c>
      <c r="H109" s="427">
        <v>95.456924000000001</v>
      </c>
      <c r="I109" s="427">
        <v>96.298372999999998</v>
      </c>
      <c r="J109" s="427">
        <v>97.241311999999994</v>
      </c>
      <c r="K109" s="427">
        <v>97.394621000000001</v>
      </c>
      <c r="L109" s="427">
        <v>97.475915000000001</v>
      </c>
      <c r="M109" s="427">
        <v>96.541617000000002</v>
      </c>
      <c r="N109" s="427">
        <v>97.220426000000003</v>
      </c>
      <c r="O109" s="427">
        <v>97.918749000000005</v>
      </c>
      <c r="P109" s="422">
        <v>96.877690333333319</v>
      </c>
      <c r="R109" s="556"/>
    </row>
    <row r="110" spans="1:18" ht="17.100000000000001">
      <c r="A110" s="257" t="s">
        <v>27</v>
      </c>
      <c r="B110" s="258"/>
      <c r="C110" s="425"/>
      <c r="D110" s="426">
        <v>98.390342000000004</v>
      </c>
      <c r="E110" s="427">
        <v>98.845749999999995</v>
      </c>
      <c r="F110" s="427">
        <v>97.923075999999995</v>
      </c>
      <c r="G110" s="427">
        <v>97.522299000000004</v>
      </c>
      <c r="H110" s="427">
        <v>88.613477000000003</v>
      </c>
      <c r="I110" s="427">
        <v>98.555649000000003</v>
      </c>
      <c r="J110" s="427">
        <v>97.776011999999994</v>
      </c>
      <c r="K110" s="427">
        <v>96.433989999999994</v>
      </c>
      <c r="L110" s="427">
        <v>96.489858999999996</v>
      </c>
      <c r="M110" s="427">
        <v>97.272018000000003</v>
      </c>
      <c r="N110" s="427">
        <v>97.112461999999994</v>
      </c>
      <c r="O110" s="427">
        <v>98.946629000000001</v>
      </c>
      <c r="P110" s="422">
        <v>96.990130250000007</v>
      </c>
      <c r="R110" s="556"/>
    </row>
    <row r="111" spans="1:18" ht="17.100000000000001">
      <c r="A111" s="257" t="s">
        <v>28</v>
      </c>
      <c r="B111" s="258"/>
      <c r="C111" s="425"/>
      <c r="D111" s="426">
        <v>50</v>
      </c>
      <c r="E111" s="427">
        <v>0</v>
      </c>
      <c r="F111" s="427">
        <v>0</v>
      </c>
      <c r="G111" s="427">
        <v>0</v>
      </c>
      <c r="H111" s="427">
        <v>50</v>
      </c>
      <c r="I111" s="427">
        <v>40</v>
      </c>
      <c r="J111" s="427">
        <v>0</v>
      </c>
      <c r="K111" s="427">
        <v>33.333333000000003</v>
      </c>
      <c r="L111" s="427">
        <v>0</v>
      </c>
      <c r="M111" s="427">
        <v>0</v>
      </c>
      <c r="N111" s="427">
        <v>0</v>
      </c>
      <c r="O111" s="427">
        <v>0</v>
      </c>
      <c r="P111" s="422">
        <v>17.3333333</v>
      </c>
      <c r="R111" s="556"/>
    </row>
    <row r="112" spans="1:18" ht="17.100000000000001">
      <c r="A112" s="785" t="s">
        <v>50</v>
      </c>
      <c r="B112" s="786"/>
      <c r="C112" s="786"/>
      <c r="D112" s="423">
        <v>97.019199999999998</v>
      </c>
      <c r="E112" s="424">
        <v>97.883825000000002</v>
      </c>
      <c r="F112" s="424">
        <v>97.630964000000006</v>
      </c>
      <c r="G112" s="424">
        <v>96.248538999999994</v>
      </c>
      <c r="H112" s="424">
        <v>96.637553999999994</v>
      </c>
      <c r="I112" s="424">
        <v>97.135598000000002</v>
      </c>
      <c r="J112" s="424">
        <v>97.202331999999998</v>
      </c>
      <c r="K112" s="424">
        <v>96.650969000000003</v>
      </c>
      <c r="L112" s="424">
        <v>96.817339000000004</v>
      </c>
      <c r="M112" s="424">
        <v>96.433231000000006</v>
      </c>
      <c r="N112" s="424">
        <v>97.427806000000004</v>
      </c>
      <c r="O112" s="424">
        <v>97.802156999999994</v>
      </c>
      <c r="P112" s="424">
        <v>97.074126166666659</v>
      </c>
      <c r="R112" s="556"/>
    </row>
    <row r="113" spans="1:240" ht="17.100000000000001">
      <c r="A113" s="738" t="s">
        <v>31</v>
      </c>
      <c r="B113" s="738"/>
      <c r="C113" s="738"/>
      <c r="D113" s="428">
        <v>0</v>
      </c>
      <c r="E113" s="428">
        <v>0</v>
      </c>
      <c r="F113" s="428">
        <v>0</v>
      </c>
      <c r="G113" s="429">
        <v>0</v>
      </c>
      <c r="H113" s="430">
        <v>0</v>
      </c>
      <c r="I113" s="431">
        <v>0</v>
      </c>
      <c r="J113" s="431">
        <v>0</v>
      </c>
      <c r="K113" s="431">
        <v>0</v>
      </c>
      <c r="L113" s="431">
        <v>0</v>
      </c>
      <c r="M113" s="431">
        <v>0</v>
      </c>
      <c r="N113" s="431">
        <v>0</v>
      </c>
      <c r="O113" s="431">
        <v>0</v>
      </c>
      <c r="P113" s="422">
        <v>0</v>
      </c>
      <c r="Q113" s="432"/>
      <c r="R113" s="556"/>
      <c r="S113" s="432"/>
      <c r="T113" s="432">
        <v>92.424000000000007</v>
      </c>
      <c r="U113" s="433"/>
      <c r="V113" s="434"/>
      <c r="W113" s="434"/>
      <c r="X113" s="434"/>
      <c r="Y113" s="434"/>
      <c r="Z113" s="434"/>
      <c r="AA113" s="434"/>
      <c r="AB113" s="434"/>
      <c r="AC113" s="434"/>
      <c r="AD113" s="434"/>
      <c r="AE113" s="434"/>
      <c r="AF113" s="434"/>
      <c r="AG113" s="434"/>
      <c r="AH113" s="434"/>
      <c r="AI113" s="434"/>
      <c r="AJ113" s="434"/>
      <c r="AK113" s="434"/>
      <c r="AL113" s="434"/>
      <c r="AM113" s="434"/>
      <c r="AN113" s="434"/>
      <c r="AO113" s="434"/>
      <c r="AP113" s="434"/>
      <c r="AQ113" s="434"/>
      <c r="AR113" s="434"/>
      <c r="AS113" s="434"/>
      <c r="AT113" s="434"/>
      <c r="AU113" s="434"/>
      <c r="AV113" s="434"/>
      <c r="AW113" s="434"/>
      <c r="AX113" s="434"/>
      <c r="AY113" s="434"/>
      <c r="AZ113" s="434"/>
      <c r="BA113" s="434"/>
      <c r="BB113" s="434"/>
      <c r="BC113" s="434"/>
      <c r="BD113" s="434"/>
      <c r="BE113" s="434"/>
      <c r="BF113" s="434"/>
      <c r="BG113" s="434"/>
      <c r="BH113" s="434"/>
      <c r="BI113" s="434"/>
      <c r="BJ113" s="434"/>
      <c r="BK113" s="434"/>
      <c r="BL113" s="434"/>
      <c r="BM113" s="434"/>
      <c r="BN113" s="434"/>
      <c r="BO113" s="434"/>
      <c r="BP113" s="434"/>
      <c r="BQ113" s="434"/>
      <c r="BR113" s="434"/>
      <c r="BS113" s="434"/>
      <c r="BT113" s="434"/>
      <c r="BU113" s="434"/>
      <c r="BV113" s="434"/>
      <c r="BW113" s="434"/>
      <c r="BX113" s="434"/>
      <c r="BY113" s="434"/>
      <c r="BZ113" s="434"/>
      <c r="CA113" s="434"/>
      <c r="CB113" s="434"/>
      <c r="CC113" s="434"/>
      <c r="CD113" s="434"/>
      <c r="CE113" s="434"/>
      <c r="CF113" s="434"/>
      <c r="CG113" s="434"/>
      <c r="CH113" s="434"/>
      <c r="CI113" s="434"/>
      <c r="CJ113" s="434"/>
      <c r="CK113" s="434"/>
      <c r="CL113" s="434"/>
      <c r="CM113" s="434"/>
      <c r="CN113" s="434"/>
      <c r="CO113" s="434"/>
      <c r="CP113" s="434"/>
      <c r="CQ113" s="434"/>
      <c r="CR113" s="434"/>
      <c r="CS113" s="434"/>
      <c r="CT113" s="434"/>
      <c r="CU113" s="434"/>
      <c r="CV113" s="434"/>
      <c r="CW113" s="434"/>
      <c r="CX113" s="434"/>
      <c r="CY113" s="434"/>
      <c r="CZ113" s="434"/>
      <c r="DA113" s="434"/>
      <c r="DB113" s="434"/>
      <c r="DC113" s="434"/>
      <c r="DD113" s="434"/>
      <c r="DE113" s="434"/>
      <c r="DF113" s="434"/>
      <c r="DG113" s="434"/>
      <c r="DH113" s="434"/>
      <c r="DI113" s="434"/>
      <c r="DJ113" s="434"/>
      <c r="DK113" s="434"/>
      <c r="DL113" s="434"/>
      <c r="DM113" s="434"/>
      <c r="DN113" s="434"/>
      <c r="DO113" s="434"/>
      <c r="DP113" s="434"/>
      <c r="DQ113" s="434"/>
      <c r="DR113" s="434"/>
      <c r="DS113" s="434"/>
      <c r="DT113" s="434"/>
      <c r="DU113" s="434"/>
      <c r="DV113" s="434"/>
      <c r="DW113" s="434"/>
      <c r="DX113" s="434"/>
      <c r="DY113" s="434"/>
      <c r="DZ113" s="434"/>
      <c r="EA113" s="434"/>
      <c r="EB113" s="434"/>
      <c r="EC113" s="434"/>
      <c r="ED113" s="434"/>
      <c r="EE113" s="434"/>
      <c r="EF113" s="434"/>
      <c r="EG113" s="434"/>
      <c r="EH113" s="434"/>
      <c r="EI113" s="434"/>
      <c r="EJ113" s="434"/>
      <c r="EK113" s="434"/>
      <c r="EL113" s="434"/>
      <c r="EM113" s="434"/>
      <c r="EN113" s="434"/>
      <c r="EO113" s="434"/>
      <c r="EP113" s="434"/>
      <c r="EQ113" s="434"/>
      <c r="ER113" s="434"/>
      <c r="ES113" s="434"/>
      <c r="ET113" s="434"/>
      <c r="EU113" s="434"/>
      <c r="EV113" s="434"/>
      <c r="EW113" s="434"/>
      <c r="EX113" s="434"/>
      <c r="EY113" s="434"/>
      <c r="EZ113" s="434"/>
      <c r="FA113" s="434"/>
      <c r="FB113" s="434"/>
      <c r="FC113" s="434"/>
      <c r="FD113" s="434"/>
      <c r="FE113" s="434"/>
      <c r="FF113" s="434"/>
      <c r="FG113" s="434"/>
      <c r="FH113" s="434"/>
      <c r="FI113" s="434"/>
      <c r="FJ113" s="434"/>
      <c r="FK113" s="434"/>
      <c r="FL113" s="434"/>
      <c r="FM113" s="434"/>
      <c r="FN113" s="434"/>
      <c r="FO113" s="434"/>
      <c r="FP113" s="434"/>
      <c r="FQ113" s="434"/>
      <c r="FR113" s="434"/>
      <c r="FS113" s="434"/>
      <c r="FT113" s="434"/>
      <c r="FU113" s="434"/>
      <c r="FV113" s="434"/>
      <c r="FW113" s="434"/>
      <c r="FX113" s="434"/>
      <c r="FY113" s="434"/>
      <c r="FZ113" s="434"/>
      <c r="GA113" s="434"/>
      <c r="GB113" s="434"/>
      <c r="GC113" s="434"/>
      <c r="GD113" s="434"/>
      <c r="GE113" s="434"/>
      <c r="GF113" s="434"/>
      <c r="GG113" s="434"/>
      <c r="GH113" s="434"/>
      <c r="GI113" s="434"/>
      <c r="GJ113" s="434"/>
      <c r="GK113" s="434"/>
      <c r="GL113" s="434"/>
      <c r="GM113" s="434"/>
      <c r="GN113" s="434"/>
      <c r="GO113" s="434"/>
      <c r="GP113" s="434"/>
      <c r="GQ113" s="434"/>
      <c r="GR113" s="434"/>
      <c r="GS113" s="434"/>
      <c r="GT113" s="434"/>
      <c r="GU113" s="434"/>
      <c r="GV113" s="434"/>
      <c r="GW113" s="434"/>
      <c r="GX113" s="434"/>
      <c r="GY113" s="434"/>
      <c r="GZ113" s="434"/>
      <c r="HA113" s="434"/>
      <c r="HB113" s="434"/>
      <c r="HC113" s="434"/>
      <c r="HD113" s="434"/>
      <c r="HE113" s="434"/>
      <c r="HF113" s="434"/>
      <c r="HG113" s="434"/>
      <c r="HH113" s="434"/>
      <c r="HI113" s="434"/>
      <c r="HJ113" s="434"/>
      <c r="HK113" s="434"/>
      <c r="HL113" s="434"/>
      <c r="HM113" s="434"/>
      <c r="HN113" s="434"/>
      <c r="HO113" s="434"/>
      <c r="HP113" s="434"/>
      <c r="HQ113" s="434"/>
      <c r="HR113" s="434"/>
      <c r="HS113" s="434"/>
      <c r="HT113" s="434"/>
      <c r="HU113" s="434"/>
      <c r="HV113" s="434"/>
      <c r="HW113" s="434"/>
      <c r="HX113" s="434"/>
      <c r="HY113" s="434"/>
      <c r="HZ113" s="434"/>
      <c r="IA113" s="434"/>
      <c r="IB113" s="434"/>
      <c r="IC113" s="434"/>
      <c r="ID113" s="434"/>
      <c r="IE113" s="434"/>
      <c r="IF113" s="434"/>
    </row>
    <row r="114" spans="1:240" ht="13.5">
      <c r="A114" s="738" t="s">
        <v>32</v>
      </c>
      <c r="B114" s="738"/>
      <c r="C114" s="738"/>
      <c r="D114" s="428">
        <v>0</v>
      </c>
      <c r="E114" s="428">
        <v>0</v>
      </c>
      <c r="F114" s="428">
        <v>0</v>
      </c>
      <c r="G114" s="429">
        <v>0</v>
      </c>
      <c r="H114" s="430">
        <v>0</v>
      </c>
      <c r="I114" s="431">
        <v>0</v>
      </c>
      <c r="J114" s="431">
        <v>0</v>
      </c>
      <c r="K114" s="431">
        <v>0</v>
      </c>
      <c r="L114" s="431">
        <v>0</v>
      </c>
      <c r="M114" s="431">
        <v>0</v>
      </c>
      <c r="N114" s="431">
        <v>0</v>
      </c>
      <c r="O114" s="431">
        <v>0</v>
      </c>
      <c r="P114" s="422">
        <v>0</v>
      </c>
      <c r="Q114" s="432"/>
      <c r="R114" s="432"/>
      <c r="S114" s="432"/>
      <c r="T114" s="432">
        <v>100</v>
      </c>
      <c r="U114" s="433"/>
      <c r="V114" s="434"/>
      <c r="W114" s="434"/>
      <c r="X114" s="434"/>
      <c r="Y114" s="434"/>
      <c r="Z114" s="434"/>
      <c r="AA114" s="434"/>
      <c r="AB114" s="434"/>
      <c r="AC114" s="434"/>
      <c r="AD114" s="434"/>
      <c r="AE114" s="434"/>
      <c r="AF114" s="434"/>
      <c r="AG114" s="434"/>
      <c r="AH114" s="434"/>
      <c r="AI114" s="434"/>
      <c r="AJ114" s="434"/>
      <c r="AK114" s="434"/>
      <c r="AL114" s="434"/>
      <c r="AM114" s="434"/>
      <c r="AN114" s="434"/>
      <c r="AO114" s="434"/>
      <c r="AP114" s="434"/>
      <c r="AQ114" s="434"/>
      <c r="AR114" s="434"/>
      <c r="AS114" s="434"/>
      <c r="AT114" s="434"/>
      <c r="AU114" s="434"/>
      <c r="AV114" s="434"/>
      <c r="AW114" s="434"/>
      <c r="AX114" s="434"/>
      <c r="AY114" s="434"/>
      <c r="AZ114" s="434"/>
      <c r="BA114" s="434"/>
      <c r="BB114" s="434"/>
      <c r="BC114" s="434"/>
      <c r="BD114" s="434"/>
      <c r="BE114" s="434"/>
      <c r="BF114" s="434"/>
      <c r="BG114" s="434"/>
      <c r="BH114" s="434"/>
      <c r="BI114" s="434"/>
      <c r="BJ114" s="434"/>
      <c r="BK114" s="434"/>
      <c r="BL114" s="434"/>
      <c r="BM114" s="434"/>
      <c r="BN114" s="434"/>
      <c r="BO114" s="434"/>
      <c r="BP114" s="434"/>
      <c r="BQ114" s="434"/>
      <c r="BR114" s="434"/>
      <c r="BS114" s="434"/>
      <c r="BT114" s="434"/>
      <c r="BU114" s="434"/>
      <c r="BV114" s="434"/>
      <c r="BW114" s="434"/>
      <c r="BX114" s="434"/>
      <c r="BY114" s="434"/>
      <c r="BZ114" s="434"/>
      <c r="CA114" s="434"/>
      <c r="CB114" s="434"/>
      <c r="CC114" s="434"/>
      <c r="CD114" s="434"/>
      <c r="CE114" s="434"/>
      <c r="CF114" s="434"/>
      <c r="CG114" s="434"/>
      <c r="CH114" s="434"/>
      <c r="CI114" s="434"/>
      <c r="CJ114" s="434"/>
      <c r="CK114" s="434"/>
      <c r="CL114" s="434"/>
      <c r="CM114" s="434"/>
      <c r="CN114" s="434"/>
      <c r="CO114" s="434"/>
      <c r="CP114" s="434"/>
      <c r="CQ114" s="434"/>
      <c r="CR114" s="434"/>
      <c r="CS114" s="434"/>
      <c r="CT114" s="434"/>
      <c r="CU114" s="434"/>
      <c r="CV114" s="434"/>
      <c r="CW114" s="434"/>
      <c r="CX114" s="434"/>
      <c r="CY114" s="434"/>
      <c r="CZ114" s="434"/>
      <c r="DA114" s="434"/>
      <c r="DB114" s="434"/>
      <c r="DC114" s="434"/>
      <c r="DD114" s="434"/>
      <c r="DE114" s="434"/>
      <c r="DF114" s="434"/>
      <c r="DG114" s="434"/>
      <c r="DH114" s="434"/>
      <c r="DI114" s="434"/>
      <c r="DJ114" s="434"/>
      <c r="DK114" s="434"/>
      <c r="DL114" s="434"/>
      <c r="DM114" s="434"/>
      <c r="DN114" s="434"/>
      <c r="DO114" s="434"/>
      <c r="DP114" s="434"/>
      <c r="DQ114" s="434"/>
      <c r="DR114" s="434"/>
      <c r="DS114" s="434"/>
      <c r="DT114" s="434"/>
      <c r="DU114" s="434"/>
      <c r="DV114" s="434"/>
      <c r="DW114" s="434"/>
      <c r="DX114" s="434"/>
      <c r="DY114" s="434"/>
      <c r="DZ114" s="434"/>
      <c r="EA114" s="434"/>
      <c r="EB114" s="434"/>
      <c r="EC114" s="434"/>
      <c r="ED114" s="434"/>
      <c r="EE114" s="434"/>
      <c r="EF114" s="434"/>
      <c r="EG114" s="434"/>
      <c r="EH114" s="434"/>
      <c r="EI114" s="434"/>
      <c r="EJ114" s="434"/>
      <c r="EK114" s="434"/>
      <c r="EL114" s="434"/>
      <c r="EM114" s="434"/>
      <c r="EN114" s="434"/>
      <c r="EO114" s="434"/>
      <c r="EP114" s="434"/>
      <c r="EQ114" s="434"/>
      <c r="ER114" s="434"/>
      <c r="ES114" s="434"/>
      <c r="ET114" s="434"/>
      <c r="EU114" s="434"/>
      <c r="EV114" s="434"/>
      <c r="EW114" s="434"/>
      <c r="EX114" s="434"/>
      <c r="EY114" s="434"/>
      <c r="EZ114" s="434"/>
      <c r="FA114" s="434"/>
      <c r="FB114" s="434"/>
      <c r="FC114" s="434"/>
      <c r="FD114" s="434"/>
      <c r="FE114" s="434"/>
      <c r="FF114" s="434"/>
      <c r="FG114" s="434"/>
      <c r="FH114" s="434"/>
      <c r="FI114" s="434"/>
      <c r="FJ114" s="434"/>
      <c r="FK114" s="434"/>
      <c r="FL114" s="434"/>
      <c r="FM114" s="434"/>
      <c r="FN114" s="434"/>
      <c r="FO114" s="434"/>
      <c r="FP114" s="434"/>
      <c r="FQ114" s="434"/>
      <c r="FR114" s="434"/>
      <c r="FS114" s="434"/>
      <c r="FT114" s="434"/>
      <c r="FU114" s="434"/>
      <c r="FV114" s="434"/>
      <c r="FW114" s="434"/>
      <c r="FX114" s="434"/>
      <c r="FY114" s="434"/>
      <c r="FZ114" s="434"/>
      <c r="GA114" s="434"/>
      <c r="GB114" s="434"/>
      <c r="GC114" s="434"/>
      <c r="GD114" s="434"/>
      <c r="GE114" s="434"/>
      <c r="GF114" s="434"/>
      <c r="GG114" s="434"/>
      <c r="GH114" s="434"/>
      <c r="GI114" s="434"/>
      <c r="GJ114" s="434"/>
      <c r="GK114" s="434"/>
      <c r="GL114" s="434"/>
      <c r="GM114" s="434"/>
      <c r="GN114" s="434"/>
      <c r="GO114" s="434"/>
      <c r="GP114" s="434"/>
      <c r="GQ114" s="434"/>
      <c r="GR114" s="434"/>
      <c r="GS114" s="434"/>
      <c r="GT114" s="434"/>
      <c r="GU114" s="434"/>
      <c r="GV114" s="434"/>
      <c r="GW114" s="434"/>
      <c r="GX114" s="434"/>
      <c r="GY114" s="434"/>
      <c r="GZ114" s="434"/>
      <c r="HA114" s="434"/>
      <c r="HB114" s="434"/>
      <c r="HC114" s="434"/>
      <c r="HD114" s="434"/>
      <c r="HE114" s="434"/>
      <c r="HF114" s="434"/>
      <c r="HG114" s="434"/>
      <c r="HH114" s="434"/>
      <c r="HI114" s="434"/>
      <c r="HJ114" s="434"/>
      <c r="HK114" s="434"/>
      <c r="HL114" s="434"/>
      <c r="HM114" s="434"/>
      <c r="HN114" s="434"/>
      <c r="HO114" s="434"/>
      <c r="HP114" s="434"/>
      <c r="HQ114" s="434"/>
      <c r="HR114" s="434"/>
      <c r="HS114" s="434"/>
      <c r="HT114" s="434"/>
      <c r="HU114" s="434"/>
      <c r="HV114" s="434"/>
      <c r="HW114" s="434"/>
      <c r="HX114" s="434"/>
      <c r="HY114" s="434"/>
      <c r="HZ114" s="434"/>
      <c r="IA114" s="434"/>
      <c r="IB114" s="434"/>
      <c r="IC114" s="434"/>
      <c r="ID114" s="434"/>
      <c r="IE114" s="434"/>
      <c r="IF114" s="434"/>
    </row>
    <row r="115" spans="1:240" ht="13.5">
      <c r="A115" s="738" t="s">
        <v>33</v>
      </c>
      <c r="B115" s="738"/>
      <c r="C115" s="738"/>
      <c r="D115" s="428">
        <v>0</v>
      </c>
      <c r="E115" s="428">
        <v>0</v>
      </c>
      <c r="F115" s="428">
        <v>0</v>
      </c>
      <c r="G115" s="429">
        <v>0</v>
      </c>
      <c r="H115" s="430">
        <v>0</v>
      </c>
      <c r="I115" s="431">
        <v>0</v>
      </c>
      <c r="J115" s="431">
        <v>0</v>
      </c>
      <c r="K115" s="431">
        <v>0</v>
      </c>
      <c r="L115" s="431">
        <v>0</v>
      </c>
      <c r="M115" s="431">
        <v>0</v>
      </c>
      <c r="N115" s="431">
        <v>0</v>
      </c>
      <c r="O115" s="431">
        <v>0</v>
      </c>
      <c r="P115" s="422">
        <v>0</v>
      </c>
      <c r="Q115" s="432"/>
      <c r="R115" s="432"/>
      <c r="S115" s="432"/>
      <c r="T115" s="432">
        <v>0</v>
      </c>
      <c r="U115" s="433"/>
      <c r="V115" s="434"/>
      <c r="W115" s="434"/>
      <c r="X115" s="434"/>
      <c r="Y115" s="434"/>
      <c r="Z115" s="434"/>
      <c r="AA115" s="434"/>
      <c r="AB115" s="434"/>
      <c r="AC115" s="434"/>
      <c r="AD115" s="434"/>
      <c r="AE115" s="434"/>
      <c r="AF115" s="434"/>
      <c r="AG115" s="434"/>
      <c r="AH115" s="434"/>
      <c r="AI115" s="434"/>
      <c r="AJ115" s="434"/>
      <c r="AK115" s="434"/>
      <c r="AL115" s="434"/>
      <c r="AM115" s="434"/>
      <c r="AN115" s="434"/>
      <c r="AO115" s="434"/>
      <c r="AP115" s="434"/>
      <c r="AQ115" s="434"/>
      <c r="AR115" s="434"/>
      <c r="AS115" s="434"/>
      <c r="AT115" s="434"/>
      <c r="AU115" s="434"/>
      <c r="AV115" s="434"/>
      <c r="AW115" s="434"/>
      <c r="AX115" s="434"/>
      <c r="AY115" s="434"/>
      <c r="AZ115" s="434"/>
      <c r="BA115" s="434"/>
      <c r="BB115" s="434"/>
      <c r="BC115" s="434"/>
      <c r="BD115" s="434"/>
      <c r="BE115" s="434"/>
      <c r="BF115" s="434"/>
      <c r="BG115" s="434"/>
      <c r="BH115" s="434"/>
      <c r="BI115" s="434"/>
      <c r="BJ115" s="434"/>
      <c r="BK115" s="434"/>
      <c r="BL115" s="434"/>
      <c r="BM115" s="434"/>
      <c r="BN115" s="434"/>
      <c r="BO115" s="434"/>
      <c r="BP115" s="434"/>
      <c r="BQ115" s="434"/>
      <c r="BR115" s="434"/>
      <c r="BS115" s="434"/>
      <c r="BT115" s="434"/>
      <c r="BU115" s="434"/>
      <c r="BV115" s="434"/>
      <c r="BW115" s="434"/>
      <c r="BX115" s="434"/>
      <c r="BY115" s="434"/>
      <c r="BZ115" s="434"/>
      <c r="CA115" s="434"/>
      <c r="CB115" s="434"/>
      <c r="CC115" s="434"/>
      <c r="CD115" s="434"/>
      <c r="CE115" s="434"/>
      <c r="CF115" s="434"/>
      <c r="CG115" s="434"/>
      <c r="CH115" s="434"/>
      <c r="CI115" s="434"/>
      <c r="CJ115" s="434"/>
      <c r="CK115" s="434"/>
      <c r="CL115" s="434"/>
      <c r="CM115" s="434"/>
      <c r="CN115" s="434"/>
      <c r="CO115" s="434"/>
      <c r="CP115" s="434"/>
      <c r="CQ115" s="434"/>
      <c r="CR115" s="434"/>
      <c r="CS115" s="434"/>
      <c r="CT115" s="434"/>
      <c r="CU115" s="434"/>
      <c r="CV115" s="434"/>
      <c r="CW115" s="434"/>
      <c r="CX115" s="434"/>
      <c r="CY115" s="434"/>
      <c r="CZ115" s="434"/>
      <c r="DA115" s="434"/>
      <c r="DB115" s="434"/>
      <c r="DC115" s="434"/>
      <c r="DD115" s="434"/>
      <c r="DE115" s="434"/>
      <c r="DF115" s="434"/>
      <c r="DG115" s="434"/>
      <c r="DH115" s="434"/>
      <c r="DI115" s="434"/>
      <c r="DJ115" s="434"/>
      <c r="DK115" s="434"/>
      <c r="DL115" s="434"/>
      <c r="DM115" s="434"/>
      <c r="DN115" s="434"/>
      <c r="DO115" s="434"/>
      <c r="DP115" s="434"/>
      <c r="DQ115" s="434"/>
      <c r="DR115" s="434"/>
      <c r="DS115" s="434"/>
      <c r="DT115" s="434"/>
      <c r="DU115" s="434"/>
      <c r="DV115" s="434"/>
      <c r="DW115" s="434"/>
      <c r="DX115" s="434"/>
      <c r="DY115" s="434"/>
      <c r="DZ115" s="434"/>
      <c r="EA115" s="434"/>
      <c r="EB115" s="434"/>
      <c r="EC115" s="434"/>
      <c r="ED115" s="434"/>
      <c r="EE115" s="434"/>
      <c r="EF115" s="434"/>
      <c r="EG115" s="434"/>
      <c r="EH115" s="434"/>
      <c r="EI115" s="434"/>
      <c r="EJ115" s="434"/>
      <c r="EK115" s="434"/>
      <c r="EL115" s="434"/>
      <c r="EM115" s="434"/>
      <c r="EN115" s="434"/>
      <c r="EO115" s="434"/>
      <c r="EP115" s="434"/>
      <c r="EQ115" s="434"/>
      <c r="ER115" s="434"/>
      <c r="ES115" s="434"/>
      <c r="ET115" s="434"/>
      <c r="EU115" s="434"/>
      <c r="EV115" s="434"/>
      <c r="EW115" s="434"/>
      <c r="EX115" s="434"/>
      <c r="EY115" s="434"/>
      <c r="EZ115" s="434"/>
      <c r="FA115" s="434"/>
      <c r="FB115" s="434"/>
      <c r="FC115" s="434"/>
      <c r="FD115" s="434"/>
      <c r="FE115" s="434"/>
      <c r="FF115" s="434"/>
      <c r="FG115" s="434"/>
      <c r="FH115" s="434"/>
      <c r="FI115" s="434"/>
      <c r="FJ115" s="434"/>
      <c r="FK115" s="434"/>
      <c r="FL115" s="434"/>
      <c r="FM115" s="434"/>
      <c r="FN115" s="434"/>
      <c r="FO115" s="434"/>
      <c r="FP115" s="434"/>
      <c r="FQ115" s="434"/>
      <c r="FR115" s="434"/>
      <c r="FS115" s="434"/>
      <c r="FT115" s="434"/>
      <c r="FU115" s="434"/>
      <c r="FV115" s="434"/>
      <c r="FW115" s="434"/>
      <c r="FX115" s="434"/>
      <c r="FY115" s="434"/>
      <c r="FZ115" s="434"/>
      <c r="GA115" s="434"/>
      <c r="GB115" s="434"/>
      <c r="GC115" s="434"/>
      <c r="GD115" s="434"/>
      <c r="GE115" s="434"/>
      <c r="GF115" s="434"/>
      <c r="GG115" s="434"/>
      <c r="GH115" s="434"/>
      <c r="GI115" s="434"/>
      <c r="GJ115" s="434"/>
      <c r="GK115" s="434"/>
      <c r="GL115" s="434"/>
      <c r="GM115" s="434"/>
      <c r="GN115" s="434"/>
      <c r="GO115" s="434"/>
      <c r="GP115" s="434"/>
      <c r="GQ115" s="434"/>
      <c r="GR115" s="434"/>
      <c r="GS115" s="434"/>
      <c r="GT115" s="434"/>
      <c r="GU115" s="434"/>
      <c r="GV115" s="434"/>
      <c r="GW115" s="434"/>
      <c r="GX115" s="434"/>
      <c r="GY115" s="434"/>
      <c r="GZ115" s="434"/>
      <c r="HA115" s="434"/>
      <c r="HB115" s="434"/>
      <c r="HC115" s="434"/>
      <c r="HD115" s="434"/>
      <c r="HE115" s="434"/>
      <c r="HF115" s="434"/>
      <c r="HG115" s="434"/>
      <c r="HH115" s="434"/>
      <c r="HI115" s="434"/>
      <c r="HJ115" s="434"/>
      <c r="HK115" s="434"/>
      <c r="HL115" s="434"/>
      <c r="HM115" s="434"/>
      <c r="HN115" s="434"/>
      <c r="HO115" s="434"/>
      <c r="HP115" s="434"/>
      <c r="HQ115" s="434"/>
      <c r="HR115" s="434"/>
      <c r="HS115" s="434"/>
      <c r="HT115" s="434"/>
      <c r="HU115" s="434"/>
      <c r="HV115" s="434"/>
      <c r="HW115" s="434"/>
      <c r="HX115" s="434"/>
      <c r="HY115" s="434"/>
      <c r="HZ115" s="434"/>
      <c r="IA115" s="434"/>
      <c r="IB115" s="434"/>
      <c r="IC115" s="434"/>
      <c r="ID115" s="434"/>
      <c r="IE115" s="434"/>
      <c r="IF115" s="434"/>
    </row>
    <row r="116" spans="1:240" ht="13.5">
      <c r="A116" s="738" t="s">
        <v>34</v>
      </c>
      <c r="B116" s="738"/>
      <c r="C116" s="738"/>
      <c r="D116" s="428">
        <v>0</v>
      </c>
      <c r="E116" s="428">
        <v>0</v>
      </c>
      <c r="F116" s="428">
        <v>0</v>
      </c>
      <c r="G116" s="429">
        <v>0</v>
      </c>
      <c r="H116" s="430">
        <v>0</v>
      </c>
      <c r="I116" s="431">
        <v>0</v>
      </c>
      <c r="J116" s="431">
        <v>0</v>
      </c>
      <c r="K116" s="431">
        <v>0</v>
      </c>
      <c r="L116" s="431">
        <v>0</v>
      </c>
      <c r="M116" s="431">
        <v>0</v>
      </c>
      <c r="N116" s="431">
        <v>0</v>
      </c>
      <c r="O116" s="431">
        <v>0</v>
      </c>
      <c r="P116" s="422">
        <v>0</v>
      </c>
      <c r="Q116" s="432"/>
      <c r="R116" s="432"/>
      <c r="S116" s="432"/>
      <c r="T116" s="432"/>
      <c r="U116" s="433"/>
      <c r="V116" s="434"/>
      <c r="W116" s="434"/>
      <c r="X116" s="434"/>
      <c r="Y116" s="434"/>
      <c r="Z116" s="434"/>
      <c r="AA116" s="434"/>
      <c r="AB116" s="434"/>
      <c r="AC116" s="434"/>
      <c r="AD116" s="434"/>
      <c r="AE116" s="434"/>
      <c r="AF116" s="434"/>
      <c r="AG116" s="434"/>
      <c r="AH116" s="434"/>
      <c r="AI116" s="434"/>
      <c r="AJ116" s="434"/>
      <c r="AK116" s="434"/>
      <c r="AL116" s="434"/>
      <c r="AM116" s="434"/>
      <c r="AN116" s="434"/>
      <c r="AO116" s="434"/>
      <c r="AP116" s="434"/>
      <c r="AQ116" s="434"/>
      <c r="AR116" s="434"/>
      <c r="AS116" s="434"/>
      <c r="AT116" s="434"/>
      <c r="AU116" s="434"/>
      <c r="AV116" s="434"/>
      <c r="AW116" s="434"/>
      <c r="AX116" s="434"/>
      <c r="AY116" s="434"/>
      <c r="AZ116" s="434"/>
      <c r="BA116" s="434"/>
      <c r="BB116" s="434"/>
      <c r="BC116" s="434"/>
      <c r="BD116" s="434"/>
      <c r="BE116" s="434"/>
      <c r="BF116" s="434"/>
      <c r="BG116" s="434"/>
      <c r="BH116" s="434"/>
      <c r="BI116" s="434"/>
      <c r="BJ116" s="434"/>
      <c r="BK116" s="434"/>
      <c r="BL116" s="434"/>
      <c r="BM116" s="434"/>
      <c r="BN116" s="434"/>
      <c r="BO116" s="434"/>
      <c r="BP116" s="434"/>
      <c r="BQ116" s="434"/>
      <c r="BR116" s="434"/>
      <c r="BS116" s="434"/>
      <c r="BT116" s="434"/>
      <c r="BU116" s="434"/>
      <c r="BV116" s="434"/>
      <c r="BW116" s="434"/>
      <c r="BX116" s="434"/>
      <c r="BY116" s="434"/>
      <c r="BZ116" s="434"/>
      <c r="CA116" s="434"/>
      <c r="CB116" s="434"/>
      <c r="CC116" s="434"/>
      <c r="CD116" s="434"/>
      <c r="CE116" s="434"/>
      <c r="CF116" s="434"/>
      <c r="CG116" s="434"/>
      <c r="CH116" s="434"/>
      <c r="CI116" s="434"/>
      <c r="CJ116" s="434"/>
      <c r="CK116" s="434"/>
      <c r="CL116" s="434"/>
      <c r="CM116" s="434"/>
      <c r="CN116" s="434"/>
      <c r="CO116" s="434"/>
      <c r="CP116" s="434"/>
      <c r="CQ116" s="434"/>
      <c r="CR116" s="434"/>
      <c r="CS116" s="434"/>
      <c r="CT116" s="434"/>
      <c r="CU116" s="434"/>
      <c r="CV116" s="434"/>
      <c r="CW116" s="434"/>
      <c r="CX116" s="434"/>
      <c r="CY116" s="434"/>
      <c r="CZ116" s="434"/>
      <c r="DA116" s="434"/>
      <c r="DB116" s="434"/>
      <c r="DC116" s="434"/>
      <c r="DD116" s="434"/>
      <c r="DE116" s="434"/>
      <c r="DF116" s="434"/>
      <c r="DG116" s="434"/>
      <c r="DH116" s="434"/>
      <c r="DI116" s="434"/>
      <c r="DJ116" s="434"/>
      <c r="DK116" s="434"/>
      <c r="DL116" s="434"/>
      <c r="DM116" s="434"/>
      <c r="DN116" s="434"/>
      <c r="DO116" s="434"/>
      <c r="DP116" s="434"/>
      <c r="DQ116" s="434"/>
      <c r="DR116" s="434"/>
      <c r="DS116" s="434"/>
      <c r="DT116" s="434"/>
      <c r="DU116" s="434"/>
      <c r="DV116" s="434"/>
      <c r="DW116" s="434"/>
      <c r="DX116" s="434"/>
      <c r="DY116" s="434"/>
      <c r="DZ116" s="434"/>
      <c r="EA116" s="434"/>
      <c r="EB116" s="434"/>
      <c r="EC116" s="434"/>
      <c r="ED116" s="434"/>
      <c r="EE116" s="434"/>
      <c r="EF116" s="434"/>
      <c r="EG116" s="434"/>
      <c r="EH116" s="434"/>
      <c r="EI116" s="434"/>
      <c r="EJ116" s="434"/>
      <c r="EK116" s="434"/>
      <c r="EL116" s="434"/>
      <c r="EM116" s="434"/>
      <c r="EN116" s="434"/>
      <c r="EO116" s="434"/>
      <c r="EP116" s="434"/>
      <c r="EQ116" s="434"/>
      <c r="ER116" s="434"/>
      <c r="ES116" s="434"/>
      <c r="ET116" s="434"/>
      <c r="EU116" s="434"/>
      <c r="EV116" s="434"/>
      <c r="EW116" s="434"/>
      <c r="EX116" s="434"/>
      <c r="EY116" s="434"/>
      <c r="EZ116" s="434"/>
      <c r="FA116" s="434"/>
      <c r="FB116" s="434"/>
      <c r="FC116" s="434"/>
      <c r="FD116" s="434"/>
      <c r="FE116" s="434"/>
      <c r="FF116" s="434"/>
      <c r="FG116" s="434"/>
      <c r="FH116" s="434"/>
      <c r="FI116" s="434"/>
      <c r="FJ116" s="434"/>
      <c r="FK116" s="434"/>
      <c r="FL116" s="434"/>
      <c r="FM116" s="434"/>
      <c r="FN116" s="434"/>
      <c r="FO116" s="434"/>
      <c r="FP116" s="434"/>
      <c r="FQ116" s="434"/>
      <c r="FR116" s="434"/>
      <c r="FS116" s="434"/>
      <c r="FT116" s="434"/>
      <c r="FU116" s="434"/>
      <c r="FV116" s="434"/>
      <c r="FW116" s="434"/>
      <c r="FX116" s="434"/>
      <c r="FY116" s="434"/>
      <c r="FZ116" s="434"/>
      <c r="GA116" s="434"/>
      <c r="GB116" s="434"/>
      <c r="GC116" s="434"/>
      <c r="GD116" s="434"/>
      <c r="GE116" s="434"/>
      <c r="GF116" s="434"/>
      <c r="GG116" s="434"/>
      <c r="GH116" s="434"/>
      <c r="GI116" s="434"/>
      <c r="GJ116" s="434"/>
      <c r="GK116" s="434"/>
      <c r="GL116" s="434"/>
      <c r="GM116" s="434"/>
      <c r="GN116" s="434"/>
      <c r="GO116" s="434"/>
      <c r="GP116" s="434"/>
      <c r="GQ116" s="434"/>
      <c r="GR116" s="434"/>
      <c r="GS116" s="434"/>
      <c r="GT116" s="434"/>
      <c r="GU116" s="434"/>
      <c r="GV116" s="434"/>
      <c r="GW116" s="434"/>
      <c r="GX116" s="434"/>
      <c r="GY116" s="434"/>
      <c r="GZ116" s="434"/>
      <c r="HA116" s="434"/>
      <c r="HB116" s="434"/>
      <c r="HC116" s="434"/>
      <c r="HD116" s="434"/>
      <c r="HE116" s="434"/>
      <c r="HF116" s="434"/>
      <c r="HG116" s="434"/>
      <c r="HH116" s="434"/>
      <c r="HI116" s="434"/>
      <c r="HJ116" s="434"/>
      <c r="HK116" s="434"/>
      <c r="HL116" s="434"/>
      <c r="HM116" s="434"/>
      <c r="HN116" s="434"/>
      <c r="HO116" s="434"/>
      <c r="HP116" s="434"/>
      <c r="HQ116" s="434"/>
      <c r="HR116" s="434"/>
      <c r="HS116" s="434"/>
      <c r="HT116" s="434"/>
      <c r="HU116" s="434"/>
      <c r="HV116" s="434"/>
      <c r="HW116" s="434"/>
      <c r="HX116" s="434"/>
      <c r="HY116" s="434"/>
      <c r="HZ116" s="434"/>
      <c r="IA116" s="434"/>
      <c r="IB116" s="434"/>
      <c r="IC116" s="434"/>
      <c r="ID116" s="434"/>
      <c r="IE116" s="434"/>
      <c r="IF116" s="434"/>
    </row>
    <row r="117" spans="1:240" ht="13.5">
      <c r="A117" s="738" t="s">
        <v>35</v>
      </c>
      <c r="B117" s="738"/>
      <c r="C117" s="738"/>
      <c r="D117" s="428">
        <v>0</v>
      </c>
      <c r="E117" s="428">
        <v>0</v>
      </c>
      <c r="F117" s="428">
        <v>0</v>
      </c>
      <c r="G117" s="429">
        <v>0</v>
      </c>
      <c r="H117" s="430">
        <v>0</v>
      </c>
      <c r="I117" s="431">
        <v>0</v>
      </c>
      <c r="J117" s="431">
        <v>0</v>
      </c>
      <c r="K117" s="431">
        <v>0</v>
      </c>
      <c r="L117" s="431">
        <v>0</v>
      </c>
      <c r="M117" s="431">
        <v>0</v>
      </c>
      <c r="N117" s="431">
        <v>0</v>
      </c>
      <c r="O117" s="431">
        <v>0</v>
      </c>
      <c r="P117" s="422">
        <v>0</v>
      </c>
      <c r="Q117" s="432"/>
      <c r="R117" s="432"/>
      <c r="S117" s="432"/>
      <c r="T117" s="432">
        <v>81.25</v>
      </c>
      <c r="U117" s="433"/>
      <c r="V117" s="434"/>
      <c r="W117" s="434"/>
      <c r="X117" s="434"/>
      <c r="Y117" s="434"/>
      <c r="Z117" s="434"/>
      <c r="AA117" s="434"/>
      <c r="AB117" s="434"/>
      <c r="AC117" s="434"/>
      <c r="AD117" s="434"/>
      <c r="AE117" s="434"/>
      <c r="AF117" s="434"/>
      <c r="AG117" s="434"/>
      <c r="AH117" s="434"/>
      <c r="AI117" s="434"/>
      <c r="AJ117" s="434"/>
      <c r="AK117" s="434"/>
      <c r="AL117" s="434"/>
      <c r="AM117" s="434"/>
      <c r="AN117" s="434"/>
      <c r="AO117" s="434"/>
      <c r="AP117" s="434"/>
      <c r="AQ117" s="434"/>
      <c r="AR117" s="434"/>
      <c r="AS117" s="434"/>
      <c r="AT117" s="434"/>
      <c r="AU117" s="434"/>
      <c r="AV117" s="434"/>
      <c r="AW117" s="434"/>
      <c r="AX117" s="434"/>
      <c r="AY117" s="434"/>
      <c r="AZ117" s="434"/>
      <c r="BA117" s="434"/>
      <c r="BB117" s="434"/>
      <c r="BC117" s="434"/>
      <c r="BD117" s="434"/>
      <c r="BE117" s="434"/>
      <c r="BF117" s="434"/>
      <c r="BG117" s="434"/>
      <c r="BH117" s="434"/>
      <c r="BI117" s="434"/>
      <c r="BJ117" s="434"/>
      <c r="BK117" s="434"/>
      <c r="BL117" s="434"/>
      <c r="BM117" s="434"/>
      <c r="BN117" s="434"/>
      <c r="BO117" s="434"/>
      <c r="BP117" s="434"/>
      <c r="BQ117" s="434"/>
      <c r="BR117" s="434"/>
      <c r="BS117" s="434"/>
      <c r="BT117" s="434"/>
      <c r="BU117" s="434"/>
      <c r="BV117" s="434"/>
      <c r="BW117" s="434"/>
      <c r="BX117" s="434"/>
      <c r="BY117" s="434"/>
      <c r="BZ117" s="434"/>
      <c r="CA117" s="434"/>
      <c r="CB117" s="434"/>
      <c r="CC117" s="434"/>
      <c r="CD117" s="434"/>
      <c r="CE117" s="434"/>
      <c r="CF117" s="434"/>
      <c r="CG117" s="434"/>
      <c r="CH117" s="434"/>
      <c r="CI117" s="434"/>
      <c r="CJ117" s="434"/>
      <c r="CK117" s="434"/>
      <c r="CL117" s="434"/>
      <c r="CM117" s="434"/>
      <c r="CN117" s="434"/>
      <c r="CO117" s="434"/>
      <c r="CP117" s="434"/>
      <c r="CQ117" s="434"/>
      <c r="CR117" s="434"/>
      <c r="CS117" s="434"/>
      <c r="CT117" s="434"/>
      <c r="CU117" s="434"/>
      <c r="CV117" s="434"/>
      <c r="CW117" s="434"/>
      <c r="CX117" s="434"/>
      <c r="CY117" s="434"/>
      <c r="CZ117" s="434"/>
      <c r="DA117" s="434"/>
      <c r="DB117" s="434"/>
      <c r="DC117" s="434"/>
      <c r="DD117" s="434"/>
      <c r="DE117" s="434"/>
      <c r="DF117" s="434"/>
      <c r="DG117" s="434"/>
      <c r="DH117" s="434"/>
      <c r="DI117" s="434"/>
      <c r="DJ117" s="434"/>
      <c r="DK117" s="434"/>
      <c r="DL117" s="434"/>
      <c r="DM117" s="434"/>
      <c r="DN117" s="434"/>
      <c r="DO117" s="434"/>
      <c r="DP117" s="434"/>
      <c r="DQ117" s="434"/>
      <c r="DR117" s="434"/>
      <c r="DS117" s="434"/>
      <c r="DT117" s="434"/>
      <c r="DU117" s="434"/>
      <c r="DV117" s="434"/>
      <c r="DW117" s="434"/>
      <c r="DX117" s="434"/>
      <c r="DY117" s="434"/>
      <c r="DZ117" s="434"/>
      <c r="EA117" s="434"/>
      <c r="EB117" s="434"/>
      <c r="EC117" s="434"/>
      <c r="ED117" s="434"/>
      <c r="EE117" s="434"/>
      <c r="EF117" s="434"/>
      <c r="EG117" s="434"/>
      <c r="EH117" s="434"/>
      <c r="EI117" s="434"/>
      <c r="EJ117" s="434"/>
      <c r="EK117" s="434"/>
      <c r="EL117" s="434"/>
      <c r="EM117" s="434"/>
      <c r="EN117" s="434"/>
      <c r="EO117" s="434"/>
      <c r="EP117" s="434"/>
      <c r="EQ117" s="434"/>
      <c r="ER117" s="434"/>
      <c r="ES117" s="434"/>
      <c r="ET117" s="434"/>
      <c r="EU117" s="434"/>
      <c r="EV117" s="434"/>
      <c r="EW117" s="434"/>
      <c r="EX117" s="434"/>
      <c r="EY117" s="434"/>
      <c r="EZ117" s="434"/>
      <c r="FA117" s="434"/>
      <c r="FB117" s="434"/>
      <c r="FC117" s="434"/>
      <c r="FD117" s="434"/>
      <c r="FE117" s="434"/>
      <c r="FF117" s="434"/>
      <c r="FG117" s="434"/>
      <c r="FH117" s="434"/>
      <c r="FI117" s="434"/>
      <c r="FJ117" s="434"/>
      <c r="FK117" s="434"/>
      <c r="FL117" s="434"/>
      <c r="FM117" s="434"/>
      <c r="FN117" s="434"/>
      <c r="FO117" s="434"/>
      <c r="FP117" s="434"/>
      <c r="FQ117" s="434"/>
      <c r="FR117" s="434"/>
      <c r="FS117" s="434"/>
      <c r="FT117" s="434"/>
      <c r="FU117" s="434"/>
      <c r="FV117" s="434"/>
      <c r="FW117" s="434"/>
      <c r="FX117" s="434"/>
      <c r="FY117" s="434"/>
      <c r="FZ117" s="434"/>
      <c r="GA117" s="434"/>
      <c r="GB117" s="434"/>
      <c r="GC117" s="434"/>
      <c r="GD117" s="434"/>
      <c r="GE117" s="434"/>
      <c r="GF117" s="434"/>
      <c r="GG117" s="434"/>
      <c r="GH117" s="434"/>
      <c r="GI117" s="434"/>
      <c r="GJ117" s="434"/>
      <c r="GK117" s="434"/>
      <c r="GL117" s="434"/>
      <c r="GM117" s="434"/>
      <c r="GN117" s="434"/>
      <c r="GO117" s="434"/>
      <c r="GP117" s="434"/>
      <c r="GQ117" s="434"/>
      <c r="GR117" s="434"/>
      <c r="GS117" s="434"/>
      <c r="GT117" s="434"/>
      <c r="GU117" s="434"/>
      <c r="GV117" s="434"/>
      <c r="GW117" s="434"/>
      <c r="GX117" s="434"/>
      <c r="GY117" s="434"/>
      <c r="GZ117" s="434"/>
      <c r="HA117" s="434"/>
      <c r="HB117" s="434"/>
      <c r="HC117" s="434"/>
      <c r="HD117" s="434"/>
      <c r="HE117" s="434"/>
      <c r="HF117" s="434"/>
      <c r="HG117" s="434"/>
      <c r="HH117" s="434"/>
      <c r="HI117" s="434"/>
      <c r="HJ117" s="434"/>
      <c r="HK117" s="434"/>
      <c r="HL117" s="434"/>
      <c r="HM117" s="434"/>
      <c r="HN117" s="434"/>
      <c r="HO117" s="434"/>
      <c r="HP117" s="434"/>
      <c r="HQ117" s="434"/>
      <c r="HR117" s="434"/>
      <c r="HS117" s="434"/>
      <c r="HT117" s="434"/>
      <c r="HU117" s="434"/>
      <c r="HV117" s="434"/>
      <c r="HW117" s="434"/>
      <c r="HX117" s="434"/>
      <c r="HY117" s="434"/>
      <c r="HZ117" s="434"/>
      <c r="IA117" s="434"/>
      <c r="IB117" s="434"/>
      <c r="IC117" s="434"/>
      <c r="ID117" s="434"/>
      <c r="IE117" s="434"/>
      <c r="IF117" s="434"/>
    </row>
    <row r="118" spans="1:240" ht="13.5">
      <c r="A118" s="787" t="s">
        <v>30</v>
      </c>
      <c r="B118" s="787"/>
      <c r="C118" s="787"/>
      <c r="D118" s="435">
        <v>0</v>
      </c>
      <c r="E118" s="436">
        <v>0</v>
      </c>
      <c r="F118" s="436">
        <v>0</v>
      </c>
      <c r="G118" s="437">
        <v>0</v>
      </c>
      <c r="H118" s="438">
        <v>0</v>
      </c>
      <c r="I118" s="439">
        <v>0</v>
      </c>
      <c r="J118" s="439">
        <v>0</v>
      </c>
      <c r="K118" s="439">
        <v>0</v>
      </c>
      <c r="L118" s="439">
        <v>0</v>
      </c>
      <c r="M118" s="439">
        <v>0</v>
      </c>
      <c r="N118" s="439">
        <v>0</v>
      </c>
      <c r="O118" s="439">
        <v>0</v>
      </c>
      <c r="P118" s="440">
        <v>0</v>
      </c>
      <c r="Q118" s="441"/>
      <c r="R118" s="441"/>
      <c r="S118" s="441"/>
      <c r="T118" s="441">
        <v>88.888999999999996</v>
      </c>
      <c r="U118" s="433"/>
      <c r="V118" s="434"/>
      <c r="W118" s="434"/>
      <c r="X118" s="434"/>
      <c r="Y118" s="434"/>
      <c r="Z118" s="434"/>
      <c r="AA118" s="434"/>
      <c r="AB118" s="434"/>
      <c r="AC118" s="434"/>
      <c r="AD118" s="434"/>
      <c r="AE118" s="434"/>
      <c r="AF118" s="434"/>
      <c r="AG118" s="434"/>
      <c r="AH118" s="434"/>
      <c r="AI118" s="434"/>
      <c r="AJ118" s="434"/>
      <c r="AK118" s="434"/>
      <c r="AL118" s="434"/>
      <c r="AM118" s="434"/>
      <c r="AN118" s="434"/>
      <c r="AO118" s="434"/>
      <c r="AP118" s="434"/>
      <c r="AQ118" s="434"/>
      <c r="AR118" s="434"/>
      <c r="AS118" s="434"/>
      <c r="AT118" s="434"/>
      <c r="AU118" s="434"/>
      <c r="AV118" s="434"/>
      <c r="AW118" s="434"/>
      <c r="AX118" s="434"/>
      <c r="AY118" s="434"/>
      <c r="AZ118" s="434"/>
      <c r="BA118" s="434"/>
      <c r="BB118" s="434"/>
      <c r="BC118" s="434"/>
      <c r="BD118" s="434"/>
      <c r="BE118" s="434"/>
      <c r="BF118" s="434"/>
      <c r="BG118" s="434"/>
      <c r="BH118" s="434"/>
      <c r="BI118" s="434"/>
      <c r="BJ118" s="434"/>
      <c r="BK118" s="434"/>
      <c r="BL118" s="434"/>
      <c r="BM118" s="434"/>
      <c r="BN118" s="434"/>
      <c r="BO118" s="434"/>
      <c r="BP118" s="434"/>
      <c r="BQ118" s="434"/>
      <c r="BR118" s="434"/>
      <c r="BS118" s="434"/>
      <c r="BT118" s="434"/>
      <c r="BU118" s="434"/>
      <c r="BV118" s="434"/>
      <c r="BW118" s="434"/>
      <c r="BX118" s="434"/>
      <c r="BY118" s="434"/>
      <c r="BZ118" s="434"/>
      <c r="CA118" s="434"/>
      <c r="CB118" s="434"/>
      <c r="CC118" s="434"/>
      <c r="CD118" s="434"/>
      <c r="CE118" s="434"/>
      <c r="CF118" s="434"/>
      <c r="CG118" s="434"/>
      <c r="CH118" s="434"/>
      <c r="CI118" s="434"/>
      <c r="CJ118" s="434"/>
      <c r="CK118" s="434"/>
      <c r="CL118" s="434"/>
      <c r="CM118" s="434"/>
      <c r="CN118" s="434"/>
      <c r="CO118" s="434"/>
      <c r="CP118" s="434"/>
      <c r="CQ118" s="434"/>
      <c r="CR118" s="434"/>
      <c r="CS118" s="434"/>
      <c r="CT118" s="434"/>
      <c r="CU118" s="434"/>
      <c r="CV118" s="434"/>
      <c r="CW118" s="434"/>
      <c r="CX118" s="434"/>
      <c r="CY118" s="434"/>
      <c r="CZ118" s="434"/>
      <c r="DA118" s="434"/>
      <c r="DB118" s="434"/>
      <c r="DC118" s="434"/>
      <c r="DD118" s="434"/>
      <c r="DE118" s="434"/>
      <c r="DF118" s="434"/>
      <c r="DG118" s="434"/>
      <c r="DH118" s="434"/>
      <c r="DI118" s="434"/>
      <c r="DJ118" s="434"/>
      <c r="DK118" s="434"/>
      <c r="DL118" s="434"/>
      <c r="DM118" s="434"/>
      <c r="DN118" s="434"/>
      <c r="DO118" s="434"/>
      <c r="DP118" s="434"/>
      <c r="DQ118" s="434"/>
      <c r="DR118" s="434"/>
      <c r="DS118" s="434"/>
      <c r="DT118" s="434"/>
      <c r="DU118" s="434"/>
      <c r="DV118" s="434"/>
      <c r="DW118" s="434"/>
      <c r="DX118" s="434"/>
      <c r="DY118" s="434"/>
      <c r="DZ118" s="434"/>
      <c r="EA118" s="434"/>
      <c r="EB118" s="434"/>
      <c r="EC118" s="434"/>
      <c r="ED118" s="434"/>
      <c r="EE118" s="434"/>
      <c r="EF118" s="434"/>
      <c r="EG118" s="434"/>
      <c r="EH118" s="434"/>
      <c r="EI118" s="434"/>
      <c r="EJ118" s="434"/>
      <c r="EK118" s="434"/>
      <c r="EL118" s="434"/>
      <c r="EM118" s="434"/>
      <c r="EN118" s="434"/>
      <c r="EO118" s="434"/>
      <c r="EP118" s="434"/>
      <c r="EQ118" s="434"/>
      <c r="ER118" s="434"/>
      <c r="ES118" s="434"/>
      <c r="ET118" s="434"/>
      <c r="EU118" s="434"/>
      <c r="EV118" s="434"/>
      <c r="EW118" s="434"/>
      <c r="EX118" s="434"/>
      <c r="EY118" s="434"/>
      <c r="EZ118" s="434"/>
      <c r="FA118" s="434"/>
      <c r="FB118" s="434"/>
      <c r="FC118" s="434"/>
      <c r="FD118" s="434"/>
      <c r="FE118" s="434"/>
      <c r="FF118" s="434"/>
      <c r="FG118" s="434"/>
      <c r="FH118" s="434"/>
      <c r="FI118" s="434"/>
      <c r="FJ118" s="434"/>
      <c r="FK118" s="434"/>
      <c r="FL118" s="434"/>
      <c r="FM118" s="434"/>
      <c r="FN118" s="434"/>
      <c r="FO118" s="434"/>
      <c r="FP118" s="434"/>
      <c r="FQ118" s="434"/>
      <c r="FR118" s="434"/>
      <c r="FS118" s="434"/>
      <c r="FT118" s="434"/>
      <c r="FU118" s="434"/>
      <c r="FV118" s="434"/>
      <c r="FW118" s="434"/>
      <c r="FX118" s="434"/>
      <c r="FY118" s="434"/>
      <c r="FZ118" s="434"/>
      <c r="GA118" s="434"/>
      <c r="GB118" s="434"/>
      <c r="GC118" s="434"/>
      <c r="GD118" s="434"/>
      <c r="GE118" s="434"/>
      <c r="GF118" s="434"/>
      <c r="GG118" s="434"/>
      <c r="GH118" s="434"/>
      <c r="GI118" s="434"/>
      <c r="GJ118" s="434"/>
      <c r="GK118" s="434"/>
      <c r="GL118" s="434"/>
      <c r="GM118" s="434"/>
      <c r="GN118" s="434"/>
      <c r="GO118" s="434"/>
      <c r="GP118" s="434"/>
      <c r="GQ118" s="434"/>
      <c r="GR118" s="434"/>
      <c r="GS118" s="434"/>
      <c r="GT118" s="434"/>
      <c r="GU118" s="434"/>
      <c r="GV118" s="434"/>
      <c r="GW118" s="434"/>
      <c r="GX118" s="434"/>
      <c r="GY118" s="434"/>
      <c r="GZ118" s="434"/>
      <c r="HA118" s="434"/>
      <c r="HB118" s="434"/>
      <c r="HC118" s="434"/>
      <c r="HD118" s="434"/>
      <c r="HE118" s="434"/>
      <c r="HF118" s="434"/>
      <c r="HG118" s="434"/>
      <c r="HH118" s="434"/>
      <c r="HI118" s="434"/>
      <c r="HJ118" s="434"/>
      <c r="HK118" s="434"/>
      <c r="HL118" s="434"/>
      <c r="HM118" s="434"/>
      <c r="HN118" s="434"/>
      <c r="HO118" s="434"/>
      <c r="HP118" s="434"/>
      <c r="HQ118" s="434"/>
      <c r="HR118" s="434"/>
      <c r="HS118" s="434"/>
      <c r="HT118" s="434"/>
      <c r="HU118" s="434"/>
      <c r="HV118" s="434"/>
      <c r="HW118" s="434"/>
      <c r="HX118" s="434"/>
      <c r="HY118" s="434"/>
      <c r="HZ118" s="434"/>
      <c r="IA118" s="434"/>
      <c r="IB118" s="434"/>
      <c r="IC118" s="434"/>
      <c r="ID118" s="434"/>
      <c r="IE118" s="434"/>
      <c r="IF118" s="434"/>
    </row>
    <row r="119" spans="1:240" ht="12.95">
      <c r="A119" s="151"/>
    </row>
    <row r="120" spans="1:240" ht="14.1" thickBot="1">
      <c r="A120" s="342" t="s">
        <v>277</v>
      </c>
      <c r="B120" s="342"/>
      <c r="C120" s="342"/>
    </row>
    <row r="121" spans="1:240" ht="13.5">
      <c r="A121" s="729" t="s">
        <v>1</v>
      </c>
      <c r="B121" s="730"/>
      <c r="C121" s="730"/>
      <c r="D121" s="344" t="s">
        <v>252</v>
      </c>
      <c r="E121" s="344" t="s">
        <v>253</v>
      </c>
      <c r="F121" s="344" t="s">
        <v>254</v>
      </c>
      <c r="G121" s="344" t="s">
        <v>255</v>
      </c>
      <c r="H121" s="344" t="s">
        <v>256</v>
      </c>
      <c r="I121" s="344" t="s">
        <v>257</v>
      </c>
      <c r="J121" s="344" t="s">
        <v>258</v>
      </c>
      <c r="K121" s="344" t="s">
        <v>259</v>
      </c>
      <c r="L121" s="344" t="s">
        <v>260</v>
      </c>
      <c r="M121" s="344" t="s">
        <v>261</v>
      </c>
      <c r="N121" s="344" t="s">
        <v>262</v>
      </c>
      <c r="O121" s="344" t="s">
        <v>263</v>
      </c>
      <c r="P121" s="345" t="s">
        <v>275</v>
      </c>
    </row>
    <row r="122" spans="1:240">
      <c r="A122" s="712" t="s">
        <v>52</v>
      </c>
      <c r="B122" s="713"/>
      <c r="C122" s="713"/>
      <c r="D122" s="442">
        <v>97.524304999999998</v>
      </c>
      <c r="E122" s="442">
        <v>98.292295999999993</v>
      </c>
      <c r="F122" s="442">
        <v>98.774314000000004</v>
      </c>
      <c r="G122" s="442">
        <v>98.816854000000006</v>
      </c>
      <c r="H122" s="442">
        <v>98.767424000000005</v>
      </c>
      <c r="I122" s="442">
        <v>98.670743999999999</v>
      </c>
      <c r="J122" s="442">
        <v>97.875150000000005</v>
      </c>
      <c r="K122" s="442">
        <v>97.408913999999996</v>
      </c>
      <c r="L122" s="442">
        <v>97.489135000000005</v>
      </c>
      <c r="M122" s="442">
        <v>96.959920999999994</v>
      </c>
      <c r="N122" s="442">
        <v>98.430066999999994</v>
      </c>
      <c r="O122" s="442">
        <v>98.820280999999994</v>
      </c>
      <c r="P122" s="443">
        <v>98.152450416666667</v>
      </c>
      <c r="R122" s="444"/>
      <c r="S122" s="444"/>
      <c r="T122" s="444"/>
      <c r="U122" s="444"/>
      <c r="V122" s="444"/>
      <c r="W122" s="444"/>
      <c r="X122" s="444"/>
      <c r="Y122" s="444"/>
      <c r="Z122" s="444"/>
      <c r="AA122" s="444"/>
      <c r="AB122" s="444"/>
      <c r="AC122" s="444"/>
      <c r="AD122" s="444"/>
      <c r="AE122" s="444"/>
      <c r="AF122" s="444"/>
      <c r="AG122" s="444"/>
      <c r="AH122" s="444"/>
      <c r="AI122" s="444"/>
      <c r="AJ122" s="444"/>
      <c r="AK122" s="444"/>
      <c r="AL122" s="444"/>
      <c r="AM122" s="444"/>
      <c r="AN122" s="444"/>
      <c r="AO122" s="444"/>
      <c r="AP122" s="444"/>
      <c r="AQ122" s="444"/>
      <c r="AR122" s="444"/>
      <c r="AS122" s="444"/>
      <c r="AT122" s="444"/>
      <c r="AU122" s="444"/>
      <c r="AV122" s="444"/>
      <c r="AW122" s="444"/>
      <c r="AX122" s="444"/>
      <c r="AY122" s="444"/>
      <c r="AZ122" s="444"/>
      <c r="BA122" s="444"/>
      <c r="BB122" s="444"/>
      <c r="BC122" s="444"/>
      <c r="BD122" s="444"/>
      <c r="BE122" s="444"/>
      <c r="BF122" s="444"/>
      <c r="BG122" s="444"/>
      <c r="BH122" s="444"/>
      <c r="BI122" s="444"/>
      <c r="BJ122" s="444"/>
      <c r="BK122" s="444"/>
      <c r="BL122" s="444"/>
      <c r="BM122" s="444"/>
      <c r="BN122" s="444"/>
      <c r="BO122" s="444"/>
      <c r="BP122" s="444"/>
      <c r="BQ122" s="444"/>
      <c r="BR122" s="444"/>
      <c r="BS122" s="444"/>
      <c r="BT122" s="444"/>
      <c r="BU122" s="444"/>
      <c r="BV122" s="444"/>
      <c r="BW122" s="444"/>
      <c r="BX122" s="444"/>
      <c r="BY122" s="444"/>
      <c r="BZ122" s="444"/>
      <c r="CA122" s="444"/>
      <c r="CB122" s="444"/>
      <c r="CC122" s="444"/>
      <c r="CD122" s="444"/>
      <c r="CE122" s="444"/>
      <c r="CF122" s="444"/>
      <c r="CG122" s="444"/>
      <c r="CH122" s="444"/>
      <c r="CI122" s="444"/>
      <c r="CJ122" s="444"/>
      <c r="CK122" s="444"/>
      <c r="CL122" s="444"/>
      <c r="CM122" s="444"/>
      <c r="CN122" s="444"/>
      <c r="CO122" s="444"/>
      <c r="CP122" s="444"/>
      <c r="CQ122" s="444"/>
      <c r="CR122" s="444"/>
      <c r="CS122" s="444"/>
      <c r="CT122" s="444"/>
      <c r="CU122" s="444"/>
      <c r="CV122" s="444"/>
      <c r="CW122" s="444"/>
      <c r="CX122" s="444"/>
      <c r="CY122" s="444"/>
      <c r="CZ122" s="444"/>
      <c r="DA122" s="444"/>
      <c r="DB122" s="444"/>
      <c r="DC122" s="444"/>
      <c r="DD122" s="444"/>
      <c r="DE122" s="444"/>
      <c r="DF122" s="444"/>
      <c r="DG122" s="444"/>
      <c r="DH122" s="444"/>
      <c r="DI122" s="444"/>
      <c r="DJ122" s="444"/>
      <c r="DK122" s="444"/>
      <c r="DL122" s="444"/>
      <c r="DM122" s="444"/>
      <c r="DN122" s="444"/>
      <c r="DO122" s="444"/>
      <c r="DP122" s="444"/>
      <c r="DQ122" s="444"/>
      <c r="DR122" s="444"/>
      <c r="DS122" s="444"/>
      <c r="DT122" s="444"/>
      <c r="DU122" s="444"/>
      <c r="DV122" s="444"/>
      <c r="DW122" s="444"/>
      <c r="DX122" s="444"/>
      <c r="DY122" s="444"/>
      <c r="DZ122" s="444"/>
      <c r="EA122" s="444"/>
      <c r="EB122" s="444"/>
      <c r="EC122" s="444"/>
      <c r="ED122" s="444"/>
      <c r="EE122" s="444"/>
      <c r="EF122" s="444"/>
      <c r="EG122" s="444"/>
      <c r="EH122" s="444"/>
      <c r="EI122" s="444"/>
      <c r="EJ122" s="444"/>
      <c r="EK122" s="444"/>
      <c r="EL122" s="444"/>
      <c r="EM122" s="444"/>
      <c r="EN122" s="444"/>
      <c r="EO122" s="444"/>
      <c r="EP122" s="444"/>
      <c r="EQ122" s="444"/>
      <c r="ER122" s="444"/>
      <c r="ES122" s="444"/>
      <c r="ET122" s="444"/>
      <c r="EU122" s="444"/>
      <c r="EV122" s="444"/>
      <c r="EW122" s="444"/>
      <c r="EX122" s="444"/>
      <c r="EY122" s="444"/>
      <c r="EZ122" s="444"/>
      <c r="FA122" s="444"/>
      <c r="FB122" s="444"/>
      <c r="FC122" s="444"/>
      <c r="FD122" s="444"/>
      <c r="FE122" s="444"/>
      <c r="FF122" s="444"/>
      <c r="FG122" s="444"/>
      <c r="FH122" s="444"/>
      <c r="FI122" s="444"/>
      <c r="FJ122" s="444"/>
      <c r="FK122" s="444"/>
      <c r="FL122" s="444"/>
      <c r="FM122" s="444"/>
      <c r="FN122" s="444"/>
      <c r="FO122" s="444"/>
      <c r="FP122" s="444"/>
      <c r="FQ122" s="444"/>
      <c r="FR122" s="444"/>
      <c r="FS122" s="444"/>
      <c r="FT122" s="444"/>
      <c r="FU122" s="444"/>
      <c r="FV122" s="444"/>
      <c r="FW122" s="444"/>
      <c r="FX122" s="444"/>
      <c r="FY122" s="444"/>
      <c r="FZ122" s="444"/>
      <c r="GA122" s="444"/>
      <c r="GB122" s="444"/>
      <c r="GC122" s="444"/>
      <c r="GD122" s="444"/>
      <c r="GE122" s="444"/>
      <c r="GF122" s="444"/>
      <c r="GG122" s="444"/>
      <c r="GH122" s="444"/>
      <c r="GI122" s="444"/>
      <c r="GJ122" s="444"/>
      <c r="GK122" s="444"/>
      <c r="GL122" s="444"/>
      <c r="GM122" s="444"/>
      <c r="GN122" s="444"/>
      <c r="GO122" s="444"/>
      <c r="GP122" s="444"/>
      <c r="GQ122" s="444"/>
      <c r="GR122" s="444"/>
      <c r="GS122" s="444"/>
      <c r="GT122" s="444"/>
      <c r="GU122" s="444"/>
      <c r="GV122" s="444"/>
      <c r="GW122" s="444"/>
      <c r="GX122" s="444"/>
      <c r="GY122" s="444"/>
      <c r="GZ122" s="444"/>
      <c r="HA122" s="444"/>
      <c r="HB122" s="444"/>
      <c r="HC122" s="444"/>
      <c r="HD122" s="444"/>
      <c r="HE122" s="444"/>
      <c r="HF122" s="444"/>
      <c r="HG122" s="444"/>
      <c r="HH122" s="444"/>
      <c r="HI122" s="444"/>
      <c r="HJ122" s="444"/>
      <c r="HK122" s="444"/>
      <c r="HL122" s="444"/>
      <c r="HM122" s="444"/>
      <c r="HN122" s="444"/>
      <c r="HO122" s="444"/>
      <c r="HP122" s="444"/>
      <c r="HQ122" s="444"/>
      <c r="HR122" s="444"/>
      <c r="HS122" s="444"/>
      <c r="HT122" s="444"/>
      <c r="HU122" s="444"/>
      <c r="HV122" s="444"/>
      <c r="HW122" s="444"/>
      <c r="HX122" s="444"/>
      <c r="HY122" s="444"/>
      <c r="HZ122" s="444"/>
      <c r="IA122" s="444"/>
      <c r="IB122" s="444"/>
      <c r="IC122" s="444"/>
      <c r="ID122" s="444"/>
      <c r="IE122" s="444"/>
      <c r="IF122" s="444"/>
    </row>
    <row r="123" spans="1:240">
      <c r="A123" s="712" t="s">
        <v>53</v>
      </c>
      <c r="B123" s="713"/>
      <c r="C123" s="713"/>
      <c r="D123" s="442">
        <v>97.849041999999997</v>
      </c>
      <c r="E123" s="442">
        <v>98.214241999999999</v>
      </c>
      <c r="F123" s="442">
        <v>98.546333000000004</v>
      </c>
      <c r="G123" s="442">
        <v>98.835796999999999</v>
      </c>
      <c r="H123" s="442">
        <v>99.093311</v>
      </c>
      <c r="I123" s="442">
        <v>98.820802</v>
      </c>
      <c r="J123" s="442">
        <v>98.320976999999999</v>
      </c>
      <c r="K123" s="442">
        <v>98.790301999999997</v>
      </c>
      <c r="L123" s="442">
        <v>98.434432000000001</v>
      </c>
      <c r="M123" s="442">
        <v>98.654313999999999</v>
      </c>
      <c r="N123" s="442">
        <v>98.773066999999998</v>
      </c>
      <c r="O123" s="442">
        <v>99.055736999999993</v>
      </c>
      <c r="P123" s="443">
        <v>98.615696333333332</v>
      </c>
      <c r="R123" s="444"/>
      <c r="S123" s="444"/>
      <c r="T123" s="444"/>
      <c r="U123" s="444"/>
      <c r="V123" s="444"/>
      <c r="W123" s="444"/>
      <c r="X123" s="444"/>
      <c r="Y123" s="444"/>
      <c r="Z123" s="444"/>
      <c r="AA123" s="444"/>
      <c r="AB123" s="444"/>
      <c r="AC123" s="444"/>
      <c r="AD123" s="444"/>
      <c r="AE123" s="444"/>
      <c r="AF123" s="444"/>
      <c r="AG123" s="444"/>
      <c r="AH123" s="444"/>
      <c r="AI123" s="444"/>
      <c r="AJ123" s="444"/>
      <c r="AK123" s="444"/>
      <c r="AL123" s="444"/>
      <c r="AM123" s="444"/>
      <c r="AN123" s="444"/>
      <c r="AO123" s="444"/>
      <c r="AP123" s="444"/>
      <c r="AQ123" s="444"/>
      <c r="AR123" s="444"/>
      <c r="AS123" s="444"/>
      <c r="AT123" s="444"/>
      <c r="AU123" s="444"/>
      <c r="AV123" s="444"/>
      <c r="AW123" s="444"/>
      <c r="AX123" s="444"/>
      <c r="AY123" s="444"/>
      <c r="AZ123" s="444"/>
      <c r="BA123" s="444"/>
      <c r="BB123" s="444"/>
      <c r="BC123" s="444"/>
      <c r="BD123" s="444"/>
      <c r="BE123" s="444"/>
      <c r="BF123" s="444"/>
      <c r="BG123" s="444"/>
      <c r="BH123" s="444"/>
      <c r="BI123" s="444"/>
      <c r="BJ123" s="444"/>
      <c r="BK123" s="444"/>
      <c r="BL123" s="444"/>
      <c r="BM123" s="444"/>
      <c r="BN123" s="444"/>
      <c r="BO123" s="444"/>
      <c r="BP123" s="444"/>
      <c r="BQ123" s="444"/>
      <c r="BR123" s="444"/>
      <c r="BS123" s="444"/>
      <c r="BT123" s="444"/>
      <c r="BU123" s="444"/>
      <c r="BV123" s="444"/>
      <c r="BW123" s="444"/>
      <c r="BX123" s="444"/>
      <c r="BY123" s="444"/>
      <c r="BZ123" s="444"/>
      <c r="CA123" s="444"/>
      <c r="CB123" s="444"/>
      <c r="CC123" s="444"/>
      <c r="CD123" s="444"/>
      <c r="CE123" s="444"/>
      <c r="CF123" s="444"/>
      <c r="CG123" s="444"/>
      <c r="CH123" s="444"/>
      <c r="CI123" s="444"/>
      <c r="CJ123" s="444"/>
      <c r="CK123" s="444"/>
      <c r="CL123" s="444"/>
      <c r="CM123" s="444"/>
      <c r="CN123" s="444"/>
      <c r="CO123" s="444"/>
      <c r="CP123" s="444"/>
      <c r="CQ123" s="444"/>
      <c r="CR123" s="444"/>
      <c r="CS123" s="444"/>
      <c r="CT123" s="444"/>
      <c r="CU123" s="444"/>
      <c r="CV123" s="444"/>
      <c r="CW123" s="444"/>
      <c r="CX123" s="444"/>
      <c r="CY123" s="444"/>
      <c r="CZ123" s="444"/>
      <c r="DA123" s="444"/>
      <c r="DB123" s="444"/>
      <c r="DC123" s="444"/>
      <c r="DD123" s="444"/>
      <c r="DE123" s="444"/>
      <c r="DF123" s="444"/>
      <c r="DG123" s="444"/>
      <c r="DH123" s="444"/>
      <c r="DI123" s="444"/>
      <c r="DJ123" s="444"/>
      <c r="DK123" s="444"/>
      <c r="DL123" s="444"/>
      <c r="DM123" s="444"/>
      <c r="DN123" s="444"/>
      <c r="DO123" s="444"/>
      <c r="DP123" s="444"/>
      <c r="DQ123" s="444"/>
      <c r="DR123" s="444"/>
      <c r="DS123" s="444"/>
      <c r="DT123" s="444"/>
      <c r="DU123" s="444"/>
      <c r="DV123" s="444"/>
      <c r="DW123" s="444"/>
      <c r="DX123" s="444"/>
      <c r="DY123" s="444"/>
      <c r="DZ123" s="444"/>
      <c r="EA123" s="444"/>
      <c r="EB123" s="444"/>
      <c r="EC123" s="444"/>
      <c r="ED123" s="444"/>
      <c r="EE123" s="444"/>
      <c r="EF123" s="444"/>
      <c r="EG123" s="444"/>
      <c r="EH123" s="444"/>
      <c r="EI123" s="444"/>
      <c r="EJ123" s="444"/>
      <c r="EK123" s="444"/>
      <c r="EL123" s="444"/>
      <c r="EM123" s="444"/>
      <c r="EN123" s="444"/>
      <c r="EO123" s="444"/>
      <c r="EP123" s="444"/>
      <c r="EQ123" s="444"/>
      <c r="ER123" s="444"/>
      <c r="ES123" s="444"/>
      <c r="ET123" s="444"/>
      <c r="EU123" s="444"/>
      <c r="EV123" s="444"/>
      <c r="EW123" s="444"/>
      <c r="EX123" s="444"/>
      <c r="EY123" s="444"/>
      <c r="EZ123" s="444"/>
      <c r="FA123" s="444"/>
      <c r="FB123" s="444"/>
      <c r="FC123" s="444"/>
      <c r="FD123" s="444"/>
      <c r="FE123" s="444"/>
      <c r="FF123" s="444"/>
      <c r="FG123" s="444"/>
      <c r="FH123" s="444"/>
      <c r="FI123" s="444"/>
      <c r="FJ123" s="444"/>
      <c r="FK123" s="444"/>
      <c r="FL123" s="444"/>
      <c r="FM123" s="444"/>
      <c r="FN123" s="444"/>
      <c r="FO123" s="444"/>
      <c r="FP123" s="444"/>
      <c r="FQ123" s="444"/>
      <c r="FR123" s="444"/>
      <c r="FS123" s="444"/>
      <c r="FT123" s="444"/>
      <c r="FU123" s="444"/>
      <c r="FV123" s="444"/>
      <c r="FW123" s="444"/>
      <c r="FX123" s="444"/>
      <c r="FY123" s="444"/>
      <c r="FZ123" s="444"/>
      <c r="GA123" s="444"/>
      <c r="GB123" s="444"/>
      <c r="GC123" s="444"/>
      <c r="GD123" s="444"/>
      <c r="GE123" s="444"/>
      <c r="GF123" s="444"/>
      <c r="GG123" s="444"/>
      <c r="GH123" s="444"/>
      <c r="GI123" s="444"/>
      <c r="GJ123" s="444"/>
      <c r="GK123" s="444"/>
      <c r="GL123" s="444"/>
      <c r="GM123" s="444"/>
      <c r="GN123" s="444"/>
      <c r="GO123" s="444"/>
      <c r="GP123" s="444"/>
      <c r="GQ123" s="444"/>
      <c r="GR123" s="444"/>
      <c r="GS123" s="444"/>
      <c r="GT123" s="444"/>
      <c r="GU123" s="444"/>
      <c r="GV123" s="444"/>
      <c r="GW123" s="444"/>
      <c r="GX123" s="444"/>
      <c r="GY123" s="444"/>
      <c r="GZ123" s="444"/>
      <c r="HA123" s="444"/>
      <c r="HB123" s="444"/>
      <c r="HC123" s="444"/>
      <c r="HD123" s="444"/>
      <c r="HE123" s="444"/>
      <c r="HF123" s="444"/>
      <c r="HG123" s="444"/>
      <c r="HH123" s="444"/>
      <c r="HI123" s="444"/>
      <c r="HJ123" s="444"/>
      <c r="HK123" s="444"/>
      <c r="HL123" s="444"/>
      <c r="HM123" s="444"/>
      <c r="HN123" s="444"/>
      <c r="HO123" s="444"/>
      <c r="HP123" s="444"/>
      <c r="HQ123" s="444"/>
      <c r="HR123" s="444"/>
      <c r="HS123" s="444"/>
      <c r="HT123" s="444"/>
      <c r="HU123" s="444"/>
      <c r="HV123" s="444"/>
      <c r="HW123" s="444"/>
      <c r="HX123" s="444"/>
      <c r="HY123" s="444"/>
      <c r="HZ123" s="444"/>
      <c r="IA123" s="444"/>
      <c r="IB123" s="444"/>
      <c r="IC123" s="444"/>
      <c r="ID123" s="444"/>
      <c r="IE123" s="444"/>
      <c r="IF123" s="444"/>
    </row>
    <row r="124" spans="1:240">
      <c r="A124" s="712" t="s">
        <v>54</v>
      </c>
      <c r="B124" s="713"/>
      <c r="C124" s="713"/>
      <c r="D124" s="442">
        <v>99.395482000000001</v>
      </c>
      <c r="E124" s="442">
        <v>99.187027</v>
      </c>
      <c r="F124" s="442">
        <v>99.290978999999993</v>
      </c>
      <c r="G124" s="442">
        <v>99.431608999999995</v>
      </c>
      <c r="H124" s="442">
        <v>99.487926000000002</v>
      </c>
      <c r="I124" s="442">
        <v>99.421310000000005</v>
      </c>
      <c r="J124" s="442">
        <v>99.373740999999995</v>
      </c>
      <c r="K124" s="442">
        <v>99.229211000000006</v>
      </c>
      <c r="L124" s="442">
        <v>99.365677000000005</v>
      </c>
      <c r="M124" s="442">
        <v>99.238240000000005</v>
      </c>
      <c r="N124" s="442">
        <v>99.195718999999997</v>
      </c>
      <c r="O124" s="442">
        <v>99.094560000000001</v>
      </c>
      <c r="P124" s="443">
        <v>99.309290083333337</v>
      </c>
      <c r="R124" s="444"/>
      <c r="S124" s="444"/>
      <c r="T124" s="444"/>
      <c r="U124" s="444"/>
      <c r="V124" s="444"/>
      <c r="W124" s="444"/>
      <c r="X124" s="444"/>
      <c r="Y124" s="444"/>
      <c r="Z124" s="444"/>
      <c r="AA124" s="444"/>
      <c r="AB124" s="444"/>
      <c r="AC124" s="444"/>
      <c r="AD124" s="444"/>
      <c r="AE124" s="444"/>
      <c r="AF124" s="444"/>
      <c r="AG124" s="444"/>
      <c r="AH124" s="444"/>
      <c r="AI124" s="444"/>
      <c r="AJ124" s="444"/>
      <c r="AK124" s="444"/>
      <c r="AL124" s="444"/>
      <c r="AM124" s="444"/>
      <c r="AN124" s="444"/>
      <c r="AO124" s="444"/>
      <c r="AP124" s="444"/>
      <c r="AQ124" s="444"/>
      <c r="AR124" s="444"/>
      <c r="AS124" s="444"/>
      <c r="AT124" s="444"/>
      <c r="AU124" s="444"/>
      <c r="AV124" s="444"/>
      <c r="AW124" s="444"/>
      <c r="AX124" s="444"/>
      <c r="AY124" s="444"/>
      <c r="AZ124" s="444"/>
      <c r="BA124" s="444"/>
      <c r="BB124" s="444"/>
      <c r="BC124" s="444"/>
      <c r="BD124" s="444"/>
      <c r="BE124" s="444"/>
      <c r="BF124" s="444"/>
      <c r="BG124" s="444"/>
      <c r="BH124" s="444"/>
      <c r="BI124" s="444"/>
      <c r="BJ124" s="444"/>
      <c r="BK124" s="444"/>
      <c r="BL124" s="444"/>
      <c r="BM124" s="444"/>
      <c r="BN124" s="444"/>
      <c r="BO124" s="444"/>
      <c r="BP124" s="444"/>
      <c r="BQ124" s="444"/>
      <c r="BR124" s="444"/>
      <c r="BS124" s="444"/>
      <c r="BT124" s="444"/>
      <c r="BU124" s="444"/>
      <c r="BV124" s="444"/>
      <c r="BW124" s="444"/>
      <c r="BX124" s="444"/>
      <c r="BY124" s="444"/>
      <c r="BZ124" s="444"/>
      <c r="CA124" s="444"/>
      <c r="CB124" s="444"/>
      <c r="CC124" s="444"/>
      <c r="CD124" s="444"/>
      <c r="CE124" s="444"/>
      <c r="CF124" s="444"/>
      <c r="CG124" s="444"/>
      <c r="CH124" s="444"/>
      <c r="CI124" s="444"/>
      <c r="CJ124" s="444"/>
      <c r="CK124" s="444"/>
      <c r="CL124" s="444"/>
      <c r="CM124" s="444"/>
      <c r="CN124" s="444"/>
      <c r="CO124" s="444"/>
      <c r="CP124" s="444"/>
      <c r="CQ124" s="444"/>
      <c r="CR124" s="444"/>
      <c r="CS124" s="444"/>
      <c r="CT124" s="444"/>
      <c r="CU124" s="444"/>
      <c r="CV124" s="444"/>
      <c r="CW124" s="444"/>
      <c r="CX124" s="444"/>
      <c r="CY124" s="444"/>
      <c r="CZ124" s="444"/>
      <c r="DA124" s="444"/>
      <c r="DB124" s="444"/>
      <c r="DC124" s="444"/>
      <c r="DD124" s="444"/>
      <c r="DE124" s="444"/>
      <c r="DF124" s="444"/>
      <c r="DG124" s="444"/>
      <c r="DH124" s="444"/>
      <c r="DI124" s="444"/>
      <c r="DJ124" s="444"/>
      <c r="DK124" s="444"/>
      <c r="DL124" s="444"/>
      <c r="DM124" s="444"/>
      <c r="DN124" s="444"/>
      <c r="DO124" s="444"/>
      <c r="DP124" s="444"/>
      <c r="DQ124" s="444"/>
      <c r="DR124" s="444"/>
      <c r="DS124" s="444"/>
      <c r="DT124" s="444"/>
      <c r="DU124" s="444"/>
      <c r="DV124" s="444"/>
      <c r="DW124" s="444"/>
      <c r="DX124" s="444"/>
      <c r="DY124" s="444"/>
      <c r="DZ124" s="444"/>
      <c r="EA124" s="444"/>
      <c r="EB124" s="444"/>
      <c r="EC124" s="444"/>
      <c r="ED124" s="444"/>
      <c r="EE124" s="444"/>
      <c r="EF124" s="444"/>
      <c r="EG124" s="444"/>
      <c r="EH124" s="444"/>
      <c r="EI124" s="444"/>
      <c r="EJ124" s="444"/>
      <c r="EK124" s="444"/>
      <c r="EL124" s="444"/>
      <c r="EM124" s="444"/>
      <c r="EN124" s="444"/>
      <c r="EO124" s="444"/>
      <c r="EP124" s="444"/>
      <c r="EQ124" s="444"/>
      <c r="ER124" s="444"/>
      <c r="ES124" s="444"/>
      <c r="ET124" s="444"/>
      <c r="EU124" s="444"/>
      <c r="EV124" s="444"/>
      <c r="EW124" s="444"/>
      <c r="EX124" s="444"/>
      <c r="EY124" s="444"/>
      <c r="EZ124" s="444"/>
      <c r="FA124" s="444"/>
      <c r="FB124" s="444"/>
      <c r="FC124" s="444"/>
      <c r="FD124" s="444"/>
      <c r="FE124" s="444"/>
      <c r="FF124" s="444"/>
      <c r="FG124" s="444"/>
      <c r="FH124" s="444"/>
      <c r="FI124" s="444"/>
      <c r="FJ124" s="444"/>
      <c r="FK124" s="444"/>
      <c r="FL124" s="444"/>
      <c r="FM124" s="444"/>
      <c r="FN124" s="444"/>
      <c r="FO124" s="444"/>
      <c r="FP124" s="444"/>
      <c r="FQ124" s="444"/>
      <c r="FR124" s="444"/>
      <c r="FS124" s="444"/>
      <c r="FT124" s="444"/>
      <c r="FU124" s="444"/>
      <c r="FV124" s="444"/>
      <c r="FW124" s="444"/>
      <c r="FX124" s="444"/>
      <c r="FY124" s="444"/>
      <c r="FZ124" s="444"/>
      <c r="GA124" s="444"/>
      <c r="GB124" s="444"/>
      <c r="GC124" s="444"/>
      <c r="GD124" s="444"/>
      <c r="GE124" s="444"/>
      <c r="GF124" s="444"/>
      <c r="GG124" s="444"/>
      <c r="GH124" s="444"/>
      <c r="GI124" s="444"/>
      <c r="GJ124" s="444"/>
      <c r="GK124" s="444"/>
      <c r="GL124" s="444"/>
      <c r="GM124" s="444"/>
      <c r="GN124" s="444"/>
      <c r="GO124" s="444"/>
      <c r="GP124" s="444"/>
      <c r="GQ124" s="444"/>
      <c r="GR124" s="444"/>
      <c r="GS124" s="444"/>
      <c r="GT124" s="444"/>
      <c r="GU124" s="444"/>
      <c r="GV124" s="444"/>
      <c r="GW124" s="444"/>
      <c r="GX124" s="444"/>
      <c r="GY124" s="444"/>
      <c r="GZ124" s="444"/>
      <c r="HA124" s="444"/>
      <c r="HB124" s="444"/>
      <c r="HC124" s="444"/>
      <c r="HD124" s="444"/>
      <c r="HE124" s="444"/>
      <c r="HF124" s="444"/>
      <c r="HG124" s="444"/>
      <c r="HH124" s="444"/>
      <c r="HI124" s="444"/>
      <c r="HJ124" s="444"/>
      <c r="HK124" s="444"/>
      <c r="HL124" s="444"/>
      <c r="HM124" s="444"/>
      <c r="HN124" s="444"/>
      <c r="HO124" s="444"/>
      <c r="HP124" s="444"/>
      <c r="HQ124" s="444"/>
      <c r="HR124" s="444"/>
      <c r="HS124" s="444"/>
      <c r="HT124" s="444"/>
      <c r="HU124" s="444"/>
      <c r="HV124" s="444"/>
      <c r="HW124" s="444"/>
      <c r="HX124" s="444"/>
      <c r="HY124" s="444"/>
      <c r="HZ124" s="444"/>
      <c r="IA124" s="444"/>
      <c r="IB124" s="444"/>
      <c r="IC124" s="444"/>
      <c r="ID124" s="444"/>
      <c r="IE124" s="444"/>
      <c r="IF124" s="444"/>
    </row>
    <row r="125" spans="1:240">
      <c r="A125" s="719" t="s">
        <v>55</v>
      </c>
      <c r="B125" s="720"/>
      <c r="C125" s="721"/>
      <c r="D125" s="445">
        <v>97.857871000000003</v>
      </c>
      <c r="E125" s="445">
        <v>98.334188999999995</v>
      </c>
      <c r="F125" s="445">
        <v>98.713871999999995</v>
      </c>
      <c r="G125" s="445">
        <v>98.882735999999994</v>
      </c>
      <c r="H125" s="445">
        <v>98.988433000000001</v>
      </c>
      <c r="I125" s="445">
        <v>98.813953999999995</v>
      </c>
      <c r="J125" s="445">
        <v>98.229209999999995</v>
      </c>
      <c r="K125" s="445">
        <v>98.241435999999993</v>
      </c>
      <c r="L125" s="445">
        <v>98.122487000000007</v>
      </c>
      <c r="M125" s="445">
        <v>97.975847000000002</v>
      </c>
      <c r="N125" s="445">
        <v>98.668848999999994</v>
      </c>
      <c r="O125" s="445">
        <v>98.955422999999996</v>
      </c>
      <c r="P125" s="446">
        <v>98.482025583333325</v>
      </c>
      <c r="R125" s="444"/>
      <c r="S125" s="444"/>
      <c r="T125" s="444"/>
      <c r="U125" s="444"/>
      <c r="V125" s="444"/>
      <c r="W125" s="444"/>
      <c r="X125" s="444"/>
      <c r="Y125" s="444"/>
      <c r="Z125" s="444"/>
      <c r="AA125" s="444"/>
      <c r="AB125" s="444"/>
      <c r="AC125" s="444"/>
      <c r="AD125" s="444"/>
      <c r="AE125" s="444"/>
      <c r="AF125" s="444"/>
      <c r="AG125" s="444"/>
      <c r="AH125" s="444"/>
      <c r="AI125" s="444"/>
      <c r="AJ125" s="444"/>
      <c r="AK125" s="444"/>
      <c r="AL125" s="444"/>
      <c r="AM125" s="444"/>
      <c r="AN125" s="444"/>
      <c r="AO125" s="444"/>
      <c r="AP125" s="444"/>
      <c r="AQ125" s="444"/>
      <c r="AR125" s="444"/>
      <c r="AS125" s="444"/>
      <c r="AT125" s="444"/>
      <c r="AU125" s="444"/>
      <c r="AV125" s="444"/>
      <c r="AW125" s="444"/>
      <c r="AX125" s="444"/>
      <c r="AY125" s="444"/>
      <c r="AZ125" s="444"/>
      <c r="BA125" s="444"/>
      <c r="BB125" s="444"/>
      <c r="BC125" s="444"/>
      <c r="BD125" s="444"/>
      <c r="BE125" s="444"/>
      <c r="BF125" s="444"/>
      <c r="BG125" s="444"/>
      <c r="BH125" s="444"/>
      <c r="BI125" s="444"/>
      <c r="BJ125" s="444"/>
      <c r="BK125" s="444"/>
      <c r="BL125" s="444"/>
      <c r="BM125" s="444"/>
      <c r="BN125" s="444"/>
      <c r="BO125" s="444"/>
      <c r="BP125" s="444"/>
      <c r="BQ125" s="444"/>
      <c r="BR125" s="444"/>
      <c r="BS125" s="444"/>
      <c r="BT125" s="444"/>
      <c r="BU125" s="444"/>
      <c r="BV125" s="444"/>
      <c r="BW125" s="444"/>
      <c r="BX125" s="444"/>
      <c r="BY125" s="444"/>
      <c r="BZ125" s="444"/>
      <c r="CA125" s="444"/>
      <c r="CB125" s="444"/>
      <c r="CC125" s="444"/>
      <c r="CD125" s="444"/>
      <c r="CE125" s="444"/>
      <c r="CF125" s="444"/>
      <c r="CG125" s="444"/>
      <c r="CH125" s="444"/>
      <c r="CI125" s="444"/>
      <c r="CJ125" s="444"/>
      <c r="CK125" s="444"/>
      <c r="CL125" s="444"/>
      <c r="CM125" s="444"/>
      <c r="CN125" s="444"/>
      <c r="CO125" s="444"/>
      <c r="CP125" s="444"/>
      <c r="CQ125" s="444"/>
      <c r="CR125" s="444"/>
      <c r="CS125" s="444"/>
      <c r="CT125" s="444"/>
      <c r="CU125" s="444"/>
      <c r="CV125" s="444"/>
      <c r="CW125" s="444"/>
      <c r="CX125" s="444"/>
      <c r="CY125" s="444"/>
      <c r="CZ125" s="444"/>
      <c r="DA125" s="444"/>
      <c r="DB125" s="444"/>
      <c r="DC125" s="444"/>
      <c r="DD125" s="444"/>
      <c r="DE125" s="444"/>
      <c r="DF125" s="444"/>
      <c r="DG125" s="444"/>
      <c r="DH125" s="444"/>
      <c r="DI125" s="444"/>
      <c r="DJ125" s="444"/>
      <c r="DK125" s="444"/>
      <c r="DL125" s="444"/>
      <c r="DM125" s="444"/>
      <c r="DN125" s="444"/>
      <c r="DO125" s="444"/>
      <c r="DP125" s="444"/>
      <c r="DQ125" s="444"/>
      <c r="DR125" s="444"/>
      <c r="DS125" s="444"/>
      <c r="DT125" s="444"/>
      <c r="DU125" s="444"/>
      <c r="DV125" s="444"/>
      <c r="DW125" s="444"/>
      <c r="DX125" s="444"/>
      <c r="DY125" s="444"/>
      <c r="DZ125" s="444"/>
      <c r="EA125" s="444"/>
      <c r="EB125" s="444"/>
      <c r="EC125" s="444"/>
      <c r="ED125" s="444"/>
      <c r="EE125" s="444"/>
      <c r="EF125" s="444"/>
      <c r="EG125" s="444"/>
      <c r="EH125" s="444"/>
      <c r="EI125" s="444"/>
      <c r="EJ125" s="444"/>
      <c r="EK125" s="444"/>
      <c r="EL125" s="444"/>
      <c r="EM125" s="444"/>
      <c r="EN125" s="444"/>
      <c r="EO125" s="444"/>
      <c r="EP125" s="444"/>
      <c r="EQ125" s="444"/>
      <c r="ER125" s="444"/>
      <c r="ES125" s="444"/>
      <c r="ET125" s="444"/>
      <c r="EU125" s="444"/>
      <c r="EV125" s="444"/>
      <c r="EW125" s="444"/>
      <c r="EX125" s="444"/>
      <c r="EY125" s="444"/>
      <c r="EZ125" s="444"/>
      <c r="FA125" s="444"/>
      <c r="FB125" s="444"/>
      <c r="FC125" s="444"/>
      <c r="FD125" s="444"/>
      <c r="FE125" s="444"/>
      <c r="FF125" s="444"/>
      <c r="FG125" s="444"/>
      <c r="FH125" s="444"/>
      <c r="FI125" s="444"/>
      <c r="FJ125" s="444"/>
      <c r="FK125" s="444"/>
      <c r="FL125" s="444"/>
      <c r="FM125" s="444"/>
      <c r="FN125" s="444"/>
      <c r="FO125" s="444"/>
      <c r="FP125" s="444"/>
      <c r="FQ125" s="444"/>
      <c r="FR125" s="444"/>
      <c r="FS125" s="444"/>
      <c r="FT125" s="444"/>
      <c r="FU125" s="444"/>
      <c r="FV125" s="444"/>
      <c r="FW125" s="444"/>
      <c r="FX125" s="444"/>
      <c r="FY125" s="444"/>
      <c r="FZ125" s="444"/>
      <c r="GA125" s="444"/>
      <c r="GB125" s="444"/>
      <c r="GC125" s="444"/>
      <c r="GD125" s="444"/>
      <c r="GE125" s="444"/>
      <c r="GF125" s="444"/>
      <c r="GG125" s="444"/>
      <c r="GH125" s="444"/>
      <c r="GI125" s="444"/>
      <c r="GJ125" s="444"/>
      <c r="GK125" s="444"/>
      <c r="GL125" s="444"/>
      <c r="GM125" s="444"/>
      <c r="GN125" s="444"/>
      <c r="GO125" s="444"/>
      <c r="GP125" s="444"/>
      <c r="GQ125" s="444"/>
      <c r="GR125" s="444"/>
      <c r="GS125" s="444"/>
      <c r="GT125" s="444"/>
      <c r="GU125" s="444"/>
      <c r="GV125" s="444"/>
      <c r="GW125" s="444"/>
      <c r="GX125" s="444"/>
      <c r="GY125" s="444"/>
      <c r="GZ125" s="444"/>
      <c r="HA125" s="444"/>
      <c r="HB125" s="444"/>
      <c r="HC125" s="444"/>
      <c r="HD125" s="444"/>
      <c r="HE125" s="444"/>
      <c r="HF125" s="444"/>
      <c r="HG125" s="444"/>
      <c r="HH125" s="444"/>
      <c r="HI125" s="444"/>
      <c r="HJ125" s="444"/>
      <c r="HK125" s="444"/>
      <c r="HL125" s="444"/>
      <c r="HM125" s="444"/>
      <c r="HN125" s="444"/>
      <c r="HO125" s="444"/>
      <c r="HP125" s="444"/>
      <c r="HQ125" s="444"/>
      <c r="HR125" s="444"/>
      <c r="HS125" s="444"/>
      <c r="HT125" s="444"/>
      <c r="HU125" s="444"/>
      <c r="HV125" s="444"/>
      <c r="HW125" s="444"/>
      <c r="HX125" s="444"/>
      <c r="HY125" s="444"/>
      <c r="HZ125" s="444"/>
      <c r="IA125" s="444"/>
      <c r="IB125" s="444"/>
      <c r="IC125" s="444"/>
      <c r="ID125" s="444"/>
      <c r="IE125" s="444"/>
      <c r="IF125" s="444"/>
    </row>
    <row r="126" spans="1:240">
      <c r="A126" s="712" t="s">
        <v>12</v>
      </c>
      <c r="B126" s="713"/>
      <c r="C126" s="713"/>
      <c r="D126" s="442">
        <v>98.877724000000001</v>
      </c>
      <c r="E126" s="442">
        <v>99.496251999999998</v>
      </c>
      <c r="F126" s="442">
        <v>100</v>
      </c>
      <c r="G126" s="442">
        <v>99.919190999999998</v>
      </c>
      <c r="H126" s="442">
        <v>99.989020999999994</v>
      </c>
      <c r="I126" s="442">
        <v>99.921638000000002</v>
      </c>
      <c r="J126" s="442">
        <v>100</v>
      </c>
      <c r="K126" s="442">
        <v>99.923046999999997</v>
      </c>
      <c r="L126" s="442">
        <v>100</v>
      </c>
      <c r="M126" s="442">
        <v>100</v>
      </c>
      <c r="N126" s="442">
        <v>98.840681000000004</v>
      </c>
      <c r="O126" s="442">
        <v>99.915526</v>
      </c>
      <c r="P126" s="443">
        <v>99.740256666666653</v>
      </c>
      <c r="R126" s="444"/>
      <c r="S126" s="444"/>
      <c r="T126" s="444"/>
      <c r="U126" s="444"/>
      <c r="V126" s="444"/>
      <c r="W126" s="444"/>
      <c r="X126" s="444"/>
      <c r="Y126" s="444"/>
      <c r="Z126" s="444"/>
      <c r="AA126" s="444"/>
      <c r="AB126" s="444"/>
      <c r="AC126" s="444"/>
      <c r="AD126" s="444"/>
      <c r="AE126" s="444"/>
      <c r="AF126" s="444"/>
      <c r="AG126" s="444"/>
      <c r="AH126" s="444"/>
      <c r="AI126" s="444"/>
      <c r="AJ126" s="444"/>
      <c r="AK126" s="444"/>
      <c r="AL126" s="444"/>
      <c r="AM126" s="444"/>
      <c r="AN126" s="444"/>
      <c r="AO126" s="444"/>
      <c r="AP126" s="444"/>
      <c r="AQ126" s="444"/>
      <c r="AR126" s="444"/>
      <c r="AS126" s="444"/>
      <c r="AT126" s="444"/>
      <c r="AU126" s="444"/>
      <c r="AV126" s="444"/>
      <c r="AW126" s="444"/>
      <c r="AX126" s="444"/>
      <c r="AY126" s="444"/>
      <c r="AZ126" s="444"/>
      <c r="BA126" s="444"/>
      <c r="BB126" s="444"/>
      <c r="BC126" s="444"/>
      <c r="BD126" s="444"/>
      <c r="BE126" s="444"/>
      <c r="BF126" s="444"/>
      <c r="BG126" s="444"/>
      <c r="BH126" s="444"/>
      <c r="BI126" s="444"/>
      <c r="BJ126" s="444"/>
      <c r="BK126" s="444"/>
      <c r="BL126" s="444"/>
      <c r="BM126" s="444"/>
      <c r="BN126" s="444"/>
      <c r="BO126" s="444"/>
      <c r="BP126" s="444"/>
      <c r="BQ126" s="444"/>
      <c r="BR126" s="444"/>
      <c r="BS126" s="444"/>
      <c r="BT126" s="444"/>
      <c r="BU126" s="444"/>
      <c r="BV126" s="444"/>
      <c r="BW126" s="444"/>
      <c r="BX126" s="444"/>
      <c r="BY126" s="444"/>
      <c r="BZ126" s="444"/>
      <c r="CA126" s="444"/>
      <c r="CB126" s="444"/>
      <c r="CC126" s="444"/>
      <c r="CD126" s="444"/>
      <c r="CE126" s="444"/>
      <c r="CF126" s="444"/>
      <c r="CG126" s="444"/>
      <c r="CH126" s="444"/>
      <c r="CI126" s="444"/>
      <c r="CJ126" s="444"/>
      <c r="CK126" s="444"/>
      <c r="CL126" s="444"/>
      <c r="CM126" s="444"/>
      <c r="CN126" s="444"/>
      <c r="CO126" s="444"/>
      <c r="CP126" s="444"/>
      <c r="CQ126" s="444"/>
      <c r="CR126" s="444"/>
      <c r="CS126" s="444"/>
      <c r="CT126" s="444"/>
      <c r="CU126" s="444"/>
      <c r="CV126" s="444"/>
      <c r="CW126" s="444"/>
      <c r="CX126" s="444"/>
      <c r="CY126" s="444"/>
      <c r="CZ126" s="444"/>
      <c r="DA126" s="444"/>
      <c r="DB126" s="444"/>
      <c r="DC126" s="444"/>
      <c r="DD126" s="444"/>
      <c r="DE126" s="444"/>
      <c r="DF126" s="444"/>
      <c r="DG126" s="444"/>
      <c r="DH126" s="444"/>
      <c r="DI126" s="444"/>
      <c r="DJ126" s="444"/>
      <c r="DK126" s="444"/>
      <c r="DL126" s="444"/>
      <c r="DM126" s="444"/>
      <c r="DN126" s="444"/>
      <c r="DO126" s="444"/>
      <c r="DP126" s="444"/>
      <c r="DQ126" s="444"/>
      <c r="DR126" s="444"/>
      <c r="DS126" s="444"/>
      <c r="DT126" s="444"/>
      <c r="DU126" s="444"/>
      <c r="DV126" s="444"/>
      <c r="DW126" s="444"/>
      <c r="DX126" s="444"/>
      <c r="DY126" s="444"/>
      <c r="DZ126" s="444"/>
      <c r="EA126" s="444"/>
      <c r="EB126" s="444"/>
      <c r="EC126" s="444"/>
      <c r="ED126" s="444"/>
      <c r="EE126" s="444"/>
      <c r="EF126" s="444"/>
      <c r="EG126" s="444"/>
      <c r="EH126" s="444"/>
      <c r="EI126" s="444"/>
      <c r="EJ126" s="444"/>
      <c r="EK126" s="444"/>
      <c r="EL126" s="444"/>
      <c r="EM126" s="444"/>
      <c r="EN126" s="444"/>
      <c r="EO126" s="444"/>
      <c r="EP126" s="444"/>
      <c r="EQ126" s="444"/>
      <c r="ER126" s="444"/>
      <c r="ES126" s="444"/>
      <c r="ET126" s="444"/>
      <c r="EU126" s="444"/>
      <c r="EV126" s="444"/>
      <c r="EW126" s="444"/>
      <c r="EX126" s="444"/>
      <c r="EY126" s="444"/>
      <c r="EZ126" s="444"/>
      <c r="FA126" s="444"/>
      <c r="FB126" s="444"/>
      <c r="FC126" s="444"/>
      <c r="FD126" s="444"/>
      <c r="FE126" s="444"/>
      <c r="FF126" s="444"/>
      <c r="FG126" s="444"/>
      <c r="FH126" s="444"/>
      <c r="FI126" s="444"/>
      <c r="FJ126" s="444"/>
      <c r="FK126" s="444"/>
      <c r="FL126" s="444"/>
      <c r="FM126" s="444"/>
      <c r="FN126" s="444"/>
      <c r="FO126" s="444"/>
      <c r="FP126" s="444"/>
      <c r="FQ126" s="444"/>
      <c r="FR126" s="444"/>
      <c r="FS126" s="444"/>
      <c r="FT126" s="444"/>
      <c r="FU126" s="444"/>
      <c r="FV126" s="444"/>
      <c r="FW126" s="444"/>
      <c r="FX126" s="444"/>
      <c r="FY126" s="444"/>
      <c r="FZ126" s="444"/>
      <c r="GA126" s="444"/>
      <c r="GB126" s="444"/>
      <c r="GC126" s="444"/>
      <c r="GD126" s="444"/>
      <c r="GE126" s="444"/>
      <c r="GF126" s="444"/>
      <c r="GG126" s="444"/>
      <c r="GH126" s="444"/>
      <c r="GI126" s="444"/>
      <c r="GJ126" s="444"/>
      <c r="GK126" s="444"/>
      <c r="GL126" s="444"/>
      <c r="GM126" s="444"/>
      <c r="GN126" s="444"/>
      <c r="GO126" s="444"/>
      <c r="GP126" s="444"/>
      <c r="GQ126" s="444"/>
      <c r="GR126" s="444"/>
      <c r="GS126" s="444"/>
      <c r="GT126" s="444"/>
      <c r="GU126" s="444"/>
      <c r="GV126" s="444"/>
      <c r="GW126" s="444"/>
      <c r="GX126" s="444"/>
      <c r="GY126" s="444"/>
      <c r="GZ126" s="444"/>
      <c r="HA126" s="444"/>
      <c r="HB126" s="444"/>
      <c r="HC126" s="444"/>
      <c r="HD126" s="444"/>
      <c r="HE126" s="444"/>
      <c r="HF126" s="444"/>
      <c r="HG126" s="444"/>
      <c r="HH126" s="444"/>
      <c r="HI126" s="444"/>
      <c r="HJ126" s="444"/>
      <c r="HK126" s="444"/>
      <c r="HL126" s="444"/>
      <c r="HM126" s="444"/>
      <c r="HN126" s="444"/>
      <c r="HO126" s="444"/>
      <c r="HP126" s="444"/>
      <c r="HQ126" s="444"/>
      <c r="HR126" s="444"/>
      <c r="HS126" s="444"/>
      <c r="HT126" s="444"/>
      <c r="HU126" s="444"/>
      <c r="HV126" s="444"/>
      <c r="HW126" s="444"/>
      <c r="HX126" s="444"/>
      <c r="HY126" s="444"/>
      <c r="HZ126" s="444"/>
      <c r="IA126" s="444"/>
      <c r="IB126" s="444"/>
      <c r="IC126" s="444"/>
      <c r="ID126" s="444"/>
      <c r="IE126" s="444"/>
      <c r="IF126" s="444"/>
    </row>
    <row r="127" spans="1:240">
      <c r="A127" s="712" t="s">
        <v>13</v>
      </c>
      <c r="B127" s="713"/>
      <c r="C127" s="713"/>
      <c r="D127" s="442">
        <v>32.835819999999998</v>
      </c>
      <c r="E127" s="442">
        <v>35.590969000000001</v>
      </c>
      <c r="F127" s="442">
        <v>49.001175000000003</v>
      </c>
      <c r="G127" s="442">
        <v>71.639343999999994</v>
      </c>
      <c r="H127" s="442">
        <v>89.557738999999998</v>
      </c>
      <c r="I127" s="442">
        <v>88.904109000000005</v>
      </c>
      <c r="J127" s="442">
        <v>91.291291000000001</v>
      </c>
      <c r="K127" s="442">
        <v>89.722222000000002</v>
      </c>
      <c r="L127" s="442">
        <v>87.026239000000004</v>
      </c>
      <c r="M127" s="442">
        <v>90.916596999999996</v>
      </c>
      <c r="N127" s="442">
        <v>94.489795000000001</v>
      </c>
      <c r="O127" s="442">
        <v>97.664114999999995</v>
      </c>
      <c r="P127" s="443">
        <v>76.553284583333337</v>
      </c>
      <c r="R127" s="444"/>
      <c r="S127" s="444"/>
      <c r="T127" s="444"/>
      <c r="U127" s="444"/>
      <c r="V127" s="444"/>
      <c r="W127" s="444"/>
      <c r="X127" s="444"/>
      <c r="Y127" s="444"/>
      <c r="Z127" s="444"/>
      <c r="AA127" s="444"/>
      <c r="AB127" s="444"/>
      <c r="AC127" s="444"/>
      <c r="AD127" s="444"/>
      <c r="AE127" s="444"/>
      <c r="AF127" s="444"/>
      <c r="AG127" s="444"/>
      <c r="AH127" s="444"/>
      <c r="AI127" s="444"/>
      <c r="AJ127" s="444"/>
      <c r="AK127" s="444"/>
      <c r="AL127" s="444"/>
      <c r="AM127" s="444"/>
      <c r="AN127" s="444"/>
      <c r="AO127" s="444"/>
      <c r="AP127" s="444"/>
      <c r="AQ127" s="444"/>
      <c r="AR127" s="444"/>
      <c r="AS127" s="444"/>
      <c r="AT127" s="444"/>
      <c r="AU127" s="444"/>
      <c r="AV127" s="444"/>
      <c r="AW127" s="444"/>
      <c r="AX127" s="444"/>
      <c r="AY127" s="444"/>
      <c r="AZ127" s="444"/>
      <c r="BA127" s="444"/>
      <c r="BB127" s="444"/>
      <c r="BC127" s="444"/>
      <c r="BD127" s="444"/>
      <c r="BE127" s="444"/>
      <c r="BF127" s="444"/>
      <c r="BG127" s="444"/>
      <c r="BH127" s="444"/>
      <c r="BI127" s="444"/>
      <c r="BJ127" s="444"/>
      <c r="BK127" s="444"/>
      <c r="BL127" s="444"/>
      <c r="BM127" s="444"/>
      <c r="BN127" s="444"/>
      <c r="BO127" s="444"/>
      <c r="BP127" s="444"/>
      <c r="BQ127" s="444"/>
      <c r="BR127" s="444"/>
      <c r="BS127" s="444"/>
      <c r="BT127" s="444"/>
      <c r="BU127" s="444"/>
      <c r="BV127" s="444"/>
      <c r="BW127" s="444"/>
      <c r="BX127" s="444"/>
      <c r="BY127" s="444"/>
      <c r="BZ127" s="444"/>
      <c r="CA127" s="444"/>
      <c r="CB127" s="444"/>
      <c r="CC127" s="444"/>
      <c r="CD127" s="444"/>
      <c r="CE127" s="444"/>
      <c r="CF127" s="444"/>
      <c r="CG127" s="444"/>
      <c r="CH127" s="444"/>
      <c r="CI127" s="444"/>
      <c r="CJ127" s="444"/>
      <c r="CK127" s="444"/>
      <c r="CL127" s="444"/>
      <c r="CM127" s="444"/>
      <c r="CN127" s="444"/>
      <c r="CO127" s="444"/>
      <c r="CP127" s="444"/>
      <c r="CQ127" s="444"/>
      <c r="CR127" s="444"/>
      <c r="CS127" s="444"/>
      <c r="CT127" s="444"/>
      <c r="CU127" s="444"/>
      <c r="CV127" s="444"/>
      <c r="CW127" s="444"/>
      <c r="CX127" s="444"/>
      <c r="CY127" s="444"/>
      <c r="CZ127" s="444"/>
      <c r="DA127" s="444"/>
      <c r="DB127" s="444"/>
      <c r="DC127" s="444"/>
      <c r="DD127" s="444"/>
      <c r="DE127" s="444"/>
      <c r="DF127" s="444"/>
      <c r="DG127" s="444"/>
      <c r="DH127" s="444"/>
      <c r="DI127" s="444"/>
      <c r="DJ127" s="444"/>
      <c r="DK127" s="444"/>
      <c r="DL127" s="444"/>
      <c r="DM127" s="444"/>
      <c r="DN127" s="444"/>
      <c r="DO127" s="444"/>
      <c r="DP127" s="444"/>
      <c r="DQ127" s="444"/>
      <c r="DR127" s="444"/>
      <c r="DS127" s="444"/>
      <c r="DT127" s="444"/>
      <c r="DU127" s="444"/>
      <c r="DV127" s="444"/>
      <c r="DW127" s="444"/>
      <c r="DX127" s="444"/>
      <c r="DY127" s="444"/>
      <c r="DZ127" s="444"/>
      <c r="EA127" s="444"/>
      <c r="EB127" s="444"/>
      <c r="EC127" s="444"/>
      <c r="ED127" s="444"/>
      <c r="EE127" s="444"/>
      <c r="EF127" s="444"/>
      <c r="EG127" s="444"/>
      <c r="EH127" s="444"/>
      <c r="EI127" s="444"/>
      <c r="EJ127" s="444"/>
      <c r="EK127" s="444"/>
      <c r="EL127" s="444"/>
      <c r="EM127" s="444"/>
      <c r="EN127" s="444"/>
      <c r="EO127" s="444"/>
      <c r="EP127" s="444"/>
      <c r="EQ127" s="444"/>
      <c r="ER127" s="444"/>
      <c r="ES127" s="444"/>
      <c r="ET127" s="444"/>
      <c r="EU127" s="444"/>
      <c r="EV127" s="444"/>
      <c r="EW127" s="444"/>
      <c r="EX127" s="444"/>
      <c r="EY127" s="444"/>
      <c r="EZ127" s="444"/>
      <c r="FA127" s="444"/>
      <c r="FB127" s="444"/>
      <c r="FC127" s="444"/>
      <c r="FD127" s="444"/>
      <c r="FE127" s="444"/>
      <c r="FF127" s="444"/>
      <c r="FG127" s="444"/>
      <c r="FH127" s="444"/>
      <c r="FI127" s="444"/>
      <c r="FJ127" s="444"/>
      <c r="FK127" s="444"/>
      <c r="FL127" s="444"/>
      <c r="FM127" s="444"/>
      <c r="FN127" s="444"/>
      <c r="FO127" s="444"/>
      <c r="FP127" s="444"/>
      <c r="FQ127" s="444"/>
      <c r="FR127" s="444"/>
      <c r="FS127" s="444"/>
      <c r="FT127" s="444"/>
      <c r="FU127" s="444"/>
      <c r="FV127" s="444"/>
      <c r="FW127" s="444"/>
      <c r="FX127" s="444"/>
      <c r="FY127" s="444"/>
      <c r="FZ127" s="444"/>
      <c r="GA127" s="444"/>
      <c r="GB127" s="444"/>
      <c r="GC127" s="444"/>
      <c r="GD127" s="444"/>
      <c r="GE127" s="444"/>
      <c r="GF127" s="444"/>
      <c r="GG127" s="444"/>
      <c r="GH127" s="444"/>
      <c r="GI127" s="444"/>
      <c r="GJ127" s="444"/>
      <c r="GK127" s="444"/>
      <c r="GL127" s="444"/>
      <c r="GM127" s="444"/>
      <c r="GN127" s="444"/>
      <c r="GO127" s="444"/>
      <c r="GP127" s="444"/>
      <c r="GQ127" s="444"/>
      <c r="GR127" s="444"/>
      <c r="GS127" s="444"/>
      <c r="GT127" s="444"/>
      <c r="GU127" s="444"/>
      <c r="GV127" s="444"/>
      <c r="GW127" s="444"/>
      <c r="GX127" s="444"/>
      <c r="GY127" s="444"/>
      <c r="GZ127" s="444"/>
      <c r="HA127" s="444"/>
      <c r="HB127" s="444"/>
      <c r="HC127" s="444"/>
      <c r="HD127" s="444"/>
      <c r="HE127" s="444"/>
      <c r="HF127" s="444"/>
      <c r="HG127" s="444"/>
      <c r="HH127" s="444"/>
      <c r="HI127" s="444"/>
      <c r="HJ127" s="444"/>
      <c r="HK127" s="444"/>
      <c r="HL127" s="444"/>
      <c r="HM127" s="444"/>
      <c r="HN127" s="444"/>
      <c r="HO127" s="444"/>
      <c r="HP127" s="444"/>
      <c r="HQ127" s="444"/>
      <c r="HR127" s="444"/>
      <c r="HS127" s="444"/>
      <c r="HT127" s="444"/>
      <c r="HU127" s="444"/>
      <c r="HV127" s="444"/>
      <c r="HW127" s="444"/>
      <c r="HX127" s="444"/>
      <c r="HY127" s="444"/>
      <c r="HZ127" s="444"/>
      <c r="IA127" s="444"/>
      <c r="IB127" s="444"/>
      <c r="IC127" s="444"/>
      <c r="ID127" s="444"/>
      <c r="IE127" s="444"/>
      <c r="IF127" s="444"/>
    </row>
    <row r="128" spans="1:240">
      <c r="A128" s="712" t="s">
        <v>14</v>
      </c>
      <c r="B128" s="713"/>
      <c r="C128" s="713"/>
      <c r="D128" s="442">
        <v>99.329813999999999</v>
      </c>
      <c r="E128" s="442">
        <v>98.953048999999993</v>
      </c>
      <c r="F128" s="442">
        <v>99.502840000000006</v>
      </c>
      <c r="G128" s="442">
        <v>99.641448999999994</v>
      </c>
      <c r="H128" s="442">
        <v>99.512129000000002</v>
      </c>
      <c r="I128" s="442">
        <v>99.563806999999997</v>
      </c>
      <c r="J128" s="442">
        <v>99.409592000000004</v>
      </c>
      <c r="K128" s="442">
        <v>99.534937999999997</v>
      </c>
      <c r="L128" s="442">
        <v>99.438599999999994</v>
      </c>
      <c r="M128" s="442">
        <v>99.054846999999995</v>
      </c>
      <c r="N128" s="442">
        <v>99.568275</v>
      </c>
      <c r="O128" s="442">
        <v>99.578112000000004</v>
      </c>
      <c r="P128" s="443">
        <v>99.423954333333313</v>
      </c>
      <c r="R128" s="444"/>
      <c r="S128" s="444"/>
      <c r="T128" s="444"/>
      <c r="U128" s="444"/>
      <c r="V128" s="444"/>
      <c r="W128" s="444"/>
      <c r="X128" s="444"/>
      <c r="Y128" s="444"/>
      <c r="Z128" s="444"/>
      <c r="AA128" s="444"/>
      <c r="AB128" s="444"/>
      <c r="AC128" s="444"/>
      <c r="AD128" s="444"/>
      <c r="AE128" s="444"/>
      <c r="AF128" s="444"/>
      <c r="AG128" s="444"/>
      <c r="AH128" s="444"/>
      <c r="AI128" s="444"/>
      <c r="AJ128" s="444"/>
      <c r="AK128" s="444"/>
      <c r="AL128" s="444"/>
      <c r="AM128" s="444"/>
      <c r="AN128" s="444"/>
      <c r="AO128" s="444"/>
      <c r="AP128" s="444"/>
      <c r="AQ128" s="444"/>
      <c r="AR128" s="444"/>
      <c r="AS128" s="444"/>
      <c r="AT128" s="444"/>
      <c r="AU128" s="444"/>
      <c r="AV128" s="444"/>
      <c r="AW128" s="444"/>
      <c r="AX128" s="444"/>
      <c r="AY128" s="444"/>
      <c r="AZ128" s="444"/>
      <c r="BA128" s="444"/>
      <c r="BB128" s="444"/>
      <c r="BC128" s="444"/>
      <c r="BD128" s="444"/>
      <c r="BE128" s="444"/>
      <c r="BF128" s="444"/>
      <c r="BG128" s="444"/>
      <c r="BH128" s="444"/>
      <c r="BI128" s="444"/>
      <c r="BJ128" s="444"/>
      <c r="BK128" s="444"/>
      <c r="BL128" s="444"/>
      <c r="BM128" s="444"/>
      <c r="BN128" s="444"/>
      <c r="BO128" s="444"/>
      <c r="BP128" s="444"/>
      <c r="BQ128" s="444"/>
      <c r="BR128" s="444"/>
      <c r="BS128" s="444"/>
      <c r="BT128" s="444"/>
      <c r="BU128" s="444"/>
      <c r="BV128" s="444"/>
      <c r="BW128" s="444"/>
      <c r="BX128" s="444"/>
      <c r="BY128" s="444"/>
      <c r="BZ128" s="444"/>
      <c r="CA128" s="444"/>
      <c r="CB128" s="444"/>
      <c r="CC128" s="444"/>
      <c r="CD128" s="444"/>
      <c r="CE128" s="444"/>
      <c r="CF128" s="444"/>
      <c r="CG128" s="444"/>
      <c r="CH128" s="444"/>
      <c r="CI128" s="444"/>
      <c r="CJ128" s="444"/>
      <c r="CK128" s="444"/>
      <c r="CL128" s="444"/>
      <c r="CM128" s="444"/>
      <c r="CN128" s="444"/>
      <c r="CO128" s="444"/>
      <c r="CP128" s="444"/>
      <c r="CQ128" s="444"/>
      <c r="CR128" s="444"/>
      <c r="CS128" s="444"/>
      <c r="CT128" s="444"/>
      <c r="CU128" s="444"/>
      <c r="CV128" s="444"/>
      <c r="CW128" s="444"/>
      <c r="CX128" s="444"/>
      <c r="CY128" s="444"/>
      <c r="CZ128" s="444"/>
      <c r="DA128" s="444"/>
      <c r="DB128" s="444"/>
      <c r="DC128" s="444"/>
      <c r="DD128" s="444"/>
      <c r="DE128" s="444"/>
      <c r="DF128" s="444"/>
      <c r="DG128" s="444"/>
      <c r="DH128" s="444"/>
      <c r="DI128" s="444"/>
      <c r="DJ128" s="444"/>
      <c r="DK128" s="444"/>
      <c r="DL128" s="444"/>
      <c r="DM128" s="444"/>
      <c r="DN128" s="444"/>
      <c r="DO128" s="444"/>
      <c r="DP128" s="444"/>
      <c r="DQ128" s="444"/>
      <c r="DR128" s="444"/>
      <c r="DS128" s="444"/>
      <c r="DT128" s="444"/>
      <c r="DU128" s="444"/>
      <c r="DV128" s="444"/>
      <c r="DW128" s="444"/>
      <c r="DX128" s="444"/>
      <c r="DY128" s="444"/>
      <c r="DZ128" s="444"/>
      <c r="EA128" s="444"/>
      <c r="EB128" s="444"/>
      <c r="EC128" s="444"/>
      <c r="ED128" s="444"/>
      <c r="EE128" s="444"/>
      <c r="EF128" s="444"/>
      <c r="EG128" s="444"/>
      <c r="EH128" s="444"/>
      <c r="EI128" s="444"/>
      <c r="EJ128" s="444"/>
      <c r="EK128" s="444"/>
      <c r="EL128" s="444"/>
      <c r="EM128" s="444"/>
      <c r="EN128" s="444"/>
      <c r="EO128" s="444"/>
      <c r="EP128" s="444"/>
      <c r="EQ128" s="444"/>
      <c r="ER128" s="444"/>
      <c r="ES128" s="444"/>
      <c r="ET128" s="444"/>
      <c r="EU128" s="444"/>
      <c r="EV128" s="444"/>
      <c r="EW128" s="444"/>
      <c r="EX128" s="444"/>
      <c r="EY128" s="444"/>
      <c r="EZ128" s="444"/>
      <c r="FA128" s="444"/>
      <c r="FB128" s="444"/>
      <c r="FC128" s="444"/>
      <c r="FD128" s="444"/>
      <c r="FE128" s="444"/>
      <c r="FF128" s="444"/>
      <c r="FG128" s="444"/>
      <c r="FH128" s="444"/>
      <c r="FI128" s="444"/>
      <c r="FJ128" s="444"/>
      <c r="FK128" s="444"/>
      <c r="FL128" s="444"/>
      <c r="FM128" s="444"/>
      <c r="FN128" s="444"/>
      <c r="FO128" s="444"/>
      <c r="FP128" s="444"/>
      <c r="FQ128" s="444"/>
      <c r="FR128" s="444"/>
      <c r="FS128" s="444"/>
      <c r="FT128" s="444"/>
      <c r="FU128" s="444"/>
      <c r="FV128" s="444"/>
      <c r="FW128" s="444"/>
      <c r="FX128" s="444"/>
      <c r="FY128" s="444"/>
      <c r="FZ128" s="444"/>
      <c r="GA128" s="444"/>
      <c r="GB128" s="444"/>
      <c r="GC128" s="444"/>
      <c r="GD128" s="444"/>
      <c r="GE128" s="444"/>
      <c r="GF128" s="444"/>
      <c r="GG128" s="444"/>
      <c r="GH128" s="444"/>
      <c r="GI128" s="444"/>
      <c r="GJ128" s="444"/>
      <c r="GK128" s="444"/>
      <c r="GL128" s="444"/>
      <c r="GM128" s="444"/>
      <c r="GN128" s="444"/>
      <c r="GO128" s="444"/>
      <c r="GP128" s="444"/>
      <c r="GQ128" s="444"/>
      <c r="GR128" s="444"/>
      <c r="GS128" s="444"/>
      <c r="GT128" s="444"/>
      <c r="GU128" s="444"/>
      <c r="GV128" s="444"/>
      <c r="GW128" s="444"/>
      <c r="GX128" s="444"/>
      <c r="GY128" s="444"/>
      <c r="GZ128" s="444"/>
      <c r="HA128" s="444"/>
      <c r="HB128" s="444"/>
      <c r="HC128" s="444"/>
      <c r="HD128" s="444"/>
      <c r="HE128" s="444"/>
      <c r="HF128" s="444"/>
      <c r="HG128" s="444"/>
      <c r="HH128" s="444"/>
      <c r="HI128" s="444"/>
      <c r="HJ128" s="444"/>
      <c r="HK128" s="444"/>
      <c r="HL128" s="444"/>
      <c r="HM128" s="444"/>
      <c r="HN128" s="444"/>
      <c r="HO128" s="444"/>
      <c r="HP128" s="444"/>
      <c r="HQ128" s="444"/>
      <c r="HR128" s="444"/>
      <c r="HS128" s="444"/>
      <c r="HT128" s="444"/>
      <c r="HU128" s="444"/>
      <c r="HV128" s="444"/>
      <c r="HW128" s="444"/>
      <c r="HX128" s="444"/>
      <c r="HY128" s="444"/>
      <c r="HZ128" s="444"/>
      <c r="IA128" s="444"/>
      <c r="IB128" s="444"/>
      <c r="IC128" s="444"/>
      <c r="ID128" s="444"/>
      <c r="IE128" s="444"/>
      <c r="IF128" s="444"/>
    </row>
    <row r="129" spans="1:240">
      <c r="A129" s="712" t="s">
        <v>21</v>
      </c>
      <c r="B129" s="713"/>
      <c r="C129" s="713"/>
      <c r="D129" s="442">
        <v>96.268052999999995</v>
      </c>
      <c r="E129" s="442">
        <v>95.442521999999997</v>
      </c>
      <c r="F129" s="442">
        <v>93.307760999999999</v>
      </c>
      <c r="G129" s="442">
        <v>94.247614999999996</v>
      </c>
      <c r="H129" s="442">
        <v>94.840746999999993</v>
      </c>
      <c r="I129" s="442">
        <v>95.414766999999998</v>
      </c>
      <c r="J129" s="442">
        <v>95.316242000000003</v>
      </c>
      <c r="K129" s="442">
        <v>93.916477</v>
      </c>
      <c r="L129" s="442">
        <v>96.327366999999995</v>
      </c>
      <c r="M129" s="442">
        <v>94.846975999999998</v>
      </c>
      <c r="N129" s="442">
        <v>93.226027999999999</v>
      </c>
      <c r="O129" s="442">
        <v>94.975423000000006</v>
      </c>
      <c r="P129" s="443">
        <v>94.844164833333323</v>
      </c>
      <c r="R129" s="444"/>
      <c r="S129" s="444"/>
      <c r="T129" s="444"/>
      <c r="U129" s="444"/>
      <c r="V129" s="444"/>
      <c r="W129" s="444"/>
      <c r="X129" s="444"/>
      <c r="Y129" s="444"/>
      <c r="Z129" s="444"/>
      <c r="AA129" s="444"/>
      <c r="AB129" s="444"/>
      <c r="AC129" s="444"/>
      <c r="AD129" s="444"/>
      <c r="AE129" s="444"/>
      <c r="AF129" s="444"/>
      <c r="AG129" s="444"/>
      <c r="AH129" s="444"/>
      <c r="AI129" s="444"/>
      <c r="AJ129" s="444"/>
      <c r="AK129" s="444"/>
      <c r="AL129" s="444"/>
      <c r="AM129" s="444"/>
      <c r="AN129" s="444"/>
      <c r="AO129" s="444"/>
      <c r="AP129" s="444"/>
      <c r="AQ129" s="444"/>
      <c r="AR129" s="444"/>
      <c r="AS129" s="444"/>
      <c r="AT129" s="444"/>
      <c r="AU129" s="444"/>
      <c r="AV129" s="444"/>
      <c r="AW129" s="444"/>
      <c r="AX129" s="444"/>
      <c r="AY129" s="444"/>
      <c r="AZ129" s="444"/>
      <c r="BA129" s="444"/>
      <c r="BB129" s="444"/>
      <c r="BC129" s="444"/>
      <c r="BD129" s="444"/>
      <c r="BE129" s="444"/>
      <c r="BF129" s="444"/>
      <c r="BG129" s="444"/>
      <c r="BH129" s="444"/>
      <c r="BI129" s="444"/>
      <c r="BJ129" s="444"/>
      <c r="BK129" s="444"/>
      <c r="BL129" s="444"/>
      <c r="BM129" s="444"/>
      <c r="BN129" s="444"/>
      <c r="BO129" s="444"/>
      <c r="BP129" s="444"/>
      <c r="BQ129" s="444"/>
      <c r="BR129" s="444"/>
      <c r="BS129" s="444"/>
      <c r="BT129" s="444"/>
      <c r="BU129" s="444"/>
      <c r="BV129" s="444"/>
      <c r="BW129" s="444"/>
      <c r="BX129" s="444"/>
      <c r="BY129" s="444"/>
      <c r="BZ129" s="444"/>
      <c r="CA129" s="444"/>
      <c r="CB129" s="444"/>
      <c r="CC129" s="444"/>
      <c r="CD129" s="444"/>
      <c r="CE129" s="444"/>
      <c r="CF129" s="444"/>
      <c r="CG129" s="444"/>
      <c r="CH129" s="444"/>
      <c r="CI129" s="444"/>
      <c r="CJ129" s="444"/>
      <c r="CK129" s="444"/>
      <c r="CL129" s="444"/>
      <c r="CM129" s="444"/>
      <c r="CN129" s="444"/>
      <c r="CO129" s="444"/>
      <c r="CP129" s="444"/>
      <c r="CQ129" s="444"/>
      <c r="CR129" s="444"/>
      <c r="CS129" s="444"/>
      <c r="CT129" s="444"/>
      <c r="CU129" s="444"/>
      <c r="CV129" s="444"/>
      <c r="CW129" s="444"/>
      <c r="CX129" s="444"/>
      <c r="CY129" s="444"/>
      <c r="CZ129" s="444"/>
      <c r="DA129" s="444"/>
      <c r="DB129" s="444"/>
      <c r="DC129" s="444"/>
      <c r="DD129" s="444"/>
      <c r="DE129" s="444"/>
      <c r="DF129" s="444"/>
      <c r="DG129" s="444"/>
      <c r="DH129" s="444"/>
      <c r="DI129" s="444"/>
      <c r="DJ129" s="444"/>
      <c r="DK129" s="444"/>
      <c r="DL129" s="444"/>
      <c r="DM129" s="444"/>
      <c r="DN129" s="444"/>
      <c r="DO129" s="444"/>
      <c r="DP129" s="444"/>
      <c r="DQ129" s="444"/>
      <c r="DR129" s="444"/>
      <c r="DS129" s="444"/>
      <c r="DT129" s="444"/>
      <c r="DU129" s="444"/>
      <c r="DV129" s="444"/>
      <c r="DW129" s="444"/>
      <c r="DX129" s="444"/>
      <c r="DY129" s="444"/>
      <c r="DZ129" s="444"/>
      <c r="EA129" s="444"/>
      <c r="EB129" s="444"/>
      <c r="EC129" s="444"/>
      <c r="ED129" s="444"/>
      <c r="EE129" s="444"/>
      <c r="EF129" s="444"/>
      <c r="EG129" s="444"/>
      <c r="EH129" s="444"/>
      <c r="EI129" s="444"/>
      <c r="EJ129" s="444"/>
      <c r="EK129" s="444"/>
      <c r="EL129" s="444"/>
      <c r="EM129" s="444"/>
      <c r="EN129" s="444"/>
      <c r="EO129" s="444"/>
      <c r="EP129" s="444"/>
      <c r="EQ129" s="444"/>
      <c r="ER129" s="444"/>
      <c r="ES129" s="444"/>
      <c r="ET129" s="444"/>
      <c r="EU129" s="444"/>
      <c r="EV129" s="444"/>
      <c r="EW129" s="444"/>
      <c r="EX129" s="444"/>
      <c r="EY129" s="444"/>
      <c r="EZ129" s="444"/>
      <c r="FA129" s="444"/>
      <c r="FB129" s="444"/>
      <c r="FC129" s="444"/>
      <c r="FD129" s="444"/>
      <c r="FE129" s="444"/>
      <c r="FF129" s="444"/>
      <c r="FG129" s="444"/>
      <c r="FH129" s="444"/>
      <c r="FI129" s="444"/>
      <c r="FJ129" s="444"/>
      <c r="FK129" s="444"/>
      <c r="FL129" s="444"/>
      <c r="FM129" s="444"/>
      <c r="FN129" s="444"/>
      <c r="FO129" s="444"/>
      <c r="FP129" s="444"/>
      <c r="FQ129" s="444"/>
      <c r="FR129" s="444"/>
      <c r="FS129" s="444"/>
      <c r="FT129" s="444"/>
      <c r="FU129" s="444"/>
      <c r="FV129" s="444"/>
      <c r="FW129" s="444"/>
      <c r="FX129" s="444"/>
      <c r="FY129" s="444"/>
      <c r="FZ129" s="444"/>
      <c r="GA129" s="444"/>
      <c r="GB129" s="444"/>
      <c r="GC129" s="444"/>
      <c r="GD129" s="444"/>
      <c r="GE129" s="444"/>
      <c r="GF129" s="444"/>
      <c r="GG129" s="444"/>
      <c r="GH129" s="444"/>
      <c r="GI129" s="444"/>
      <c r="GJ129" s="444"/>
      <c r="GK129" s="444"/>
      <c r="GL129" s="444"/>
      <c r="GM129" s="444"/>
      <c r="GN129" s="444"/>
      <c r="GO129" s="444"/>
      <c r="GP129" s="444"/>
      <c r="GQ129" s="444"/>
      <c r="GR129" s="444"/>
      <c r="GS129" s="444"/>
      <c r="GT129" s="444"/>
      <c r="GU129" s="444"/>
      <c r="GV129" s="444"/>
      <c r="GW129" s="444"/>
      <c r="GX129" s="444"/>
      <c r="GY129" s="444"/>
      <c r="GZ129" s="444"/>
      <c r="HA129" s="444"/>
      <c r="HB129" s="444"/>
      <c r="HC129" s="444"/>
      <c r="HD129" s="444"/>
      <c r="HE129" s="444"/>
      <c r="HF129" s="444"/>
      <c r="HG129" s="444"/>
      <c r="HH129" s="444"/>
      <c r="HI129" s="444"/>
      <c r="HJ129" s="444"/>
      <c r="HK129" s="444"/>
      <c r="HL129" s="444"/>
      <c r="HM129" s="444"/>
      <c r="HN129" s="444"/>
      <c r="HO129" s="444"/>
      <c r="HP129" s="444"/>
      <c r="HQ129" s="444"/>
      <c r="HR129" s="444"/>
      <c r="HS129" s="444"/>
      <c r="HT129" s="444"/>
      <c r="HU129" s="444"/>
      <c r="HV129" s="444"/>
      <c r="HW129" s="444"/>
      <c r="HX129" s="444"/>
      <c r="HY129" s="444"/>
      <c r="HZ129" s="444"/>
      <c r="IA129" s="444"/>
      <c r="IB129" s="444"/>
      <c r="IC129" s="444"/>
      <c r="ID129" s="444"/>
      <c r="IE129" s="444"/>
      <c r="IF129" s="444"/>
    </row>
    <row r="130" spans="1:240" ht="12.95" thickBot="1">
      <c r="A130" s="735" t="s">
        <v>16</v>
      </c>
      <c r="B130" s="736"/>
      <c r="C130" s="736"/>
      <c r="D130" s="447">
        <v>97.638102000000003</v>
      </c>
      <c r="E130" s="447">
        <v>99.053730000000002</v>
      </c>
      <c r="F130" s="447">
        <v>99.409887999999995</v>
      </c>
      <c r="G130" s="447">
        <v>99.027158</v>
      </c>
      <c r="H130" s="447">
        <v>98.751807999999997</v>
      </c>
      <c r="I130" s="447">
        <v>98.502577000000002</v>
      </c>
      <c r="J130" s="447">
        <v>99.259694999999994</v>
      </c>
      <c r="K130" s="447">
        <v>99.105485000000002</v>
      </c>
      <c r="L130" s="447">
        <v>98.472604000000004</v>
      </c>
      <c r="M130" s="447">
        <v>99.068010000000001</v>
      </c>
      <c r="N130" s="447">
        <v>98.805147000000005</v>
      </c>
      <c r="O130" s="447">
        <v>99.174792999999994</v>
      </c>
      <c r="P130" s="448">
        <v>98.855749749999987</v>
      </c>
      <c r="R130" s="444"/>
      <c r="S130" s="444"/>
      <c r="T130" s="444"/>
      <c r="U130" s="444"/>
      <c r="V130" s="444"/>
      <c r="W130" s="444"/>
      <c r="X130" s="444"/>
      <c r="Y130" s="444"/>
      <c r="Z130" s="444"/>
      <c r="AA130" s="444"/>
      <c r="AB130" s="444"/>
      <c r="AC130" s="444"/>
      <c r="AD130" s="444"/>
      <c r="AE130" s="444"/>
      <c r="AF130" s="444"/>
      <c r="AG130" s="444"/>
      <c r="AH130" s="444"/>
      <c r="AI130" s="444"/>
      <c r="AJ130" s="444"/>
      <c r="AK130" s="444"/>
      <c r="AL130" s="444"/>
      <c r="AM130" s="444"/>
      <c r="AN130" s="444"/>
      <c r="AO130" s="444"/>
      <c r="AP130" s="444"/>
      <c r="AQ130" s="444"/>
      <c r="AR130" s="444"/>
      <c r="AS130" s="444"/>
      <c r="AT130" s="444"/>
      <c r="AU130" s="444"/>
      <c r="AV130" s="444"/>
      <c r="AW130" s="444"/>
      <c r="AX130" s="444"/>
      <c r="AY130" s="444"/>
      <c r="AZ130" s="444"/>
      <c r="BA130" s="444"/>
      <c r="BB130" s="444"/>
      <c r="BC130" s="444"/>
      <c r="BD130" s="444"/>
      <c r="BE130" s="444"/>
      <c r="BF130" s="444"/>
      <c r="BG130" s="444"/>
      <c r="BH130" s="444"/>
      <c r="BI130" s="444"/>
      <c r="BJ130" s="444"/>
      <c r="BK130" s="444"/>
      <c r="BL130" s="444"/>
      <c r="BM130" s="444"/>
      <c r="BN130" s="444"/>
      <c r="BO130" s="444"/>
      <c r="BP130" s="444"/>
      <c r="BQ130" s="444"/>
      <c r="BR130" s="444"/>
      <c r="BS130" s="444"/>
      <c r="BT130" s="444"/>
      <c r="BU130" s="444"/>
      <c r="BV130" s="444"/>
      <c r="BW130" s="444"/>
      <c r="BX130" s="444"/>
      <c r="BY130" s="444"/>
      <c r="BZ130" s="444"/>
      <c r="CA130" s="444"/>
      <c r="CB130" s="444"/>
      <c r="CC130" s="444"/>
      <c r="CD130" s="444"/>
      <c r="CE130" s="444"/>
      <c r="CF130" s="444"/>
      <c r="CG130" s="444"/>
      <c r="CH130" s="444"/>
      <c r="CI130" s="444"/>
      <c r="CJ130" s="444"/>
      <c r="CK130" s="444"/>
      <c r="CL130" s="444"/>
      <c r="CM130" s="444"/>
      <c r="CN130" s="444"/>
      <c r="CO130" s="444"/>
      <c r="CP130" s="444"/>
      <c r="CQ130" s="444"/>
      <c r="CR130" s="444"/>
      <c r="CS130" s="444"/>
      <c r="CT130" s="444"/>
      <c r="CU130" s="444"/>
      <c r="CV130" s="444"/>
      <c r="CW130" s="444"/>
      <c r="CX130" s="444"/>
      <c r="CY130" s="444"/>
      <c r="CZ130" s="444"/>
      <c r="DA130" s="444"/>
      <c r="DB130" s="444"/>
      <c r="DC130" s="444"/>
      <c r="DD130" s="444"/>
      <c r="DE130" s="444"/>
      <c r="DF130" s="444"/>
      <c r="DG130" s="444"/>
      <c r="DH130" s="444"/>
      <c r="DI130" s="444"/>
      <c r="DJ130" s="444"/>
      <c r="DK130" s="444"/>
      <c r="DL130" s="444"/>
      <c r="DM130" s="444"/>
      <c r="DN130" s="444"/>
      <c r="DO130" s="444"/>
      <c r="DP130" s="444"/>
      <c r="DQ130" s="444"/>
      <c r="DR130" s="444"/>
      <c r="DS130" s="444"/>
      <c r="DT130" s="444"/>
      <c r="DU130" s="444"/>
      <c r="DV130" s="444"/>
      <c r="DW130" s="444"/>
      <c r="DX130" s="444"/>
      <c r="DY130" s="444"/>
      <c r="DZ130" s="444"/>
      <c r="EA130" s="444"/>
      <c r="EB130" s="444"/>
      <c r="EC130" s="444"/>
      <c r="ED130" s="444"/>
      <c r="EE130" s="444"/>
      <c r="EF130" s="444"/>
      <c r="EG130" s="444"/>
      <c r="EH130" s="444"/>
      <c r="EI130" s="444"/>
      <c r="EJ130" s="444"/>
      <c r="EK130" s="444"/>
      <c r="EL130" s="444"/>
      <c r="EM130" s="444"/>
      <c r="EN130" s="444"/>
      <c r="EO130" s="444"/>
      <c r="EP130" s="444"/>
      <c r="EQ130" s="444"/>
      <c r="ER130" s="444"/>
      <c r="ES130" s="444"/>
      <c r="ET130" s="444"/>
      <c r="EU130" s="444"/>
      <c r="EV130" s="444"/>
      <c r="EW130" s="444"/>
      <c r="EX130" s="444"/>
      <c r="EY130" s="444"/>
      <c r="EZ130" s="444"/>
      <c r="FA130" s="444"/>
      <c r="FB130" s="444"/>
      <c r="FC130" s="444"/>
      <c r="FD130" s="444"/>
      <c r="FE130" s="444"/>
      <c r="FF130" s="444"/>
      <c r="FG130" s="444"/>
      <c r="FH130" s="444"/>
      <c r="FI130" s="444"/>
      <c r="FJ130" s="444"/>
      <c r="FK130" s="444"/>
      <c r="FL130" s="444"/>
      <c r="FM130" s="444"/>
      <c r="FN130" s="444"/>
      <c r="FO130" s="444"/>
      <c r="FP130" s="444"/>
      <c r="FQ130" s="444"/>
      <c r="FR130" s="444"/>
      <c r="FS130" s="444"/>
      <c r="FT130" s="444"/>
      <c r="FU130" s="444"/>
      <c r="FV130" s="444"/>
      <c r="FW130" s="444"/>
      <c r="FX130" s="444"/>
      <c r="FY130" s="444"/>
      <c r="FZ130" s="444"/>
      <c r="GA130" s="444"/>
      <c r="GB130" s="444"/>
      <c r="GC130" s="444"/>
      <c r="GD130" s="444"/>
      <c r="GE130" s="444"/>
      <c r="GF130" s="444"/>
      <c r="GG130" s="444"/>
      <c r="GH130" s="444"/>
      <c r="GI130" s="444"/>
      <c r="GJ130" s="444"/>
      <c r="GK130" s="444"/>
      <c r="GL130" s="444"/>
      <c r="GM130" s="444"/>
      <c r="GN130" s="444"/>
      <c r="GO130" s="444"/>
      <c r="GP130" s="444"/>
      <c r="GQ130" s="444"/>
      <c r="GR130" s="444"/>
      <c r="GS130" s="444"/>
      <c r="GT130" s="444"/>
      <c r="GU130" s="444"/>
      <c r="GV130" s="444"/>
      <c r="GW130" s="444"/>
      <c r="GX130" s="444"/>
      <c r="GY130" s="444"/>
      <c r="GZ130" s="444"/>
      <c r="HA130" s="444"/>
      <c r="HB130" s="444"/>
      <c r="HC130" s="444"/>
      <c r="HD130" s="444"/>
      <c r="HE130" s="444"/>
      <c r="HF130" s="444"/>
      <c r="HG130" s="444"/>
      <c r="HH130" s="444"/>
      <c r="HI130" s="444"/>
      <c r="HJ130" s="444"/>
      <c r="HK130" s="444"/>
      <c r="HL130" s="444"/>
      <c r="HM130" s="444"/>
      <c r="HN130" s="444"/>
      <c r="HO130" s="444"/>
      <c r="HP130" s="444"/>
      <c r="HQ130" s="444"/>
      <c r="HR130" s="444"/>
      <c r="HS130" s="444"/>
      <c r="HT130" s="444"/>
      <c r="HU130" s="444"/>
      <c r="HV130" s="444"/>
      <c r="HW130" s="444"/>
      <c r="HX130" s="444"/>
      <c r="HY130" s="444"/>
      <c r="HZ130" s="444"/>
      <c r="IA130" s="444"/>
      <c r="IB130" s="444"/>
      <c r="IC130" s="444"/>
      <c r="ID130" s="444"/>
      <c r="IE130" s="444"/>
      <c r="IF130" s="444"/>
    </row>
    <row r="131" spans="1:240">
      <c r="A131" s="712" t="s">
        <v>23</v>
      </c>
      <c r="B131" s="713"/>
      <c r="C131" s="713"/>
      <c r="D131" s="442">
        <v>97.234808999999998</v>
      </c>
      <c r="E131" s="442">
        <v>98.529492000000005</v>
      </c>
      <c r="F131" s="442">
        <v>98.458228000000005</v>
      </c>
      <c r="G131" s="442">
        <v>98.751312999999996</v>
      </c>
      <c r="H131" s="442">
        <v>98.322626</v>
      </c>
      <c r="I131" s="442">
        <v>98.331495000000004</v>
      </c>
      <c r="J131" s="442">
        <v>97.809364000000002</v>
      </c>
      <c r="K131" s="442">
        <v>97.258475000000004</v>
      </c>
      <c r="L131" s="442">
        <v>97.281278999999998</v>
      </c>
      <c r="M131" s="442">
        <v>96.966012000000006</v>
      </c>
      <c r="N131" s="442">
        <v>98.162769999999995</v>
      </c>
      <c r="O131" s="442">
        <v>98.338712999999998</v>
      </c>
      <c r="P131" s="449">
        <v>97.95371466666667</v>
      </c>
      <c r="R131" s="444"/>
      <c r="S131" s="444"/>
      <c r="T131" s="444"/>
      <c r="U131" s="444"/>
      <c r="V131" s="444"/>
      <c r="W131" s="444"/>
      <c r="X131" s="444"/>
      <c r="Y131" s="444"/>
      <c r="Z131" s="444"/>
      <c r="AA131" s="444"/>
      <c r="AB131" s="444"/>
      <c r="AC131" s="444"/>
      <c r="AD131" s="444"/>
      <c r="AE131" s="444"/>
      <c r="AF131" s="444"/>
      <c r="AG131" s="444"/>
      <c r="AH131" s="444"/>
      <c r="AI131" s="444"/>
      <c r="AJ131" s="444"/>
      <c r="AK131" s="444"/>
      <c r="AL131" s="444"/>
      <c r="AM131" s="444"/>
      <c r="AN131" s="444"/>
      <c r="AO131" s="444"/>
      <c r="AP131" s="444"/>
      <c r="AQ131" s="444"/>
      <c r="AR131" s="444"/>
      <c r="AS131" s="444"/>
      <c r="AT131" s="444"/>
      <c r="AU131" s="444"/>
      <c r="AV131" s="444"/>
      <c r="AW131" s="444"/>
      <c r="AX131" s="444"/>
      <c r="AY131" s="444"/>
      <c r="AZ131" s="444"/>
      <c r="BA131" s="444"/>
      <c r="BB131" s="444"/>
      <c r="BC131" s="444"/>
      <c r="BD131" s="444"/>
      <c r="BE131" s="444"/>
      <c r="BF131" s="444"/>
      <c r="BG131" s="444"/>
      <c r="BH131" s="444"/>
      <c r="BI131" s="444"/>
      <c r="BJ131" s="444"/>
      <c r="BK131" s="444"/>
      <c r="BL131" s="444"/>
      <c r="BM131" s="444"/>
      <c r="BN131" s="444"/>
      <c r="BO131" s="444"/>
      <c r="BP131" s="444"/>
      <c r="BQ131" s="444"/>
      <c r="BR131" s="444"/>
      <c r="BS131" s="444"/>
      <c r="BT131" s="444"/>
      <c r="BU131" s="444"/>
      <c r="BV131" s="444"/>
      <c r="BW131" s="444"/>
      <c r="BX131" s="444"/>
      <c r="BY131" s="444"/>
      <c r="BZ131" s="444"/>
      <c r="CA131" s="444"/>
      <c r="CB131" s="444"/>
      <c r="CC131" s="444"/>
      <c r="CD131" s="444"/>
      <c r="CE131" s="444"/>
      <c r="CF131" s="444"/>
      <c r="CG131" s="444"/>
      <c r="CH131" s="444"/>
      <c r="CI131" s="444"/>
      <c r="CJ131" s="444"/>
      <c r="CK131" s="444"/>
      <c r="CL131" s="444"/>
      <c r="CM131" s="444"/>
      <c r="CN131" s="444"/>
      <c r="CO131" s="444"/>
      <c r="CP131" s="444"/>
      <c r="CQ131" s="444"/>
      <c r="CR131" s="444"/>
      <c r="CS131" s="444"/>
      <c r="CT131" s="444"/>
      <c r="CU131" s="444"/>
      <c r="CV131" s="444"/>
      <c r="CW131" s="444"/>
      <c r="CX131" s="444"/>
      <c r="CY131" s="444"/>
      <c r="CZ131" s="444"/>
      <c r="DA131" s="444"/>
      <c r="DB131" s="444"/>
      <c r="DC131" s="444"/>
      <c r="DD131" s="444"/>
      <c r="DE131" s="444"/>
      <c r="DF131" s="444"/>
      <c r="DG131" s="444"/>
      <c r="DH131" s="444"/>
      <c r="DI131" s="444"/>
      <c r="DJ131" s="444"/>
      <c r="DK131" s="444"/>
      <c r="DL131" s="444"/>
      <c r="DM131" s="444"/>
      <c r="DN131" s="444"/>
      <c r="DO131" s="444"/>
      <c r="DP131" s="444"/>
      <c r="DQ131" s="444"/>
      <c r="DR131" s="444"/>
      <c r="DS131" s="444"/>
      <c r="DT131" s="444"/>
      <c r="DU131" s="444"/>
      <c r="DV131" s="444"/>
      <c r="DW131" s="444"/>
      <c r="DX131" s="444"/>
      <c r="DY131" s="444"/>
      <c r="DZ131" s="444"/>
      <c r="EA131" s="444"/>
      <c r="EB131" s="444"/>
      <c r="EC131" s="444"/>
      <c r="ED131" s="444"/>
      <c r="EE131" s="444"/>
      <c r="EF131" s="444"/>
      <c r="EG131" s="444"/>
      <c r="EH131" s="444"/>
      <c r="EI131" s="444"/>
      <c r="EJ131" s="444"/>
      <c r="EK131" s="444"/>
      <c r="EL131" s="444"/>
      <c r="EM131" s="444"/>
      <c r="EN131" s="444"/>
      <c r="EO131" s="444"/>
      <c r="EP131" s="444"/>
      <c r="EQ131" s="444"/>
      <c r="ER131" s="444"/>
      <c r="ES131" s="444"/>
      <c r="ET131" s="444"/>
      <c r="EU131" s="444"/>
      <c r="EV131" s="444"/>
      <c r="EW131" s="444"/>
      <c r="EX131" s="444"/>
      <c r="EY131" s="444"/>
      <c r="EZ131" s="444"/>
      <c r="FA131" s="444"/>
      <c r="FB131" s="444"/>
      <c r="FC131" s="444"/>
      <c r="FD131" s="444"/>
      <c r="FE131" s="444"/>
      <c r="FF131" s="444"/>
      <c r="FG131" s="444"/>
      <c r="FH131" s="444"/>
      <c r="FI131" s="444"/>
      <c r="FJ131" s="444"/>
      <c r="FK131" s="444"/>
      <c r="FL131" s="444"/>
      <c r="FM131" s="444"/>
      <c r="FN131" s="444"/>
      <c r="FO131" s="444"/>
      <c r="FP131" s="444"/>
      <c r="FQ131" s="444"/>
      <c r="FR131" s="444"/>
      <c r="FS131" s="444"/>
      <c r="FT131" s="444"/>
      <c r="FU131" s="444"/>
      <c r="FV131" s="444"/>
      <c r="FW131" s="444"/>
      <c r="FX131" s="444"/>
      <c r="FY131" s="444"/>
      <c r="FZ131" s="444"/>
      <c r="GA131" s="444"/>
      <c r="GB131" s="444"/>
      <c r="GC131" s="444"/>
      <c r="GD131" s="444"/>
      <c r="GE131" s="444"/>
      <c r="GF131" s="444"/>
      <c r="GG131" s="444"/>
      <c r="GH131" s="444"/>
      <c r="GI131" s="444"/>
      <c r="GJ131" s="444"/>
      <c r="GK131" s="444"/>
      <c r="GL131" s="444"/>
      <c r="GM131" s="444"/>
      <c r="GN131" s="444"/>
      <c r="GO131" s="444"/>
      <c r="GP131" s="444"/>
      <c r="GQ131" s="444"/>
      <c r="GR131" s="444"/>
      <c r="GS131" s="444"/>
      <c r="GT131" s="444"/>
      <c r="GU131" s="444"/>
      <c r="GV131" s="444"/>
      <c r="GW131" s="444"/>
      <c r="GX131" s="444"/>
      <c r="GY131" s="444"/>
      <c r="GZ131" s="444"/>
      <c r="HA131" s="444"/>
      <c r="HB131" s="444"/>
      <c r="HC131" s="444"/>
      <c r="HD131" s="444"/>
      <c r="HE131" s="444"/>
      <c r="HF131" s="444"/>
      <c r="HG131" s="444"/>
      <c r="HH131" s="444"/>
      <c r="HI131" s="444"/>
      <c r="HJ131" s="444"/>
      <c r="HK131" s="444"/>
      <c r="HL131" s="444"/>
      <c r="HM131" s="444"/>
      <c r="HN131" s="444"/>
      <c r="HO131" s="444"/>
      <c r="HP131" s="444"/>
      <c r="HQ131" s="444"/>
      <c r="HR131" s="444"/>
      <c r="HS131" s="444"/>
      <c r="HT131" s="444"/>
      <c r="HU131" s="444"/>
      <c r="HV131" s="444"/>
      <c r="HW131" s="444"/>
      <c r="HX131" s="444"/>
      <c r="HY131" s="444"/>
      <c r="HZ131" s="444"/>
      <c r="IA131" s="444"/>
      <c r="IB131" s="444"/>
      <c r="IC131" s="444"/>
      <c r="ID131" s="444"/>
      <c r="IE131" s="444"/>
      <c r="IF131" s="444"/>
    </row>
    <row r="132" spans="1:240">
      <c r="A132" s="700" t="s">
        <v>24</v>
      </c>
      <c r="B132" s="701"/>
      <c r="C132" s="702"/>
      <c r="D132" s="450">
        <v>96.836555000000004</v>
      </c>
      <c r="E132" s="450">
        <v>100</v>
      </c>
      <c r="F132" s="450">
        <v>100</v>
      </c>
      <c r="G132" s="450">
        <v>100</v>
      </c>
      <c r="H132" s="450">
        <v>99.840763999999993</v>
      </c>
      <c r="I132" s="450">
        <v>100</v>
      </c>
      <c r="J132" s="450">
        <v>100</v>
      </c>
      <c r="K132" s="450">
        <v>99.708454000000003</v>
      </c>
      <c r="L132" s="450">
        <v>100</v>
      </c>
      <c r="M132" s="450">
        <v>99.844479000000007</v>
      </c>
      <c r="N132" s="450">
        <v>100</v>
      </c>
      <c r="O132" s="450">
        <v>99.850299000000007</v>
      </c>
      <c r="P132" s="443">
        <v>99.673379249999982</v>
      </c>
      <c r="R132" s="444"/>
      <c r="S132" s="444"/>
      <c r="T132" s="444"/>
      <c r="U132" s="444"/>
      <c r="V132" s="444"/>
      <c r="W132" s="444"/>
      <c r="X132" s="444"/>
      <c r="Y132" s="444"/>
      <c r="Z132" s="444"/>
      <c r="AA132" s="444"/>
      <c r="AB132" s="444"/>
      <c r="AC132" s="444"/>
      <c r="AD132" s="444"/>
      <c r="AE132" s="444"/>
      <c r="AF132" s="444"/>
      <c r="AG132" s="444"/>
      <c r="AH132" s="444"/>
      <c r="AI132" s="444"/>
      <c r="AJ132" s="444"/>
      <c r="AK132" s="444"/>
      <c r="AL132" s="444"/>
      <c r="AM132" s="444"/>
      <c r="AN132" s="444"/>
      <c r="AO132" s="444"/>
      <c r="AP132" s="444"/>
      <c r="AQ132" s="444"/>
      <c r="AR132" s="444"/>
      <c r="AS132" s="444"/>
      <c r="AT132" s="444"/>
      <c r="AU132" s="444"/>
      <c r="AV132" s="444"/>
      <c r="AW132" s="444"/>
      <c r="AX132" s="444"/>
      <c r="AY132" s="444"/>
      <c r="AZ132" s="444"/>
      <c r="BA132" s="444"/>
      <c r="BB132" s="444"/>
      <c r="BC132" s="444"/>
      <c r="BD132" s="444"/>
      <c r="BE132" s="444"/>
      <c r="BF132" s="444"/>
      <c r="BG132" s="444"/>
      <c r="BH132" s="444"/>
      <c r="BI132" s="444"/>
      <c r="BJ132" s="444"/>
      <c r="BK132" s="444"/>
      <c r="BL132" s="444"/>
      <c r="BM132" s="444"/>
      <c r="BN132" s="444"/>
      <c r="BO132" s="444"/>
      <c r="BP132" s="444"/>
      <c r="BQ132" s="444"/>
      <c r="BR132" s="444"/>
      <c r="BS132" s="444"/>
      <c r="BT132" s="444"/>
      <c r="BU132" s="444"/>
      <c r="BV132" s="444"/>
      <c r="BW132" s="444"/>
      <c r="BX132" s="444"/>
      <c r="BY132" s="444"/>
      <c r="BZ132" s="444"/>
      <c r="CA132" s="444"/>
      <c r="CB132" s="444"/>
      <c r="CC132" s="444"/>
      <c r="CD132" s="444"/>
      <c r="CE132" s="444"/>
      <c r="CF132" s="444"/>
      <c r="CG132" s="444"/>
      <c r="CH132" s="444"/>
      <c r="CI132" s="444"/>
      <c r="CJ132" s="444"/>
      <c r="CK132" s="444"/>
      <c r="CL132" s="444"/>
      <c r="CM132" s="444"/>
      <c r="CN132" s="444"/>
      <c r="CO132" s="444"/>
      <c r="CP132" s="444"/>
      <c r="CQ132" s="444"/>
      <c r="CR132" s="444"/>
      <c r="CS132" s="444"/>
      <c r="CT132" s="444"/>
      <c r="CU132" s="444"/>
      <c r="CV132" s="444"/>
      <c r="CW132" s="444"/>
      <c r="CX132" s="444"/>
      <c r="CY132" s="444"/>
      <c r="CZ132" s="444"/>
      <c r="DA132" s="444"/>
      <c r="DB132" s="444"/>
      <c r="DC132" s="444"/>
      <c r="DD132" s="444"/>
      <c r="DE132" s="444"/>
      <c r="DF132" s="444"/>
      <c r="DG132" s="444"/>
      <c r="DH132" s="444"/>
      <c r="DI132" s="444"/>
      <c r="DJ132" s="444"/>
      <c r="DK132" s="444"/>
      <c r="DL132" s="444"/>
      <c r="DM132" s="444"/>
      <c r="DN132" s="444"/>
      <c r="DO132" s="444"/>
      <c r="DP132" s="444"/>
      <c r="DQ132" s="444"/>
      <c r="DR132" s="444"/>
      <c r="DS132" s="444"/>
      <c r="DT132" s="444"/>
      <c r="DU132" s="444"/>
      <c r="DV132" s="444"/>
      <c r="DW132" s="444"/>
      <c r="DX132" s="444"/>
      <c r="DY132" s="444"/>
      <c r="DZ132" s="444"/>
      <c r="EA132" s="444"/>
      <c r="EB132" s="444"/>
      <c r="EC132" s="444"/>
      <c r="ED132" s="444"/>
      <c r="EE132" s="444"/>
      <c r="EF132" s="444"/>
      <c r="EG132" s="444"/>
      <c r="EH132" s="444"/>
      <c r="EI132" s="444"/>
      <c r="EJ132" s="444"/>
      <c r="EK132" s="444"/>
      <c r="EL132" s="444"/>
      <c r="EM132" s="444"/>
      <c r="EN132" s="444"/>
      <c r="EO132" s="444"/>
      <c r="EP132" s="444"/>
      <c r="EQ132" s="444"/>
      <c r="ER132" s="444"/>
      <c r="ES132" s="444"/>
      <c r="ET132" s="444"/>
      <c r="EU132" s="444"/>
      <c r="EV132" s="444"/>
      <c r="EW132" s="444"/>
      <c r="EX132" s="444"/>
      <c r="EY132" s="444"/>
      <c r="EZ132" s="444"/>
      <c r="FA132" s="444"/>
      <c r="FB132" s="444"/>
      <c r="FC132" s="444"/>
      <c r="FD132" s="444"/>
      <c r="FE132" s="444"/>
      <c r="FF132" s="444"/>
      <c r="FG132" s="444"/>
      <c r="FH132" s="444"/>
      <c r="FI132" s="444"/>
      <c r="FJ132" s="444"/>
      <c r="FK132" s="444"/>
      <c r="FL132" s="444"/>
      <c r="FM132" s="444"/>
      <c r="FN132" s="444"/>
      <c r="FO132" s="444"/>
      <c r="FP132" s="444"/>
      <c r="FQ132" s="444"/>
      <c r="FR132" s="444"/>
      <c r="FS132" s="444"/>
      <c r="FT132" s="444"/>
      <c r="FU132" s="444"/>
      <c r="FV132" s="444"/>
      <c r="FW132" s="444"/>
      <c r="FX132" s="444"/>
      <c r="FY132" s="444"/>
      <c r="FZ132" s="444"/>
      <c r="GA132" s="444"/>
      <c r="GB132" s="444"/>
      <c r="GC132" s="444"/>
      <c r="GD132" s="444"/>
      <c r="GE132" s="444"/>
      <c r="GF132" s="444"/>
      <c r="GG132" s="444"/>
      <c r="GH132" s="444"/>
      <c r="GI132" s="444"/>
      <c r="GJ132" s="444"/>
      <c r="GK132" s="444"/>
      <c r="GL132" s="444"/>
      <c r="GM132" s="444"/>
      <c r="GN132" s="444"/>
      <c r="GO132" s="444"/>
      <c r="GP132" s="444"/>
      <c r="GQ132" s="444"/>
      <c r="GR132" s="444"/>
      <c r="GS132" s="444"/>
      <c r="GT132" s="444"/>
      <c r="GU132" s="444"/>
      <c r="GV132" s="444"/>
      <c r="GW132" s="444"/>
      <c r="GX132" s="444"/>
      <c r="GY132" s="444"/>
      <c r="GZ132" s="444"/>
      <c r="HA132" s="444"/>
      <c r="HB132" s="444"/>
      <c r="HC132" s="444"/>
      <c r="HD132" s="444"/>
      <c r="HE132" s="444"/>
      <c r="HF132" s="444"/>
      <c r="HG132" s="444"/>
      <c r="HH132" s="444"/>
      <c r="HI132" s="444"/>
      <c r="HJ132" s="444"/>
      <c r="HK132" s="444"/>
      <c r="HL132" s="444"/>
      <c r="HM132" s="444"/>
      <c r="HN132" s="444"/>
      <c r="HO132" s="444"/>
      <c r="HP132" s="444"/>
      <c r="HQ132" s="444"/>
      <c r="HR132" s="444"/>
      <c r="HS132" s="444"/>
      <c r="HT132" s="444"/>
      <c r="HU132" s="444"/>
      <c r="HV132" s="444"/>
      <c r="HW132" s="444"/>
      <c r="HX132" s="444"/>
      <c r="HY132" s="444"/>
      <c r="HZ132" s="444"/>
      <c r="IA132" s="444"/>
      <c r="IB132" s="444"/>
      <c r="IC132" s="444"/>
      <c r="ID132" s="444"/>
      <c r="IE132" s="444"/>
      <c r="IF132" s="444"/>
    </row>
    <row r="133" spans="1:240">
      <c r="A133" s="700" t="s">
        <v>25</v>
      </c>
      <c r="B133" s="701"/>
      <c r="C133" s="702"/>
      <c r="D133" s="450">
        <v>97.453310000000002</v>
      </c>
      <c r="E133" s="450">
        <v>99.209137999999996</v>
      </c>
      <c r="F133" s="450">
        <v>90.460251</v>
      </c>
      <c r="G133" s="450">
        <v>45.182724</v>
      </c>
      <c r="H133" s="450">
        <v>75.425790000000006</v>
      </c>
      <c r="I133" s="450">
        <v>90.830563999999995</v>
      </c>
      <c r="J133" s="450">
        <v>96.380471</v>
      </c>
      <c r="K133" s="450">
        <v>93.753147999999996</v>
      </c>
      <c r="L133" s="450">
        <v>92.967409000000004</v>
      </c>
      <c r="M133" s="450">
        <v>96.296295999999998</v>
      </c>
      <c r="N133" s="450">
        <v>96.708614999999995</v>
      </c>
      <c r="O133" s="450">
        <v>95.933734000000001</v>
      </c>
      <c r="P133" s="443">
        <v>89.216787500000009</v>
      </c>
      <c r="R133" s="444"/>
      <c r="S133" s="444"/>
      <c r="T133" s="444"/>
      <c r="U133" s="444"/>
      <c r="V133" s="444"/>
      <c r="W133" s="444"/>
      <c r="X133" s="444"/>
      <c r="Y133" s="444"/>
      <c r="Z133" s="444"/>
      <c r="AA133" s="444"/>
      <c r="AB133" s="444"/>
      <c r="AC133" s="444"/>
      <c r="AD133" s="444"/>
      <c r="AE133" s="444"/>
      <c r="AF133" s="444"/>
      <c r="AG133" s="444"/>
      <c r="AH133" s="444"/>
      <c r="AI133" s="444"/>
      <c r="AJ133" s="444"/>
      <c r="AK133" s="444"/>
      <c r="AL133" s="444"/>
      <c r="AM133" s="444"/>
      <c r="AN133" s="444"/>
      <c r="AO133" s="444"/>
      <c r="AP133" s="444"/>
      <c r="AQ133" s="444"/>
      <c r="AR133" s="444"/>
      <c r="AS133" s="444"/>
      <c r="AT133" s="444"/>
      <c r="AU133" s="444"/>
      <c r="AV133" s="444"/>
      <c r="AW133" s="444"/>
      <c r="AX133" s="444"/>
      <c r="AY133" s="444"/>
      <c r="AZ133" s="444"/>
      <c r="BA133" s="444"/>
      <c r="BB133" s="444"/>
      <c r="BC133" s="444"/>
      <c r="BD133" s="444"/>
      <c r="BE133" s="444"/>
      <c r="BF133" s="444"/>
      <c r="BG133" s="444"/>
      <c r="BH133" s="444"/>
      <c r="BI133" s="444"/>
      <c r="BJ133" s="444"/>
      <c r="BK133" s="444"/>
      <c r="BL133" s="444"/>
      <c r="BM133" s="444"/>
      <c r="BN133" s="444"/>
      <c r="BO133" s="444"/>
      <c r="BP133" s="444"/>
      <c r="BQ133" s="444"/>
      <c r="BR133" s="444"/>
      <c r="BS133" s="444"/>
      <c r="BT133" s="444"/>
      <c r="BU133" s="444"/>
      <c r="BV133" s="444"/>
      <c r="BW133" s="444"/>
      <c r="BX133" s="444"/>
      <c r="BY133" s="444"/>
      <c r="BZ133" s="444"/>
      <c r="CA133" s="444"/>
      <c r="CB133" s="444"/>
      <c r="CC133" s="444"/>
      <c r="CD133" s="444"/>
      <c r="CE133" s="444"/>
      <c r="CF133" s="444"/>
      <c r="CG133" s="444"/>
      <c r="CH133" s="444"/>
      <c r="CI133" s="444"/>
      <c r="CJ133" s="444"/>
      <c r="CK133" s="444"/>
      <c r="CL133" s="444"/>
      <c r="CM133" s="444"/>
      <c r="CN133" s="444"/>
      <c r="CO133" s="444"/>
      <c r="CP133" s="444"/>
      <c r="CQ133" s="444"/>
      <c r="CR133" s="444"/>
      <c r="CS133" s="444"/>
      <c r="CT133" s="444"/>
      <c r="CU133" s="444"/>
      <c r="CV133" s="444"/>
      <c r="CW133" s="444"/>
      <c r="CX133" s="444"/>
      <c r="CY133" s="444"/>
      <c r="CZ133" s="444"/>
      <c r="DA133" s="444"/>
      <c r="DB133" s="444"/>
      <c r="DC133" s="444"/>
      <c r="DD133" s="444"/>
      <c r="DE133" s="444"/>
      <c r="DF133" s="444"/>
      <c r="DG133" s="444"/>
      <c r="DH133" s="444"/>
      <c r="DI133" s="444"/>
      <c r="DJ133" s="444"/>
      <c r="DK133" s="444"/>
      <c r="DL133" s="444"/>
      <c r="DM133" s="444"/>
      <c r="DN133" s="444"/>
      <c r="DO133" s="444"/>
      <c r="DP133" s="444"/>
      <c r="DQ133" s="444"/>
      <c r="DR133" s="444"/>
      <c r="DS133" s="444"/>
      <c r="DT133" s="444"/>
      <c r="DU133" s="444"/>
      <c r="DV133" s="444"/>
      <c r="DW133" s="444"/>
      <c r="DX133" s="444"/>
      <c r="DY133" s="444"/>
      <c r="DZ133" s="444"/>
      <c r="EA133" s="444"/>
      <c r="EB133" s="444"/>
      <c r="EC133" s="444"/>
      <c r="ED133" s="444"/>
      <c r="EE133" s="444"/>
      <c r="EF133" s="444"/>
      <c r="EG133" s="444"/>
      <c r="EH133" s="444"/>
      <c r="EI133" s="444"/>
      <c r="EJ133" s="444"/>
      <c r="EK133" s="444"/>
      <c r="EL133" s="444"/>
      <c r="EM133" s="444"/>
      <c r="EN133" s="444"/>
      <c r="EO133" s="444"/>
      <c r="EP133" s="444"/>
      <c r="EQ133" s="444"/>
      <c r="ER133" s="444"/>
      <c r="ES133" s="444"/>
      <c r="ET133" s="444"/>
      <c r="EU133" s="444"/>
      <c r="EV133" s="444"/>
      <c r="EW133" s="444"/>
      <c r="EX133" s="444"/>
      <c r="EY133" s="444"/>
      <c r="EZ133" s="444"/>
      <c r="FA133" s="444"/>
      <c r="FB133" s="444"/>
      <c r="FC133" s="444"/>
      <c r="FD133" s="444"/>
      <c r="FE133" s="444"/>
      <c r="FF133" s="444"/>
      <c r="FG133" s="444"/>
      <c r="FH133" s="444"/>
      <c r="FI133" s="444"/>
      <c r="FJ133" s="444"/>
      <c r="FK133" s="444"/>
      <c r="FL133" s="444"/>
      <c r="FM133" s="444"/>
      <c r="FN133" s="444"/>
      <c r="FO133" s="444"/>
      <c r="FP133" s="444"/>
      <c r="FQ133" s="444"/>
      <c r="FR133" s="444"/>
      <c r="FS133" s="444"/>
      <c r="FT133" s="444"/>
      <c r="FU133" s="444"/>
      <c r="FV133" s="444"/>
      <c r="FW133" s="444"/>
      <c r="FX133" s="444"/>
      <c r="FY133" s="444"/>
      <c r="FZ133" s="444"/>
      <c r="GA133" s="444"/>
      <c r="GB133" s="444"/>
      <c r="GC133" s="444"/>
      <c r="GD133" s="444"/>
      <c r="GE133" s="444"/>
      <c r="GF133" s="444"/>
      <c r="GG133" s="444"/>
      <c r="GH133" s="444"/>
      <c r="GI133" s="444"/>
      <c r="GJ133" s="444"/>
      <c r="GK133" s="444"/>
      <c r="GL133" s="444"/>
      <c r="GM133" s="444"/>
      <c r="GN133" s="444"/>
      <c r="GO133" s="444"/>
      <c r="GP133" s="444"/>
      <c r="GQ133" s="444"/>
      <c r="GR133" s="444"/>
      <c r="GS133" s="444"/>
      <c r="GT133" s="444"/>
      <c r="GU133" s="444"/>
      <c r="GV133" s="444"/>
      <c r="GW133" s="444"/>
      <c r="GX133" s="444"/>
      <c r="GY133" s="444"/>
      <c r="GZ133" s="444"/>
      <c r="HA133" s="444"/>
      <c r="HB133" s="444"/>
      <c r="HC133" s="444"/>
      <c r="HD133" s="444"/>
      <c r="HE133" s="444"/>
      <c r="HF133" s="444"/>
      <c r="HG133" s="444"/>
      <c r="HH133" s="444"/>
      <c r="HI133" s="444"/>
      <c r="HJ133" s="444"/>
      <c r="HK133" s="444"/>
      <c r="HL133" s="444"/>
      <c r="HM133" s="444"/>
      <c r="HN133" s="444"/>
      <c r="HO133" s="444"/>
      <c r="HP133" s="444"/>
      <c r="HQ133" s="444"/>
      <c r="HR133" s="444"/>
      <c r="HS133" s="444"/>
      <c r="HT133" s="444"/>
      <c r="HU133" s="444"/>
      <c r="HV133" s="444"/>
      <c r="HW133" s="444"/>
      <c r="HX133" s="444"/>
      <c r="HY133" s="444"/>
      <c r="HZ133" s="444"/>
      <c r="IA133" s="444"/>
      <c r="IB133" s="444"/>
      <c r="IC133" s="444"/>
      <c r="ID133" s="444"/>
      <c r="IE133" s="444"/>
      <c r="IF133" s="444"/>
    </row>
    <row r="134" spans="1:240">
      <c r="A134" s="700" t="s">
        <v>26</v>
      </c>
      <c r="B134" s="701"/>
      <c r="C134" s="702"/>
      <c r="D134" s="450">
        <v>96.7</v>
      </c>
      <c r="E134" s="450">
        <v>98.5</v>
      </c>
      <c r="F134" s="450">
        <v>97.9</v>
      </c>
      <c r="G134" s="450">
        <v>98.2</v>
      </c>
      <c r="H134" s="450">
        <v>98.6</v>
      </c>
      <c r="I134" s="450">
        <v>98.6</v>
      </c>
      <c r="J134" s="450">
        <v>98.4</v>
      </c>
      <c r="K134" s="450">
        <v>97.4</v>
      </c>
      <c r="L134" s="450">
        <v>98.4</v>
      </c>
      <c r="M134" s="450">
        <v>97.1</v>
      </c>
      <c r="N134" s="450">
        <v>97.9</v>
      </c>
      <c r="O134" s="450">
        <v>97.2</v>
      </c>
      <c r="P134" s="443">
        <v>97.908333333333346</v>
      </c>
      <c r="R134" s="444"/>
      <c r="S134" s="444"/>
      <c r="T134" s="444"/>
      <c r="U134" s="444"/>
      <c r="V134" s="444"/>
      <c r="W134" s="444"/>
      <c r="X134" s="444"/>
      <c r="Y134" s="444"/>
      <c r="Z134" s="444"/>
      <c r="AA134" s="444"/>
      <c r="AB134" s="444"/>
      <c r="AC134" s="444"/>
      <c r="AD134" s="444"/>
      <c r="AE134" s="444"/>
      <c r="AF134" s="444"/>
      <c r="AG134" s="444"/>
      <c r="AH134" s="444"/>
      <c r="AI134" s="444"/>
      <c r="AJ134" s="444"/>
      <c r="AK134" s="444"/>
      <c r="AL134" s="444"/>
      <c r="AM134" s="444"/>
      <c r="AN134" s="444"/>
      <c r="AO134" s="444"/>
      <c r="AP134" s="444"/>
      <c r="AQ134" s="444"/>
      <c r="AR134" s="444"/>
      <c r="AS134" s="444"/>
      <c r="AT134" s="444"/>
      <c r="AU134" s="444"/>
      <c r="AV134" s="444"/>
      <c r="AW134" s="444"/>
      <c r="AX134" s="444"/>
      <c r="AY134" s="444"/>
      <c r="AZ134" s="444"/>
      <c r="BA134" s="444"/>
      <c r="BB134" s="444"/>
      <c r="BC134" s="444"/>
      <c r="BD134" s="444"/>
      <c r="BE134" s="444"/>
      <c r="BF134" s="444"/>
      <c r="BG134" s="444"/>
      <c r="BH134" s="444"/>
      <c r="BI134" s="444"/>
      <c r="BJ134" s="444"/>
      <c r="BK134" s="444"/>
      <c r="BL134" s="444"/>
      <c r="BM134" s="444"/>
      <c r="BN134" s="444"/>
      <c r="BO134" s="444"/>
      <c r="BP134" s="444"/>
      <c r="BQ134" s="444"/>
      <c r="BR134" s="444"/>
      <c r="BS134" s="444"/>
      <c r="BT134" s="444"/>
      <c r="BU134" s="444"/>
      <c r="BV134" s="444"/>
      <c r="BW134" s="444"/>
      <c r="BX134" s="444"/>
      <c r="BY134" s="444"/>
      <c r="BZ134" s="444"/>
      <c r="CA134" s="444"/>
      <c r="CB134" s="444"/>
      <c r="CC134" s="444"/>
      <c r="CD134" s="444"/>
      <c r="CE134" s="444"/>
      <c r="CF134" s="444"/>
      <c r="CG134" s="444"/>
      <c r="CH134" s="444"/>
      <c r="CI134" s="444"/>
      <c r="CJ134" s="444"/>
      <c r="CK134" s="444"/>
      <c r="CL134" s="444"/>
      <c r="CM134" s="444"/>
      <c r="CN134" s="444"/>
      <c r="CO134" s="444"/>
      <c r="CP134" s="444"/>
      <c r="CQ134" s="444"/>
      <c r="CR134" s="444"/>
      <c r="CS134" s="444"/>
      <c r="CT134" s="444"/>
      <c r="CU134" s="444"/>
      <c r="CV134" s="444"/>
      <c r="CW134" s="444"/>
      <c r="CX134" s="444"/>
      <c r="CY134" s="444"/>
      <c r="CZ134" s="444"/>
      <c r="DA134" s="444"/>
      <c r="DB134" s="444"/>
      <c r="DC134" s="444"/>
      <c r="DD134" s="444"/>
      <c r="DE134" s="444"/>
      <c r="DF134" s="444"/>
      <c r="DG134" s="444"/>
      <c r="DH134" s="444"/>
      <c r="DI134" s="444"/>
      <c r="DJ134" s="444"/>
      <c r="DK134" s="444"/>
      <c r="DL134" s="444"/>
      <c r="DM134" s="444"/>
      <c r="DN134" s="444"/>
      <c r="DO134" s="444"/>
      <c r="DP134" s="444"/>
      <c r="DQ134" s="444"/>
      <c r="DR134" s="444"/>
      <c r="DS134" s="444"/>
      <c r="DT134" s="444"/>
      <c r="DU134" s="444"/>
      <c r="DV134" s="444"/>
      <c r="DW134" s="444"/>
      <c r="DX134" s="444"/>
      <c r="DY134" s="444"/>
      <c r="DZ134" s="444"/>
      <c r="EA134" s="444"/>
      <c r="EB134" s="444"/>
      <c r="EC134" s="444"/>
      <c r="ED134" s="444"/>
      <c r="EE134" s="444"/>
      <c r="EF134" s="444"/>
      <c r="EG134" s="444"/>
      <c r="EH134" s="444"/>
      <c r="EI134" s="444"/>
      <c r="EJ134" s="444"/>
      <c r="EK134" s="444"/>
      <c r="EL134" s="444"/>
      <c r="EM134" s="444"/>
      <c r="EN134" s="444"/>
      <c r="EO134" s="444"/>
      <c r="EP134" s="444"/>
      <c r="EQ134" s="444"/>
      <c r="ER134" s="444"/>
      <c r="ES134" s="444"/>
      <c r="ET134" s="444"/>
      <c r="EU134" s="444"/>
      <c r="EV134" s="444"/>
      <c r="EW134" s="444"/>
      <c r="EX134" s="444"/>
      <c r="EY134" s="444"/>
      <c r="EZ134" s="444"/>
      <c r="FA134" s="444"/>
      <c r="FB134" s="444"/>
      <c r="FC134" s="444"/>
      <c r="FD134" s="444"/>
      <c r="FE134" s="444"/>
      <c r="FF134" s="444"/>
      <c r="FG134" s="444"/>
      <c r="FH134" s="444"/>
      <c r="FI134" s="444"/>
      <c r="FJ134" s="444"/>
      <c r="FK134" s="444"/>
      <c r="FL134" s="444"/>
      <c r="FM134" s="444"/>
      <c r="FN134" s="444"/>
      <c r="FO134" s="444"/>
      <c r="FP134" s="444"/>
      <c r="FQ134" s="444"/>
      <c r="FR134" s="444"/>
      <c r="FS134" s="444"/>
      <c r="FT134" s="444"/>
      <c r="FU134" s="444"/>
      <c r="FV134" s="444"/>
      <c r="FW134" s="444"/>
      <c r="FX134" s="444"/>
      <c r="FY134" s="444"/>
      <c r="FZ134" s="444"/>
      <c r="GA134" s="444"/>
      <c r="GB134" s="444"/>
      <c r="GC134" s="444"/>
      <c r="GD134" s="444"/>
      <c r="GE134" s="444"/>
      <c r="GF134" s="444"/>
      <c r="GG134" s="444"/>
      <c r="GH134" s="444"/>
      <c r="GI134" s="444"/>
      <c r="GJ134" s="444"/>
      <c r="GK134" s="444"/>
      <c r="GL134" s="444"/>
      <c r="GM134" s="444"/>
      <c r="GN134" s="444"/>
      <c r="GO134" s="444"/>
      <c r="GP134" s="444"/>
      <c r="GQ134" s="444"/>
      <c r="GR134" s="444"/>
      <c r="GS134" s="444"/>
      <c r="GT134" s="444"/>
      <c r="GU134" s="444"/>
      <c r="GV134" s="444"/>
      <c r="GW134" s="444"/>
      <c r="GX134" s="444"/>
      <c r="GY134" s="444"/>
      <c r="GZ134" s="444"/>
      <c r="HA134" s="444"/>
      <c r="HB134" s="444"/>
      <c r="HC134" s="444"/>
      <c r="HD134" s="444"/>
      <c r="HE134" s="444"/>
      <c r="HF134" s="444"/>
      <c r="HG134" s="444"/>
      <c r="HH134" s="444"/>
      <c r="HI134" s="444"/>
      <c r="HJ134" s="444"/>
      <c r="HK134" s="444"/>
      <c r="HL134" s="444"/>
      <c r="HM134" s="444"/>
      <c r="HN134" s="444"/>
      <c r="HO134" s="444"/>
      <c r="HP134" s="444"/>
      <c r="HQ134" s="444"/>
      <c r="HR134" s="444"/>
      <c r="HS134" s="444"/>
      <c r="HT134" s="444"/>
      <c r="HU134" s="444"/>
      <c r="HV134" s="444"/>
      <c r="HW134" s="444"/>
      <c r="HX134" s="444"/>
      <c r="HY134" s="444"/>
      <c r="HZ134" s="444"/>
      <c r="IA134" s="444"/>
      <c r="IB134" s="444"/>
      <c r="IC134" s="444"/>
      <c r="ID134" s="444"/>
      <c r="IE134" s="444"/>
      <c r="IF134" s="444"/>
    </row>
    <row r="135" spans="1:240">
      <c r="A135" s="700" t="s">
        <v>27</v>
      </c>
      <c r="B135" s="701"/>
      <c r="C135" s="702"/>
      <c r="D135" s="450">
        <v>98.390342000000004</v>
      </c>
      <c r="E135" s="450">
        <v>98.845749999999995</v>
      </c>
      <c r="F135" s="450">
        <v>97.916666000000006</v>
      </c>
      <c r="G135" s="450">
        <v>97.616682999999995</v>
      </c>
      <c r="H135" s="450">
        <v>88.59581</v>
      </c>
      <c r="I135" s="450">
        <v>98.555649000000003</v>
      </c>
      <c r="J135" s="450">
        <v>97.776011999999994</v>
      </c>
      <c r="K135" s="450">
        <v>96.504559</v>
      </c>
      <c r="L135" s="450">
        <v>96.637997999999996</v>
      </c>
      <c r="M135" s="450">
        <v>97.496087000000003</v>
      </c>
      <c r="N135" s="450">
        <v>97.260272999999998</v>
      </c>
      <c r="O135" s="450">
        <v>99.016163000000006</v>
      </c>
      <c r="P135" s="443">
        <v>97.050999333333337</v>
      </c>
      <c r="R135" s="444"/>
      <c r="S135" s="444"/>
      <c r="T135" s="444"/>
      <c r="U135" s="444"/>
      <c r="V135" s="444"/>
      <c r="W135" s="444"/>
      <c r="X135" s="444"/>
      <c r="Y135" s="444"/>
      <c r="Z135" s="444"/>
      <c r="AA135" s="444"/>
      <c r="AB135" s="444"/>
      <c r="AC135" s="444"/>
      <c r="AD135" s="444"/>
      <c r="AE135" s="444"/>
      <c r="AF135" s="444"/>
      <c r="AG135" s="444"/>
      <c r="AH135" s="444"/>
      <c r="AI135" s="444"/>
      <c r="AJ135" s="444"/>
      <c r="AK135" s="444"/>
      <c r="AL135" s="444"/>
      <c r="AM135" s="444"/>
      <c r="AN135" s="444"/>
      <c r="AO135" s="444"/>
      <c r="AP135" s="444"/>
      <c r="AQ135" s="444"/>
      <c r="AR135" s="444"/>
      <c r="AS135" s="444"/>
      <c r="AT135" s="444"/>
      <c r="AU135" s="444"/>
      <c r="AV135" s="444"/>
      <c r="AW135" s="444"/>
      <c r="AX135" s="444"/>
      <c r="AY135" s="444"/>
      <c r="AZ135" s="444"/>
      <c r="BA135" s="444"/>
      <c r="BB135" s="444"/>
      <c r="BC135" s="444"/>
      <c r="BD135" s="444"/>
      <c r="BE135" s="444"/>
      <c r="BF135" s="444"/>
      <c r="BG135" s="444"/>
      <c r="BH135" s="444"/>
      <c r="BI135" s="444"/>
      <c r="BJ135" s="444"/>
      <c r="BK135" s="444"/>
      <c r="BL135" s="444"/>
      <c r="BM135" s="444"/>
      <c r="BN135" s="444"/>
      <c r="BO135" s="444"/>
      <c r="BP135" s="444"/>
      <c r="BQ135" s="444"/>
      <c r="BR135" s="444"/>
      <c r="BS135" s="444"/>
      <c r="BT135" s="444"/>
      <c r="BU135" s="444"/>
      <c r="BV135" s="444"/>
      <c r="BW135" s="444"/>
      <c r="BX135" s="444"/>
      <c r="BY135" s="444"/>
      <c r="BZ135" s="444"/>
      <c r="CA135" s="444"/>
      <c r="CB135" s="444"/>
      <c r="CC135" s="444"/>
      <c r="CD135" s="444"/>
      <c r="CE135" s="444"/>
      <c r="CF135" s="444"/>
      <c r="CG135" s="444"/>
      <c r="CH135" s="444"/>
      <c r="CI135" s="444"/>
      <c r="CJ135" s="444"/>
      <c r="CK135" s="444"/>
      <c r="CL135" s="444"/>
      <c r="CM135" s="444"/>
      <c r="CN135" s="444"/>
      <c r="CO135" s="444"/>
      <c r="CP135" s="444"/>
      <c r="CQ135" s="444"/>
      <c r="CR135" s="444"/>
      <c r="CS135" s="444"/>
      <c r="CT135" s="444"/>
      <c r="CU135" s="444"/>
      <c r="CV135" s="444"/>
      <c r="CW135" s="444"/>
      <c r="CX135" s="444"/>
      <c r="CY135" s="444"/>
      <c r="CZ135" s="444"/>
      <c r="DA135" s="444"/>
      <c r="DB135" s="444"/>
      <c r="DC135" s="444"/>
      <c r="DD135" s="444"/>
      <c r="DE135" s="444"/>
      <c r="DF135" s="444"/>
      <c r="DG135" s="444"/>
      <c r="DH135" s="444"/>
      <c r="DI135" s="444"/>
      <c r="DJ135" s="444"/>
      <c r="DK135" s="444"/>
      <c r="DL135" s="444"/>
      <c r="DM135" s="444"/>
      <c r="DN135" s="444"/>
      <c r="DO135" s="444"/>
      <c r="DP135" s="444"/>
      <c r="DQ135" s="444"/>
      <c r="DR135" s="444"/>
      <c r="DS135" s="444"/>
      <c r="DT135" s="444"/>
      <c r="DU135" s="444"/>
      <c r="DV135" s="444"/>
      <c r="DW135" s="444"/>
      <c r="DX135" s="444"/>
      <c r="DY135" s="444"/>
      <c r="DZ135" s="444"/>
      <c r="EA135" s="444"/>
      <c r="EB135" s="444"/>
      <c r="EC135" s="444"/>
      <c r="ED135" s="444"/>
      <c r="EE135" s="444"/>
      <c r="EF135" s="444"/>
      <c r="EG135" s="444"/>
      <c r="EH135" s="444"/>
      <c r="EI135" s="444"/>
      <c r="EJ135" s="444"/>
      <c r="EK135" s="444"/>
      <c r="EL135" s="444"/>
      <c r="EM135" s="444"/>
      <c r="EN135" s="444"/>
      <c r="EO135" s="444"/>
      <c r="EP135" s="444"/>
      <c r="EQ135" s="444"/>
      <c r="ER135" s="444"/>
      <c r="ES135" s="444"/>
      <c r="ET135" s="444"/>
      <c r="EU135" s="444"/>
      <c r="EV135" s="444"/>
      <c r="EW135" s="444"/>
      <c r="EX135" s="444"/>
      <c r="EY135" s="444"/>
      <c r="EZ135" s="444"/>
      <c r="FA135" s="444"/>
      <c r="FB135" s="444"/>
      <c r="FC135" s="444"/>
      <c r="FD135" s="444"/>
      <c r="FE135" s="444"/>
      <c r="FF135" s="444"/>
      <c r="FG135" s="444"/>
      <c r="FH135" s="444"/>
      <c r="FI135" s="444"/>
      <c r="FJ135" s="444"/>
      <c r="FK135" s="444"/>
      <c r="FL135" s="444"/>
      <c r="FM135" s="444"/>
      <c r="FN135" s="444"/>
      <c r="FO135" s="444"/>
      <c r="FP135" s="444"/>
      <c r="FQ135" s="444"/>
      <c r="FR135" s="444"/>
      <c r="FS135" s="444"/>
      <c r="FT135" s="444"/>
      <c r="FU135" s="444"/>
      <c r="FV135" s="444"/>
      <c r="FW135" s="444"/>
      <c r="FX135" s="444"/>
      <c r="FY135" s="444"/>
      <c r="FZ135" s="444"/>
      <c r="GA135" s="444"/>
      <c r="GB135" s="444"/>
      <c r="GC135" s="444"/>
      <c r="GD135" s="444"/>
      <c r="GE135" s="444"/>
      <c r="GF135" s="444"/>
      <c r="GG135" s="444"/>
      <c r="GH135" s="444"/>
      <c r="GI135" s="444"/>
      <c r="GJ135" s="444"/>
      <c r="GK135" s="444"/>
      <c r="GL135" s="444"/>
      <c r="GM135" s="444"/>
      <c r="GN135" s="444"/>
      <c r="GO135" s="444"/>
      <c r="GP135" s="444"/>
      <c r="GQ135" s="444"/>
      <c r="GR135" s="444"/>
      <c r="GS135" s="444"/>
      <c r="GT135" s="444"/>
      <c r="GU135" s="444"/>
      <c r="GV135" s="444"/>
      <c r="GW135" s="444"/>
      <c r="GX135" s="444"/>
      <c r="GY135" s="444"/>
      <c r="GZ135" s="444"/>
      <c r="HA135" s="444"/>
      <c r="HB135" s="444"/>
      <c r="HC135" s="444"/>
      <c r="HD135" s="444"/>
      <c r="HE135" s="444"/>
      <c r="HF135" s="444"/>
      <c r="HG135" s="444"/>
      <c r="HH135" s="444"/>
      <c r="HI135" s="444"/>
      <c r="HJ135" s="444"/>
      <c r="HK135" s="444"/>
      <c r="HL135" s="444"/>
      <c r="HM135" s="444"/>
      <c r="HN135" s="444"/>
      <c r="HO135" s="444"/>
      <c r="HP135" s="444"/>
      <c r="HQ135" s="444"/>
      <c r="HR135" s="444"/>
      <c r="HS135" s="444"/>
      <c r="HT135" s="444"/>
      <c r="HU135" s="444"/>
      <c r="HV135" s="444"/>
      <c r="HW135" s="444"/>
      <c r="HX135" s="444"/>
      <c r="HY135" s="444"/>
      <c r="HZ135" s="444"/>
      <c r="IA135" s="444"/>
      <c r="IB135" s="444"/>
      <c r="IC135" s="444"/>
      <c r="ID135" s="444"/>
      <c r="IE135" s="444"/>
      <c r="IF135" s="444"/>
    </row>
    <row r="136" spans="1:240" ht="12.95" thickBot="1">
      <c r="A136" s="777" t="s">
        <v>28</v>
      </c>
      <c r="B136" s="778"/>
      <c r="C136" s="779"/>
      <c r="D136" s="447">
        <v>0</v>
      </c>
      <c r="E136" s="447">
        <v>0</v>
      </c>
      <c r="F136" s="447">
        <v>0</v>
      </c>
      <c r="G136" s="447">
        <v>0</v>
      </c>
      <c r="H136" s="447">
        <v>0</v>
      </c>
      <c r="I136" s="447">
        <v>0</v>
      </c>
      <c r="J136" s="447">
        <v>0</v>
      </c>
      <c r="K136" s="447">
        <v>33.333333000000003</v>
      </c>
      <c r="L136" s="447">
        <v>0</v>
      </c>
      <c r="M136" s="447">
        <v>0</v>
      </c>
      <c r="N136" s="447">
        <v>0</v>
      </c>
      <c r="O136" s="447">
        <v>0</v>
      </c>
      <c r="P136" s="448">
        <v>33.333333000000003</v>
      </c>
      <c r="R136" s="444"/>
      <c r="S136" s="444"/>
      <c r="T136" s="444"/>
      <c r="U136" s="444"/>
      <c r="V136" s="444"/>
      <c r="W136" s="444"/>
      <c r="X136" s="444"/>
      <c r="Y136" s="444"/>
      <c r="Z136" s="444"/>
      <c r="AA136" s="444"/>
      <c r="AB136" s="444"/>
      <c r="AC136" s="444"/>
      <c r="AD136" s="444"/>
      <c r="AE136" s="444"/>
      <c r="AF136" s="444"/>
      <c r="AG136" s="444"/>
      <c r="AH136" s="444"/>
      <c r="AI136" s="444"/>
      <c r="AJ136" s="444"/>
      <c r="AK136" s="444"/>
      <c r="AL136" s="444"/>
      <c r="AM136" s="444"/>
      <c r="AN136" s="444"/>
      <c r="AO136" s="444"/>
      <c r="AP136" s="444"/>
      <c r="AQ136" s="444"/>
      <c r="AR136" s="444"/>
      <c r="AS136" s="444"/>
      <c r="AT136" s="444"/>
      <c r="AU136" s="444"/>
      <c r="AV136" s="444"/>
      <c r="AW136" s="444"/>
      <c r="AX136" s="444"/>
      <c r="AY136" s="444"/>
      <c r="AZ136" s="444"/>
      <c r="BA136" s="444"/>
      <c r="BB136" s="444"/>
      <c r="BC136" s="444"/>
      <c r="BD136" s="444"/>
      <c r="BE136" s="444"/>
      <c r="BF136" s="444"/>
      <c r="BG136" s="444"/>
      <c r="BH136" s="444"/>
      <c r="BI136" s="444"/>
      <c r="BJ136" s="444"/>
      <c r="BK136" s="444"/>
      <c r="BL136" s="444"/>
      <c r="BM136" s="444"/>
      <c r="BN136" s="444"/>
      <c r="BO136" s="444"/>
      <c r="BP136" s="444"/>
      <c r="BQ136" s="444"/>
      <c r="BR136" s="444"/>
      <c r="BS136" s="444"/>
      <c r="BT136" s="444"/>
      <c r="BU136" s="444"/>
      <c r="BV136" s="444"/>
      <c r="BW136" s="444"/>
      <c r="BX136" s="444"/>
      <c r="BY136" s="444"/>
      <c r="BZ136" s="444"/>
      <c r="CA136" s="444"/>
      <c r="CB136" s="444"/>
      <c r="CC136" s="444"/>
      <c r="CD136" s="444"/>
      <c r="CE136" s="444"/>
      <c r="CF136" s="444"/>
      <c r="CG136" s="444"/>
      <c r="CH136" s="444"/>
      <c r="CI136" s="444"/>
      <c r="CJ136" s="444"/>
      <c r="CK136" s="444"/>
      <c r="CL136" s="444"/>
      <c r="CM136" s="444"/>
      <c r="CN136" s="444"/>
      <c r="CO136" s="444"/>
      <c r="CP136" s="444"/>
      <c r="CQ136" s="444"/>
      <c r="CR136" s="444"/>
      <c r="CS136" s="444"/>
      <c r="CT136" s="444"/>
      <c r="CU136" s="444"/>
      <c r="CV136" s="444"/>
      <c r="CW136" s="444"/>
      <c r="CX136" s="444"/>
      <c r="CY136" s="444"/>
      <c r="CZ136" s="444"/>
      <c r="DA136" s="444"/>
      <c r="DB136" s="444"/>
      <c r="DC136" s="444"/>
      <c r="DD136" s="444"/>
      <c r="DE136" s="444"/>
      <c r="DF136" s="444"/>
      <c r="DG136" s="444"/>
      <c r="DH136" s="444"/>
      <c r="DI136" s="444"/>
      <c r="DJ136" s="444"/>
      <c r="DK136" s="444"/>
      <c r="DL136" s="444"/>
      <c r="DM136" s="444"/>
      <c r="DN136" s="444"/>
      <c r="DO136" s="444"/>
      <c r="DP136" s="444"/>
      <c r="DQ136" s="444"/>
      <c r="DR136" s="444"/>
      <c r="DS136" s="444"/>
      <c r="DT136" s="444"/>
      <c r="DU136" s="444"/>
      <c r="DV136" s="444"/>
      <c r="DW136" s="444"/>
      <c r="DX136" s="444"/>
      <c r="DY136" s="444"/>
      <c r="DZ136" s="444"/>
      <c r="EA136" s="444"/>
      <c r="EB136" s="444"/>
      <c r="EC136" s="444"/>
      <c r="ED136" s="444"/>
      <c r="EE136" s="444"/>
      <c r="EF136" s="444"/>
      <c r="EG136" s="444"/>
      <c r="EH136" s="444"/>
      <c r="EI136" s="444"/>
      <c r="EJ136" s="444"/>
      <c r="EK136" s="444"/>
      <c r="EL136" s="444"/>
      <c r="EM136" s="444"/>
      <c r="EN136" s="444"/>
      <c r="EO136" s="444"/>
      <c r="EP136" s="444"/>
      <c r="EQ136" s="444"/>
      <c r="ER136" s="444"/>
      <c r="ES136" s="444"/>
      <c r="ET136" s="444"/>
      <c r="EU136" s="444"/>
      <c r="EV136" s="444"/>
      <c r="EW136" s="444"/>
      <c r="EX136" s="444"/>
      <c r="EY136" s="444"/>
      <c r="EZ136" s="444"/>
      <c r="FA136" s="444"/>
      <c r="FB136" s="444"/>
      <c r="FC136" s="444"/>
      <c r="FD136" s="444"/>
      <c r="FE136" s="444"/>
      <c r="FF136" s="444"/>
      <c r="FG136" s="444"/>
      <c r="FH136" s="444"/>
      <c r="FI136" s="444"/>
      <c r="FJ136" s="444"/>
      <c r="FK136" s="444"/>
      <c r="FL136" s="444"/>
      <c r="FM136" s="444"/>
      <c r="FN136" s="444"/>
      <c r="FO136" s="444"/>
      <c r="FP136" s="444"/>
      <c r="FQ136" s="444"/>
      <c r="FR136" s="444"/>
      <c r="FS136" s="444"/>
      <c r="FT136" s="444"/>
      <c r="FU136" s="444"/>
      <c r="FV136" s="444"/>
      <c r="FW136" s="444"/>
      <c r="FX136" s="444"/>
      <c r="FY136" s="444"/>
      <c r="FZ136" s="444"/>
      <c r="GA136" s="444"/>
      <c r="GB136" s="444"/>
      <c r="GC136" s="444"/>
      <c r="GD136" s="444"/>
      <c r="GE136" s="444"/>
      <c r="GF136" s="444"/>
      <c r="GG136" s="444"/>
      <c r="GH136" s="444"/>
      <c r="GI136" s="444"/>
      <c r="GJ136" s="444"/>
      <c r="GK136" s="444"/>
      <c r="GL136" s="444"/>
      <c r="GM136" s="444"/>
      <c r="GN136" s="444"/>
      <c r="GO136" s="444"/>
      <c r="GP136" s="444"/>
      <c r="GQ136" s="444"/>
      <c r="GR136" s="444"/>
      <c r="GS136" s="444"/>
      <c r="GT136" s="444"/>
      <c r="GU136" s="444"/>
      <c r="GV136" s="444"/>
      <c r="GW136" s="444"/>
      <c r="GX136" s="444"/>
      <c r="GY136" s="444"/>
      <c r="GZ136" s="444"/>
      <c r="HA136" s="444"/>
      <c r="HB136" s="444"/>
      <c r="HC136" s="444"/>
      <c r="HD136" s="444"/>
      <c r="HE136" s="444"/>
      <c r="HF136" s="444"/>
      <c r="HG136" s="444"/>
      <c r="HH136" s="444"/>
      <c r="HI136" s="444"/>
      <c r="HJ136" s="444"/>
      <c r="HK136" s="444"/>
      <c r="HL136" s="444"/>
      <c r="HM136" s="444"/>
      <c r="HN136" s="444"/>
      <c r="HO136" s="444"/>
      <c r="HP136" s="444"/>
      <c r="HQ136" s="444"/>
      <c r="HR136" s="444"/>
      <c r="HS136" s="444"/>
      <c r="HT136" s="444"/>
      <c r="HU136" s="444"/>
      <c r="HV136" s="444"/>
      <c r="HW136" s="444"/>
      <c r="HX136" s="444"/>
      <c r="HY136" s="444"/>
      <c r="HZ136" s="444"/>
      <c r="IA136" s="444"/>
      <c r="IB136" s="444"/>
      <c r="IC136" s="444"/>
      <c r="ID136" s="444"/>
      <c r="IE136" s="444"/>
      <c r="IF136" s="444"/>
    </row>
    <row r="137" spans="1:240">
      <c r="A137" s="780" t="s">
        <v>31</v>
      </c>
      <c r="B137" s="781"/>
      <c r="C137" s="782"/>
      <c r="D137" s="451">
        <v>0</v>
      </c>
      <c r="E137" s="451">
        <v>0</v>
      </c>
      <c r="F137" s="451">
        <v>0</v>
      </c>
      <c r="G137" s="451">
        <v>0</v>
      </c>
      <c r="H137" s="451">
        <v>0</v>
      </c>
      <c r="I137" s="451">
        <v>0</v>
      </c>
      <c r="J137" s="451">
        <v>0</v>
      </c>
      <c r="K137" s="451">
        <v>0</v>
      </c>
      <c r="L137" s="451">
        <v>0</v>
      </c>
      <c r="M137" s="451">
        <v>0</v>
      </c>
      <c r="N137" s="451">
        <v>0</v>
      </c>
      <c r="O137" s="451">
        <v>0</v>
      </c>
      <c r="P137" s="449">
        <v>0</v>
      </c>
      <c r="R137" s="444"/>
      <c r="S137" s="444"/>
      <c r="T137" s="444"/>
      <c r="U137" s="444"/>
      <c r="V137" s="444"/>
      <c r="W137" s="444"/>
      <c r="X137" s="444"/>
      <c r="Y137" s="444"/>
      <c r="Z137" s="444"/>
      <c r="AA137" s="444"/>
      <c r="AB137" s="444"/>
      <c r="AC137" s="444"/>
      <c r="AD137" s="444"/>
      <c r="AE137" s="444"/>
      <c r="AF137" s="444"/>
      <c r="AG137" s="444"/>
      <c r="AH137" s="444"/>
      <c r="AI137" s="444"/>
      <c r="AJ137" s="444"/>
      <c r="AK137" s="444"/>
      <c r="AL137" s="444"/>
      <c r="AM137" s="444"/>
      <c r="AN137" s="444"/>
      <c r="AO137" s="444"/>
      <c r="AP137" s="444"/>
      <c r="AQ137" s="444"/>
      <c r="AR137" s="444"/>
      <c r="AS137" s="444"/>
      <c r="AT137" s="444"/>
      <c r="AU137" s="444"/>
      <c r="AV137" s="444"/>
      <c r="AW137" s="444"/>
      <c r="AX137" s="444"/>
      <c r="AY137" s="444"/>
      <c r="AZ137" s="444"/>
      <c r="BA137" s="444"/>
      <c r="BB137" s="444"/>
      <c r="BC137" s="444"/>
      <c r="BD137" s="444"/>
      <c r="BE137" s="444"/>
      <c r="BF137" s="444"/>
      <c r="BG137" s="444"/>
      <c r="BH137" s="444"/>
      <c r="BI137" s="444"/>
      <c r="BJ137" s="444"/>
      <c r="BK137" s="444"/>
      <c r="BL137" s="444"/>
      <c r="BM137" s="444"/>
      <c r="BN137" s="444"/>
      <c r="BO137" s="444"/>
      <c r="BP137" s="444"/>
      <c r="BQ137" s="444"/>
      <c r="BR137" s="444"/>
      <c r="BS137" s="444"/>
      <c r="BT137" s="444"/>
      <c r="BU137" s="444"/>
      <c r="BV137" s="444"/>
      <c r="BW137" s="444"/>
      <c r="BX137" s="444"/>
      <c r="BY137" s="444"/>
      <c r="BZ137" s="444"/>
      <c r="CA137" s="444"/>
      <c r="CB137" s="444"/>
      <c r="CC137" s="444"/>
      <c r="CD137" s="444"/>
      <c r="CE137" s="444"/>
      <c r="CF137" s="444"/>
      <c r="CG137" s="444"/>
      <c r="CH137" s="444"/>
      <c r="CI137" s="444"/>
      <c r="CJ137" s="444"/>
      <c r="CK137" s="444"/>
      <c r="CL137" s="444"/>
      <c r="CM137" s="444"/>
      <c r="CN137" s="444"/>
      <c r="CO137" s="444"/>
      <c r="CP137" s="444"/>
      <c r="CQ137" s="444"/>
      <c r="CR137" s="444"/>
      <c r="CS137" s="444"/>
      <c r="CT137" s="444"/>
      <c r="CU137" s="444"/>
      <c r="CV137" s="444"/>
      <c r="CW137" s="444"/>
      <c r="CX137" s="444"/>
      <c r="CY137" s="444"/>
      <c r="CZ137" s="444"/>
      <c r="DA137" s="444"/>
      <c r="DB137" s="444"/>
      <c r="DC137" s="444"/>
      <c r="DD137" s="444"/>
      <c r="DE137" s="444"/>
      <c r="DF137" s="444"/>
      <c r="DG137" s="444"/>
      <c r="DH137" s="444"/>
      <c r="DI137" s="444"/>
      <c r="DJ137" s="444"/>
      <c r="DK137" s="444"/>
      <c r="DL137" s="444"/>
      <c r="DM137" s="444"/>
      <c r="DN137" s="444"/>
      <c r="DO137" s="444"/>
      <c r="DP137" s="444"/>
      <c r="DQ137" s="444"/>
      <c r="DR137" s="444"/>
      <c r="DS137" s="444"/>
      <c r="DT137" s="444"/>
      <c r="DU137" s="444"/>
      <c r="DV137" s="444"/>
      <c r="DW137" s="444"/>
      <c r="DX137" s="444"/>
      <c r="DY137" s="444"/>
      <c r="DZ137" s="444"/>
      <c r="EA137" s="444"/>
      <c r="EB137" s="444"/>
      <c r="EC137" s="444"/>
      <c r="ED137" s="444"/>
      <c r="EE137" s="444"/>
      <c r="EF137" s="444"/>
      <c r="EG137" s="444"/>
      <c r="EH137" s="444"/>
      <c r="EI137" s="444"/>
      <c r="EJ137" s="444"/>
      <c r="EK137" s="444"/>
      <c r="EL137" s="444"/>
      <c r="EM137" s="444"/>
      <c r="EN137" s="444"/>
      <c r="EO137" s="444"/>
      <c r="EP137" s="444"/>
      <c r="EQ137" s="444"/>
      <c r="ER137" s="444"/>
      <c r="ES137" s="444"/>
      <c r="ET137" s="444"/>
      <c r="EU137" s="444"/>
      <c r="EV137" s="444"/>
      <c r="EW137" s="444"/>
      <c r="EX137" s="444"/>
      <c r="EY137" s="444"/>
      <c r="EZ137" s="444"/>
      <c r="FA137" s="444"/>
      <c r="FB137" s="444"/>
      <c r="FC137" s="444"/>
      <c r="FD137" s="444"/>
      <c r="FE137" s="444"/>
      <c r="FF137" s="444"/>
      <c r="FG137" s="444"/>
      <c r="FH137" s="444"/>
      <c r="FI137" s="444"/>
      <c r="FJ137" s="444"/>
      <c r="FK137" s="444"/>
      <c r="FL137" s="444"/>
      <c r="FM137" s="444"/>
      <c r="FN137" s="444"/>
      <c r="FO137" s="444"/>
      <c r="FP137" s="444"/>
      <c r="FQ137" s="444"/>
      <c r="FR137" s="444"/>
      <c r="FS137" s="444"/>
      <c r="FT137" s="444"/>
      <c r="FU137" s="444"/>
      <c r="FV137" s="444"/>
      <c r="FW137" s="444"/>
      <c r="FX137" s="444"/>
      <c r="FY137" s="444"/>
      <c r="FZ137" s="444"/>
      <c r="GA137" s="444"/>
      <c r="GB137" s="444"/>
      <c r="GC137" s="444"/>
      <c r="GD137" s="444"/>
      <c r="GE137" s="444"/>
      <c r="GF137" s="444"/>
      <c r="GG137" s="444"/>
      <c r="GH137" s="444"/>
      <c r="GI137" s="444"/>
      <c r="GJ137" s="444"/>
      <c r="GK137" s="444"/>
      <c r="GL137" s="444"/>
      <c r="GM137" s="444"/>
      <c r="GN137" s="444"/>
      <c r="GO137" s="444"/>
      <c r="GP137" s="444"/>
      <c r="GQ137" s="444"/>
      <c r="GR137" s="444"/>
      <c r="GS137" s="444"/>
      <c r="GT137" s="444"/>
      <c r="GU137" s="444"/>
      <c r="GV137" s="444"/>
      <c r="GW137" s="444"/>
      <c r="GX137" s="444"/>
      <c r="GY137" s="444"/>
      <c r="GZ137" s="444"/>
      <c r="HA137" s="444"/>
      <c r="HB137" s="444"/>
      <c r="HC137" s="444"/>
      <c r="HD137" s="444"/>
      <c r="HE137" s="444"/>
      <c r="HF137" s="444"/>
      <c r="HG137" s="444"/>
      <c r="HH137" s="444"/>
      <c r="HI137" s="444"/>
      <c r="HJ137" s="444"/>
      <c r="HK137" s="444"/>
      <c r="HL137" s="444"/>
      <c r="HM137" s="444"/>
      <c r="HN137" s="444"/>
      <c r="HO137" s="444"/>
      <c r="HP137" s="444"/>
      <c r="HQ137" s="444"/>
      <c r="HR137" s="444"/>
      <c r="HS137" s="444"/>
      <c r="HT137" s="444"/>
      <c r="HU137" s="444"/>
      <c r="HV137" s="444"/>
      <c r="HW137" s="444"/>
      <c r="HX137" s="444"/>
      <c r="HY137" s="444"/>
      <c r="HZ137" s="444"/>
      <c r="IA137" s="444"/>
      <c r="IB137" s="444"/>
      <c r="IC137" s="444"/>
      <c r="ID137" s="444"/>
      <c r="IE137" s="444"/>
      <c r="IF137" s="444"/>
    </row>
    <row r="138" spans="1:240">
      <c r="A138" s="783" t="s">
        <v>32</v>
      </c>
      <c r="B138" s="701"/>
      <c r="C138" s="702"/>
      <c r="D138" s="442">
        <v>0</v>
      </c>
      <c r="E138" s="442">
        <v>0</v>
      </c>
      <c r="F138" s="442">
        <v>0</v>
      </c>
      <c r="G138" s="442">
        <v>0</v>
      </c>
      <c r="H138" s="442">
        <v>0</v>
      </c>
      <c r="I138" s="442">
        <v>0</v>
      </c>
      <c r="J138" s="442">
        <v>0</v>
      </c>
      <c r="K138" s="442">
        <v>0</v>
      </c>
      <c r="L138" s="442">
        <v>0</v>
      </c>
      <c r="M138" s="442">
        <v>0</v>
      </c>
      <c r="N138" s="442">
        <v>0</v>
      </c>
      <c r="O138" s="442">
        <v>0</v>
      </c>
      <c r="P138" s="443">
        <v>0</v>
      </c>
      <c r="R138" s="444"/>
      <c r="S138" s="444"/>
      <c r="T138" s="444"/>
      <c r="U138" s="444"/>
      <c r="V138" s="444"/>
      <c r="W138" s="444"/>
      <c r="X138" s="444"/>
      <c r="Y138" s="444"/>
      <c r="Z138" s="444"/>
      <c r="AA138" s="444"/>
      <c r="AB138" s="444"/>
      <c r="AC138" s="444"/>
      <c r="AD138" s="444"/>
      <c r="AE138" s="444"/>
      <c r="AF138" s="444"/>
      <c r="AG138" s="444"/>
      <c r="AH138" s="444"/>
      <c r="AI138" s="444"/>
      <c r="AJ138" s="444"/>
      <c r="AK138" s="444"/>
      <c r="AL138" s="444"/>
      <c r="AM138" s="444"/>
      <c r="AN138" s="444"/>
      <c r="AO138" s="444"/>
      <c r="AP138" s="444"/>
      <c r="AQ138" s="444"/>
      <c r="AR138" s="444"/>
      <c r="AS138" s="444"/>
      <c r="AT138" s="444"/>
      <c r="AU138" s="444"/>
      <c r="AV138" s="444"/>
      <c r="AW138" s="444"/>
      <c r="AX138" s="444"/>
      <c r="AY138" s="444"/>
      <c r="AZ138" s="444"/>
      <c r="BA138" s="444"/>
      <c r="BB138" s="444"/>
      <c r="BC138" s="444"/>
      <c r="BD138" s="444"/>
      <c r="BE138" s="444"/>
      <c r="BF138" s="444"/>
      <c r="BG138" s="444"/>
      <c r="BH138" s="444"/>
      <c r="BI138" s="444"/>
      <c r="BJ138" s="444"/>
      <c r="BK138" s="444"/>
      <c r="BL138" s="444"/>
      <c r="BM138" s="444"/>
      <c r="BN138" s="444"/>
      <c r="BO138" s="444"/>
      <c r="BP138" s="444"/>
      <c r="BQ138" s="444"/>
      <c r="BR138" s="444"/>
      <c r="BS138" s="444"/>
      <c r="BT138" s="444"/>
      <c r="BU138" s="444"/>
      <c r="BV138" s="444"/>
      <c r="BW138" s="444"/>
      <c r="BX138" s="444"/>
      <c r="BY138" s="444"/>
      <c r="BZ138" s="444"/>
      <c r="CA138" s="444"/>
      <c r="CB138" s="444"/>
      <c r="CC138" s="444"/>
      <c r="CD138" s="444"/>
      <c r="CE138" s="444"/>
      <c r="CF138" s="444"/>
      <c r="CG138" s="444"/>
      <c r="CH138" s="444"/>
      <c r="CI138" s="444"/>
      <c r="CJ138" s="444"/>
      <c r="CK138" s="444"/>
      <c r="CL138" s="444"/>
      <c r="CM138" s="444"/>
      <c r="CN138" s="444"/>
      <c r="CO138" s="444"/>
      <c r="CP138" s="444"/>
      <c r="CQ138" s="444"/>
      <c r="CR138" s="444"/>
      <c r="CS138" s="444"/>
      <c r="CT138" s="444"/>
      <c r="CU138" s="444"/>
      <c r="CV138" s="444"/>
      <c r="CW138" s="444"/>
      <c r="CX138" s="444"/>
      <c r="CY138" s="444"/>
      <c r="CZ138" s="444"/>
      <c r="DA138" s="444"/>
      <c r="DB138" s="444"/>
      <c r="DC138" s="444"/>
      <c r="DD138" s="444"/>
      <c r="DE138" s="444"/>
      <c r="DF138" s="444"/>
      <c r="DG138" s="444"/>
      <c r="DH138" s="444"/>
      <c r="DI138" s="444"/>
      <c r="DJ138" s="444"/>
      <c r="DK138" s="444"/>
      <c r="DL138" s="444"/>
      <c r="DM138" s="444"/>
      <c r="DN138" s="444"/>
      <c r="DO138" s="444"/>
      <c r="DP138" s="444"/>
      <c r="DQ138" s="444"/>
      <c r="DR138" s="444"/>
      <c r="DS138" s="444"/>
      <c r="DT138" s="444"/>
      <c r="DU138" s="444"/>
      <c r="DV138" s="444"/>
      <c r="DW138" s="444"/>
      <c r="DX138" s="444"/>
      <c r="DY138" s="444"/>
      <c r="DZ138" s="444"/>
      <c r="EA138" s="444"/>
      <c r="EB138" s="444"/>
      <c r="EC138" s="444"/>
      <c r="ED138" s="444"/>
      <c r="EE138" s="444"/>
      <c r="EF138" s="444"/>
      <c r="EG138" s="444"/>
      <c r="EH138" s="444"/>
      <c r="EI138" s="444"/>
      <c r="EJ138" s="444"/>
      <c r="EK138" s="444"/>
      <c r="EL138" s="444"/>
      <c r="EM138" s="444"/>
      <c r="EN138" s="444"/>
      <c r="EO138" s="444"/>
      <c r="EP138" s="444"/>
      <c r="EQ138" s="444"/>
      <c r="ER138" s="444"/>
      <c r="ES138" s="444"/>
      <c r="ET138" s="444"/>
      <c r="EU138" s="444"/>
      <c r="EV138" s="444"/>
      <c r="EW138" s="444"/>
      <c r="EX138" s="444"/>
      <c r="EY138" s="444"/>
      <c r="EZ138" s="444"/>
      <c r="FA138" s="444"/>
      <c r="FB138" s="444"/>
      <c r="FC138" s="444"/>
      <c r="FD138" s="444"/>
      <c r="FE138" s="444"/>
      <c r="FF138" s="444"/>
      <c r="FG138" s="444"/>
      <c r="FH138" s="444"/>
      <c r="FI138" s="444"/>
      <c r="FJ138" s="444"/>
      <c r="FK138" s="444"/>
      <c r="FL138" s="444"/>
      <c r="FM138" s="444"/>
      <c r="FN138" s="444"/>
      <c r="FO138" s="444"/>
      <c r="FP138" s="444"/>
      <c r="FQ138" s="444"/>
      <c r="FR138" s="444"/>
      <c r="FS138" s="444"/>
      <c r="FT138" s="444"/>
      <c r="FU138" s="444"/>
      <c r="FV138" s="444"/>
      <c r="FW138" s="444"/>
      <c r="FX138" s="444"/>
      <c r="FY138" s="444"/>
      <c r="FZ138" s="444"/>
      <c r="GA138" s="444"/>
      <c r="GB138" s="444"/>
      <c r="GC138" s="444"/>
      <c r="GD138" s="444"/>
      <c r="GE138" s="444"/>
      <c r="GF138" s="444"/>
      <c r="GG138" s="444"/>
      <c r="GH138" s="444"/>
      <c r="GI138" s="444"/>
      <c r="GJ138" s="444"/>
      <c r="GK138" s="444"/>
      <c r="GL138" s="444"/>
      <c r="GM138" s="444"/>
      <c r="GN138" s="444"/>
      <c r="GO138" s="444"/>
      <c r="GP138" s="444"/>
      <c r="GQ138" s="444"/>
      <c r="GR138" s="444"/>
      <c r="GS138" s="444"/>
      <c r="GT138" s="444"/>
      <c r="GU138" s="444"/>
      <c r="GV138" s="444"/>
      <c r="GW138" s="444"/>
      <c r="GX138" s="444"/>
      <c r="GY138" s="444"/>
      <c r="GZ138" s="444"/>
      <c r="HA138" s="444"/>
      <c r="HB138" s="444"/>
      <c r="HC138" s="444"/>
      <c r="HD138" s="444"/>
      <c r="HE138" s="444"/>
      <c r="HF138" s="444"/>
      <c r="HG138" s="444"/>
      <c r="HH138" s="444"/>
      <c r="HI138" s="444"/>
      <c r="HJ138" s="444"/>
      <c r="HK138" s="444"/>
      <c r="HL138" s="444"/>
      <c r="HM138" s="444"/>
      <c r="HN138" s="444"/>
      <c r="HO138" s="444"/>
      <c r="HP138" s="444"/>
      <c r="HQ138" s="444"/>
      <c r="HR138" s="444"/>
      <c r="HS138" s="444"/>
      <c r="HT138" s="444"/>
      <c r="HU138" s="444"/>
      <c r="HV138" s="444"/>
      <c r="HW138" s="444"/>
      <c r="HX138" s="444"/>
      <c r="HY138" s="444"/>
      <c r="HZ138" s="444"/>
      <c r="IA138" s="444"/>
      <c r="IB138" s="444"/>
      <c r="IC138" s="444"/>
      <c r="ID138" s="444"/>
      <c r="IE138" s="444"/>
      <c r="IF138" s="444"/>
    </row>
    <row r="139" spans="1:240">
      <c r="A139" s="783" t="s">
        <v>33</v>
      </c>
      <c r="B139" s="701"/>
      <c r="C139" s="702"/>
      <c r="D139" s="442">
        <v>0</v>
      </c>
      <c r="E139" s="442">
        <v>0</v>
      </c>
      <c r="F139" s="442">
        <v>0</v>
      </c>
      <c r="G139" s="442">
        <v>0</v>
      </c>
      <c r="H139" s="442">
        <v>0</v>
      </c>
      <c r="I139" s="442">
        <v>0</v>
      </c>
      <c r="J139" s="442">
        <v>0</v>
      </c>
      <c r="K139" s="442">
        <v>0</v>
      </c>
      <c r="L139" s="442">
        <v>0</v>
      </c>
      <c r="M139" s="442">
        <v>0</v>
      </c>
      <c r="N139" s="442">
        <v>0</v>
      </c>
      <c r="O139" s="442">
        <v>0</v>
      </c>
      <c r="P139" s="443">
        <v>0</v>
      </c>
      <c r="R139" s="444"/>
      <c r="S139" s="444"/>
      <c r="T139" s="444"/>
      <c r="U139" s="444"/>
      <c r="V139" s="444"/>
      <c r="W139" s="444"/>
      <c r="X139" s="444"/>
      <c r="Y139" s="444"/>
      <c r="Z139" s="444"/>
      <c r="AA139" s="444"/>
      <c r="AB139" s="444"/>
      <c r="AC139" s="444"/>
      <c r="AD139" s="444"/>
      <c r="AE139" s="444"/>
      <c r="AF139" s="444"/>
      <c r="AG139" s="444"/>
      <c r="AH139" s="444"/>
      <c r="AI139" s="444"/>
      <c r="AJ139" s="444"/>
      <c r="AK139" s="444"/>
      <c r="AL139" s="444"/>
      <c r="AM139" s="444"/>
      <c r="AN139" s="444"/>
      <c r="AO139" s="444"/>
      <c r="AP139" s="444"/>
      <c r="AQ139" s="444"/>
      <c r="AR139" s="444"/>
      <c r="AS139" s="444"/>
      <c r="AT139" s="444"/>
      <c r="AU139" s="444"/>
      <c r="AV139" s="444"/>
      <c r="AW139" s="444"/>
      <c r="AX139" s="444"/>
      <c r="AY139" s="444"/>
      <c r="AZ139" s="444"/>
      <c r="BA139" s="444"/>
      <c r="BB139" s="444"/>
      <c r="BC139" s="444"/>
      <c r="BD139" s="444"/>
      <c r="BE139" s="444"/>
      <c r="BF139" s="444"/>
      <c r="BG139" s="444"/>
      <c r="BH139" s="444"/>
      <c r="BI139" s="444"/>
      <c r="BJ139" s="444"/>
      <c r="BK139" s="444"/>
      <c r="BL139" s="444"/>
      <c r="BM139" s="444"/>
      <c r="BN139" s="444"/>
      <c r="BO139" s="444"/>
      <c r="BP139" s="444"/>
      <c r="BQ139" s="444"/>
      <c r="BR139" s="444"/>
      <c r="BS139" s="444"/>
      <c r="BT139" s="444"/>
      <c r="BU139" s="444"/>
      <c r="BV139" s="444"/>
      <c r="BW139" s="444"/>
      <c r="BX139" s="444"/>
      <c r="BY139" s="444"/>
      <c r="BZ139" s="444"/>
      <c r="CA139" s="444"/>
      <c r="CB139" s="444"/>
      <c r="CC139" s="444"/>
      <c r="CD139" s="444"/>
      <c r="CE139" s="444"/>
      <c r="CF139" s="444"/>
      <c r="CG139" s="444"/>
      <c r="CH139" s="444"/>
      <c r="CI139" s="444"/>
      <c r="CJ139" s="444"/>
      <c r="CK139" s="444"/>
      <c r="CL139" s="444"/>
      <c r="CM139" s="444"/>
      <c r="CN139" s="444"/>
      <c r="CO139" s="444"/>
      <c r="CP139" s="444"/>
      <c r="CQ139" s="444"/>
      <c r="CR139" s="444"/>
      <c r="CS139" s="444"/>
      <c r="CT139" s="444"/>
      <c r="CU139" s="444"/>
      <c r="CV139" s="444"/>
      <c r="CW139" s="444"/>
      <c r="CX139" s="444"/>
      <c r="CY139" s="444"/>
      <c r="CZ139" s="444"/>
      <c r="DA139" s="444"/>
      <c r="DB139" s="444"/>
      <c r="DC139" s="444"/>
      <c r="DD139" s="444"/>
      <c r="DE139" s="444"/>
      <c r="DF139" s="444"/>
      <c r="DG139" s="444"/>
      <c r="DH139" s="444"/>
      <c r="DI139" s="444"/>
      <c r="DJ139" s="444"/>
      <c r="DK139" s="444"/>
      <c r="DL139" s="444"/>
      <c r="DM139" s="444"/>
      <c r="DN139" s="444"/>
      <c r="DO139" s="444"/>
      <c r="DP139" s="444"/>
      <c r="DQ139" s="444"/>
      <c r="DR139" s="444"/>
      <c r="DS139" s="444"/>
      <c r="DT139" s="444"/>
      <c r="DU139" s="444"/>
      <c r="DV139" s="444"/>
      <c r="DW139" s="444"/>
      <c r="DX139" s="444"/>
      <c r="DY139" s="444"/>
      <c r="DZ139" s="444"/>
      <c r="EA139" s="444"/>
      <c r="EB139" s="444"/>
      <c r="EC139" s="444"/>
      <c r="ED139" s="444"/>
      <c r="EE139" s="444"/>
      <c r="EF139" s="444"/>
      <c r="EG139" s="444"/>
      <c r="EH139" s="444"/>
      <c r="EI139" s="444"/>
      <c r="EJ139" s="444"/>
      <c r="EK139" s="444"/>
      <c r="EL139" s="444"/>
      <c r="EM139" s="444"/>
      <c r="EN139" s="444"/>
      <c r="EO139" s="444"/>
      <c r="EP139" s="444"/>
      <c r="EQ139" s="444"/>
      <c r="ER139" s="444"/>
      <c r="ES139" s="444"/>
      <c r="ET139" s="444"/>
      <c r="EU139" s="444"/>
      <c r="EV139" s="444"/>
      <c r="EW139" s="444"/>
      <c r="EX139" s="444"/>
      <c r="EY139" s="444"/>
      <c r="EZ139" s="444"/>
      <c r="FA139" s="444"/>
      <c r="FB139" s="444"/>
      <c r="FC139" s="444"/>
      <c r="FD139" s="444"/>
      <c r="FE139" s="444"/>
      <c r="FF139" s="444"/>
      <c r="FG139" s="444"/>
      <c r="FH139" s="444"/>
      <c r="FI139" s="444"/>
      <c r="FJ139" s="444"/>
      <c r="FK139" s="444"/>
      <c r="FL139" s="444"/>
      <c r="FM139" s="444"/>
      <c r="FN139" s="444"/>
      <c r="FO139" s="444"/>
      <c r="FP139" s="444"/>
      <c r="FQ139" s="444"/>
      <c r="FR139" s="444"/>
      <c r="FS139" s="444"/>
      <c r="FT139" s="444"/>
      <c r="FU139" s="444"/>
      <c r="FV139" s="444"/>
      <c r="FW139" s="444"/>
      <c r="FX139" s="444"/>
      <c r="FY139" s="444"/>
      <c r="FZ139" s="444"/>
      <c r="GA139" s="444"/>
      <c r="GB139" s="444"/>
      <c r="GC139" s="444"/>
      <c r="GD139" s="444"/>
      <c r="GE139" s="444"/>
      <c r="GF139" s="444"/>
      <c r="GG139" s="444"/>
      <c r="GH139" s="444"/>
      <c r="GI139" s="444"/>
      <c r="GJ139" s="444"/>
      <c r="GK139" s="444"/>
      <c r="GL139" s="444"/>
      <c r="GM139" s="444"/>
      <c r="GN139" s="444"/>
      <c r="GO139" s="444"/>
      <c r="GP139" s="444"/>
      <c r="GQ139" s="444"/>
      <c r="GR139" s="444"/>
      <c r="GS139" s="444"/>
      <c r="GT139" s="444"/>
      <c r="GU139" s="444"/>
      <c r="GV139" s="444"/>
      <c r="GW139" s="444"/>
      <c r="GX139" s="444"/>
      <c r="GY139" s="444"/>
      <c r="GZ139" s="444"/>
      <c r="HA139" s="444"/>
      <c r="HB139" s="444"/>
      <c r="HC139" s="444"/>
      <c r="HD139" s="444"/>
      <c r="HE139" s="444"/>
      <c r="HF139" s="444"/>
      <c r="HG139" s="444"/>
      <c r="HH139" s="444"/>
      <c r="HI139" s="444"/>
      <c r="HJ139" s="444"/>
      <c r="HK139" s="444"/>
      <c r="HL139" s="444"/>
      <c r="HM139" s="444"/>
      <c r="HN139" s="444"/>
      <c r="HO139" s="444"/>
      <c r="HP139" s="444"/>
      <c r="HQ139" s="444"/>
      <c r="HR139" s="444"/>
      <c r="HS139" s="444"/>
      <c r="HT139" s="444"/>
      <c r="HU139" s="444"/>
      <c r="HV139" s="444"/>
      <c r="HW139" s="444"/>
      <c r="HX139" s="444"/>
      <c r="HY139" s="444"/>
      <c r="HZ139" s="444"/>
      <c r="IA139" s="444"/>
      <c r="IB139" s="444"/>
      <c r="IC139" s="444"/>
      <c r="ID139" s="444"/>
      <c r="IE139" s="444"/>
      <c r="IF139" s="444"/>
    </row>
    <row r="140" spans="1:240">
      <c r="A140" s="783" t="s">
        <v>34</v>
      </c>
      <c r="B140" s="701"/>
      <c r="C140" s="702"/>
      <c r="D140" s="450">
        <v>0</v>
      </c>
      <c r="E140" s="450">
        <v>0</v>
      </c>
      <c r="F140" s="450">
        <v>0</v>
      </c>
      <c r="G140" s="450">
        <v>0</v>
      </c>
      <c r="H140" s="450">
        <v>0</v>
      </c>
      <c r="I140" s="450">
        <v>0</v>
      </c>
      <c r="J140" s="450">
        <v>0</v>
      </c>
      <c r="K140" s="450">
        <v>0</v>
      </c>
      <c r="L140" s="450">
        <v>0</v>
      </c>
      <c r="M140" s="450">
        <v>0</v>
      </c>
      <c r="N140" s="450">
        <v>0</v>
      </c>
      <c r="O140" s="450">
        <v>0</v>
      </c>
      <c r="P140" s="443">
        <v>0</v>
      </c>
      <c r="R140" s="444"/>
      <c r="S140" s="444"/>
      <c r="T140" s="444"/>
      <c r="U140" s="444"/>
      <c r="V140" s="444"/>
      <c r="W140" s="444"/>
      <c r="X140" s="444"/>
      <c r="Y140" s="444"/>
      <c r="Z140" s="444"/>
      <c r="AA140" s="444"/>
      <c r="AB140" s="444"/>
      <c r="AC140" s="444"/>
      <c r="AD140" s="444"/>
      <c r="AE140" s="444"/>
      <c r="AF140" s="444"/>
      <c r="AG140" s="444"/>
      <c r="AH140" s="444"/>
      <c r="AI140" s="444"/>
      <c r="AJ140" s="444"/>
      <c r="AK140" s="444"/>
      <c r="AL140" s="444"/>
      <c r="AM140" s="444"/>
      <c r="AN140" s="444"/>
      <c r="AO140" s="444"/>
      <c r="AP140" s="444"/>
      <c r="AQ140" s="444"/>
      <c r="AR140" s="444"/>
      <c r="AS140" s="444"/>
      <c r="AT140" s="444"/>
      <c r="AU140" s="444"/>
      <c r="AV140" s="444"/>
      <c r="AW140" s="444"/>
      <c r="AX140" s="444"/>
      <c r="AY140" s="444"/>
      <c r="AZ140" s="444"/>
      <c r="BA140" s="444"/>
      <c r="BB140" s="444"/>
      <c r="BC140" s="444"/>
      <c r="BD140" s="444"/>
      <c r="BE140" s="444"/>
      <c r="BF140" s="444"/>
      <c r="BG140" s="444"/>
      <c r="BH140" s="444"/>
      <c r="BI140" s="444"/>
      <c r="BJ140" s="444"/>
      <c r="BK140" s="444"/>
      <c r="BL140" s="444"/>
      <c r="BM140" s="444"/>
      <c r="BN140" s="444"/>
      <c r="BO140" s="444"/>
      <c r="BP140" s="444"/>
      <c r="BQ140" s="444"/>
      <c r="BR140" s="444"/>
      <c r="BS140" s="444"/>
      <c r="BT140" s="444"/>
      <c r="BU140" s="444"/>
      <c r="BV140" s="444"/>
      <c r="BW140" s="444"/>
      <c r="BX140" s="444"/>
      <c r="BY140" s="444"/>
      <c r="BZ140" s="444"/>
      <c r="CA140" s="444"/>
      <c r="CB140" s="444"/>
      <c r="CC140" s="444"/>
      <c r="CD140" s="444"/>
      <c r="CE140" s="444"/>
      <c r="CF140" s="444"/>
      <c r="CG140" s="444"/>
      <c r="CH140" s="444"/>
      <c r="CI140" s="444"/>
      <c r="CJ140" s="444"/>
      <c r="CK140" s="444"/>
      <c r="CL140" s="444"/>
      <c r="CM140" s="444"/>
      <c r="CN140" s="444"/>
      <c r="CO140" s="444"/>
      <c r="CP140" s="444"/>
      <c r="CQ140" s="444"/>
      <c r="CR140" s="444"/>
      <c r="CS140" s="444"/>
      <c r="CT140" s="444"/>
      <c r="CU140" s="444"/>
      <c r="CV140" s="444"/>
      <c r="CW140" s="444"/>
      <c r="CX140" s="444"/>
      <c r="CY140" s="444"/>
      <c r="CZ140" s="444"/>
      <c r="DA140" s="444"/>
      <c r="DB140" s="444"/>
      <c r="DC140" s="444"/>
      <c r="DD140" s="444"/>
      <c r="DE140" s="444"/>
      <c r="DF140" s="444"/>
      <c r="DG140" s="444"/>
      <c r="DH140" s="444"/>
      <c r="DI140" s="444"/>
      <c r="DJ140" s="444"/>
      <c r="DK140" s="444"/>
      <c r="DL140" s="444"/>
      <c r="DM140" s="444"/>
      <c r="DN140" s="444"/>
      <c r="DO140" s="444"/>
      <c r="DP140" s="444"/>
      <c r="DQ140" s="444"/>
      <c r="DR140" s="444"/>
      <c r="DS140" s="444"/>
      <c r="DT140" s="444"/>
      <c r="DU140" s="444"/>
      <c r="DV140" s="444"/>
      <c r="DW140" s="444"/>
      <c r="DX140" s="444"/>
      <c r="DY140" s="444"/>
      <c r="DZ140" s="444"/>
      <c r="EA140" s="444"/>
      <c r="EB140" s="444"/>
      <c r="EC140" s="444"/>
      <c r="ED140" s="444"/>
      <c r="EE140" s="444"/>
      <c r="EF140" s="444"/>
      <c r="EG140" s="444"/>
      <c r="EH140" s="444"/>
      <c r="EI140" s="444"/>
      <c r="EJ140" s="444"/>
      <c r="EK140" s="444"/>
      <c r="EL140" s="444"/>
      <c r="EM140" s="444"/>
      <c r="EN140" s="444"/>
      <c r="EO140" s="444"/>
      <c r="EP140" s="444"/>
      <c r="EQ140" s="444"/>
      <c r="ER140" s="444"/>
      <c r="ES140" s="444"/>
      <c r="ET140" s="444"/>
      <c r="EU140" s="444"/>
      <c r="EV140" s="444"/>
      <c r="EW140" s="444"/>
      <c r="EX140" s="444"/>
      <c r="EY140" s="444"/>
      <c r="EZ140" s="444"/>
      <c r="FA140" s="444"/>
      <c r="FB140" s="444"/>
      <c r="FC140" s="444"/>
      <c r="FD140" s="444"/>
      <c r="FE140" s="444"/>
      <c r="FF140" s="444"/>
      <c r="FG140" s="444"/>
      <c r="FH140" s="444"/>
      <c r="FI140" s="444"/>
      <c r="FJ140" s="444"/>
      <c r="FK140" s="444"/>
      <c r="FL140" s="444"/>
      <c r="FM140" s="444"/>
      <c r="FN140" s="444"/>
      <c r="FO140" s="444"/>
      <c r="FP140" s="444"/>
      <c r="FQ140" s="444"/>
      <c r="FR140" s="444"/>
      <c r="FS140" s="444"/>
      <c r="FT140" s="444"/>
      <c r="FU140" s="444"/>
      <c r="FV140" s="444"/>
      <c r="FW140" s="444"/>
      <c r="FX140" s="444"/>
      <c r="FY140" s="444"/>
      <c r="FZ140" s="444"/>
      <c r="GA140" s="444"/>
      <c r="GB140" s="444"/>
      <c r="GC140" s="444"/>
      <c r="GD140" s="444"/>
      <c r="GE140" s="444"/>
      <c r="GF140" s="444"/>
      <c r="GG140" s="444"/>
      <c r="GH140" s="444"/>
      <c r="GI140" s="444"/>
      <c r="GJ140" s="444"/>
      <c r="GK140" s="444"/>
      <c r="GL140" s="444"/>
      <c r="GM140" s="444"/>
      <c r="GN140" s="444"/>
      <c r="GO140" s="444"/>
      <c r="GP140" s="444"/>
      <c r="GQ140" s="444"/>
      <c r="GR140" s="444"/>
      <c r="GS140" s="444"/>
      <c r="GT140" s="444"/>
      <c r="GU140" s="444"/>
      <c r="GV140" s="444"/>
      <c r="GW140" s="444"/>
      <c r="GX140" s="444"/>
      <c r="GY140" s="444"/>
      <c r="GZ140" s="444"/>
      <c r="HA140" s="444"/>
      <c r="HB140" s="444"/>
      <c r="HC140" s="444"/>
      <c r="HD140" s="444"/>
      <c r="HE140" s="444"/>
      <c r="HF140" s="444"/>
      <c r="HG140" s="444"/>
      <c r="HH140" s="444"/>
      <c r="HI140" s="444"/>
      <c r="HJ140" s="444"/>
      <c r="HK140" s="444"/>
      <c r="HL140" s="444"/>
      <c r="HM140" s="444"/>
      <c r="HN140" s="444"/>
      <c r="HO140" s="444"/>
      <c r="HP140" s="444"/>
      <c r="HQ140" s="444"/>
      <c r="HR140" s="444"/>
      <c r="HS140" s="444"/>
      <c r="HT140" s="444"/>
      <c r="HU140" s="444"/>
      <c r="HV140" s="444"/>
      <c r="HW140" s="444"/>
      <c r="HX140" s="444"/>
      <c r="HY140" s="444"/>
      <c r="HZ140" s="444"/>
      <c r="IA140" s="444"/>
      <c r="IB140" s="444"/>
      <c r="IC140" s="444"/>
      <c r="ID140" s="444"/>
      <c r="IE140" s="444"/>
      <c r="IF140" s="444"/>
    </row>
    <row r="141" spans="1:240" ht="12.95" thickBot="1">
      <c r="A141" s="784" t="s">
        <v>35</v>
      </c>
      <c r="B141" s="778"/>
      <c r="C141" s="779"/>
      <c r="D141" s="447">
        <v>0</v>
      </c>
      <c r="E141" s="447">
        <v>0</v>
      </c>
      <c r="F141" s="447">
        <v>0</v>
      </c>
      <c r="G141" s="447">
        <v>0</v>
      </c>
      <c r="H141" s="447">
        <v>0</v>
      </c>
      <c r="I141" s="447">
        <v>0</v>
      </c>
      <c r="J141" s="447">
        <v>0</v>
      </c>
      <c r="K141" s="447">
        <v>0</v>
      </c>
      <c r="L141" s="447">
        <v>0</v>
      </c>
      <c r="M141" s="447">
        <v>0</v>
      </c>
      <c r="N141" s="447">
        <v>0</v>
      </c>
      <c r="O141" s="447">
        <v>0</v>
      </c>
      <c r="P141" s="443">
        <v>0</v>
      </c>
      <c r="R141" s="444"/>
      <c r="S141" s="444"/>
      <c r="T141" s="444"/>
      <c r="U141" s="444"/>
      <c r="V141" s="444"/>
      <c r="W141" s="444"/>
      <c r="X141" s="444"/>
      <c r="Y141" s="444"/>
      <c r="Z141" s="444"/>
      <c r="AA141" s="444"/>
      <c r="AB141" s="444"/>
      <c r="AC141" s="444"/>
      <c r="AD141" s="444"/>
      <c r="AE141" s="444"/>
      <c r="AF141" s="444"/>
      <c r="AG141" s="444"/>
      <c r="AH141" s="444"/>
      <c r="AI141" s="444"/>
      <c r="AJ141" s="444"/>
      <c r="AK141" s="444"/>
      <c r="AL141" s="444"/>
      <c r="AM141" s="444"/>
      <c r="AN141" s="444"/>
      <c r="AO141" s="444"/>
      <c r="AP141" s="444"/>
      <c r="AQ141" s="444"/>
      <c r="AR141" s="444"/>
      <c r="AS141" s="444"/>
      <c r="AT141" s="444"/>
      <c r="AU141" s="444"/>
      <c r="AV141" s="444"/>
      <c r="AW141" s="444"/>
      <c r="AX141" s="444"/>
      <c r="AY141" s="444"/>
      <c r="AZ141" s="444"/>
      <c r="BA141" s="444"/>
      <c r="BB141" s="444"/>
      <c r="BC141" s="444"/>
      <c r="BD141" s="444"/>
      <c r="BE141" s="444"/>
      <c r="BF141" s="444"/>
      <c r="BG141" s="444"/>
      <c r="BH141" s="444"/>
      <c r="BI141" s="444"/>
      <c r="BJ141" s="444"/>
      <c r="BK141" s="444"/>
      <c r="BL141" s="444"/>
      <c r="BM141" s="444"/>
      <c r="BN141" s="444"/>
      <c r="BO141" s="444"/>
      <c r="BP141" s="444"/>
      <c r="BQ141" s="444"/>
      <c r="BR141" s="444"/>
      <c r="BS141" s="444"/>
      <c r="BT141" s="444"/>
      <c r="BU141" s="444"/>
      <c r="BV141" s="444"/>
      <c r="BW141" s="444"/>
      <c r="BX141" s="444"/>
      <c r="BY141" s="444"/>
      <c r="BZ141" s="444"/>
      <c r="CA141" s="444"/>
      <c r="CB141" s="444"/>
      <c r="CC141" s="444"/>
      <c r="CD141" s="444"/>
      <c r="CE141" s="444"/>
      <c r="CF141" s="444"/>
      <c r="CG141" s="444"/>
      <c r="CH141" s="444"/>
      <c r="CI141" s="444"/>
      <c r="CJ141" s="444"/>
      <c r="CK141" s="444"/>
      <c r="CL141" s="444"/>
      <c r="CM141" s="444"/>
      <c r="CN141" s="444"/>
      <c r="CO141" s="444"/>
      <c r="CP141" s="444"/>
      <c r="CQ141" s="444"/>
      <c r="CR141" s="444"/>
      <c r="CS141" s="444"/>
      <c r="CT141" s="444"/>
      <c r="CU141" s="444"/>
      <c r="CV141" s="444"/>
      <c r="CW141" s="444"/>
      <c r="CX141" s="444"/>
      <c r="CY141" s="444"/>
      <c r="CZ141" s="444"/>
      <c r="DA141" s="444"/>
      <c r="DB141" s="444"/>
      <c r="DC141" s="444"/>
      <c r="DD141" s="444"/>
      <c r="DE141" s="444"/>
      <c r="DF141" s="444"/>
      <c r="DG141" s="444"/>
      <c r="DH141" s="444"/>
      <c r="DI141" s="444"/>
      <c r="DJ141" s="444"/>
      <c r="DK141" s="444"/>
      <c r="DL141" s="444"/>
      <c r="DM141" s="444"/>
      <c r="DN141" s="444"/>
      <c r="DO141" s="444"/>
      <c r="DP141" s="444"/>
      <c r="DQ141" s="444"/>
      <c r="DR141" s="444"/>
      <c r="DS141" s="444"/>
      <c r="DT141" s="444"/>
      <c r="DU141" s="444"/>
      <c r="DV141" s="444"/>
      <c r="DW141" s="444"/>
      <c r="DX141" s="444"/>
      <c r="DY141" s="444"/>
      <c r="DZ141" s="444"/>
      <c r="EA141" s="444"/>
      <c r="EB141" s="444"/>
      <c r="EC141" s="444"/>
      <c r="ED141" s="444"/>
      <c r="EE141" s="444"/>
      <c r="EF141" s="444"/>
      <c r="EG141" s="444"/>
      <c r="EH141" s="444"/>
      <c r="EI141" s="444"/>
      <c r="EJ141" s="444"/>
      <c r="EK141" s="444"/>
      <c r="EL141" s="444"/>
      <c r="EM141" s="444"/>
      <c r="EN141" s="444"/>
      <c r="EO141" s="444"/>
      <c r="EP141" s="444"/>
      <c r="EQ141" s="444"/>
      <c r="ER141" s="444"/>
      <c r="ES141" s="444"/>
      <c r="ET141" s="444"/>
      <c r="EU141" s="444"/>
      <c r="EV141" s="444"/>
      <c r="EW141" s="444"/>
      <c r="EX141" s="444"/>
      <c r="EY141" s="444"/>
      <c r="EZ141" s="444"/>
      <c r="FA141" s="444"/>
      <c r="FB141" s="444"/>
      <c r="FC141" s="444"/>
      <c r="FD141" s="444"/>
      <c r="FE141" s="444"/>
      <c r="FF141" s="444"/>
      <c r="FG141" s="444"/>
      <c r="FH141" s="444"/>
      <c r="FI141" s="444"/>
      <c r="FJ141" s="444"/>
      <c r="FK141" s="444"/>
      <c r="FL141" s="444"/>
      <c r="FM141" s="444"/>
      <c r="FN141" s="444"/>
      <c r="FO141" s="444"/>
      <c r="FP141" s="444"/>
      <c r="FQ141" s="444"/>
      <c r="FR141" s="444"/>
      <c r="FS141" s="444"/>
      <c r="FT141" s="444"/>
      <c r="FU141" s="444"/>
      <c r="FV141" s="444"/>
      <c r="FW141" s="444"/>
      <c r="FX141" s="444"/>
      <c r="FY141" s="444"/>
      <c r="FZ141" s="444"/>
      <c r="GA141" s="444"/>
      <c r="GB141" s="444"/>
      <c r="GC141" s="444"/>
      <c r="GD141" s="444"/>
      <c r="GE141" s="444"/>
      <c r="GF141" s="444"/>
      <c r="GG141" s="444"/>
      <c r="GH141" s="444"/>
      <c r="GI141" s="444"/>
      <c r="GJ141" s="444"/>
      <c r="GK141" s="444"/>
      <c r="GL141" s="444"/>
      <c r="GM141" s="444"/>
      <c r="GN141" s="444"/>
      <c r="GO141" s="444"/>
      <c r="GP141" s="444"/>
      <c r="GQ141" s="444"/>
      <c r="GR141" s="444"/>
      <c r="GS141" s="444"/>
      <c r="GT141" s="444"/>
      <c r="GU141" s="444"/>
      <c r="GV141" s="444"/>
      <c r="GW141" s="444"/>
      <c r="GX141" s="444"/>
      <c r="GY141" s="444"/>
      <c r="GZ141" s="444"/>
      <c r="HA141" s="444"/>
      <c r="HB141" s="444"/>
      <c r="HC141" s="444"/>
      <c r="HD141" s="444"/>
      <c r="HE141" s="444"/>
      <c r="HF141" s="444"/>
      <c r="HG141" s="444"/>
      <c r="HH141" s="444"/>
      <c r="HI141" s="444"/>
      <c r="HJ141" s="444"/>
      <c r="HK141" s="444"/>
      <c r="HL141" s="444"/>
      <c r="HM141" s="444"/>
      <c r="HN141" s="444"/>
      <c r="HO141" s="444"/>
      <c r="HP141" s="444"/>
      <c r="HQ141" s="444"/>
      <c r="HR141" s="444"/>
      <c r="HS141" s="444"/>
      <c r="HT141" s="444"/>
      <c r="HU141" s="444"/>
      <c r="HV141" s="444"/>
      <c r="HW141" s="444"/>
      <c r="HX141" s="444"/>
      <c r="HY141" s="444"/>
      <c r="HZ141" s="444"/>
      <c r="IA141" s="444"/>
      <c r="IB141" s="444"/>
      <c r="IC141" s="444"/>
      <c r="ID141" s="444"/>
      <c r="IE141" s="444"/>
      <c r="IF141" s="444"/>
    </row>
    <row r="142" spans="1:240" ht="12.95">
      <c r="A142" s="151"/>
      <c r="B142" s="203"/>
      <c r="C142" s="203"/>
    </row>
    <row r="143" spans="1:240" ht="14.1" thickBot="1">
      <c r="A143" s="342" t="s">
        <v>278</v>
      </c>
      <c r="B143" s="342"/>
      <c r="C143" s="342"/>
    </row>
    <row r="144" spans="1:240" ht="13.5">
      <c r="A144" s="729" t="s">
        <v>1</v>
      </c>
      <c r="B144" s="730"/>
      <c r="C144" s="730"/>
      <c r="D144" s="344" t="s">
        <v>252</v>
      </c>
      <c r="E144" s="344" t="s">
        <v>253</v>
      </c>
      <c r="F144" s="344" t="s">
        <v>254</v>
      </c>
      <c r="G144" s="344" t="s">
        <v>255</v>
      </c>
      <c r="H144" s="344" t="s">
        <v>256</v>
      </c>
      <c r="I144" s="344" t="s">
        <v>257</v>
      </c>
      <c r="J144" s="344" t="s">
        <v>258</v>
      </c>
      <c r="K144" s="344" t="s">
        <v>259</v>
      </c>
      <c r="L144" s="344" t="s">
        <v>260</v>
      </c>
      <c r="M144" s="344" t="s">
        <v>261</v>
      </c>
      <c r="N144" s="344" t="s">
        <v>262</v>
      </c>
      <c r="O144" s="344" t="s">
        <v>263</v>
      </c>
      <c r="P144" s="345" t="s">
        <v>264</v>
      </c>
    </row>
    <row r="145" spans="1:240">
      <c r="A145" s="722" t="s">
        <v>11</v>
      </c>
      <c r="B145" s="723"/>
      <c r="C145" s="723"/>
      <c r="D145" s="452">
        <v>5413</v>
      </c>
      <c r="E145" s="452">
        <v>5064</v>
      </c>
      <c r="F145" s="452">
        <v>4866</v>
      </c>
      <c r="G145" s="452">
        <v>3335</v>
      </c>
      <c r="H145" s="452">
        <v>3466</v>
      </c>
      <c r="I145" s="452">
        <v>3747</v>
      </c>
      <c r="J145" s="452">
        <v>5818</v>
      </c>
      <c r="K145" s="452">
        <v>6040</v>
      </c>
      <c r="L145" s="452">
        <v>5648</v>
      </c>
      <c r="M145" s="452">
        <v>6285</v>
      </c>
      <c r="N145" s="452">
        <v>4634</v>
      </c>
      <c r="O145" s="452">
        <v>3831</v>
      </c>
      <c r="P145" s="452">
        <v>58147</v>
      </c>
    </row>
    <row r="146" spans="1:240">
      <c r="A146" s="710" t="s">
        <v>12</v>
      </c>
      <c r="B146" s="711"/>
      <c r="C146" s="711"/>
      <c r="D146" s="452">
        <v>28</v>
      </c>
      <c r="E146" s="452">
        <v>99</v>
      </c>
      <c r="F146" s="452">
        <v>96</v>
      </c>
      <c r="G146" s="452">
        <v>50</v>
      </c>
      <c r="H146" s="452">
        <v>17</v>
      </c>
      <c r="I146" s="452">
        <v>0</v>
      </c>
      <c r="J146" s="452">
        <v>0</v>
      </c>
      <c r="K146" s="452">
        <v>0</v>
      </c>
      <c r="L146" s="452">
        <v>86</v>
      </c>
      <c r="M146" s="452">
        <v>24</v>
      </c>
      <c r="N146" s="452">
        <v>17</v>
      </c>
      <c r="O146" s="452">
        <v>0</v>
      </c>
      <c r="P146" s="452">
        <v>417</v>
      </c>
    </row>
    <row r="147" spans="1:240">
      <c r="A147" s="710" t="s">
        <v>13</v>
      </c>
      <c r="B147" s="711"/>
      <c r="C147" s="711"/>
      <c r="D147" s="452">
        <v>411</v>
      </c>
      <c r="E147" s="452">
        <v>492</v>
      </c>
      <c r="F147" s="452">
        <v>439</v>
      </c>
      <c r="G147" s="452">
        <v>174</v>
      </c>
      <c r="H147" s="452">
        <v>145</v>
      </c>
      <c r="I147" s="452">
        <v>88</v>
      </c>
      <c r="J147" s="452">
        <v>66</v>
      </c>
      <c r="K147" s="452">
        <v>82</v>
      </c>
      <c r="L147" s="452">
        <v>99</v>
      </c>
      <c r="M147" s="452">
        <v>140</v>
      </c>
      <c r="N147" s="452">
        <v>119</v>
      </c>
      <c r="O147" s="452">
        <v>59</v>
      </c>
      <c r="P147" s="452">
        <v>2314</v>
      </c>
    </row>
    <row r="148" spans="1:240">
      <c r="A148" s="710" t="s">
        <v>14</v>
      </c>
      <c r="B148" s="711"/>
      <c r="C148" s="711"/>
      <c r="D148" s="452">
        <v>303</v>
      </c>
      <c r="E148" s="452">
        <v>465</v>
      </c>
      <c r="F148" s="452">
        <v>274</v>
      </c>
      <c r="G148" s="452">
        <v>151</v>
      </c>
      <c r="H148" s="452">
        <v>230</v>
      </c>
      <c r="I148" s="452">
        <v>212</v>
      </c>
      <c r="J148" s="452">
        <v>311</v>
      </c>
      <c r="K148" s="452">
        <v>263</v>
      </c>
      <c r="L148" s="452">
        <v>283</v>
      </c>
      <c r="M148" s="452">
        <v>476</v>
      </c>
      <c r="N148" s="452">
        <v>241</v>
      </c>
      <c r="O148" s="452">
        <v>259</v>
      </c>
      <c r="P148" s="452">
        <v>3468</v>
      </c>
    </row>
    <row r="149" spans="1:240">
      <c r="A149" s="710" t="s">
        <v>21</v>
      </c>
      <c r="B149" s="711"/>
      <c r="C149" s="711"/>
      <c r="D149" s="452">
        <v>442</v>
      </c>
      <c r="E149" s="452">
        <v>590</v>
      </c>
      <c r="F149" s="452">
        <v>992</v>
      </c>
      <c r="G149" s="452">
        <v>766</v>
      </c>
      <c r="H149" s="452">
        <v>758</v>
      </c>
      <c r="I149" s="452">
        <v>648</v>
      </c>
      <c r="J149" s="452">
        <v>689</v>
      </c>
      <c r="K149" s="452">
        <v>894</v>
      </c>
      <c r="L149" s="452">
        <v>537</v>
      </c>
      <c r="M149" s="452">
        <v>692</v>
      </c>
      <c r="N149" s="452">
        <v>964</v>
      </c>
      <c r="O149" s="452">
        <v>810</v>
      </c>
      <c r="P149" s="452">
        <v>8782</v>
      </c>
    </row>
    <row r="150" spans="1:240">
      <c r="A150" s="717" t="s">
        <v>16</v>
      </c>
      <c r="B150" s="718"/>
      <c r="C150" s="718"/>
      <c r="D150" s="452">
        <v>248</v>
      </c>
      <c r="E150" s="452">
        <v>89</v>
      </c>
      <c r="F150" s="452">
        <v>78</v>
      </c>
      <c r="G150" s="452">
        <v>101</v>
      </c>
      <c r="H150" s="452">
        <v>142</v>
      </c>
      <c r="I150" s="452">
        <v>186</v>
      </c>
      <c r="J150" s="452">
        <v>92</v>
      </c>
      <c r="K150" s="452">
        <v>114</v>
      </c>
      <c r="L150" s="452">
        <v>176</v>
      </c>
      <c r="M150" s="452">
        <v>114</v>
      </c>
      <c r="N150" s="452">
        <v>145</v>
      </c>
      <c r="O150" s="452">
        <v>126</v>
      </c>
      <c r="P150" s="452">
        <v>1611</v>
      </c>
    </row>
    <row r="151" spans="1:240" ht="13.5">
      <c r="A151" s="708" t="s">
        <v>17</v>
      </c>
      <c r="B151" s="709"/>
      <c r="C151" s="709"/>
      <c r="D151" s="452">
        <v>13</v>
      </c>
      <c r="E151" s="452">
        <v>28</v>
      </c>
      <c r="F151" s="452">
        <v>8</v>
      </c>
      <c r="G151" s="452">
        <v>10</v>
      </c>
      <c r="H151" s="452">
        <v>1</v>
      </c>
      <c r="I151" s="452">
        <v>9</v>
      </c>
      <c r="J151" s="452">
        <v>57</v>
      </c>
      <c r="K151" s="452">
        <v>13</v>
      </c>
      <c r="L151" s="452">
        <v>5</v>
      </c>
      <c r="M151" s="452">
        <v>24</v>
      </c>
      <c r="N151" s="452">
        <v>20</v>
      </c>
      <c r="O151" s="452">
        <v>17</v>
      </c>
      <c r="P151" s="452">
        <v>302.33333333333331</v>
      </c>
    </row>
    <row r="152" spans="1:240" ht="13.5">
      <c r="A152" s="714" t="s">
        <v>49</v>
      </c>
      <c r="B152" s="715"/>
      <c r="C152" s="716"/>
      <c r="D152" s="453">
        <v>6858</v>
      </c>
      <c r="E152" s="453">
        <v>6827</v>
      </c>
      <c r="F152" s="453">
        <v>6753</v>
      </c>
      <c r="G152" s="453">
        <v>4587</v>
      </c>
      <c r="H152" s="453">
        <v>4759</v>
      </c>
      <c r="I152" s="453">
        <v>4890</v>
      </c>
      <c r="J152" s="453">
        <v>7033</v>
      </c>
      <c r="K152" s="453">
        <v>7406</v>
      </c>
      <c r="L152" s="453">
        <v>6834</v>
      </c>
      <c r="M152" s="453">
        <v>7755</v>
      </c>
      <c r="N152" s="453">
        <v>6140</v>
      </c>
      <c r="O152" s="453">
        <v>5102</v>
      </c>
      <c r="P152" s="453">
        <v>75041.333333333328</v>
      </c>
    </row>
    <row r="153" spans="1:240">
      <c r="A153" s="712" t="s">
        <v>23</v>
      </c>
      <c r="B153" s="713"/>
      <c r="C153" s="713"/>
      <c r="D153" s="452">
        <v>1023</v>
      </c>
      <c r="E153" s="452">
        <v>805</v>
      </c>
      <c r="F153" s="452">
        <v>923</v>
      </c>
      <c r="G153" s="452">
        <v>685</v>
      </c>
      <c r="H153" s="452">
        <v>864</v>
      </c>
      <c r="I153" s="452">
        <v>841</v>
      </c>
      <c r="J153" s="452">
        <v>1113</v>
      </c>
      <c r="K153" s="452">
        <v>1390</v>
      </c>
      <c r="L153" s="452">
        <v>1184</v>
      </c>
      <c r="M153" s="452">
        <v>1400</v>
      </c>
      <c r="N153" s="452">
        <v>1012</v>
      </c>
      <c r="O153" s="452">
        <v>868</v>
      </c>
      <c r="P153" s="452">
        <v>12108</v>
      </c>
    </row>
    <row r="154" spans="1:240">
      <c r="A154" s="700" t="s">
        <v>24</v>
      </c>
      <c r="B154" s="701"/>
      <c r="C154" s="702"/>
      <c r="D154" s="454">
        <v>18</v>
      </c>
      <c r="E154" s="454">
        <v>0</v>
      </c>
      <c r="F154" s="454">
        <v>0</v>
      </c>
      <c r="G154" s="454">
        <v>0</v>
      </c>
      <c r="H154" s="454">
        <v>2</v>
      </c>
      <c r="I154" s="454">
        <v>0</v>
      </c>
      <c r="J154" s="454">
        <v>0</v>
      </c>
      <c r="K154" s="454">
        <v>2</v>
      </c>
      <c r="L154" s="454">
        <v>0</v>
      </c>
      <c r="M154" s="454">
        <v>1</v>
      </c>
      <c r="N154" s="454">
        <v>0</v>
      </c>
      <c r="O154" s="454">
        <v>1</v>
      </c>
      <c r="P154" s="452">
        <v>24</v>
      </c>
    </row>
    <row r="155" spans="1:240">
      <c r="A155" s="700" t="s">
        <v>25</v>
      </c>
      <c r="B155" s="701"/>
      <c r="C155" s="702"/>
      <c r="D155" s="454">
        <v>35</v>
      </c>
      <c r="E155" s="454">
        <v>41</v>
      </c>
      <c r="F155" s="454">
        <v>150</v>
      </c>
      <c r="G155" s="454">
        <v>391</v>
      </c>
      <c r="H155" s="454">
        <v>246</v>
      </c>
      <c r="I155" s="454">
        <v>162</v>
      </c>
      <c r="J155" s="454">
        <v>47</v>
      </c>
      <c r="K155" s="454">
        <v>128</v>
      </c>
      <c r="L155" s="454">
        <v>89</v>
      </c>
      <c r="M155" s="454">
        <v>67</v>
      </c>
      <c r="N155" s="454">
        <v>41</v>
      </c>
      <c r="O155" s="454">
        <v>76</v>
      </c>
      <c r="P155" s="452">
        <v>1473</v>
      </c>
    </row>
    <row r="156" spans="1:240">
      <c r="A156" s="700" t="s">
        <v>26</v>
      </c>
      <c r="B156" s="701"/>
      <c r="C156" s="702"/>
      <c r="D156" s="454">
        <v>135</v>
      </c>
      <c r="E156" s="454">
        <v>177</v>
      </c>
      <c r="F156" s="454">
        <v>248</v>
      </c>
      <c r="G156" s="454">
        <v>568</v>
      </c>
      <c r="H156" s="454">
        <v>434</v>
      </c>
      <c r="I156" s="454">
        <v>330</v>
      </c>
      <c r="J156" s="454">
        <v>285</v>
      </c>
      <c r="K156" s="454">
        <v>279</v>
      </c>
      <c r="L156" s="454">
        <v>259</v>
      </c>
      <c r="M156" s="454">
        <v>353</v>
      </c>
      <c r="N156" s="454">
        <v>301</v>
      </c>
      <c r="O156" s="454">
        <v>229</v>
      </c>
      <c r="P156" s="452">
        <v>3598</v>
      </c>
    </row>
    <row r="157" spans="1:240">
      <c r="A157" s="700" t="s">
        <v>27</v>
      </c>
      <c r="B157" s="701"/>
      <c r="C157" s="702"/>
      <c r="D157" s="454">
        <v>16</v>
      </c>
      <c r="E157" s="454">
        <v>11</v>
      </c>
      <c r="F157" s="454">
        <v>27</v>
      </c>
      <c r="G157" s="454">
        <v>25</v>
      </c>
      <c r="H157" s="454">
        <v>147</v>
      </c>
      <c r="I157" s="454">
        <v>17</v>
      </c>
      <c r="J157" s="454">
        <v>28</v>
      </c>
      <c r="K157" s="454">
        <v>47</v>
      </c>
      <c r="L157" s="454">
        <v>45</v>
      </c>
      <c r="M157" s="454">
        <v>35</v>
      </c>
      <c r="N157" s="454">
        <v>38</v>
      </c>
      <c r="O157" s="454">
        <v>15</v>
      </c>
      <c r="P157" s="452">
        <v>451</v>
      </c>
    </row>
    <row r="158" spans="1:240">
      <c r="A158" s="700" t="s">
        <v>28</v>
      </c>
      <c r="B158" s="701"/>
      <c r="C158" s="702"/>
      <c r="D158" s="454">
        <v>1</v>
      </c>
      <c r="E158" s="454">
        <v>1</v>
      </c>
      <c r="F158" s="454">
        <v>1</v>
      </c>
      <c r="G158" s="454">
        <v>1</v>
      </c>
      <c r="H158" s="454">
        <v>1</v>
      </c>
      <c r="I158" s="454">
        <v>3</v>
      </c>
      <c r="J158" s="454">
        <v>0</v>
      </c>
      <c r="K158" s="454">
        <v>2</v>
      </c>
      <c r="L158" s="454">
        <v>0</v>
      </c>
      <c r="M158" s="454">
        <v>1</v>
      </c>
      <c r="N158" s="454">
        <v>2</v>
      </c>
      <c r="O158" s="454">
        <v>1</v>
      </c>
      <c r="P158" s="452">
        <v>14</v>
      </c>
    </row>
    <row r="159" spans="1:240" ht="14.1" thickBot="1">
      <c r="A159" s="697" t="s">
        <v>50</v>
      </c>
      <c r="B159" s="698"/>
      <c r="C159" s="699"/>
      <c r="D159" s="455">
        <v>1228</v>
      </c>
      <c r="E159" s="455">
        <v>1035</v>
      </c>
      <c r="F159" s="455">
        <v>1349</v>
      </c>
      <c r="G159" s="455">
        <v>1670</v>
      </c>
      <c r="H159" s="455">
        <v>1694</v>
      </c>
      <c r="I159" s="455">
        <v>1353</v>
      </c>
      <c r="J159" s="455">
        <v>1473</v>
      </c>
      <c r="K159" s="455">
        <v>1848</v>
      </c>
      <c r="L159" s="455">
        <v>1577</v>
      </c>
      <c r="M159" s="455">
        <v>1857</v>
      </c>
      <c r="N159" s="455">
        <v>1394</v>
      </c>
      <c r="O159" s="455">
        <v>1190</v>
      </c>
      <c r="P159" s="455">
        <v>17668</v>
      </c>
    </row>
    <row r="160" spans="1:240">
      <c r="A160" s="775" t="s">
        <v>31</v>
      </c>
      <c r="B160" s="776"/>
      <c r="C160" s="776"/>
      <c r="D160" s="451">
        <v>0</v>
      </c>
      <c r="E160" s="451">
        <v>0</v>
      </c>
      <c r="F160" s="451">
        <v>0</v>
      </c>
      <c r="G160" s="451">
        <v>0</v>
      </c>
      <c r="H160" s="451">
        <v>0</v>
      </c>
      <c r="I160" s="451">
        <v>0</v>
      </c>
      <c r="J160" s="451">
        <v>0</v>
      </c>
      <c r="K160" s="451">
        <v>0</v>
      </c>
      <c r="L160" s="451">
        <v>0</v>
      </c>
      <c r="M160" s="451">
        <v>0</v>
      </c>
      <c r="N160" s="451">
        <v>0</v>
      </c>
      <c r="O160" s="451">
        <v>0</v>
      </c>
      <c r="P160" s="452">
        <v>0</v>
      </c>
      <c r="R160" s="444"/>
      <c r="S160" s="444"/>
      <c r="T160" s="444"/>
      <c r="U160" s="444"/>
      <c r="V160" s="444"/>
      <c r="W160" s="444"/>
      <c r="X160" s="444"/>
      <c r="Y160" s="444"/>
      <c r="Z160" s="444"/>
      <c r="AA160" s="444"/>
      <c r="AB160" s="444"/>
      <c r="AC160" s="444"/>
      <c r="AD160" s="444"/>
      <c r="AE160" s="444"/>
      <c r="AF160" s="444"/>
      <c r="AG160" s="444"/>
      <c r="AH160" s="444"/>
      <c r="AI160" s="444"/>
      <c r="AJ160" s="444"/>
      <c r="AK160" s="444"/>
      <c r="AL160" s="444"/>
      <c r="AM160" s="444"/>
      <c r="AN160" s="444"/>
      <c r="AO160" s="444"/>
      <c r="AP160" s="444"/>
      <c r="AQ160" s="444"/>
      <c r="AR160" s="444"/>
      <c r="AS160" s="444"/>
      <c r="AT160" s="444"/>
      <c r="AU160" s="444"/>
      <c r="AV160" s="444"/>
      <c r="AW160" s="444"/>
      <c r="AX160" s="444"/>
      <c r="AY160" s="444"/>
      <c r="AZ160" s="444"/>
      <c r="BA160" s="444"/>
      <c r="BB160" s="444"/>
      <c r="BC160" s="444"/>
      <c r="BD160" s="444"/>
      <c r="BE160" s="444"/>
      <c r="BF160" s="444"/>
      <c r="BG160" s="444"/>
      <c r="BH160" s="444"/>
      <c r="BI160" s="444"/>
      <c r="BJ160" s="444"/>
      <c r="BK160" s="444"/>
      <c r="BL160" s="444"/>
      <c r="BM160" s="444"/>
      <c r="BN160" s="444"/>
      <c r="BO160" s="444"/>
      <c r="BP160" s="444"/>
      <c r="BQ160" s="444"/>
      <c r="BR160" s="444"/>
      <c r="BS160" s="444"/>
      <c r="BT160" s="444"/>
      <c r="BU160" s="444"/>
      <c r="BV160" s="444"/>
      <c r="BW160" s="444"/>
      <c r="BX160" s="444"/>
      <c r="BY160" s="444"/>
      <c r="BZ160" s="444"/>
      <c r="CA160" s="444"/>
      <c r="CB160" s="444"/>
      <c r="CC160" s="444"/>
      <c r="CD160" s="444"/>
      <c r="CE160" s="444"/>
      <c r="CF160" s="444"/>
      <c r="CG160" s="444"/>
      <c r="CH160" s="444"/>
      <c r="CI160" s="444"/>
      <c r="CJ160" s="444"/>
      <c r="CK160" s="444"/>
      <c r="CL160" s="444"/>
      <c r="CM160" s="444"/>
      <c r="CN160" s="444"/>
      <c r="CO160" s="444"/>
      <c r="CP160" s="444"/>
      <c r="CQ160" s="444"/>
      <c r="CR160" s="444"/>
      <c r="CS160" s="444"/>
      <c r="CT160" s="444"/>
      <c r="CU160" s="444"/>
      <c r="CV160" s="444"/>
      <c r="CW160" s="444"/>
      <c r="CX160" s="444"/>
      <c r="CY160" s="444"/>
      <c r="CZ160" s="444"/>
      <c r="DA160" s="444"/>
      <c r="DB160" s="444"/>
      <c r="DC160" s="444"/>
      <c r="DD160" s="444"/>
      <c r="DE160" s="444"/>
      <c r="DF160" s="444"/>
      <c r="DG160" s="444"/>
      <c r="DH160" s="444"/>
      <c r="DI160" s="444"/>
      <c r="DJ160" s="444"/>
      <c r="DK160" s="444"/>
      <c r="DL160" s="444"/>
      <c r="DM160" s="444"/>
      <c r="DN160" s="444"/>
      <c r="DO160" s="444"/>
      <c r="DP160" s="444"/>
      <c r="DQ160" s="444"/>
      <c r="DR160" s="444"/>
      <c r="DS160" s="444"/>
      <c r="DT160" s="444"/>
      <c r="DU160" s="444"/>
      <c r="DV160" s="444"/>
      <c r="DW160" s="444"/>
      <c r="DX160" s="444"/>
      <c r="DY160" s="444"/>
      <c r="DZ160" s="444"/>
      <c r="EA160" s="444"/>
      <c r="EB160" s="444"/>
      <c r="EC160" s="444"/>
      <c r="ED160" s="444"/>
      <c r="EE160" s="444"/>
      <c r="EF160" s="444"/>
      <c r="EG160" s="444"/>
      <c r="EH160" s="444"/>
      <c r="EI160" s="444"/>
      <c r="EJ160" s="444"/>
      <c r="EK160" s="444"/>
      <c r="EL160" s="444"/>
      <c r="EM160" s="444"/>
      <c r="EN160" s="444"/>
      <c r="EO160" s="444"/>
      <c r="EP160" s="444"/>
      <c r="EQ160" s="444"/>
      <c r="ER160" s="444"/>
      <c r="ES160" s="444"/>
      <c r="ET160" s="444"/>
      <c r="EU160" s="444"/>
      <c r="EV160" s="444"/>
      <c r="EW160" s="444"/>
      <c r="EX160" s="444"/>
      <c r="EY160" s="444"/>
      <c r="EZ160" s="444"/>
      <c r="FA160" s="444"/>
      <c r="FB160" s="444"/>
      <c r="FC160" s="444"/>
      <c r="FD160" s="444"/>
      <c r="FE160" s="444"/>
      <c r="FF160" s="444"/>
      <c r="FG160" s="444"/>
      <c r="FH160" s="444"/>
      <c r="FI160" s="444"/>
      <c r="FJ160" s="444"/>
      <c r="FK160" s="444"/>
      <c r="FL160" s="444"/>
      <c r="FM160" s="444"/>
      <c r="FN160" s="444"/>
      <c r="FO160" s="444"/>
      <c r="FP160" s="444"/>
      <c r="FQ160" s="444"/>
      <c r="FR160" s="444"/>
      <c r="FS160" s="444"/>
      <c r="FT160" s="444"/>
      <c r="FU160" s="444"/>
      <c r="FV160" s="444"/>
      <c r="FW160" s="444"/>
      <c r="FX160" s="444"/>
      <c r="FY160" s="444"/>
      <c r="FZ160" s="444"/>
      <c r="GA160" s="444"/>
      <c r="GB160" s="444"/>
      <c r="GC160" s="444"/>
      <c r="GD160" s="444"/>
      <c r="GE160" s="444"/>
      <c r="GF160" s="444"/>
      <c r="GG160" s="444"/>
      <c r="GH160" s="444"/>
      <c r="GI160" s="444"/>
      <c r="GJ160" s="444"/>
      <c r="GK160" s="444"/>
      <c r="GL160" s="444"/>
      <c r="GM160" s="444"/>
      <c r="GN160" s="444"/>
      <c r="GO160" s="444"/>
      <c r="GP160" s="444"/>
      <c r="GQ160" s="444"/>
      <c r="GR160" s="444"/>
      <c r="GS160" s="444"/>
      <c r="GT160" s="444"/>
      <c r="GU160" s="444"/>
      <c r="GV160" s="444"/>
      <c r="GW160" s="444"/>
      <c r="GX160" s="444"/>
      <c r="GY160" s="444"/>
      <c r="GZ160" s="444"/>
      <c r="HA160" s="444"/>
      <c r="HB160" s="444"/>
      <c r="HC160" s="444"/>
      <c r="HD160" s="444"/>
      <c r="HE160" s="444"/>
      <c r="HF160" s="444"/>
      <c r="HG160" s="444"/>
      <c r="HH160" s="444"/>
      <c r="HI160" s="444"/>
      <c r="HJ160" s="444"/>
      <c r="HK160" s="444"/>
      <c r="HL160" s="444"/>
      <c r="HM160" s="444"/>
      <c r="HN160" s="444"/>
      <c r="HO160" s="444"/>
      <c r="HP160" s="444"/>
      <c r="HQ160" s="444"/>
      <c r="HR160" s="444"/>
      <c r="HS160" s="444"/>
      <c r="HT160" s="444"/>
      <c r="HU160" s="444"/>
      <c r="HV160" s="444"/>
      <c r="HW160" s="444"/>
      <c r="HX160" s="444"/>
      <c r="HY160" s="444"/>
      <c r="HZ160" s="444"/>
      <c r="IA160" s="444"/>
      <c r="IB160" s="444"/>
      <c r="IC160" s="444"/>
      <c r="ID160" s="444"/>
      <c r="IE160" s="444"/>
      <c r="IF160" s="444"/>
    </row>
    <row r="161" spans="1:240">
      <c r="A161" s="710" t="s">
        <v>32</v>
      </c>
      <c r="B161" s="711"/>
      <c r="C161" s="711"/>
      <c r="D161" s="442">
        <v>0</v>
      </c>
      <c r="E161" s="442">
        <v>0</v>
      </c>
      <c r="F161" s="442">
        <v>0</v>
      </c>
      <c r="G161" s="442">
        <v>0</v>
      </c>
      <c r="H161" s="442">
        <v>0</v>
      </c>
      <c r="I161" s="442">
        <v>0</v>
      </c>
      <c r="J161" s="442">
        <v>0</v>
      </c>
      <c r="K161" s="442">
        <v>0</v>
      </c>
      <c r="L161" s="442">
        <v>0</v>
      </c>
      <c r="M161" s="442">
        <v>0</v>
      </c>
      <c r="N161" s="442">
        <v>0</v>
      </c>
      <c r="O161" s="442">
        <v>0</v>
      </c>
      <c r="P161" s="452">
        <v>0</v>
      </c>
      <c r="R161" s="444"/>
      <c r="S161" s="444"/>
      <c r="T161" s="444"/>
      <c r="U161" s="444"/>
      <c r="V161" s="444"/>
      <c r="W161" s="444"/>
      <c r="X161" s="444"/>
      <c r="Y161" s="444"/>
      <c r="Z161" s="444"/>
      <c r="AA161" s="444"/>
      <c r="AB161" s="444"/>
      <c r="AC161" s="444"/>
      <c r="AD161" s="444"/>
      <c r="AE161" s="444"/>
      <c r="AF161" s="444"/>
      <c r="AG161" s="444"/>
      <c r="AH161" s="444"/>
      <c r="AI161" s="444"/>
      <c r="AJ161" s="444"/>
      <c r="AK161" s="444"/>
      <c r="AL161" s="444"/>
      <c r="AM161" s="444"/>
      <c r="AN161" s="444"/>
      <c r="AO161" s="444"/>
      <c r="AP161" s="444"/>
      <c r="AQ161" s="444"/>
      <c r="AR161" s="444"/>
      <c r="AS161" s="444"/>
      <c r="AT161" s="444"/>
      <c r="AU161" s="444"/>
      <c r="AV161" s="444"/>
      <c r="AW161" s="444"/>
      <c r="AX161" s="444"/>
      <c r="AY161" s="444"/>
      <c r="AZ161" s="444"/>
      <c r="BA161" s="444"/>
      <c r="BB161" s="444"/>
      <c r="BC161" s="444"/>
      <c r="BD161" s="444"/>
      <c r="BE161" s="444"/>
      <c r="BF161" s="444"/>
      <c r="BG161" s="444"/>
      <c r="BH161" s="444"/>
      <c r="BI161" s="444"/>
      <c r="BJ161" s="444"/>
      <c r="BK161" s="444"/>
      <c r="BL161" s="444"/>
      <c r="BM161" s="444"/>
      <c r="BN161" s="444"/>
      <c r="BO161" s="444"/>
      <c r="BP161" s="444"/>
      <c r="BQ161" s="444"/>
      <c r="BR161" s="444"/>
      <c r="BS161" s="444"/>
      <c r="BT161" s="444"/>
      <c r="BU161" s="444"/>
      <c r="BV161" s="444"/>
      <c r="BW161" s="444"/>
      <c r="BX161" s="444"/>
      <c r="BY161" s="444"/>
      <c r="BZ161" s="444"/>
      <c r="CA161" s="444"/>
      <c r="CB161" s="444"/>
      <c r="CC161" s="444"/>
      <c r="CD161" s="444"/>
      <c r="CE161" s="444"/>
      <c r="CF161" s="444"/>
      <c r="CG161" s="444"/>
      <c r="CH161" s="444"/>
      <c r="CI161" s="444"/>
      <c r="CJ161" s="444"/>
      <c r="CK161" s="444"/>
      <c r="CL161" s="444"/>
      <c r="CM161" s="444"/>
      <c r="CN161" s="444"/>
      <c r="CO161" s="444"/>
      <c r="CP161" s="444"/>
      <c r="CQ161" s="444"/>
      <c r="CR161" s="444"/>
      <c r="CS161" s="444"/>
      <c r="CT161" s="444"/>
      <c r="CU161" s="444"/>
      <c r="CV161" s="444"/>
      <c r="CW161" s="444"/>
      <c r="CX161" s="444"/>
      <c r="CY161" s="444"/>
      <c r="CZ161" s="444"/>
      <c r="DA161" s="444"/>
      <c r="DB161" s="444"/>
      <c r="DC161" s="444"/>
      <c r="DD161" s="444"/>
      <c r="DE161" s="444"/>
      <c r="DF161" s="444"/>
      <c r="DG161" s="444"/>
      <c r="DH161" s="444"/>
      <c r="DI161" s="444"/>
      <c r="DJ161" s="444"/>
      <c r="DK161" s="444"/>
      <c r="DL161" s="444"/>
      <c r="DM161" s="444"/>
      <c r="DN161" s="444"/>
      <c r="DO161" s="444"/>
      <c r="DP161" s="444"/>
      <c r="DQ161" s="444"/>
      <c r="DR161" s="444"/>
      <c r="DS161" s="444"/>
      <c r="DT161" s="444"/>
      <c r="DU161" s="444"/>
      <c r="DV161" s="444"/>
      <c r="DW161" s="444"/>
      <c r="DX161" s="444"/>
      <c r="DY161" s="444"/>
      <c r="DZ161" s="444"/>
      <c r="EA161" s="444"/>
      <c r="EB161" s="444"/>
      <c r="EC161" s="444"/>
      <c r="ED161" s="444"/>
      <c r="EE161" s="444"/>
      <c r="EF161" s="444"/>
      <c r="EG161" s="444"/>
      <c r="EH161" s="444"/>
      <c r="EI161" s="444"/>
      <c r="EJ161" s="444"/>
      <c r="EK161" s="444"/>
      <c r="EL161" s="444"/>
      <c r="EM161" s="444"/>
      <c r="EN161" s="444"/>
      <c r="EO161" s="444"/>
      <c r="EP161" s="444"/>
      <c r="EQ161" s="444"/>
      <c r="ER161" s="444"/>
      <c r="ES161" s="444"/>
      <c r="ET161" s="444"/>
      <c r="EU161" s="444"/>
      <c r="EV161" s="444"/>
      <c r="EW161" s="444"/>
      <c r="EX161" s="444"/>
      <c r="EY161" s="444"/>
      <c r="EZ161" s="444"/>
      <c r="FA161" s="444"/>
      <c r="FB161" s="444"/>
      <c r="FC161" s="444"/>
      <c r="FD161" s="444"/>
      <c r="FE161" s="444"/>
      <c r="FF161" s="444"/>
      <c r="FG161" s="444"/>
      <c r="FH161" s="444"/>
      <c r="FI161" s="444"/>
      <c r="FJ161" s="444"/>
      <c r="FK161" s="444"/>
      <c r="FL161" s="444"/>
      <c r="FM161" s="444"/>
      <c r="FN161" s="444"/>
      <c r="FO161" s="444"/>
      <c r="FP161" s="444"/>
      <c r="FQ161" s="444"/>
      <c r="FR161" s="444"/>
      <c r="FS161" s="444"/>
      <c r="FT161" s="444"/>
      <c r="FU161" s="444"/>
      <c r="FV161" s="444"/>
      <c r="FW161" s="444"/>
      <c r="FX161" s="444"/>
      <c r="FY161" s="444"/>
      <c r="FZ161" s="444"/>
      <c r="GA161" s="444"/>
      <c r="GB161" s="444"/>
      <c r="GC161" s="444"/>
      <c r="GD161" s="444"/>
      <c r="GE161" s="444"/>
      <c r="GF161" s="444"/>
      <c r="GG161" s="444"/>
      <c r="GH161" s="444"/>
      <c r="GI161" s="444"/>
      <c r="GJ161" s="444"/>
      <c r="GK161" s="444"/>
      <c r="GL161" s="444"/>
      <c r="GM161" s="444"/>
      <c r="GN161" s="444"/>
      <c r="GO161" s="444"/>
      <c r="GP161" s="444"/>
      <c r="GQ161" s="444"/>
      <c r="GR161" s="444"/>
      <c r="GS161" s="444"/>
      <c r="GT161" s="444"/>
      <c r="GU161" s="444"/>
      <c r="GV161" s="444"/>
      <c r="GW161" s="444"/>
      <c r="GX161" s="444"/>
      <c r="GY161" s="444"/>
      <c r="GZ161" s="444"/>
      <c r="HA161" s="444"/>
      <c r="HB161" s="444"/>
      <c r="HC161" s="444"/>
      <c r="HD161" s="444"/>
      <c r="HE161" s="444"/>
      <c r="HF161" s="444"/>
      <c r="HG161" s="444"/>
      <c r="HH161" s="444"/>
      <c r="HI161" s="444"/>
      <c r="HJ161" s="444"/>
      <c r="HK161" s="444"/>
      <c r="HL161" s="444"/>
      <c r="HM161" s="444"/>
      <c r="HN161" s="444"/>
      <c r="HO161" s="444"/>
      <c r="HP161" s="444"/>
      <c r="HQ161" s="444"/>
      <c r="HR161" s="444"/>
      <c r="HS161" s="444"/>
      <c r="HT161" s="444"/>
      <c r="HU161" s="444"/>
      <c r="HV161" s="444"/>
      <c r="HW161" s="444"/>
      <c r="HX161" s="444"/>
      <c r="HY161" s="444"/>
      <c r="HZ161" s="444"/>
      <c r="IA161" s="444"/>
      <c r="IB161" s="444"/>
      <c r="IC161" s="444"/>
      <c r="ID161" s="444"/>
      <c r="IE161" s="444"/>
      <c r="IF161" s="444"/>
    </row>
    <row r="162" spans="1:240">
      <c r="A162" s="710" t="s">
        <v>33</v>
      </c>
      <c r="B162" s="711"/>
      <c r="C162" s="711"/>
      <c r="D162" s="442">
        <v>0</v>
      </c>
      <c r="E162" s="442">
        <v>0</v>
      </c>
      <c r="F162" s="442">
        <v>0</v>
      </c>
      <c r="G162" s="442">
        <v>0</v>
      </c>
      <c r="H162" s="442">
        <v>0</v>
      </c>
      <c r="I162" s="442">
        <v>0</v>
      </c>
      <c r="J162" s="442">
        <v>0</v>
      </c>
      <c r="K162" s="442">
        <v>0</v>
      </c>
      <c r="L162" s="442">
        <v>0</v>
      </c>
      <c r="M162" s="442">
        <v>0</v>
      </c>
      <c r="N162" s="442">
        <v>0</v>
      </c>
      <c r="O162" s="442">
        <v>0</v>
      </c>
      <c r="P162" s="452">
        <v>0</v>
      </c>
      <c r="R162" s="444"/>
      <c r="S162" s="444"/>
      <c r="T162" s="444"/>
      <c r="U162" s="444"/>
      <c r="V162" s="444"/>
      <c r="W162" s="444"/>
      <c r="X162" s="444"/>
      <c r="Y162" s="444"/>
      <c r="Z162" s="444"/>
      <c r="AA162" s="444"/>
      <c r="AB162" s="444"/>
      <c r="AC162" s="444"/>
      <c r="AD162" s="444"/>
      <c r="AE162" s="444"/>
      <c r="AF162" s="444"/>
      <c r="AG162" s="444"/>
      <c r="AH162" s="444"/>
      <c r="AI162" s="444"/>
      <c r="AJ162" s="444"/>
      <c r="AK162" s="444"/>
      <c r="AL162" s="444"/>
      <c r="AM162" s="444"/>
      <c r="AN162" s="444"/>
      <c r="AO162" s="444"/>
      <c r="AP162" s="444"/>
      <c r="AQ162" s="444"/>
      <c r="AR162" s="444"/>
      <c r="AS162" s="444"/>
      <c r="AT162" s="444"/>
      <c r="AU162" s="444"/>
      <c r="AV162" s="444"/>
      <c r="AW162" s="444"/>
      <c r="AX162" s="444"/>
      <c r="AY162" s="444"/>
      <c r="AZ162" s="444"/>
      <c r="BA162" s="444"/>
      <c r="BB162" s="444"/>
      <c r="BC162" s="444"/>
      <c r="BD162" s="444"/>
      <c r="BE162" s="444"/>
      <c r="BF162" s="444"/>
      <c r="BG162" s="444"/>
      <c r="BH162" s="444"/>
      <c r="BI162" s="444"/>
      <c r="BJ162" s="444"/>
      <c r="BK162" s="444"/>
      <c r="BL162" s="444"/>
      <c r="BM162" s="444"/>
      <c r="BN162" s="444"/>
      <c r="BO162" s="444"/>
      <c r="BP162" s="444"/>
      <c r="BQ162" s="444"/>
      <c r="BR162" s="444"/>
      <c r="BS162" s="444"/>
      <c r="BT162" s="444"/>
      <c r="BU162" s="444"/>
      <c r="BV162" s="444"/>
      <c r="BW162" s="444"/>
      <c r="BX162" s="444"/>
      <c r="BY162" s="444"/>
      <c r="BZ162" s="444"/>
      <c r="CA162" s="444"/>
      <c r="CB162" s="444"/>
      <c r="CC162" s="444"/>
      <c r="CD162" s="444"/>
      <c r="CE162" s="444"/>
      <c r="CF162" s="444"/>
      <c r="CG162" s="444"/>
      <c r="CH162" s="444"/>
      <c r="CI162" s="444"/>
      <c r="CJ162" s="444"/>
      <c r="CK162" s="444"/>
      <c r="CL162" s="444"/>
      <c r="CM162" s="444"/>
      <c r="CN162" s="444"/>
      <c r="CO162" s="444"/>
      <c r="CP162" s="444"/>
      <c r="CQ162" s="444"/>
      <c r="CR162" s="444"/>
      <c r="CS162" s="444"/>
      <c r="CT162" s="444"/>
      <c r="CU162" s="444"/>
      <c r="CV162" s="444"/>
      <c r="CW162" s="444"/>
      <c r="CX162" s="444"/>
      <c r="CY162" s="444"/>
      <c r="CZ162" s="444"/>
      <c r="DA162" s="444"/>
      <c r="DB162" s="444"/>
      <c r="DC162" s="444"/>
      <c r="DD162" s="444"/>
      <c r="DE162" s="444"/>
      <c r="DF162" s="444"/>
      <c r="DG162" s="444"/>
      <c r="DH162" s="444"/>
      <c r="DI162" s="444"/>
      <c r="DJ162" s="444"/>
      <c r="DK162" s="444"/>
      <c r="DL162" s="444"/>
      <c r="DM162" s="444"/>
      <c r="DN162" s="444"/>
      <c r="DO162" s="444"/>
      <c r="DP162" s="444"/>
      <c r="DQ162" s="444"/>
      <c r="DR162" s="444"/>
      <c r="DS162" s="444"/>
      <c r="DT162" s="444"/>
      <c r="DU162" s="444"/>
      <c r="DV162" s="444"/>
      <c r="DW162" s="444"/>
      <c r="DX162" s="444"/>
      <c r="DY162" s="444"/>
      <c r="DZ162" s="444"/>
      <c r="EA162" s="444"/>
      <c r="EB162" s="444"/>
      <c r="EC162" s="444"/>
      <c r="ED162" s="444"/>
      <c r="EE162" s="444"/>
      <c r="EF162" s="444"/>
      <c r="EG162" s="444"/>
      <c r="EH162" s="444"/>
      <c r="EI162" s="444"/>
      <c r="EJ162" s="444"/>
      <c r="EK162" s="444"/>
      <c r="EL162" s="444"/>
      <c r="EM162" s="444"/>
      <c r="EN162" s="444"/>
      <c r="EO162" s="444"/>
      <c r="EP162" s="444"/>
      <c r="EQ162" s="444"/>
      <c r="ER162" s="444"/>
      <c r="ES162" s="444"/>
      <c r="ET162" s="444"/>
      <c r="EU162" s="444"/>
      <c r="EV162" s="444"/>
      <c r="EW162" s="444"/>
      <c r="EX162" s="444"/>
      <c r="EY162" s="444"/>
      <c r="EZ162" s="444"/>
      <c r="FA162" s="444"/>
      <c r="FB162" s="444"/>
      <c r="FC162" s="444"/>
      <c r="FD162" s="444"/>
      <c r="FE162" s="444"/>
      <c r="FF162" s="444"/>
      <c r="FG162" s="444"/>
      <c r="FH162" s="444"/>
      <c r="FI162" s="444"/>
      <c r="FJ162" s="444"/>
      <c r="FK162" s="444"/>
      <c r="FL162" s="444"/>
      <c r="FM162" s="444"/>
      <c r="FN162" s="444"/>
      <c r="FO162" s="444"/>
      <c r="FP162" s="444"/>
      <c r="FQ162" s="444"/>
      <c r="FR162" s="444"/>
      <c r="FS162" s="444"/>
      <c r="FT162" s="444"/>
      <c r="FU162" s="444"/>
      <c r="FV162" s="444"/>
      <c r="FW162" s="444"/>
      <c r="FX162" s="444"/>
      <c r="FY162" s="444"/>
      <c r="FZ162" s="444"/>
      <c r="GA162" s="444"/>
      <c r="GB162" s="444"/>
      <c r="GC162" s="444"/>
      <c r="GD162" s="444"/>
      <c r="GE162" s="444"/>
      <c r="GF162" s="444"/>
      <c r="GG162" s="444"/>
      <c r="GH162" s="444"/>
      <c r="GI162" s="444"/>
      <c r="GJ162" s="444"/>
      <c r="GK162" s="444"/>
      <c r="GL162" s="444"/>
      <c r="GM162" s="444"/>
      <c r="GN162" s="444"/>
      <c r="GO162" s="444"/>
      <c r="GP162" s="444"/>
      <c r="GQ162" s="444"/>
      <c r="GR162" s="444"/>
      <c r="GS162" s="444"/>
      <c r="GT162" s="444"/>
      <c r="GU162" s="444"/>
      <c r="GV162" s="444"/>
      <c r="GW162" s="444"/>
      <c r="GX162" s="444"/>
      <c r="GY162" s="444"/>
      <c r="GZ162" s="444"/>
      <c r="HA162" s="444"/>
      <c r="HB162" s="444"/>
      <c r="HC162" s="444"/>
      <c r="HD162" s="444"/>
      <c r="HE162" s="444"/>
      <c r="HF162" s="444"/>
      <c r="HG162" s="444"/>
      <c r="HH162" s="444"/>
      <c r="HI162" s="444"/>
      <c r="HJ162" s="444"/>
      <c r="HK162" s="444"/>
      <c r="HL162" s="444"/>
      <c r="HM162" s="444"/>
      <c r="HN162" s="444"/>
      <c r="HO162" s="444"/>
      <c r="HP162" s="444"/>
      <c r="HQ162" s="444"/>
      <c r="HR162" s="444"/>
      <c r="HS162" s="444"/>
      <c r="HT162" s="444"/>
      <c r="HU162" s="444"/>
      <c r="HV162" s="444"/>
      <c r="HW162" s="444"/>
      <c r="HX162" s="444"/>
      <c r="HY162" s="444"/>
      <c r="HZ162" s="444"/>
      <c r="IA162" s="444"/>
      <c r="IB162" s="444"/>
      <c r="IC162" s="444"/>
      <c r="ID162" s="444"/>
      <c r="IE162" s="444"/>
      <c r="IF162" s="444"/>
    </row>
    <row r="163" spans="1:240">
      <c r="A163" s="456" t="s">
        <v>34</v>
      </c>
      <c r="B163" s="457"/>
      <c r="C163" s="457"/>
      <c r="D163" s="450">
        <v>0</v>
      </c>
      <c r="E163" s="450">
        <v>0</v>
      </c>
      <c r="F163" s="450">
        <v>0</v>
      </c>
      <c r="G163" s="450">
        <v>0</v>
      </c>
      <c r="H163" s="450">
        <v>0</v>
      </c>
      <c r="I163" s="450">
        <v>0</v>
      </c>
      <c r="J163" s="450">
        <v>0</v>
      </c>
      <c r="K163" s="450">
        <v>0</v>
      </c>
      <c r="L163" s="450">
        <v>0</v>
      </c>
      <c r="M163" s="450">
        <v>0</v>
      </c>
      <c r="N163" s="450">
        <v>0</v>
      </c>
      <c r="O163" s="450">
        <v>0</v>
      </c>
      <c r="P163" s="452">
        <v>0</v>
      </c>
      <c r="R163" s="444"/>
      <c r="S163" s="444"/>
      <c r="T163" s="444"/>
      <c r="U163" s="444"/>
      <c r="V163" s="444"/>
      <c r="W163" s="444"/>
      <c r="X163" s="444"/>
      <c r="Y163" s="444"/>
      <c r="Z163" s="444"/>
      <c r="AA163" s="444"/>
      <c r="AB163" s="444"/>
      <c r="AC163" s="444"/>
      <c r="AD163" s="444"/>
      <c r="AE163" s="444"/>
      <c r="AF163" s="444"/>
      <c r="AG163" s="444"/>
      <c r="AH163" s="444"/>
      <c r="AI163" s="444"/>
      <c r="AJ163" s="444"/>
      <c r="AK163" s="444"/>
      <c r="AL163" s="444"/>
      <c r="AM163" s="444"/>
      <c r="AN163" s="444"/>
      <c r="AO163" s="444"/>
      <c r="AP163" s="444"/>
      <c r="AQ163" s="444"/>
      <c r="AR163" s="444"/>
      <c r="AS163" s="444"/>
      <c r="AT163" s="444"/>
      <c r="AU163" s="444"/>
      <c r="AV163" s="444"/>
      <c r="AW163" s="444"/>
      <c r="AX163" s="444"/>
      <c r="AY163" s="444"/>
      <c r="AZ163" s="444"/>
      <c r="BA163" s="444"/>
      <c r="BB163" s="444"/>
      <c r="BC163" s="444"/>
      <c r="BD163" s="444"/>
      <c r="BE163" s="444"/>
      <c r="BF163" s="444"/>
      <c r="BG163" s="444"/>
      <c r="BH163" s="444"/>
      <c r="BI163" s="444"/>
      <c r="BJ163" s="444"/>
      <c r="BK163" s="444"/>
      <c r="BL163" s="444"/>
      <c r="BM163" s="444"/>
      <c r="BN163" s="444"/>
      <c r="BO163" s="444"/>
      <c r="BP163" s="444"/>
      <c r="BQ163" s="444"/>
      <c r="BR163" s="444"/>
      <c r="BS163" s="444"/>
      <c r="BT163" s="444"/>
      <c r="BU163" s="444"/>
      <c r="BV163" s="444"/>
      <c r="BW163" s="444"/>
      <c r="BX163" s="444"/>
      <c r="BY163" s="444"/>
      <c r="BZ163" s="444"/>
      <c r="CA163" s="444"/>
      <c r="CB163" s="444"/>
      <c r="CC163" s="444"/>
      <c r="CD163" s="444"/>
      <c r="CE163" s="444"/>
      <c r="CF163" s="444"/>
      <c r="CG163" s="444"/>
      <c r="CH163" s="444"/>
      <c r="CI163" s="444"/>
      <c r="CJ163" s="444"/>
      <c r="CK163" s="444"/>
      <c r="CL163" s="444"/>
      <c r="CM163" s="444"/>
      <c r="CN163" s="444"/>
      <c r="CO163" s="444"/>
      <c r="CP163" s="444"/>
      <c r="CQ163" s="444"/>
      <c r="CR163" s="444"/>
      <c r="CS163" s="444"/>
      <c r="CT163" s="444"/>
      <c r="CU163" s="444"/>
      <c r="CV163" s="444"/>
      <c r="CW163" s="444"/>
      <c r="CX163" s="444"/>
      <c r="CY163" s="444"/>
      <c r="CZ163" s="444"/>
      <c r="DA163" s="444"/>
      <c r="DB163" s="444"/>
      <c r="DC163" s="444"/>
      <c r="DD163" s="444"/>
      <c r="DE163" s="444"/>
      <c r="DF163" s="444"/>
      <c r="DG163" s="444"/>
      <c r="DH163" s="444"/>
      <c r="DI163" s="444"/>
      <c r="DJ163" s="444"/>
      <c r="DK163" s="444"/>
      <c r="DL163" s="444"/>
      <c r="DM163" s="444"/>
      <c r="DN163" s="444"/>
      <c r="DO163" s="444"/>
      <c r="DP163" s="444"/>
      <c r="DQ163" s="444"/>
      <c r="DR163" s="444"/>
      <c r="DS163" s="444"/>
      <c r="DT163" s="444"/>
      <c r="DU163" s="444"/>
      <c r="DV163" s="444"/>
      <c r="DW163" s="444"/>
      <c r="DX163" s="444"/>
      <c r="DY163" s="444"/>
      <c r="DZ163" s="444"/>
      <c r="EA163" s="444"/>
      <c r="EB163" s="444"/>
      <c r="EC163" s="444"/>
      <c r="ED163" s="444"/>
      <c r="EE163" s="444"/>
      <c r="EF163" s="444"/>
      <c r="EG163" s="444"/>
      <c r="EH163" s="444"/>
      <c r="EI163" s="444"/>
      <c r="EJ163" s="444"/>
      <c r="EK163" s="444"/>
      <c r="EL163" s="444"/>
      <c r="EM163" s="444"/>
      <c r="EN163" s="444"/>
      <c r="EO163" s="444"/>
      <c r="EP163" s="444"/>
      <c r="EQ163" s="444"/>
      <c r="ER163" s="444"/>
      <c r="ES163" s="444"/>
      <c r="ET163" s="444"/>
      <c r="EU163" s="444"/>
      <c r="EV163" s="444"/>
      <c r="EW163" s="444"/>
      <c r="EX163" s="444"/>
      <c r="EY163" s="444"/>
      <c r="EZ163" s="444"/>
      <c r="FA163" s="444"/>
      <c r="FB163" s="444"/>
      <c r="FC163" s="444"/>
      <c r="FD163" s="444"/>
      <c r="FE163" s="444"/>
      <c r="FF163" s="444"/>
      <c r="FG163" s="444"/>
      <c r="FH163" s="444"/>
      <c r="FI163" s="444"/>
      <c r="FJ163" s="444"/>
      <c r="FK163" s="444"/>
      <c r="FL163" s="444"/>
      <c r="FM163" s="444"/>
      <c r="FN163" s="444"/>
      <c r="FO163" s="444"/>
      <c r="FP163" s="444"/>
      <c r="FQ163" s="444"/>
      <c r="FR163" s="444"/>
      <c r="FS163" s="444"/>
      <c r="FT163" s="444"/>
      <c r="FU163" s="444"/>
      <c r="FV163" s="444"/>
      <c r="FW163" s="444"/>
      <c r="FX163" s="444"/>
      <c r="FY163" s="444"/>
      <c r="FZ163" s="444"/>
      <c r="GA163" s="444"/>
      <c r="GB163" s="444"/>
      <c r="GC163" s="444"/>
      <c r="GD163" s="444"/>
      <c r="GE163" s="444"/>
      <c r="GF163" s="444"/>
      <c r="GG163" s="444"/>
      <c r="GH163" s="444"/>
      <c r="GI163" s="444"/>
      <c r="GJ163" s="444"/>
      <c r="GK163" s="444"/>
      <c r="GL163" s="444"/>
      <c r="GM163" s="444"/>
      <c r="GN163" s="444"/>
      <c r="GO163" s="444"/>
      <c r="GP163" s="444"/>
      <c r="GQ163" s="444"/>
      <c r="GR163" s="444"/>
      <c r="GS163" s="444"/>
      <c r="GT163" s="444"/>
      <c r="GU163" s="444"/>
      <c r="GV163" s="444"/>
      <c r="GW163" s="444"/>
      <c r="GX163" s="444"/>
      <c r="GY163" s="444"/>
      <c r="GZ163" s="444"/>
      <c r="HA163" s="444"/>
      <c r="HB163" s="444"/>
      <c r="HC163" s="444"/>
      <c r="HD163" s="444"/>
      <c r="HE163" s="444"/>
      <c r="HF163" s="444"/>
      <c r="HG163" s="444"/>
      <c r="HH163" s="444"/>
      <c r="HI163" s="444"/>
      <c r="HJ163" s="444"/>
      <c r="HK163" s="444"/>
      <c r="HL163" s="444"/>
      <c r="HM163" s="444"/>
      <c r="HN163" s="444"/>
      <c r="HO163" s="444"/>
      <c r="HP163" s="444"/>
      <c r="HQ163" s="444"/>
      <c r="HR163" s="444"/>
      <c r="HS163" s="444"/>
      <c r="HT163" s="444"/>
      <c r="HU163" s="444"/>
      <c r="HV163" s="444"/>
      <c r="HW163" s="444"/>
      <c r="HX163" s="444"/>
      <c r="HY163" s="444"/>
      <c r="HZ163" s="444"/>
      <c r="IA163" s="444"/>
      <c r="IB163" s="444"/>
      <c r="IC163" s="444"/>
      <c r="ID163" s="444"/>
      <c r="IE163" s="444"/>
      <c r="IF163" s="444"/>
    </row>
    <row r="164" spans="1:240">
      <c r="A164" s="717" t="s">
        <v>35</v>
      </c>
      <c r="B164" s="718"/>
      <c r="C164" s="718"/>
      <c r="D164" s="450">
        <v>0</v>
      </c>
      <c r="E164" s="450">
        <v>0</v>
      </c>
      <c r="F164" s="450">
        <v>0</v>
      </c>
      <c r="G164" s="450">
        <v>0</v>
      </c>
      <c r="H164" s="450">
        <v>0</v>
      </c>
      <c r="I164" s="450">
        <v>0</v>
      </c>
      <c r="J164" s="450">
        <v>0</v>
      </c>
      <c r="K164" s="450">
        <v>0</v>
      </c>
      <c r="L164" s="450">
        <v>0</v>
      </c>
      <c r="M164" s="450">
        <v>0</v>
      </c>
      <c r="N164" s="450">
        <v>0</v>
      </c>
      <c r="O164" s="450">
        <v>0</v>
      </c>
      <c r="P164" s="452">
        <v>0</v>
      </c>
      <c r="R164" s="444"/>
      <c r="S164" s="444"/>
      <c r="T164" s="444"/>
      <c r="U164" s="444"/>
      <c r="V164" s="444"/>
      <c r="W164" s="444"/>
      <c r="X164" s="444"/>
      <c r="Y164" s="444"/>
      <c r="Z164" s="444"/>
      <c r="AA164" s="444"/>
      <c r="AB164" s="444"/>
      <c r="AC164" s="444"/>
      <c r="AD164" s="444"/>
      <c r="AE164" s="444"/>
      <c r="AF164" s="444"/>
      <c r="AG164" s="444"/>
      <c r="AH164" s="444"/>
      <c r="AI164" s="444"/>
      <c r="AJ164" s="444"/>
      <c r="AK164" s="444"/>
      <c r="AL164" s="444"/>
      <c r="AM164" s="444"/>
      <c r="AN164" s="444"/>
      <c r="AO164" s="444"/>
      <c r="AP164" s="444"/>
      <c r="AQ164" s="444"/>
      <c r="AR164" s="444"/>
      <c r="AS164" s="444"/>
      <c r="AT164" s="444"/>
      <c r="AU164" s="444"/>
      <c r="AV164" s="444"/>
      <c r="AW164" s="444"/>
      <c r="AX164" s="444"/>
      <c r="AY164" s="444"/>
      <c r="AZ164" s="444"/>
      <c r="BA164" s="444"/>
      <c r="BB164" s="444"/>
      <c r="BC164" s="444"/>
      <c r="BD164" s="444"/>
      <c r="BE164" s="444"/>
      <c r="BF164" s="444"/>
      <c r="BG164" s="444"/>
      <c r="BH164" s="444"/>
      <c r="BI164" s="444"/>
      <c r="BJ164" s="444"/>
      <c r="BK164" s="444"/>
      <c r="BL164" s="444"/>
      <c r="BM164" s="444"/>
      <c r="BN164" s="444"/>
      <c r="BO164" s="444"/>
      <c r="BP164" s="444"/>
      <c r="BQ164" s="444"/>
      <c r="BR164" s="444"/>
      <c r="BS164" s="444"/>
      <c r="BT164" s="444"/>
      <c r="BU164" s="444"/>
      <c r="BV164" s="444"/>
      <c r="BW164" s="444"/>
      <c r="BX164" s="444"/>
      <c r="BY164" s="444"/>
      <c r="BZ164" s="444"/>
      <c r="CA164" s="444"/>
      <c r="CB164" s="444"/>
      <c r="CC164" s="444"/>
      <c r="CD164" s="444"/>
      <c r="CE164" s="444"/>
      <c r="CF164" s="444"/>
      <c r="CG164" s="444"/>
      <c r="CH164" s="444"/>
      <c r="CI164" s="444"/>
      <c r="CJ164" s="444"/>
      <c r="CK164" s="444"/>
      <c r="CL164" s="444"/>
      <c r="CM164" s="444"/>
      <c r="CN164" s="444"/>
      <c r="CO164" s="444"/>
      <c r="CP164" s="444"/>
      <c r="CQ164" s="444"/>
      <c r="CR164" s="444"/>
      <c r="CS164" s="444"/>
      <c r="CT164" s="444"/>
      <c r="CU164" s="444"/>
      <c r="CV164" s="444"/>
      <c r="CW164" s="444"/>
      <c r="CX164" s="444"/>
      <c r="CY164" s="444"/>
      <c r="CZ164" s="444"/>
      <c r="DA164" s="444"/>
      <c r="DB164" s="444"/>
      <c r="DC164" s="444"/>
      <c r="DD164" s="444"/>
      <c r="DE164" s="444"/>
      <c r="DF164" s="444"/>
      <c r="DG164" s="444"/>
      <c r="DH164" s="444"/>
      <c r="DI164" s="444"/>
      <c r="DJ164" s="444"/>
      <c r="DK164" s="444"/>
      <c r="DL164" s="444"/>
      <c r="DM164" s="444"/>
      <c r="DN164" s="444"/>
      <c r="DO164" s="444"/>
      <c r="DP164" s="444"/>
      <c r="DQ164" s="444"/>
      <c r="DR164" s="444"/>
      <c r="DS164" s="444"/>
      <c r="DT164" s="444"/>
      <c r="DU164" s="444"/>
      <c r="DV164" s="444"/>
      <c r="DW164" s="444"/>
      <c r="DX164" s="444"/>
      <c r="DY164" s="444"/>
      <c r="DZ164" s="444"/>
      <c r="EA164" s="444"/>
      <c r="EB164" s="444"/>
      <c r="EC164" s="444"/>
      <c r="ED164" s="444"/>
      <c r="EE164" s="444"/>
      <c r="EF164" s="444"/>
      <c r="EG164" s="444"/>
      <c r="EH164" s="444"/>
      <c r="EI164" s="444"/>
      <c r="EJ164" s="444"/>
      <c r="EK164" s="444"/>
      <c r="EL164" s="444"/>
      <c r="EM164" s="444"/>
      <c r="EN164" s="444"/>
      <c r="EO164" s="444"/>
      <c r="EP164" s="444"/>
      <c r="EQ164" s="444"/>
      <c r="ER164" s="444"/>
      <c r="ES164" s="444"/>
      <c r="ET164" s="444"/>
      <c r="EU164" s="444"/>
      <c r="EV164" s="444"/>
      <c r="EW164" s="444"/>
      <c r="EX164" s="444"/>
      <c r="EY164" s="444"/>
      <c r="EZ164" s="444"/>
      <c r="FA164" s="444"/>
      <c r="FB164" s="444"/>
      <c r="FC164" s="444"/>
      <c r="FD164" s="444"/>
      <c r="FE164" s="444"/>
      <c r="FF164" s="444"/>
      <c r="FG164" s="444"/>
      <c r="FH164" s="444"/>
      <c r="FI164" s="444"/>
      <c r="FJ164" s="444"/>
      <c r="FK164" s="444"/>
      <c r="FL164" s="444"/>
      <c r="FM164" s="444"/>
      <c r="FN164" s="444"/>
      <c r="FO164" s="444"/>
      <c r="FP164" s="444"/>
      <c r="FQ164" s="444"/>
      <c r="FR164" s="444"/>
      <c r="FS164" s="444"/>
      <c r="FT164" s="444"/>
      <c r="FU164" s="444"/>
      <c r="FV164" s="444"/>
      <c r="FW164" s="444"/>
      <c r="FX164" s="444"/>
      <c r="FY164" s="444"/>
      <c r="FZ164" s="444"/>
      <c r="GA164" s="444"/>
      <c r="GB164" s="444"/>
      <c r="GC164" s="444"/>
      <c r="GD164" s="444"/>
      <c r="GE164" s="444"/>
      <c r="GF164" s="444"/>
      <c r="GG164" s="444"/>
      <c r="GH164" s="444"/>
      <c r="GI164" s="444"/>
      <c r="GJ164" s="444"/>
      <c r="GK164" s="444"/>
      <c r="GL164" s="444"/>
      <c r="GM164" s="444"/>
      <c r="GN164" s="444"/>
      <c r="GO164" s="444"/>
      <c r="GP164" s="444"/>
      <c r="GQ164" s="444"/>
      <c r="GR164" s="444"/>
      <c r="GS164" s="444"/>
      <c r="GT164" s="444"/>
      <c r="GU164" s="444"/>
      <c r="GV164" s="444"/>
      <c r="GW164" s="444"/>
      <c r="GX164" s="444"/>
      <c r="GY164" s="444"/>
      <c r="GZ164" s="444"/>
      <c r="HA164" s="444"/>
      <c r="HB164" s="444"/>
      <c r="HC164" s="444"/>
      <c r="HD164" s="444"/>
      <c r="HE164" s="444"/>
      <c r="HF164" s="444"/>
      <c r="HG164" s="444"/>
      <c r="HH164" s="444"/>
      <c r="HI164" s="444"/>
      <c r="HJ164" s="444"/>
      <c r="HK164" s="444"/>
      <c r="HL164" s="444"/>
      <c r="HM164" s="444"/>
      <c r="HN164" s="444"/>
      <c r="HO164" s="444"/>
      <c r="HP164" s="444"/>
      <c r="HQ164" s="444"/>
      <c r="HR164" s="444"/>
      <c r="HS164" s="444"/>
      <c r="HT164" s="444"/>
      <c r="HU164" s="444"/>
      <c r="HV164" s="444"/>
      <c r="HW164" s="444"/>
      <c r="HX164" s="444"/>
      <c r="HY164" s="444"/>
      <c r="HZ164" s="444"/>
      <c r="IA164" s="444"/>
      <c r="IB164" s="444"/>
      <c r="IC164" s="444"/>
      <c r="ID164" s="444"/>
      <c r="IE164" s="444"/>
      <c r="IF164" s="444"/>
    </row>
    <row r="165" spans="1:240" ht="14.1" thickBot="1">
      <c r="A165" s="771" t="s">
        <v>30</v>
      </c>
      <c r="B165" s="772"/>
      <c r="C165" s="773"/>
      <c r="D165" s="458">
        <v>0</v>
      </c>
      <c r="E165" s="458">
        <v>0</v>
      </c>
      <c r="F165" s="458">
        <v>0</v>
      </c>
      <c r="G165" s="458">
        <v>0</v>
      </c>
      <c r="H165" s="458">
        <v>0</v>
      </c>
      <c r="I165" s="458">
        <v>0</v>
      </c>
      <c r="J165" s="458">
        <v>0</v>
      </c>
      <c r="K165" s="458">
        <v>0</v>
      </c>
      <c r="L165" s="458">
        <v>0</v>
      </c>
      <c r="M165" s="458">
        <v>0</v>
      </c>
      <c r="N165" s="458">
        <v>0</v>
      </c>
      <c r="O165" s="458">
        <v>0</v>
      </c>
      <c r="P165" s="455">
        <v>0</v>
      </c>
    </row>
    <row r="171" spans="1:240" ht="17.100000000000001">
      <c r="S171"/>
      <c r="T171"/>
      <c r="U171"/>
      <c r="V171"/>
      <c r="W171"/>
      <c r="X171"/>
      <c r="Y171"/>
      <c r="Z171"/>
      <c r="AA171"/>
      <c r="AB171"/>
      <c r="AC171"/>
      <c r="AD171"/>
    </row>
    <row r="172" spans="1:240" ht="17.100000000000001">
      <c r="S172"/>
      <c r="T172"/>
      <c r="U172"/>
      <c r="V172"/>
      <c r="W172"/>
      <c r="X172"/>
      <c r="Y172"/>
      <c r="Z172"/>
      <c r="AA172"/>
      <c r="AB172"/>
      <c r="AC172"/>
      <c r="AD172"/>
    </row>
    <row r="173" spans="1:240" ht="17.100000000000001">
      <c r="S173"/>
      <c r="T173"/>
      <c r="U173"/>
      <c r="V173"/>
      <c r="W173"/>
      <c r="X173"/>
      <c r="Y173"/>
      <c r="Z173"/>
      <c r="AA173"/>
      <c r="AB173"/>
      <c r="AC173"/>
      <c r="AD173"/>
    </row>
    <row r="174" spans="1:240" ht="17.100000000000001">
      <c r="S174"/>
      <c r="T174"/>
      <c r="U174"/>
      <c r="V174"/>
      <c r="W174"/>
      <c r="X174"/>
      <c r="Y174"/>
      <c r="Z174"/>
      <c r="AA174"/>
      <c r="AB174"/>
      <c r="AC174"/>
      <c r="AD174"/>
    </row>
    <row r="175" spans="1:240" ht="17.100000000000001">
      <c r="S175"/>
      <c r="T175"/>
      <c r="U175"/>
      <c r="V175"/>
      <c r="W175"/>
      <c r="X175"/>
      <c r="Y175"/>
      <c r="Z175"/>
      <c r="AA175"/>
      <c r="AB175"/>
      <c r="AC175"/>
      <c r="AD175"/>
    </row>
    <row r="176" spans="1:240" ht="17.100000000000001">
      <c r="S176"/>
      <c r="T176"/>
      <c r="U176"/>
      <c r="V176"/>
      <c r="W176"/>
      <c r="X176"/>
      <c r="Y176"/>
      <c r="Z176"/>
      <c r="AA176"/>
      <c r="AB176"/>
      <c r="AC176"/>
      <c r="AD176"/>
    </row>
    <row r="177" spans="19:30" ht="17.100000000000001">
      <c r="S177"/>
      <c r="T177"/>
      <c r="U177"/>
      <c r="V177"/>
      <c r="W177"/>
      <c r="X177"/>
      <c r="Y177"/>
      <c r="Z177"/>
      <c r="AA177"/>
      <c r="AB177"/>
      <c r="AC177"/>
      <c r="AD177"/>
    </row>
    <row r="178" spans="19:30" ht="17.100000000000001">
      <c r="S178"/>
      <c r="T178"/>
      <c r="U178"/>
      <c r="V178"/>
      <c r="W178"/>
      <c r="X178"/>
      <c r="Y178"/>
      <c r="Z178"/>
      <c r="AA178"/>
      <c r="AB178"/>
      <c r="AC178"/>
      <c r="AD178"/>
    </row>
    <row r="179" spans="19:30" ht="17.100000000000001">
      <c r="S179"/>
      <c r="T179"/>
      <c r="U179"/>
      <c r="V179"/>
      <c r="W179"/>
      <c r="X179"/>
      <c r="Y179"/>
      <c r="Z179"/>
      <c r="AA179"/>
      <c r="AB179"/>
      <c r="AC179"/>
      <c r="AD179"/>
    </row>
    <row r="180" spans="19:30" ht="17.100000000000001">
      <c r="S180"/>
      <c r="T180"/>
      <c r="U180"/>
      <c r="V180"/>
      <c r="W180"/>
      <c r="X180"/>
      <c r="Y180"/>
      <c r="Z180"/>
      <c r="AA180"/>
      <c r="AB180"/>
      <c r="AC180"/>
      <c r="AD180"/>
    </row>
    <row r="181" spans="19:30" ht="17.100000000000001">
      <c r="S181"/>
      <c r="T181"/>
      <c r="U181"/>
      <c r="V181"/>
      <c r="W181"/>
      <c r="X181"/>
      <c r="Y181"/>
      <c r="Z181"/>
      <c r="AA181"/>
      <c r="AB181"/>
      <c r="AC181"/>
      <c r="AD181"/>
    </row>
    <row r="182" spans="19:30" ht="17.100000000000001">
      <c r="S182"/>
      <c r="T182"/>
      <c r="U182"/>
      <c r="V182"/>
      <c r="W182"/>
      <c r="X182"/>
      <c r="Y182"/>
      <c r="Z182"/>
      <c r="AA182"/>
      <c r="AB182"/>
      <c r="AC182"/>
      <c r="AD182"/>
    </row>
    <row r="183" spans="19:30" ht="17.100000000000001">
      <c r="S183"/>
      <c r="T183"/>
      <c r="U183"/>
      <c r="V183"/>
      <c r="W183"/>
      <c r="X183"/>
      <c r="Y183"/>
      <c r="Z183"/>
      <c r="AA183"/>
      <c r="AB183"/>
      <c r="AC183"/>
      <c r="AD183"/>
    </row>
    <row r="184" spans="19:30" ht="17.100000000000001">
      <c r="S184"/>
      <c r="T184"/>
      <c r="U184"/>
      <c r="V184"/>
      <c r="W184"/>
      <c r="X184"/>
      <c r="Y184"/>
      <c r="Z184"/>
      <c r="AA184"/>
      <c r="AB184"/>
      <c r="AC184"/>
      <c r="AD184"/>
    </row>
    <row r="185" spans="19:30" ht="17.100000000000001">
      <c r="S185"/>
      <c r="T185"/>
      <c r="U185"/>
      <c r="V185"/>
      <c r="W185"/>
      <c r="X185"/>
      <c r="Y185"/>
      <c r="Z185"/>
      <c r="AA185"/>
      <c r="AB185"/>
      <c r="AC185"/>
      <c r="AD185"/>
    </row>
    <row r="186" spans="19:30" ht="17.100000000000001">
      <c r="S186"/>
      <c r="T186"/>
      <c r="U186"/>
      <c r="V186"/>
      <c r="W186"/>
      <c r="X186"/>
      <c r="Y186"/>
      <c r="Z186"/>
      <c r="AA186"/>
      <c r="AB186"/>
      <c r="AC186"/>
      <c r="AD186"/>
    </row>
    <row r="187" spans="19:30" ht="17.100000000000001">
      <c r="S187"/>
      <c r="T187"/>
      <c r="U187"/>
      <c r="V187"/>
      <c r="W187"/>
      <c r="X187"/>
      <c r="Y187"/>
      <c r="Z187"/>
      <c r="AA187"/>
      <c r="AB187"/>
      <c r="AC187"/>
      <c r="AD187"/>
    </row>
    <row r="188" spans="19:30" ht="17.100000000000001">
      <c r="S188"/>
      <c r="T188"/>
      <c r="U188"/>
      <c r="V188"/>
      <c r="W188"/>
      <c r="X188"/>
      <c r="Y188"/>
      <c r="Z188"/>
      <c r="AA188"/>
      <c r="AB188"/>
      <c r="AC188"/>
      <c r="AD188"/>
    </row>
    <row r="189" spans="19:30" ht="17.100000000000001">
      <c r="S189"/>
      <c r="T189"/>
      <c r="U189"/>
      <c r="V189"/>
      <c r="W189"/>
      <c r="X189"/>
      <c r="Y189"/>
      <c r="Z189"/>
      <c r="AA189"/>
      <c r="AB189"/>
      <c r="AC189"/>
      <c r="AD189"/>
    </row>
    <row r="190" spans="19:30" ht="17.100000000000001">
      <c r="S190"/>
      <c r="T190"/>
      <c r="U190"/>
      <c r="V190"/>
      <c r="W190"/>
      <c r="X190"/>
      <c r="Y190"/>
      <c r="Z190"/>
      <c r="AA190"/>
      <c r="AB190"/>
      <c r="AC190"/>
      <c r="AD190"/>
    </row>
  </sheetData>
  <mergeCells count="77">
    <mergeCell ref="A64:B67"/>
    <mergeCell ref="A2:C2"/>
    <mergeCell ref="A3:C3"/>
    <mergeCell ref="B4:C4"/>
    <mergeCell ref="B11:C11"/>
    <mergeCell ref="B16:C16"/>
    <mergeCell ref="A30:B33"/>
    <mergeCell ref="A36:C36"/>
    <mergeCell ref="A37:C37"/>
    <mergeCell ref="B38:C38"/>
    <mergeCell ref="B45:C45"/>
    <mergeCell ref="B50:C50"/>
    <mergeCell ref="A102:C102"/>
    <mergeCell ref="A70:C70"/>
    <mergeCell ref="A71:C71"/>
    <mergeCell ref="B72:C72"/>
    <mergeCell ref="B79:C79"/>
    <mergeCell ref="B83:C83"/>
    <mergeCell ref="A91:B94"/>
    <mergeCell ref="A97:C97"/>
    <mergeCell ref="A98:C98"/>
    <mergeCell ref="A99:C99"/>
    <mergeCell ref="A100:C100"/>
    <mergeCell ref="A101:C101"/>
    <mergeCell ref="A121:C121"/>
    <mergeCell ref="A103:C103"/>
    <mergeCell ref="A104:C104"/>
    <mergeCell ref="A105:C105"/>
    <mergeCell ref="A106:C106"/>
    <mergeCell ref="A112:C112"/>
    <mergeCell ref="A113:C113"/>
    <mergeCell ref="A114:C114"/>
    <mergeCell ref="A115:C115"/>
    <mergeCell ref="A116:C116"/>
    <mergeCell ref="A117:C117"/>
    <mergeCell ref="A118:C118"/>
    <mergeCell ref="A133:C133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47:C147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4:C144"/>
    <mergeCell ref="A145:C145"/>
    <mergeCell ref="A146:C146"/>
    <mergeCell ref="A159:C159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60:C160"/>
    <mergeCell ref="A161:C161"/>
    <mergeCell ref="A162:C162"/>
    <mergeCell ref="A164:C164"/>
    <mergeCell ref="A165:C165"/>
  </mergeCells>
  <phoneticPr fontId="2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IV33"/>
  <sheetViews>
    <sheetView zoomScale="85" zoomScaleNormal="85" workbookViewId="0">
      <selection activeCell="H7" sqref="H7:H8"/>
    </sheetView>
  </sheetViews>
  <sheetFormatPr defaultColWidth="9" defaultRowHeight="12.6"/>
  <cols>
    <col min="1" max="1" width="3.375" style="343" customWidth="1"/>
    <col min="2" max="2" width="4.5" style="343" customWidth="1"/>
    <col min="3" max="3" width="24.25" style="343" bestFit="1" customWidth="1"/>
    <col min="4" max="4" width="10.375" style="343" customWidth="1"/>
    <col min="5" max="5" width="10" style="343" customWidth="1"/>
    <col min="6" max="6" width="11.125" style="343" bestFit="1" customWidth="1"/>
    <col min="7" max="8" width="11.5" style="343" bestFit="1" customWidth="1"/>
    <col min="9" max="15" width="10.375" style="343" customWidth="1"/>
    <col min="16" max="16" width="10.375" style="343" bestFit="1" customWidth="1"/>
    <col min="17" max="17" width="19.75" style="343" customWidth="1"/>
    <col min="18" max="18" width="3.375" style="343" customWidth="1"/>
    <col min="19" max="19" width="12.75" style="343" customWidth="1"/>
    <col min="20" max="23" width="9.625" style="343" bestFit="1" customWidth="1"/>
    <col min="24" max="29" width="10.125" style="343" bestFit="1" customWidth="1"/>
    <col min="30" max="16384" width="9" style="343"/>
  </cols>
  <sheetData>
    <row r="1" spans="1:256" ht="14.1" thickBot="1">
      <c r="A1" s="342" t="s">
        <v>286</v>
      </c>
      <c r="B1" s="342"/>
      <c r="C1" s="342"/>
      <c r="D1" s="459">
        <v>1</v>
      </c>
      <c r="E1" s="459">
        <v>2</v>
      </c>
      <c r="F1" s="459">
        <v>3</v>
      </c>
      <c r="G1" s="459">
        <v>4</v>
      </c>
      <c r="H1" s="459">
        <v>5</v>
      </c>
      <c r="I1" s="460">
        <v>6</v>
      </c>
      <c r="J1" s="460">
        <v>7</v>
      </c>
      <c r="K1" s="461">
        <v>8</v>
      </c>
      <c r="L1" s="460">
        <v>9</v>
      </c>
      <c r="M1" s="460">
        <v>10</v>
      </c>
      <c r="N1" s="460">
        <v>11</v>
      </c>
      <c r="O1" s="460">
        <v>12</v>
      </c>
      <c r="Q1" s="462" t="s">
        <v>287</v>
      </c>
      <c r="R1" s="463">
        <v>1</v>
      </c>
      <c r="S1" s="463">
        <v>2</v>
      </c>
      <c r="T1" s="463">
        <v>3</v>
      </c>
      <c r="U1" s="463">
        <v>4</v>
      </c>
      <c r="V1" s="463">
        <v>5</v>
      </c>
      <c r="W1" s="464">
        <v>6</v>
      </c>
      <c r="X1" s="464">
        <v>7</v>
      </c>
      <c r="Y1" s="465">
        <v>8</v>
      </c>
      <c r="Z1" s="464">
        <v>9</v>
      </c>
      <c r="AA1" s="464">
        <v>10</v>
      </c>
      <c r="AB1" s="464">
        <v>11</v>
      </c>
      <c r="AC1" s="464">
        <v>12</v>
      </c>
    </row>
    <row r="2" spans="1:256" ht="13.5">
      <c r="A2" s="729" t="s">
        <v>1</v>
      </c>
      <c r="B2" s="730"/>
      <c r="C2" s="730"/>
      <c r="D2" s="344" t="s">
        <v>252</v>
      </c>
      <c r="E2" s="344" t="s">
        <v>253</v>
      </c>
      <c r="F2" s="344" t="s">
        <v>254</v>
      </c>
      <c r="G2" s="344" t="s">
        <v>255</v>
      </c>
      <c r="H2" s="344" t="s">
        <v>256</v>
      </c>
      <c r="I2" s="344" t="s">
        <v>257</v>
      </c>
      <c r="J2" s="344" t="s">
        <v>258</v>
      </c>
      <c r="K2" s="344" t="s">
        <v>259</v>
      </c>
      <c r="L2" s="344" t="s">
        <v>260</v>
      </c>
      <c r="M2" s="344" t="s">
        <v>261</v>
      </c>
      <c r="N2" s="344" t="s">
        <v>262</v>
      </c>
      <c r="O2" s="344" t="s">
        <v>263</v>
      </c>
      <c r="P2" s="345" t="s">
        <v>264</v>
      </c>
      <c r="Q2" s="500" t="s">
        <v>288</v>
      </c>
      <c r="R2" s="466"/>
      <c r="S2" s="466"/>
      <c r="T2" s="466"/>
      <c r="U2" s="466"/>
      <c r="V2" s="466"/>
      <c r="W2" s="466"/>
      <c r="X2" s="466"/>
      <c r="Y2" s="466"/>
      <c r="Z2" s="466"/>
      <c r="AA2" s="466"/>
      <c r="AB2" s="466"/>
      <c r="AC2" s="46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6"/>
      <c r="AO2" s="346"/>
      <c r="AP2" s="346"/>
      <c r="AQ2" s="346"/>
      <c r="AR2" s="346"/>
      <c r="AS2" s="346"/>
      <c r="AT2" s="346"/>
      <c r="AU2" s="346"/>
      <c r="AV2" s="346"/>
      <c r="AW2" s="346"/>
      <c r="AX2" s="346"/>
      <c r="AY2" s="346"/>
      <c r="AZ2" s="346"/>
      <c r="BA2" s="346"/>
      <c r="BB2" s="346"/>
      <c r="BC2" s="346"/>
      <c r="BD2" s="346"/>
      <c r="BE2" s="346"/>
      <c r="BF2" s="346"/>
      <c r="BG2" s="346"/>
      <c r="BH2" s="346"/>
      <c r="BI2" s="346"/>
      <c r="BJ2" s="346"/>
      <c r="BK2" s="346"/>
      <c r="BL2" s="346"/>
      <c r="BM2" s="346"/>
      <c r="BN2" s="346"/>
      <c r="BO2" s="346"/>
      <c r="BP2" s="346"/>
      <c r="BQ2" s="346"/>
      <c r="BR2" s="346"/>
      <c r="BS2" s="346"/>
      <c r="BT2" s="346"/>
      <c r="BU2" s="346"/>
      <c r="BV2" s="346"/>
      <c r="BW2" s="346"/>
      <c r="BX2" s="346"/>
      <c r="BY2" s="346"/>
      <c r="BZ2" s="346"/>
      <c r="CA2" s="346"/>
      <c r="CB2" s="346"/>
      <c r="CC2" s="346"/>
      <c r="CD2" s="346"/>
      <c r="CE2" s="346"/>
      <c r="CF2" s="346"/>
      <c r="CG2" s="346"/>
      <c r="CH2" s="346"/>
      <c r="CI2" s="346"/>
      <c r="CJ2" s="346"/>
      <c r="CK2" s="346"/>
      <c r="CL2" s="346"/>
      <c r="CM2" s="346"/>
      <c r="CN2" s="346"/>
      <c r="CO2" s="346"/>
      <c r="CP2" s="346"/>
      <c r="CQ2" s="346"/>
      <c r="CR2" s="346"/>
      <c r="CS2" s="346"/>
      <c r="CT2" s="346"/>
      <c r="CU2" s="346"/>
      <c r="CV2" s="346"/>
      <c r="CW2" s="346"/>
      <c r="CX2" s="346"/>
      <c r="CY2" s="346"/>
      <c r="CZ2" s="346"/>
      <c r="DA2" s="346"/>
      <c r="DB2" s="346"/>
      <c r="DC2" s="346"/>
      <c r="DD2" s="346"/>
      <c r="DE2" s="346"/>
      <c r="DF2" s="346"/>
      <c r="DG2" s="346"/>
      <c r="DH2" s="346"/>
      <c r="DI2" s="346"/>
      <c r="DJ2" s="346"/>
      <c r="DK2" s="346"/>
      <c r="DL2" s="346"/>
      <c r="DM2" s="346"/>
      <c r="DN2" s="346"/>
      <c r="DO2" s="346"/>
      <c r="DP2" s="346"/>
      <c r="DQ2" s="346"/>
      <c r="DR2" s="346"/>
      <c r="DS2" s="346"/>
      <c r="DT2" s="346"/>
      <c r="DU2" s="346"/>
      <c r="DV2" s="346"/>
      <c r="DW2" s="346"/>
      <c r="DX2" s="346"/>
      <c r="DY2" s="346"/>
      <c r="DZ2" s="346"/>
      <c r="EA2" s="346"/>
      <c r="EB2" s="346"/>
      <c r="EC2" s="346"/>
      <c r="ED2" s="346"/>
      <c r="EE2" s="346"/>
      <c r="EF2" s="346"/>
      <c r="EG2" s="346"/>
      <c r="EH2" s="346"/>
      <c r="EI2" s="346"/>
      <c r="EJ2" s="346"/>
      <c r="EK2" s="346"/>
      <c r="EL2" s="346"/>
      <c r="EM2" s="346"/>
      <c r="EN2" s="346"/>
      <c r="EO2" s="346"/>
      <c r="EP2" s="346"/>
      <c r="EQ2" s="346"/>
      <c r="ER2" s="346"/>
      <c r="ES2" s="346"/>
      <c r="ET2" s="346"/>
      <c r="EU2" s="346"/>
      <c r="EV2" s="346"/>
      <c r="EW2" s="346"/>
      <c r="EX2" s="346"/>
      <c r="EY2" s="346"/>
      <c r="EZ2" s="346"/>
      <c r="FA2" s="346"/>
      <c r="FB2" s="346"/>
      <c r="FC2" s="346"/>
      <c r="FD2" s="346"/>
      <c r="FE2" s="346"/>
      <c r="FF2" s="346"/>
      <c r="FG2" s="346"/>
      <c r="FH2" s="346"/>
      <c r="FI2" s="346"/>
      <c r="FJ2" s="346"/>
      <c r="FK2" s="346"/>
      <c r="FL2" s="346"/>
      <c r="FM2" s="346"/>
      <c r="FN2" s="346"/>
      <c r="FO2" s="346"/>
      <c r="FP2" s="346"/>
      <c r="FQ2" s="346"/>
      <c r="FR2" s="346"/>
      <c r="FS2" s="346"/>
      <c r="FT2" s="346"/>
      <c r="FU2" s="346"/>
      <c r="FV2" s="346"/>
      <c r="FW2" s="346"/>
      <c r="FX2" s="346"/>
      <c r="FY2" s="346"/>
      <c r="FZ2" s="346"/>
      <c r="GA2" s="346"/>
      <c r="GB2" s="346"/>
      <c r="GC2" s="346"/>
      <c r="GD2" s="346"/>
      <c r="GE2" s="346"/>
      <c r="GF2" s="346"/>
      <c r="GG2" s="346"/>
      <c r="GH2" s="346"/>
      <c r="GI2" s="346"/>
      <c r="GJ2" s="346"/>
      <c r="GK2" s="346"/>
      <c r="GL2" s="346"/>
      <c r="GM2" s="346"/>
      <c r="GN2" s="346"/>
      <c r="GO2" s="346"/>
      <c r="GP2" s="346"/>
      <c r="GQ2" s="346"/>
      <c r="GR2" s="346"/>
      <c r="GS2" s="346"/>
      <c r="GT2" s="346"/>
      <c r="GU2" s="346"/>
      <c r="GV2" s="346"/>
      <c r="GW2" s="346"/>
      <c r="GX2" s="346"/>
      <c r="GY2" s="346"/>
      <c r="GZ2" s="346"/>
      <c r="HA2" s="346"/>
      <c r="HB2" s="346"/>
      <c r="HC2" s="346"/>
      <c r="HD2" s="346"/>
      <c r="HE2" s="346"/>
      <c r="HF2" s="346"/>
      <c r="HG2" s="346"/>
      <c r="HH2" s="346"/>
      <c r="HI2" s="346"/>
      <c r="HJ2" s="346"/>
      <c r="HK2" s="346"/>
      <c r="HL2" s="346"/>
      <c r="HM2" s="346"/>
      <c r="HN2" s="346"/>
      <c r="HO2" s="346"/>
      <c r="HP2" s="346"/>
      <c r="HQ2" s="346"/>
      <c r="HR2" s="346"/>
      <c r="HS2" s="346"/>
      <c r="HT2" s="346"/>
      <c r="HU2" s="346"/>
      <c r="HV2" s="346"/>
      <c r="HW2" s="346"/>
      <c r="HX2" s="346"/>
      <c r="HY2" s="346"/>
      <c r="HZ2" s="346"/>
      <c r="IA2" s="346"/>
      <c r="IB2" s="346"/>
      <c r="IC2" s="346"/>
      <c r="ID2" s="346"/>
      <c r="IE2" s="346"/>
      <c r="IF2" s="346"/>
      <c r="IG2" s="346"/>
      <c r="IH2" s="346"/>
      <c r="II2" s="346"/>
      <c r="IJ2" s="346"/>
      <c r="IK2" s="346"/>
      <c r="IL2" s="346"/>
      <c r="IM2" s="346"/>
      <c r="IN2" s="346"/>
      <c r="IO2" s="346"/>
      <c r="IP2" s="346"/>
      <c r="IQ2" s="346"/>
      <c r="IR2" s="346"/>
      <c r="IS2" s="346"/>
      <c r="IT2" s="346"/>
      <c r="IU2" s="346"/>
      <c r="IV2" s="346"/>
    </row>
    <row r="3" spans="1:256" ht="13.5">
      <c r="A3" s="755" t="s">
        <v>9</v>
      </c>
      <c r="B3" s="756"/>
      <c r="C3" s="757"/>
      <c r="D3" s="467">
        <f>D4+D11+D16</f>
        <v>588370284.3644613</v>
      </c>
      <c r="E3" s="467">
        <f t="shared" ref="E3:O3" si="0">E4+E11+E16</f>
        <v>565218941.95090294</v>
      </c>
      <c r="F3" s="467">
        <f t="shared" si="0"/>
        <v>575527873.78283381</v>
      </c>
      <c r="G3" s="467">
        <f t="shared" si="0"/>
        <v>578522834.35787511</v>
      </c>
      <c r="H3" s="467">
        <f t="shared" si="0"/>
        <v>566311246.78443706</v>
      </c>
      <c r="I3" s="467">
        <f t="shared" si="0"/>
        <v>550215434.16792285</v>
      </c>
      <c r="J3" s="467">
        <f t="shared" si="0"/>
        <v>547438421.50367904</v>
      </c>
      <c r="K3" s="467">
        <f t="shared" si="0"/>
        <v>557626636.29268503</v>
      </c>
      <c r="L3" s="467">
        <f t="shared" si="0"/>
        <v>547876277.90959907</v>
      </c>
      <c r="M3" s="467">
        <f t="shared" si="0"/>
        <v>544409699.70869422</v>
      </c>
      <c r="N3" s="467">
        <f t="shared" si="0"/>
        <v>557696523.57679558</v>
      </c>
      <c r="O3" s="467">
        <f t="shared" si="0"/>
        <v>572577344.02170432</v>
      </c>
      <c r="P3" s="467">
        <f>P4+P11+P16+P24</f>
        <v>608342115.78617287</v>
      </c>
      <c r="Q3" s="348"/>
      <c r="R3" s="468"/>
      <c r="S3" s="468"/>
      <c r="T3" s="468"/>
      <c r="U3" s="468"/>
      <c r="V3" s="468"/>
      <c r="W3" s="468"/>
      <c r="X3" s="468"/>
      <c r="Y3" s="468"/>
      <c r="Z3" s="468"/>
      <c r="AA3" s="468"/>
      <c r="AB3" s="468"/>
      <c r="AC3" s="468"/>
      <c r="AD3" s="348"/>
      <c r="AE3" s="348"/>
      <c r="AF3" s="348"/>
      <c r="AG3" s="348"/>
      <c r="AH3" s="348"/>
      <c r="AI3" s="348"/>
      <c r="AJ3" s="348"/>
      <c r="AK3" s="348"/>
      <c r="AL3" s="348"/>
      <c r="AM3" s="348"/>
      <c r="AN3" s="348"/>
      <c r="AO3" s="348"/>
      <c r="AP3" s="348"/>
      <c r="AQ3" s="348"/>
      <c r="AR3" s="348"/>
      <c r="AS3" s="348"/>
      <c r="AT3" s="348"/>
      <c r="AU3" s="348"/>
      <c r="AV3" s="348"/>
      <c r="AW3" s="348"/>
      <c r="AX3" s="348"/>
      <c r="AY3" s="348"/>
      <c r="AZ3" s="348"/>
      <c r="BA3" s="348"/>
      <c r="BB3" s="348"/>
      <c r="BC3" s="348"/>
      <c r="BD3" s="348"/>
      <c r="BE3" s="348"/>
      <c r="BF3" s="348"/>
      <c r="BG3" s="348"/>
      <c r="BH3" s="348"/>
      <c r="BI3" s="348"/>
      <c r="BJ3" s="348"/>
      <c r="BK3" s="348"/>
      <c r="BL3" s="348"/>
      <c r="BM3" s="348"/>
      <c r="BN3" s="348"/>
      <c r="BO3" s="348"/>
      <c r="BP3" s="348"/>
      <c r="BQ3" s="348"/>
      <c r="BR3" s="348"/>
      <c r="BS3" s="348"/>
      <c r="BT3" s="348"/>
      <c r="BU3" s="348"/>
      <c r="BV3" s="348"/>
      <c r="BW3" s="348"/>
      <c r="BX3" s="348"/>
      <c r="BY3" s="348"/>
      <c r="BZ3" s="348"/>
      <c r="CA3" s="348"/>
      <c r="CB3" s="348"/>
      <c r="CC3" s="348"/>
      <c r="CD3" s="348"/>
      <c r="CE3" s="348"/>
      <c r="CF3" s="348"/>
      <c r="CG3" s="348"/>
      <c r="CH3" s="348"/>
      <c r="CI3" s="348"/>
      <c r="CJ3" s="348"/>
      <c r="CK3" s="348"/>
      <c r="CL3" s="348"/>
      <c r="CM3" s="348"/>
      <c r="CN3" s="348"/>
      <c r="CO3" s="348"/>
      <c r="CP3" s="348"/>
      <c r="CQ3" s="348"/>
      <c r="CR3" s="348"/>
      <c r="CS3" s="348"/>
      <c r="CT3" s="348"/>
      <c r="CU3" s="348"/>
      <c r="CV3" s="348"/>
      <c r="CW3" s="348"/>
      <c r="CX3" s="348"/>
      <c r="CY3" s="348"/>
      <c r="CZ3" s="348"/>
      <c r="DA3" s="348"/>
      <c r="DB3" s="348"/>
      <c r="DC3" s="348"/>
      <c r="DD3" s="348"/>
      <c r="DE3" s="348"/>
      <c r="DF3" s="348"/>
      <c r="DG3" s="348"/>
      <c r="DH3" s="348"/>
      <c r="DI3" s="348"/>
      <c r="DJ3" s="348"/>
      <c r="DK3" s="348"/>
      <c r="DL3" s="348"/>
      <c r="DM3" s="348"/>
      <c r="DN3" s="348"/>
      <c r="DO3" s="348"/>
      <c r="DP3" s="348"/>
      <c r="DQ3" s="348"/>
      <c r="DR3" s="348"/>
      <c r="DS3" s="348"/>
      <c r="DT3" s="348"/>
      <c r="DU3" s="348"/>
      <c r="DV3" s="348"/>
      <c r="DW3" s="348"/>
      <c r="DX3" s="348"/>
      <c r="DY3" s="348"/>
      <c r="DZ3" s="348"/>
      <c r="EA3" s="348"/>
      <c r="EB3" s="348"/>
      <c r="EC3" s="348"/>
      <c r="ED3" s="348"/>
      <c r="EE3" s="348"/>
      <c r="EF3" s="348"/>
      <c r="EG3" s="348"/>
      <c r="EH3" s="348"/>
      <c r="EI3" s="348"/>
      <c r="EJ3" s="348"/>
      <c r="EK3" s="348"/>
      <c r="EL3" s="348"/>
      <c r="EM3" s="348"/>
      <c r="EN3" s="348"/>
      <c r="EO3" s="348"/>
      <c r="EP3" s="348"/>
      <c r="EQ3" s="348"/>
      <c r="ER3" s="348"/>
      <c r="ES3" s="348"/>
      <c r="ET3" s="348"/>
      <c r="EU3" s="348"/>
      <c r="EV3" s="348"/>
      <c r="EW3" s="348"/>
      <c r="EX3" s="348"/>
      <c r="EY3" s="348"/>
      <c r="EZ3" s="348"/>
      <c r="FA3" s="348"/>
      <c r="FB3" s="348"/>
      <c r="FC3" s="348"/>
      <c r="FD3" s="348"/>
      <c r="FE3" s="348"/>
      <c r="FF3" s="348"/>
      <c r="FG3" s="348"/>
      <c r="FH3" s="348"/>
      <c r="FI3" s="348"/>
      <c r="FJ3" s="348"/>
      <c r="FK3" s="348"/>
      <c r="FL3" s="348"/>
      <c r="FM3" s="348"/>
      <c r="FN3" s="348"/>
      <c r="FO3" s="348"/>
      <c r="FP3" s="348"/>
      <c r="FQ3" s="348"/>
      <c r="FR3" s="348"/>
      <c r="FS3" s="348"/>
      <c r="FT3" s="348"/>
      <c r="FU3" s="348"/>
      <c r="FV3" s="348"/>
      <c r="FW3" s="348"/>
      <c r="FX3" s="348"/>
      <c r="FY3" s="348"/>
      <c r="FZ3" s="348"/>
      <c r="GA3" s="348"/>
      <c r="GB3" s="348"/>
      <c r="GC3" s="348"/>
      <c r="GD3" s="348"/>
      <c r="GE3" s="348"/>
      <c r="GF3" s="348"/>
      <c r="GG3" s="348"/>
      <c r="GH3" s="348"/>
      <c r="GI3" s="348"/>
      <c r="GJ3" s="348"/>
      <c r="GK3" s="348"/>
      <c r="GL3" s="348"/>
      <c r="GM3" s="348"/>
      <c r="GN3" s="348"/>
      <c r="GO3" s="348"/>
      <c r="GP3" s="348"/>
      <c r="GQ3" s="348"/>
      <c r="GR3" s="348"/>
      <c r="GS3" s="348"/>
      <c r="GT3" s="348"/>
      <c r="GU3" s="348"/>
      <c r="GV3" s="348"/>
      <c r="GW3" s="348"/>
      <c r="GX3" s="348"/>
      <c r="GY3" s="348"/>
      <c r="GZ3" s="348"/>
      <c r="HA3" s="348"/>
      <c r="HB3" s="348"/>
      <c r="HC3" s="348"/>
      <c r="HD3" s="348"/>
      <c r="HE3" s="348"/>
      <c r="HF3" s="348"/>
      <c r="HG3" s="348"/>
      <c r="HH3" s="348"/>
      <c r="HI3" s="348"/>
      <c r="HJ3" s="348"/>
      <c r="HK3" s="348"/>
      <c r="HL3" s="348"/>
      <c r="HM3" s="348"/>
      <c r="HN3" s="348"/>
      <c r="HO3" s="348"/>
      <c r="HP3" s="348"/>
      <c r="HQ3" s="348"/>
      <c r="HR3" s="348"/>
      <c r="HS3" s="348"/>
      <c r="HT3" s="348"/>
      <c r="HU3" s="348"/>
      <c r="HV3" s="348"/>
      <c r="HW3" s="348"/>
      <c r="HX3" s="348"/>
      <c r="HY3" s="348"/>
      <c r="HZ3" s="348"/>
      <c r="IA3" s="348"/>
      <c r="IB3" s="348"/>
      <c r="IC3" s="348"/>
      <c r="ID3" s="348"/>
      <c r="IE3" s="348"/>
      <c r="IF3" s="348"/>
      <c r="IG3" s="348"/>
      <c r="IH3" s="348"/>
      <c r="II3" s="348"/>
      <c r="IJ3" s="348"/>
      <c r="IK3" s="348"/>
      <c r="IL3" s="348"/>
      <c r="IM3" s="348"/>
      <c r="IN3" s="348"/>
      <c r="IO3" s="348"/>
      <c r="IP3" s="348"/>
      <c r="IQ3" s="348"/>
      <c r="IR3" s="348"/>
      <c r="IS3" s="348"/>
      <c r="IT3" s="348"/>
      <c r="IU3" s="348"/>
      <c r="IV3" s="348"/>
    </row>
    <row r="4" spans="1:256" ht="13.5">
      <c r="A4" s="123"/>
      <c r="B4" s="758" t="s">
        <v>10</v>
      </c>
      <c r="C4" s="759"/>
      <c r="D4" s="351">
        <f>SUM(D5:D10)</f>
        <v>350209738.79516703</v>
      </c>
      <c r="E4" s="351">
        <f t="shared" ref="E4:O4" si="1">SUM(E5:E10)</f>
        <v>337932291.40055227</v>
      </c>
      <c r="F4" s="351">
        <f t="shared" si="1"/>
        <v>344605527.26014847</v>
      </c>
      <c r="G4" s="351">
        <f t="shared" si="1"/>
        <v>352127401.90751749</v>
      </c>
      <c r="H4" s="351">
        <f t="shared" si="1"/>
        <v>343381205.98013049</v>
      </c>
      <c r="I4" s="351">
        <f t="shared" si="1"/>
        <v>331844098.38034791</v>
      </c>
      <c r="J4" s="351">
        <f t="shared" si="1"/>
        <v>331357197.2319091</v>
      </c>
      <c r="K4" s="351">
        <f t="shared" si="1"/>
        <v>333730909.62816489</v>
      </c>
      <c r="L4" s="351">
        <f t="shared" si="1"/>
        <v>328956901.69586325</v>
      </c>
      <c r="M4" s="351">
        <f t="shared" si="1"/>
        <v>327194315.00074977</v>
      </c>
      <c r="N4" s="351">
        <f t="shared" si="1"/>
        <v>340540168.90859026</v>
      </c>
      <c r="O4" s="351">
        <f t="shared" si="1"/>
        <v>352180167.30368704</v>
      </c>
      <c r="P4" s="351">
        <f>SUM(P5:P10)</f>
        <v>339504993.62440228</v>
      </c>
      <c r="R4" s="469"/>
      <c r="S4" s="469"/>
      <c r="T4" s="469"/>
      <c r="U4" s="469"/>
      <c r="V4" s="469"/>
      <c r="W4" s="469"/>
      <c r="X4" s="469"/>
      <c r="Y4" s="469"/>
      <c r="Z4" s="469"/>
      <c r="AA4" s="469"/>
      <c r="AB4" s="469"/>
      <c r="AC4" s="469"/>
    </row>
    <row r="5" spans="1:256" ht="13.5">
      <c r="A5" s="126"/>
      <c r="B5" s="127"/>
      <c r="C5" s="128" t="s">
        <v>11</v>
      </c>
      <c r="D5" s="350">
        <v>303988019.83466703</v>
      </c>
      <c r="E5" s="350">
        <v>292571662.06505227</v>
      </c>
      <c r="F5" s="350">
        <v>299836592.03589845</v>
      </c>
      <c r="G5" s="350">
        <v>308133591.28926748</v>
      </c>
      <c r="H5" s="350">
        <v>299290587.85438049</v>
      </c>
      <c r="I5" s="350">
        <v>287405735.69609785</v>
      </c>
      <c r="J5" s="350">
        <v>285479879.76107579</v>
      </c>
      <c r="K5" s="350">
        <v>285164994.56816512</v>
      </c>
      <c r="L5" s="350">
        <v>279023138.18586349</v>
      </c>
      <c r="M5" s="350">
        <v>277336085.43991649</v>
      </c>
      <c r="N5" s="350">
        <v>290769172.89859027</v>
      </c>
      <c r="O5" s="350">
        <v>303733765.26118702</v>
      </c>
      <c r="P5" s="350">
        <f t="shared" ref="P5:P10" si="2">AVERAGE(D5:O5)</f>
        <v>292727768.74084681</v>
      </c>
      <c r="R5" s="469">
        <f>0</f>
        <v>0</v>
      </c>
      <c r="S5" s="470">
        <f>$D5</f>
        <v>303988019.83466703</v>
      </c>
      <c r="T5" s="469">
        <f>SUM($D5:$E5)/2</f>
        <v>298279840.94985962</v>
      </c>
      <c r="U5" s="469">
        <f>SUM($D5:$F5)/3</f>
        <v>298798757.97853923</v>
      </c>
      <c r="V5" s="469">
        <f>SUM($D5:$G5)/4</f>
        <v>301132466.30622131</v>
      </c>
      <c r="W5" s="469">
        <f>SUM($D5:$H5)/5</f>
        <v>300764090.61585313</v>
      </c>
      <c r="X5" s="469">
        <f>SUM($D5:$I5)/6</f>
        <v>298537698.12922722</v>
      </c>
      <c r="Y5" s="469">
        <f t="shared" ref="Y5:Y10" si="3">SUM($D5:$J5)/7</f>
        <v>296672295.50520557</v>
      </c>
      <c r="Z5" s="469">
        <f>SUM($D5:$K5)/8</f>
        <v>295233882.88807553</v>
      </c>
      <c r="AA5" s="469">
        <f>SUM($D5:$L5)/9</f>
        <v>293432689.03227419</v>
      </c>
      <c r="AB5" s="469">
        <f>SUM($D5:$M5)/10</f>
        <v>291823028.67303842</v>
      </c>
      <c r="AC5" s="469">
        <f>SUM($D5:$N5)/11</f>
        <v>291727223.60263401</v>
      </c>
    </row>
    <row r="6" spans="1:256" ht="13.5">
      <c r="A6" s="126"/>
      <c r="B6" s="127"/>
      <c r="C6" s="128" t="s">
        <v>12</v>
      </c>
      <c r="D6" s="350">
        <v>7475723.3799999999</v>
      </c>
      <c r="E6" s="350">
        <v>7807209.4275000002</v>
      </c>
      <c r="F6" s="350">
        <v>6923762.3650000002</v>
      </c>
      <c r="G6" s="350">
        <v>6219447.5999999996</v>
      </c>
      <c r="H6" s="350">
        <v>5761280.7274999991</v>
      </c>
      <c r="I6" s="350">
        <v>5401756.6775000002</v>
      </c>
      <c r="J6" s="350">
        <v>5451414.3475000001</v>
      </c>
      <c r="K6" s="350">
        <v>5686905.0449999999</v>
      </c>
      <c r="L6" s="350">
        <v>6036721.2649999997</v>
      </c>
      <c r="M6" s="350">
        <v>6243562.0800000001</v>
      </c>
      <c r="N6" s="350">
        <v>6252595.4699999997</v>
      </c>
      <c r="O6" s="350">
        <v>6542616.7250000006</v>
      </c>
      <c r="P6" s="350">
        <f>AVERAGE(D6:O6)</f>
        <v>6316916.2591666663</v>
      </c>
      <c r="R6" s="469">
        <f>0</f>
        <v>0</v>
      </c>
      <c r="S6" s="470">
        <f t="shared" ref="S6:S33" si="4">$D6</f>
        <v>7475723.3799999999</v>
      </c>
      <c r="T6" s="469">
        <f>SUM($D6:$E6)/2</f>
        <v>7641466.4037500005</v>
      </c>
      <c r="U6" s="469">
        <f t="shared" ref="U6:U33" si="5">SUM($D6:$F6)/3</f>
        <v>7402231.7241666662</v>
      </c>
      <c r="V6" s="469">
        <f t="shared" ref="V6:V33" si="6">SUM($D6:$G6)/4</f>
        <v>7106535.6931250002</v>
      </c>
      <c r="W6" s="469">
        <f t="shared" ref="W6:W33" si="7">SUM($D6:$H6)/5</f>
        <v>6837484.7000000002</v>
      </c>
      <c r="X6" s="469">
        <f t="shared" ref="X6:X33" si="8">SUM($D6:$I6)/6</f>
        <v>6598196.69625</v>
      </c>
      <c r="Y6" s="469">
        <f t="shared" si="3"/>
        <v>6434370.646428572</v>
      </c>
      <c r="Z6" s="469">
        <f t="shared" ref="Z6:Z33" si="9">SUM($D6:$K6)/8</f>
        <v>6340937.446250001</v>
      </c>
      <c r="AA6" s="469">
        <f t="shared" ref="AA6:AA33" si="10">SUM($D6:$L6)/9</f>
        <v>6307135.6483333344</v>
      </c>
      <c r="AB6" s="469">
        <f t="shared" ref="AB6:AB32" si="11">SUM($D6:$M6)/10</f>
        <v>6300778.2915000003</v>
      </c>
      <c r="AC6" s="469">
        <f t="shared" ref="AC6:AC33" si="12">SUM($D6:$N6)/11</f>
        <v>6296398.0350000001</v>
      </c>
    </row>
    <row r="7" spans="1:256" ht="13.5">
      <c r="A7" s="126"/>
      <c r="B7" s="127"/>
      <c r="C7" s="128" t="s">
        <v>13</v>
      </c>
      <c r="D7" s="350">
        <v>8632919.8674999997</v>
      </c>
      <c r="E7" s="350">
        <v>7666829.8099999996</v>
      </c>
      <c r="F7" s="350">
        <v>7604448.4375</v>
      </c>
      <c r="G7" s="350">
        <v>8100616.5974999992</v>
      </c>
      <c r="H7" s="350">
        <v>9377120.7299999986</v>
      </c>
      <c r="I7" s="350">
        <v>10171897.4825</v>
      </c>
      <c r="J7" s="350">
        <v>10907826.933333252</v>
      </c>
      <c r="K7" s="350">
        <v>12217541.112499751</v>
      </c>
      <c r="L7" s="350">
        <v>12506247.762499752</v>
      </c>
      <c r="M7" s="350">
        <v>11861837.83583325</v>
      </c>
      <c r="N7" s="350">
        <v>11405342.772499999</v>
      </c>
      <c r="O7" s="350">
        <v>10415183.664999999</v>
      </c>
      <c r="P7" s="350">
        <f>AVERAGE(D7:O7)</f>
        <v>10072317.7505555</v>
      </c>
      <c r="R7" s="469">
        <f>0</f>
        <v>0</v>
      </c>
      <c r="S7" s="470">
        <f t="shared" si="4"/>
        <v>8632919.8674999997</v>
      </c>
      <c r="T7" s="469">
        <f t="shared" ref="T7:T33" si="13">SUM($D7:$E7)/2</f>
        <v>8149874.8387499992</v>
      </c>
      <c r="U7" s="469">
        <f t="shared" si="5"/>
        <v>7968066.0383333331</v>
      </c>
      <c r="V7" s="469">
        <f t="shared" si="6"/>
        <v>8001203.6781249996</v>
      </c>
      <c r="W7" s="469">
        <f t="shared" si="7"/>
        <v>8276387.0884999987</v>
      </c>
      <c r="X7" s="469">
        <f t="shared" si="8"/>
        <v>8592305.4874999989</v>
      </c>
      <c r="Y7" s="469">
        <f t="shared" si="3"/>
        <v>8923094.2654761784</v>
      </c>
      <c r="Z7" s="469">
        <f t="shared" si="9"/>
        <v>9334900.1213541254</v>
      </c>
      <c r="AA7" s="469">
        <f t="shared" si="10"/>
        <v>9687272.0814814176</v>
      </c>
      <c r="AB7" s="469">
        <f t="shared" si="11"/>
        <v>9904728.6569165997</v>
      </c>
      <c r="AC7" s="469">
        <f t="shared" si="12"/>
        <v>10041148.121969637</v>
      </c>
    </row>
    <row r="8" spans="1:256" ht="13.5">
      <c r="A8" s="126"/>
      <c r="B8" s="127"/>
      <c r="C8" s="128" t="s">
        <v>14</v>
      </c>
      <c r="D8" s="350">
        <v>19261332.848000001</v>
      </c>
      <c r="E8" s="350">
        <v>18653640.5255</v>
      </c>
      <c r="F8" s="350">
        <v>19023926.819249999</v>
      </c>
      <c r="G8" s="350">
        <v>18832123.203249998</v>
      </c>
      <c r="H8" s="350">
        <v>18382929.83825</v>
      </c>
      <c r="I8" s="350">
        <v>18625204.104249999</v>
      </c>
      <c r="J8" s="350">
        <v>19032118.682500001</v>
      </c>
      <c r="K8" s="350">
        <v>19378282.185000002</v>
      </c>
      <c r="L8" s="350">
        <v>19512554.240000002</v>
      </c>
      <c r="M8" s="350">
        <v>19513112.225000001</v>
      </c>
      <c r="N8" s="350">
        <v>19976491.515000001</v>
      </c>
      <c r="O8" s="350">
        <v>20186991.699999999</v>
      </c>
      <c r="P8" s="350">
        <f t="shared" si="2"/>
        <v>19198225.657166664</v>
      </c>
      <c r="R8" s="469">
        <f>0</f>
        <v>0</v>
      </c>
      <c r="S8" s="470">
        <f t="shared" si="4"/>
        <v>19261332.848000001</v>
      </c>
      <c r="T8" s="469">
        <f t="shared" si="13"/>
        <v>18957486.686750002</v>
      </c>
      <c r="U8" s="469">
        <f t="shared" si="5"/>
        <v>18979633.397583336</v>
      </c>
      <c r="V8" s="469">
        <f t="shared" si="6"/>
        <v>18942755.848999999</v>
      </c>
      <c r="W8" s="469">
        <f t="shared" si="7"/>
        <v>18830790.646849997</v>
      </c>
      <c r="X8" s="469">
        <f t="shared" si="8"/>
        <v>18796526.223083332</v>
      </c>
      <c r="Y8" s="469">
        <f t="shared" si="3"/>
        <v>18830182.288714286</v>
      </c>
      <c r="Z8" s="469">
        <f t="shared" si="9"/>
        <v>18898694.77575</v>
      </c>
      <c r="AA8" s="469">
        <f t="shared" si="10"/>
        <v>18966901.382888891</v>
      </c>
      <c r="AB8" s="469">
        <f t="shared" si="11"/>
        <v>19021522.467100002</v>
      </c>
      <c r="AC8" s="469">
        <f t="shared" si="12"/>
        <v>19108337.835090909</v>
      </c>
    </row>
    <row r="9" spans="1:256" ht="13.5">
      <c r="A9" s="126"/>
      <c r="B9" s="127"/>
      <c r="C9" s="128" t="s">
        <v>15</v>
      </c>
      <c r="D9" s="350">
        <v>0</v>
      </c>
      <c r="E9" s="350">
        <v>0</v>
      </c>
      <c r="F9" s="350">
        <v>0</v>
      </c>
      <c r="G9" s="350">
        <v>0</v>
      </c>
      <c r="H9" s="350">
        <v>0</v>
      </c>
      <c r="I9" s="350">
        <v>0</v>
      </c>
      <c r="J9" s="350">
        <v>0</v>
      </c>
      <c r="K9" s="350">
        <v>0</v>
      </c>
      <c r="L9" s="350">
        <v>0</v>
      </c>
      <c r="M9" s="350">
        <v>0</v>
      </c>
      <c r="N9" s="350">
        <v>0</v>
      </c>
      <c r="O9" s="350">
        <v>0</v>
      </c>
      <c r="P9" s="350">
        <f t="shared" si="2"/>
        <v>0</v>
      </c>
      <c r="R9" s="469">
        <f>0</f>
        <v>0</v>
      </c>
      <c r="S9" s="470">
        <f t="shared" si="4"/>
        <v>0</v>
      </c>
      <c r="T9" s="469">
        <f t="shared" si="13"/>
        <v>0</v>
      </c>
      <c r="U9" s="469">
        <f t="shared" si="5"/>
        <v>0</v>
      </c>
      <c r="V9" s="469">
        <f t="shared" si="6"/>
        <v>0</v>
      </c>
      <c r="W9" s="469">
        <f t="shared" si="7"/>
        <v>0</v>
      </c>
      <c r="X9" s="469">
        <f t="shared" si="8"/>
        <v>0</v>
      </c>
      <c r="Y9" s="469">
        <f t="shared" si="3"/>
        <v>0</v>
      </c>
      <c r="Z9" s="469">
        <f t="shared" si="9"/>
        <v>0</v>
      </c>
      <c r="AA9" s="469">
        <f t="shared" si="10"/>
        <v>0</v>
      </c>
      <c r="AB9" s="469">
        <f t="shared" si="11"/>
        <v>0</v>
      </c>
      <c r="AC9" s="469">
        <f t="shared" si="12"/>
        <v>0</v>
      </c>
    </row>
    <row r="10" spans="1:256" ht="13.5">
      <c r="A10" s="126"/>
      <c r="B10" s="132"/>
      <c r="C10" s="128" t="s">
        <v>16</v>
      </c>
      <c r="D10" s="350">
        <v>10851742.865</v>
      </c>
      <c r="E10" s="350">
        <v>11232949.572499998</v>
      </c>
      <c r="F10" s="350">
        <v>11216797.602499999</v>
      </c>
      <c r="G10" s="350">
        <v>10841623.217499999</v>
      </c>
      <c r="H10" s="350">
        <v>10569286.829999998</v>
      </c>
      <c r="I10" s="350">
        <v>10239504.42</v>
      </c>
      <c r="J10" s="350">
        <v>10485957.5075</v>
      </c>
      <c r="K10" s="350">
        <v>11283186.717499999</v>
      </c>
      <c r="L10" s="350">
        <v>11878240.2425</v>
      </c>
      <c r="M10" s="350">
        <v>12239717.419999998</v>
      </c>
      <c r="N10" s="350">
        <v>12136566.252499999</v>
      </c>
      <c r="O10" s="350">
        <v>11301609.952500001</v>
      </c>
      <c r="P10" s="350">
        <f t="shared" si="2"/>
        <v>11189765.216666667</v>
      </c>
      <c r="R10" s="469">
        <f>0</f>
        <v>0</v>
      </c>
      <c r="S10" s="470">
        <f t="shared" si="4"/>
        <v>10851742.865</v>
      </c>
      <c r="T10" s="469">
        <f t="shared" si="13"/>
        <v>11042346.21875</v>
      </c>
      <c r="U10" s="469">
        <f t="shared" si="5"/>
        <v>11100496.68</v>
      </c>
      <c r="V10" s="469">
        <f t="shared" si="6"/>
        <v>11035778.314375</v>
      </c>
      <c r="W10" s="469">
        <f t="shared" si="7"/>
        <v>10942480.0175</v>
      </c>
      <c r="X10" s="469">
        <f t="shared" si="8"/>
        <v>10825317.417916667</v>
      </c>
      <c r="Y10" s="469">
        <f t="shared" si="3"/>
        <v>10776837.430714285</v>
      </c>
      <c r="Z10" s="469">
        <f t="shared" si="9"/>
        <v>10840131.0915625</v>
      </c>
      <c r="AA10" s="469">
        <f t="shared" si="10"/>
        <v>10955476.552777776</v>
      </c>
      <c r="AB10" s="469">
        <f t="shared" si="11"/>
        <v>11083900.6395</v>
      </c>
      <c r="AC10" s="469">
        <f t="shared" si="12"/>
        <v>11179597.513409091</v>
      </c>
    </row>
    <row r="11" spans="1:256" ht="13.5">
      <c r="A11" s="126"/>
      <c r="B11" s="760" t="s">
        <v>17</v>
      </c>
      <c r="C11" s="761"/>
      <c r="D11" s="351">
        <v>11556655.470294258</v>
      </c>
      <c r="E11" s="351">
        <v>8686873.4986840002</v>
      </c>
      <c r="F11" s="351">
        <v>10560382.920685334</v>
      </c>
      <c r="G11" s="351">
        <v>11101559.100357603</v>
      </c>
      <c r="H11" s="351">
        <v>10394393.87830659</v>
      </c>
      <c r="I11" s="351">
        <v>12036141.199574957</v>
      </c>
      <c r="J11" s="351">
        <v>13490334.812436663</v>
      </c>
      <c r="K11" s="351">
        <v>12676834.764853422</v>
      </c>
      <c r="L11" s="351">
        <v>11550932.107069161</v>
      </c>
      <c r="M11" s="351">
        <v>11029147.841611151</v>
      </c>
      <c r="N11" s="351">
        <v>10526803.814872053</v>
      </c>
      <c r="O11" s="351">
        <v>11284530.081350632</v>
      </c>
      <c r="P11" s="351">
        <f>SUM(P12:P15)</f>
        <v>10953455.340833334</v>
      </c>
      <c r="R11" s="469"/>
      <c r="S11" s="470"/>
      <c r="T11" s="469"/>
      <c r="U11" s="469"/>
      <c r="V11" s="469"/>
      <c r="W11" s="469"/>
      <c r="X11" s="469"/>
      <c r="Y11" s="469"/>
      <c r="Z11" s="469"/>
      <c r="AA11" s="469"/>
      <c r="AB11" s="469"/>
      <c r="AC11" s="469"/>
    </row>
    <row r="12" spans="1:256" ht="13.5">
      <c r="A12" s="126"/>
      <c r="B12" s="127"/>
      <c r="C12" s="134" t="s">
        <v>18</v>
      </c>
      <c r="D12" s="350">
        <v>0</v>
      </c>
      <c r="E12" s="350">
        <v>0</v>
      </c>
      <c r="F12" s="350">
        <v>0</v>
      </c>
      <c r="G12" s="350">
        <v>0</v>
      </c>
      <c r="H12" s="350">
        <v>0</v>
      </c>
      <c r="I12" s="350">
        <v>0</v>
      </c>
      <c r="J12" s="350">
        <v>0</v>
      </c>
      <c r="K12" s="350">
        <v>0</v>
      </c>
      <c r="L12" s="350">
        <v>0</v>
      </c>
      <c r="M12" s="350">
        <v>0</v>
      </c>
      <c r="N12" s="350">
        <v>0</v>
      </c>
      <c r="O12" s="350">
        <v>0</v>
      </c>
      <c r="P12" s="350">
        <f>AVERAGE(D12:O12)</f>
        <v>0</v>
      </c>
      <c r="R12" s="469">
        <f>0</f>
        <v>0</v>
      </c>
      <c r="S12" s="470">
        <f t="shared" si="4"/>
        <v>0</v>
      </c>
      <c r="T12" s="469">
        <f t="shared" si="13"/>
        <v>0</v>
      </c>
      <c r="U12" s="469">
        <f t="shared" si="5"/>
        <v>0</v>
      </c>
      <c r="V12" s="469">
        <f t="shared" si="6"/>
        <v>0</v>
      </c>
      <c r="W12" s="469">
        <f t="shared" si="7"/>
        <v>0</v>
      </c>
      <c r="X12" s="469">
        <f t="shared" si="8"/>
        <v>0</v>
      </c>
      <c r="Y12" s="469">
        <f>SUM($D12:$J12)/7</f>
        <v>0</v>
      </c>
      <c r="Z12" s="469">
        <f t="shared" si="9"/>
        <v>0</v>
      </c>
      <c r="AA12" s="469">
        <f t="shared" si="10"/>
        <v>0</v>
      </c>
      <c r="AB12" s="469">
        <f t="shared" si="11"/>
        <v>0</v>
      </c>
      <c r="AC12" s="469">
        <f t="shared" si="12"/>
        <v>0</v>
      </c>
    </row>
    <row r="13" spans="1:256" ht="13.5">
      <c r="A13" s="126"/>
      <c r="B13" s="127"/>
      <c r="C13" s="134" t="s">
        <v>19</v>
      </c>
      <c r="D13" s="350">
        <v>1240018.9325000001</v>
      </c>
      <c r="E13" s="350">
        <v>1134904.3149999999</v>
      </c>
      <c r="F13" s="350">
        <v>1709842.5649999999</v>
      </c>
      <c r="G13" s="350">
        <v>2699537.5550000002</v>
      </c>
      <c r="H13" s="350">
        <v>3467191.4249999998</v>
      </c>
      <c r="I13" s="350">
        <v>3440935.875</v>
      </c>
      <c r="J13" s="350">
        <v>3199437.4775</v>
      </c>
      <c r="K13" s="350">
        <v>3151341.69</v>
      </c>
      <c r="L13" s="350">
        <v>2592180.6149999998</v>
      </c>
      <c r="M13" s="350">
        <v>1861268.67</v>
      </c>
      <c r="N13" s="350">
        <v>1705095.1199999999</v>
      </c>
      <c r="O13" s="350">
        <v>1625778.03</v>
      </c>
      <c r="P13" s="350">
        <f>AVERAGE(D13:O13)</f>
        <v>2318961.0225</v>
      </c>
      <c r="R13" s="469">
        <f>0</f>
        <v>0</v>
      </c>
      <c r="S13" s="470">
        <f t="shared" si="4"/>
        <v>1240018.9325000001</v>
      </c>
      <c r="T13" s="469">
        <f t="shared" si="13"/>
        <v>1187461.62375</v>
      </c>
      <c r="U13" s="469">
        <f t="shared" si="5"/>
        <v>1361588.6041666667</v>
      </c>
      <c r="V13" s="469">
        <f t="shared" si="6"/>
        <v>1696075.8418749999</v>
      </c>
      <c r="W13" s="469">
        <f t="shared" si="7"/>
        <v>2050298.9585000002</v>
      </c>
      <c r="X13" s="469">
        <f t="shared" si="8"/>
        <v>2282071.7779166666</v>
      </c>
      <c r="Y13" s="469">
        <f>SUM($D13:$J13)/7</f>
        <v>2413124.0207142858</v>
      </c>
      <c r="Z13" s="469">
        <f t="shared" si="9"/>
        <v>2505401.2293750001</v>
      </c>
      <c r="AA13" s="469">
        <f t="shared" si="10"/>
        <v>2515043.3833333333</v>
      </c>
      <c r="AB13" s="469">
        <f t="shared" si="11"/>
        <v>2449665.9119999995</v>
      </c>
      <c r="AC13" s="469">
        <f t="shared" si="12"/>
        <v>2381977.6581818182</v>
      </c>
    </row>
    <row r="14" spans="1:256" ht="13.5">
      <c r="A14" s="126"/>
      <c r="B14" s="127"/>
      <c r="C14" s="233" t="s">
        <v>20</v>
      </c>
      <c r="D14" s="350">
        <v>305740.74</v>
      </c>
      <c r="E14" s="350">
        <v>293436.89499999996</v>
      </c>
      <c r="F14" s="350">
        <v>252545.88</v>
      </c>
      <c r="G14" s="350">
        <v>208282.22999999998</v>
      </c>
      <c r="H14" s="350">
        <v>168263.6925</v>
      </c>
      <c r="I14" s="350">
        <v>169839.84</v>
      </c>
      <c r="J14" s="350">
        <v>244323.96249999999</v>
      </c>
      <c r="K14" s="350">
        <v>315385.3175</v>
      </c>
      <c r="L14" s="350">
        <v>307375.45250000001</v>
      </c>
      <c r="M14" s="350">
        <v>247929.70749999999</v>
      </c>
      <c r="N14" s="350">
        <v>226482.03750000001</v>
      </c>
      <c r="O14" s="350">
        <v>269857.77500000002</v>
      </c>
      <c r="P14" s="350">
        <f>AVERAGE(D14:O14)</f>
        <v>250788.62750000003</v>
      </c>
      <c r="R14" s="469">
        <f>0</f>
        <v>0</v>
      </c>
      <c r="S14" s="470">
        <f t="shared" si="4"/>
        <v>305740.74</v>
      </c>
      <c r="T14" s="469">
        <f t="shared" si="13"/>
        <v>299588.8175</v>
      </c>
      <c r="U14" s="469">
        <f t="shared" si="5"/>
        <v>283907.83833333332</v>
      </c>
      <c r="V14" s="469">
        <f t="shared" si="6"/>
        <v>265001.43625000003</v>
      </c>
      <c r="W14" s="469">
        <f t="shared" si="7"/>
        <v>245653.88750000001</v>
      </c>
      <c r="X14" s="469">
        <f t="shared" si="8"/>
        <v>233018.21291666667</v>
      </c>
      <c r="Y14" s="469">
        <f>SUM($D14:$J14)/7</f>
        <v>234633.32</v>
      </c>
      <c r="Z14" s="469">
        <f t="shared" si="9"/>
        <v>244727.31968750001</v>
      </c>
      <c r="AA14" s="469">
        <f t="shared" si="10"/>
        <v>251688.22333333336</v>
      </c>
      <c r="AB14" s="469">
        <f t="shared" si="11"/>
        <v>251312.37175000002</v>
      </c>
      <c r="AC14" s="469">
        <f t="shared" si="12"/>
        <v>249055.06863636366</v>
      </c>
    </row>
    <row r="15" spans="1:256" ht="13.5">
      <c r="A15" s="126"/>
      <c r="B15" s="127"/>
      <c r="C15" s="233" t="s">
        <v>21</v>
      </c>
      <c r="D15" s="350">
        <v>8784354.6850000005</v>
      </c>
      <c r="E15" s="350">
        <v>8569445.7725000009</v>
      </c>
      <c r="F15" s="350">
        <v>8878682.0850000009</v>
      </c>
      <c r="G15" s="350">
        <v>9643318.8499999996</v>
      </c>
      <c r="H15" s="350">
        <v>8894722.9574999996</v>
      </c>
      <c r="I15" s="350">
        <v>7582283.4349999996</v>
      </c>
      <c r="J15" s="350">
        <v>7735940.8025000002</v>
      </c>
      <c r="K15" s="350">
        <v>8291062.0425000004</v>
      </c>
      <c r="L15" s="350">
        <v>8200330.5274999999</v>
      </c>
      <c r="M15" s="350">
        <v>7986178.6799999997</v>
      </c>
      <c r="N15" s="350">
        <v>7808203.0875000004</v>
      </c>
      <c r="O15" s="350">
        <v>8229945.3650000002</v>
      </c>
      <c r="P15" s="350">
        <f>AVERAGE(D15:O15)</f>
        <v>8383705.6908333339</v>
      </c>
      <c r="R15" s="469">
        <f>0</f>
        <v>0</v>
      </c>
      <c r="S15" s="470">
        <f t="shared" si="4"/>
        <v>8784354.6850000005</v>
      </c>
      <c r="T15" s="469">
        <f t="shared" si="13"/>
        <v>8676900.2287500016</v>
      </c>
      <c r="U15" s="469">
        <f t="shared" si="5"/>
        <v>8744160.847500002</v>
      </c>
      <c r="V15" s="469">
        <f t="shared" si="6"/>
        <v>8968950.3481250014</v>
      </c>
      <c r="W15" s="469">
        <f t="shared" si="7"/>
        <v>8954104.870000001</v>
      </c>
      <c r="X15" s="469">
        <f t="shared" si="8"/>
        <v>8725467.9641666692</v>
      </c>
      <c r="Y15" s="469">
        <f>SUM($D15:$J15)/7</f>
        <v>8584106.9410714302</v>
      </c>
      <c r="Z15" s="469">
        <f t="shared" si="9"/>
        <v>8547476.3287500013</v>
      </c>
      <c r="AA15" s="469">
        <f t="shared" si="10"/>
        <v>8508904.5730555579</v>
      </c>
      <c r="AB15" s="469">
        <f t="shared" si="11"/>
        <v>8456631.9837500006</v>
      </c>
      <c r="AC15" s="469">
        <f t="shared" si="12"/>
        <v>8397683.9022727292</v>
      </c>
    </row>
    <row r="16" spans="1:256" ht="13.5">
      <c r="A16" s="126"/>
      <c r="B16" s="758" t="s">
        <v>22</v>
      </c>
      <c r="C16" s="759"/>
      <c r="D16" s="351">
        <v>226603890.09900001</v>
      </c>
      <c r="E16" s="351">
        <v>218599777.05166665</v>
      </c>
      <c r="F16" s="351">
        <v>220361963.602</v>
      </c>
      <c r="G16" s="351">
        <v>215293873.34999999</v>
      </c>
      <c r="H16" s="351">
        <v>212535646.92599997</v>
      </c>
      <c r="I16" s="351">
        <v>206335194.588</v>
      </c>
      <c r="J16" s="351">
        <v>202590889.4593333</v>
      </c>
      <c r="K16" s="351">
        <v>211218891.89966667</v>
      </c>
      <c r="L16" s="351">
        <v>207368444.10666665</v>
      </c>
      <c r="M16" s="351">
        <v>206186236.86633331</v>
      </c>
      <c r="N16" s="351">
        <v>206629550.85333332</v>
      </c>
      <c r="O16" s="351">
        <v>209112646.63666663</v>
      </c>
      <c r="P16" s="351">
        <f>SUM(P17:P23)</f>
        <v>257883666.82093722</v>
      </c>
      <c r="R16" s="469"/>
      <c r="S16" s="470"/>
      <c r="T16" s="469"/>
      <c r="U16" s="469"/>
      <c r="V16" s="469"/>
      <c r="W16" s="469"/>
      <c r="X16" s="469"/>
      <c r="Y16" s="469"/>
      <c r="Z16" s="469"/>
      <c r="AA16" s="469"/>
      <c r="AB16" s="469"/>
      <c r="AC16" s="469"/>
    </row>
    <row r="17" spans="1:256" ht="13.5">
      <c r="A17" s="126"/>
      <c r="B17" s="127"/>
      <c r="C17" s="128" t="s">
        <v>23</v>
      </c>
      <c r="D17" s="350">
        <v>251982066.44701993</v>
      </c>
      <c r="E17" s="350">
        <v>245223405.00666019</v>
      </c>
      <c r="F17" s="350">
        <v>253673501.01679403</v>
      </c>
      <c r="G17" s="350">
        <v>248390508.88975754</v>
      </c>
      <c r="H17" s="350">
        <v>246180902.53561464</v>
      </c>
      <c r="I17" s="350">
        <v>243396740.22593001</v>
      </c>
      <c r="J17" s="350">
        <v>224258959.60568306</v>
      </c>
      <c r="K17" s="350">
        <v>230378326.53896311</v>
      </c>
      <c r="L17" s="350">
        <v>215873804.12554035</v>
      </c>
      <c r="M17" s="350">
        <v>220661335.70405775</v>
      </c>
      <c r="N17" s="350">
        <v>222571343.11557269</v>
      </c>
      <c r="O17" s="350">
        <v>217962334.18666667</v>
      </c>
      <c r="P17" s="350">
        <f t="shared" ref="P17:P23" si="14">AVERAGE(D17:O17)</f>
        <v>235046102.28318834</v>
      </c>
      <c r="R17" s="469">
        <f>0</f>
        <v>0</v>
      </c>
      <c r="S17" s="470">
        <f t="shared" si="4"/>
        <v>251982066.44701993</v>
      </c>
      <c r="T17" s="469">
        <f t="shared" si="13"/>
        <v>248602735.72684008</v>
      </c>
      <c r="U17" s="469">
        <f t="shared" si="5"/>
        <v>250292990.82349142</v>
      </c>
      <c r="V17" s="469">
        <f t="shared" si="6"/>
        <v>249817370.34005794</v>
      </c>
      <c r="W17" s="469">
        <f t="shared" si="7"/>
        <v>249090076.77916926</v>
      </c>
      <c r="X17" s="469">
        <f t="shared" si="8"/>
        <v>248141187.35362938</v>
      </c>
      <c r="Y17" s="469">
        <f t="shared" ref="Y17:Y23" si="15">SUM($D17:$J17)/7</f>
        <v>244729440.53249422</v>
      </c>
      <c r="Z17" s="469">
        <f t="shared" si="9"/>
        <v>242935551.28330281</v>
      </c>
      <c r="AA17" s="469">
        <f t="shared" si="10"/>
        <v>239928690.48799589</v>
      </c>
      <c r="AB17" s="469">
        <f t="shared" si="11"/>
        <v>238001955.00960207</v>
      </c>
      <c r="AC17" s="469">
        <f t="shared" si="12"/>
        <v>236599172.11014488</v>
      </c>
    </row>
    <row r="18" spans="1:256" ht="13.5">
      <c r="A18" s="126"/>
      <c r="B18" s="127"/>
      <c r="C18" s="134" t="s">
        <v>24</v>
      </c>
      <c r="D18" s="350">
        <v>2524509.269134162</v>
      </c>
      <c r="E18" s="350">
        <v>2336548.1930799289</v>
      </c>
      <c r="F18" s="350">
        <v>2362056.7808503504</v>
      </c>
      <c r="G18" s="350">
        <v>2193978.8234813609</v>
      </c>
      <c r="H18" s="350">
        <v>2317958.665839361</v>
      </c>
      <c r="I18" s="350">
        <v>2282597.9602653794</v>
      </c>
      <c r="J18" s="350">
        <v>2445982.7898800801</v>
      </c>
      <c r="K18" s="350">
        <v>2497191.1305711092</v>
      </c>
      <c r="L18" s="350">
        <v>2527493.7663405025</v>
      </c>
      <c r="M18" s="350">
        <v>2490996.149044272</v>
      </c>
      <c r="N18" s="350">
        <v>2502626.715991687</v>
      </c>
      <c r="O18" s="350">
        <v>2591186.384684199</v>
      </c>
      <c r="P18" s="350">
        <f t="shared" si="14"/>
        <v>2422760.552430199</v>
      </c>
      <c r="R18" s="469">
        <f>0</f>
        <v>0</v>
      </c>
      <c r="S18" s="470">
        <f t="shared" si="4"/>
        <v>2524509.269134162</v>
      </c>
      <c r="T18" s="469">
        <f t="shared" si="13"/>
        <v>2430528.7311070454</v>
      </c>
      <c r="U18" s="469">
        <f t="shared" si="5"/>
        <v>2407704.7476881468</v>
      </c>
      <c r="V18" s="469">
        <f t="shared" si="6"/>
        <v>2354273.2666364503</v>
      </c>
      <c r="W18" s="469">
        <f t="shared" si="7"/>
        <v>2347010.3464770326</v>
      </c>
      <c r="X18" s="469">
        <f t="shared" si="8"/>
        <v>2336274.9487750903</v>
      </c>
      <c r="Y18" s="469">
        <f t="shared" si="15"/>
        <v>2351947.4975043745</v>
      </c>
      <c r="Z18" s="469">
        <f t="shared" si="9"/>
        <v>2370102.9516377165</v>
      </c>
      <c r="AA18" s="469">
        <f t="shared" si="10"/>
        <v>2387590.8199380259</v>
      </c>
      <c r="AB18" s="469">
        <f t="shared" si="11"/>
        <v>2397931.3528486504</v>
      </c>
      <c r="AC18" s="469">
        <f t="shared" si="12"/>
        <v>2407449.1131343809</v>
      </c>
    </row>
    <row r="19" spans="1:256" ht="13.5">
      <c r="A19" s="126"/>
      <c r="B19" s="127"/>
      <c r="C19" s="134" t="s">
        <v>25</v>
      </c>
      <c r="D19" s="350">
        <v>6949876.7309691636</v>
      </c>
      <c r="E19" s="350">
        <v>5213688.0934617566</v>
      </c>
      <c r="F19" s="350">
        <v>3189684.4938375643</v>
      </c>
      <c r="G19" s="350">
        <v>2955847.3884524805</v>
      </c>
      <c r="H19" s="350">
        <v>3148137.9348386149</v>
      </c>
      <c r="I19" s="350">
        <v>3073248.8842430492</v>
      </c>
      <c r="J19" s="350">
        <v>3318370.7144215326</v>
      </c>
      <c r="K19" s="350">
        <v>3411225.5041836817</v>
      </c>
      <c r="L19" s="350">
        <v>3489583.3514946736</v>
      </c>
      <c r="M19" s="350">
        <v>3430024.716203758</v>
      </c>
      <c r="N19" s="350">
        <v>3438970.7617065152</v>
      </c>
      <c r="O19" s="350">
        <v>3573271.3818290448</v>
      </c>
      <c r="P19" s="350">
        <f t="shared" si="14"/>
        <v>3765994.1629701531</v>
      </c>
      <c r="R19" s="469">
        <f>0</f>
        <v>0</v>
      </c>
      <c r="S19" s="470">
        <f t="shared" si="4"/>
        <v>6949876.7309691636</v>
      </c>
      <c r="T19" s="469">
        <f t="shared" si="13"/>
        <v>6081782.4122154601</v>
      </c>
      <c r="U19" s="469">
        <f t="shared" si="5"/>
        <v>5117749.7727561621</v>
      </c>
      <c r="V19" s="469">
        <f t="shared" si="6"/>
        <v>4577274.1766802417</v>
      </c>
      <c r="W19" s="469">
        <f t="shared" si="7"/>
        <v>4291446.9283119161</v>
      </c>
      <c r="X19" s="469">
        <f t="shared" si="8"/>
        <v>4088413.9209671053</v>
      </c>
      <c r="Y19" s="469">
        <f t="shared" si="15"/>
        <v>3978407.748603452</v>
      </c>
      <c r="Z19" s="469">
        <f t="shared" si="9"/>
        <v>3907509.9680509809</v>
      </c>
      <c r="AA19" s="469">
        <f t="shared" si="10"/>
        <v>3861073.6773225018</v>
      </c>
      <c r="AB19" s="469">
        <f t="shared" si="11"/>
        <v>3817968.7812106274</v>
      </c>
      <c r="AC19" s="469">
        <f t="shared" si="12"/>
        <v>3783514.4158011628</v>
      </c>
    </row>
    <row r="20" spans="1:256" ht="13.5">
      <c r="A20" s="126"/>
      <c r="B20" s="127"/>
      <c r="C20" s="134" t="s">
        <v>26</v>
      </c>
      <c r="D20" s="350">
        <v>12711033.260156507</v>
      </c>
      <c r="E20" s="350">
        <v>11151479.578380371</v>
      </c>
      <c r="F20" s="350">
        <v>10701056.110289367</v>
      </c>
      <c r="G20" s="350">
        <v>10046061.029485039</v>
      </c>
      <c r="H20" s="350">
        <v>10723814.694862291</v>
      </c>
      <c r="I20" s="350">
        <v>10326541.10057359</v>
      </c>
      <c r="J20" s="350">
        <v>10947822.154804165</v>
      </c>
      <c r="K20" s="350">
        <v>11209903.017088361</v>
      </c>
      <c r="L20" s="350">
        <v>11410582.576354902</v>
      </c>
      <c r="M20" s="350">
        <v>11253410.275618074</v>
      </c>
      <c r="N20" s="350">
        <v>11164020.545549162</v>
      </c>
      <c r="O20" s="350">
        <v>11498761.69406422</v>
      </c>
      <c r="P20" s="350">
        <f t="shared" si="14"/>
        <v>11095373.836435506</v>
      </c>
      <c r="R20" s="469">
        <f>0</f>
        <v>0</v>
      </c>
      <c r="S20" s="470">
        <f t="shared" si="4"/>
        <v>12711033.260156507</v>
      </c>
      <c r="T20" s="469">
        <f t="shared" si="13"/>
        <v>11931256.419268439</v>
      </c>
      <c r="U20" s="469">
        <f t="shared" si="5"/>
        <v>11521189.649608748</v>
      </c>
      <c r="V20" s="469">
        <f t="shared" si="6"/>
        <v>11152407.494577821</v>
      </c>
      <c r="W20" s="469">
        <f t="shared" si="7"/>
        <v>11066688.934634715</v>
      </c>
      <c r="X20" s="469">
        <f t="shared" si="8"/>
        <v>10943330.962291194</v>
      </c>
      <c r="Y20" s="469">
        <f t="shared" si="15"/>
        <v>10943972.561221618</v>
      </c>
      <c r="Z20" s="469">
        <f t="shared" si="9"/>
        <v>10977213.868204962</v>
      </c>
      <c r="AA20" s="469">
        <f t="shared" si="10"/>
        <v>11025365.94688829</v>
      </c>
      <c r="AB20" s="469">
        <f t="shared" si="11"/>
        <v>11048170.379761267</v>
      </c>
      <c r="AC20" s="469">
        <f t="shared" si="12"/>
        <v>11058702.213014714</v>
      </c>
    </row>
    <row r="21" spans="1:256" ht="13.5">
      <c r="A21" s="126"/>
      <c r="B21" s="127"/>
      <c r="C21" s="134" t="s">
        <v>27</v>
      </c>
      <c r="D21" s="350">
        <v>5179294.1000704514</v>
      </c>
      <c r="E21" s="350">
        <v>4860119.4203840801</v>
      </c>
      <c r="F21" s="350">
        <v>5075429.1026146775</v>
      </c>
      <c r="G21" s="350">
        <v>5129252.7348125018</v>
      </c>
      <c r="H21" s="350">
        <v>5489425.2733122203</v>
      </c>
      <c r="I21" s="350">
        <v>5378403.8885162184</v>
      </c>
      <c r="J21" s="350">
        <v>5710043.9212322906</v>
      </c>
      <c r="K21" s="350">
        <v>5850193.1370947501</v>
      </c>
      <c r="L21" s="350">
        <v>5766272.6292315051</v>
      </c>
      <c r="M21" s="350">
        <v>5608981.2113209497</v>
      </c>
      <c r="N21" s="350">
        <v>5398209.0128267547</v>
      </c>
      <c r="O21" s="350">
        <v>5510543.3120186254</v>
      </c>
      <c r="P21" s="350">
        <f t="shared" si="14"/>
        <v>5413013.9786195857</v>
      </c>
      <c r="R21" s="469">
        <f>0</f>
        <v>0</v>
      </c>
      <c r="S21" s="470">
        <f t="shared" si="4"/>
        <v>5179294.1000704514</v>
      </c>
      <c r="T21" s="469">
        <f t="shared" si="13"/>
        <v>5019706.7602272658</v>
      </c>
      <c r="U21" s="469">
        <f t="shared" si="5"/>
        <v>5038280.874356403</v>
      </c>
      <c r="V21" s="469">
        <f t="shared" si="6"/>
        <v>5061023.8394704275</v>
      </c>
      <c r="W21" s="469">
        <f t="shared" si="7"/>
        <v>5146704.1262387857</v>
      </c>
      <c r="X21" s="469">
        <f t="shared" si="8"/>
        <v>5185320.7532850243</v>
      </c>
      <c r="Y21" s="469">
        <f t="shared" si="15"/>
        <v>5260281.2058489192</v>
      </c>
      <c r="Z21" s="469">
        <f t="shared" si="9"/>
        <v>5334020.1972546484</v>
      </c>
      <c r="AA21" s="469">
        <f t="shared" si="10"/>
        <v>5382048.2452520765</v>
      </c>
      <c r="AB21" s="469">
        <f t="shared" si="11"/>
        <v>5404741.5418589646</v>
      </c>
      <c r="AC21" s="469">
        <f t="shared" si="12"/>
        <v>5404147.6755833095</v>
      </c>
    </row>
    <row r="22" spans="1:256" ht="13.5">
      <c r="A22" s="126"/>
      <c r="B22" s="127"/>
      <c r="C22" s="134" t="s">
        <v>28</v>
      </c>
      <c r="D22" s="350">
        <v>146695.23065627879</v>
      </c>
      <c r="E22" s="350">
        <v>130508.96635915186</v>
      </c>
      <c r="F22" s="350">
        <v>137227.01540628768</v>
      </c>
      <c r="G22" s="350">
        <v>128278.71699708585</v>
      </c>
      <c r="H22" s="350">
        <v>136831.6926894621</v>
      </c>
      <c r="I22" s="350">
        <v>132356.0583466572</v>
      </c>
      <c r="J22" s="350">
        <v>141175.34975256756</v>
      </c>
      <c r="K22" s="350">
        <v>144745.71110725545</v>
      </c>
      <c r="L22" s="350">
        <v>147582.78258838467</v>
      </c>
      <c r="M22" s="350">
        <v>145386.54013861399</v>
      </c>
      <c r="N22" s="350">
        <v>144746.27037202683</v>
      </c>
      <c r="O22" s="350">
        <v>149529.75310731333</v>
      </c>
      <c r="P22" s="350">
        <f t="shared" si="14"/>
        <v>140422.00729342378</v>
      </c>
      <c r="R22" s="469">
        <f>0</f>
        <v>0</v>
      </c>
      <c r="S22" s="470">
        <f t="shared" si="4"/>
        <v>146695.23065627879</v>
      </c>
      <c r="T22" s="469">
        <f t="shared" si="13"/>
        <v>138602.09850771533</v>
      </c>
      <c r="U22" s="469">
        <f t="shared" si="5"/>
        <v>138143.73747390611</v>
      </c>
      <c r="V22" s="469">
        <f t="shared" si="6"/>
        <v>135677.48235470106</v>
      </c>
      <c r="W22" s="469">
        <f t="shared" si="7"/>
        <v>135908.32442165326</v>
      </c>
      <c r="X22" s="469">
        <f t="shared" si="8"/>
        <v>135316.2800758206</v>
      </c>
      <c r="Y22" s="469">
        <f t="shared" si="15"/>
        <v>136153.29002964159</v>
      </c>
      <c r="Z22" s="469">
        <f t="shared" si="9"/>
        <v>137227.34266434333</v>
      </c>
      <c r="AA22" s="469">
        <f t="shared" si="10"/>
        <v>138377.94710034793</v>
      </c>
      <c r="AB22" s="469">
        <f t="shared" si="11"/>
        <v>139078.80640417451</v>
      </c>
      <c r="AC22" s="469">
        <f t="shared" si="12"/>
        <v>139594.03040125201</v>
      </c>
    </row>
    <row r="23" spans="1:256" ht="14.1" thickBot="1">
      <c r="A23" s="126"/>
      <c r="B23" s="127"/>
      <c r="C23" s="138" t="s">
        <v>29</v>
      </c>
      <c r="D23" s="350">
        <v>0</v>
      </c>
      <c r="E23" s="350">
        <v>0</v>
      </c>
      <c r="F23" s="350">
        <v>0</v>
      </c>
      <c r="G23" s="350">
        <v>0</v>
      </c>
      <c r="H23" s="350">
        <v>0</v>
      </c>
      <c r="I23" s="350">
        <v>0</v>
      </c>
      <c r="J23" s="350">
        <v>0</v>
      </c>
      <c r="K23" s="350">
        <v>0</v>
      </c>
      <c r="L23" s="350">
        <v>0</v>
      </c>
      <c r="M23" s="350">
        <v>0</v>
      </c>
      <c r="N23" s="350">
        <v>0</v>
      </c>
      <c r="O23" s="350">
        <v>0</v>
      </c>
      <c r="P23" s="350">
        <f t="shared" si="14"/>
        <v>0</v>
      </c>
      <c r="R23" s="469">
        <f>0</f>
        <v>0</v>
      </c>
      <c r="S23" s="470">
        <f t="shared" si="4"/>
        <v>0</v>
      </c>
      <c r="T23" s="469">
        <f t="shared" si="13"/>
        <v>0</v>
      </c>
      <c r="U23" s="469">
        <f t="shared" si="5"/>
        <v>0</v>
      </c>
      <c r="V23" s="469">
        <f t="shared" si="6"/>
        <v>0</v>
      </c>
      <c r="W23" s="469">
        <f t="shared" si="7"/>
        <v>0</v>
      </c>
      <c r="X23" s="469">
        <f t="shared" si="8"/>
        <v>0</v>
      </c>
      <c r="Y23" s="469">
        <f t="shared" si="15"/>
        <v>0</v>
      </c>
      <c r="Z23" s="469">
        <f t="shared" si="9"/>
        <v>0</v>
      </c>
      <c r="AA23" s="469">
        <f t="shared" si="10"/>
        <v>0</v>
      </c>
      <c r="AB23" s="469">
        <f t="shared" si="11"/>
        <v>0</v>
      </c>
      <c r="AC23" s="469">
        <f t="shared" si="12"/>
        <v>0</v>
      </c>
    </row>
    <row r="24" spans="1:256" ht="13.5">
      <c r="A24" s="126"/>
      <c r="B24" s="352"/>
      <c r="C24" s="353" t="s">
        <v>30</v>
      </c>
      <c r="D24" s="471">
        <v>0</v>
      </c>
      <c r="E24" s="471">
        <v>0</v>
      </c>
      <c r="F24" s="471">
        <v>0</v>
      </c>
      <c r="G24" s="471">
        <v>0</v>
      </c>
      <c r="H24" s="471">
        <v>0</v>
      </c>
      <c r="I24" s="471">
        <v>0</v>
      </c>
      <c r="J24" s="471">
        <v>0</v>
      </c>
      <c r="K24" s="471">
        <v>0</v>
      </c>
      <c r="L24" s="471">
        <v>0</v>
      </c>
      <c r="M24" s="471">
        <v>0</v>
      </c>
      <c r="N24" s="471">
        <v>0</v>
      </c>
      <c r="O24" s="471">
        <v>0</v>
      </c>
      <c r="P24" s="472">
        <f>SUM(P25:P29)</f>
        <v>0</v>
      </c>
      <c r="Q24" s="356"/>
      <c r="R24" s="469"/>
      <c r="S24" s="470"/>
      <c r="T24" s="469"/>
      <c r="U24" s="469"/>
      <c r="V24" s="469"/>
      <c r="W24" s="469"/>
      <c r="X24" s="469"/>
      <c r="Y24" s="469"/>
      <c r="Z24" s="469"/>
      <c r="AA24" s="469"/>
      <c r="AB24" s="469"/>
      <c r="AC24" s="469"/>
      <c r="AD24" s="356"/>
      <c r="AE24" s="356"/>
      <c r="AF24" s="356"/>
      <c r="AG24" s="356"/>
      <c r="AH24" s="356"/>
      <c r="AI24" s="356"/>
      <c r="AJ24" s="356"/>
      <c r="AK24" s="356"/>
      <c r="AL24" s="356"/>
      <c r="AM24" s="356"/>
      <c r="AN24" s="356"/>
      <c r="AO24" s="356"/>
      <c r="AP24" s="356"/>
      <c r="AQ24" s="356"/>
      <c r="AR24" s="356"/>
      <c r="AS24" s="356"/>
      <c r="AT24" s="356"/>
      <c r="AU24" s="356"/>
      <c r="AV24" s="356"/>
      <c r="AW24" s="356"/>
      <c r="AX24" s="356"/>
      <c r="AY24" s="356"/>
      <c r="AZ24" s="356"/>
      <c r="BA24" s="356"/>
      <c r="BB24" s="356"/>
      <c r="BC24" s="356"/>
      <c r="BD24" s="356"/>
      <c r="BE24" s="356"/>
      <c r="BF24" s="356"/>
      <c r="BG24" s="356"/>
      <c r="BH24" s="356"/>
      <c r="BI24" s="356"/>
      <c r="BJ24" s="356"/>
      <c r="BK24" s="356"/>
      <c r="BL24" s="356"/>
      <c r="BM24" s="356"/>
      <c r="BN24" s="356"/>
      <c r="BO24" s="356"/>
      <c r="BP24" s="356"/>
      <c r="BQ24" s="356"/>
      <c r="BR24" s="356"/>
      <c r="BS24" s="356"/>
      <c r="BT24" s="356"/>
      <c r="BU24" s="356"/>
      <c r="BV24" s="356"/>
      <c r="BW24" s="356"/>
      <c r="BX24" s="356"/>
      <c r="BY24" s="356"/>
      <c r="BZ24" s="356"/>
      <c r="CA24" s="356"/>
      <c r="CB24" s="356"/>
      <c r="CC24" s="356"/>
      <c r="CD24" s="356"/>
      <c r="CE24" s="356"/>
      <c r="CF24" s="356"/>
      <c r="CG24" s="356"/>
      <c r="CH24" s="356"/>
      <c r="CI24" s="356"/>
      <c r="CJ24" s="356"/>
      <c r="CK24" s="356"/>
      <c r="CL24" s="356"/>
      <c r="CM24" s="356"/>
      <c r="CN24" s="356"/>
      <c r="CO24" s="356"/>
      <c r="CP24" s="356"/>
      <c r="CQ24" s="356"/>
      <c r="CR24" s="356"/>
      <c r="CS24" s="356"/>
      <c r="CT24" s="356"/>
      <c r="CU24" s="356"/>
      <c r="CV24" s="356"/>
      <c r="CW24" s="356"/>
      <c r="CX24" s="356"/>
      <c r="CY24" s="356"/>
      <c r="CZ24" s="356"/>
      <c r="DA24" s="356"/>
      <c r="DB24" s="356"/>
      <c r="DC24" s="356"/>
      <c r="DD24" s="356"/>
      <c r="DE24" s="356"/>
      <c r="DF24" s="356"/>
      <c r="DG24" s="356"/>
      <c r="DH24" s="356"/>
      <c r="DI24" s="356"/>
      <c r="DJ24" s="356"/>
      <c r="DK24" s="356"/>
      <c r="DL24" s="356"/>
      <c r="DM24" s="356"/>
      <c r="DN24" s="356"/>
      <c r="DO24" s="356"/>
      <c r="DP24" s="356"/>
      <c r="DQ24" s="356"/>
      <c r="DR24" s="356"/>
      <c r="DS24" s="356"/>
      <c r="DT24" s="356"/>
      <c r="DU24" s="356"/>
      <c r="DV24" s="356"/>
      <c r="DW24" s="356"/>
      <c r="DX24" s="356"/>
      <c r="DY24" s="356"/>
      <c r="DZ24" s="356"/>
      <c r="EA24" s="356"/>
      <c r="EB24" s="356"/>
      <c r="EC24" s="356"/>
      <c r="ED24" s="356"/>
      <c r="EE24" s="356"/>
      <c r="EF24" s="356"/>
      <c r="EG24" s="356"/>
      <c r="EH24" s="356"/>
      <c r="EI24" s="356"/>
      <c r="EJ24" s="356"/>
      <c r="EK24" s="356"/>
      <c r="EL24" s="356"/>
      <c r="EM24" s="356"/>
      <c r="EN24" s="356"/>
      <c r="EO24" s="356"/>
      <c r="EP24" s="356"/>
      <c r="EQ24" s="356"/>
      <c r="ER24" s="356"/>
      <c r="ES24" s="356"/>
      <c r="ET24" s="356"/>
      <c r="EU24" s="356"/>
      <c r="EV24" s="356"/>
      <c r="EW24" s="356"/>
      <c r="EX24" s="356"/>
      <c r="EY24" s="356"/>
      <c r="EZ24" s="356"/>
      <c r="FA24" s="356"/>
      <c r="FB24" s="356"/>
      <c r="FC24" s="356"/>
      <c r="FD24" s="356"/>
      <c r="FE24" s="356"/>
      <c r="FF24" s="356"/>
      <c r="FG24" s="356"/>
      <c r="FH24" s="356"/>
      <c r="FI24" s="356"/>
      <c r="FJ24" s="356"/>
      <c r="FK24" s="356"/>
      <c r="FL24" s="356"/>
      <c r="FM24" s="356"/>
      <c r="FN24" s="356"/>
      <c r="FO24" s="356"/>
      <c r="FP24" s="356"/>
      <c r="FQ24" s="356"/>
      <c r="FR24" s="356"/>
      <c r="FS24" s="356"/>
      <c r="FT24" s="356"/>
      <c r="FU24" s="356"/>
      <c r="FV24" s="356"/>
      <c r="FW24" s="356"/>
      <c r="FX24" s="356"/>
      <c r="FY24" s="356"/>
      <c r="FZ24" s="356"/>
      <c r="GA24" s="356"/>
      <c r="GB24" s="356"/>
      <c r="GC24" s="356"/>
      <c r="GD24" s="356"/>
      <c r="GE24" s="356"/>
      <c r="GF24" s="356"/>
      <c r="GG24" s="356"/>
      <c r="GH24" s="356"/>
      <c r="GI24" s="356"/>
      <c r="GJ24" s="356"/>
      <c r="GK24" s="356"/>
      <c r="GL24" s="356"/>
      <c r="GM24" s="356"/>
      <c r="GN24" s="356"/>
      <c r="GO24" s="356"/>
      <c r="GP24" s="356"/>
      <c r="GQ24" s="356"/>
      <c r="GR24" s="356"/>
      <c r="GS24" s="356"/>
      <c r="GT24" s="356"/>
      <c r="GU24" s="356"/>
      <c r="GV24" s="356"/>
      <c r="GW24" s="356"/>
      <c r="GX24" s="356"/>
      <c r="GY24" s="356"/>
      <c r="GZ24" s="356"/>
      <c r="HA24" s="356"/>
      <c r="HB24" s="356"/>
      <c r="HC24" s="356"/>
      <c r="HD24" s="356"/>
      <c r="HE24" s="356"/>
      <c r="HF24" s="356"/>
      <c r="HG24" s="356"/>
      <c r="HH24" s="356"/>
      <c r="HI24" s="356"/>
      <c r="HJ24" s="356"/>
      <c r="HK24" s="356"/>
      <c r="HL24" s="356"/>
      <c r="HM24" s="356"/>
      <c r="HN24" s="356"/>
      <c r="HO24" s="356"/>
      <c r="HP24" s="356"/>
      <c r="HQ24" s="356"/>
      <c r="HR24" s="356"/>
      <c r="HS24" s="356"/>
      <c r="HT24" s="356"/>
      <c r="HU24" s="356"/>
      <c r="HV24" s="356"/>
      <c r="HW24" s="356"/>
      <c r="HX24" s="356"/>
      <c r="HY24" s="356"/>
      <c r="HZ24" s="356"/>
      <c r="IA24" s="356"/>
      <c r="IB24" s="356"/>
      <c r="IC24" s="356"/>
      <c r="ID24" s="356"/>
      <c r="IE24" s="356"/>
      <c r="IF24" s="356"/>
      <c r="IG24" s="356"/>
      <c r="IH24" s="356"/>
      <c r="II24" s="356"/>
      <c r="IJ24" s="356"/>
      <c r="IK24" s="356"/>
      <c r="IL24" s="356"/>
      <c r="IM24" s="356"/>
      <c r="IN24" s="356"/>
      <c r="IO24" s="356"/>
      <c r="IP24" s="356"/>
      <c r="IQ24" s="356"/>
      <c r="IR24" s="356"/>
      <c r="IS24" s="356"/>
      <c r="IT24" s="356"/>
      <c r="IU24" s="356"/>
      <c r="IV24" s="356"/>
    </row>
    <row r="25" spans="1:256" ht="13.5">
      <c r="A25" s="126"/>
      <c r="B25" s="254"/>
      <c r="C25" s="233" t="s">
        <v>267</v>
      </c>
      <c r="D25" s="350">
        <v>0</v>
      </c>
      <c r="E25" s="350">
        <v>0</v>
      </c>
      <c r="F25" s="350">
        <v>0</v>
      </c>
      <c r="G25" s="350">
        <v>0</v>
      </c>
      <c r="H25" s="350">
        <v>0</v>
      </c>
      <c r="I25" s="350">
        <v>0</v>
      </c>
      <c r="J25" s="350">
        <v>0</v>
      </c>
      <c r="K25" s="350">
        <v>0</v>
      </c>
      <c r="L25" s="350">
        <v>0</v>
      </c>
      <c r="M25" s="350">
        <v>0</v>
      </c>
      <c r="N25" s="350">
        <v>0</v>
      </c>
      <c r="O25" s="350">
        <v>0</v>
      </c>
      <c r="P25" s="473">
        <f t="shared" ref="P25:P33" si="16">AVERAGE(D25:O25)</f>
        <v>0</v>
      </c>
      <c r="Q25" s="356"/>
      <c r="R25" s="469">
        <f>0</f>
        <v>0</v>
      </c>
      <c r="S25" s="470">
        <f t="shared" si="4"/>
        <v>0</v>
      </c>
      <c r="T25" s="469">
        <f t="shared" si="13"/>
        <v>0</v>
      </c>
      <c r="U25" s="469">
        <f t="shared" si="5"/>
        <v>0</v>
      </c>
      <c r="V25" s="469">
        <f t="shared" si="6"/>
        <v>0</v>
      </c>
      <c r="W25" s="469">
        <f t="shared" si="7"/>
        <v>0</v>
      </c>
      <c r="X25" s="469">
        <f t="shared" si="8"/>
        <v>0</v>
      </c>
      <c r="Y25" s="469">
        <f t="shared" ref="Y25:Y33" si="17">SUM($D25:$J25)/7</f>
        <v>0</v>
      </c>
      <c r="Z25" s="469">
        <f t="shared" si="9"/>
        <v>0</v>
      </c>
      <c r="AA25" s="469">
        <f t="shared" si="10"/>
        <v>0</v>
      </c>
      <c r="AB25" s="469">
        <f t="shared" si="11"/>
        <v>0</v>
      </c>
      <c r="AC25" s="469">
        <f t="shared" si="12"/>
        <v>0</v>
      </c>
      <c r="AD25" s="356"/>
      <c r="AE25" s="356"/>
      <c r="AF25" s="356"/>
      <c r="AG25" s="356"/>
      <c r="AH25" s="356"/>
      <c r="AI25" s="356"/>
      <c r="AJ25" s="356"/>
      <c r="AK25" s="356"/>
      <c r="AL25" s="356"/>
      <c r="AM25" s="356"/>
      <c r="AN25" s="356"/>
      <c r="AO25" s="356"/>
      <c r="AP25" s="356"/>
      <c r="AQ25" s="356"/>
      <c r="AR25" s="356"/>
      <c r="AS25" s="356"/>
      <c r="AT25" s="356"/>
      <c r="AU25" s="356"/>
      <c r="AV25" s="356"/>
      <c r="AW25" s="356"/>
      <c r="AX25" s="356"/>
      <c r="AY25" s="356"/>
      <c r="AZ25" s="356"/>
      <c r="BA25" s="356"/>
      <c r="BB25" s="356"/>
      <c r="BC25" s="356"/>
      <c r="BD25" s="356"/>
      <c r="BE25" s="356"/>
      <c r="BF25" s="356"/>
      <c r="BG25" s="356"/>
      <c r="BH25" s="356"/>
      <c r="BI25" s="356"/>
      <c r="BJ25" s="356"/>
      <c r="BK25" s="356"/>
      <c r="BL25" s="356"/>
      <c r="BM25" s="356"/>
      <c r="BN25" s="356"/>
      <c r="BO25" s="356"/>
      <c r="BP25" s="356"/>
      <c r="BQ25" s="356"/>
      <c r="BR25" s="356"/>
      <c r="BS25" s="356"/>
      <c r="BT25" s="356"/>
      <c r="BU25" s="356"/>
      <c r="BV25" s="356"/>
      <c r="BW25" s="356"/>
      <c r="BX25" s="356"/>
      <c r="BY25" s="356"/>
      <c r="BZ25" s="356"/>
      <c r="CA25" s="356"/>
      <c r="CB25" s="356"/>
      <c r="CC25" s="356"/>
      <c r="CD25" s="356"/>
      <c r="CE25" s="356"/>
      <c r="CF25" s="356"/>
      <c r="CG25" s="356"/>
      <c r="CH25" s="356"/>
      <c r="CI25" s="356"/>
      <c r="CJ25" s="356"/>
      <c r="CK25" s="356"/>
      <c r="CL25" s="356"/>
      <c r="CM25" s="356"/>
      <c r="CN25" s="356"/>
      <c r="CO25" s="356"/>
      <c r="CP25" s="356"/>
      <c r="CQ25" s="356"/>
      <c r="CR25" s="356"/>
      <c r="CS25" s="356"/>
      <c r="CT25" s="356"/>
      <c r="CU25" s="356"/>
      <c r="CV25" s="356"/>
      <c r="CW25" s="356"/>
      <c r="CX25" s="356"/>
      <c r="CY25" s="356"/>
      <c r="CZ25" s="356"/>
      <c r="DA25" s="356"/>
      <c r="DB25" s="356"/>
      <c r="DC25" s="356"/>
      <c r="DD25" s="356"/>
      <c r="DE25" s="356"/>
      <c r="DF25" s="356"/>
      <c r="DG25" s="356"/>
      <c r="DH25" s="356"/>
      <c r="DI25" s="356"/>
      <c r="DJ25" s="356"/>
      <c r="DK25" s="356"/>
      <c r="DL25" s="356"/>
      <c r="DM25" s="356"/>
      <c r="DN25" s="356"/>
      <c r="DO25" s="356"/>
      <c r="DP25" s="356"/>
      <c r="DQ25" s="356"/>
      <c r="DR25" s="356"/>
      <c r="DS25" s="356"/>
      <c r="DT25" s="356"/>
      <c r="DU25" s="356"/>
      <c r="DV25" s="356"/>
      <c r="DW25" s="356"/>
      <c r="DX25" s="356"/>
      <c r="DY25" s="356"/>
      <c r="DZ25" s="356"/>
      <c r="EA25" s="356"/>
      <c r="EB25" s="356"/>
      <c r="EC25" s="356"/>
      <c r="ED25" s="356"/>
      <c r="EE25" s="356"/>
      <c r="EF25" s="356"/>
      <c r="EG25" s="356"/>
      <c r="EH25" s="356"/>
      <c r="EI25" s="356"/>
      <c r="EJ25" s="356"/>
      <c r="EK25" s="356"/>
      <c r="EL25" s="356"/>
      <c r="EM25" s="356"/>
      <c r="EN25" s="356"/>
      <c r="EO25" s="356"/>
      <c r="EP25" s="356"/>
      <c r="EQ25" s="356"/>
      <c r="ER25" s="356"/>
      <c r="ES25" s="356"/>
      <c r="ET25" s="356"/>
      <c r="EU25" s="356"/>
      <c r="EV25" s="356"/>
      <c r="EW25" s="356"/>
      <c r="EX25" s="356"/>
      <c r="EY25" s="356"/>
      <c r="EZ25" s="356"/>
      <c r="FA25" s="356"/>
      <c r="FB25" s="356"/>
      <c r="FC25" s="356"/>
      <c r="FD25" s="356"/>
      <c r="FE25" s="356"/>
      <c r="FF25" s="356"/>
      <c r="FG25" s="356"/>
      <c r="FH25" s="356"/>
      <c r="FI25" s="356"/>
      <c r="FJ25" s="356"/>
      <c r="FK25" s="356"/>
      <c r="FL25" s="356"/>
      <c r="FM25" s="356"/>
      <c r="FN25" s="356"/>
      <c r="FO25" s="356"/>
      <c r="FP25" s="356"/>
      <c r="FQ25" s="356"/>
      <c r="FR25" s="356"/>
      <c r="FS25" s="356"/>
      <c r="FT25" s="356"/>
      <c r="FU25" s="356"/>
      <c r="FV25" s="356"/>
      <c r="FW25" s="356"/>
      <c r="FX25" s="356"/>
      <c r="FY25" s="356"/>
      <c r="FZ25" s="356"/>
      <c r="GA25" s="356"/>
      <c r="GB25" s="356"/>
      <c r="GC25" s="356"/>
      <c r="GD25" s="356"/>
      <c r="GE25" s="356"/>
      <c r="GF25" s="356"/>
      <c r="GG25" s="356"/>
      <c r="GH25" s="356"/>
      <c r="GI25" s="356"/>
      <c r="GJ25" s="356"/>
      <c r="GK25" s="356"/>
      <c r="GL25" s="356"/>
      <c r="GM25" s="356"/>
      <c r="GN25" s="356"/>
      <c r="GO25" s="356"/>
      <c r="GP25" s="356"/>
      <c r="GQ25" s="356"/>
      <c r="GR25" s="356"/>
      <c r="GS25" s="356"/>
      <c r="GT25" s="356"/>
      <c r="GU25" s="356"/>
      <c r="GV25" s="356"/>
      <c r="GW25" s="356"/>
      <c r="GX25" s="356"/>
      <c r="GY25" s="356"/>
      <c r="GZ25" s="356"/>
      <c r="HA25" s="356"/>
      <c r="HB25" s="356"/>
      <c r="HC25" s="356"/>
      <c r="HD25" s="356"/>
      <c r="HE25" s="356"/>
      <c r="HF25" s="356"/>
      <c r="HG25" s="356"/>
      <c r="HH25" s="356"/>
      <c r="HI25" s="356"/>
      <c r="HJ25" s="356"/>
      <c r="HK25" s="356"/>
      <c r="HL25" s="356"/>
      <c r="HM25" s="356"/>
      <c r="HN25" s="356"/>
      <c r="HO25" s="356"/>
      <c r="HP25" s="356"/>
      <c r="HQ25" s="356"/>
      <c r="HR25" s="356"/>
      <c r="HS25" s="356"/>
      <c r="HT25" s="356"/>
      <c r="HU25" s="356"/>
      <c r="HV25" s="356"/>
      <c r="HW25" s="356"/>
      <c r="HX25" s="356"/>
      <c r="HY25" s="356"/>
      <c r="HZ25" s="356"/>
      <c r="IA25" s="356"/>
      <c r="IB25" s="356"/>
      <c r="IC25" s="356"/>
      <c r="ID25" s="356"/>
      <c r="IE25" s="356"/>
      <c r="IF25" s="356"/>
      <c r="IG25" s="356"/>
      <c r="IH25" s="356"/>
      <c r="II25" s="356"/>
      <c r="IJ25" s="356"/>
      <c r="IK25" s="356"/>
      <c r="IL25" s="356"/>
      <c r="IM25" s="356"/>
      <c r="IN25" s="356"/>
      <c r="IO25" s="356"/>
      <c r="IP25" s="356"/>
      <c r="IQ25" s="356"/>
      <c r="IR25" s="356"/>
      <c r="IS25" s="356"/>
      <c r="IT25" s="356"/>
      <c r="IU25" s="356"/>
      <c r="IV25" s="356"/>
    </row>
    <row r="26" spans="1:256" ht="13.5">
      <c r="A26" s="126"/>
      <c r="B26" s="254"/>
      <c r="C26" s="134" t="s">
        <v>268</v>
      </c>
      <c r="D26" s="350">
        <v>0</v>
      </c>
      <c r="E26" s="350">
        <v>0</v>
      </c>
      <c r="F26" s="350">
        <v>0</v>
      </c>
      <c r="G26" s="350">
        <v>0</v>
      </c>
      <c r="H26" s="350">
        <v>0</v>
      </c>
      <c r="I26" s="350">
        <v>0</v>
      </c>
      <c r="J26" s="350">
        <v>0</v>
      </c>
      <c r="K26" s="350">
        <v>0</v>
      </c>
      <c r="L26" s="350">
        <v>0</v>
      </c>
      <c r="M26" s="350">
        <v>0</v>
      </c>
      <c r="N26" s="350">
        <v>0</v>
      </c>
      <c r="O26" s="350">
        <v>0</v>
      </c>
      <c r="P26" s="473">
        <f t="shared" si="16"/>
        <v>0</v>
      </c>
      <c r="Q26" s="356"/>
      <c r="R26" s="469">
        <f>0</f>
        <v>0</v>
      </c>
      <c r="S26" s="470">
        <f t="shared" si="4"/>
        <v>0</v>
      </c>
      <c r="T26" s="469">
        <f t="shared" si="13"/>
        <v>0</v>
      </c>
      <c r="U26" s="469">
        <f t="shared" si="5"/>
        <v>0</v>
      </c>
      <c r="V26" s="469">
        <f t="shared" si="6"/>
        <v>0</v>
      </c>
      <c r="W26" s="469">
        <f t="shared" si="7"/>
        <v>0</v>
      </c>
      <c r="X26" s="469">
        <f t="shared" si="8"/>
        <v>0</v>
      </c>
      <c r="Y26" s="469">
        <f t="shared" si="17"/>
        <v>0</v>
      </c>
      <c r="Z26" s="469">
        <f t="shared" si="9"/>
        <v>0</v>
      </c>
      <c r="AA26" s="469">
        <f t="shared" si="10"/>
        <v>0</v>
      </c>
      <c r="AB26" s="469">
        <f t="shared" si="11"/>
        <v>0</v>
      </c>
      <c r="AC26" s="469">
        <f t="shared" si="12"/>
        <v>0</v>
      </c>
      <c r="AD26" s="356"/>
      <c r="AE26" s="356"/>
      <c r="AF26" s="356"/>
      <c r="AG26" s="356"/>
      <c r="AH26" s="356"/>
      <c r="AI26" s="356"/>
      <c r="AJ26" s="356"/>
      <c r="AK26" s="356"/>
      <c r="AL26" s="356"/>
      <c r="AM26" s="356"/>
      <c r="AN26" s="356"/>
      <c r="AO26" s="356"/>
      <c r="AP26" s="356"/>
      <c r="AQ26" s="356"/>
      <c r="AR26" s="356"/>
      <c r="AS26" s="356"/>
      <c r="AT26" s="356"/>
      <c r="AU26" s="356"/>
      <c r="AV26" s="356"/>
      <c r="AW26" s="356"/>
      <c r="AX26" s="356"/>
      <c r="AY26" s="356"/>
      <c r="AZ26" s="356"/>
      <c r="BA26" s="356"/>
      <c r="BB26" s="356"/>
      <c r="BC26" s="356"/>
      <c r="BD26" s="356"/>
      <c r="BE26" s="356"/>
      <c r="BF26" s="356"/>
      <c r="BG26" s="356"/>
      <c r="BH26" s="356"/>
      <c r="BI26" s="356"/>
      <c r="BJ26" s="356"/>
      <c r="BK26" s="356"/>
      <c r="BL26" s="356"/>
      <c r="BM26" s="356"/>
      <c r="BN26" s="356"/>
      <c r="BO26" s="356"/>
      <c r="BP26" s="356"/>
      <c r="BQ26" s="356"/>
      <c r="BR26" s="356"/>
      <c r="BS26" s="356"/>
      <c r="BT26" s="356"/>
      <c r="BU26" s="356"/>
      <c r="BV26" s="356"/>
      <c r="BW26" s="356"/>
      <c r="BX26" s="356"/>
      <c r="BY26" s="356"/>
      <c r="BZ26" s="356"/>
      <c r="CA26" s="356"/>
      <c r="CB26" s="356"/>
      <c r="CC26" s="356"/>
      <c r="CD26" s="356"/>
      <c r="CE26" s="356"/>
      <c r="CF26" s="356"/>
      <c r="CG26" s="356"/>
      <c r="CH26" s="356"/>
      <c r="CI26" s="356"/>
      <c r="CJ26" s="356"/>
      <c r="CK26" s="356"/>
      <c r="CL26" s="356"/>
      <c r="CM26" s="356"/>
      <c r="CN26" s="356"/>
      <c r="CO26" s="356"/>
      <c r="CP26" s="356"/>
      <c r="CQ26" s="356"/>
      <c r="CR26" s="356"/>
      <c r="CS26" s="356"/>
      <c r="CT26" s="356"/>
      <c r="CU26" s="356"/>
      <c r="CV26" s="356"/>
      <c r="CW26" s="356"/>
      <c r="CX26" s="356"/>
      <c r="CY26" s="356"/>
      <c r="CZ26" s="356"/>
      <c r="DA26" s="356"/>
      <c r="DB26" s="356"/>
      <c r="DC26" s="356"/>
      <c r="DD26" s="356"/>
      <c r="DE26" s="356"/>
      <c r="DF26" s="356"/>
      <c r="DG26" s="356"/>
      <c r="DH26" s="356"/>
      <c r="DI26" s="356"/>
      <c r="DJ26" s="356"/>
      <c r="DK26" s="356"/>
      <c r="DL26" s="356"/>
      <c r="DM26" s="356"/>
      <c r="DN26" s="356"/>
      <c r="DO26" s="356"/>
      <c r="DP26" s="356"/>
      <c r="DQ26" s="356"/>
      <c r="DR26" s="356"/>
      <c r="DS26" s="356"/>
      <c r="DT26" s="356"/>
      <c r="DU26" s="356"/>
      <c r="DV26" s="356"/>
      <c r="DW26" s="356"/>
      <c r="DX26" s="356"/>
      <c r="DY26" s="356"/>
      <c r="DZ26" s="356"/>
      <c r="EA26" s="356"/>
      <c r="EB26" s="356"/>
      <c r="EC26" s="356"/>
      <c r="ED26" s="356"/>
      <c r="EE26" s="356"/>
      <c r="EF26" s="356"/>
      <c r="EG26" s="356"/>
      <c r="EH26" s="356"/>
      <c r="EI26" s="356"/>
      <c r="EJ26" s="356"/>
      <c r="EK26" s="356"/>
      <c r="EL26" s="356"/>
      <c r="EM26" s="356"/>
      <c r="EN26" s="356"/>
      <c r="EO26" s="356"/>
      <c r="EP26" s="356"/>
      <c r="EQ26" s="356"/>
      <c r="ER26" s="356"/>
      <c r="ES26" s="356"/>
      <c r="ET26" s="356"/>
      <c r="EU26" s="356"/>
      <c r="EV26" s="356"/>
      <c r="EW26" s="356"/>
      <c r="EX26" s="356"/>
      <c r="EY26" s="356"/>
      <c r="EZ26" s="356"/>
      <c r="FA26" s="356"/>
      <c r="FB26" s="356"/>
      <c r="FC26" s="356"/>
      <c r="FD26" s="356"/>
      <c r="FE26" s="356"/>
      <c r="FF26" s="356"/>
      <c r="FG26" s="356"/>
      <c r="FH26" s="356"/>
      <c r="FI26" s="356"/>
      <c r="FJ26" s="356"/>
      <c r="FK26" s="356"/>
      <c r="FL26" s="356"/>
      <c r="FM26" s="356"/>
      <c r="FN26" s="356"/>
      <c r="FO26" s="356"/>
      <c r="FP26" s="356"/>
      <c r="FQ26" s="356"/>
      <c r="FR26" s="356"/>
      <c r="FS26" s="356"/>
      <c r="FT26" s="356"/>
      <c r="FU26" s="356"/>
      <c r="FV26" s="356"/>
      <c r="FW26" s="356"/>
      <c r="FX26" s="356"/>
      <c r="FY26" s="356"/>
      <c r="FZ26" s="356"/>
      <c r="GA26" s="356"/>
      <c r="GB26" s="356"/>
      <c r="GC26" s="356"/>
      <c r="GD26" s="356"/>
      <c r="GE26" s="356"/>
      <c r="GF26" s="356"/>
      <c r="GG26" s="356"/>
      <c r="GH26" s="356"/>
      <c r="GI26" s="356"/>
      <c r="GJ26" s="356"/>
      <c r="GK26" s="356"/>
      <c r="GL26" s="356"/>
      <c r="GM26" s="356"/>
      <c r="GN26" s="356"/>
      <c r="GO26" s="356"/>
      <c r="GP26" s="356"/>
      <c r="GQ26" s="356"/>
      <c r="GR26" s="356"/>
      <c r="GS26" s="356"/>
      <c r="GT26" s="356"/>
      <c r="GU26" s="356"/>
      <c r="GV26" s="356"/>
      <c r="GW26" s="356"/>
      <c r="GX26" s="356"/>
      <c r="GY26" s="356"/>
      <c r="GZ26" s="356"/>
      <c r="HA26" s="356"/>
      <c r="HB26" s="356"/>
      <c r="HC26" s="356"/>
      <c r="HD26" s="356"/>
      <c r="HE26" s="356"/>
      <c r="HF26" s="356"/>
      <c r="HG26" s="356"/>
      <c r="HH26" s="356"/>
      <c r="HI26" s="356"/>
      <c r="HJ26" s="356"/>
      <c r="HK26" s="356"/>
      <c r="HL26" s="356"/>
      <c r="HM26" s="356"/>
      <c r="HN26" s="356"/>
      <c r="HO26" s="356"/>
      <c r="HP26" s="356"/>
      <c r="HQ26" s="356"/>
      <c r="HR26" s="356"/>
      <c r="HS26" s="356"/>
      <c r="HT26" s="356"/>
      <c r="HU26" s="356"/>
      <c r="HV26" s="356"/>
      <c r="HW26" s="356"/>
      <c r="HX26" s="356"/>
      <c r="HY26" s="356"/>
      <c r="HZ26" s="356"/>
      <c r="IA26" s="356"/>
      <c r="IB26" s="356"/>
      <c r="IC26" s="356"/>
      <c r="ID26" s="356"/>
      <c r="IE26" s="356"/>
      <c r="IF26" s="356"/>
      <c r="IG26" s="356"/>
      <c r="IH26" s="356"/>
      <c r="II26" s="356"/>
      <c r="IJ26" s="356"/>
      <c r="IK26" s="356"/>
      <c r="IL26" s="356"/>
      <c r="IM26" s="356"/>
      <c r="IN26" s="356"/>
      <c r="IO26" s="356"/>
      <c r="IP26" s="356"/>
      <c r="IQ26" s="356"/>
      <c r="IR26" s="356"/>
      <c r="IS26" s="356"/>
      <c r="IT26" s="356"/>
      <c r="IU26" s="356"/>
      <c r="IV26" s="356"/>
    </row>
    <row r="27" spans="1:256" ht="13.5">
      <c r="A27" s="126"/>
      <c r="B27" s="254"/>
      <c r="C27" s="134" t="s">
        <v>269</v>
      </c>
      <c r="D27" s="350">
        <v>0</v>
      </c>
      <c r="E27" s="350">
        <v>0</v>
      </c>
      <c r="F27" s="350">
        <v>0</v>
      </c>
      <c r="G27" s="350">
        <v>0</v>
      </c>
      <c r="H27" s="350">
        <v>0</v>
      </c>
      <c r="I27" s="350">
        <v>0</v>
      </c>
      <c r="J27" s="350">
        <v>0</v>
      </c>
      <c r="K27" s="350">
        <v>0</v>
      </c>
      <c r="L27" s="350">
        <v>0</v>
      </c>
      <c r="M27" s="350">
        <v>0</v>
      </c>
      <c r="N27" s="350">
        <v>0</v>
      </c>
      <c r="O27" s="350">
        <v>0</v>
      </c>
      <c r="P27" s="473">
        <f>AVERAGE(D27:O27)</f>
        <v>0</v>
      </c>
      <c r="Q27" s="356"/>
      <c r="R27" s="469">
        <f>0</f>
        <v>0</v>
      </c>
      <c r="S27" s="470">
        <f t="shared" si="4"/>
        <v>0</v>
      </c>
      <c r="T27" s="469">
        <f t="shared" si="13"/>
        <v>0</v>
      </c>
      <c r="U27" s="469">
        <f t="shared" si="5"/>
        <v>0</v>
      </c>
      <c r="V27" s="469">
        <f t="shared" si="6"/>
        <v>0</v>
      </c>
      <c r="W27" s="469">
        <f t="shared" si="7"/>
        <v>0</v>
      </c>
      <c r="X27" s="469">
        <f t="shared" si="8"/>
        <v>0</v>
      </c>
      <c r="Y27" s="469">
        <f t="shared" si="17"/>
        <v>0</v>
      </c>
      <c r="Z27" s="469">
        <f t="shared" si="9"/>
        <v>0</v>
      </c>
      <c r="AA27" s="469">
        <f t="shared" si="10"/>
        <v>0</v>
      </c>
      <c r="AB27" s="469">
        <f t="shared" si="11"/>
        <v>0</v>
      </c>
      <c r="AC27" s="469">
        <f t="shared" si="12"/>
        <v>0</v>
      </c>
      <c r="AD27" s="356"/>
      <c r="AE27" s="356"/>
      <c r="AF27" s="356"/>
      <c r="AG27" s="356"/>
      <c r="AH27" s="356"/>
      <c r="AI27" s="356"/>
      <c r="AJ27" s="356"/>
      <c r="AK27" s="356"/>
      <c r="AL27" s="356"/>
      <c r="AM27" s="356"/>
      <c r="AN27" s="356"/>
      <c r="AO27" s="356"/>
      <c r="AP27" s="356"/>
      <c r="AQ27" s="356"/>
      <c r="AR27" s="356"/>
      <c r="AS27" s="356"/>
      <c r="AT27" s="356"/>
      <c r="AU27" s="356"/>
      <c r="AV27" s="356"/>
      <c r="AW27" s="356"/>
      <c r="AX27" s="356"/>
      <c r="AY27" s="356"/>
      <c r="AZ27" s="356"/>
      <c r="BA27" s="356"/>
      <c r="BB27" s="356"/>
      <c r="BC27" s="356"/>
      <c r="BD27" s="356"/>
      <c r="BE27" s="356"/>
      <c r="BF27" s="356"/>
      <c r="BG27" s="356"/>
      <c r="BH27" s="356"/>
      <c r="BI27" s="356"/>
      <c r="BJ27" s="356"/>
      <c r="BK27" s="356"/>
      <c r="BL27" s="356"/>
      <c r="BM27" s="356"/>
      <c r="BN27" s="356"/>
      <c r="BO27" s="356"/>
      <c r="BP27" s="356"/>
      <c r="BQ27" s="356"/>
      <c r="BR27" s="356"/>
      <c r="BS27" s="356"/>
      <c r="BT27" s="356"/>
      <c r="BU27" s="356"/>
      <c r="BV27" s="356"/>
      <c r="BW27" s="356"/>
      <c r="BX27" s="356"/>
      <c r="BY27" s="356"/>
      <c r="BZ27" s="356"/>
      <c r="CA27" s="356"/>
      <c r="CB27" s="356"/>
      <c r="CC27" s="356"/>
      <c r="CD27" s="356"/>
      <c r="CE27" s="356"/>
      <c r="CF27" s="356"/>
      <c r="CG27" s="356"/>
      <c r="CH27" s="356"/>
      <c r="CI27" s="356"/>
      <c r="CJ27" s="356"/>
      <c r="CK27" s="356"/>
      <c r="CL27" s="356"/>
      <c r="CM27" s="356"/>
      <c r="CN27" s="356"/>
      <c r="CO27" s="356"/>
      <c r="CP27" s="356"/>
      <c r="CQ27" s="356"/>
      <c r="CR27" s="356"/>
      <c r="CS27" s="356"/>
      <c r="CT27" s="356"/>
      <c r="CU27" s="356"/>
      <c r="CV27" s="356"/>
      <c r="CW27" s="356"/>
      <c r="CX27" s="356"/>
      <c r="CY27" s="356"/>
      <c r="CZ27" s="356"/>
      <c r="DA27" s="356"/>
      <c r="DB27" s="356"/>
      <c r="DC27" s="356"/>
      <c r="DD27" s="356"/>
      <c r="DE27" s="356"/>
      <c r="DF27" s="356"/>
      <c r="DG27" s="356"/>
      <c r="DH27" s="356"/>
      <c r="DI27" s="356"/>
      <c r="DJ27" s="356"/>
      <c r="DK27" s="356"/>
      <c r="DL27" s="356"/>
      <c r="DM27" s="356"/>
      <c r="DN27" s="356"/>
      <c r="DO27" s="356"/>
      <c r="DP27" s="356"/>
      <c r="DQ27" s="356"/>
      <c r="DR27" s="356"/>
      <c r="DS27" s="356"/>
      <c r="DT27" s="356"/>
      <c r="DU27" s="356"/>
      <c r="DV27" s="356"/>
      <c r="DW27" s="356"/>
      <c r="DX27" s="356"/>
      <c r="DY27" s="356"/>
      <c r="DZ27" s="356"/>
      <c r="EA27" s="356"/>
      <c r="EB27" s="356"/>
      <c r="EC27" s="356"/>
      <c r="ED27" s="356"/>
      <c r="EE27" s="356"/>
      <c r="EF27" s="356"/>
      <c r="EG27" s="356"/>
      <c r="EH27" s="356"/>
      <c r="EI27" s="356"/>
      <c r="EJ27" s="356"/>
      <c r="EK27" s="356"/>
      <c r="EL27" s="356"/>
      <c r="EM27" s="356"/>
      <c r="EN27" s="356"/>
      <c r="EO27" s="356"/>
      <c r="EP27" s="356"/>
      <c r="EQ27" s="356"/>
      <c r="ER27" s="356"/>
      <c r="ES27" s="356"/>
      <c r="ET27" s="356"/>
      <c r="EU27" s="356"/>
      <c r="EV27" s="356"/>
      <c r="EW27" s="356"/>
      <c r="EX27" s="356"/>
      <c r="EY27" s="356"/>
      <c r="EZ27" s="356"/>
      <c r="FA27" s="356"/>
      <c r="FB27" s="356"/>
      <c r="FC27" s="356"/>
      <c r="FD27" s="356"/>
      <c r="FE27" s="356"/>
      <c r="FF27" s="356"/>
      <c r="FG27" s="356"/>
      <c r="FH27" s="356"/>
      <c r="FI27" s="356"/>
      <c r="FJ27" s="356"/>
      <c r="FK27" s="356"/>
      <c r="FL27" s="356"/>
      <c r="FM27" s="356"/>
      <c r="FN27" s="356"/>
      <c r="FO27" s="356"/>
      <c r="FP27" s="356"/>
      <c r="FQ27" s="356"/>
      <c r="FR27" s="356"/>
      <c r="FS27" s="356"/>
      <c r="FT27" s="356"/>
      <c r="FU27" s="356"/>
      <c r="FV27" s="356"/>
      <c r="FW27" s="356"/>
      <c r="FX27" s="356"/>
      <c r="FY27" s="356"/>
      <c r="FZ27" s="356"/>
      <c r="GA27" s="356"/>
      <c r="GB27" s="356"/>
      <c r="GC27" s="356"/>
      <c r="GD27" s="356"/>
      <c r="GE27" s="356"/>
      <c r="GF27" s="356"/>
      <c r="GG27" s="356"/>
      <c r="GH27" s="356"/>
      <c r="GI27" s="356"/>
      <c r="GJ27" s="356"/>
      <c r="GK27" s="356"/>
      <c r="GL27" s="356"/>
      <c r="GM27" s="356"/>
      <c r="GN27" s="356"/>
      <c r="GO27" s="356"/>
      <c r="GP27" s="356"/>
      <c r="GQ27" s="356"/>
      <c r="GR27" s="356"/>
      <c r="GS27" s="356"/>
      <c r="GT27" s="356"/>
      <c r="GU27" s="356"/>
      <c r="GV27" s="356"/>
      <c r="GW27" s="356"/>
      <c r="GX27" s="356"/>
      <c r="GY27" s="356"/>
      <c r="GZ27" s="356"/>
      <c r="HA27" s="356"/>
      <c r="HB27" s="356"/>
      <c r="HC27" s="356"/>
      <c r="HD27" s="356"/>
      <c r="HE27" s="356"/>
      <c r="HF27" s="356"/>
      <c r="HG27" s="356"/>
      <c r="HH27" s="356"/>
      <c r="HI27" s="356"/>
      <c r="HJ27" s="356"/>
      <c r="HK27" s="356"/>
      <c r="HL27" s="356"/>
      <c r="HM27" s="356"/>
      <c r="HN27" s="356"/>
      <c r="HO27" s="356"/>
      <c r="HP27" s="356"/>
      <c r="HQ27" s="356"/>
      <c r="HR27" s="356"/>
      <c r="HS27" s="356"/>
      <c r="HT27" s="356"/>
      <c r="HU27" s="356"/>
      <c r="HV27" s="356"/>
      <c r="HW27" s="356"/>
      <c r="HX27" s="356"/>
      <c r="HY27" s="356"/>
      <c r="HZ27" s="356"/>
      <c r="IA27" s="356"/>
      <c r="IB27" s="356"/>
      <c r="IC27" s="356"/>
      <c r="ID27" s="356"/>
      <c r="IE27" s="356"/>
      <c r="IF27" s="356"/>
      <c r="IG27" s="356"/>
      <c r="IH27" s="356"/>
      <c r="II27" s="356"/>
      <c r="IJ27" s="356"/>
      <c r="IK27" s="356"/>
      <c r="IL27" s="356"/>
      <c r="IM27" s="356"/>
      <c r="IN27" s="356"/>
      <c r="IO27" s="356"/>
      <c r="IP27" s="356"/>
      <c r="IQ27" s="356"/>
      <c r="IR27" s="356"/>
      <c r="IS27" s="356"/>
      <c r="IT27" s="356"/>
      <c r="IU27" s="356"/>
      <c r="IV27" s="356"/>
    </row>
    <row r="28" spans="1:256" ht="13.5">
      <c r="A28" s="126"/>
      <c r="B28" s="254"/>
      <c r="C28" s="134" t="s">
        <v>270</v>
      </c>
      <c r="D28" s="350">
        <v>0</v>
      </c>
      <c r="E28" s="350">
        <v>0</v>
      </c>
      <c r="F28" s="350">
        <v>0</v>
      </c>
      <c r="G28" s="350">
        <v>0</v>
      </c>
      <c r="H28" s="350">
        <v>0</v>
      </c>
      <c r="I28" s="350">
        <v>0</v>
      </c>
      <c r="J28" s="350">
        <v>0</v>
      </c>
      <c r="K28" s="350">
        <v>0</v>
      </c>
      <c r="L28" s="350">
        <v>0</v>
      </c>
      <c r="M28" s="350">
        <v>0</v>
      </c>
      <c r="N28" s="350">
        <v>0</v>
      </c>
      <c r="O28" s="350">
        <v>0</v>
      </c>
      <c r="P28" s="473">
        <f>AVERAGE(D28:O28)</f>
        <v>0</v>
      </c>
      <c r="Q28" s="356"/>
      <c r="R28" s="469">
        <f>0</f>
        <v>0</v>
      </c>
      <c r="S28" s="470">
        <f t="shared" si="4"/>
        <v>0</v>
      </c>
      <c r="T28" s="469">
        <f t="shared" si="13"/>
        <v>0</v>
      </c>
      <c r="U28" s="469">
        <f t="shared" si="5"/>
        <v>0</v>
      </c>
      <c r="V28" s="469">
        <f t="shared" si="6"/>
        <v>0</v>
      </c>
      <c r="W28" s="469">
        <f t="shared" si="7"/>
        <v>0</v>
      </c>
      <c r="X28" s="469">
        <f t="shared" si="8"/>
        <v>0</v>
      </c>
      <c r="Y28" s="469">
        <f t="shared" si="17"/>
        <v>0</v>
      </c>
      <c r="Z28" s="469">
        <f t="shared" si="9"/>
        <v>0</v>
      </c>
      <c r="AA28" s="469">
        <f t="shared" si="10"/>
        <v>0</v>
      </c>
      <c r="AB28" s="469">
        <f t="shared" si="11"/>
        <v>0</v>
      </c>
      <c r="AC28" s="469">
        <f t="shared" si="12"/>
        <v>0</v>
      </c>
      <c r="AD28" s="356"/>
      <c r="AE28" s="356"/>
      <c r="AF28" s="356"/>
      <c r="AG28" s="356"/>
      <c r="AH28" s="356"/>
      <c r="AI28" s="356"/>
      <c r="AJ28" s="356"/>
      <c r="AK28" s="356"/>
      <c r="AL28" s="356"/>
      <c r="AM28" s="356"/>
      <c r="AN28" s="356"/>
      <c r="AO28" s="356"/>
      <c r="AP28" s="356"/>
      <c r="AQ28" s="356"/>
      <c r="AR28" s="356"/>
      <c r="AS28" s="356"/>
      <c r="AT28" s="356"/>
      <c r="AU28" s="356"/>
      <c r="AV28" s="356"/>
      <c r="AW28" s="356"/>
      <c r="AX28" s="356"/>
      <c r="AY28" s="356"/>
      <c r="AZ28" s="356"/>
      <c r="BA28" s="356"/>
      <c r="BB28" s="356"/>
      <c r="BC28" s="356"/>
      <c r="BD28" s="356"/>
      <c r="BE28" s="356"/>
      <c r="BF28" s="356"/>
      <c r="BG28" s="356"/>
      <c r="BH28" s="356"/>
      <c r="BI28" s="356"/>
      <c r="BJ28" s="356"/>
      <c r="BK28" s="356"/>
      <c r="BL28" s="356"/>
      <c r="BM28" s="356"/>
      <c r="BN28" s="356"/>
      <c r="BO28" s="356"/>
      <c r="BP28" s="356"/>
      <c r="BQ28" s="356"/>
      <c r="BR28" s="356"/>
      <c r="BS28" s="356"/>
      <c r="BT28" s="356"/>
      <c r="BU28" s="356"/>
      <c r="BV28" s="356"/>
      <c r="BW28" s="356"/>
      <c r="BX28" s="356"/>
      <c r="BY28" s="356"/>
      <c r="BZ28" s="356"/>
      <c r="CA28" s="356"/>
      <c r="CB28" s="356"/>
      <c r="CC28" s="356"/>
      <c r="CD28" s="356"/>
      <c r="CE28" s="356"/>
      <c r="CF28" s="356"/>
      <c r="CG28" s="356"/>
      <c r="CH28" s="356"/>
      <c r="CI28" s="356"/>
      <c r="CJ28" s="356"/>
      <c r="CK28" s="356"/>
      <c r="CL28" s="356"/>
      <c r="CM28" s="356"/>
      <c r="CN28" s="356"/>
      <c r="CO28" s="356"/>
      <c r="CP28" s="356"/>
      <c r="CQ28" s="356"/>
      <c r="CR28" s="356"/>
      <c r="CS28" s="356"/>
      <c r="CT28" s="356"/>
      <c r="CU28" s="356"/>
      <c r="CV28" s="356"/>
      <c r="CW28" s="356"/>
      <c r="CX28" s="356"/>
      <c r="CY28" s="356"/>
      <c r="CZ28" s="356"/>
      <c r="DA28" s="356"/>
      <c r="DB28" s="356"/>
      <c r="DC28" s="356"/>
      <c r="DD28" s="356"/>
      <c r="DE28" s="356"/>
      <c r="DF28" s="356"/>
      <c r="DG28" s="356"/>
      <c r="DH28" s="356"/>
      <c r="DI28" s="356"/>
      <c r="DJ28" s="356"/>
      <c r="DK28" s="356"/>
      <c r="DL28" s="356"/>
      <c r="DM28" s="356"/>
      <c r="DN28" s="356"/>
      <c r="DO28" s="356"/>
      <c r="DP28" s="356"/>
      <c r="DQ28" s="356"/>
      <c r="DR28" s="356"/>
      <c r="DS28" s="356"/>
      <c r="DT28" s="356"/>
      <c r="DU28" s="356"/>
      <c r="DV28" s="356"/>
      <c r="DW28" s="356"/>
      <c r="DX28" s="356"/>
      <c r="DY28" s="356"/>
      <c r="DZ28" s="356"/>
      <c r="EA28" s="356"/>
      <c r="EB28" s="356"/>
      <c r="EC28" s="356"/>
      <c r="ED28" s="356"/>
      <c r="EE28" s="356"/>
      <c r="EF28" s="356"/>
      <c r="EG28" s="356"/>
      <c r="EH28" s="356"/>
      <c r="EI28" s="356"/>
      <c r="EJ28" s="356"/>
      <c r="EK28" s="356"/>
      <c r="EL28" s="356"/>
      <c r="EM28" s="356"/>
      <c r="EN28" s="356"/>
      <c r="EO28" s="356"/>
      <c r="EP28" s="356"/>
      <c r="EQ28" s="356"/>
      <c r="ER28" s="356"/>
      <c r="ES28" s="356"/>
      <c r="ET28" s="356"/>
      <c r="EU28" s="356"/>
      <c r="EV28" s="356"/>
      <c r="EW28" s="356"/>
      <c r="EX28" s="356"/>
      <c r="EY28" s="356"/>
      <c r="EZ28" s="356"/>
      <c r="FA28" s="356"/>
      <c r="FB28" s="356"/>
      <c r="FC28" s="356"/>
      <c r="FD28" s="356"/>
      <c r="FE28" s="356"/>
      <c r="FF28" s="356"/>
      <c r="FG28" s="356"/>
      <c r="FH28" s="356"/>
      <c r="FI28" s="356"/>
      <c r="FJ28" s="356"/>
      <c r="FK28" s="356"/>
      <c r="FL28" s="356"/>
      <c r="FM28" s="356"/>
      <c r="FN28" s="356"/>
      <c r="FO28" s="356"/>
      <c r="FP28" s="356"/>
      <c r="FQ28" s="356"/>
      <c r="FR28" s="356"/>
      <c r="FS28" s="356"/>
      <c r="FT28" s="356"/>
      <c r="FU28" s="356"/>
      <c r="FV28" s="356"/>
      <c r="FW28" s="356"/>
      <c r="FX28" s="356"/>
      <c r="FY28" s="356"/>
      <c r="FZ28" s="356"/>
      <c r="GA28" s="356"/>
      <c r="GB28" s="356"/>
      <c r="GC28" s="356"/>
      <c r="GD28" s="356"/>
      <c r="GE28" s="356"/>
      <c r="GF28" s="356"/>
      <c r="GG28" s="356"/>
      <c r="GH28" s="356"/>
      <c r="GI28" s="356"/>
      <c r="GJ28" s="356"/>
      <c r="GK28" s="356"/>
      <c r="GL28" s="356"/>
      <c r="GM28" s="356"/>
      <c r="GN28" s="356"/>
      <c r="GO28" s="356"/>
      <c r="GP28" s="356"/>
      <c r="GQ28" s="356"/>
      <c r="GR28" s="356"/>
      <c r="GS28" s="356"/>
      <c r="GT28" s="356"/>
      <c r="GU28" s="356"/>
      <c r="GV28" s="356"/>
      <c r="GW28" s="356"/>
      <c r="GX28" s="356"/>
      <c r="GY28" s="356"/>
      <c r="GZ28" s="356"/>
      <c r="HA28" s="356"/>
      <c r="HB28" s="356"/>
      <c r="HC28" s="356"/>
      <c r="HD28" s="356"/>
      <c r="HE28" s="356"/>
      <c r="HF28" s="356"/>
      <c r="HG28" s="356"/>
      <c r="HH28" s="356"/>
      <c r="HI28" s="356"/>
      <c r="HJ28" s="356"/>
      <c r="HK28" s="356"/>
      <c r="HL28" s="356"/>
      <c r="HM28" s="356"/>
      <c r="HN28" s="356"/>
      <c r="HO28" s="356"/>
      <c r="HP28" s="356"/>
      <c r="HQ28" s="356"/>
      <c r="HR28" s="356"/>
      <c r="HS28" s="356"/>
      <c r="HT28" s="356"/>
      <c r="HU28" s="356"/>
      <c r="HV28" s="356"/>
      <c r="HW28" s="356"/>
      <c r="HX28" s="356"/>
      <c r="HY28" s="356"/>
      <c r="HZ28" s="356"/>
      <c r="IA28" s="356"/>
      <c r="IB28" s="356"/>
      <c r="IC28" s="356"/>
      <c r="ID28" s="356"/>
      <c r="IE28" s="356"/>
      <c r="IF28" s="356"/>
      <c r="IG28" s="356"/>
      <c r="IH28" s="356"/>
      <c r="II28" s="356"/>
      <c r="IJ28" s="356"/>
      <c r="IK28" s="356"/>
      <c r="IL28" s="356"/>
      <c r="IM28" s="356"/>
      <c r="IN28" s="356"/>
      <c r="IO28" s="356"/>
      <c r="IP28" s="356"/>
      <c r="IQ28" s="356"/>
      <c r="IR28" s="356"/>
      <c r="IS28" s="356"/>
      <c r="IT28" s="356"/>
      <c r="IU28" s="356"/>
      <c r="IV28" s="356"/>
    </row>
    <row r="29" spans="1:256" ht="14.1" thickBot="1">
      <c r="A29" s="126"/>
      <c r="B29" s="254"/>
      <c r="C29" s="233" t="s">
        <v>35</v>
      </c>
      <c r="D29" s="474">
        <v>0</v>
      </c>
      <c r="E29" s="475">
        <v>0</v>
      </c>
      <c r="F29" s="476">
        <v>0</v>
      </c>
      <c r="G29" s="476">
        <v>0</v>
      </c>
      <c r="H29" s="477">
        <v>0</v>
      </c>
      <c r="I29" s="478">
        <v>0</v>
      </c>
      <c r="J29" s="478">
        <v>0</v>
      </c>
      <c r="K29" s="478">
        <v>0</v>
      </c>
      <c r="L29" s="478">
        <v>0</v>
      </c>
      <c r="M29" s="478">
        <v>0</v>
      </c>
      <c r="N29" s="478">
        <v>0</v>
      </c>
      <c r="O29" s="478">
        <v>0</v>
      </c>
      <c r="P29" s="479">
        <f t="shared" si="16"/>
        <v>0</v>
      </c>
      <c r="Q29" s="356"/>
      <c r="R29" s="469">
        <f>0</f>
        <v>0</v>
      </c>
      <c r="S29" s="470">
        <f t="shared" si="4"/>
        <v>0</v>
      </c>
      <c r="T29" s="469">
        <f t="shared" si="13"/>
        <v>0</v>
      </c>
      <c r="U29" s="469">
        <f t="shared" si="5"/>
        <v>0</v>
      </c>
      <c r="V29" s="469">
        <f t="shared" si="6"/>
        <v>0</v>
      </c>
      <c r="W29" s="469">
        <f t="shared" si="7"/>
        <v>0</v>
      </c>
      <c r="X29" s="469">
        <f t="shared" si="8"/>
        <v>0</v>
      </c>
      <c r="Y29" s="469">
        <f t="shared" si="17"/>
        <v>0</v>
      </c>
      <c r="Z29" s="469">
        <f t="shared" si="9"/>
        <v>0</v>
      </c>
      <c r="AA29" s="469">
        <f t="shared" si="10"/>
        <v>0</v>
      </c>
      <c r="AB29" s="469">
        <f t="shared" si="11"/>
        <v>0</v>
      </c>
      <c r="AC29" s="469">
        <f t="shared" si="12"/>
        <v>0</v>
      </c>
      <c r="AD29" s="356"/>
      <c r="AE29" s="356"/>
      <c r="AF29" s="356"/>
      <c r="AG29" s="356"/>
      <c r="AH29" s="356"/>
      <c r="AI29" s="356"/>
      <c r="AJ29" s="356"/>
      <c r="AK29" s="356"/>
      <c r="AL29" s="356"/>
      <c r="AM29" s="356"/>
      <c r="AN29" s="356"/>
      <c r="AO29" s="356"/>
      <c r="AP29" s="356"/>
      <c r="AQ29" s="356"/>
      <c r="AR29" s="356"/>
      <c r="AS29" s="356"/>
      <c r="AT29" s="356"/>
      <c r="AU29" s="356"/>
      <c r="AV29" s="356"/>
      <c r="AW29" s="356"/>
      <c r="AX29" s="356"/>
      <c r="AY29" s="356"/>
      <c r="AZ29" s="356"/>
      <c r="BA29" s="356"/>
      <c r="BB29" s="356"/>
      <c r="BC29" s="356"/>
      <c r="BD29" s="356"/>
      <c r="BE29" s="356"/>
      <c r="BF29" s="356"/>
      <c r="BG29" s="356"/>
      <c r="BH29" s="356"/>
      <c r="BI29" s="356"/>
      <c r="BJ29" s="356"/>
      <c r="BK29" s="356"/>
      <c r="BL29" s="356"/>
      <c r="BM29" s="356"/>
      <c r="BN29" s="356"/>
      <c r="BO29" s="356"/>
      <c r="BP29" s="356"/>
      <c r="BQ29" s="356"/>
      <c r="BR29" s="356"/>
      <c r="BS29" s="356"/>
      <c r="BT29" s="356"/>
      <c r="BU29" s="356"/>
      <c r="BV29" s="356"/>
      <c r="BW29" s="356"/>
      <c r="BX29" s="356"/>
      <c r="BY29" s="356"/>
      <c r="BZ29" s="356"/>
      <c r="CA29" s="356"/>
      <c r="CB29" s="356"/>
      <c r="CC29" s="356"/>
      <c r="CD29" s="356"/>
      <c r="CE29" s="356"/>
      <c r="CF29" s="356"/>
      <c r="CG29" s="356"/>
      <c r="CH29" s="356"/>
      <c r="CI29" s="356"/>
      <c r="CJ29" s="356"/>
      <c r="CK29" s="356"/>
      <c r="CL29" s="356"/>
      <c r="CM29" s="356"/>
      <c r="CN29" s="356"/>
      <c r="CO29" s="356"/>
      <c r="CP29" s="356"/>
      <c r="CQ29" s="356"/>
      <c r="CR29" s="356"/>
      <c r="CS29" s="356"/>
      <c r="CT29" s="356"/>
      <c r="CU29" s="356"/>
      <c r="CV29" s="356"/>
      <c r="CW29" s="356"/>
      <c r="CX29" s="356"/>
      <c r="CY29" s="356"/>
      <c r="CZ29" s="356"/>
      <c r="DA29" s="356"/>
      <c r="DB29" s="356"/>
      <c r="DC29" s="356"/>
      <c r="DD29" s="356"/>
      <c r="DE29" s="356"/>
      <c r="DF29" s="356"/>
      <c r="DG29" s="356"/>
      <c r="DH29" s="356"/>
      <c r="DI29" s="356"/>
      <c r="DJ29" s="356"/>
      <c r="DK29" s="356"/>
      <c r="DL29" s="356"/>
      <c r="DM29" s="356"/>
      <c r="DN29" s="356"/>
      <c r="DO29" s="356"/>
      <c r="DP29" s="356"/>
      <c r="DQ29" s="356"/>
      <c r="DR29" s="356"/>
      <c r="DS29" s="356"/>
      <c r="DT29" s="356"/>
      <c r="DU29" s="356"/>
      <c r="DV29" s="356"/>
      <c r="DW29" s="356"/>
      <c r="DX29" s="356"/>
      <c r="DY29" s="356"/>
      <c r="DZ29" s="356"/>
      <c r="EA29" s="356"/>
      <c r="EB29" s="356"/>
      <c r="EC29" s="356"/>
      <c r="ED29" s="356"/>
      <c r="EE29" s="356"/>
      <c r="EF29" s="356"/>
      <c r="EG29" s="356"/>
      <c r="EH29" s="356"/>
      <c r="EI29" s="356"/>
      <c r="EJ29" s="356"/>
      <c r="EK29" s="356"/>
      <c r="EL29" s="356"/>
      <c r="EM29" s="356"/>
      <c r="EN29" s="356"/>
      <c r="EO29" s="356"/>
      <c r="EP29" s="356"/>
      <c r="EQ29" s="356"/>
      <c r="ER29" s="356"/>
      <c r="ES29" s="356"/>
      <c r="ET29" s="356"/>
      <c r="EU29" s="356"/>
      <c r="EV29" s="356"/>
      <c r="EW29" s="356"/>
      <c r="EX29" s="356"/>
      <c r="EY29" s="356"/>
      <c r="EZ29" s="356"/>
      <c r="FA29" s="356"/>
      <c r="FB29" s="356"/>
      <c r="FC29" s="356"/>
      <c r="FD29" s="356"/>
      <c r="FE29" s="356"/>
      <c r="FF29" s="356"/>
      <c r="FG29" s="356"/>
      <c r="FH29" s="356"/>
      <c r="FI29" s="356"/>
      <c r="FJ29" s="356"/>
      <c r="FK29" s="356"/>
      <c r="FL29" s="356"/>
      <c r="FM29" s="356"/>
      <c r="FN29" s="356"/>
      <c r="FO29" s="356"/>
      <c r="FP29" s="356"/>
      <c r="FQ29" s="356"/>
      <c r="FR29" s="356"/>
      <c r="FS29" s="356"/>
      <c r="FT29" s="356"/>
      <c r="FU29" s="356"/>
      <c r="FV29" s="356"/>
      <c r="FW29" s="356"/>
      <c r="FX29" s="356"/>
      <c r="FY29" s="356"/>
      <c r="FZ29" s="356"/>
      <c r="GA29" s="356"/>
      <c r="GB29" s="356"/>
      <c r="GC29" s="356"/>
      <c r="GD29" s="356"/>
      <c r="GE29" s="356"/>
      <c r="GF29" s="356"/>
      <c r="GG29" s="356"/>
      <c r="GH29" s="356"/>
      <c r="GI29" s="356"/>
      <c r="GJ29" s="356"/>
      <c r="GK29" s="356"/>
      <c r="GL29" s="356"/>
      <c r="GM29" s="356"/>
      <c r="GN29" s="356"/>
      <c r="GO29" s="356"/>
      <c r="GP29" s="356"/>
      <c r="GQ29" s="356"/>
      <c r="GR29" s="356"/>
      <c r="GS29" s="356"/>
      <c r="GT29" s="356"/>
      <c r="GU29" s="356"/>
      <c r="GV29" s="356"/>
      <c r="GW29" s="356"/>
      <c r="GX29" s="356"/>
      <c r="GY29" s="356"/>
      <c r="GZ29" s="356"/>
      <c r="HA29" s="356"/>
      <c r="HB29" s="356"/>
      <c r="HC29" s="356"/>
      <c r="HD29" s="356"/>
      <c r="HE29" s="356"/>
      <c r="HF29" s="356"/>
      <c r="HG29" s="356"/>
      <c r="HH29" s="356"/>
      <c r="HI29" s="356"/>
      <c r="HJ29" s="356"/>
      <c r="HK29" s="356"/>
      <c r="HL29" s="356"/>
      <c r="HM29" s="356"/>
      <c r="HN29" s="356"/>
      <c r="HO29" s="356"/>
      <c r="HP29" s="356"/>
      <c r="HQ29" s="356"/>
      <c r="HR29" s="356"/>
      <c r="HS29" s="356"/>
      <c r="HT29" s="356"/>
      <c r="HU29" s="356"/>
      <c r="HV29" s="356"/>
      <c r="HW29" s="356"/>
      <c r="HX29" s="356"/>
      <c r="HY29" s="356"/>
      <c r="HZ29" s="356"/>
      <c r="IA29" s="356"/>
      <c r="IB29" s="356"/>
      <c r="IC29" s="356"/>
      <c r="ID29" s="356"/>
      <c r="IE29" s="356"/>
      <c r="IF29" s="356"/>
      <c r="IG29" s="356"/>
      <c r="IH29" s="356"/>
      <c r="II29" s="356"/>
      <c r="IJ29" s="356"/>
      <c r="IK29" s="356"/>
      <c r="IL29" s="356"/>
      <c r="IM29" s="356"/>
      <c r="IN29" s="356"/>
      <c r="IO29" s="356"/>
      <c r="IP29" s="356"/>
      <c r="IQ29" s="356"/>
      <c r="IR29" s="356"/>
      <c r="IS29" s="356"/>
      <c r="IT29" s="356"/>
      <c r="IU29" s="356"/>
      <c r="IV29" s="356"/>
    </row>
    <row r="30" spans="1:256" ht="13.5">
      <c r="A30" s="788" t="s">
        <v>36</v>
      </c>
      <c r="B30" s="789"/>
      <c r="C30" s="375" t="s">
        <v>37</v>
      </c>
      <c r="D30" s="480">
        <v>0</v>
      </c>
      <c r="E30" s="480">
        <v>0</v>
      </c>
      <c r="F30" s="480">
        <v>0</v>
      </c>
      <c r="G30" s="480">
        <v>0</v>
      </c>
      <c r="H30" s="480">
        <v>0</v>
      </c>
      <c r="I30" s="480">
        <v>0</v>
      </c>
      <c r="J30" s="480">
        <v>0</v>
      </c>
      <c r="K30" s="480">
        <v>0</v>
      </c>
      <c r="L30" s="480">
        <v>0</v>
      </c>
      <c r="M30" s="480">
        <v>0</v>
      </c>
      <c r="N30" s="480">
        <v>0</v>
      </c>
      <c r="O30" s="480">
        <v>0</v>
      </c>
      <c r="P30" s="481">
        <f t="shared" si="16"/>
        <v>0</v>
      </c>
      <c r="R30" s="469">
        <f>0</f>
        <v>0</v>
      </c>
      <c r="S30" s="470">
        <f t="shared" si="4"/>
        <v>0</v>
      </c>
      <c r="T30" s="469">
        <f t="shared" si="13"/>
        <v>0</v>
      </c>
      <c r="U30" s="469">
        <f t="shared" si="5"/>
        <v>0</v>
      </c>
      <c r="V30" s="469">
        <f t="shared" si="6"/>
        <v>0</v>
      </c>
      <c r="W30" s="469">
        <f t="shared" si="7"/>
        <v>0</v>
      </c>
      <c r="X30" s="469">
        <f t="shared" si="8"/>
        <v>0</v>
      </c>
      <c r="Y30" s="469">
        <f t="shared" si="17"/>
        <v>0</v>
      </c>
      <c r="Z30" s="469">
        <f t="shared" si="9"/>
        <v>0</v>
      </c>
      <c r="AA30" s="469">
        <f t="shared" si="10"/>
        <v>0</v>
      </c>
      <c r="AB30" s="469">
        <f t="shared" si="11"/>
        <v>0</v>
      </c>
      <c r="AC30" s="469">
        <f t="shared" si="12"/>
        <v>0</v>
      </c>
    </row>
    <row r="31" spans="1:256" ht="13.5">
      <c r="A31" s="764"/>
      <c r="B31" s="765"/>
      <c r="C31" s="139" t="s">
        <v>38</v>
      </c>
      <c r="D31" s="482">
        <v>0</v>
      </c>
      <c r="E31" s="482">
        <v>0</v>
      </c>
      <c r="F31" s="482">
        <v>0</v>
      </c>
      <c r="G31" s="482">
        <v>0</v>
      </c>
      <c r="H31" s="482">
        <v>0</v>
      </c>
      <c r="I31" s="482">
        <v>0</v>
      </c>
      <c r="J31" s="482">
        <v>0</v>
      </c>
      <c r="K31" s="482">
        <v>0</v>
      </c>
      <c r="L31" s="482">
        <v>0</v>
      </c>
      <c r="M31" s="482">
        <v>0</v>
      </c>
      <c r="N31" s="482">
        <v>0</v>
      </c>
      <c r="O31" s="482">
        <v>0</v>
      </c>
      <c r="P31" s="483">
        <f t="shared" si="16"/>
        <v>0</v>
      </c>
      <c r="R31" s="469">
        <f>0</f>
        <v>0</v>
      </c>
      <c r="S31" s="470">
        <f t="shared" si="4"/>
        <v>0</v>
      </c>
      <c r="T31" s="469">
        <f t="shared" si="13"/>
        <v>0</v>
      </c>
      <c r="U31" s="469">
        <f t="shared" si="5"/>
        <v>0</v>
      </c>
      <c r="V31" s="469">
        <f t="shared" si="6"/>
        <v>0</v>
      </c>
      <c r="W31" s="469">
        <f t="shared" si="7"/>
        <v>0</v>
      </c>
      <c r="X31" s="469">
        <f t="shared" si="8"/>
        <v>0</v>
      </c>
      <c r="Y31" s="469">
        <f t="shared" si="17"/>
        <v>0</v>
      </c>
      <c r="Z31" s="469">
        <f t="shared" si="9"/>
        <v>0</v>
      </c>
      <c r="AA31" s="469">
        <f t="shared" si="10"/>
        <v>0</v>
      </c>
      <c r="AB31" s="469">
        <f t="shared" si="11"/>
        <v>0</v>
      </c>
      <c r="AC31" s="469">
        <f t="shared" si="12"/>
        <v>0</v>
      </c>
    </row>
    <row r="32" spans="1:256" ht="13.5">
      <c r="A32" s="764"/>
      <c r="B32" s="765"/>
      <c r="C32" s="239" t="s">
        <v>39</v>
      </c>
      <c r="D32" s="482">
        <v>0</v>
      </c>
      <c r="E32" s="482">
        <v>0</v>
      </c>
      <c r="F32" s="482">
        <v>0</v>
      </c>
      <c r="G32" s="482">
        <v>0</v>
      </c>
      <c r="H32" s="482">
        <v>0</v>
      </c>
      <c r="I32" s="482">
        <v>0</v>
      </c>
      <c r="J32" s="482">
        <v>0</v>
      </c>
      <c r="K32" s="482">
        <v>0</v>
      </c>
      <c r="L32" s="482">
        <v>0</v>
      </c>
      <c r="M32" s="482">
        <v>0</v>
      </c>
      <c r="N32" s="482">
        <v>0</v>
      </c>
      <c r="O32" s="482">
        <v>0</v>
      </c>
      <c r="P32" s="483">
        <f t="shared" si="16"/>
        <v>0</v>
      </c>
      <c r="R32" s="469">
        <f>0</f>
        <v>0</v>
      </c>
      <c r="S32" s="470">
        <f t="shared" si="4"/>
        <v>0</v>
      </c>
      <c r="T32" s="469">
        <f t="shared" si="13"/>
        <v>0</v>
      </c>
      <c r="U32" s="469">
        <f t="shared" si="5"/>
        <v>0</v>
      </c>
      <c r="V32" s="469">
        <f t="shared" si="6"/>
        <v>0</v>
      </c>
      <c r="W32" s="469">
        <f t="shared" si="7"/>
        <v>0</v>
      </c>
      <c r="X32" s="469">
        <f t="shared" si="8"/>
        <v>0</v>
      </c>
      <c r="Y32" s="469">
        <f t="shared" si="17"/>
        <v>0</v>
      </c>
      <c r="Z32" s="469">
        <f t="shared" si="9"/>
        <v>0</v>
      </c>
      <c r="AA32" s="469">
        <f t="shared" si="10"/>
        <v>0</v>
      </c>
      <c r="AB32" s="469">
        <f t="shared" si="11"/>
        <v>0</v>
      </c>
      <c r="AC32" s="469">
        <f t="shared" si="12"/>
        <v>0</v>
      </c>
    </row>
    <row r="33" spans="1:29" ht="14.1" thickBot="1">
      <c r="A33" s="766"/>
      <c r="B33" s="767"/>
      <c r="C33" s="146" t="s">
        <v>40</v>
      </c>
      <c r="D33" s="484">
        <v>0</v>
      </c>
      <c r="E33" s="484">
        <v>0</v>
      </c>
      <c r="F33" s="484">
        <v>0</v>
      </c>
      <c r="G33" s="484">
        <v>0</v>
      </c>
      <c r="H33" s="484">
        <v>0</v>
      </c>
      <c r="I33" s="484">
        <v>0</v>
      </c>
      <c r="J33" s="484">
        <v>0</v>
      </c>
      <c r="K33" s="484">
        <v>0</v>
      </c>
      <c r="L33" s="484">
        <v>0</v>
      </c>
      <c r="M33" s="484">
        <v>0</v>
      </c>
      <c r="N33" s="484">
        <v>0</v>
      </c>
      <c r="O33" s="484">
        <v>0</v>
      </c>
      <c r="P33" s="485">
        <f t="shared" si="16"/>
        <v>0</v>
      </c>
      <c r="R33" s="469">
        <f>0</f>
        <v>0</v>
      </c>
      <c r="S33" s="470">
        <f t="shared" si="4"/>
        <v>0</v>
      </c>
      <c r="T33" s="469">
        <f t="shared" si="13"/>
        <v>0</v>
      </c>
      <c r="U33" s="469">
        <f t="shared" si="5"/>
        <v>0</v>
      </c>
      <c r="V33" s="469">
        <f t="shared" si="6"/>
        <v>0</v>
      </c>
      <c r="W33" s="469">
        <f t="shared" si="7"/>
        <v>0</v>
      </c>
      <c r="X33" s="469">
        <f t="shared" si="8"/>
        <v>0</v>
      </c>
      <c r="Y33" s="469">
        <f t="shared" si="17"/>
        <v>0</v>
      </c>
      <c r="Z33" s="469">
        <f t="shared" si="9"/>
        <v>0</v>
      </c>
      <c r="AA33" s="469">
        <f t="shared" si="10"/>
        <v>0</v>
      </c>
      <c r="AB33" s="469">
        <f>SUM($D33:$M33)/10</f>
        <v>0</v>
      </c>
      <c r="AC33" s="469">
        <f t="shared" si="12"/>
        <v>0</v>
      </c>
    </row>
  </sheetData>
  <mergeCells count="6">
    <mergeCell ref="A30:B33"/>
    <mergeCell ref="A2:C2"/>
    <mergeCell ref="A3:C3"/>
    <mergeCell ref="B4:C4"/>
    <mergeCell ref="B11:C11"/>
    <mergeCell ref="B16:C16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N25"/>
  <sheetViews>
    <sheetView zoomScale="85" zoomScaleNormal="85" workbookViewId="0">
      <selection activeCell="I36" sqref="I36"/>
    </sheetView>
  </sheetViews>
  <sheetFormatPr defaultColWidth="9" defaultRowHeight="17.100000000000001"/>
  <cols>
    <col min="1" max="1" width="14.5" style="486" customWidth="1"/>
    <col min="2" max="13" width="16.25" style="486" bestFit="1" customWidth="1"/>
    <col min="14" max="14" width="16.125" style="486" bestFit="1" customWidth="1"/>
    <col min="15" max="16384" width="9" style="486"/>
  </cols>
  <sheetData>
    <row r="1" spans="1:14">
      <c r="A1" s="342" t="s">
        <v>289</v>
      </c>
    </row>
    <row r="2" spans="1:14" ht="17.45" thickBot="1">
      <c r="B2" s="486">
        <v>1</v>
      </c>
      <c r="C2" s="486">
        <v>2</v>
      </c>
      <c r="D2" s="486">
        <v>3</v>
      </c>
      <c r="E2" s="486">
        <v>4</v>
      </c>
      <c r="F2" s="486">
        <v>5</v>
      </c>
      <c r="G2" s="486">
        <v>6</v>
      </c>
      <c r="H2" s="486">
        <v>7</v>
      </c>
      <c r="I2" s="486">
        <v>8</v>
      </c>
      <c r="J2" s="486">
        <v>9</v>
      </c>
      <c r="K2" s="486">
        <v>10</v>
      </c>
      <c r="L2" s="486">
        <v>11</v>
      </c>
      <c r="M2" s="486">
        <v>12</v>
      </c>
    </row>
    <row r="3" spans="1:14">
      <c r="A3" s="487"/>
      <c r="B3" s="488" t="s">
        <v>252</v>
      </c>
      <c r="C3" s="488" t="s">
        <v>253</v>
      </c>
      <c r="D3" s="488" t="s">
        <v>254</v>
      </c>
      <c r="E3" s="488" t="s">
        <v>255</v>
      </c>
      <c r="F3" s="488" t="s">
        <v>256</v>
      </c>
      <c r="G3" s="488" t="s">
        <v>257</v>
      </c>
      <c r="H3" s="488" t="s">
        <v>258</v>
      </c>
      <c r="I3" s="488" t="s">
        <v>259</v>
      </c>
      <c r="J3" s="488" t="s">
        <v>260</v>
      </c>
      <c r="K3" s="488" t="s">
        <v>261</v>
      </c>
      <c r="L3" s="488" t="s">
        <v>262</v>
      </c>
      <c r="M3" s="489" t="s">
        <v>263</v>
      </c>
      <c r="N3" s="490" t="s">
        <v>264</v>
      </c>
    </row>
    <row r="4" spans="1:14">
      <c r="A4" s="491" t="s">
        <v>290</v>
      </c>
      <c r="B4" s="492">
        <v>303988019.83466703</v>
      </c>
      <c r="C4" s="492">
        <v>292571662.06505227</v>
      </c>
      <c r="D4" s="492">
        <v>299836592.03589845</v>
      </c>
      <c r="E4" s="492">
        <v>308133591.28926748</v>
      </c>
      <c r="F4" s="492">
        <v>299290587.85438049</v>
      </c>
      <c r="G4" s="492">
        <v>287405735.69609785</v>
      </c>
      <c r="H4" s="492">
        <v>285479879.76107579</v>
      </c>
      <c r="I4" s="492">
        <v>285164994.56816512</v>
      </c>
      <c r="J4" s="492">
        <v>279023138.18586349</v>
      </c>
      <c r="K4" s="492">
        <v>277336085.43991649</v>
      </c>
      <c r="L4" s="492">
        <v>290769172.89859027</v>
      </c>
      <c r="M4" s="493">
        <v>303733765.26118702</v>
      </c>
      <c r="N4" s="494">
        <f>SUM(B4:M4)/12</f>
        <v>292727768.74084681</v>
      </c>
    </row>
    <row r="5" spans="1:14">
      <c r="A5" s="495" t="s">
        <v>291</v>
      </c>
      <c r="B5" s="492">
        <v>149376755.01769805</v>
      </c>
      <c r="C5" s="492">
        <v>140720175.35889325</v>
      </c>
      <c r="D5" s="492">
        <v>142224978.871005</v>
      </c>
      <c r="E5" s="492">
        <v>144867716.15847316</v>
      </c>
      <c r="F5" s="492">
        <v>143115559.51118889</v>
      </c>
      <c r="G5" s="492">
        <v>137319491.12602055</v>
      </c>
      <c r="H5" s="492">
        <v>131005665.32419792</v>
      </c>
      <c r="I5" s="492">
        <v>128252991.77244546</v>
      </c>
      <c r="J5" s="492">
        <v>125254196.32898298</v>
      </c>
      <c r="K5" s="492">
        <v>124637003.0106971</v>
      </c>
      <c r="L5" s="492">
        <v>133732197.19234583</v>
      </c>
      <c r="M5" s="493">
        <v>144870418.56809992</v>
      </c>
      <c r="N5" s="494">
        <f>SUM(B5:M5)/12</f>
        <v>137114762.35333738</v>
      </c>
    </row>
    <row r="6" spans="1:14">
      <c r="A6" s="495" t="s">
        <v>292</v>
      </c>
      <c r="B6" s="492">
        <v>121856590.36471102</v>
      </c>
      <c r="C6" s="492">
        <v>118376799.7803866</v>
      </c>
      <c r="D6" s="492">
        <v>123792257.35752347</v>
      </c>
      <c r="E6" s="492">
        <v>129418430.54857443</v>
      </c>
      <c r="F6" s="492">
        <v>122105556.32739665</v>
      </c>
      <c r="G6" s="492">
        <v>116466615.07618093</v>
      </c>
      <c r="H6" s="492">
        <v>121017873.49269268</v>
      </c>
      <c r="I6" s="492">
        <v>122152804.595476</v>
      </c>
      <c r="J6" s="492">
        <v>118222863.26402411</v>
      </c>
      <c r="K6" s="492">
        <v>117383909.91064629</v>
      </c>
      <c r="L6" s="492">
        <v>122185278.22609206</v>
      </c>
      <c r="M6" s="493">
        <v>125381859.12117574</v>
      </c>
      <c r="N6" s="494">
        <f>SUM(B6:M6)/12</f>
        <v>121530069.83873999</v>
      </c>
    </row>
    <row r="7" spans="1:14" ht="17.45" thickBot="1">
      <c r="A7" s="496" t="s">
        <v>293</v>
      </c>
      <c r="B7" s="497">
        <v>32754674.452257909</v>
      </c>
      <c r="C7" s="497">
        <v>33474686.925772414</v>
      </c>
      <c r="D7" s="497">
        <v>33819355.807369992</v>
      </c>
      <c r="E7" s="497">
        <v>33847444.582219884</v>
      </c>
      <c r="F7" s="497">
        <v>34069472.015794963</v>
      </c>
      <c r="G7" s="497">
        <v>33619629.49389638</v>
      </c>
      <c r="H7" s="497">
        <v>33456340.944185212</v>
      </c>
      <c r="I7" s="497">
        <v>34759198.200243637</v>
      </c>
      <c r="J7" s="497">
        <v>35546078.592856385</v>
      </c>
      <c r="K7" s="497">
        <v>35315172.518573135</v>
      </c>
      <c r="L7" s="497">
        <v>34851697.480152383</v>
      </c>
      <c r="M7" s="498">
        <v>33481487.571911387</v>
      </c>
      <c r="N7" s="499">
        <f>SUM(B7:M7)/12</f>
        <v>34082936.548769467</v>
      </c>
    </row>
    <row r="8" spans="1:14">
      <c r="B8" s="543"/>
      <c r="C8" s="543"/>
      <c r="D8" s="543"/>
      <c r="E8" s="543"/>
      <c r="F8" s="543"/>
      <c r="G8" s="543"/>
      <c r="H8" s="543"/>
      <c r="I8" s="543"/>
      <c r="J8" s="543"/>
      <c r="K8" s="543"/>
      <c r="L8" s="543"/>
      <c r="M8" s="543"/>
      <c r="N8" s="553"/>
    </row>
    <row r="9" spans="1:14">
      <c r="E9" s="542"/>
      <c r="F9" s="542"/>
      <c r="G9" s="542"/>
      <c r="H9" s="542"/>
      <c r="I9" s="542"/>
      <c r="J9" s="542"/>
      <c r="K9" s="542"/>
      <c r="L9" s="542"/>
      <c r="M9" s="542"/>
    </row>
    <row r="10" spans="1:14">
      <c r="E10" s="542"/>
      <c r="F10" s="542"/>
      <c r="G10" s="542"/>
      <c r="H10" s="542"/>
      <c r="I10" s="542"/>
      <c r="J10" s="542"/>
      <c r="K10" s="542"/>
      <c r="L10" s="542"/>
      <c r="M10" s="542"/>
    </row>
    <row r="11" spans="1:14">
      <c r="B11" s="552"/>
      <c r="C11" s="552"/>
      <c r="D11" s="552"/>
      <c r="E11" s="552"/>
      <c r="F11" s="552"/>
      <c r="G11" s="552"/>
      <c r="H11" s="552"/>
      <c r="I11" s="552"/>
      <c r="J11" s="552"/>
      <c r="K11" s="552"/>
      <c r="L11" s="552"/>
      <c r="M11" s="552"/>
      <c r="N11" s="552"/>
    </row>
    <row r="12" spans="1:14">
      <c r="B12" s="552"/>
      <c r="C12" s="552"/>
      <c r="D12" s="552"/>
      <c r="E12" s="552"/>
      <c r="F12" s="552"/>
      <c r="G12" s="552"/>
      <c r="H12" s="552"/>
      <c r="I12" s="552"/>
      <c r="J12" s="552"/>
      <c r="K12" s="552"/>
      <c r="L12" s="552"/>
      <c r="M12" s="552"/>
      <c r="N12" s="552"/>
    </row>
    <row r="13" spans="1:14">
      <c r="B13" s="552"/>
      <c r="C13" s="552"/>
      <c r="D13" s="552"/>
      <c r="E13" s="552"/>
      <c r="F13" s="552"/>
      <c r="G13" s="552"/>
      <c r="H13" s="552"/>
      <c r="I13" s="552"/>
      <c r="J13" s="552"/>
      <c r="K13" s="552"/>
      <c r="L13" s="552"/>
      <c r="M13" s="552"/>
      <c r="N13" s="552"/>
    </row>
    <row r="14" spans="1:14">
      <c r="B14" s="543"/>
      <c r="C14" s="543"/>
      <c r="D14" s="543"/>
      <c r="E14" s="543"/>
      <c r="F14" s="543"/>
      <c r="G14" s="543"/>
      <c r="H14" s="543"/>
      <c r="I14" s="543"/>
      <c r="J14" s="543"/>
      <c r="K14" s="543"/>
      <c r="L14" s="543"/>
      <c r="M14" s="543"/>
    </row>
    <row r="15" spans="1:14">
      <c r="B15" s="543"/>
      <c r="C15" s="543"/>
      <c r="D15" s="543"/>
      <c r="E15" s="543"/>
      <c r="F15" s="543"/>
      <c r="G15" s="543"/>
      <c r="H15" s="543"/>
      <c r="I15" s="543"/>
      <c r="J15" s="543"/>
      <c r="K15" s="543"/>
      <c r="L15" s="543"/>
      <c r="M15" s="543"/>
    </row>
    <row r="16" spans="1:14">
      <c r="B16" s="543"/>
      <c r="C16" s="543"/>
      <c r="D16" s="543"/>
      <c r="E16" s="543"/>
      <c r="F16" s="543"/>
      <c r="G16" s="543"/>
      <c r="H16" s="543"/>
      <c r="I16" s="543"/>
      <c r="J16" s="543"/>
      <c r="K16" s="543"/>
      <c r="L16" s="543"/>
      <c r="M16" s="543"/>
      <c r="N16" s="543"/>
    </row>
    <row r="17" spans="2:14">
      <c r="B17" s="543"/>
      <c r="C17" s="543"/>
      <c r="D17" s="543"/>
      <c r="E17" s="543"/>
      <c r="F17" s="543"/>
      <c r="G17" s="543"/>
      <c r="H17" s="543"/>
      <c r="I17" s="543"/>
      <c r="J17" s="543"/>
      <c r="K17" s="543"/>
      <c r="L17" s="543"/>
      <c r="M17" s="543"/>
      <c r="N17" s="543"/>
    </row>
    <row r="18" spans="2:14">
      <c r="B18" s="543"/>
      <c r="C18" s="543"/>
      <c r="D18" s="543"/>
      <c r="E18" s="543"/>
      <c r="F18" s="543"/>
      <c r="G18" s="543"/>
      <c r="H18" s="543"/>
      <c r="I18" s="543"/>
      <c r="J18" s="543"/>
      <c r="K18" s="543"/>
      <c r="L18" s="543"/>
      <c r="M18" s="543"/>
      <c r="N18" s="543"/>
    </row>
    <row r="22" spans="2:14">
      <c r="B22" s="543"/>
      <c r="C22" s="543"/>
      <c r="D22" s="543"/>
      <c r="E22" s="543"/>
      <c r="F22" s="543"/>
      <c r="G22" s="543"/>
      <c r="H22" s="543"/>
      <c r="I22" s="543"/>
      <c r="J22" s="543"/>
      <c r="K22" s="543"/>
      <c r="L22" s="543"/>
      <c r="M22" s="543"/>
      <c r="N22" s="543"/>
    </row>
    <row r="23" spans="2:14">
      <c r="B23" s="543"/>
      <c r="C23" s="543"/>
      <c r="D23" s="543"/>
      <c r="E23" s="543"/>
      <c r="F23" s="543"/>
      <c r="G23" s="543"/>
      <c r="H23" s="543"/>
      <c r="I23" s="543"/>
      <c r="J23" s="543"/>
      <c r="K23" s="543"/>
      <c r="L23" s="543"/>
      <c r="M23" s="543"/>
      <c r="N23" s="543"/>
    </row>
    <row r="24" spans="2:14">
      <c r="B24" s="543"/>
      <c r="C24" s="543"/>
      <c r="D24" s="543"/>
      <c r="E24" s="543"/>
      <c r="F24" s="543"/>
      <c r="G24" s="543"/>
      <c r="H24" s="543"/>
      <c r="I24" s="543"/>
      <c r="J24" s="543"/>
      <c r="K24" s="543"/>
      <c r="L24" s="543"/>
      <c r="M24" s="543"/>
      <c r="N24" s="543"/>
    </row>
    <row r="25" spans="2:14">
      <c r="B25" s="543"/>
      <c r="C25" s="543"/>
      <c r="D25" s="543"/>
      <c r="E25" s="543"/>
      <c r="F25" s="543"/>
      <c r="G25" s="543"/>
      <c r="H25" s="543"/>
      <c r="I25" s="543"/>
      <c r="J25" s="543"/>
      <c r="K25" s="543"/>
      <c r="L25" s="543"/>
      <c r="M25" s="543"/>
      <c r="N25" s="543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6"/>
  <sheetViews>
    <sheetView workbookViewId="0">
      <selection activeCell="E7" sqref="E7"/>
    </sheetView>
  </sheetViews>
  <sheetFormatPr defaultRowHeight="17.100000000000001"/>
  <cols>
    <col min="3" max="11" width="9.5" bestFit="1" customWidth="1"/>
    <col min="12" max="33" width="10.5" bestFit="1" customWidth="1"/>
  </cols>
  <sheetData>
    <row r="1" spans="1:34">
      <c r="A1" s="503" t="s">
        <v>294</v>
      </c>
      <c r="B1" s="503" t="s">
        <v>295</v>
      </c>
      <c r="C1" s="503" t="s">
        <v>296</v>
      </c>
      <c r="D1" s="503" t="s">
        <v>297</v>
      </c>
      <c r="E1" s="503" t="s">
        <v>298</v>
      </c>
      <c r="F1" s="503" t="s">
        <v>299</v>
      </c>
      <c r="G1" s="503" t="s">
        <v>300</v>
      </c>
      <c r="H1" s="503" t="s">
        <v>301</v>
      </c>
      <c r="I1" s="503" t="s">
        <v>302</v>
      </c>
      <c r="J1" s="503" t="s">
        <v>303</v>
      </c>
      <c r="K1" s="503" t="s">
        <v>304</v>
      </c>
      <c r="L1" s="503" t="s">
        <v>305</v>
      </c>
      <c r="M1" s="503" t="s">
        <v>306</v>
      </c>
      <c r="N1" s="503" t="s">
        <v>307</v>
      </c>
      <c r="O1" s="503" t="s">
        <v>308</v>
      </c>
      <c r="P1" s="503" t="s">
        <v>309</v>
      </c>
      <c r="Q1" s="503" t="s">
        <v>310</v>
      </c>
      <c r="R1" s="503" t="s">
        <v>311</v>
      </c>
      <c r="S1" s="503" t="s">
        <v>312</v>
      </c>
      <c r="T1" s="503" t="s">
        <v>313</v>
      </c>
      <c r="U1" s="503" t="s">
        <v>314</v>
      </c>
      <c r="V1" s="503" t="s">
        <v>315</v>
      </c>
      <c r="W1" s="503" t="s">
        <v>316</v>
      </c>
      <c r="X1" s="503" t="s">
        <v>317</v>
      </c>
      <c r="Y1" s="503" t="s">
        <v>318</v>
      </c>
      <c r="Z1" s="503" t="s">
        <v>319</v>
      </c>
      <c r="AA1" s="503" t="s">
        <v>320</v>
      </c>
      <c r="AB1" s="503" t="s">
        <v>321</v>
      </c>
      <c r="AC1" s="503" t="s">
        <v>322</v>
      </c>
      <c r="AD1" s="503" t="s">
        <v>323</v>
      </c>
      <c r="AE1" s="503" t="s">
        <v>324</v>
      </c>
      <c r="AF1" s="503" t="s">
        <v>325</v>
      </c>
      <c r="AG1" s="503" t="s">
        <v>326</v>
      </c>
      <c r="AH1" t="s">
        <v>327</v>
      </c>
    </row>
    <row r="2" spans="1:34">
      <c r="A2" s="503" t="s">
        <v>328</v>
      </c>
      <c r="B2" s="503" t="s">
        <v>236</v>
      </c>
      <c r="C2" s="526" t="s">
        <v>329</v>
      </c>
      <c r="D2" s="526" t="s">
        <v>330</v>
      </c>
      <c r="E2" s="526" t="s">
        <v>331</v>
      </c>
      <c r="F2" s="526" t="s">
        <v>332</v>
      </c>
      <c r="G2" s="526" t="s">
        <v>333</v>
      </c>
      <c r="H2" s="526" t="s">
        <v>334</v>
      </c>
      <c r="I2" s="526" t="s">
        <v>335</v>
      </c>
      <c r="J2" s="526" t="s">
        <v>336</v>
      </c>
      <c r="K2" s="526" t="s">
        <v>337</v>
      </c>
      <c r="L2" s="526" t="s">
        <v>338</v>
      </c>
      <c r="M2" s="526" t="s">
        <v>339</v>
      </c>
      <c r="N2" s="526" t="s">
        <v>340</v>
      </c>
      <c r="O2" s="526" t="s">
        <v>341</v>
      </c>
      <c r="P2" s="526" t="s">
        <v>342</v>
      </c>
      <c r="Q2" s="526" t="s">
        <v>343</v>
      </c>
      <c r="R2" s="526" t="s">
        <v>344</v>
      </c>
      <c r="S2" s="526" t="s">
        <v>345</v>
      </c>
      <c r="T2" s="526" t="s">
        <v>346</v>
      </c>
      <c r="U2" s="526" t="s">
        <v>347</v>
      </c>
      <c r="V2" s="526" t="s">
        <v>348</v>
      </c>
      <c r="W2" s="526" t="s">
        <v>349</v>
      </c>
      <c r="X2" s="526" t="s">
        <v>350</v>
      </c>
      <c r="Y2" s="526" t="s">
        <v>351</v>
      </c>
      <c r="Z2" s="526" t="s">
        <v>352</v>
      </c>
      <c r="AA2" s="526" t="s">
        <v>353</v>
      </c>
      <c r="AB2" s="526" t="s">
        <v>354</v>
      </c>
      <c r="AC2" s="526" t="s">
        <v>355</v>
      </c>
      <c r="AD2" s="526" t="s">
        <v>356</v>
      </c>
      <c r="AE2" s="526" t="s">
        <v>357</v>
      </c>
      <c r="AF2" s="526" t="s">
        <v>358</v>
      </c>
      <c r="AG2" s="526" t="s">
        <v>359</v>
      </c>
      <c r="AH2" s="502">
        <v>45628.229173113403</v>
      </c>
    </row>
    <row r="3" spans="1:34">
      <c r="A3" s="503" t="s">
        <v>328</v>
      </c>
      <c r="B3" s="503" t="s">
        <v>360</v>
      </c>
      <c r="C3" s="503" t="s">
        <v>106</v>
      </c>
      <c r="D3" s="503" t="s">
        <v>107</v>
      </c>
      <c r="E3" s="503" t="s">
        <v>108</v>
      </c>
      <c r="F3" s="503" t="s">
        <v>109</v>
      </c>
      <c r="G3" s="503" t="s">
        <v>110</v>
      </c>
      <c r="H3" s="503" t="s">
        <v>111</v>
      </c>
      <c r="I3" s="503" t="s">
        <v>112</v>
      </c>
      <c r="J3" s="503" t="s">
        <v>106</v>
      </c>
      <c r="K3" s="503" t="s">
        <v>107</v>
      </c>
      <c r="L3" s="503" t="s">
        <v>108</v>
      </c>
      <c r="M3" s="503" t="s">
        <v>109</v>
      </c>
      <c r="N3" s="503" t="s">
        <v>110</v>
      </c>
      <c r="O3" s="503" t="s">
        <v>111</v>
      </c>
      <c r="P3" s="503" t="s">
        <v>112</v>
      </c>
      <c r="Q3" s="503" t="s">
        <v>106</v>
      </c>
      <c r="R3" s="503" t="s">
        <v>107</v>
      </c>
      <c r="S3" s="503" t="s">
        <v>108</v>
      </c>
      <c r="T3" s="503" t="s">
        <v>109</v>
      </c>
      <c r="U3" s="503" t="s">
        <v>110</v>
      </c>
      <c r="V3" s="503" t="s">
        <v>111</v>
      </c>
      <c r="W3" s="503" t="s">
        <v>112</v>
      </c>
      <c r="X3" s="503" t="s">
        <v>106</v>
      </c>
      <c r="Y3" s="503" t="s">
        <v>107</v>
      </c>
      <c r="Z3" s="503" t="s">
        <v>108</v>
      </c>
      <c r="AA3" s="503" t="s">
        <v>109</v>
      </c>
      <c r="AB3" s="503" t="s">
        <v>110</v>
      </c>
      <c r="AC3" s="503" t="s">
        <v>111</v>
      </c>
      <c r="AD3" s="503" t="s">
        <v>112</v>
      </c>
      <c r="AE3" s="503" t="s">
        <v>106</v>
      </c>
      <c r="AF3" s="503" t="s">
        <v>107</v>
      </c>
      <c r="AG3" s="503" t="s">
        <v>108</v>
      </c>
      <c r="AH3" s="502">
        <v>45628.229173113403</v>
      </c>
    </row>
    <row r="5" spans="1:34">
      <c r="C5" s="551"/>
    </row>
    <row r="6" spans="1:34">
      <c r="C6" s="551"/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K28"/>
  <sheetViews>
    <sheetView workbookViewId="0">
      <selection activeCell="J13" sqref="J13"/>
    </sheetView>
  </sheetViews>
  <sheetFormatPr defaultRowHeight="17.100000000000001"/>
  <cols>
    <col min="3" max="3" width="10.5" bestFit="1" customWidth="1"/>
    <col min="4" max="4" width="9.5" customWidth="1"/>
    <col min="5" max="7" width="10.5" bestFit="1" customWidth="1"/>
    <col min="27" max="27" width="11.5" customWidth="1"/>
    <col min="28" max="28" width="13.25" customWidth="1"/>
    <col min="35" max="36" width="10.5" bestFit="1" customWidth="1"/>
  </cols>
  <sheetData>
    <row r="1" spans="1:37">
      <c r="A1" s="1" t="s">
        <v>294</v>
      </c>
      <c r="B1" s="1" t="s">
        <v>361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304</v>
      </c>
      <c r="L1" s="1" t="s">
        <v>305</v>
      </c>
      <c r="M1" s="1" t="s">
        <v>306</v>
      </c>
      <c r="N1" s="1" t="s">
        <v>307</v>
      </c>
      <c r="O1" s="1" t="s">
        <v>308</v>
      </c>
      <c r="P1" s="1" t="s">
        <v>309</v>
      </c>
      <c r="Q1" s="1" t="s">
        <v>310</v>
      </c>
      <c r="R1" s="1" t="s">
        <v>311</v>
      </c>
      <c r="S1" s="1" t="s">
        <v>312</v>
      </c>
      <c r="T1" s="1" t="s">
        <v>313</v>
      </c>
      <c r="U1" s="1" t="s">
        <v>314</v>
      </c>
      <c r="V1" s="1" t="s">
        <v>315</v>
      </c>
      <c r="W1" s="1" t="s">
        <v>316</v>
      </c>
      <c r="X1" s="1" t="s">
        <v>317</v>
      </c>
      <c r="Y1" s="1" t="s">
        <v>318</v>
      </c>
      <c r="Z1" s="1" t="s">
        <v>319</v>
      </c>
      <c r="AA1" s="1" t="s">
        <v>320</v>
      </c>
      <c r="AB1" s="1" t="s">
        <v>321</v>
      </c>
      <c r="AC1" s="1" t="s">
        <v>322</v>
      </c>
      <c r="AD1" s="1" t="s">
        <v>323</v>
      </c>
      <c r="AE1" s="1" t="s">
        <v>324</v>
      </c>
      <c r="AF1" s="1" t="s">
        <v>325</v>
      </c>
      <c r="AG1" s="1" t="s">
        <v>326</v>
      </c>
      <c r="AH1" s="1" t="s">
        <v>362</v>
      </c>
      <c r="AI1" s="1" t="s">
        <v>363</v>
      </c>
    </row>
    <row r="2" spans="1:37">
      <c r="A2" s="1" t="s">
        <v>328</v>
      </c>
      <c r="B2" s="1" t="s">
        <v>364</v>
      </c>
      <c r="C2" s="1" t="s">
        <v>365</v>
      </c>
      <c r="D2" s="1" t="s">
        <v>366</v>
      </c>
      <c r="E2" s="1" t="s">
        <v>367</v>
      </c>
      <c r="F2" s="1" t="s">
        <v>368</v>
      </c>
      <c r="G2" s="1" t="s">
        <v>369</v>
      </c>
      <c r="H2" s="1" t="s">
        <v>370</v>
      </c>
      <c r="I2" s="1" t="s">
        <v>371</v>
      </c>
      <c r="J2" s="1" t="s">
        <v>372</v>
      </c>
      <c r="K2" s="1" t="s">
        <v>373</v>
      </c>
      <c r="L2" s="1" t="s">
        <v>374</v>
      </c>
      <c r="M2" s="1" t="s">
        <v>375</v>
      </c>
      <c r="N2" s="1" t="s">
        <v>376</v>
      </c>
      <c r="O2" s="1" t="s">
        <v>377</v>
      </c>
      <c r="P2" s="1" t="s">
        <v>378</v>
      </c>
      <c r="Q2" s="1" t="s">
        <v>379</v>
      </c>
      <c r="R2" s="1" t="s">
        <v>380</v>
      </c>
      <c r="S2" s="1" t="s">
        <v>381</v>
      </c>
      <c r="T2" s="1" t="s">
        <v>382</v>
      </c>
      <c r="U2" s="1" t="s">
        <v>383</v>
      </c>
      <c r="V2" s="1" t="s">
        <v>384</v>
      </c>
      <c r="W2" s="1" t="s">
        <v>385</v>
      </c>
      <c r="X2" s="1" t="s">
        <v>386</v>
      </c>
      <c r="Y2" s="1" t="s">
        <v>387</v>
      </c>
      <c r="Z2" s="1" t="s">
        <v>388</v>
      </c>
      <c r="AA2" s="306" t="s">
        <v>389</v>
      </c>
      <c r="AB2" s="1" t="s">
        <v>390</v>
      </c>
      <c r="AC2" s="1" t="s">
        <v>391</v>
      </c>
      <c r="AD2" s="1" t="s">
        <v>392</v>
      </c>
      <c r="AE2" s="1" t="s">
        <v>393</v>
      </c>
      <c r="AF2" s="1" t="s">
        <v>394</v>
      </c>
      <c r="AG2" s="1" t="s">
        <v>395</v>
      </c>
      <c r="AH2" s="1" t="s">
        <v>396</v>
      </c>
      <c r="AI2" s="1" t="s">
        <v>397</v>
      </c>
      <c r="AJ2">
        <v>214520184</v>
      </c>
      <c r="AK2" s="502">
        <v>43056.229202361101</v>
      </c>
    </row>
    <row r="3" spans="1:37">
      <c r="A3" s="1" t="s">
        <v>328</v>
      </c>
      <c r="B3" s="1" t="s">
        <v>398</v>
      </c>
      <c r="C3" s="1" t="s">
        <v>399</v>
      </c>
      <c r="D3" s="1" t="s">
        <v>400</v>
      </c>
      <c r="E3" s="1" t="s">
        <v>401</v>
      </c>
      <c r="F3" s="1" t="s">
        <v>402</v>
      </c>
      <c r="G3" s="1" t="s">
        <v>403</v>
      </c>
      <c r="H3" s="1" t="s">
        <v>404</v>
      </c>
      <c r="I3" s="1" t="s">
        <v>405</v>
      </c>
      <c r="J3" s="1" t="s">
        <v>406</v>
      </c>
      <c r="K3" s="1" t="s">
        <v>407</v>
      </c>
      <c r="L3" s="1" t="s">
        <v>408</v>
      </c>
      <c r="M3" s="1" t="s">
        <v>409</v>
      </c>
      <c r="N3" s="1" t="s">
        <v>410</v>
      </c>
      <c r="O3" s="1" t="s">
        <v>411</v>
      </c>
      <c r="P3" s="1" t="s">
        <v>411</v>
      </c>
      <c r="Q3" s="1" t="s">
        <v>412</v>
      </c>
      <c r="R3" s="1" t="s">
        <v>413</v>
      </c>
      <c r="S3" s="1" t="s">
        <v>414</v>
      </c>
      <c r="T3" s="1" t="s">
        <v>415</v>
      </c>
      <c r="U3" s="1" t="s">
        <v>416</v>
      </c>
      <c r="V3" s="1" t="s">
        <v>417</v>
      </c>
      <c r="W3" s="1" t="s">
        <v>418</v>
      </c>
      <c r="X3" s="1" t="s">
        <v>418</v>
      </c>
      <c r="Y3" s="1" t="s">
        <v>419</v>
      </c>
      <c r="Z3" s="1" t="s">
        <v>420</v>
      </c>
      <c r="AA3" s="1" t="s">
        <v>421</v>
      </c>
      <c r="AB3" s="1" t="s">
        <v>422</v>
      </c>
      <c r="AC3" s="1" t="s">
        <v>423</v>
      </c>
      <c r="AD3" s="1" t="s">
        <v>424</v>
      </c>
      <c r="AE3" s="1" t="s">
        <v>424</v>
      </c>
      <c r="AF3" s="1" t="s">
        <v>425</v>
      </c>
      <c r="AG3" s="1" t="s">
        <v>426</v>
      </c>
      <c r="AH3" s="1" t="s">
        <v>427</v>
      </c>
      <c r="AI3" s="1" t="s">
        <v>428</v>
      </c>
      <c r="AJ3">
        <v>129394202</v>
      </c>
      <c r="AK3" s="502">
        <v>43056.229202361101</v>
      </c>
    </row>
    <row r="4" spans="1:37">
      <c r="A4" s="1" t="s">
        <v>328</v>
      </c>
      <c r="B4" s="1" t="s">
        <v>429</v>
      </c>
      <c r="C4" s="1" t="s">
        <v>430</v>
      </c>
      <c r="D4" s="1" t="s">
        <v>431</v>
      </c>
      <c r="E4" s="1" t="s">
        <v>432</v>
      </c>
      <c r="F4" s="1" t="s">
        <v>433</v>
      </c>
      <c r="G4" s="1" t="s">
        <v>434</v>
      </c>
      <c r="H4" s="1" t="s">
        <v>435</v>
      </c>
      <c r="I4" s="1" t="s">
        <v>436</v>
      </c>
      <c r="J4" s="1" t="s">
        <v>436</v>
      </c>
      <c r="K4" s="1" t="s">
        <v>437</v>
      </c>
      <c r="L4" s="1" t="s">
        <v>438</v>
      </c>
      <c r="M4" s="1" t="s">
        <v>439</v>
      </c>
      <c r="N4" s="1" t="s">
        <v>440</v>
      </c>
      <c r="O4" s="1" t="s">
        <v>441</v>
      </c>
      <c r="P4" s="1" t="s">
        <v>441</v>
      </c>
      <c r="Q4" s="1" t="s">
        <v>441</v>
      </c>
      <c r="R4" s="1" t="s">
        <v>442</v>
      </c>
      <c r="S4" s="1" t="s">
        <v>443</v>
      </c>
      <c r="T4" s="1" t="s">
        <v>444</v>
      </c>
      <c r="U4" s="1" t="s">
        <v>445</v>
      </c>
      <c r="V4" s="1" t="s">
        <v>446</v>
      </c>
      <c r="W4" s="1" t="s">
        <v>447</v>
      </c>
      <c r="X4" s="1" t="s">
        <v>447</v>
      </c>
      <c r="Y4" s="1" t="s">
        <v>448</v>
      </c>
      <c r="Z4" s="1" t="s">
        <v>449</v>
      </c>
      <c r="AA4" s="1" t="s">
        <v>450</v>
      </c>
      <c r="AB4" s="1" t="s">
        <v>451</v>
      </c>
      <c r="AC4" s="1" t="s">
        <v>452</v>
      </c>
      <c r="AD4" s="1" t="s">
        <v>453</v>
      </c>
      <c r="AE4" s="1" t="s">
        <v>453</v>
      </c>
      <c r="AF4" s="1" t="s">
        <v>454</v>
      </c>
      <c r="AG4" s="1" t="s">
        <v>455</v>
      </c>
      <c r="AH4" s="1" t="s">
        <v>456</v>
      </c>
      <c r="AI4" s="1" t="s">
        <v>457</v>
      </c>
      <c r="AJ4">
        <v>7407477</v>
      </c>
      <c r="AK4" s="502">
        <v>43056.229202361101</v>
      </c>
    </row>
    <row r="5" spans="1:37">
      <c r="A5" s="1" t="s">
        <v>328</v>
      </c>
      <c r="B5" s="1" t="s">
        <v>458</v>
      </c>
      <c r="C5" s="1" t="s">
        <v>459</v>
      </c>
      <c r="D5" s="1" t="s">
        <v>460</v>
      </c>
      <c r="E5" s="1" t="s">
        <v>461</v>
      </c>
      <c r="F5" s="1" t="s">
        <v>462</v>
      </c>
      <c r="G5" s="1" t="s">
        <v>463</v>
      </c>
      <c r="H5" s="1" t="s">
        <v>464</v>
      </c>
      <c r="I5" s="1" t="s">
        <v>465</v>
      </c>
      <c r="J5" s="1" t="s">
        <v>465</v>
      </c>
      <c r="K5" s="1" t="s">
        <v>466</v>
      </c>
      <c r="L5" s="1" t="s">
        <v>467</v>
      </c>
      <c r="M5" s="1" t="s">
        <v>468</v>
      </c>
      <c r="N5" s="1" t="s">
        <v>469</v>
      </c>
      <c r="O5" s="1" t="s">
        <v>470</v>
      </c>
      <c r="P5" s="1" t="s">
        <v>470</v>
      </c>
      <c r="Q5" s="1" t="s">
        <v>471</v>
      </c>
      <c r="R5" s="1" t="s">
        <v>472</v>
      </c>
      <c r="S5" s="1" t="s">
        <v>473</v>
      </c>
      <c r="T5" s="1" t="s">
        <v>474</v>
      </c>
      <c r="U5" s="1" t="s">
        <v>475</v>
      </c>
      <c r="V5" s="1" t="s">
        <v>476</v>
      </c>
      <c r="W5" s="1" t="s">
        <v>477</v>
      </c>
      <c r="X5" s="1" t="s">
        <v>477</v>
      </c>
      <c r="Y5" s="1" t="s">
        <v>478</v>
      </c>
      <c r="Z5" s="1" t="s">
        <v>479</v>
      </c>
      <c r="AA5" s="1" t="s">
        <v>480</v>
      </c>
      <c r="AB5" s="1" t="s">
        <v>481</v>
      </c>
      <c r="AC5" s="1" t="s">
        <v>482</v>
      </c>
      <c r="AD5" s="1" t="s">
        <v>483</v>
      </c>
      <c r="AE5" s="1" t="s">
        <v>483</v>
      </c>
      <c r="AF5" s="1" t="s">
        <v>484</v>
      </c>
      <c r="AG5" s="1" t="s">
        <v>485</v>
      </c>
      <c r="AH5" s="1" t="s">
        <v>486</v>
      </c>
      <c r="AI5" s="1" t="s">
        <v>487</v>
      </c>
      <c r="AJ5">
        <v>19279658</v>
      </c>
      <c r="AK5" s="502">
        <v>43056.229202361101</v>
      </c>
    </row>
    <row r="6" spans="1:37">
      <c r="A6" s="1" t="s">
        <v>328</v>
      </c>
      <c r="B6" s="1" t="s">
        <v>488</v>
      </c>
      <c r="C6" s="1" t="s">
        <v>489</v>
      </c>
      <c r="D6" s="1" t="s">
        <v>490</v>
      </c>
      <c r="E6" s="1" t="s">
        <v>491</v>
      </c>
      <c r="F6" s="1" t="s">
        <v>492</v>
      </c>
      <c r="G6" s="1" t="s">
        <v>493</v>
      </c>
      <c r="H6" s="1" t="s">
        <v>494</v>
      </c>
      <c r="I6" s="1" t="s">
        <v>495</v>
      </c>
      <c r="J6" s="1" t="s">
        <v>496</v>
      </c>
      <c r="K6" s="1" t="s">
        <v>497</v>
      </c>
      <c r="L6" s="1" t="s">
        <v>498</v>
      </c>
      <c r="M6" s="1" t="s">
        <v>499</v>
      </c>
      <c r="N6" s="1" t="s">
        <v>500</v>
      </c>
      <c r="O6" s="1" t="s">
        <v>501</v>
      </c>
      <c r="P6" s="1" t="s">
        <v>501</v>
      </c>
      <c r="Q6" s="1" t="s">
        <v>502</v>
      </c>
      <c r="R6" s="1" t="s">
        <v>503</v>
      </c>
      <c r="S6" s="1" t="s">
        <v>504</v>
      </c>
      <c r="T6" s="1" t="s">
        <v>505</v>
      </c>
      <c r="U6" s="1" t="s">
        <v>506</v>
      </c>
      <c r="V6" s="1" t="s">
        <v>507</v>
      </c>
      <c r="W6" s="1" t="s">
        <v>508</v>
      </c>
      <c r="X6" s="1" t="s">
        <v>509</v>
      </c>
      <c r="Y6" s="1" t="s">
        <v>510</v>
      </c>
      <c r="Z6" s="1" t="s">
        <v>511</v>
      </c>
      <c r="AA6" s="1" t="s">
        <v>512</v>
      </c>
      <c r="AB6" s="1" t="s">
        <v>513</v>
      </c>
      <c r="AC6" s="1" t="s">
        <v>514</v>
      </c>
      <c r="AD6" s="1" t="s">
        <v>515</v>
      </c>
      <c r="AE6" s="1" t="s">
        <v>516</v>
      </c>
      <c r="AF6" s="1" t="s">
        <v>517</v>
      </c>
      <c r="AG6" s="1" t="s">
        <v>518</v>
      </c>
      <c r="AH6" s="1" t="s">
        <v>519</v>
      </c>
      <c r="AI6" s="1" t="s">
        <v>520</v>
      </c>
      <c r="AJ6">
        <v>19767518</v>
      </c>
      <c r="AK6" s="502">
        <v>43056.229202361101</v>
      </c>
    </row>
    <row r="7" spans="1:37">
      <c r="A7" s="1" t="s">
        <v>328</v>
      </c>
      <c r="B7" s="1" t="s">
        <v>521</v>
      </c>
      <c r="C7" s="1" t="s">
        <v>522</v>
      </c>
      <c r="D7" s="1" t="s">
        <v>522</v>
      </c>
      <c r="E7" s="1" t="s">
        <v>522</v>
      </c>
      <c r="F7" s="1" t="s">
        <v>522</v>
      </c>
      <c r="G7" s="1" t="s">
        <v>522</v>
      </c>
      <c r="H7" s="1" t="s">
        <v>522</v>
      </c>
      <c r="I7" s="1" t="s">
        <v>522</v>
      </c>
      <c r="J7" s="1" t="s">
        <v>522</v>
      </c>
      <c r="K7" s="1" t="s">
        <v>522</v>
      </c>
      <c r="L7" s="1" t="s">
        <v>522</v>
      </c>
      <c r="M7" s="1" t="s">
        <v>522</v>
      </c>
      <c r="N7" s="1" t="s">
        <v>522</v>
      </c>
      <c r="O7" s="1" t="s">
        <v>522</v>
      </c>
      <c r="P7" s="1" t="s">
        <v>522</v>
      </c>
      <c r="Q7" s="1" t="s">
        <v>522</v>
      </c>
      <c r="R7" s="1" t="s">
        <v>522</v>
      </c>
      <c r="S7" s="1" t="s">
        <v>522</v>
      </c>
      <c r="T7" s="1" t="s">
        <v>522</v>
      </c>
      <c r="U7" s="1" t="s">
        <v>522</v>
      </c>
      <c r="V7" s="1" t="s">
        <v>522</v>
      </c>
      <c r="W7" s="1" t="s">
        <v>522</v>
      </c>
      <c r="X7" s="1" t="s">
        <v>522</v>
      </c>
      <c r="Y7" s="1" t="s">
        <v>522</v>
      </c>
      <c r="Z7" s="1" t="s">
        <v>522</v>
      </c>
      <c r="AA7" s="1" t="s">
        <v>522</v>
      </c>
      <c r="AB7" s="1" t="s">
        <v>522</v>
      </c>
      <c r="AC7" s="1" t="s">
        <v>522</v>
      </c>
      <c r="AD7" s="1" t="s">
        <v>522</v>
      </c>
      <c r="AE7" s="1" t="s">
        <v>522</v>
      </c>
      <c r="AF7" s="1" t="s">
        <v>522</v>
      </c>
      <c r="AG7" s="1" t="s">
        <v>522</v>
      </c>
      <c r="AH7" s="1" t="s">
        <v>522</v>
      </c>
      <c r="AI7" s="1" t="s">
        <v>522</v>
      </c>
      <c r="AJ7">
        <v>0</v>
      </c>
      <c r="AK7" s="502">
        <v>43056.229202361101</v>
      </c>
    </row>
    <row r="8" spans="1:37">
      <c r="A8" s="1" t="s">
        <v>328</v>
      </c>
      <c r="B8" s="1" t="s">
        <v>523</v>
      </c>
      <c r="C8" s="1" t="s">
        <v>524</v>
      </c>
      <c r="D8" s="1" t="s">
        <v>525</v>
      </c>
      <c r="E8" s="1" t="s">
        <v>526</v>
      </c>
      <c r="F8" s="1" t="s">
        <v>527</v>
      </c>
      <c r="G8" s="1" t="s">
        <v>528</v>
      </c>
      <c r="H8" s="1" t="s">
        <v>529</v>
      </c>
      <c r="I8" s="1" t="s">
        <v>530</v>
      </c>
      <c r="J8" s="1" t="s">
        <v>530</v>
      </c>
      <c r="K8" s="1" t="s">
        <v>531</v>
      </c>
      <c r="L8" s="1" t="s">
        <v>532</v>
      </c>
      <c r="M8" s="1" t="s">
        <v>533</v>
      </c>
      <c r="N8" s="1" t="s">
        <v>534</v>
      </c>
      <c r="O8" s="1" t="s">
        <v>535</v>
      </c>
      <c r="P8" s="1" t="s">
        <v>535</v>
      </c>
      <c r="Q8" s="1" t="s">
        <v>536</v>
      </c>
      <c r="R8" s="1" t="s">
        <v>537</v>
      </c>
      <c r="S8" s="1" t="s">
        <v>538</v>
      </c>
      <c r="T8" s="1" t="s">
        <v>539</v>
      </c>
      <c r="U8" s="1" t="s">
        <v>540</v>
      </c>
      <c r="V8" s="1" t="s">
        <v>541</v>
      </c>
      <c r="W8" s="1" t="s">
        <v>542</v>
      </c>
      <c r="X8" s="1" t="s">
        <v>542</v>
      </c>
      <c r="Y8" s="1" t="s">
        <v>543</v>
      </c>
      <c r="Z8" s="1" t="s">
        <v>544</v>
      </c>
      <c r="AA8" s="1" t="s">
        <v>545</v>
      </c>
      <c r="AB8" s="1" t="s">
        <v>546</v>
      </c>
      <c r="AC8" s="1" t="s">
        <v>547</v>
      </c>
      <c r="AD8" s="1" t="s">
        <v>548</v>
      </c>
      <c r="AE8" s="1" t="s">
        <v>548</v>
      </c>
      <c r="AF8" s="1" t="s">
        <v>549</v>
      </c>
      <c r="AG8" s="1" t="s">
        <v>550</v>
      </c>
      <c r="AH8" s="1" t="s">
        <v>551</v>
      </c>
      <c r="AI8" s="1" t="s">
        <v>552</v>
      </c>
      <c r="AJ8">
        <v>7768697</v>
      </c>
      <c r="AK8" s="502">
        <v>43056.229202361101</v>
      </c>
    </row>
    <row r="9" spans="1:37">
      <c r="A9" s="1" t="s">
        <v>328</v>
      </c>
      <c r="B9" s="1" t="s">
        <v>553</v>
      </c>
      <c r="C9" s="1" t="s">
        <v>522</v>
      </c>
      <c r="D9" s="1" t="s">
        <v>522</v>
      </c>
      <c r="E9" s="1" t="s">
        <v>522</v>
      </c>
      <c r="F9" s="1" t="s">
        <v>522</v>
      </c>
      <c r="G9" s="1" t="s">
        <v>522</v>
      </c>
      <c r="H9" s="1" t="s">
        <v>522</v>
      </c>
      <c r="I9" s="1" t="s">
        <v>522</v>
      </c>
      <c r="J9" s="1" t="s">
        <v>522</v>
      </c>
      <c r="K9" s="1" t="s">
        <v>522</v>
      </c>
      <c r="L9" s="1" t="s">
        <v>522</v>
      </c>
      <c r="M9" s="1" t="s">
        <v>522</v>
      </c>
      <c r="N9" s="1" t="s">
        <v>522</v>
      </c>
      <c r="O9" s="1" t="s">
        <v>522</v>
      </c>
      <c r="P9" s="1" t="s">
        <v>522</v>
      </c>
      <c r="Q9" s="1" t="s">
        <v>522</v>
      </c>
      <c r="R9" s="1" t="s">
        <v>522</v>
      </c>
      <c r="S9" s="1" t="s">
        <v>522</v>
      </c>
      <c r="T9" s="1" t="s">
        <v>522</v>
      </c>
      <c r="U9" s="1" t="s">
        <v>522</v>
      </c>
      <c r="V9" s="1" t="s">
        <v>522</v>
      </c>
      <c r="W9" s="1" t="s">
        <v>522</v>
      </c>
      <c r="X9" s="1" t="s">
        <v>522</v>
      </c>
      <c r="Y9" s="1" t="s">
        <v>522</v>
      </c>
      <c r="Z9" s="1" t="s">
        <v>522</v>
      </c>
      <c r="AA9" s="1" t="s">
        <v>522</v>
      </c>
      <c r="AB9" s="1" t="s">
        <v>522</v>
      </c>
      <c r="AC9" s="1" t="s">
        <v>522</v>
      </c>
      <c r="AD9" s="1" t="s">
        <v>522</v>
      </c>
      <c r="AE9" s="1" t="s">
        <v>522</v>
      </c>
      <c r="AF9" s="1" t="s">
        <v>522</v>
      </c>
      <c r="AG9" s="1" t="s">
        <v>522</v>
      </c>
      <c r="AH9" s="1" t="s">
        <v>522</v>
      </c>
      <c r="AI9" s="1" t="s">
        <v>522</v>
      </c>
      <c r="AJ9">
        <v>0</v>
      </c>
      <c r="AK9" s="502">
        <v>43056.229202361101</v>
      </c>
    </row>
    <row r="10" spans="1:37">
      <c r="A10" s="1" t="s">
        <v>328</v>
      </c>
      <c r="B10" s="1" t="s">
        <v>554</v>
      </c>
      <c r="C10" s="1" t="s">
        <v>555</v>
      </c>
      <c r="D10" s="1" t="s">
        <v>556</v>
      </c>
      <c r="E10" s="1" t="s">
        <v>557</v>
      </c>
      <c r="F10" s="1" t="s">
        <v>558</v>
      </c>
      <c r="G10" s="1" t="s">
        <v>559</v>
      </c>
      <c r="H10" s="1" t="s">
        <v>560</v>
      </c>
      <c r="I10" s="1" t="s">
        <v>561</v>
      </c>
      <c r="J10" s="1" t="s">
        <v>561</v>
      </c>
      <c r="K10" s="1" t="s">
        <v>562</v>
      </c>
      <c r="L10" s="1" t="s">
        <v>563</v>
      </c>
      <c r="M10" s="1" t="s">
        <v>564</v>
      </c>
      <c r="N10" s="1" t="s">
        <v>565</v>
      </c>
      <c r="O10" s="1" t="s">
        <v>566</v>
      </c>
      <c r="P10" s="1" t="s">
        <v>566</v>
      </c>
      <c r="Q10" s="1" t="s">
        <v>566</v>
      </c>
      <c r="R10" s="1" t="s">
        <v>567</v>
      </c>
      <c r="S10" s="1" t="s">
        <v>568</v>
      </c>
      <c r="T10" s="1" t="s">
        <v>569</v>
      </c>
      <c r="U10" s="1" t="s">
        <v>570</v>
      </c>
      <c r="V10" s="1" t="s">
        <v>571</v>
      </c>
      <c r="W10" s="1" t="s">
        <v>572</v>
      </c>
      <c r="X10" s="1" t="s">
        <v>572</v>
      </c>
      <c r="Y10" s="1" t="s">
        <v>573</v>
      </c>
      <c r="Z10" s="1" t="s">
        <v>574</v>
      </c>
      <c r="AA10" s="1" t="s">
        <v>575</v>
      </c>
      <c r="AB10" s="1" t="s">
        <v>576</v>
      </c>
      <c r="AC10" s="1" t="s">
        <v>577</v>
      </c>
      <c r="AD10" s="1" t="s">
        <v>578</v>
      </c>
      <c r="AE10" s="1" t="s">
        <v>578</v>
      </c>
      <c r="AF10" s="1" t="s">
        <v>579</v>
      </c>
      <c r="AG10" s="1" t="s">
        <v>580</v>
      </c>
      <c r="AH10" s="1" t="s">
        <v>581</v>
      </c>
      <c r="AI10" s="1" t="s">
        <v>582</v>
      </c>
      <c r="AJ10">
        <v>2782946</v>
      </c>
      <c r="AK10" s="502">
        <v>43056.229202361101</v>
      </c>
    </row>
    <row r="11" spans="1:37">
      <c r="A11" s="1" t="s">
        <v>328</v>
      </c>
      <c r="B11" s="1" t="s">
        <v>583</v>
      </c>
      <c r="C11" s="1" t="s">
        <v>584</v>
      </c>
      <c r="D11" s="1" t="s">
        <v>584</v>
      </c>
      <c r="E11" s="1" t="s">
        <v>584</v>
      </c>
      <c r="F11" s="1" t="s">
        <v>584</v>
      </c>
      <c r="G11" s="1" t="s">
        <v>584</v>
      </c>
      <c r="H11" s="1" t="s">
        <v>584</v>
      </c>
      <c r="I11" s="1" t="s">
        <v>584</v>
      </c>
      <c r="J11" s="1" t="s">
        <v>584</v>
      </c>
      <c r="K11" s="1" t="s">
        <v>584</v>
      </c>
      <c r="L11" s="1" t="s">
        <v>584</v>
      </c>
      <c r="M11" s="1" t="s">
        <v>585</v>
      </c>
      <c r="N11" s="1" t="s">
        <v>584</v>
      </c>
      <c r="O11" s="1" t="s">
        <v>584</v>
      </c>
      <c r="P11" s="1" t="s">
        <v>584</v>
      </c>
      <c r="Q11" s="1" t="s">
        <v>584</v>
      </c>
      <c r="R11" s="1" t="s">
        <v>584</v>
      </c>
      <c r="S11" s="1" t="s">
        <v>584</v>
      </c>
      <c r="T11" s="1" t="s">
        <v>584</v>
      </c>
      <c r="U11" s="1" t="s">
        <v>584</v>
      </c>
      <c r="V11" s="1" t="s">
        <v>584</v>
      </c>
      <c r="W11" s="1" t="s">
        <v>584</v>
      </c>
      <c r="X11" s="1" t="s">
        <v>584</v>
      </c>
      <c r="Y11" s="1" t="s">
        <v>584</v>
      </c>
      <c r="Z11" s="1" t="s">
        <v>584</v>
      </c>
      <c r="AA11" s="1" t="s">
        <v>584</v>
      </c>
      <c r="AB11" s="1" t="s">
        <v>584</v>
      </c>
      <c r="AC11" s="1" t="s">
        <v>584</v>
      </c>
      <c r="AD11" s="1" t="s">
        <v>584</v>
      </c>
      <c r="AE11" s="1" t="s">
        <v>584</v>
      </c>
      <c r="AF11" s="1" t="s">
        <v>584</v>
      </c>
      <c r="AG11" s="1" t="s">
        <v>584</v>
      </c>
      <c r="AH11" s="1" t="s">
        <v>522</v>
      </c>
      <c r="AI11" s="1" t="s">
        <v>586</v>
      </c>
      <c r="AJ11">
        <v>118299</v>
      </c>
      <c r="AK11" s="502">
        <v>43056.229202361101</v>
      </c>
    </row>
    <row r="12" spans="1:37">
      <c r="A12" s="1" t="s">
        <v>328</v>
      </c>
      <c r="B12" s="1" t="s">
        <v>587</v>
      </c>
      <c r="C12" s="1" t="s">
        <v>522</v>
      </c>
      <c r="D12" s="1" t="s">
        <v>522</v>
      </c>
      <c r="E12" s="1" t="s">
        <v>522</v>
      </c>
      <c r="F12" s="1" t="s">
        <v>522</v>
      </c>
      <c r="G12" s="1" t="s">
        <v>522</v>
      </c>
      <c r="H12" s="1" t="s">
        <v>522</v>
      </c>
      <c r="I12" s="1" t="s">
        <v>522</v>
      </c>
      <c r="J12" s="1" t="s">
        <v>522</v>
      </c>
      <c r="K12" s="1" t="s">
        <v>522</v>
      </c>
      <c r="L12" s="1" t="s">
        <v>522</v>
      </c>
      <c r="M12" s="1" t="s">
        <v>522</v>
      </c>
      <c r="N12" s="1" t="s">
        <v>522</v>
      </c>
      <c r="O12" s="1" t="s">
        <v>522</v>
      </c>
      <c r="P12" s="1" t="s">
        <v>522</v>
      </c>
      <c r="Q12" s="1" t="s">
        <v>522</v>
      </c>
      <c r="R12" s="1" t="s">
        <v>522</v>
      </c>
      <c r="S12" s="1" t="s">
        <v>522</v>
      </c>
      <c r="T12" s="1" t="s">
        <v>522</v>
      </c>
      <c r="U12" s="1" t="s">
        <v>522</v>
      </c>
      <c r="V12" s="1" t="s">
        <v>522</v>
      </c>
      <c r="W12" s="1" t="s">
        <v>522</v>
      </c>
      <c r="X12" s="1" t="s">
        <v>522</v>
      </c>
      <c r="Y12" s="1" t="s">
        <v>522</v>
      </c>
      <c r="Z12" s="1" t="s">
        <v>522</v>
      </c>
      <c r="AA12" s="1" t="s">
        <v>522</v>
      </c>
      <c r="AB12" s="1" t="s">
        <v>522</v>
      </c>
      <c r="AC12" s="1" t="s">
        <v>522</v>
      </c>
      <c r="AD12" s="1" t="s">
        <v>522</v>
      </c>
      <c r="AE12" s="1" t="s">
        <v>522</v>
      </c>
      <c r="AF12" s="1" t="s">
        <v>522</v>
      </c>
      <c r="AG12" s="1" t="s">
        <v>522</v>
      </c>
      <c r="AH12" s="1" t="s">
        <v>522</v>
      </c>
      <c r="AI12" s="1" t="s">
        <v>522</v>
      </c>
      <c r="AJ12">
        <v>0</v>
      </c>
      <c r="AK12" s="502">
        <v>43056.229202361101</v>
      </c>
    </row>
    <row r="13" spans="1:37">
      <c r="A13" s="1" t="s">
        <v>328</v>
      </c>
      <c r="B13" s="1" t="s">
        <v>588</v>
      </c>
      <c r="C13" s="1" t="s">
        <v>589</v>
      </c>
      <c r="D13" s="1" t="s">
        <v>590</v>
      </c>
      <c r="E13" s="1" t="s">
        <v>591</v>
      </c>
      <c r="F13" s="1" t="s">
        <v>592</v>
      </c>
      <c r="G13" s="1" t="s">
        <v>593</v>
      </c>
      <c r="H13" s="1" t="s">
        <v>594</v>
      </c>
      <c r="I13" s="1" t="s">
        <v>595</v>
      </c>
      <c r="J13" s="1" t="s">
        <v>595</v>
      </c>
      <c r="K13" s="1" t="s">
        <v>596</v>
      </c>
      <c r="L13" s="1" t="s">
        <v>597</v>
      </c>
      <c r="M13" s="1" t="s">
        <v>598</v>
      </c>
      <c r="N13" s="1" t="s">
        <v>599</v>
      </c>
      <c r="O13" s="1" t="s">
        <v>600</v>
      </c>
      <c r="P13" s="1" t="s">
        <v>600</v>
      </c>
      <c r="Q13" s="1" t="s">
        <v>601</v>
      </c>
      <c r="R13" s="1" t="s">
        <v>602</v>
      </c>
      <c r="S13" s="1" t="s">
        <v>603</v>
      </c>
      <c r="T13" s="1" t="s">
        <v>604</v>
      </c>
      <c r="U13" s="1" t="s">
        <v>605</v>
      </c>
      <c r="V13" s="1" t="s">
        <v>606</v>
      </c>
      <c r="W13" s="1" t="s">
        <v>607</v>
      </c>
      <c r="X13" s="1" t="s">
        <v>607</v>
      </c>
      <c r="Y13" s="1" t="s">
        <v>608</v>
      </c>
      <c r="Z13" s="1" t="s">
        <v>609</v>
      </c>
      <c r="AA13" s="1" t="s">
        <v>610</v>
      </c>
      <c r="AB13" s="1" t="s">
        <v>611</v>
      </c>
      <c r="AC13" s="1" t="s">
        <v>612</v>
      </c>
      <c r="AD13" s="1" t="s">
        <v>613</v>
      </c>
      <c r="AE13" s="1" t="s">
        <v>613</v>
      </c>
      <c r="AF13" s="1" t="s">
        <v>614</v>
      </c>
      <c r="AG13" s="1" t="s">
        <v>615</v>
      </c>
      <c r="AH13" s="1" t="s">
        <v>616</v>
      </c>
      <c r="AI13" s="1" t="s">
        <v>617</v>
      </c>
      <c r="AJ13">
        <v>1823954</v>
      </c>
      <c r="AK13" s="502">
        <v>43056.229202361101</v>
      </c>
    </row>
    <row r="14" spans="1:37">
      <c r="A14" s="1" t="s">
        <v>328</v>
      </c>
      <c r="B14" s="1" t="s">
        <v>618</v>
      </c>
      <c r="C14" s="1" t="s">
        <v>619</v>
      </c>
      <c r="D14" s="1" t="s">
        <v>620</v>
      </c>
      <c r="E14" s="1" t="s">
        <v>621</v>
      </c>
      <c r="F14" s="1" t="s">
        <v>622</v>
      </c>
      <c r="G14" s="1" t="s">
        <v>623</v>
      </c>
      <c r="H14" s="1" t="s">
        <v>624</v>
      </c>
      <c r="I14" s="1" t="s">
        <v>625</v>
      </c>
      <c r="J14" s="1" t="s">
        <v>625</v>
      </c>
      <c r="K14" s="1" t="s">
        <v>626</v>
      </c>
      <c r="L14" s="1" t="s">
        <v>627</v>
      </c>
      <c r="M14" s="1" t="s">
        <v>628</v>
      </c>
      <c r="N14" s="1" t="s">
        <v>629</v>
      </c>
      <c r="O14" s="1" t="s">
        <v>630</v>
      </c>
      <c r="P14" s="1" t="s">
        <v>630</v>
      </c>
      <c r="Q14" s="1" t="s">
        <v>630</v>
      </c>
      <c r="R14" s="1" t="s">
        <v>631</v>
      </c>
      <c r="S14" s="1" t="s">
        <v>632</v>
      </c>
      <c r="T14" s="1" t="s">
        <v>633</v>
      </c>
      <c r="U14" s="1" t="s">
        <v>634</v>
      </c>
      <c r="V14" s="1" t="s">
        <v>635</v>
      </c>
      <c r="W14" s="1" t="s">
        <v>636</v>
      </c>
      <c r="X14" s="1" t="s">
        <v>636</v>
      </c>
      <c r="Y14" s="1" t="s">
        <v>637</v>
      </c>
      <c r="Z14" s="1" t="s">
        <v>638</v>
      </c>
      <c r="AA14" s="1" t="s">
        <v>639</v>
      </c>
      <c r="AB14" s="1" t="s">
        <v>640</v>
      </c>
      <c r="AC14" s="1" t="s">
        <v>640</v>
      </c>
      <c r="AD14" s="1" t="s">
        <v>641</v>
      </c>
      <c r="AE14" s="1" t="s">
        <v>641</v>
      </c>
      <c r="AF14" s="1" t="s">
        <v>642</v>
      </c>
      <c r="AG14" s="1" t="s">
        <v>643</v>
      </c>
      <c r="AH14" s="1" t="s">
        <v>644</v>
      </c>
      <c r="AI14" s="1" t="s">
        <v>645</v>
      </c>
      <c r="AJ14">
        <v>542080</v>
      </c>
      <c r="AK14" s="502">
        <v>43056.229202361101</v>
      </c>
    </row>
    <row r="15" spans="1:37">
      <c r="A15" s="1" t="s">
        <v>328</v>
      </c>
      <c r="B15" s="1" t="s">
        <v>646</v>
      </c>
      <c r="C15" s="1" t="s">
        <v>647</v>
      </c>
      <c r="D15" s="1" t="s">
        <v>648</v>
      </c>
      <c r="E15" s="1" t="s">
        <v>649</v>
      </c>
      <c r="F15" s="1" t="s">
        <v>650</v>
      </c>
      <c r="G15" s="1" t="s">
        <v>651</v>
      </c>
      <c r="H15" s="1" t="s">
        <v>652</v>
      </c>
      <c r="I15" s="1" t="s">
        <v>653</v>
      </c>
      <c r="J15" s="1" t="s">
        <v>653</v>
      </c>
      <c r="K15" s="1" t="s">
        <v>654</v>
      </c>
      <c r="L15" s="1" t="s">
        <v>655</v>
      </c>
      <c r="M15" s="1" t="s">
        <v>656</v>
      </c>
      <c r="N15" s="1" t="s">
        <v>657</v>
      </c>
      <c r="O15" s="1" t="s">
        <v>658</v>
      </c>
      <c r="P15" s="1" t="s">
        <v>658</v>
      </c>
      <c r="Q15" s="1" t="s">
        <v>659</v>
      </c>
      <c r="R15" s="1" t="s">
        <v>660</v>
      </c>
      <c r="S15" s="1" t="s">
        <v>661</v>
      </c>
      <c r="T15" s="1" t="s">
        <v>662</v>
      </c>
      <c r="U15" s="1" t="s">
        <v>663</v>
      </c>
      <c r="V15" s="1" t="s">
        <v>664</v>
      </c>
      <c r="W15" s="1" t="s">
        <v>665</v>
      </c>
      <c r="X15" s="1" t="s">
        <v>665</v>
      </c>
      <c r="Y15" s="1" t="s">
        <v>666</v>
      </c>
      <c r="Z15" s="1" t="s">
        <v>667</v>
      </c>
      <c r="AA15" s="1" t="s">
        <v>668</v>
      </c>
      <c r="AB15" s="1" t="s">
        <v>669</v>
      </c>
      <c r="AC15" s="1" t="s">
        <v>670</v>
      </c>
      <c r="AD15" s="1" t="s">
        <v>671</v>
      </c>
      <c r="AE15" s="1" t="s">
        <v>671</v>
      </c>
      <c r="AF15" s="1" t="s">
        <v>672</v>
      </c>
      <c r="AG15" s="1" t="s">
        <v>673</v>
      </c>
      <c r="AH15" s="1" t="s">
        <v>674</v>
      </c>
      <c r="AI15" s="1" t="s">
        <v>675</v>
      </c>
      <c r="AJ15">
        <v>3162040</v>
      </c>
      <c r="AK15" s="502">
        <v>43056.229202361101</v>
      </c>
    </row>
    <row r="16" spans="1:37">
      <c r="A16" s="1" t="s">
        <v>328</v>
      </c>
      <c r="B16" s="1" t="s">
        <v>676</v>
      </c>
      <c r="C16" s="1" t="s">
        <v>677</v>
      </c>
      <c r="D16" s="1" t="s">
        <v>678</v>
      </c>
      <c r="E16" s="1" t="s">
        <v>679</v>
      </c>
      <c r="F16" s="1" t="s">
        <v>680</v>
      </c>
      <c r="G16" s="1" t="s">
        <v>681</v>
      </c>
      <c r="H16" s="1" t="s">
        <v>682</v>
      </c>
      <c r="I16" s="1" t="s">
        <v>683</v>
      </c>
      <c r="J16" s="1" t="s">
        <v>683</v>
      </c>
      <c r="K16" s="1" t="s">
        <v>684</v>
      </c>
      <c r="L16" s="1" t="s">
        <v>685</v>
      </c>
      <c r="M16" s="1" t="s">
        <v>686</v>
      </c>
      <c r="N16" s="1" t="s">
        <v>687</v>
      </c>
      <c r="O16" s="1" t="s">
        <v>688</v>
      </c>
      <c r="P16" s="1" t="s">
        <v>688</v>
      </c>
      <c r="Q16" s="1" t="s">
        <v>689</v>
      </c>
      <c r="R16" s="1" t="s">
        <v>690</v>
      </c>
      <c r="S16" s="1" t="s">
        <v>691</v>
      </c>
      <c r="T16" s="1" t="s">
        <v>692</v>
      </c>
      <c r="U16" s="1" t="s">
        <v>693</v>
      </c>
      <c r="V16" s="1" t="s">
        <v>694</v>
      </c>
      <c r="W16" s="1" t="s">
        <v>695</v>
      </c>
      <c r="X16" s="1" t="s">
        <v>695</v>
      </c>
      <c r="Y16" s="1" t="s">
        <v>696</v>
      </c>
      <c r="Z16" s="1" t="s">
        <v>697</v>
      </c>
      <c r="AA16" s="1" t="s">
        <v>698</v>
      </c>
      <c r="AB16" s="1" t="s">
        <v>699</v>
      </c>
      <c r="AC16" s="1" t="s">
        <v>700</v>
      </c>
      <c r="AD16" s="1" t="s">
        <v>701</v>
      </c>
      <c r="AE16" s="1" t="s">
        <v>701</v>
      </c>
      <c r="AF16" s="1" t="s">
        <v>702</v>
      </c>
      <c r="AG16" s="1" t="s">
        <v>703</v>
      </c>
      <c r="AH16" s="1" t="s">
        <v>704</v>
      </c>
      <c r="AI16" s="1" t="s">
        <v>705</v>
      </c>
      <c r="AJ16">
        <v>9930178</v>
      </c>
      <c r="AK16" s="502">
        <v>43056.229202361101</v>
      </c>
    </row>
    <row r="17" spans="1:37">
      <c r="A17" s="1" t="s">
        <v>328</v>
      </c>
      <c r="B17" s="1" t="s">
        <v>706</v>
      </c>
      <c r="C17" s="1" t="s">
        <v>707</v>
      </c>
      <c r="D17" s="1" t="s">
        <v>708</v>
      </c>
      <c r="E17" s="1" t="s">
        <v>709</v>
      </c>
      <c r="F17" s="1" t="s">
        <v>710</v>
      </c>
      <c r="G17" s="1" t="s">
        <v>711</v>
      </c>
      <c r="H17" s="1" t="s">
        <v>712</v>
      </c>
      <c r="I17" s="1" t="s">
        <v>713</v>
      </c>
      <c r="J17" s="1" t="s">
        <v>713</v>
      </c>
      <c r="K17" s="1" t="s">
        <v>714</v>
      </c>
      <c r="L17" s="1" t="s">
        <v>715</v>
      </c>
      <c r="M17" s="1" t="s">
        <v>716</v>
      </c>
      <c r="N17" s="1" t="s">
        <v>717</v>
      </c>
      <c r="O17" s="1" t="s">
        <v>718</v>
      </c>
      <c r="P17" s="1" t="s">
        <v>719</v>
      </c>
      <c r="Q17" s="1" t="s">
        <v>720</v>
      </c>
      <c r="R17" s="1" t="s">
        <v>721</v>
      </c>
      <c r="S17" s="1" t="s">
        <v>722</v>
      </c>
      <c r="T17" s="1" t="s">
        <v>723</v>
      </c>
      <c r="U17" s="1" t="s">
        <v>724</v>
      </c>
      <c r="V17" s="1" t="s">
        <v>725</v>
      </c>
      <c r="W17" s="1" t="s">
        <v>726</v>
      </c>
      <c r="X17" s="1" t="s">
        <v>726</v>
      </c>
      <c r="Y17" s="1" t="s">
        <v>727</v>
      </c>
      <c r="Z17" s="1" t="s">
        <v>728</v>
      </c>
      <c r="AA17" s="1" t="s">
        <v>729</v>
      </c>
      <c r="AB17" s="1" t="s">
        <v>730</v>
      </c>
      <c r="AC17" s="1" t="s">
        <v>731</v>
      </c>
      <c r="AD17" s="1" t="s">
        <v>732</v>
      </c>
      <c r="AE17" s="1" t="s">
        <v>732</v>
      </c>
      <c r="AF17" s="1" t="s">
        <v>733</v>
      </c>
      <c r="AG17" s="1" t="s">
        <v>734</v>
      </c>
      <c r="AH17" s="1" t="s">
        <v>735</v>
      </c>
      <c r="AI17" s="1" t="s">
        <v>736</v>
      </c>
      <c r="AJ17">
        <v>12733138</v>
      </c>
      <c r="AK17" s="502">
        <v>43056.229202361101</v>
      </c>
    </row>
    <row r="18" spans="1:37">
      <c r="A18" s="1" t="s">
        <v>328</v>
      </c>
      <c r="B18" s="501" t="s">
        <v>737</v>
      </c>
      <c r="C18" s="1" t="s">
        <v>738</v>
      </c>
      <c r="D18" s="1" t="s">
        <v>739</v>
      </c>
      <c r="E18" s="1" t="s">
        <v>740</v>
      </c>
      <c r="F18" s="1" t="s">
        <v>741</v>
      </c>
      <c r="G18" s="1" t="s">
        <v>742</v>
      </c>
      <c r="H18" s="1" t="s">
        <v>743</v>
      </c>
      <c r="I18" s="1" t="s">
        <v>744</v>
      </c>
      <c r="J18" s="1" t="s">
        <v>744</v>
      </c>
      <c r="K18" s="1" t="s">
        <v>745</v>
      </c>
      <c r="L18" s="1" t="s">
        <v>746</v>
      </c>
      <c r="M18" s="1" t="s">
        <v>747</v>
      </c>
      <c r="N18" s="1" t="s">
        <v>748</v>
      </c>
      <c r="O18" s="1" t="s">
        <v>749</v>
      </c>
      <c r="P18" s="1" t="s">
        <v>749</v>
      </c>
      <c r="Q18" s="1" t="s">
        <v>750</v>
      </c>
      <c r="R18" s="1" t="s">
        <v>751</v>
      </c>
      <c r="S18" s="1" t="s">
        <v>752</v>
      </c>
      <c r="T18" s="1" t="s">
        <v>753</v>
      </c>
      <c r="U18" s="1" t="s">
        <v>754</v>
      </c>
      <c r="V18" s="1" t="s">
        <v>755</v>
      </c>
      <c r="W18" s="1" t="s">
        <v>756</v>
      </c>
      <c r="X18" s="1" t="s">
        <v>756</v>
      </c>
      <c r="Y18" s="1" t="s">
        <v>757</v>
      </c>
      <c r="Z18" s="1" t="s">
        <v>758</v>
      </c>
      <c r="AA18" s="1" t="s">
        <v>759</v>
      </c>
      <c r="AB18" s="1" t="s">
        <v>760</v>
      </c>
      <c r="AC18" s="1" t="s">
        <v>761</v>
      </c>
      <c r="AD18" s="1" t="s">
        <v>762</v>
      </c>
      <c r="AE18" s="1" t="s">
        <v>762</v>
      </c>
      <c r="AF18" s="1" t="s">
        <v>763</v>
      </c>
      <c r="AG18" s="1" t="s">
        <v>764</v>
      </c>
      <c r="AH18" s="1" t="s">
        <v>765</v>
      </c>
      <c r="AI18" s="1" t="s">
        <v>766</v>
      </c>
      <c r="AJ18">
        <v>948824</v>
      </c>
      <c r="AK18" s="502">
        <v>43056.229202361101</v>
      </c>
    </row>
    <row r="19" spans="1:37">
      <c r="A19" s="1" t="s">
        <v>328</v>
      </c>
      <c r="B19" s="1" t="s">
        <v>767</v>
      </c>
      <c r="C19" s="1" t="s">
        <v>768</v>
      </c>
      <c r="D19" s="1" t="s">
        <v>768</v>
      </c>
      <c r="E19" s="1" t="s">
        <v>768</v>
      </c>
      <c r="F19" s="1" t="s">
        <v>768</v>
      </c>
      <c r="G19" s="1" t="s">
        <v>768</v>
      </c>
      <c r="H19" s="1" t="s">
        <v>768</v>
      </c>
      <c r="I19" s="1" t="s">
        <v>768</v>
      </c>
      <c r="J19" s="1" t="s">
        <v>768</v>
      </c>
      <c r="K19" s="1" t="s">
        <v>768</v>
      </c>
      <c r="L19" s="1" t="s">
        <v>768</v>
      </c>
      <c r="M19" s="1" t="s">
        <v>768</v>
      </c>
      <c r="N19" s="1" t="s">
        <v>768</v>
      </c>
      <c r="O19" s="1" t="s">
        <v>768</v>
      </c>
      <c r="P19" s="1" t="s">
        <v>768</v>
      </c>
      <c r="Q19" s="1" t="s">
        <v>768</v>
      </c>
      <c r="R19" s="1" t="s">
        <v>768</v>
      </c>
      <c r="S19" s="1" t="s">
        <v>768</v>
      </c>
      <c r="T19" s="1" t="s">
        <v>768</v>
      </c>
      <c r="U19" s="1" t="s">
        <v>768</v>
      </c>
      <c r="V19" s="1" t="s">
        <v>768</v>
      </c>
      <c r="W19" s="1" t="s">
        <v>768</v>
      </c>
      <c r="X19" s="1" t="s">
        <v>768</v>
      </c>
      <c r="Y19" s="1" t="s">
        <v>768</v>
      </c>
      <c r="Z19" s="1" t="s">
        <v>768</v>
      </c>
      <c r="AA19" s="1" t="s">
        <v>768</v>
      </c>
      <c r="AB19" s="1" t="s">
        <v>768</v>
      </c>
      <c r="AC19" s="1" t="s">
        <v>768</v>
      </c>
      <c r="AD19" s="1" t="s">
        <v>768</v>
      </c>
      <c r="AE19" s="1" t="s">
        <v>768</v>
      </c>
      <c r="AF19" s="1" t="s">
        <v>768</v>
      </c>
      <c r="AG19" s="1" t="s">
        <v>768</v>
      </c>
      <c r="AH19" s="1" t="s">
        <v>522</v>
      </c>
      <c r="AI19" s="1" t="s">
        <v>768</v>
      </c>
      <c r="AJ19">
        <v>1995934</v>
      </c>
      <c r="AK19" s="502">
        <v>43056.229202361101</v>
      </c>
    </row>
    <row r="20" spans="1:37">
      <c r="A20" s="1" t="s">
        <v>328</v>
      </c>
      <c r="B20" s="1" t="s">
        <v>769</v>
      </c>
      <c r="C20" s="1" t="s">
        <v>770</v>
      </c>
      <c r="D20" s="1" t="s">
        <v>770</v>
      </c>
      <c r="E20" s="1" t="s">
        <v>770</v>
      </c>
      <c r="F20" s="1" t="s">
        <v>770</v>
      </c>
      <c r="G20" s="1" t="s">
        <v>770</v>
      </c>
      <c r="H20" s="1" t="s">
        <v>770</v>
      </c>
      <c r="I20" s="1" t="s">
        <v>770</v>
      </c>
      <c r="J20" s="1" t="s">
        <v>770</v>
      </c>
      <c r="K20" s="1" t="s">
        <v>770</v>
      </c>
      <c r="L20" s="1" t="s">
        <v>770</v>
      </c>
      <c r="M20" s="1" t="s">
        <v>770</v>
      </c>
      <c r="N20" s="1" t="s">
        <v>770</v>
      </c>
      <c r="O20" s="1" t="s">
        <v>770</v>
      </c>
      <c r="P20" s="1" t="s">
        <v>770</v>
      </c>
      <c r="Q20" s="1" t="s">
        <v>770</v>
      </c>
      <c r="R20" s="1" t="s">
        <v>770</v>
      </c>
      <c r="S20" s="1" t="s">
        <v>770</v>
      </c>
      <c r="T20" s="1" t="s">
        <v>770</v>
      </c>
      <c r="U20" s="1" t="s">
        <v>770</v>
      </c>
      <c r="V20" s="1" t="s">
        <v>770</v>
      </c>
      <c r="W20" s="1" t="s">
        <v>770</v>
      </c>
      <c r="X20" s="1" t="s">
        <v>770</v>
      </c>
      <c r="Y20" s="1" t="s">
        <v>770</v>
      </c>
      <c r="Z20" s="1" t="s">
        <v>770</v>
      </c>
      <c r="AA20" s="1" t="s">
        <v>770</v>
      </c>
      <c r="AB20" s="1" t="s">
        <v>770</v>
      </c>
      <c r="AC20" s="1" t="s">
        <v>770</v>
      </c>
      <c r="AD20" s="1" t="s">
        <v>770</v>
      </c>
      <c r="AE20" s="1" t="s">
        <v>770</v>
      </c>
      <c r="AF20" s="1" t="s">
        <v>770</v>
      </c>
      <c r="AG20" s="1" t="s">
        <v>770</v>
      </c>
      <c r="AH20" s="1" t="s">
        <v>522</v>
      </c>
      <c r="AI20" s="1" t="s">
        <v>770</v>
      </c>
      <c r="AJ20">
        <v>10676173</v>
      </c>
      <c r="AK20" s="502">
        <v>43056.229202361101</v>
      </c>
    </row>
    <row r="21" spans="1:37">
      <c r="A21" s="1" t="s">
        <v>328</v>
      </c>
      <c r="B21" s="1" t="s">
        <v>771</v>
      </c>
      <c r="C21" s="1" t="s">
        <v>772</v>
      </c>
      <c r="D21" s="1" t="s">
        <v>772</v>
      </c>
      <c r="E21" s="1" t="s">
        <v>772</v>
      </c>
      <c r="F21" s="1" t="s">
        <v>772</v>
      </c>
      <c r="G21" s="1" t="s">
        <v>772</v>
      </c>
      <c r="H21" s="1" t="s">
        <v>772</v>
      </c>
      <c r="I21" s="1" t="s">
        <v>772</v>
      </c>
      <c r="J21" s="1" t="s">
        <v>772</v>
      </c>
      <c r="K21" s="1" t="s">
        <v>772</v>
      </c>
      <c r="L21" s="1" t="s">
        <v>772</v>
      </c>
      <c r="M21" s="1" t="s">
        <v>772</v>
      </c>
      <c r="N21" s="1" t="s">
        <v>772</v>
      </c>
      <c r="O21" s="1" t="s">
        <v>772</v>
      </c>
      <c r="P21" s="1" t="s">
        <v>772</v>
      </c>
      <c r="Q21" s="1" t="s">
        <v>772</v>
      </c>
      <c r="R21" s="1" t="s">
        <v>772</v>
      </c>
      <c r="S21" s="1" t="s">
        <v>772</v>
      </c>
      <c r="T21" s="1" t="s">
        <v>773</v>
      </c>
      <c r="U21" s="1" t="s">
        <v>774</v>
      </c>
      <c r="V21" s="1" t="s">
        <v>775</v>
      </c>
      <c r="W21" s="1" t="s">
        <v>775</v>
      </c>
      <c r="X21" s="1" t="s">
        <v>775</v>
      </c>
      <c r="Y21" s="1" t="s">
        <v>775</v>
      </c>
      <c r="Z21" s="1" t="s">
        <v>776</v>
      </c>
      <c r="AA21" s="1" t="s">
        <v>776</v>
      </c>
      <c r="AB21" s="1" t="s">
        <v>776</v>
      </c>
      <c r="AC21" s="1" t="s">
        <v>776</v>
      </c>
      <c r="AD21" s="1" t="s">
        <v>776</v>
      </c>
      <c r="AE21" s="1" t="s">
        <v>776</v>
      </c>
      <c r="AF21" s="1" t="s">
        <v>776</v>
      </c>
      <c r="AG21" s="1" t="s">
        <v>776</v>
      </c>
      <c r="AH21" s="1" t="s">
        <v>522</v>
      </c>
      <c r="AI21" s="1" t="s">
        <v>777</v>
      </c>
      <c r="AJ21">
        <v>10660622</v>
      </c>
      <c r="AK21" s="502">
        <v>43056.229202361101</v>
      </c>
    </row>
    <row r="22" spans="1:37">
      <c r="A22" s="1" t="s">
        <v>328</v>
      </c>
      <c r="B22" s="1" t="s">
        <v>778</v>
      </c>
      <c r="C22" s="1" t="s">
        <v>522</v>
      </c>
      <c r="D22" s="1" t="s">
        <v>522</v>
      </c>
      <c r="E22" s="1" t="s">
        <v>522</v>
      </c>
      <c r="F22" s="1" t="s">
        <v>522</v>
      </c>
      <c r="G22" s="1" t="s">
        <v>522</v>
      </c>
      <c r="H22" s="1" t="s">
        <v>522</v>
      </c>
      <c r="I22" s="1" t="s">
        <v>522</v>
      </c>
      <c r="J22" s="1" t="s">
        <v>522</v>
      </c>
      <c r="K22" s="1" t="s">
        <v>522</v>
      </c>
      <c r="L22" s="1" t="s">
        <v>522</v>
      </c>
      <c r="M22" s="1" t="s">
        <v>522</v>
      </c>
      <c r="N22" s="1" t="s">
        <v>522</v>
      </c>
      <c r="O22" s="1" t="s">
        <v>522</v>
      </c>
      <c r="P22" s="1" t="s">
        <v>522</v>
      </c>
      <c r="Q22" s="1" t="s">
        <v>522</v>
      </c>
      <c r="R22" s="1" t="s">
        <v>522</v>
      </c>
      <c r="S22" s="1" t="s">
        <v>522</v>
      </c>
      <c r="T22" s="1" t="s">
        <v>522</v>
      </c>
      <c r="U22" s="1" t="s">
        <v>522</v>
      </c>
      <c r="V22" s="1" t="s">
        <v>522</v>
      </c>
      <c r="W22" s="1" t="s">
        <v>522</v>
      </c>
      <c r="X22" s="1" t="s">
        <v>522</v>
      </c>
      <c r="Y22" s="1" t="s">
        <v>522</v>
      </c>
      <c r="Z22" s="1" t="s">
        <v>522</v>
      </c>
      <c r="AA22" s="1" t="s">
        <v>522</v>
      </c>
      <c r="AB22" s="1" t="s">
        <v>522</v>
      </c>
      <c r="AC22" s="1" t="s">
        <v>522</v>
      </c>
      <c r="AD22" s="1" t="s">
        <v>522</v>
      </c>
      <c r="AE22" s="1" t="s">
        <v>522</v>
      </c>
      <c r="AF22" s="1" t="s">
        <v>522</v>
      </c>
      <c r="AG22" s="1" t="s">
        <v>522</v>
      </c>
      <c r="AH22" s="1" t="s">
        <v>522</v>
      </c>
      <c r="AI22" s="1" t="s">
        <v>522</v>
      </c>
      <c r="AJ22">
        <v>473816</v>
      </c>
      <c r="AK22" s="502">
        <v>43056.229202361101</v>
      </c>
    </row>
    <row r="23" spans="1:37">
      <c r="A23" s="1" t="s">
        <v>328</v>
      </c>
      <c r="B23" s="501" t="s">
        <v>779</v>
      </c>
      <c r="C23" s="1" t="s">
        <v>522</v>
      </c>
      <c r="D23" s="1" t="s">
        <v>522</v>
      </c>
      <c r="E23" s="1" t="s">
        <v>522</v>
      </c>
      <c r="F23" s="1" t="s">
        <v>522</v>
      </c>
      <c r="G23" s="1" t="s">
        <v>522</v>
      </c>
      <c r="H23" s="1" t="s">
        <v>522</v>
      </c>
      <c r="I23" s="1" t="s">
        <v>522</v>
      </c>
      <c r="J23" s="1" t="s">
        <v>522</v>
      </c>
      <c r="K23" s="1" t="s">
        <v>522</v>
      </c>
      <c r="L23" s="1" t="s">
        <v>522</v>
      </c>
      <c r="M23" s="1" t="s">
        <v>522</v>
      </c>
      <c r="N23" s="1" t="s">
        <v>522</v>
      </c>
      <c r="O23" s="1" t="s">
        <v>522</v>
      </c>
      <c r="P23" s="1" t="s">
        <v>522</v>
      </c>
      <c r="Q23" s="1" t="s">
        <v>522</v>
      </c>
      <c r="R23" s="1" t="s">
        <v>522</v>
      </c>
      <c r="S23" s="1" t="s">
        <v>522</v>
      </c>
      <c r="T23" s="1" t="s">
        <v>522</v>
      </c>
      <c r="U23" s="1" t="s">
        <v>522</v>
      </c>
      <c r="V23" s="1" t="s">
        <v>522</v>
      </c>
      <c r="W23" s="1" t="s">
        <v>522</v>
      </c>
      <c r="X23" s="1" t="s">
        <v>522</v>
      </c>
      <c r="Y23" s="1" t="s">
        <v>522</v>
      </c>
      <c r="Z23" s="1" t="s">
        <v>522</v>
      </c>
      <c r="AA23" s="1" t="s">
        <v>522</v>
      </c>
      <c r="AB23" s="1" t="s">
        <v>522</v>
      </c>
      <c r="AC23" s="1" t="s">
        <v>522</v>
      </c>
      <c r="AD23" s="1" t="s">
        <v>522</v>
      </c>
      <c r="AE23" s="1" t="s">
        <v>522</v>
      </c>
      <c r="AF23" s="1" t="s">
        <v>522</v>
      </c>
      <c r="AG23" s="1" t="s">
        <v>522</v>
      </c>
      <c r="AH23" s="1" t="s">
        <v>522</v>
      </c>
      <c r="AI23" s="1" t="s">
        <v>522</v>
      </c>
      <c r="AJ23">
        <v>732707</v>
      </c>
      <c r="AK23" s="502">
        <v>43056.229202361101</v>
      </c>
    </row>
    <row r="24" spans="1:37">
      <c r="A24" s="1" t="s">
        <v>328</v>
      </c>
      <c r="B24" s="501" t="s">
        <v>780</v>
      </c>
      <c r="C24" s="1" t="s">
        <v>781</v>
      </c>
      <c r="D24" s="1" t="s">
        <v>782</v>
      </c>
      <c r="E24" s="1" t="s">
        <v>783</v>
      </c>
      <c r="F24" s="1" t="s">
        <v>784</v>
      </c>
      <c r="G24" s="1" t="s">
        <v>785</v>
      </c>
      <c r="H24" s="1" t="s">
        <v>786</v>
      </c>
      <c r="I24" s="1" t="s">
        <v>787</v>
      </c>
      <c r="J24" s="1" t="s">
        <v>787</v>
      </c>
      <c r="K24" s="1" t="s">
        <v>788</v>
      </c>
      <c r="L24" s="1" t="s">
        <v>789</v>
      </c>
      <c r="M24" s="1" t="s">
        <v>790</v>
      </c>
      <c r="N24" s="1" t="s">
        <v>791</v>
      </c>
      <c r="O24" s="1" t="s">
        <v>792</v>
      </c>
      <c r="P24" s="1" t="s">
        <v>792</v>
      </c>
      <c r="Q24" s="1" t="s">
        <v>793</v>
      </c>
      <c r="R24" s="1" t="s">
        <v>794</v>
      </c>
      <c r="S24" s="1" t="s">
        <v>795</v>
      </c>
      <c r="T24" s="1" t="s">
        <v>796</v>
      </c>
      <c r="U24" s="1" t="s">
        <v>797</v>
      </c>
      <c r="V24" s="1" t="s">
        <v>798</v>
      </c>
      <c r="W24" s="1" t="s">
        <v>799</v>
      </c>
      <c r="X24" s="1" t="s">
        <v>799</v>
      </c>
      <c r="Y24" s="1" t="s">
        <v>800</v>
      </c>
      <c r="Z24" s="1" t="s">
        <v>801</v>
      </c>
      <c r="AA24" s="1" t="s">
        <v>802</v>
      </c>
      <c r="AB24" s="1" t="s">
        <v>803</v>
      </c>
      <c r="AC24" s="1" t="s">
        <v>804</v>
      </c>
      <c r="AD24" s="1" t="s">
        <v>805</v>
      </c>
      <c r="AE24" s="1" t="s">
        <v>805</v>
      </c>
      <c r="AF24" s="1" t="s">
        <v>806</v>
      </c>
      <c r="AG24" s="1" t="s">
        <v>807</v>
      </c>
      <c r="AH24" s="1" t="s">
        <v>808</v>
      </c>
      <c r="AI24" s="1" t="s">
        <v>809</v>
      </c>
      <c r="AJ24">
        <v>884880</v>
      </c>
      <c r="AK24" s="502">
        <v>43056.229202361101</v>
      </c>
    </row>
    <row r="25" spans="1:37">
      <c r="A25" s="1" t="s">
        <v>328</v>
      </c>
      <c r="B25" s="501" t="s">
        <v>810</v>
      </c>
      <c r="C25" s="1" t="s">
        <v>811</v>
      </c>
      <c r="D25" s="1" t="s">
        <v>812</v>
      </c>
      <c r="E25" s="1" t="s">
        <v>813</v>
      </c>
      <c r="F25" s="1" t="s">
        <v>814</v>
      </c>
      <c r="G25" s="1" t="s">
        <v>815</v>
      </c>
      <c r="H25" s="1" t="s">
        <v>816</v>
      </c>
      <c r="I25" s="1" t="s">
        <v>817</v>
      </c>
      <c r="J25" s="1" t="s">
        <v>817</v>
      </c>
      <c r="K25" s="1" t="s">
        <v>818</v>
      </c>
      <c r="L25" s="1" t="s">
        <v>819</v>
      </c>
      <c r="M25" s="1" t="s">
        <v>820</v>
      </c>
      <c r="N25" s="1" t="s">
        <v>821</v>
      </c>
      <c r="O25" s="1" t="s">
        <v>822</v>
      </c>
      <c r="P25" s="1" t="s">
        <v>822</v>
      </c>
      <c r="Q25" s="1" t="s">
        <v>822</v>
      </c>
      <c r="R25" s="1" t="s">
        <v>823</v>
      </c>
      <c r="S25" s="1" t="s">
        <v>824</v>
      </c>
      <c r="T25" s="1" t="s">
        <v>825</v>
      </c>
      <c r="U25" s="1" t="s">
        <v>826</v>
      </c>
      <c r="V25" s="1" t="s">
        <v>827</v>
      </c>
      <c r="W25" s="1" t="s">
        <v>828</v>
      </c>
      <c r="X25" s="1" t="s">
        <v>828</v>
      </c>
      <c r="Y25" s="1" t="s">
        <v>829</v>
      </c>
      <c r="Z25" s="1" t="s">
        <v>830</v>
      </c>
      <c r="AA25" s="1" t="s">
        <v>831</v>
      </c>
      <c r="AB25" s="1" t="s">
        <v>832</v>
      </c>
      <c r="AC25" s="1" t="s">
        <v>833</v>
      </c>
      <c r="AD25" s="1" t="s">
        <v>834</v>
      </c>
      <c r="AE25" s="1" t="s">
        <v>834</v>
      </c>
      <c r="AF25" s="1" t="s">
        <v>835</v>
      </c>
      <c r="AG25" s="1" t="s">
        <v>836</v>
      </c>
      <c r="AH25" s="1" t="s">
        <v>837</v>
      </c>
      <c r="AI25" s="1" t="s">
        <v>838</v>
      </c>
      <c r="AJ25">
        <v>0</v>
      </c>
      <c r="AK25" s="502">
        <v>43056.229202361101</v>
      </c>
    </row>
    <row r="26" spans="1:37">
      <c r="A26" s="1"/>
      <c r="B26" s="50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>
        <v>0</v>
      </c>
      <c r="AK26" s="502">
        <v>43056.229202361101</v>
      </c>
    </row>
    <row r="27" spans="1:37">
      <c r="A27" s="1"/>
      <c r="B27" s="50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>
        <v>8845929</v>
      </c>
      <c r="AK27" s="502">
        <v>43056.229202361101</v>
      </c>
    </row>
    <row r="28" spans="1:37">
      <c r="A28" s="1"/>
      <c r="B28" s="50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>
        <v>2889405</v>
      </c>
      <c r="AK28" s="502">
        <v>43056.229202361101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32"/>
  <sheetViews>
    <sheetView workbookViewId="0">
      <selection activeCell="F9" sqref="F9"/>
    </sheetView>
  </sheetViews>
  <sheetFormatPr defaultRowHeight="17.100000000000001"/>
  <sheetData>
    <row r="1" spans="1:35">
      <c r="A1" s="1" t="s">
        <v>294</v>
      </c>
      <c r="B1" s="1" t="s">
        <v>361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304</v>
      </c>
      <c r="L1" s="1" t="s">
        <v>305</v>
      </c>
      <c r="M1" s="1" t="s">
        <v>306</v>
      </c>
      <c r="N1" s="1" t="s">
        <v>307</v>
      </c>
      <c r="O1" s="1" t="s">
        <v>308</v>
      </c>
      <c r="P1" s="1" t="s">
        <v>309</v>
      </c>
      <c r="Q1" s="1" t="s">
        <v>310</v>
      </c>
      <c r="R1" s="1" t="s">
        <v>311</v>
      </c>
      <c r="S1" s="1" t="s">
        <v>312</v>
      </c>
      <c r="T1" s="1" t="s">
        <v>313</v>
      </c>
      <c r="U1" s="1" t="s">
        <v>314</v>
      </c>
      <c r="V1" s="1" t="s">
        <v>315</v>
      </c>
      <c r="W1" s="1" t="s">
        <v>316</v>
      </c>
      <c r="X1" s="1" t="s">
        <v>317</v>
      </c>
      <c r="Y1" s="1" t="s">
        <v>318</v>
      </c>
      <c r="Z1" s="1" t="s">
        <v>319</v>
      </c>
      <c r="AA1" s="1" t="s">
        <v>320</v>
      </c>
      <c r="AB1" s="1" t="s">
        <v>321</v>
      </c>
      <c r="AC1" s="1" t="s">
        <v>322</v>
      </c>
      <c r="AD1" s="1" t="s">
        <v>323</v>
      </c>
      <c r="AE1" s="1" t="s">
        <v>324</v>
      </c>
      <c r="AF1" s="1" t="s">
        <v>325</v>
      </c>
      <c r="AG1" s="1" t="s">
        <v>326</v>
      </c>
      <c r="AH1" s="1" t="s">
        <v>839</v>
      </c>
    </row>
    <row r="2" spans="1:35">
      <c r="A2" s="1" t="s">
        <v>328</v>
      </c>
      <c r="B2" s="285" t="s">
        <v>364</v>
      </c>
      <c r="C2" s="1" t="s">
        <v>840</v>
      </c>
      <c r="D2" s="1" t="s">
        <v>841</v>
      </c>
      <c r="E2" s="1" t="s">
        <v>842</v>
      </c>
      <c r="F2" s="1" t="s">
        <v>843</v>
      </c>
      <c r="G2" s="1" t="s">
        <v>844</v>
      </c>
      <c r="H2" s="1" t="s">
        <v>842</v>
      </c>
      <c r="I2" s="1" t="s">
        <v>845</v>
      </c>
      <c r="J2" s="1" t="s">
        <v>840</v>
      </c>
      <c r="K2" s="1" t="s">
        <v>846</v>
      </c>
      <c r="L2" s="1" t="s">
        <v>842</v>
      </c>
      <c r="M2" s="1" t="s">
        <v>842</v>
      </c>
      <c r="N2" s="1" t="s">
        <v>847</v>
      </c>
      <c r="O2" s="1" t="s">
        <v>848</v>
      </c>
      <c r="P2" s="1" t="s">
        <v>840</v>
      </c>
      <c r="Q2" s="1" t="s">
        <v>840</v>
      </c>
      <c r="R2" s="1" t="s">
        <v>842</v>
      </c>
      <c r="S2" s="1" t="s">
        <v>849</v>
      </c>
      <c r="T2" s="1" t="s">
        <v>847</v>
      </c>
      <c r="U2" s="1" t="s">
        <v>847</v>
      </c>
      <c r="V2" s="1" t="s">
        <v>847</v>
      </c>
      <c r="W2" s="1" t="s">
        <v>850</v>
      </c>
      <c r="X2" s="1" t="s">
        <v>840</v>
      </c>
      <c r="Y2" s="1" t="s">
        <v>844</v>
      </c>
      <c r="Z2" s="1" t="s">
        <v>844</v>
      </c>
      <c r="AA2" s="1" t="s">
        <v>847</v>
      </c>
      <c r="AB2" s="1" t="s">
        <v>851</v>
      </c>
      <c r="AC2" s="1" t="s">
        <v>852</v>
      </c>
      <c r="AD2" s="1" t="s">
        <v>850</v>
      </c>
      <c r="AE2" s="1" t="s">
        <v>840</v>
      </c>
      <c r="AF2" s="1" t="s">
        <v>850</v>
      </c>
      <c r="AG2" s="1" t="s">
        <v>841</v>
      </c>
      <c r="AH2" s="1" t="s">
        <v>844</v>
      </c>
      <c r="AI2" s="502">
        <v>44412.229194178202</v>
      </c>
    </row>
    <row r="3" spans="1:35">
      <c r="A3" s="1" t="s">
        <v>328</v>
      </c>
      <c r="B3" s="285" t="s">
        <v>398</v>
      </c>
      <c r="C3" s="1" t="s">
        <v>840</v>
      </c>
      <c r="D3" s="1" t="s">
        <v>842</v>
      </c>
      <c r="E3" s="1" t="s">
        <v>853</v>
      </c>
      <c r="F3" s="1" t="s">
        <v>854</v>
      </c>
      <c r="G3" s="1" t="s">
        <v>855</v>
      </c>
      <c r="H3" s="1" t="s">
        <v>855</v>
      </c>
      <c r="I3" s="1" t="s">
        <v>848</v>
      </c>
      <c r="J3" s="1" t="s">
        <v>840</v>
      </c>
      <c r="K3" s="1" t="s">
        <v>847</v>
      </c>
      <c r="L3" s="1" t="s">
        <v>856</v>
      </c>
      <c r="M3" s="1" t="s">
        <v>857</v>
      </c>
      <c r="N3" s="1" t="s">
        <v>858</v>
      </c>
      <c r="O3" s="1" t="s">
        <v>859</v>
      </c>
      <c r="P3" s="1" t="s">
        <v>840</v>
      </c>
      <c r="Q3" s="1" t="s">
        <v>840</v>
      </c>
      <c r="R3" s="1" t="s">
        <v>856</v>
      </c>
      <c r="S3" s="1" t="s">
        <v>860</v>
      </c>
      <c r="T3" s="1" t="s">
        <v>861</v>
      </c>
      <c r="U3" s="1" t="s">
        <v>853</v>
      </c>
      <c r="V3" s="1" t="s">
        <v>862</v>
      </c>
      <c r="W3" s="1" t="s">
        <v>863</v>
      </c>
      <c r="X3" s="1" t="s">
        <v>840</v>
      </c>
      <c r="Y3" s="1" t="s">
        <v>856</v>
      </c>
      <c r="Z3" s="1" t="s">
        <v>857</v>
      </c>
      <c r="AA3" s="1" t="s">
        <v>862</v>
      </c>
      <c r="AB3" s="1" t="s">
        <v>842</v>
      </c>
      <c r="AC3" s="1" t="s">
        <v>864</v>
      </c>
      <c r="AD3" s="1" t="s">
        <v>865</v>
      </c>
      <c r="AE3" s="1" t="s">
        <v>840</v>
      </c>
      <c r="AF3" s="1" t="s">
        <v>855</v>
      </c>
      <c r="AG3" s="1" t="s">
        <v>847</v>
      </c>
      <c r="AH3" s="1" t="s">
        <v>866</v>
      </c>
      <c r="AI3" s="502">
        <v>44412.229194178202</v>
      </c>
    </row>
    <row r="4" spans="1:35">
      <c r="A4" s="1" t="s">
        <v>328</v>
      </c>
      <c r="B4" s="285" t="s">
        <v>429</v>
      </c>
      <c r="C4" s="1" t="s">
        <v>840</v>
      </c>
      <c r="D4" s="1" t="s">
        <v>867</v>
      </c>
      <c r="E4" s="1" t="s">
        <v>867</v>
      </c>
      <c r="F4" s="1" t="s">
        <v>867</v>
      </c>
      <c r="G4" s="1" t="s">
        <v>867</v>
      </c>
      <c r="H4" s="1" t="s">
        <v>867</v>
      </c>
      <c r="I4" s="1" t="s">
        <v>867</v>
      </c>
      <c r="J4" s="1" t="s">
        <v>840</v>
      </c>
      <c r="K4" s="1" t="s">
        <v>867</v>
      </c>
      <c r="L4" s="1" t="s">
        <v>867</v>
      </c>
      <c r="M4" s="1" t="s">
        <v>867</v>
      </c>
      <c r="N4" s="1" t="s">
        <v>867</v>
      </c>
      <c r="O4" s="1" t="s">
        <v>867</v>
      </c>
      <c r="P4" s="1" t="s">
        <v>840</v>
      </c>
      <c r="Q4" s="1" t="s">
        <v>840</v>
      </c>
      <c r="R4" s="1" t="s">
        <v>867</v>
      </c>
      <c r="S4" s="1" t="s">
        <v>867</v>
      </c>
      <c r="T4" s="1" t="s">
        <v>867</v>
      </c>
      <c r="U4" s="1" t="s">
        <v>867</v>
      </c>
      <c r="V4" s="1" t="s">
        <v>867</v>
      </c>
      <c r="W4" s="1" t="s">
        <v>867</v>
      </c>
      <c r="X4" s="1" t="s">
        <v>840</v>
      </c>
      <c r="Y4" s="1" t="s">
        <v>868</v>
      </c>
      <c r="Z4" s="1" t="s">
        <v>850</v>
      </c>
      <c r="AA4" s="1" t="s">
        <v>867</v>
      </c>
      <c r="AB4" s="1" t="s">
        <v>867</v>
      </c>
      <c r="AC4" s="1" t="s">
        <v>867</v>
      </c>
      <c r="AD4" s="1" t="s">
        <v>867</v>
      </c>
      <c r="AE4" s="1" t="s">
        <v>840</v>
      </c>
      <c r="AF4" s="1" t="s">
        <v>867</v>
      </c>
      <c r="AG4" s="1" t="s">
        <v>867</v>
      </c>
      <c r="AH4" s="1" t="s">
        <v>869</v>
      </c>
      <c r="AI4" s="502">
        <v>44412.229194178202</v>
      </c>
    </row>
    <row r="5" spans="1:35">
      <c r="A5" s="1" t="s">
        <v>328</v>
      </c>
      <c r="B5" s="285" t="s">
        <v>458</v>
      </c>
      <c r="C5" s="1" t="s">
        <v>840</v>
      </c>
      <c r="D5" s="1" t="s">
        <v>870</v>
      </c>
      <c r="E5" s="1" t="s">
        <v>871</v>
      </c>
      <c r="F5" s="1" t="s">
        <v>867</v>
      </c>
      <c r="G5" s="1" t="s">
        <v>872</v>
      </c>
      <c r="H5" s="1" t="s">
        <v>867</v>
      </c>
      <c r="I5" s="1" t="s">
        <v>867</v>
      </c>
      <c r="J5" s="1" t="s">
        <v>840</v>
      </c>
      <c r="K5" s="1" t="s">
        <v>867</v>
      </c>
      <c r="L5" s="1" t="s">
        <v>873</v>
      </c>
      <c r="M5" s="1" t="s">
        <v>867</v>
      </c>
      <c r="N5" s="1" t="s">
        <v>874</v>
      </c>
      <c r="O5" s="1" t="s">
        <v>875</v>
      </c>
      <c r="P5" s="1" t="s">
        <v>840</v>
      </c>
      <c r="Q5" s="1" t="s">
        <v>840</v>
      </c>
      <c r="R5" s="1" t="s">
        <v>876</v>
      </c>
      <c r="S5" s="1" t="s">
        <v>877</v>
      </c>
      <c r="T5" s="1" t="s">
        <v>878</v>
      </c>
      <c r="U5" s="1" t="s">
        <v>879</v>
      </c>
      <c r="V5" s="1" t="s">
        <v>867</v>
      </c>
      <c r="W5" s="1" t="s">
        <v>880</v>
      </c>
      <c r="X5" s="1" t="s">
        <v>840</v>
      </c>
      <c r="Y5" s="1" t="s">
        <v>881</v>
      </c>
      <c r="Z5" s="1" t="s">
        <v>882</v>
      </c>
      <c r="AA5" s="1" t="s">
        <v>883</v>
      </c>
      <c r="AB5" s="1" t="s">
        <v>884</v>
      </c>
      <c r="AC5" s="1" t="s">
        <v>885</v>
      </c>
      <c r="AD5" s="1" t="s">
        <v>886</v>
      </c>
      <c r="AE5" s="1" t="s">
        <v>840</v>
      </c>
      <c r="AF5" s="1" t="s">
        <v>867</v>
      </c>
      <c r="AG5" s="1" t="s">
        <v>887</v>
      </c>
      <c r="AH5" s="1" t="s">
        <v>888</v>
      </c>
      <c r="AI5" s="502">
        <v>44412.229194178202</v>
      </c>
    </row>
    <row r="6" spans="1:35">
      <c r="A6" s="1" t="s">
        <v>328</v>
      </c>
      <c r="B6" s="285" t="s">
        <v>488</v>
      </c>
      <c r="C6" s="1" t="s">
        <v>840</v>
      </c>
      <c r="D6" s="1" t="s">
        <v>889</v>
      </c>
      <c r="E6" s="1" t="s">
        <v>890</v>
      </c>
      <c r="F6" s="1" t="s">
        <v>891</v>
      </c>
      <c r="G6" s="1" t="s">
        <v>891</v>
      </c>
      <c r="H6" s="1" t="s">
        <v>890</v>
      </c>
      <c r="I6" s="1" t="s">
        <v>892</v>
      </c>
      <c r="J6" s="1" t="s">
        <v>840</v>
      </c>
      <c r="K6" s="1" t="s">
        <v>893</v>
      </c>
      <c r="L6" s="1" t="s">
        <v>892</v>
      </c>
      <c r="M6" s="1" t="s">
        <v>893</v>
      </c>
      <c r="N6" s="1" t="s">
        <v>868</v>
      </c>
      <c r="O6" s="1" t="s">
        <v>851</v>
      </c>
      <c r="P6" s="1" t="s">
        <v>840</v>
      </c>
      <c r="Q6" s="1" t="s">
        <v>840</v>
      </c>
      <c r="R6" s="1" t="s">
        <v>845</v>
      </c>
      <c r="S6" s="1" t="s">
        <v>894</v>
      </c>
      <c r="T6" s="1" t="s">
        <v>892</v>
      </c>
      <c r="U6" s="1" t="s">
        <v>891</v>
      </c>
      <c r="V6" s="1" t="s">
        <v>892</v>
      </c>
      <c r="W6" s="1" t="s">
        <v>895</v>
      </c>
      <c r="X6" s="1" t="s">
        <v>840</v>
      </c>
      <c r="Y6" s="1" t="s">
        <v>896</v>
      </c>
      <c r="Z6" s="1" t="s">
        <v>890</v>
      </c>
      <c r="AA6" s="1" t="s">
        <v>891</v>
      </c>
      <c r="AB6" s="1" t="s">
        <v>895</v>
      </c>
      <c r="AC6" s="1" t="s">
        <v>891</v>
      </c>
      <c r="AD6" s="1" t="s">
        <v>892</v>
      </c>
      <c r="AE6" s="1" t="s">
        <v>840</v>
      </c>
      <c r="AF6" s="1" t="s">
        <v>868</v>
      </c>
      <c r="AG6" s="1" t="s">
        <v>869</v>
      </c>
      <c r="AH6" s="1" t="s">
        <v>890</v>
      </c>
      <c r="AI6" s="502">
        <v>44412.229194178202</v>
      </c>
    </row>
    <row r="7" spans="1:35">
      <c r="A7" s="1" t="s">
        <v>328</v>
      </c>
      <c r="B7" s="285" t="s">
        <v>521</v>
      </c>
      <c r="C7" s="1" t="s">
        <v>840</v>
      </c>
      <c r="D7" s="1" t="s">
        <v>840</v>
      </c>
      <c r="E7" s="1" t="s">
        <v>840</v>
      </c>
      <c r="F7" s="1" t="s">
        <v>840</v>
      </c>
      <c r="G7" s="1" t="s">
        <v>840</v>
      </c>
      <c r="H7" s="1" t="s">
        <v>840</v>
      </c>
      <c r="I7" s="1" t="s">
        <v>840</v>
      </c>
      <c r="J7" s="1" t="s">
        <v>840</v>
      </c>
      <c r="K7" s="1" t="s">
        <v>840</v>
      </c>
      <c r="L7" s="1" t="s">
        <v>840</v>
      </c>
      <c r="M7" s="1" t="s">
        <v>840</v>
      </c>
      <c r="N7" s="1" t="s">
        <v>840</v>
      </c>
      <c r="O7" s="1" t="s">
        <v>840</v>
      </c>
      <c r="P7" s="1" t="s">
        <v>840</v>
      </c>
      <c r="Q7" s="1" t="s">
        <v>840</v>
      </c>
      <c r="R7" s="1" t="s">
        <v>840</v>
      </c>
      <c r="S7" s="1" t="s">
        <v>840</v>
      </c>
      <c r="T7" s="1" t="s">
        <v>840</v>
      </c>
      <c r="U7" s="1" t="s">
        <v>840</v>
      </c>
      <c r="V7" s="1" t="s">
        <v>840</v>
      </c>
      <c r="W7" s="1" t="s">
        <v>840</v>
      </c>
      <c r="X7" s="1" t="s">
        <v>840</v>
      </c>
      <c r="Y7" s="1" t="s">
        <v>840</v>
      </c>
      <c r="Z7" s="1" t="s">
        <v>840</v>
      </c>
      <c r="AA7" s="1" t="s">
        <v>840</v>
      </c>
      <c r="AB7" s="1" t="s">
        <v>840</v>
      </c>
      <c r="AC7" s="1" t="s">
        <v>840</v>
      </c>
      <c r="AD7" s="1" t="s">
        <v>840</v>
      </c>
      <c r="AE7" s="1" t="s">
        <v>840</v>
      </c>
      <c r="AF7" s="1" t="s">
        <v>840</v>
      </c>
      <c r="AG7" s="1" t="s">
        <v>840</v>
      </c>
      <c r="AH7" s="1" t="s">
        <v>840</v>
      </c>
      <c r="AI7" s="502">
        <v>44412.229194178202</v>
      </c>
    </row>
    <row r="8" spans="1:35">
      <c r="A8" s="1" t="s">
        <v>328</v>
      </c>
      <c r="B8" s="285" t="s">
        <v>523</v>
      </c>
      <c r="C8" s="1" t="s">
        <v>840</v>
      </c>
      <c r="D8" s="1" t="s">
        <v>891</v>
      </c>
      <c r="E8" s="1" t="s">
        <v>893</v>
      </c>
      <c r="F8" s="1" t="s">
        <v>867</v>
      </c>
      <c r="G8" s="1" t="s">
        <v>892</v>
      </c>
      <c r="H8" s="1" t="s">
        <v>841</v>
      </c>
      <c r="I8" s="1" t="s">
        <v>852</v>
      </c>
      <c r="J8" s="1" t="s">
        <v>840</v>
      </c>
      <c r="K8" s="1" t="s">
        <v>897</v>
      </c>
      <c r="L8" s="1" t="s">
        <v>854</v>
      </c>
      <c r="M8" s="1" t="s">
        <v>841</v>
      </c>
      <c r="N8" s="1" t="s">
        <v>894</v>
      </c>
      <c r="O8" s="1" t="s">
        <v>891</v>
      </c>
      <c r="P8" s="1" t="s">
        <v>840</v>
      </c>
      <c r="Q8" s="1" t="s">
        <v>840</v>
      </c>
      <c r="R8" s="1" t="s">
        <v>898</v>
      </c>
      <c r="S8" s="1" t="s">
        <v>894</v>
      </c>
      <c r="T8" s="1" t="s">
        <v>896</v>
      </c>
      <c r="U8" s="1" t="s">
        <v>868</v>
      </c>
      <c r="V8" s="1" t="s">
        <v>895</v>
      </c>
      <c r="W8" s="1" t="s">
        <v>890</v>
      </c>
      <c r="X8" s="1" t="s">
        <v>840</v>
      </c>
      <c r="Y8" s="1" t="s">
        <v>899</v>
      </c>
      <c r="Z8" s="1" t="s">
        <v>844</v>
      </c>
      <c r="AA8" s="1" t="s">
        <v>892</v>
      </c>
      <c r="AB8" s="1" t="s">
        <v>894</v>
      </c>
      <c r="AC8" s="1" t="s">
        <v>896</v>
      </c>
      <c r="AD8" s="1" t="s">
        <v>900</v>
      </c>
      <c r="AE8" s="1" t="s">
        <v>840</v>
      </c>
      <c r="AF8" s="1" t="s">
        <v>897</v>
      </c>
      <c r="AG8" s="1" t="s">
        <v>842</v>
      </c>
      <c r="AH8" s="1" t="s">
        <v>841</v>
      </c>
      <c r="AI8" s="502">
        <v>44412.229194178202</v>
      </c>
    </row>
    <row r="9" spans="1:35">
      <c r="A9" s="1" t="s">
        <v>328</v>
      </c>
      <c r="B9" s="285" t="s">
        <v>901</v>
      </c>
      <c r="C9" s="1" t="s">
        <v>840</v>
      </c>
      <c r="D9" s="1" t="s">
        <v>867</v>
      </c>
      <c r="E9" s="1" t="s">
        <v>902</v>
      </c>
      <c r="F9" s="1" t="s">
        <v>903</v>
      </c>
      <c r="G9" s="1" t="s">
        <v>867</v>
      </c>
      <c r="H9" s="1" t="s">
        <v>867</v>
      </c>
      <c r="I9" s="1" t="s">
        <v>867</v>
      </c>
      <c r="J9" s="1" t="s">
        <v>840</v>
      </c>
      <c r="K9" s="1" t="s">
        <v>887</v>
      </c>
      <c r="L9" s="1" t="s">
        <v>867</v>
      </c>
      <c r="M9" s="1" t="s">
        <v>867</v>
      </c>
      <c r="N9" s="1" t="s">
        <v>867</v>
      </c>
      <c r="O9" s="1" t="s">
        <v>867</v>
      </c>
      <c r="P9" s="1" t="s">
        <v>840</v>
      </c>
      <c r="Q9" s="1" t="s">
        <v>840</v>
      </c>
      <c r="R9" s="1" t="s">
        <v>904</v>
      </c>
      <c r="S9" s="1" t="s">
        <v>870</v>
      </c>
      <c r="T9" s="1" t="s">
        <v>867</v>
      </c>
      <c r="U9" s="1" t="s">
        <v>867</v>
      </c>
      <c r="V9" s="1" t="s">
        <v>867</v>
      </c>
      <c r="W9" s="1" t="s">
        <v>867</v>
      </c>
      <c r="X9" s="1" t="s">
        <v>840</v>
      </c>
      <c r="Y9" s="1" t="s">
        <v>905</v>
      </c>
      <c r="Z9" s="1" t="s">
        <v>867</v>
      </c>
      <c r="AA9" s="1" t="s">
        <v>867</v>
      </c>
      <c r="AB9" s="1" t="s">
        <v>904</v>
      </c>
      <c r="AC9" s="1" t="s">
        <v>867</v>
      </c>
      <c r="AD9" s="1" t="s">
        <v>867</v>
      </c>
      <c r="AE9" s="1" t="s">
        <v>840</v>
      </c>
      <c r="AF9" s="1" t="s">
        <v>867</v>
      </c>
      <c r="AG9" s="1" t="s">
        <v>867</v>
      </c>
      <c r="AH9" s="1" t="s">
        <v>906</v>
      </c>
      <c r="AI9" s="502">
        <v>44412.229194178202</v>
      </c>
    </row>
    <row r="10" spans="1:35">
      <c r="A10" s="1" t="s">
        <v>328</v>
      </c>
      <c r="B10" s="285" t="s">
        <v>907</v>
      </c>
      <c r="C10" s="1" t="s">
        <v>840</v>
      </c>
      <c r="D10" s="1" t="s">
        <v>850</v>
      </c>
      <c r="E10" s="1" t="s">
        <v>841</v>
      </c>
      <c r="F10" s="1" t="s">
        <v>851</v>
      </c>
      <c r="G10" s="1" t="s">
        <v>844</v>
      </c>
      <c r="H10" s="1" t="s">
        <v>844</v>
      </c>
      <c r="I10" s="1" t="s">
        <v>865</v>
      </c>
      <c r="J10" s="1" t="s">
        <v>840</v>
      </c>
      <c r="K10" s="1" t="s">
        <v>908</v>
      </c>
      <c r="L10" s="1" t="s">
        <v>844</v>
      </c>
      <c r="M10" s="1" t="s">
        <v>844</v>
      </c>
      <c r="N10" s="1" t="s">
        <v>844</v>
      </c>
      <c r="O10" s="1" t="s">
        <v>847</v>
      </c>
      <c r="P10" s="1" t="s">
        <v>840</v>
      </c>
      <c r="Q10" s="1" t="s">
        <v>840</v>
      </c>
      <c r="R10" s="1" t="s">
        <v>848</v>
      </c>
      <c r="S10" s="1" t="s">
        <v>855</v>
      </c>
      <c r="T10" s="1" t="s">
        <v>851</v>
      </c>
      <c r="U10" s="1" t="s">
        <v>842</v>
      </c>
      <c r="V10" s="1" t="s">
        <v>841</v>
      </c>
      <c r="W10" s="1" t="s">
        <v>908</v>
      </c>
      <c r="X10" s="1" t="s">
        <v>840</v>
      </c>
      <c r="Y10" s="1" t="s">
        <v>842</v>
      </c>
      <c r="Z10" s="1" t="s">
        <v>841</v>
      </c>
      <c r="AA10" s="1" t="s">
        <v>844</v>
      </c>
      <c r="AB10" s="1" t="s">
        <v>842</v>
      </c>
      <c r="AC10" s="1" t="s">
        <v>908</v>
      </c>
      <c r="AD10" s="1" t="s">
        <v>908</v>
      </c>
      <c r="AE10" s="1" t="s">
        <v>840</v>
      </c>
      <c r="AF10" s="1" t="s">
        <v>852</v>
      </c>
      <c r="AG10" s="1" t="s">
        <v>852</v>
      </c>
      <c r="AH10" s="1" t="s">
        <v>841</v>
      </c>
      <c r="AI10" s="502">
        <v>44412.229194178202</v>
      </c>
    </row>
    <row r="11" spans="1:35">
      <c r="A11" s="1" t="s">
        <v>328</v>
      </c>
      <c r="B11" s="285" t="s">
        <v>909</v>
      </c>
      <c r="C11" s="1" t="s">
        <v>840</v>
      </c>
      <c r="D11" s="1" t="s">
        <v>867</v>
      </c>
      <c r="E11" s="1" t="s">
        <v>867</v>
      </c>
      <c r="F11" s="1" t="s">
        <v>867</v>
      </c>
      <c r="G11" s="1" t="s">
        <v>867</v>
      </c>
      <c r="H11" s="1" t="s">
        <v>867</v>
      </c>
      <c r="I11" s="1" t="s">
        <v>867</v>
      </c>
      <c r="J11" s="1" t="s">
        <v>840</v>
      </c>
      <c r="K11" s="1" t="s">
        <v>867</v>
      </c>
      <c r="L11" s="1" t="s">
        <v>867</v>
      </c>
      <c r="M11" s="1" t="s">
        <v>867</v>
      </c>
      <c r="N11" s="1" t="s">
        <v>867</v>
      </c>
      <c r="O11" s="1" t="s">
        <v>867</v>
      </c>
      <c r="P11" s="1" t="s">
        <v>840</v>
      </c>
      <c r="Q11" s="1" t="s">
        <v>840</v>
      </c>
      <c r="R11" s="1" t="s">
        <v>867</v>
      </c>
      <c r="S11" s="1" t="s">
        <v>867</v>
      </c>
      <c r="T11" s="1" t="s">
        <v>867</v>
      </c>
      <c r="U11" s="1" t="s">
        <v>867</v>
      </c>
      <c r="V11" s="1" t="s">
        <v>867</v>
      </c>
      <c r="W11" s="1" t="s">
        <v>867</v>
      </c>
      <c r="X11" s="1" t="s">
        <v>840</v>
      </c>
      <c r="Y11" s="1" t="s">
        <v>867</v>
      </c>
      <c r="Z11" s="1" t="s">
        <v>867</v>
      </c>
      <c r="AA11" s="1" t="s">
        <v>867</v>
      </c>
      <c r="AB11" s="1" t="s">
        <v>867</v>
      </c>
      <c r="AC11" s="1" t="s">
        <v>867</v>
      </c>
      <c r="AD11" s="1" t="s">
        <v>867</v>
      </c>
      <c r="AE11" s="1" t="s">
        <v>840</v>
      </c>
      <c r="AF11" s="1" t="s">
        <v>867</v>
      </c>
      <c r="AG11" s="1" t="s">
        <v>867</v>
      </c>
      <c r="AH11" s="1" t="s">
        <v>867</v>
      </c>
      <c r="AI11" s="502">
        <v>44412.229194178202</v>
      </c>
    </row>
    <row r="12" spans="1:35">
      <c r="A12" s="1" t="s">
        <v>328</v>
      </c>
      <c r="B12" s="285" t="s">
        <v>910</v>
      </c>
      <c r="C12" s="1" t="s">
        <v>840</v>
      </c>
      <c r="D12" s="1" t="s">
        <v>861</v>
      </c>
      <c r="E12" s="1" t="s">
        <v>887</v>
      </c>
      <c r="F12" s="1" t="s">
        <v>911</v>
      </c>
      <c r="G12" s="1" t="s">
        <v>867</v>
      </c>
      <c r="H12" s="1" t="s">
        <v>897</v>
      </c>
      <c r="I12" s="1" t="s">
        <v>863</v>
      </c>
      <c r="J12" s="1" t="s">
        <v>840</v>
      </c>
      <c r="K12" s="1" t="s">
        <v>905</v>
      </c>
      <c r="L12" s="1" t="s">
        <v>912</v>
      </c>
      <c r="M12" s="1" t="s">
        <v>913</v>
      </c>
      <c r="N12" s="1" t="s">
        <v>897</v>
      </c>
      <c r="O12" s="1" t="s">
        <v>887</v>
      </c>
      <c r="P12" s="1" t="s">
        <v>840</v>
      </c>
      <c r="Q12" s="1" t="s">
        <v>840</v>
      </c>
      <c r="R12" s="1" t="s">
        <v>914</v>
      </c>
      <c r="S12" s="1" t="s">
        <v>867</v>
      </c>
      <c r="T12" s="1" t="s">
        <v>911</v>
      </c>
      <c r="U12" s="1" t="s">
        <v>887</v>
      </c>
      <c r="V12" s="1" t="s">
        <v>915</v>
      </c>
      <c r="W12" s="1" t="s">
        <v>867</v>
      </c>
      <c r="X12" s="1" t="s">
        <v>840</v>
      </c>
      <c r="Y12" s="1" t="s">
        <v>867</v>
      </c>
      <c r="Z12" s="1" t="s">
        <v>916</v>
      </c>
      <c r="AA12" s="1" t="s">
        <v>881</v>
      </c>
      <c r="AB12" s="1" t="s">
        <v>867</v>
      </c>
      <c r="AC12" s="1" t="s">
        <v>917</v>
      </c>
      <c r="AD12" s="1" t="s">
        <v>867</v>
      </c>
      <c r="AE12" s="1" t="s">
        <v>840</v>
      </c>
      <c r="AF12" s="1" t="s">
        <v>867</v>
      </c>
      <c r="AG12" s="1" t="s">
        <v>867</v>
      </c>
      <c r="AH12" s="1" t="s">
        <v>916</v>
      </c>
      <c r="AI12" s="502">
        <v>44412.229194178202</v>
      </c>
    </row>
    <row r="13" spans="1:35">
      <c r="A13" s="1" t="s">
        <v>328</v>
      </c>
      <c r="B13" s="285" t="s">
        <v>918</v>
      </c>
      <c r="C13" s="1" t="s">
        <v>840</v>
      </c>
      <c r="D13" s="1" t="s">
        <v>895</v>
      </c>
      <c r="E13" s="1" t="s">
        <v>853</v>
      </c>
      <c r="F13" s="1" t="s">
        <v>845</v>
      </c>
      <c r="G13" s="1" t="s">
        <v>858</v>
      </c>
      <c r="H13" s="1" t="s">
        <v>857</v>
      </c>
      <c r="I13" s="1" t="s">
        <v>851</v>
      </c>
      <c r="J13" s="1" t="s">
        <v>840</v>
      </c>
      <c r="K13" s="1" t="s">
        <v>894</v>
      </c>
      <c r="L13" s="1" t="s">
        <v>862</v>
      </c>
      <c r="M13" s="1" t="s">
        <v>844</v>
      </c>
      <c r="N13" s="1" t="s">
        <v>843</v>
      </c>
      <c r="O13" s="1" t="s">
        <v>908</v>
      </c>
      <c r="P13" s="1" t="s">
        <v>840</v>
      </c>
      <c r="Q13" s="1" t="s">
        <v>840</v>
      </c>
      <c r="R13" s="1" t="s">
        <v>863</v>
      </c>
      <c r="S13" s="1" t="s">
        <v>919</v>
      </c>
      <c r="T13" s="1" t="s">
        <v>843</v>
      </c>
      <c r="U13" s="1" t="s">
        <v>843</v>
      </c>
      <c r="V13" s="1" t="s">
        <v>864</v>
      </c>
      <c r="W13" s="1" t="s">
        <v>864</v>
      </c>
      <c r="X13" s="1" t="s">
        <v>840</v>
      </c>
      <c r="Y13" s="1" t="s">
        <v>845</v>
      </c>
      <c r="Z13" s="1" t="s">
        <v>908</v>
      </c>
      <c r="AA13" s="1" t="s">
        <v>851</v>
      </c>
      <c r="AB13" s="1" t="s">
        <v>865</v>
      </c>
      <c r="AC13" s="1" t="s">
        <v>852</v>
      </c>
      <c r="AD13" s="1" t="s">
        <v>865</v>
      </c>
      <c r="AE13" s="1" t="s">
        <v>840</v>
      </c>
      <c r="AF13" s="1" t="s">
        <v>855</v>
      </c>
      <c r="AG13" s="1" t="s">
        <v>889</v>
      </c>
      <c r="AH13" s="1" t="s">
        <v>851</v>
      </c>
      <c r="AI13" s="502">
        <v>44412.229194178202</v>
      </c>
    </row>
    <row r="14" spans="1:35">
      <c r="A14" s="1" t="s">
        <v>328</v>
      </c>
      <c r="B14" s="285" t="s">
        <v>920</v>
      </c>
      <c r="C14" s="1" t="s">
        <v>840</v>
      </c>
      <c r="D14" s="1" t="s">
        <v>867</v>
      </c>
      <c r="E14" s="1" t="s">
        <v>858</v>
      </c>
      <c r="F14" s="1" t="s">
        <v>867</v>
      </c>
      <c r="G14" s="1" t="s">
        <v>844</v>
      </c>
      <c r="H14" s="1" t="s">
        <v>867</v>
      </c>
      <c r="I14" s="1" t="s">
        <v>867</v>
      </c>
      <c r="J14" s="1" t="s">
        <v>840</v>
      </c>
      <c r="K14" s="1" t="s">
        <v>921</v>
      </c>
      <c r="L14" s="1" t="s">
        <v>862</v>
      </c>
      <c r="M14" s="1" t="s">
        <v>865</v>
      </c>
      <c r="N14" s="1" t="s">
        <v>867</v>
      </c>
      <c r="O14" s="1" t="s">
        <v>908</v>
      </c>
      <c r="P14" s="1" t="s">
        <v>840</v>
      </c>
      <c r="Q14" s="1" t="s">
        <v>840</v>
      </c>
      <c r="R14" s="1" t="s">
        <v>922</v>
      </c>
      <c r="S14" s="1" t="s">
        <v>867</v>
      </c>
      <c r="T14" s="1" t="s">
        <v>867</v>
      </c>
      <c r="U14" s="1" t="s">
        <v>923</v>
      </c>
      <c r="V14" s="1" t="s">
        <v>846</v>
      </c>
      <c r="W14" s="1" t="s">
        <v>853</v>
      </c>
      <c r="X14" s="1" t="s">
        <v>840</v>
      </c>
      <c r="Y14" s="1" t="s">
        <v>867</v>
      </c>
      <c r="Z14" s="1" t="s">
        <v>921</v>
      </c>
      <c r="AA14" s="1" t="s">
        <v>867</v>
      </c>
      <c r="AB14" s="1" t="s">
        <v>866</v>
      </c>
      <c r="AC14" s="1" t="s">
        <v>856</v>
      </c>
      <c r="AD14" s="1" t="s">
        <v>924</v>
      </c>
      <c r="AE14" s="1" t="s">
        <v>840</v>
      </c>
      <c r="AF14" s="1" t="s">
        <v>925</v>
      </c>
      <c r="AG14" s="1" t="s">
        <v>881</v>
      </c>
      <c r="AH14" s="1" t="s">
        <v>926</v>
      </c>
      <c r="AI14" s="502">
        <v>44412.229194178202</v>
      </c>
    </row>
    <row r="15" spans="1:35">
      <c r="A15" s="1" t="s">
        <v>328</v>
      </c>
      <c r="B15" s="285" t="s">
        <v>927</v>
      </c>
      <c r="C15" s="1" t="s">
        <v>840</v>
      </c>
      <c r="D15" s="1" t="s">
        <v>840</v>
      </c>
      <c r="E15" s="1" t="s">
        <v>840</v>
      </c>
      <c r="F15" s="1" t="s">
        <v>840</v>
      </c>
      <c r="G15" s="1" t="s">
        <v>840</v>
      </c>
      <c r="H15" s="1" t="s">
        <v>840</v>
      </c>
      <c r="I15" s="1" t="s">
        <v>840</v>
      </c>
      <c r="J15" s="1" t="s">
        <v>840</v>
      </c>
      <c r="K15" s="1" t="s">
        <v>840</v>
      </c>
      <c r="L15" s="1" t="s">
        <v>840</v>
      </c>
      <c r="M15" s="1" t="s">
        <v>840</v>
      </c>
      <c r="N15" s="1" t="s">
        <v>840</v>
      </c>
      <c r="O15" s="1" t="s">
        <v>840</v>
      </c>
      <c r="P15" s="1" t="s">
        <v>840</v>
      </c>
      <c r="Q15" s="1" t="s">
        <v>840</v>
      </c>
      <c r="R15" s="1" t="s">
        <v>840</v>
      </c>
      <c r="S15" s="1" t="s">
        <v>840</v>
      </c>
      <c r="T15" s="1" t="s">
        <v>840</v>
      </c>
      <c r="U15" s="1" t="s">
        <v>840</v>
      </c>
      <c r="V15" s="1" t="s">
        <v>840</v>
      </c>
      <c r="W15" s="1" t="s">
        <v>840</v>
      </c>
      <c r="X15" s="1" t="s">
        <v>840</v>
      </c>
      <c r="Y15" s="1" t="s">
        <v>840</v>
      </c>
      <c r="Z15" s="1" t="s">
        <v>840</v>
      </c>
      <c r="AA15" s="1" t="s">
        <v>840</v>
      </c>
      <c r="AB15" s="1" t="s">
        <v>840</v>
      </c>
      <c r="AC15" s="1" t="s">
        <v>840</v>
      </c>
      <c r="AD15" s="1" t="s">
        <v>840</v>
      </c>
      <c r="AE15" s="1" t="s">
        <v>840</v>
      </c>
      <c r="AF15" s="1" t="s">
        <v>840</v>
      </c>
      <c r="AG15" s="1" t="s">
        <v>840</v>
      </c>
      <c r="AH15" s="1" t="s">
        <v>840</v>
      </c>
      <c r="AI15" s="502">
        <v>44412.229194178202</v>
      </c>
    </row>
    <row r="16" spans="1:35">
      <c r="A16" s="1" t="s">
        <v>328</v>
      </c>
      <c r="B16" s="285" t="s">
        <v>928</v>
      </c>
      <c r="C16" s="1" t="s">
        <v>840</v>
      </c>
      <c r="D16" s="1" t="s">
        <v>841</v>
      </c>
      <c r="E16" s="1" t="s">
        <v>853</v>
      </c>
      <c r="F16" s="1" t="s">
        <v>857</v>
      </c>
      <c r="G16" s="1" t="s">
        <v>864</v>
      </c>
      <c r="H16" s="1" t="s">
        <v>843</v>
      </c>
      <c r="I16" s="1" t="s">
        <v>851</v>
      </c>
      <c r="J16" s="1" t="s">
        <v>840</v>
      </c>
      <c r="K16" s="1" t="s">
        <v>851</v>
      </c>
      <c r="L16" s="1" t="s">
        <v>859</v>
      </c>
      <c r="M16" s="1" t="s">
        <v>849</v>
      </c>
      <c r="N16" s="1" t="s">
        <v>861</v>
      </c>
      <c r="O16" s="1" t="s">
        <v>854</v>
      </c>
      <c r="P16" s="1" t="s">
        <v>840</v>
      </c>
      <c r="Q16" s="1" t="s">
        <v>840</v>
      </c>
      <c r="R16" s="1" t="s">
        <v>856</v>
      </c>
      <c r="S16" s="1" t="s">
        <v>858</v>
      </c>
      <c r="T16" s="1" t="s">
        <v>862</v>
      </c>
      <c r="U16" s="1" t="s">
        <v>862</v>
      </c>
      <c r="V16" s="1" t="s">
        <v>862</v>
      </c>
      <c r="W16" s="1" t="s">
        <v>859</v>
      </c>
      <c r="X16" s="1" t="s">
        <v>840</v>
      </c>
      <c r="Y16" s="1" t="s">
        <v>862</v>
      </c>
      <c r="Z16" s="1" t="s">
        <v>864</v>
      </c>
      <c r="AA16" s="1" t="s">
        <v>857</v>
      </c>
      <c r="AB16" s="1" t="s">
        <v>841</v>
      </c>
      <c r="AC16" s="1" t="s">
        <v>843</v>
      </c>
      <c r="AD16" s="1" t="s">
        <v>844</v>
      </c>
      <c r="AE16" s="1" t="s">
        <v>840</v>
      </c>
      <c r="AF16" s="1" t="s">
        <v>854</v>
      </c>
      <c r="AG16" s="1" t="s">
        <v>847</v>
      </c>
      <c r="AH16" s="1" t="s">
        <v>857</v>
      </c>
      <c r="AI16" s="502">
        <v>44412.229194178202</v>
      </c>
    </row>
    <row r="17" spans="1:35">
      <c r="A17" s="1" t="s">
        <v>328</v>
      </c>
      <c r="B17" s="275" t="s">
        <v>929</v>
      </c>
      <c r="C17" s="1" t="s">
        <v>840</v>
      </c>
      <c r="D17" s="1" t="s">
        <v>840</v>
      </c>
      <c r="E17" s="1" t="s">
        <v>840</v>
      </c>
      <c r="F17" s="1" t="s">
        <v>840</v>
      </c>
      <c r="G17" s="1" t="s">
        <v>840</v>
      </c>
      <c r="H17" s="1" t="s">
        <v>840</v>
      </c>
      <c r="I17" s="1" t="s">
        <v>840</v>
      </c>
      <c r="J17" s="1" t="s">
        <v>840</v>
      </c>
      <c r="K17" s="1" t="s">
        <v>840</v>
      </c>
      <c r="L17" s="1" t="s">
        <v>840</v>
      </c>
      <c r="M17" s="1" t="s">
        <v>840</v>
      </c>
      <c r="N17" s="1" t="s">
        <v>840</v>
      </c>
      <c r="O17" s="1" t="s">
        <v>840</v>
      </c>
      <c r="P17" s="1" t="s">
        <v>840</v>
      </c>
      <c r="Q17" s="1" t="s">
        <v>840</v>
      </c>
      <c r="R17" s="1" t="s">
        <v>840</v>
      </c>
      <c r="S17" s="1" t="s">
        <v>840</v>
      </c>
      <c r="T17" s="1" t="s">
        <v>840</v>
      </c>
      <c r="U17" s="1" t="s">
        <v>840</v>
      </c>
      <c r="V17" s="1" t="s">
        <v>840</v>
      </c>
      <c r="W17" s="1" t="s">
        <v>840</v>
      </c>
      <c r="X17" s="1" t="s">
        <v>840</v>
      </c>
      <c r="Y17" s="1" t="s">
        <v>840</v>
      </c>
      <c r="Z17" s="1" t="s">
        <v>840</v>
      </c>
      <c r="AA17" s="1" t="s">
        <v>840</v>
      </c>
      <c r="AB17" s="1" t="s">
        <v>840</v>
      </c>
      <c r="AC17" s="1" t="s">
        <v>840</v>
      </c>
      <c r="AD17" s="1" t="s">
        <v>840</v>
      </c>
      <c r="AE17" s="1" t="s">
        <v>840</v>
      </c>
      <c r="AF17" s="1" t="s">
        <v>840</v>
      </c>
      <c r="AG17" s="1" t="s">
        <v>840</v>
      </c>
      <c r="AH17" s="1" t="s">
        <v>840</v>
      </c>
      <c r="AI17" s="502">
        <v>44412.229194178202</v>
      </c>
    </row>
    <row r="18" spans="1:35">
      <c r="A18" s="1" t="s">
        <v>328</v>
      </c>
      <c r="B18" s="275" t="s">
        <v>930</v>
      </c>
      <c r="C18" s="1" t="s">
        <v>840</v>
      </c>
      <c r="D18" s="1" t="s">
        <v>840</v>
      </c>
      <c r="E18" s="1" t="s">
        <v>840</v>
      </c>
      <c r="F18" s="1" t="s">
        <v>840</v>
      </c>
      <c r="G18" s="1" t="s">
        <v>840</v>
      </c>
      <c r="H18" s="1" t="s">
        <v>840</v>
      </c>
      <c r="I18" s="1" t="s">
        <v>840</v>
      </c>
      <c r="J18" s="1" t="s">
        <v>840</v>
      </c>
      <c r="K18" s="1" t="s">
        <v>840</v>
      </c>
      <c r="L18" s="1" t="s">
        <v>840</v>
      </c>
      <c r="M18" s="1" t="s">
        <v>840</v>
      </c>
      <c r="N18" s="1" t="s">
        <v>840</v>
      </c>
      <c r="O18" s="1" t="s">
        <v>840</v>
      </c>
      <c r="P18" s="1" t="s">
        <v>840</v>
      </c>
      <c r="Q18" s="1" t="s">
        <v>840</v>
      </c>
      <c r="R18" s="1" t="s">
        <v>840</v>
      </c>
      <c r="S18" s="1" t="s">
        <v>840</v>
      </c>
      <c r="T18" s="1" t="s">
        <v>840</v>
      </c>
      <c r="U18" s="1" t="s">
        <v>840</v>
      </c>
      <c r="V18" s="1" t="s">
        <v>840</v>
      </c>
      <c r="W18" s="1" t="s">
        <v>840</v>
      </c>
      <c r="X18" s="1" t="s">
        <v>840</v>
      </c>
      <c r="Y18" s="1" t="s">
        <v>840</v>
      </c>
      <c r="Z18" s="1" t="s">
        <v>840</v>
      </c>
      <c r="AA18" s="1" t="s">
        <v>840</v>
      </c>
      <c r="AB18" s="1" t="s">
        <v>840</v>
      </c>
      <c r="AC18" s="1" t="s">
        <v>840</v>
      </c>
      <c r="AD18" s="1" t="s">
        <v>840</v>
      </c>
      <c r="AE18" s="1" t="s">
        <v>840</v>
      </c>
      <c r="AF18" s="1" t="s">
        <v>840</v>
      </c>
      <c r="AG18" s="1" t="s">
        <v>840</v>
      </c>
      <c r="AH18" s="1" t="s">
        <v>840</v>
      </c>
      <c r="AI18" s="502">
        <v>44412.229194178202</v>
      </c>
    </row>
    <row r="19" spans="1:35">
      <c r="A19" s="1" t="s">
        <v>328</v>
      </c>
      <c r="B19" s="275" t="s">
        <v>931</v>
      </c>
      <c r="C19" s="1" t="s">
        <v>840</v>
      </c>
      <c r="D19" s="1" t="s">
        <v>840</v>
      </c>
      <c r="E19" s="1" t="s">
        <v>840</v>
      </c>
      <c r="F19" s="1" t="s">
        <v>840</v>
      </c>
      <c r="G19" s="1" t="s">
        <v>840</v>
      </c>
      <c r="H19" s="1" t="s">
        <v>840</v>
      </c>
      <c r="I19" s="1" t="s">
        <v>840</v>
      </c>
      <c r="J19" s="1" t="s">
        <v>840</v>
      </c>
      <c r="K19" s="1" t="s">
        <v>840</v>
      </c>
      <c r="L19" s="1" t="s">
        <v>840</v>
      </c>
      <c r="M19" s="1" t="s">
        <v>840</v>
      </c>
      <c r="N19" s="1" t="s">
        <v>840</v>
      </c>
      <c r="O19" s="1" t="s">
        <v>840</v>
      </c>
      <c r="P19" s="1" t="s">
        <v>840</v>
      </c>
      <c r="Q19" s="1" t="s">
        <v>840</v>
      </c>
      <c r="R19" s="1" t="s">
        <v>840</v>
      </c>
      <c r="S19" s="1" t="s">
        <v>840</v>
      </c>
      <c r="T19" s="1" t="s">
        <v>840</v>
      </c>
      <c r="U19" s="1" t="s">
        <v>840</v>
      </c>
      <c r="V19" s="1" t="s">
        <v>840</v>
      </c>
      <c r="W19" s="1" t="s">
        <v>840</v>
      </c>
      <c r="X19" s="1" t="s">
        <v>840</v>
      </c>
      <c r="Y19" s="1" t="s">
        <v>840</v>
      </c>
      <c r="Z19" s="1" t="s">
        <v>840</v>
      </c>
      <c r="AA19" s="1" t="s">
        <v>840</v>
      </c>
      <c r="AB19" s="1" t="s">
        <v>840</v>
      </c>
      <c r="AC19" s="1" t="s">
        <v>840</v>
      </c>
      <c r="AD19" s="1" t="s">
        <v>840</v>
      </c>
      <c r="AE19" s="1" t="s">
        <v>840</v>
      </c>
      <c r="AF19" s="1" t="s">
        <v>840</v>
      </c>
      <c r="AG19" s="1" t="s">
        <v>840</v>
      </c>
      <c r="AH19" s="1" t="s">
        <v>840</v>
      </c>
      <c r="AI19" s="502">
        <v>44412.229194178202</v>
      </c>
    </row>
    <row r="20" spans="1:35">
      <c r="A20" s="1" t="s">
        <v>328</v>
      </c>
      <c r="B20" s="275" t="s">
        <v>932</v>
      </c>
      <c r="C20" s="1" t="s">
        <v>840</v>
      </c>
      <c r="D20" s="1" t="s">
        <v>840</v>
      </c>
      <c r="E20" s="1" t="s">
        <v>840</v>
      </c>
      <c r="F20" s="1" t="s">
        <v>840</v>
      </c>
      <c r="G20" s="1" t="s">
        <v>840</v>
      </c>
      <c r="H20" s="1" t="s">
        <v>840</v>
      </c>
      <c r="I20" s="1" t="s">
        <v>840</v>
      </c>
      <c r="J20" s="1" t="s">
        <v>840</v>
      </c>
      <c r="K20" s="1" t="s">
        <v>840</v>
      </c>
      <c r="L20" s="1" t="s">
        <v>840</v>
      </c>
      <c r="M20" s="1" t="s">
        <v>840</v>
      </c>
      <c r="N20" s="1" t="s">
        <v>840</v>
      </c>
      <c r="O20" s="1" t="s">
        <v>840</v>
      </c>
      <c r="P20" s="1" t="s">
        <v>840</v>
      </c>
      <c r="Q20" s="1" t="s">
        <v>840</v>
      </c>
      <c r="R20" s="1" t="s">
        <v>840</v>
      </c>
      <c r="S20" s="1" t="s">
        <v>840</v>
      </c>
      <c r="T20" s="1" t="s">
        <v>840</v>
      </c>
      <c r="U20" s="1" t="s">
        <v>840</v>
      </c>
      <c r="V20" s="1" t="s">
        <v>840</v>
      </c>
      <c r="W20" s="1" t="s">
        <v>840</v>
      </c>
      <c r="X20" s="1" t="s">
        <v>840</v>
      </c>
      <c r="Y20" s="1" t="s">
        <v>840</v>
      </c>
      <c r="Z20" s="1" t="s">
        <v>840</v>
      </c>
      <c r="AA20" s="1" t="s">
        <v>840</v>
      </c>
      <c r="AB20" s="1" t="s">
        <v>840</v>
      </c>
      <c r="AC20" s="1" t="s">
        <v>840</v>
      </c>
      <c r="AD20" s="1" t="s">
        <v>840</v>
      </c>
      <c r="AE20" s="1" t="s">
        <v>840</v>
      </c>
      <c r="AF20" s="1" t="s">
        <v>840</v>
      </c>
      <c r="AG20" s="1" t="s">
        <v>840</v>
      </c>
      <c r="AH20" s="1" t="s">
        <v>840</v>
      </c>
      <c r="AI20" s="502">
        <v>44412.229194178202</v>
      </c>
    </row>
    <row r="21" spans="1:35">
      <c r="A21" s="1" t="s">
        <v>328</v>
      </c>
      <c r="B21" s="275" t="s">
        <v>933</v>
      </c>
      <c r="C21" s="1" t="s">
        <v>840</v>
      </c>
      <c r="D21" s="1" t="s">
        <v>877</v>
      </c>
      <c r="E21" s="1" t="s">
        <v>867</v>
      </c>
      <c r="F21" s="1" t="s">
        <v>867</v>
      </c>
      <c r="G21" s="1" t="s">
        <v>867</v>
      </c>
      <c r="H21" s="1" t="s">
        <v>867</v>
      </c>
      <c r="I21" s="1" t="s">
        <v>867</v>
      </c>
      <c r="J21" s="1" t="s">
        <v>840</v>
      </c>
      <c r="K21" s="1" t="s">
        <v>867</v>
      </c>
      <c r="L21" s="1" t="s">
        <v>867</v>
      </c>
      <c r="M21" s="1" t="s">
        <v>867</v>
      </c>
      <c r="N21" s="1" t="s">
        <v>867</v>
      </c>
      <c r="O21" s="1" t="s">
        <v>867</v>
      </c>
      <c r="P21" s="1" t="s">
        <v>840</v>
      </c>
      <c r="Q21" s="1" t="s">
        <v>840</v>
      </c>
      <c r="R21" s="1" t="s">
        <v>867</v>
      </c>
      <c r="S21" s="1" t="s">
        <v>867</v>
      </c>
      <c r="T21" s="1" t="s">
        <v>867</v>
      </c>
      <c r="U21" s="1" t="s">
        <v>867</v>
      </c>
      <c r="V21" s="1" t="s">
        <v>867</v>
      </c>
      <c r="W21" s="1" t="s">
        <v>867</v>
      </c>
      <c r="X21" s="1" t="s">
        <v>840</v>
      </c>
      <c r="Y21" s="1" t="s">
        <v>867</v>
      </c>
      <c r="Z21" s="1" t="s">
        <v>867</v>
      </c>
      <c r="AA21" s="1" t="s">
        <v>867</v>
      </c>
      <c r="AB21" s="1" t="s">
        <v>867</v>
      </c>
      <c r="AC21" s="1" t="s">
        <v>867</v>
      </c>
      <c r="AD21" s="1" t="s">
        <v>867</v>
      </c>
      <c r="AE21" s="1" t="s">
        <v>840</v>
      </c>
      <c r="AF21" s="1" t="s">
        <v>867</v>
      </c>
      <c r="AG21" s="1" t="s">
        <v>867</v>
      </c>
      <c r="AH21" s="1" t="s">
        <v>895</v>
      </c>
      <c r="AI21" s="502">
        <v>44412.229194178202</v>
      </c>
    </row>
    <row r="22" spans="1:35">
      <c r="A22" s="1" t="s">
        <v>328</v>
      </c>
      <c r="B22" s="275" t="s">
        <v>934</v>
      </c>
      <c r="C22" s="1" t="s">
        <v>840</v>
      </c>
      <c r="D22" s="1" t="s">
        <v>840</v>
      </c>
      <c r="E22" s="1" t="s">
        <v>840</v>
      </c>
      <c r="F22" s="1" t="s">
        <v>840</v>
      </c>
      <c r="G22" s="1" t="s">
        <v>840</v>
      </c>
      <c r="H22" s="1" t="s">
        <v>840</v>
      </c>
      <c r="I22" s="1" t="s">
        <v>840</v>
      </c>
      <c r="J22" s="1" t="s">
        <v>840</v>
      </c>
      <c r="K22" s="1" t="s">
        <v>840</v>
      </c>
      <c r="L22" s="1" t="s">
        <v>840</v>
      </c>
      <c r="M22" s="1" t="s">
        <v>840</v>
      </c>
      <c r="N22" s="1" t="s">
        <v>840</v>
      </c>
      <c r="O22" s="1" t="s">
        <v>840</v>
      </c>
      <c r="P22" s="1" t="s">
        <v>840</v>
      </c>
      <c r="Q22" s="1" t="s">
        <v>840</v>
      </c>
      <c r="R22" s="1" t="s">
        <v>840</v>
      </c>
      <c r="S22" s="1" t="s">
        <v>840</v>
      </c>
      <c r="T22" s="1" t="s">
        <v>840</v>
      </c>
      <c r="U22" s="1" t="s">
        <v>840</v>
      </c>
      <c r="V22" s="1" t="s">
        <v>840</v>
      </c>
      <c r="W22" s="1" t="s">
        <v>840</v>
      </c>
      <c r="X22" s="1" t="s">
        <v>840</v>
      </c>
      <c r="Y22" s="1" t="s">
        <v>840</v>
      </c>
      <c r="Z22" s="1" t="s">
        <v>840</v>
      </c>
      <c r="AA22" s="1" t="s">
        <v>840</v>
      </c>
      <c r="AB22" s="1" t="s">
        <v>840</v>
      </c>
      <c r="AC22" s="1" t="s">
        <v>840</v>
      </c>
      <c r="AD22" s="1" t="s">
        <v>840</v>
      </c>
      <c r="AE22" s="1" t="s">
        <v>840</v>
      </c>
      <c r="AF22" s="1" t="s">
        <v>840</v>
      </c>
      <c r="AG22" s="1" t="s">
        <v>840</v>
      </c>
      <c r="AH22" s="1" t="s">
        <v>840</v>
      </c>
      <c r="AI22" s="502">
        <v>44412.229194178202</v>
      </c>
    </row>
    <row r="23" spans="1:35">
      <c r="A23" s="503" t="s">
        <v>328</v>
      </c>
      <c r="B23" s="275" t="s">
        <v>935</v>
      </c>
      <c r="C23" s="503" t="s">
        <v>840</v>
      </c>
      <c r="D23" s="503" t="s">
        <v>914</v>
      </c>
      <c r="E23" s="503" t="s">
        <v>936</v>
      </c>
      <c r="F23" s="503" t="s">
        <v>899</v>
      </c>
      <c r="G23" s="503" t="s">
        <v>937</v>
      </c>
      <c r="H23" s="503" t="s">
        <v>938</v>
      </c>
      <c r="I23" s="503" t="s">
        <v>919</v>
      </c>
      <c r="J23" s="503" t="s">
        <v>840</v>
      </c>
      <c r="K23" s="503" t="s">
        <v>923</v>
      </c>
      <c r="L23" s="503" t="s">
        <v>939</v>
      </c>
      <c r="M23" s="503" t="s">
        <v>940</v>
      </c>
      <c r="N23" s="503" t="s">
        <v>941</v>
      </c>
      <c r="O23" s="503" t="s">
        <v>942</v>
      </c>
      <c r="P23" s="503" t="s">
        <v>840</v>
      </c>
      <c r="Q23" s="503" t="s">
        <v>840</v>
      </c>
      <c r="R23" s="503" t="s">
        <v>943</v>
      </c>
      <c r="S23" s="503" t="s">
        <v>906</v>
      </c>
      <c r="T23" s="503" t="s">
        <v>944</v>
      </c>
      <c r="U23" s="503" t="s">
        <v>906</v>
      </c>
      <c r="V23" s="503" t="s">
        <v>945</v>
      </c>
      <c r="W23" s="503" t="s">
        <v>945</v>
      </c>
      <c r="X23" s="503" t="s">
        <v>840</v>
      </c>
      <c r="Y23" s="503" t="s">
        <v>946</v>
      </c>
      <c r="Z23" s="503" t="s">
        <v>947</v>
      </c>
      <c r="AA23" s="503" t="s">
        <v>936</v>
      </c>
      <c r="AB23" s="503" t="s">
        <v>948</v>
      </c>
      <c r="AC23" s="503" t="s">
        <v>936</v>
      </c>
      <c r="AD23" s="503" t="s">
        <v>863</v>
      </c>
      <c r="AE23" s="503" t="s">
        <v>840</v>
      </c>
      <c r="AF23" s="503" t="s">
        <v>921</v>
      </c>
      <c r="AG23" s="503" t="s">
        <v>945</v>
      </c>
      <c r="AH23" s="503" t="s">
        <v>941</v>
      </c>
      <c r="AI23" s="502">
        <v>44412.229194178202</v>
      </c>
    </row>
    <row r="24" spans="1:35">
      <c r="B24" s="275"/>
    </row>
    <row r="25" spans="1:35">
      <c r="B25" s="275"/>
    </row>
    <row r="26" spans="1:35">
      <c r="B26" s="275"/>
    </row>
    <row r="27" spans="1:35">
      <c r="B27" s="275"/>
    </row>
    <row r="28" spans="1:35">
      <c r="B28" s="275"/>
    </row>
    <row r="29" spans="1:35">
      <c r="B29" s="275"/>
    </row>
    <row r="30" spans="1:35">
      <c r="B30" s="275"/>
    </row>
    <row r="31" spans="1:35">
      <c r="B31" s="275"/>
    </row>
    <row r="32" spans="1:35">
      <c r="B32" s="275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J22"/>
  <sheetViews>
    <sheetView workbookViewId="0">
      <selection activeCell="F25" sqref="F25"/>
    </sheetView>
  </sheetViews>
  <sheetFormatPr defaultRowHeight="17.100000000000001"/>
  <sheetData>
    <row r="1" spans="1:36">
      <c r="A1" s="1" t="s">
        <v>294</v>
      </c>
      <c r="B1" s="1" t="s">
        <v>361</v>
      </c>
      <c r="C1" s="1" t="s">
        <v>949</v>
      </c>
      <c r="D1" s="1" t="s">
        <v>296</v>
      </c>
      <c r="E1" s="1" t="s">
        <v>297</v>
      </c>
      <c r="F1" s="1" t="s">
        <v>298</v>
      </c>
      <c r="G1" s="1" t="s">
        <v>299</v>
      </c>
      <c r="H1" s="1" t="s">
        <v>300</v>
      </c>
      <c r="I1" s="1" t="s">
        <v>301</v>
      </c>
      <c r="J1" s="1" t="s">
        <v>302</v>
      </c>
      <c r="K1" s="1" t="s">
        <v>303</v>
      </c>
      <c r="L1" s="1" t="s">
        <v>304</v>
      </c>
      <c r="M1" s="1" t="s">
        <v>305</v>
      </c>
      <c r="N1" s="1" t="s">
        <v>306</v>
      </c>
      <c r="O1" s="1" t="s">
        <v>307</v>
      </c>
      <c r="P1" s="1" t="s">
        <v>308</v>
      </c>
      <c r="Q1" s="1" t="s">
        <v>309</v>
      </c>
      <c r="R1" s="1" t="s">
        <v>310</v>
      </c>
      <c r="S1" s="1" t="s">
        <v>311</v>
      </c>
      <c r="T1" s="1" t="s">
        <v>312</v>
      </c>
      <c r="U1" s="1" t="s">
        <v>313</v>
      </c>
      <c r="V1" s="1" t="s">
        <v>314</v>
      </c>
      <c r="W1" s="1" t="s">
        <v>315</v>
      </c>
      <c r="X1" s="1" t="s">
        <v>316</v>
      </c>
      <c r="Y1" s="1" t="s">
        <v>317</v>
      </c>
      <c r="Z1" s="1" t="s">
        <v>318</v>
      </c>
      <c r="AA1" s="1" t="s">
        <v>319</v>
      </c>
      <c r="AB1" s="1" t="s">
        <v>320</v>
      </c>
      <c r="AC1" s="1" t="s">
        <v>321</v>
      </c>
      <c r="AD1" s="1" t="s">
        <v>322</v>
      </c>
      <c r="AE1" s="1" t="s">
        <v>323</v>
      </c>
      <c r="AF1" s="1" t="s">
        <v>324</v>
      </c>
      <c r="AG1" s="1" t="s">
        <v>325</v>
      </c>
      <c r="AH1" s="1" t="s">
        <v>326</v>
      </c>
      <c r="AI1" s="1" t="s">
        <v>839</v>
      </c>
    </row>
    <row r="2" spans="1:36">
      <c r="A2" s="1" t="s">
        <v>328</v>
      </c>
      <c r="B2" s="275" t="s">
        <v>364</v>
      </c>
      <c r="C2" s="1" t="s">
        <v>236</v>
      </c>
      <c r="D2" s="1" t="s">
        <v>840</v>
      </c>
      <c r="E2" s="1" t="s">
        <v>844</v>
      </c>
      <c r="F2" s="1" t="s">
        <v>864</v>
      </c>
      <c r="G2" s="1" t="s">
        <v>854</v>
      </c>
      <c r="H2" s="1" t="s">
        <v>842</v>
      </c>
      <c r="I2" s="1" t="s">
        <v>847</v>
      </c>
      <c r="J2" s="1" t="s">
        <v>889</v>
      </c>
      <c r="K2" s="1" t="s">
        <v>840</v>
      </c>
      <c r="L2" s="1" t="s">
        <v>900</v>
      </c>
      <c r="M2" s="1" t="s">
        <v>842</v>
      </c>
      <c r="N2" s="1" t="s">
        <v>844</v>
      </c>
      <c r="O2" s="1" t="s">
        <v>842</v>
      </c>
      <c r="P2" s="1" t="s">
        <v>847</v>
      </c>
      <c r="Q2" s="1" t="s">
        <v>840</v>
      </c>
      <c r="R2" s="1" t="s">
        <v>840</v>
      </c>
      <c r="S2" s="1" t="s">
        <v>847</v>
      </c>
      <c r="T2" s="1" t="s">
        <v>857</v>
      </c>
      <c r="U2" s="1" t="s">
        <v>842</v>
      </c>
      <c r="V2" s="1" t="s">
        <v>842</v>
      </c>
      <c r="W2" s="1" t="s">
        <v>851</v>
      </c>
      <c r="X2" s="1" t="s">
        <v>852</v>
      </c>
      <c r="Y2" s="1" t="s">
        <v>840</v>
      </c>
      <c r="Z2" s="1" t="s">
        <v>842</v>
      </c>
      <c r="AA2" s="1" t="s">
        <v>847</v>
      </c>
      <c r="AB2" s="1" t="s">
        <v>842</v>
      </c>
      <c r="AC2" s="1" t="s">
        <v>847</v>
      </c>
      <c r="AD2" s="1" t="s">
        <v>844</v>
      </c>
      <c r="AE2" s="1" t="s">
        <v>908</v>
      </c>
      <c r="AF2" s="1" t="s">
        <v>840</v>
      </c>
      <c r="AG2" s="1" t="s">
        <v>846</v>
      </c>
      <c r="AH2" s="1" t="s">
        <v>850</v>
      </c>
      <c r="AI2" s="1" t="s">
        <v>842</v>
      </c>
      <c r="AJ2" s="502">
        <v>43056.229596249999</v>
      </c>
    </row>
    <row r="3" spans="1:36">
      <c r="A3" s="1" t="s">
        <v>328</v>
      </c>
      <c r="B3" s="275" t="s">
        <v>364</v>
      </c>
      <c r="C3" s="1" t="s">
        <v>237</v>
      </c>
      <c r="D3" s="1" t="s">
        <v>840</v>
      </c>
      <c r="E3" s="1" t="s">
        <v>908</v>
      </c>
      <c r="F3" s="1" t="s">
        <v>845</v>
      </c>
      <c r="G3" s="1" t="s">
        <v>908</v>
      </c>
      <c r="H3" s="1" t="s">
        <v>908</v>
      </c>
      <c r="I3" s="1" t="s">
        <v>865</v>
      </c>
      <c r="J3" s="1" t="s">
        <v>865</v>
      </c>
      <c r="K3" s="1" t="s">
        <v>840</v>
      </c>
      <c r="L3" s="1" t="s">
        <v>845</v>
      </c>
      <c r="M3" s="1" t="s">
        <v>908</v>
      </c>
      <c r="N3" s="1" t="s">
        <v>850</v>
      </c>
      <c r="O3" s="1" t="s">
        <v>841</v>
      </c>
      <c r="P3" s="1" t="s">
        <v>851</v>
      </c>
      <c r="Q3" s="1" t="s">
        <v>840</v>
      </c>
      <c r="R3" s="1" t="s">
        <v>840</v>
      </c>
      <c r="S3" s="1" t="s">
        <v>908</v>
      </c>
      <c r="T3" s="1" t="s">
        <v>850</v>
      </c>
      <c r="U3" s="1" t="s">
        <v>847</v>
      </c>
      <c r="V3" s="1" t="s">
        <v>851</v>
      </c>
      <c r="W3" s="1" t="s">
        <v>841</v>
      </c>
      <c r="X3" s="1" t="s">
        <v>845</v>
      </c>
      <c r="Y3" s="1" t="s">
        <v>840</v>
      </c>
      <c r="Z3" s="1" t="s">
        <v>852</v>
      </c>
      <c r="AA3" s="1" t="s">
        <v>852</v>
      </c>
      <c r="AB3" s="1" t="s">
        <v>851</v>
      </c>
      <c r="AC3" s="1" t="s">
        <v>846</v>
      </c>
      <c r="AD3" s="1" t="s">
        <v>896</v>
      </c>
      <c r="AE3" s="1" t="s">
        <v>841</v>
      </c>
      <c r="AF3" s="1" t="s">
        <v>840</v>
      </c>
      <c r="AG3" s="1" t="s">
        <v>841</v>
      </c>
      <c r="AH3" s="1" t="s">
        <v>841</v>
      </c>
      <c r="AI3" s="1" t="s">
        <v>852</v>
      </c>
      <c r="AJ3" s="502">
        <v>43056.229596249999</v>
      </c>
    </row>
    <row r="4" spans="1:36">
      <c r="A4" s="1" t="s">
        <v>328</v>
      </c>
      <c r="B4" s="275" t="s">
        <v>364</v>
      </c>
      <c r="C4" s="1" t="s">
        <v>950</v>
      </c>
      <c r="D4" s="1" t="s">
        <v>840</v>
      </c>
      <c r="E4" s="1" t="s">
        <v>900</v>
      </c>
      <c r="F4" s="1" t="s">
        <v>890</v>
      </c>
      <c r="G4" s="1" t="s">
        <v>894</v>
      </c>
      <c r="H4" s="1" t="s">
        <v>893</v>
      </c>
      <c r="I4" s="1" t="s">
        <v>846</v>
      </c>
      <c r="J4" s="1" t="s">
        <v>845</v>
      </c>
      <c r="K4" s="1" t="s">
        <v>840</v>
      </c>
      <c r="L4" s="1" t="s">
        <v>846</v>
      </c>
      <c r="M4" s="1" t="s">
        <v>849</v>
      </c>
      <c r="N4" s="1" t="s">
        <v>908</v>
      </c>
      <c r="O4" s="1" t="s">
        <v>852</v>
      </c>
      <c r="P4" s="1" t="s">
        <v>908</v>
      </c>
      <c r="Q4" s="1" t="s">
        <v>840</v>
      </c>
      <c r="R4" s="1" t="s">
        <v>840</v>
      </c>
      <c r="S4" s="1" t="s">
        <v>908</v>
      </c>
      <c r="T4" s="1" t="s">
        <v>843</v>
      </c>
      <c r="U4" s="1" t="s">
        <v>900</v>
      </c>
      <c r="V4" s="1" t="s">
        <v>865</v>
      </c>
      <c r="W4" s="1" t="s">
        <v>865</v>
      </c>
      <c r="X4" s="1" t="s">
        <v>900</v>
      </c>
      <c r="Y4" s="1" t="s">
        <v>840</v>
      </c>
      <c r="Z4" s="1" t="s">
        <v>895</v>
      </c>
      <c r="AA4" s="1" t="s">
        <v>894</v>
      </c>
      <c r="AB4" s="1" t="s">
        <v>846</v>
      </c>
      <c r="AC4" s="1" t="s">
        <v>900</v>
      </c>
      <c r="AD4" s="1" t="s">
        <v>900</v>
      </c>
      <c r="AE4" s="1" t="s">
        <v>890</v>
      </c>
      <c r="AF4" s="1" t="s">
        <v>840</v>
      </c>
      <c r="AG4" s="1" t="s">
        <v>895</v>
      </c>
      <c r="AH4" s="1" t="s">
        <v>868</v>
      </c>
      <c r="AI4" s="1" t="s">
        <v>896</v>
      </c>
      <c r="AJ4" s="502">
        <v>43056.229596249999</v>
      </c>
    </row>
    <row r="5" spans="1:36">
      <c r="A5" s="1" t="s">
        <v>328</v>
      </c>
      <c r="B5" s="275" t="s">
        <v>364</v>
      </c>
      <c r="C5" s="1" t="s">
        <v>951</v>
      </c>
      <c r="D5" s="1" t="s">
        <v>840</v>
      </c>
      <c r="E5" s="1" t="s">
        <v>852</v>
      </c>
      <c r="F5" s="1" t="s">
        <v>841</v>
      </c>
      <c r="G5" s="1" t="s">
        <v>847</v>
      </c>
      <c r="H5" s="1" t="s">
        <v>852</v>
      </c>
      <c r="I5" s="1" t="s">
        <v>850</v>
      </c>
      <c r="J5" s="1" t="s">
        <v>896</v>
      </c>
      <c r="K5" s="1" t="s">
        <v>840</v>
      </c>
      <c r="L5" s="1" t="s">
        <v>896</v>
      </c>
      <c r="M5" s="1" t="s">
        <v>841</v>
      </c>
      <c r="N5" s="1" t="s">
        <v>841</v>
      </c>
      <c r="O5" s="1" t="s">
        <v>844</v>
      </c>
      <c r="P5" s="1" t="s">
        <v>851</v>
      </c>
      <c r="Q5" s="1" t="s">
        <v>840</v>
      </c>
      <c r="R5" s="1" t="s">
        <v>840</v>
      </c>
      <c r="S5" s="1" t="s">
        <v>841</v>
      </c>
      <c r="T5" s="1" t="s">
        <v>848</v>
      </c>
      <c r="U5" s="1" t="s">
        <v>842</v>
      </c>
      <c r="V5" s="1" t="s">
        <v>842</v>
      </c>
      <c r="W5" s="1" t="s">
        <v>844</v>
      </c>
      <c r="X5" s="1" t="s">
        <v>846</v>
      </c>
      <c r="Y5" s="1" t="s">
        <v>840</v>
      </c>
      <c r="Z5" s="1" t="s">
        <v>850</v>
      </c>
      <c r="AA5" s="1" t="s">
        <v>841</v>
      </c>
      <c r="AB5" s="1" t="s">
        <v>842</v>
      </c>
      <c r="AC5" s="1" t="s">
        <v>850</v>
      </c>
      <c r="AD5" s="1" t="s">
        <v>908</v>
      </c>
      <c r="AE5" s="1" t="s">
        <v>908</v>
      </c>
      <c r="AF5" s="1" t="s">
        <v>840</v>
      </c>
      <c r="AG5" s="1" t="s">
        <v>908</v>
      </c>
      <c r="AH5" s="1" t="s">
        <v>852</v>
      </c>
      <c r="AI5" s="1" t="s">
        <v>841</v>
      </c>
      <c r="AJ5" s="502">
        <v>43056.229596249999</v>
      </c>
    </row>
    <row r="6" spans="1:36">
      <c r="A6" s="1" t="s">
        <v>328</v>
      </c>
      <c r="B6" s="275" t="s">
        <v>398</v>
      </c>
      <c r="C6" s="1" t="s">
        <v>951</v>
      </c>
      <c r="D6" s="1" t="s">
        <v>840</v>
      </c>
      <c r="E6" s="1" t="s">
        <v>850</v>
      </c>
      <c r="F6" s="1" t="s">
        <v>855</v>
      </c>
      <c r="G6" s="1" t="s">
        <v>843</v>
      </c>
      <c r="H6" s="1" t="s">
        <v>841</v>
      </c>
      <c r="I6" s="1" t="s">
        <v>844</v>
      </c>
      <c r="J6" s="1" t="s">
        <v>852</v>
      </c>
      <c r="K6" s="1" t="s">
        <v>840</v>
      </c>
      <c r="L6" s="1" t="s">
        <v>844</v>
      </c>
      <c r="M6" s="1" t="s">
        <v>855</v>
      </c>
      <c r="N6" s="1" t="s">
        <v>843</v>
      </c>
      <c r="O6" s="1" t="s">
        <v>864</v>
      </c>
      <c r="P6" s="1" t="s">
        <v>857</v>
      </c>
      <c r="Q6" s="1" t="s">
        <v>840</v>
      </c>
      <c r="R6" s="1" t="s">
        <v>840</v>
      </c>
      <c r="S6" s="1" t="s">
        <v>862</v>
      </c>
      <c r="T6" s="1" t="s">
        <v>856</v>
      </c>
      <c r="U6" s="1" t="s">
        <v>857</v>
      </c>
      <c r="V6" s="1" t="s">
        <v>866</v>
      </c>
      <c r="W6" s="1" t="s">
        <v>862</v>
      </c>
      <c r="X6" s="1" t="s">
        <v>853</v>
      </c>
      <c r="Y6" s="1" t="s">
        <v>840</v>
      </c>
      <c r="Z6" s="1" t="s">
        <v>866</v>
      </c>
      <c r="AA6" s="1" t="s">
        <v>843</v>
      </c>
      <c r="AB6" s="1" t="s">
        <v>843</v>
      </c>
      <c r="AC6" s="1" t="s">
        <v>852</v>
      </c>
      <c r="AD6" s="1" t="s">
        <v>842</v>
      </c>
      <c r="AE6" s="1" t="s">
        <v>893</v>
      </c>
      <c r="AF6" s="1" t="s">
        <v>840</v>
      </c>
      <c r="AG6" s="1" t="s">
        <v>845</v>
      </c>
      <c r="AH6" s="1" t="s">
        <v>852</v>
      </c>
      <c r="AI6" s="1" t="s">
        <v>848</v>
      </c>
      <c r="AJ6" s="502">
        <v>43056.229596249999</v>
      </c>
    </row>
    <row r="7" spans="1:36">
      <c r="A7" s="1" t="s">
        <v>328</v>
      </c>
      <c r="B7" s="275" t="s">
        <v>429</v>
      </c>
      <c r="C7" s="1" t="s">
        <v>951</v>
      </c>
      <c r="D7" s="1" t="s">
        <v>840</v>
      </c>
      <c r="E7" s="1" t="s">
        <v>867</v>
      </c>
      <c r="F7" s="1" t="s">
        <v>867</v>
      </c>
      <c r="G7" s="1" t="s">
        <v>867</v>
      </c>
      <c r="H7" s="1" t="s">
        <v>867</v>
      </c>
      <c r="I7" s="1" t="s">
        <v>867</v>
      </c>
      <c r="J7" s="1" t="s">
        <v>867</v>
      </c>
      <c r="K7" s="1" t="s">
        <v>840</v>
      </c>
      <c r="L7" s="1" t="s">
        <v>867</v>
      </c>
      <c r="M7" s="1" t="s">
        <v>867</v>
      </c>
      <c r="N7" s="1" t="s">
        <v>867</v>
      </c>
      <c r="O7" s="1" t="s">
        <v>867</v>
      </c>
      <c r="P7" s="1" t="s">
        <v>867</v>
      </c>
      <c r="Q7" s="1" t="s">
        <v>840</v>
      </c>
      <c r="R7" s="1" t="s">
        <v>840</v>
      </c>
      <c r="S7" s="1" t="s">
        <v>867</v>
      </c>
      <c r="T7" s="1" t="s">
        <v>867</v>
      </c>
      <c r="U7" s="1" t="s">
        <v>867</v>
      </c>
      <c r="V7" s="1" t="s">
        <v>867</v>
      </c>
      <c r="W7" s="1" t="s">
        <v>867</v>
      </c>
      <c r="X7" s="1" t="s">
        <v>867</v>
      </c>
      <c r="Y7" s="1" t="s">
        <v>840</v>
      </c>
      <c r="Z7" s="1" t="s">
        <v>868</v>
      </c>
      <c r="AA7" s="1" t="s">
        <v>850</v>
      </c>
      <c r="AB7" s="1" t="s">
        <v>867</v>
      </c>
      <c r="AC7" s="1" t="s">
        <v>867</v>
      </c>
      <c r="AD7" s="1" t="s">
        <v>867</v>
      </c>
      <c r="AE7" s="1" t="s">
        <v>867</v>
      </c>
      <c r="AF7" s="1" t="s">
        <v>840</v>
      </c>
      <c r="AG7" s="1" t="s">
        <v>867</v>
      </c>
      <c r="AH7" s="1" t="s">
        <v>867</v>
      </c>
      <c r="AI7" s="1" t="s">
        <v>869</v>
      </c>
      <c r="AJ7" s="502">
        <v>43056.229596249999</v>
      </c>
    </row>
    <row r="8" spans="1:36">
      <c r="A8" s="1" t="s">
        <v>328</v>
      </c>
      <c r="B8" s="275" t="s">
        <v>458</v>
      </c>
      <c r="C8" s="1" t="s">
        <v>951</v>
      </c>
      <c r="D8" s="1" t="s">
        <v>840</v>
      </c>
      <c r="E8" s="1" t="s">
        <v>880</v>
      </c>
      <c r="F8" s="1" t="s">
        <v>871</v>
      </c>
      <c r="G8" s="1" t="s">
        <v>867</v>
      </c>
      <c r="H8" s="1" t="s">
        <v>886</v>
      </c>
      <c r="I8" s="1" t="s">
        <v>867</v>
      </c>
      <c r="J8" s="1" t="s">
        <v>867</v>
      </c>
      <c r="K8" s="1" t="s">
        <v>840</v>
      </c>
      <c r="L8" s="1" t="s">
        <v>867</v>
      </c>
      <c r="M8" s="1" t="s">
        <v>873</v>
      </c>
      <c r="N8" s="1" t="s">
        <v>867</v>
      </c>
      <c r="O8" s="1" t="s">
        <v>874</v>
      </c>
      <c r="P8" s="1" t="s">
        <v>875</v>
      </c>
      <c r="Q8" s="1" t="s">
        <v>840</v>
      </c>
      <c r="R8" s="1" t="s">
        <v>840</v>
      </c>
      <c r="S8" s="1" t="s">
        <v>876</v>
      </c>
      <c r="T8" s="1" t="s">
        <v>871</v>
      </c>
      <c r="U8" s="1" t="s">
        <v>916</v>
      </c>
      <c r="V8" s="1" t="s">
        <v>952</v>
      </c>
      <c r="W8" s="1" t="s">
        <v>867</v>
      </c>
      <c r="X8" s="1" t="s">
        <v>880</v>
      </c>
      <c r="Y8" s="1" t="s">
        <v>840</v>
      </c>
      <c r="Z8" s="1" t="s">
        <v>881</v>
      </c>
      <c r="AA8" s="1" t="s">
        <v>882</v>
      </c>
      <c r="AB8" s="1" t="s">
        <v>953</v>
      </c>
      <c r="AC8" s="1" t="s">
        <v>954</v>
      </c>
      <c r="AD8" s="1" t="s">
        <v>885</v>
      </c>
      <c r="AE8" s="1" t="s">
        <v>905</v>
      </c>
      <c r="AF8" s="1" t="s">
        <v>840</v>
      </c>
      <c r="AG8" s="1" t="s">
        <v>867</v>
      </c>
      <c r="AH8" s="1" t="s">
        <v>887</v>
      </c>
      <c r="AI8" s="1" t="s">
        <v>955</v>
      </c>
      <c r="AJ8" s="502">
        <v>43056.229596249999</v>
      </c>
    </row>
    <row r="9" spans="1:36">
      <c r="A9" s="1" t="s">
        <v>328</v>
      </c>
      <c r="B9" s="275" t="s">
        <v>488</v>
      </c>
      <c r="C9" s="1" t="s">
        <v>951</v>
      </c>
      <c r="D9" s="1" t="s">
        <v>840</v>
      </c>
      <c r="E9" s="1" t="s">
        <v>900</v>
      </c>
      <c r="F9" s="1" t="s">
        <v>890</v>
      </c>
      <c r="G9" s="1" t="s">
        <v>891</v>
      </c>
      <c r="H9" s="1" t="s">
        <v>892</v>
      </c>
      <c r="I9" s="1" t="s">
        <v>892</v>
      </c>
      <c r="J9" s="1" t="s">
        <v>868</v>
      </c>
      <c r="K9" s="1" t="s">
        <v>840</v>
      </c>
      <c r="L9" s="1" t="s">
        <v>890</v>
      </c>
      <c r="M9" s="1" t="s">
        <v>892</v>
      </c>
      <c r="N9" s="1" t="s">
        <v>893</v>
      </c>
      <c r="O9" s="1" t="s">
        <v>868</v>
      </c>
      <c r="P9" s="1" t="s">
        <v>842</v>
      </c>
      <c r="Q9" s="1" t="s">
        <v>840</v>
      </c>
      <c r="R9" s="1" t="s">
        <v>840</v>
      </c>
      <c r="S9" s="1" t="s">
        <v>845</v>
      </c>
      <c r="T9" s="1" t="s">
        <v>890</v>
      </c>
      <c r="U9" s="1" t="s">
        <v>868</v>
      </c>
      <c r="V9" s="1" t="s">
        <v>891</v>
      </c>
      <c r="W9" s="1" t="s">
        <v>892</v>
      </c>
      <c r="X9" s="1" t="s">
        <v>895</v>
      </c>
      <c r="Y9" s="1" t="s">
        <v>840</v>
      </c>
      <c r="Z9" s="1" t="s">
        <v>896</v>
      </c>
      <c r="AA9" s="1" t="s">
        <v>895</v>
      </c>
      <c r="AB9" s="1" t="s">
        <v>891</v>
      </c>
      <c r="AC9" s="1" t="s">
        <v>895</v>
      </c>
      <c r="AD9" s="1" t="s">
        <v>892</v>
      </c>
      <c r="AE9" s="1" t="s">
        <v>892</v>
      </c>
      <c r="AF9" s="1" t="s">
        <v>840</v>
      </c>
      <c r="AG9" s="1" t="s">
        <v>868</v>
      </c>
      <c r="AH9" s="1" t="s">
        <v>869</v>
      </c>
      <c r="AI9" s="1" t="s">
        <v>890</v>
      </c>
      <c r="AJ9" s="502">
        <v>43056.229596249999</v>
      </c>
    </row>
    <row r="10" spans="1:36">
      <c r="A10" s="1" t="s">
        <v>328</v>
      </c>
      <c r="B10" s="275" t="s">
        <v>521</v>
      </c>
      <c r="C10" s="1" t="s">
        <v>951</v>
      </c>
      <c r="D10" s="1" t="s">
        <v>840</v>
      </c>
      <c r="E10" s="1" t="s">
        <v>840</v>
      </c>
      <c r="F10" s="1" t="s">
        <v>840</v>
      </c>
      <c r="G10" s="1" t="s">
        <v>840</v>
      </c>
      <c r="H10" s="1" t="s">
        <v>840</v>
      </c>
      <c r="I10" s="1" t="s">
        <v>840</v>
      </c>
      <c r="J10" s="1" t="s">
        <v>840</v>
      </c>
      <c r="K10" s="1" t="s">
        <v>840</v>
      </c>
      <c r="L10" s="1" t="s">
        <v>840</v>
      </c>
      <c r="M10" s="1" t="s">
        <v>840</v>
      </c>
      <c r="N10" s="1" t="s">
        <v>840</v>
      </c>
      <c r="O10" s="1" t="s">
        <v>840</v>
      </c>
      <c r="P10" s="1" t="s">
        <v>840</v>
      </c>
      <c r="Q10" s="1" t="s">
        <v>840</v>
      </c>
      <c r="R10" s="1" t="s">
        <v>840</v>
      </c>
      <c r="S10" s="1" t="s">
        <v>840</v>
      </c>
      <c r="T10" s="1" t="s">
        <v>840</v>
      </c>
      <c r="U10" s="1" t="s">
        <v>840</v>
      </c>
      <c r="V10" s="1" t="s">
        <v>840</v>
      </c>
      <c r="W10" s="1" t="s">
        <v>840</v>
      </c>
      <c r="X10" s="1" t="s">
        <v>840</v>
      </c>
      <c r="Y10" s="1" t="s">
        <v>840</v>
      </c>
      <c r="Z10" s="1" t="s">
        <v>840</v>
      </c>
      <c r="AA10" s="1" t="s">
        <v>840</v>
      </c>
      <c r="AB10" s="1" t="s">
        <v>840</v>
      </c>
      <c r="AC10" s="1" t="s">
        <v>840</v>
      </c>
      <c r="AD10" s="1" t="s">
        <v>840</v>
      </c>
      <c r="AE10" s="1" t="s">
        <v>840</v>
      </c>
      <c r="AF10" s="1" t="s">
        <v>840</v>
      </c>
      <c r="AG10" s="1" t="s">
        <v>840</v>
      </c>
      <c r="AH10" s="1" t="s">
        <v>840</v>
      </c>
      <c r="AI10" s="1" t="s">
        <v>840</v>
      </c>
      <c r="AJ10" s="502">
        <v>43056.229596249999</v>
      </c>
    </row>
    <row r="11" spans="1:36">
      <c r="A11" s="1" t="s">
        <v>328</v>
      </c>
      <c r="B11" s="275" t="s">
        <v>523</v>
      </c>
      <c r="C11" s="1" t="s">
        <v>951</v>
      </c>
      <c r="D11" s="1" t="s">
        <v>840</v>
      </c>
      <c r="E11" s="1" t="s">
        <v>891</v>
      </c>
      <c r="F11" s="1" t="s">
        <v>893</v>
      </c>
      <c r="G11" s="1" t="s">
        <v>867</v>
      </c>
      <c r="H11" s="1" t="s">
        <v>892</v>
      </c>
      <c r="I11" s="1" t="s">
        <v>841</v>
      </c>
      <c r="J11" s="1" t="s">
        <v>852</v>
      </c>
      <c r="K11" s="1" t="s">
        <v>840</v>
      </c>
      <c r="L11" s="1" t="s">
        <v>956</v>
      </c>
      <c r="M11" s="1" t="s">
        <v>854</v>
      </c>
      <c r="N11" s="1" t="s">
        <v>841</v>
      </c>
      <c r="O11" s="1" t="s">
        <v>894</v>
      </c>
      <c r="P11" s="1" t="s">
        <v>892</v>
      </c>
      <c r="Q11" s="1" t="s">
        <v>840</v>
      </c>
      <c r="R11" s="1" t="s">
        <v>840</v>
      </c>
      <c r="S11" s="1" t="s">
        <v>898</v>
      </c>
      <c r="T11" s="1" t="s">
        <v>894</v>
      </c>
      <c r="U11" s="1" t="s">
        <v>896</v>
      </c>
      <c r="V11" s="1" t="s">
        <v>868</v>
      </c>
      <c r="W11" s="1" t="s">
        <v>895</v>
      </c>
      <c r="X11" s="1" t="s">
        <v>890</v>
      </c>
      <c r="Y11" s="1" t="s">
        <v>840</v>
      </c>
      <c r="Z11" s="1" t="s">
        <v>899</v>
      </c>
      <c r="AA11" s="1" t="s">
        <v>844</v>
      </c>
      <c r="AB11" s="1" t="s">
        <v>892</v>
      </c>
      <c r="AC11" s="1" t="s">
        <v>894</v>
      </c>
      <c r="AD11" s="1" t="s">
        <v>896</v>
      </c>
      <c r="AE11" s="1" t="s">
        <v>900</v>
      </c>
      <c r="AF11" s="1" t="s">
        <v>840</v>
      </c>
      <c r="AG11" s="1" t="s">
        <v>957</v>
      </c>
      <c r="AH11" s="1" t="s">
        <v>842</v>
      </c>
      <c r="AI11" s="1" t="s">
        <v>844</v>
      </c>
      <c r="AJ11" s="502">
        <v>43056.229596249999</v>
      </c>
    </row>
    <row r="12" spans="1:36">
      <c r="A12" s="1" t="s">
        <v>328</v>
      </c>
      <c r="B12" s="275" t="s">
        <v>909</v>
      </c>
      <c r="C12" s="1" t="s">
        <v>951</v>
      </c>
      <c r="D12" s="1" t="s">
        <v>840</v>
      </c>
      <c r="E12" s="1" t="s">
        <v>867</v>
      </c>
      <c r="F12" s="1" t="s">
        <v>867</v>
      </c>
      <c r="G12" s="1" t="s">
        <v>867</v>
      </c>
      <c r="H12" s="1" t="s">
        <v>867</v>
      </c>
      <c r="I12" s="1" t="s">
        <v>867</v>
      </c>
      <c r="J12" s="1" t="s">
        <v>867</v>
      </c>
      <c r="K12" s="1" t="s">
        <v>840</v>
      </c>
      <c r="L12" s="1" t="s">
        <v>867</v>
      </c>
      <c r="M12" s="1" t="s">
        <v>867</v>
      </c>
      <c r="N12" s="1" t="s">
        <v>867</v>
      </c>
      <c r="O12" s="1" t="s">
        <v>867</v>
      </c>
      <c r="P12" s="1" t="s">
        <v>867</v>
      </c>
      <c r="Q12" s="1" t="s">
        <v>840</v>
      </c>
      <c r="R12" s="1" t="s">
        <v>840</v>
      </c>
      <c r="S12" s="1" t="s">
        <v>867</v>
      </c>
      <c r="T12" s="1" t="s">
        <v>867</v>
      </c>
      <c r="U12" s="1" t="s">
        <v>867</v>
      </c>
      <c r="V12" s="1" t="s">
        <v>867</v>
      </c>
      <c r="W12" s="1" t="s">
        <v>867</v>
      </c>
      <c r="X12" s="1" t="s">
        <v>867</v>
      </c>
      <c r="Y12" s="1" t="s">
        <v>840</v>
      </c>
      <c r="Z12" s="1" t="s">
        <v>867</v>
      </c>
      <c r="AA12" s="1" t="s">
        <v>867</v>
      </c>
      <c r="AB12" s="1" t="s">
        <v>867</v>
      </c>
      <c r="AC12" s="1" t="s">
        <v>867</v>
      </c>
      <c r="AD12" s="1" t="s">
        <v>867</v>
      </c>
      <c r="AE12" s="1" t="s">
        <v>867</v>
      </c>
      <c r="AF12" s="1" t="s">
        <v>840</v>
      </c>
      <c r="AG12" s="1" t="s">
        <v>867</v>
      </c>
      <c r="AH12" s="1" t="s">
        <v>867</v>
      </c>
      <c r="AI12" s="1" t="s">
        <v>867</v>
      </c>
      <c r="AJ12" s="502">
        <v>43056.229596249999</v>
      </c>
    </row>
    <row r="13" spans="1:36">
      <c r="A13" s="1" t="s">
        <v>328</v>
      </c>
      <c r="B13" s="275" t="s">
        <v>910</v>
      </c>
      <c r="C13" s="1" t="s">
        <v>951</v>
      </c>
      <c r="D13" s="1" t="s">
        <v>840</v>
      </c>
      <c r="E13" s="1" t="s">
        <v>861</v>
      </c>
      <c r="F13" s="1" t="s">
        <v>887</v>
      </c>
      <c r="G13" s="1" t="s">
        <v>917</v>
      </c>
      <c r="H13" s="1" t="s">
        <v>867</v>
      </c>
      <c r="I13" s="1" t="s">
        <v>897</v>
      </c>
      <c r="J13" s="1" t="s">
        <v>863</v>
      </c>
      <c r="K13" s="1" t="s">
        <v>840</v>
      </c>
      <c r="L13" s="1" t="s">
        <v>905</v>
      </c>
      <c r="M13" s="1" t="s">
        <v>958</v>
      </c>
      <c r="N13" s="1" t="s">
        <v>913</v>
      </c>
      <c r="O13" s="1" t="s">
        <v>959</v>
      </c>
      <c r="P13" s="1" t="s">
        <v>887</v>
      </c>
      <c r="Q13" s="1" t="s">
        <v>840</v>
      </c>
      <c r="R13" s="1" t="s">
        <v>840</v>
      </c>
      <c r="S13" s="1" t="s">
        <v>941</v>
      </c>
      <c r="T13" s="1" t="s">
        <v>867</v>
      </c>
      <c r="U13" s="1" t="s">
        <v>911</v>
      </c>
      <c r="V13" s="1" t="s">
        <v>867</v>
      </c>
      <c r="W13" s="1" t="s">
        <v>867</v>
      </c>
      <c r="X13" s="1" t="s">
        <v>867</v>
      </c>
      <c r="Y13" s="1" t="s">
        <v>840</v>
      </c>
      <c r="Z13" s="1" t="s">
        <v>867</v>
      </c>
      <c r="AA13" s="1" t="s">
        <v>916</v>
      </c>
      <c r="AB13" s="1" t="s">
        <v>881</v>
      </c>
      <c r="AC13" s="1" t="s">
        <v>867</v>
      </c>
      <c r="AD13" s="1" t="s">
        <v>887</v>
      </c>
      <c r="AE13" s="1" t="s">
        <v>867</v>
      </c>
      <c r="AF13" s="1" t="s">
        <v>840</v>
      </c>
      <c r="AG13" s="1" t="s">
        <v>867</v>
      </c>
      <c r="AH13" s="1" t="s">
        <v>867</v>
      </c>
      <c r="AI13" s="1" t="s">
        <v>942</v>
      </c>
      <c r="AJ13" s="502">
        <v>43056.229596249999</v>
      </c>
    </row>
    <row r="14" spans="1:36">
      <c r="A14" s="1" t="s">
        <v>328</v>
      </c>
      <c r="B14" s="275" t="s">
        <v>918</v>
      </c>
      <c r="C14" s="1" t="s">
        <v>951</v>
      </c>
      <c r="D14" s="1" t="s">
        <v>840</v>
      </c>
      <c r="E14" s="1" t="s">
        <v>892</v>
      </c>
      <c r="F14" s="1" t="s">
        <v>848</v>
      </c>
      <c r="G14" s="1" t="s">
        <v>845</v>
      </c>
      <c r="H14" s="1" t="s">
        <v>861</v>
      </c>
      <c r="I14" s="1" t="s">
        <v>848</v>
      </c>
      <c r="J14" s="1" t="s">
        <v>908</v>
      </c>
      <c r="K14" s="1" t="s">
        <v>840</v>
      </c>
      <c r="L14" s="1" t="s">
        <v>894</v>
      </c>
      <c r="M14" s="1" t="s">
        <v>843</v>
      </c>
      <c r="N14" s="1" t="s">
        <v>850</v>
      </c>
      <c r="O14" s="1" t="s">
        <v>852</v>
      </c>
      <c r="P14" s="1" t="s">
        <v>845</v>
      </c>
      <c r="Q14" s="1" t="s">
        <v>840</v>
      </c>
      <c r="R14" s="1" t="s">
        <v>840</v>
      </c>
      <c r="S14" s="1" t="s">
        <v>853</v>
      </c>
      <c r="T14" s="1" t="s">
        <v>847</v>
      </c>
      <c r="U14" s="1" t="s">
        <v>844</v>
      </c>
      <c r="V14" s="1" t="s">
        <v>841</v>
      </c>
      <c r="W14" s="1" t="s">
        <v>843</v>
      </c>
      <c r="X14" s="1" t="s">
        <v>841</v>
      </c>
      <c r="Y14" s="1" t="s">
        <v>840</v>
      </c>
      <c r="Z14" s="1" t="s">
        <v>896</v>
      </c>
      <c r="AA14" s="1" t="s">
        <v>865</v>
      </c>
      <c r="AB14" s="1" t="s">
        <v>851</v>
      </c>
      <c r="AC14" s="1" t="s">
        <v>894</v>
      </c>
      <c r="AD14" s="1" t="s">
        <v>846</v>
      </c>
      <c r="AE14" s="1" t="s">
        <v>865</v>
      </c>
      <c r="AF14" s="1" t="s">
        <v>840</v>
      </c>
      <c r="AG14" s="1" t="s">
        <v>844</v>
      </c>
      <c r="AH14" s="1" t="s">
        <v>893</v>
      </c>
      <c r="AI14" s="1" t="s">
        <v>850</v>
      </c>
      <c r="AJ14" s="502">
        <v>43056.229596249999</v>
      </c>
    </row>
    <row r="15" spans="1:36">
      <c r="A15" s="1" t="s">
        <v>328</v>
      </c>
      <c r="B15" s="275" t="s">
        <v>920</v>
      </c>
      <c r="C15" s="1" t="s">
        <v>951</v>
      </c>
      <c r="D15" s="1" t="s">
        <v>840</v>
      </c>
      <c r="E15" s="1" t="s">
        <v>867</v>
      </c>
      <c r="F15" s="1" t="s">
        <v>844</v>
      </c>
      <c r="G15" s="1" t="s">
        <v>867</v>
      </c>
      <c r="H15" s="1" t="s">
        <v>844</v>
      </c>
      <c r="I15" s="1" t="s">
        <v>867</v>
      </c>
      <c r="J15" s="1" t="s">
        <v>867</v>
      </c>
      <c r="K15" s="1" t="s">
        <v>840</v>
      </c>
      <c r="L15" s="1" t="s">
        <v>921</v>
      </c>
      <c r="M15" s="1" t="s">
        <v>862</v>
      </c>
      <c r="N15" s="1" t="s">
        <v>867</v>
      </c>
      <c r="O15" s="1" t="s">
        <v>867</v>
      </c>
      <c r="P15" s="1" t="s">
        <v>908</v>
      </c>
      <c r="Q15" s="1" t="s">
        <v>840</v>
      </c>
      <c r="R15" s="1" t="s">
        <v>840</v>
      </c>
      <c r="S15" s="1" t="s">
        <v>922</v>
      </c>
      <c r="T15" s="1" t="s">
        <v>867</v>
      </c>
      <c r="U15" s="1" t="s">
        <v>867</v>
      </c>
      <c r="V15" s="1" t="s">
        <v>923</v>
      </c>
      <c r="W15" s="1" t="s">
        <v>846</v>
      </c>
      <c r="X15" s="1" t="s">
        <v>853</v>
      </c>
      <c r="Y15" s="1" t="s">
        <v>840</v>
      </c>
      <c r="Z15" s="1" t="s">
        <v>867</v>
      </c>
      <c r="AA15" s="1" t="s">
        <v>921</v>
      </c>
      <c r="AB15" s="1" t="s">
        <v>867</v>
      </c>
      <c r="AC15" s="1" t="s">
        <v>866</v>
      </c>
      <c r="AD15" s="1" t="s">
        <v>856</v>
      </c>
      <c r="AE15" s="1" t="s">
        <v>924</v>
      </c>
      <c r="AF15" s="1" t="s">
        <v>840</v>
      </c>
      <c r="AG15" s="1" t="s">
        <v>960</v>
      </c>
      <c r="AH15" s="1" t="s">
        <v>881</v>
      </c>
      <c r="AI15" s="1" t="s">
        <v>858</v>
      </c>
      <c r="AJ15" s="502">
        <v>43056.229596249999</v>
      </c>
    </row>
    <row r="16" spans="1:36">
      <c r="A16" s="1" t="s">
        <v>328</v>
      </c>
      <c r="B16" s="275" t="s">
        <v>927</v>
      </c>
      <c r="C16" s="1" t="s">
        <v>951</v>
      </c>
      <c r="D16" s="1" t="s">
        <v>840</v>
      </c>
      <c r="E16" s="1" t="s">
        <v>840</v>
      </c>
      <c r="F16" s="1" t="s">
        <v>840</v>
      </c>
      <c r="G16" s="1" t="s">
        <v>840</v>
      </c>
      <c r="H16" s="1" t="s">
        <v>840</v>
      </c>
      <c r="I16" s="1" t="s">
        <v>840</v>
      </c>
      <c r="J16" s="1" t="s">
        <v>840</v>
      </c>
      <c r="K16" s="1" t="s">
        <v>840</v>
      </c>
      <c r="L16" s="1" t="s">
        <v>840</v>
      </c>
      <c r="M16" s="1" t="s">
        <v>840</v>
      </c>
      <c r="N16" s="1" t="s">
        <v>840</v>
      </c>
      <c r="O16" s="1" t="s">
        <v>840</v>
      </c>
      <c r="P16" s="1" t="s">
        <v>840</v>
      </c>
      <c r="Q16" s="1" t="s">
        <v>840</v>
      </c>
      <c r="R16" s="1" t="s">
        <v>840</v>
      </c>
      <c r="S16" s="1" t="s">
        <v>840</v>
      </c>
      <c r="T16" s="1" t="s">
        <v>840</v>
      </c>
      <c r="U16" s="1" t="s">
        <v>840</v>
      </c>
      <c r="V16" s="1" t="s">
        <v>840</v>
      </c>
      <c r="W16" s="1" t="s">
        <v>840</v>
      </c>
      <c r="X16" s="1" t="s">
        <v>840</v>
      </c>
      <c r="Y16" s="1" t="s">
        <v>840</v>
      </c>
      <c r="Z16" s="1" t="s">
        <v>840</v>
      </c>
      <c r="AA16" s="1" t="s">
        <v>840</v>
      </c>
      <c r="AB16" s="1" t="s">
        <v>840</v>
      </c>
      <c r="AC16" s="1" t="s">
        <v>840</v>
      </c>
      <c r="AD16" s="1" t="s">
        <v>840</v>
      </c>
      <c r="AE16" s="1" t="s">
        <v>840</v>
      </c>
      <c r="AF16" s="1" t="s">
        <v>840</v>
      </c>
      <c r="AG16" s="1" t="s">
        <v>840</v>
      </c>
      <c r="AH16" s="1" t="s">
        <v>840</v>
      </c>
      <c r="AI16" s="1" t="s">
        <v>840</v>
      </c>
      <c r="AJ16" s="502">
        <v>43056.229596249999</v>
      </c>
    </row>
    <row r="17" spans="1:36">
      <c r="A17" s="1" t="s">
        <v>328</v>
      </c>
      <c r="B17" s="275" t="s">
        <v>961</v>
      </c>
      <c r="C17" s="1" t="s">
        <v>951</v>
      </c>
      <c r="D17" s="1" t="s">
        <v>840</v>
      </c>
      <c r="E17" s="1" t="s">
        <v>840</v>
      </c>
      <c r="F17" s="1" t="s">
        <v>840</v>
      </c>
      <c r="G17" s="1" t="s">
        <v>840</v>
      </c>
      <c r="H17" s="1" t="s">
        <v>840</v>
      </c>
      <c r="I17" s="1" t="s">
        <v>840</v>
      </c>
      <c r="J17" s="1" t="s">
        <v>840</v>
      </c>
      <c r="K17" s="1" t="s">
        <v>840</v>
      </c>
      <c r="L17" s="1" t="s">
        <v>840</v>
      </c>
      <c r="M17" s="1" t="s">
        <v>840</v>
      </c>
      <c r="N17" s="1" t="s">
        <v>840</v>
      </c>
      <c r="O17" s="1" t="s">
        <v>840</v>
      </c>
      <c r="P17" s="1" t="s">
        <v>840</v>
      </c>
      <c r="Q17" s="1" t="s">
        <v>840</v>
      </c>
      <c r="R17" s="1" t="s">
        <v>840</v>
      </c>
      <c r="S17" s="1" t="s">
        <v>840</v>
      </c>
      <c r="T17" s="1" t="s">
        <v>840</v>
      </c>
      <c r="U17" s="1" t="s">
        <v>840</v>
      </c>
      <c r="V17" s="1" t="s">
        <v>840</v>
      </c>
      <c r="W17" s="1" t="s">
        <v>840</v>
      </c>
      <c r="X17" s="1" t="s">
        <v>840</v>
      </c>
      <c r="Y17" s="1" t="s">
        <v>840</v>
      </c>
      <c r="Z17" s="1" t="s">
        <v>840</v>
      </c>
      <c r="AA17" s="1" t="s">
        <v>840</v>
      </c>
      <c r="AB17" s="1" t="s">
        <v>840</v>
      </c>
      <c r="AC17" s="1" t="s">
        <v>840</v>
      </c>
      <c r="AD17" s="1" t="s">
        <v>840</v>
      </c>
      <c r="AE17" s="1" t="s">
        <v>840</v>
      </c>
      <c r="AF17" s="1" t="s">
        <v>840</v>
      </c>
      <c r="AG17" s="1" t="s">
        <v>840</v>
      </c>
      <c r="AH17" s="1" t="s">
        <v>840</v>
      </c>
      <c r="AI17" s="1" t="s">
        <v>840</v>
      </c>
      <c r="AJ17" s="502">
        <v>43056.229596249999</v>
      </c>
    </row>
    <row r="18" spans="1:36">
      <c r="A18" s="1" t="s">
        <v>328</v>
      </c>
      <c r="B18" s="275" t="s">
        <v>962</v>
      </c>
      <c r="C18" s="1" t="s">
        <v>951</v>
      </c>
      <c r="D18" s="1" t="s">
        <v>840</v>
      </c>
      <c r="E18" s="1" t="s">
        <v>840</v>
      </c>
      <c r="F18" s="1" t="s">
        <v>840</v>
      </c>
      <c r="G18" s="1" t="s">
        <v>840</v>
      </c>
      <c r="H18" s="1" t="s">
        <v>840</v>
      </c>
      <c r="I18" s="1" t="s">
        <v>840</v>
      </c>
      <c r="J18" s="1" t="s">
        <v>840</v>
      </c>
      <c r="K18" s="1" t="s">
        <v>840</v>
      </c>
      <c r="L18" s="1" t="s">
        <v>840</v>
      </c>
      <c r="M18" s="1" t="s">
        <v>840</v>
      </c>
      <c r="N18" s="1" t="s">
        <v>840</v>
      </c>
      <c r="O18" s="1" t="s">
        <v>840</v>
      </c>
      <c r="P18" s="1" t="s">
        <v>840</v>
      </c>
      <c r="Q18" s="1" t="s">
        <v>840</v>
      </c>
      <c r="R18" s="1" t="s">
        <v>840</v>
      </c>
      <c r="S18" s="1" t="s">
        <v>840</v>
      </c>
      <c r="T18" s="1" t="s">
        <v>840</v>
      </c>
      <c r="U18" s="1" t="s">
        <v>840</v>
      </c>
      <c r="V18" s="1" t="s">
        <v>840</v>
      </c>
      <c r="W18" s="1" t="s">
        <v>840</v>
      </c>
      <c r="X18" s="1" t="s">
        <v>840</v>
      </c>
      <c r="Y18" s="1" t="s">
        <v>840</v>
      </c>
      <c r="Z18" s="1" t="s">
        <v>840</v>
      </c>
      <c r="AA18" s="1" t="s">
        <v>840</v>
      </c>
      <c r="AB18" s="1" t="s">
        <v>840</v>
      </c>
      <c r="AC18" s="1" t="s">
        <v>840</v>
      </c>
      <c r="AD18" s="1" t="s">
        <v>840</v>
      </c>
      <c r="AE18" s="1" t="s">
        <v>840</v>
      </c>
      <c r="AF18" s="1" t="s">
        <v>840</v>
      </c>
      <c r="AG18" s="1" t="s">
        <v>840</v>
      </c>
      <c r="AH18" s="1" t="s">
        <v>840</v>
      </c>
      <c r="AI18" s="1" t="s">
        <v>840</v>
      </c>
      <c r="AJ18" s="502">
        <v>43056.229596249999</v>
      </c>
    </row>
    <row r="19" spans="1:36">
      <c r="A19" s="1" t="s">
        <v>328</v>
      </c>
      <c r="B19" s="275" t="s">
        <v>963</v>
      </c>
      <c r="C19" s="1" t="s">
        <v>951</v>
      </c>
      <c r="D19" s="1" t="s">
        <v>840</v>
      </c>
      <c r="E19" s="1" t="s">
        <v>840</v>
      </c>
      <c r="F19" s="1" t="s">
        <v>840</v>
      </c>
      <c r="G19" s="1" t="s">
        <v>840</v>
      </c>
      <c r="H19" s="1" t="s">
        <v>840</v>
      </c>
      <c r="I19" s="1" t="s">
        <v>840</v>
      </c>
      <c r="J19" s="1" t="s">
        <v>840</v>
      </c>
      <c r="K19" s="1" t="s">
        <v>840</v>
      </c>
      <c r="L19" s="1" t="s">
        <v>840</v>
      </c>
      <c r="M19" s="1" t="s">
        <v>840</v>
      </c>
      <c r="N19" s="1" t="s">
        <v>840</v>
      </c>
      <c r="O19" s="1" t="s">
        <v>840</v>
      </c>
      <c r="P19" s="1" t="s">
        <v>840</v>
      </c>
      <c r="Q19" s="1" t="s">
        <v>840</v>
      </c>
      <c r="R19" s="1" t="s">
        <v>840</v>
      </c>
      <c r="S19" s="1" t="s">
        <v>840</v>
      </c>
      <c r="T19" s="1" t="s">
        <v>840</v>
      </c>
      <c r="U19" s="1" t="s">
        <v>840</v>
      </c>
      <c r="V19" s="1" t="s">
        <v>840</v>
      </c>
      <c r="W19" s="1" t="s">
        <v>840</v>
      </c>
      <c r="X19" s="1" t="s">
        <v>840</v>
      </c>
      <c r="Y19" s="1" t="s">
        <v>840</v>
      </c>
      <c r="Z19" s="1" t="s">
        <v>840</v>
      </c>
      <c r="AA19" s="1" t="s">
        <v>840</v>
      </c>
      <c r="AB19" s="1" t="s">
        <v>840</v>
      </c>
      <c r="AC19" s="1" t="s">
        <v>840</v>
      </c>
      <c r="AD19" s="1" t="s">
        <v>840</v>
      </c>
      <c r="AE19" s="1" t="s">
        <v>840</v>
      </c>
      <c r="AF19" s="1" t="s">
        <v>840</v>
      </c>
      <c r="AG19" s="1" t="s">
        <v>840</v>
      </c>
      <c r="AH19" s="1" t="s">
        <v>840</v>
      </c>
      <c r="AI19" s="1" t="s">
        <v>840</v>
      </c>
      <c r="AJ19" s="502">
        <v>43056.229596249999</v>
      </c>
    </row>
    <row r="20" spans="1:36">
      <c r="A20" s="1" t="s">
        <v>328</v>
      </c>
      <c r="B20" s="275" t="s">
        <v>964</v>
      </c>
      <c r="C20" s="1" t="s">
        <v>951</v>
      </c>
      <c r="D20" s="1" t="s">
        <v>840</v>
      </c>
      <c r="E20" s="1" t="s">
        <v>840</v>
      </c>
      <c r="F20" s="1" t="s">
        <v>840</v>
      </c>
      <c r="G20" s="1" t="s">
        <v>840</v>
      </c>
      <c r="H20" s="1" t="s">
        <v>840</v>
      </c>
      <c r="I20" s="1" t="s">
        <v>840</v>
      </c>
      <c r="J20" s="1" t="s">
        <v>840</v>
      </c>
      <c r="K20" s="1" t="s">
        <v>840</v>
      </c>
      <c r="L20" s="1" t="s">
        <v>840</v>
      </c>
      <c r="M20" s="1" t="s">
        <v>840</v>
      </c>
      <c r="N20" s="1" t="s">
        <v>840</v>
      </c>
      <c r="O20" s="1" t="s">
        <v>840</v>
      </c>
      <c r="P20" s="1" t="s">
        <v>840</v>
      </c>
      <c r="Q20" s="1" t="s">
        <v>840</v>
      </c>
      <c r="R20" s="1" t="s">
        <v>840</v>
      </c>
      <c r="S20" s="1" t="s">
        <v>840</v>
      </c>
      <c r="T20" s="1" t="s">
        <v>840</v>
      </c>
      <c r="U20" s="1" t="s">
        <v>840</v>
      </c>
      <c r="V20" s="1" t="s">
        <v>840</v>
      </c>
      <c r="W20" s="1" t="s">
        <v>840</v>
      </c>
      <c r="X20" s="1" t="s">
        <v>840</v>
      </c>
      <c r="Y20" s="1" t="s">
        <v>840</v>
      </c>
      <c r="Z20" s="1" t="s">
        <v>840</v>
      </c>
      <c r="AA20" s="1" t="s">
        <v>840</v>
      </c>
      <c r="AB20" s="1" t="s">
        <v>840</v>
      </c>
      <c r="AC20" s="1" t="s">
        <v>840</v>
      </c>
      <c r="AD20" s="1" t="s">
        <v>840</v>
      </c>
      <c r="AE20" s="1" t="s">
        <v>840</v>
      </c>
      <c r="AF20" s="1" t="s">
        <v>840</v>
      </c>
      <c r="AG20" s="1" t="s">
        <v>840</v>
      </c>
      <c r="AH20" s="1" t="s">
        <v>840</v>
      </c>
      <c r="AI20" s="1" t="s">
        <v>840</v>
      </c>
      <c r="AJ20" s="502">
        <v>43056.229596249999</v>
      </c>
    </row>
    <row r="21" spans="1:36">
      <c r="A21" s="1" t="s">
        <v>328</v>
      </c>
      <c r="B21" s="275" t="s">
        <v>965</v>
      </c>
      <c r="C21" s="1" t="s">
        <v>951</v>
      </c>
      <c r="D21" s="1" t="s">
        <v>840</v>
      </c>
      <c r="E21" s="1" t="s">
        <v>840</v>
      </c>
      <c r="F21" s="1" t="s">
        <v>840</v>
      </c>
      <c r="G21" s="1" t="s">
        <v>840</v>
      </c>
      <c r="H21" s="1" t="s">
        <v>840</v>
      </c>
      <c r="I21" s="1" t="s">
        <v>840</v>
      </c>
      <c r="J21" s="1" t="s">
        <v>840</v>
      </c>
      <c r="K21" s="1" t="s">
        <v>840</v>
      </c>
      <c r="L21" s="1" t="s">
        <v>840</v>
      </c>
      <c r="M21" s="1" t="s">
        <v>840</v>
      </c>
      <c r="N21" s="1" t="s">
        <v>840</v>
      </c>
      <c r="O21" s="1" t="s">
        <v>840</v>
      </c>
      <c r="P21" s="1" t="s">
        <v>840</v>
      </c>
      <c r="Q21" s="1" t="s">
        <v>840</v>
      </c>
      <c r="R21" s="1" t="s">
        <v>840</v>
      </c>
      <c r="S21" s="1" t="s">
        <v>840</v>
      </c>
      <c r="T21" s="1" t="s">
        <v>840</v>
      </c>
      <c r="U21" s="1" t="s">
        <v>840</v>
      </c>
      <c r="V21" s="1" t="s">
        <v>840</v>
      </c>
      <c r="W21" s="1" t="s">
        <v>840</v>
      </c>
      <c r="X21" s="1" t="s">
        <v>840</v>
      </c>
      <c r="Y21" s="1" t="s">
        <v>840</v>
      </c>
      <c r="Z21" s="1" t="s">
        <v>840</v>
      </c>
      <c r="AA21" s="1" t="s">
        <v>840</v>
      </c>
      <c r="AB21" s="1" t="s">
        <v>840</v>
      </c>
      <c r="AC21" s="1" t="s">
        <v>840</v>
      </c>
      <c r="AD21" s="1" t="s">
        <v>840</v>
      </c>
      <c r="AE21" s="1" t="s">
        <v>840</v>
      </c>
      <c r="AF21" s="1" t="s">
        <v>840</v>
      </c>
      <c r="AG21" s="1" t="s">
        <v>840</v>
      </c>
      <c r="AH21" s="1" t="s">
        <v>840</v>
      </c>
      <c r="AI21" s="1" t="s">
        <v>840</v>
      </c>
      <c r="AJ21" s="502">
        <v>43056.229596249999</v>
      </c>
    </row>
    <row r="22" spans="1:36">
      <c r="A22" s="503" t="s">
        <v>328</v>
      </c>
      <c r="B22" s="503" t="s">
        <v>966</v>
      </c>
      <c r="C22" s="503" t="s">
        <v>951</v>
      </c>
      <c r="D22" s="503" t="s">
        <v>840</v>
      </c>
      <c r="E22" s="503" t="s">
        <v>957</v>
      </c>
      <c r="F22" s="503" t="s">
        <v>859</v>
      </c>
      <c r="G22" s="503" t="s">
        <v>967</v>
      </c>
      <c r="H22" s="503" t="s">
        <v>887</v>
      </c>
      <c r="I22" s="503" t="s">
        <v>968</v>
      </c>
      <c r="J22" s="503" t="s">
        <v>864</v>
      </c>
      <c r="K22" s="503" t="s">
        <v>840</v>
      </c>
      <c r="L22" s="503" t="s">
        <v>967</v>
      </c>
      <c r="M22" s="503" t="s">
        <v>873</v>
      </c>
      <c r="N22" s="503" t="s">
        <v>969</v>
      </c>
      <c r="O22" s="503" t="s">
        <v>969</v>
      </c>
      <c r="P22" s="503" t="s">
        <v>970</v>
      </c>
      <c r="Q22" s="503" t="s">
        <v>840</v>
      </c>
      <c r="R22" s="503" t="s">
        <v>840</v>
      </c>
      <c r="S22" s="503" t="s">
        <v>887</v>
      </c>
      <c r="T22" s="503" t="s">
        <v>956</v>
      </c>
      <c r="U22" s="503" t="s">
        <v>968</v>
      </c>
      <c r="V22" s="503" t="s">
        <v>959</v>
      </c>
      <c r="W22" s="503" t="s">
        <v>866</v>
      </c>
      <c r="X22" s="503" t="s">
        <v>856</v>
      </c>
      <c r="Y22" s="503" t="s">
        <v>840</v>
      </c>
      <c r="Z22" s="503" t="s">
        <v>945</v>
      </c>
      <c r="AA22" s="503" t="s">
        <v>863</v>
      </c>
      <c r="AB22" s="503" t="s">
        <v>863</v>
      </c>
      <c r="AC22" s="503" t="s">
        <v>916</v>
      </c>
      <c r="AD22" s="503" t="s">
        <v>899</v>
      </c>
      <c r="AE22" s="503" t="s">
        <v>844</v>
      </c>
      <c r="AF22" s="503" t="s">
        <v>840</v>
      </c>
      <c r="AG22" s="503" t="s">
        <v>926</v>
      </c>
      <c r="AH22" s="503" t="s">
        <v>858</v>
      </c>
      <c r="AI22" s="503" t="s">
        <v>957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22"/>
  <sheetViews>
    <sheetView workbookViewId="0">
      <selection activeCell="L9" sqref="L9"/>
    </sheetView>
  </sheetViews>
  <sheetFormatPr defaultRowHeight="17.100000000000001"/>
  <sheetData>
    <row r="1" spans="1:35">
      <c r="A1" s="1" t="s">
        <v>294</v>
      </c>
      <c r="B1" s="1" t="s">
        <v>361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304</v>
      </c>
      <c r="L1" s="1" t="s">
        <v>305</v>
      </c>
      <c r="M1" s="1" t="s">
        <v>306</v>
      </c>
      <c r="N1" s="1" t="s">
        <v>307</v>
      </c>
      <c r="O1" s="1" t="s">
        <v>308</v>
      </c>
      <c r="P1" s="1" t="s">
        <v>309</v>
      </c>
      <c r="Q1" s="1" t="s">
        <v>310</v>
      </c>
      <c r="R1" s="1" t="s">
        <v>311</v>
      </c>
      <c r="S1" s="1" t="s">
        <v>312</v>
      </c>
      <c r="T1" s="1" t="s">
        <v>313</v>
      </c>
      <c r="U1" s="1" t="s">
        <v>314</v>
      </c>
      <c r="V1" s="1" t="s">
        <v>315</v>
      </c>
      <c r="W1" s="1" t="s">
        <v>316</v>
      </c>
      <c r="X1" s="1" t="s">
        <v>317</v>
      </c>
      <c r="Y1" s="1" t="s">
        <v>318</v>
      </c>
      <c r="Z1" s="1" t="s">
        <v>319</v>
      </c>
      <c r="AA1" s="1" t="s">
        <v>320</v>
      </c>
      <c r="AB1" s="1" t="s">
        <v>321</v>
      </c>
      <c r="AC1" s="1" t="s">
        <v>322</v>
      </c>
      <c r="AD1" s="1" t="s">
        <v>323</v>
      </c>
      <c r="AE1" s="1" t="s">
        <v>324</v>
      </c>
      <c r="AF1" s="1" t="s">
        <v>325</v>
      </c>
      <c r="AG1" s="1" t="s">
        <v>326</v>
      </c>
      <c r="AH1" s="1" t="s">
        <v>971</v>
      </c>
    </row>
    <row r="2" spans="1:35">
      <c r="A2" s="1" t="s">
        <v>328</v>
      </c>
      <c r="B2" s="275" t="s">
        <v>364</v>
      </c>
      <c r="C2" s="1" t="s">
        <v>522</v>
      </c>
      <c r="D2" s="1" t="s">
        <v>972</v>
      </c>
      <c r="E2" s="1" t="s">
        <v>973</v>
      </c>
      <c r="F2" s="1" t="s">
        <v>974</v>
      </c>
      <c r="G2" s="1" t="s">
        <v>975</v>
      </c>
      <c r="H2" s="1" t="s">
        <v>976</v>
      </c>
      <c r="I2" s="1"/>
      <c r="J2" s="1" t="s">
        <v>522</v>
      </c>
      <c r="K2" s="1" t="s">
        <v>977</v>
      </c>
      <c r="L2" s="1" t="s">
        <v>978</v>
      </c>
      <c r="M2" s="1" t="s">
        <v>979</v>
      </c>
      <c r="N2" s="1" t="s">
        <v>980</v>
      </c>
      <c r="O2" s="1" t="s">
        <v>981</v>
      </c>
      <c r="P2" s="1" t="s">
        <v>522</v>
      </c>
      <c r="Q2" s="1" t="s">
        <v>522</v>
      </c>
      <c r="R2" s="1" t="s">
        <v>982</v>
      </c>
      <c r="S2" s="1" t="s">
        <v>983</v>
      </c>
      <c r="T2" s="1" t="s">
        <v>984</v>
      </c>
      <c r="U2" s="1" t="s">
        <v>985</v>
      </c>
      <c r="V2" s="1" t="s">
        <v>986</v>
      </c>
      <c r="W2" s="1" t="s">
        <v>987</v>
      </c>
      <c r="X2" s="1" t="s">
        <v>522</v>
      </c>
      <c r="Y2" s="1" t="s">
        <v>988</v>
      </c>
      <c r="Z2" s="1" t="s">
        <v>989</v>
      </c>
      <c r="AA2" s="1" t="s">
        <v>978</v>
      </c>
      <c r="AB2" s="1" t="s">
        <v>990</v>
      </c>
      <c r="AC2" s="1" t="s">
        <v>991</v>
      </c>
      <c r="AD2" s="1" t="s">
        <v>992</v>
      </c>
      <c r="AE2" s="1" t="s">
        <v>522</v>
      </c>
      <c r="AF2" s="1" t="s">
        <v>993</v>
      </c>
      <c r="AG2" s="1" t="s">
        <v>994</v>
      </c>
      <c r="AH2" s="1" t="s">
        <v>995</v>
      </c>
      <c r="AI2" s="502">
        <v>43056.2297915741</v>
      </c>
    </row>
    <row r="3" spans="1:35">
      <c r="A3" s="1" t="s">
        <v>328</v>
      </c>
      <c r="B3" s="275" t="s">
        <v>398</v>
      </c>
      <c r="C3" s="1" t="s">
        <v>522</v>
      </c>
      <c r="D3" s="1" t="s">
        <v>996</v>
      </c>
      <c r="E3" s="1" t="s">
        <v>997</v>
      </c>
      <c r="F3" s="1" t="s">
        <v>998</v>
      </c>
      <c r="G3" s="1" t="s">
        <v>999</v>
      </c>
      <c r="H3" s="1" t="s">
        <v>1000</v>
      </c>
      <c r="I3" s="1"/>
      <c r="J3" s="1" t="s">
        <v>522</v>
      </c>
      <c r="K3" s="1" t="s">
        <v>1001</v>
      </c>
      <c r="L3" s="1" t="s">
        <v>1002</v>
      </c>
      <c r="M3" s="1" t="s">
        <v>1003</v>
      </c>
      <c r="N3" s="1" t="s">
        <v>1002</v>
      </c>
      <c r="O3" s="1" t="s">
        <v>1004</v>
      </c>
      <c r="P3" s="1" t="s">
        <v>522</v>
      </c>
      <c r="Q3" s="1" t="s">
        <v>522</v>
      </c>
      <c r="R3" s="1" t="s">
        <v>1005</v>
      </c>
      <c r="S3" s="1" t="s">
        <v>1006</v>
      </c>
      <c r="T3" s="1" t="s">
        <v>997</v>
      </c>
      <c r="U3" s="1" t="s">
        <v>1007</v>
      </c>
      <c r="V3" s="1" t="s">
        <v>1008</v>
      </c>
      <c r="W3" s="1" t="s">
        <v>1009</v>
      </c>
      <c r="X3" s="1" t="s">
        <v>522</v>
      </c>
      <c r="Y3" s="1" t="s">
        <v>1010</v>
      </c>
      <c r="Z3" s="1" t="s">
        <v>1011</v>
      </c>
      <c r="AA3" s="1" t="s">
        <v>1012</v>
      </c>
      <c r="AB3" s="1" t="s">
        <v>1013</v>
      </c>
      <c r="AC3" s="1" t="s">
        <v>1014</v>
      </c>
      <c r="AD3" s="1" t="s">
        <v>1015</v>
      </c>
      <c r="AE3" s="1" t="s">
        <v>522</v>
      </c>
      <c r="AF3" s="1" t="s">
        <v>1013</v>
      </c>
      <c r="AG3" s="1" t="s">
        <v>1016</v>
      </c>
      <c r="AH3" s="1" t="s">
        <v>1017</v>
      </c>
      <c r="AI3" s="502">
        <v>43056.2297915741</v>
      </c>
    </row>
    <row r="4" spans="1:35">
      <c r="A4" s="1" t="s">
        <v>328</v>
      </c>
      <c r="B4" s="275" t="s">
        <v>429</v>
      </c>
      <c r="C4" s="1" t="s">
        <v>522</v>
      </c>
      <c r="D4" s="1" t="s">
        <v>522</v>
      </c>
      <c r="E4" s="1" t="s">
        <v>522</v>
      </c>
      <c r="F4" s="1" t="s">
        <v>522</v>
      </c>
      <c r="G4" s="1" t="s">
        <v>522</v>
      </c>
      <c r="H4" s="1" t="s">
        <v>522</v>
      </c>
      <c r="I4" s="1"/>
      <c r="J4" s="1" t="s">
        <v>522</v>
      </c>
      <c r="K4" s="1" t="s">
        <v>522</v>
      </c>
      <c r="L4" s="1" t="s">
        <v>522</v>
      </c>
      <c r="M4" s="1" t="s">
        <v>522</v>
      </c>
      <c r="N4" s="1" t="s">
        <v>522</v>
      </c>
      <c r="O4" s="1" t="s">
        <v>522</v>
      </c>
      <c r="P4" s="1" t="s">
        <v>522</v>
      </c>
      <c r="Q4" s="1" t="s">
        <v>522</v>
      </c>
      <c r="R4" s="1" t="s">
        <v>522</v>
      </c>
      <c r="S4" s="1" t="s">
        <v>522</v>
      </c>
      <c r="T4" s="1" t="s">
        <v>522</v>
      </c>
      <c r="U4" s="1" t="s">
        <v>522</v>
      </c>
      <c r="V4" s="1" t="s">
        <v>522</v>
      </c>
      <c r="W4" s="1" t="s">
        <v>522</v>
      </c>
      <c r="X4" s="1" t="s">
        <v>522</v>
      </c>
      <c r="Y4" s="1" t="s">
        <v>1018</v>
      </c>
      <c r="Z4" s="1" t="s">
        <v>1019</v>
      </c>
      <c r="AA4" s="1" t="s">
        <v>522</v>
      </c>
      <c r="AB4" s="1" t="s">
        <v>522</v>
      </c>
      <c r="AC4" s="1" t="s">
        <v>522</v>
      </c>
      <c r="AD4" s="1" t="s">
        <v>522</v>
      </c>
      <c r="AE4" s="1" t="s">
        <v>522</v>
      </c>
      <c r="AF4" s="1" t="s">
        <v>522</v>
      </c>
      <c r="AG4" s="1" t="s">
        <v>522</v>
      </c>
      <c r="AH4" s="1" t="s">
        <v>1020</v>
      </c>
      <c r="AI4" s="502">
        <v>43056.2297915741</v>
      </c>
    </row>
    <row r="5" spans="1:35">
      <c r="A5" s="1" t="s">
        <v>328</v>
      </c>
      <c r="B5" s="275" t="s">
        <v>458</v>
      </c>
      <c r="C5" s="1" t="s">
        <v>522</v>
      </c>
      <c r="D5" s="1" t="s">
        <v>1021</v>
      </c>
      <c r="E5" s="1" t="s">
        <v>1022</v>
      </c>
      <c r="F5" s="1" t="s">
        <v>522</v>
      </c>
      <c r="G5" s="1" t="s">
        <v>1023</v>
      </c>
      <c r="H5" s="1" t="s">
        <v>522</v>
      </c>
      <c r="I5" s="1"/>
      <c r="J5" s="1" t="s">
        <v>522</v>
      </c>
      <c r="K5" s="1" t="s">
        <v>522</v>
      </c>
      <c r="L5" s="1" t="s">
        <v>1018</v>
      </c>
      <c r="M5" s="1" t="s">
        <v>522</v>
      </c>
      <c r="N5" s="1" t="s">
        <v>1024</v>
      </c>
      <c r="O5" s="1" t="s">
        <v>1023</v>
      </c>
      <c r="P5" s="1" t="s">
        <v>522</v>
      </c>
      <c r="Q5" s="1" t="s">
        <v>522</v>
      </c>
      <c r="R5" s="1" t="s">
        <v>1024</v>
      </c>
      <c r="S5" s="1" t="s">
        <v>1022</v>
      </c>
      <c r="T5" s="1" t="s">
        <v>1022</v>
      </c>
      <c r="U5" s="1" t="s">
        <v>1025</v>
      </c>
      <c r="V5" s="1" t="s">
        <v>522</v>
      </c>
      <c r="W5" s="1" t="s">
        <v>1022</v>
      </c>
      <c r="X5" s="1" t="s">
        <v>522</v>
      </c>
      <c r="Y5" s="1" t="s">
        <v>1022</v>
      </c>
      <c r="Z5" s="1" t="s">
        <v>1021</v>
      </c>
      <c r="AA5" s="1" t="s">
        <v>1026</v>
      </c>
      <c r="AB5" s="1" t="s">
        <v>1026</v>
      </c>
      <c r="AC5" s="1" t="s">
        <v>1022</v>
      </c>
      <c r="AD5" s="1" t="s">
        <v>1022</v>
      </c>
      <c r="AE5" s="1" t="s">
        <v>522</v>
      </c>
      <c r="AF5" s="1" t="s">
        <v>522</v>
      </c>
      <c r="AG5" s="1" t="s">
        <v>1018</v>
      </c>
      <c r="AH5" s="1" t="s">
        <v>1027</v>
      </c>
      <c r="AI5" s="502">
        <v>43056.2297915741</v>
      </c>
    </row>
    <row r="6" spans="1:35">
      <c r="A6" s="1" t="s">
        <v>328</v>
      </c>
      <c r="B6" s="275" t="s">
        <v>488</v>
      </c>
      <c r="C6" s="1" t="s">
        <v>522</v>
      </c>
      <c r="D6" s="1" t="s">
        <v>1028</v>
      </c>
      <c r="E6" s="1" t="s">
        <v>1029</v>
      </c>
      <c r="F6" s="1" t="s">
        <v>1026</v>
      </c>
      <c r="G6" s="1" t="s">
        <v>1026</v>
      </c>
      <c r="H6" s="1" t="s">
        <v>1030</v>
      </c>
      <c r="I6" s="1"/>
      <c r="J6" s="1" t="s">
        <v>522</v>
      </c>
      <c r="K6" s="1" t="s">
        <v>1031</v>
      </c>
      <c r="L6" s="1" t="s">
        <v>1021</v>
      </c>
      <c r="M6" s="1" t="s">
        <v>1032</v>
      </c>
      <c r="N6" s="1" t="s">
        <v>1025</v>
      </c>
      <c r="O6" s="1" t="s">
        <v>1033</v>
      </c>
      <c r="P6" s="1" t="s">
        <v>522</v>
      </c>
      <c r="Q6" s="1" t="s">
        <v>522</v>
      </c>
      <c r="R6" s="1" t="s">
        <v>1034</v>
      </c>
      <c r="S6" s="1" t="s">
        <v>1031</v>
      </c>
      <c r="T6" s="1" t="s">
        <v>1024</v>
      </c>
      <c r="U6" s="1" t="s">
        <v>1035</v>
      </c>
      <c r="V6" s="1" t="s">
        <v>1024</v>
      </c>
      <c r="W6" s="1" t="s">
        <v>1036</v>
      </c>
      <c r="X6" s="1" t="s">
        <v>522</v>
      </c>
      <c r="Y6" s="1" t="s">
        <v>1037</v>
      </c>
      <c r="Z6" s="1" t="s">
        <v>1030</v>
      </c>
      <c r="AA6" s="1" t="s">
        <v>1026</v>
      </c>
      <c r="AB6" s="1" t="s">
        <v>1019</v>
      </c>
      <c r="AC6" s="1" t="s">
        <v>1035</v>
      </c>
      <c r="AD6" s="1" t="s">
        <v>1024</v>
      </c>
      <c r="AE6" s="1" t="s">
        <v>522</v>
      </c>
      <c r="AF6" s="1" t="s">
        <v>1023</v>
      </c>
      <c r="AG6" s="1" t="s">
        <v>1022</v>
      </c>
      <c r="AH6" s="1" t="s">
        <v>1038</v>
      </c>
      <c r="AI6" s="502">
        <v>43056.2297915741</v>
      </c>
    </row>
    <row r="7" spans="1:35">
      <c r="A7" s="1" t="s">
        <v>328</v>
      </c>
      <c r="B7" s="275" t="s">
        <v>521</v>
      </c>
      <c r="C7" s="1" t="s">
        <v>522</v>
      </c>
      <c r="D7" s="1" t="s">
        <v>522</v>
      </c>
      <c r="E7" s="1" t="s">
        <v>522</v>
      </c>
      <c r="F7" s="1" t="s">
        <v>522</v>
      </c>
      <c r="G7" s="1" t="s">
        <v>522</v>
      </c>
      <c r="H7" s="1" t="s">
        <v>522</v>
      </c>
      <c r="I7" s="1"/>
      <c r="J7" s="1" t="s">
        <v>522</v>
      </c>
      <c r="K7" s="1" t="s">
        <v>522</v>
      </c>
      <c r="L7" s="1" t="s">
        <v>522</v>
      </c>
      <c r="M7" s="1" t="s">
        <v>522</v>
      </c>
      <c r="N7" s="1" t="s">
        <v>522</v>
      </c>
      <c r="O7" s="1" t="s">
        <v>522</v>
      </c>
      <c r="P7" s="1" t="s">
        <v>522</v>
      </c>
      <c r="Q7" s="1" t="s">
        <v>522</v>
      </c>
      <c r="R7" s="1" t="s">
        <v>522</v>
      </c>
      <c r="S7" s="1" t="s">
        <v>522</v>
      </c>
      <c r="T7" s="1" t="s">
        <v>522</v>
      </c>
      <c r="U7" s="1" t="s">
        <v>522</v>
      </c>
      <c r="V7" s="1" t="s">
        <v>522</v>
      </c>
      <c r="W7" s="1" t="s">
        <v>522</v>
      </c>
      <c r="X7" s="1" t="s">
        <v>522</v>
      </c>
      <c r="Y7" s="1" t="s">
        <v>522</v>
      </c>
      <c r="Z7" s="1" t="s">
        <v>522</v>
      </c>
      <c r="AA7" s="1" t="s">
        <v>522</v>
      </c>
      <c r="AB7" s="1" t="s">
        <v>522</v>
      </c>
      <c r="AC7" s="1" t="s">
        <v>522</v>
      </c>
      <c r="AD7" s="1" t="s">
        <v>522</v>
      </c>
      <c r="AE7" s="1" t="s">
        <v>522</v>
      </c>
      <c r="AF7" s="1" t="s">
        <v>522</v>
      </c>
      <c r="AG7" s="1" t="s">
        <v>522</v>
      </c>
      <c r="AH7" s="1" t="s">
        <v>840</v>
      </c>
      <c r="AI7" s="502">
        <v>43056.2297915741</v>
      </c>
    </row>
    <row r="8" spans="1:35">
      <c r="A8" s="1" t="s">
        <v>328</v>
      </c>
      <c r="B8" s="275" t="s">
        <v>523</v>
      </c>
      <c r="C8" s="1" t="s">
        <v>522</v>
      </c>
      <c r="D8" s="1" t="s">
        <v>1022</v>
      </c>
      <c r="E8" s="1" t="s">
        <v>1023</v>
      </c>
      <c r="F8" s="1" t="s">
        <v>522</v>
      </c>
      <c r="G8" s="1" t="s">
        <v>1018</v>
      </c>
      <c r="H8" s="1" t="s">
        <v>1035</v>
      </c>
      <c r="I8" s="1"/>
      <c r="J8" s="1" t="s">
        <v>522</v>
      </c>
      <c r="K8" s="1" t="s">
        <v>1039</v>
      </c>
      <c r="L8" s="1" t="s">
        <v>1040</v>
      </c>
      <c r="M8" s="1" t="s">
        <v>1031</v>
      </c>
      <c r="N8" s="1" t="s">
        <v>1024</v>
      </c>
      <c r="O8" s="1" t="s">
        <v>1023</v>
      </c>
      <c r="P8" s="1" t="s">
        <v>522</v>
      </c>
      <c r="Q8" s="1" t="s">
        <v>522</v>
      </c>
      <c r="R8" s="1" t="s">
        <v>1041</v>
      </c>
      <c r="S8" s="1" t="s">
        <v>1023</v>
      </c>
      <c r="T8" s="1" t="s">
        <v>1024</v>
      </c>
      <c r="U8" s="1" t="s">
        <v>1018</v>
      </c>
      <c r="V8" s="1" t="s">
        <v>1022</v>
      </c>
      <c r="W8" s="1" t="s">
        <v>1023</v>
      </c>
      <c r="X8" s="1" t="s">
        <v>522</v>
      </c>
      <c r="Y8" s="1" t="s">
        <v>1039</v>
      </c>
      <c r="Z8" s="1" t="s">
        <v>1035</v>
      </c>
      <c r="AA8" s="1" t="s">
        <v>1018</v>
      </c>
      <c r="AB8" s="1" t="s">
        <v>1025</v>
      </c>
      <c r="AC8" s="1" t="s">
        <v>1024</v>
      </c>
      <c r="AD8" s="1" t="s">
        <v>1025</v>
      </c>
      <c r="AE8" s="1" t="s">
        <v>522</v>
      </c>
      <c r="AF8" s="1" t="s">
        <v>1042</v>
      </c>
      <c r="AG8" s="1" t="s">
        <v>1019</v>
      </c>
      <c r="AH8" s="1" t="s">
        <v>1043</v>
      </c>
      <c r="AI8" s="502">
        <v>43056.2297915741</v>
      </c>
    </row>
    <row r="9" spans="1:35">
      <c r="A9" s="1" t="s">
        <v>328</v>
      </c>
      <c r="B9" s="275" t="s">
        <v>901</v>
      </c>
      <c r="C9" s="1" t="s">
        <v>522</v>
      </c>
      <c r="D9" s="1" t="s">
        <v>522</v>
      </c>
      <c r="E9" s="1" t="s">
        <v>1022</v>
      </c>
      <c r="F9" s="1" t="s">
        <v>1022</v>
      </c>
      <c r="G9" s="1" t="s">
        <v>522</v>
      </c>
      <c r="H9" s="1" t="s">
        <v>522</v>
      </c>
      <c r="I9" s="1"/>
      <c r="J9" s="1" t="s">
        <v>522</v>
      </c>
      <c r="K9" s="1" t="s">
        <v>1018</v>
      </c>
      <c r="L9" s="1" t="s">
        <v>522</v>
      </c>
      <c r="M9" s="1" t="s">
        <v>522</v>
      </c>
      <c r="N9" s="1" t="s">
        <v>522</v>
      </c>
      <c r="O9" s="1" t="s">
        <v>522</v>
      </c>
      <c r="P9" s="1" t="s">
        <v>522</v>
      </c>
      <c r="Q9" s="1" t="s">
        <v>522</v>
      </c>
      <c r="R9" s="1" t="s">
        <v>1022</v>
      </c>
      <c r="S9" s="1" t="s">
        <v>1023</v>
      </c>
      <c r="T9" s="1" t="s">
        <v>522</v>
      </c>
      <c r="U9" s="1" t="s">
        <v>522</v>
      </c>
      <c r="V9" s="1" t="s">
        <v>522</v>
      </c>
      <c r="W9" s="1" t="s">
        <v>522</v>
      </c>
      <c r="X9" s="1" t="s">
        <v>522</v>
      </c>
      <c r="Y9" s="1" t="s">
        <v>1018</v>
      </c>
      <c r="Z9" s="1" t="s">
        <v>522</v>
      </c>
      <c r="AA9" s="1" t="s">
        <v>522</v>
      </c>
      <c r="AB9" s="1" t="s">
        <v>1018</v>
      </c>
      <c r="AC9" s="1" t="s">
        <v>522</v>
      </c>
      <c r="AD9" s="1" t="s">
        <v>522</v>
      </c>
      <c r="AE9" s="1" t="s">
        <v>522</v>
      </c>
      <c r="AF9" s="1" t="s">
        <v>522</v>
      </c>
      <c r="AG9" s="1" t="s">
        <v>522</v>
      </c>
      <c r="AH9" s="1" t="s">
        <v>1044</v>
      </c>
      <c r="AI9" s="502">
        <v>43056.2297915741</v>
      </c>
    </row>
    <row r="10" spans="1:35">
      <c r="A10" s="1" t="s">
        <v>328</v>
      </c>
      <c r="B10" s="275" t="s">
        <v>909</v>
      </c>
      <c r="C10" s="1" t="s">
        <v>522</v>
      </c>
      <c r="D10" s="1" t="s">
        <v>522</v>
      </c>
      <c r="E10" s="1" t="s">
        <v>522</v>
      </c>
      <c r="F10" s="1" t="s">
        <v>522</v>
      </c>
      <c r="G10" s="1" t="s">
        <v>522</v>
      </c>
      <c r="H10" s="1" t="s">
        <v>522</v>
      </c>
      <c r="I10" s="1"/>
      <c r="J10" s="1" t="s">
        <v>522</v>
      </c>
      <c r="K10" s="1" t="s">
        <v>522</v>
      </c>
      <c r="L10" s="1" t="s">
        <v>522</v>
      </c>
      <c r="M10" s="1" t="s">
        <v>522</v>
      </c>
      <c r="N10" s="1" t="s">
        <v>522</v>
      </c>
      <c r="O10" s="1" t="s">
        <v>522</v>
      </c>
      <c r="P10" s="1" t="s">
        <v>522</v>
      </c>
      <c r="Q10" s="1" t="s">
        <v>522</v>
      </c>
      <c r="R10" s="1" t="s">
        <v>522</v>
      </c>
      <c r="S10" s="1" t="s">
        <v>522</v>
      </c>
      <c r="T10" s="1" t="s">
        <v>522</v>
      </c>
      <c r="U10" s="1" t="s">
        <v>522</v>
      </c>
      <c r="V10" s="1" t="s">
        <v>522</v>
      </c>
      <c r="W10" s="1" t="s">
        <v>522</v>
      </c>
      <c r="X10" s="1" t="s">
        <v>522</v>
      </c>
      <c r="Y10" s="1" t="s">
        <v>522</v>
      </c>
      <c r="Z10" s="1" t="s">
        <v>522</v>
      </c>
      <c r="AA10" s="1" t="s">
        <v>522</v>
      </c>
      <c r="AB10" s="1" t="s">
        <v>522</v>
      </c>
      <c r="AC10" s="1" t="s">
        <v>522</v>
      </c>
      <c r="AD10" s="1" t="s">
        <v>522</v>
      </c>
      <c r="AE10" s="1" t="s">
        <v>522</v>
      </c>
      <c r="AF10" s="1" t="s">
        <v>522</v>
      </c>
      <c r="AG10" s="1" t="s">
        <v>522</v>
      </c>
      <c r="AH10" s="1" t="s">
        <v>840</v>
      </c>
      <c r="AI10" s="502">
        <v>43056.2297915741</v>
      </c>
    </row>
    <row r="11" spans="1:35">
      <c r="A11" s="1" t="s">
        <v>328</v>
      </c>
      <c r="B11" s="275" t="s">
        <v>910</v>
      </c>
      <c r="C11" s="1" t="s">
        <v>522</v>
      </c>
      <c r="D11" s="1" t="s">
        <v>1018</v>
      </c>
      <c r="E11" s="1" t="s">
        <v>1022</v>
      </c>
      <c r="F11" s="1" t="s">
        <v>1018</v>
      </c>
      <c r="G11" s="1" t="s">
        <v>522</v>
      </c>
      <c r="H11" s="1" t="s">
        <v>1018</v>
      </c>
      <c r="I11" s="1"/>
      <c r="J11" s="1" t="s">
        <v>522</v>
      </c>
      <c r="K11" s="1" t="s">
        <v>1023</v>
      </c>
      <c r="L11" s="1" t="s">
        <v>1023</v>
      </c>
      <c r="M11" s="1" t="s">
        <v>1023</v>
      </c>
      <c r="N11" s="1" t="s">
        <v>1018</v>
      </c>
      <c r="O11" s="1" t="s">
        <v>1022</v>
      </c>
      <c r="P11" s="1" t="s">
        <v>522</v>
      </c>
      <c r="Q11" s="1" t="s">
        <v>522</v>
      </c>
      <c r="R11" s="1" t="s">
        <v>1022</v>
      </c>
      <c r="S11" s="1" t="s">
        <v>522</v>
      </c>
      <c r="T11" s="1" t="s">
        <v>1018</v>
      </c>
      <c r="U11" s="1" t="s">
        <v>1018</v>
      </c>
      <c r="V11" s="1" t="s">
        <v>1025</v>
      </c>
      <c r="W11" s="1" t="s">
        <v>522</v>
      </c>
      <c r="X11" s="1" t="s">
        <v>522</v>
      </c>
      <c r="Y11" s="1" t="s">
        <v>522</v>
      </c>
      <c r="Z11" s="1" t="s">
        <v>1018</v>
      </c>
      <c r="AA11" s="1" t="s">
        <v>1022</v>
      </c>
      <c r="AB11" s="1" t="s">
        <v>522</v>
      </c>
      <c r="AC11" s="1" t="s">
        <v>1018</v>
      </c>
      <c r="AD11" s="1" t="s">
        <v>522</v>
      </c>
      <c r="AE11" s="1" t="s">
        <v>522</v>
      </c>
      <c r="AF11" s="1" t="s">
        <v>522</v>
      </c>
      <c r="AG11" s="1" t="s">
        <v>522</v>
      </c>
      <c r="AH11" s="1" t="s">
        <v>1045</v>
      </c>
      <c r="AI11" s="502">
        <v>43056.2297915741</v>
      </c>
    </row>
    <row r="12" spans="1:35">
      <c r="A12" s="1" t="s">
        <v>328</v>
      </c>
      <c r="B12" s="275" t="s">
        <v>918</v>
      </c>
      <c r="C12" s="1" t="s">
        <v>522</v>
      </c>
      <c r="D12" s="1" t="s">
        <v>1022</v>
      </c>
      <c r="E12" s="1" t="s">
        <v>1040</v>
      </c>
      <c r="F12" s="1" t="s">
        <v>1024</v>
      </c>
      <c r="G12" s="1" t="s">
        <v>1040</v>
      </c>
      <c r="H12" s="1" t="s">
        <v>1046</v>
      </c>
      <c r="I12" s="1"/>
      <c r="J12" s="1" t="s">
        <v>522</v>
      </c>
      <c r="K12" s="1" t="s">
        <v>1023</v>
      </c>
      <c r="L12" s="1" t="s">
        <v>1046</v>
      </c>
      <c r="M12" s="1" t="s">
        <v>1019</v>
      </c>
      <c r="N12" s="1" t="s">
        <v>1046</v>
      </c>
      <c r="O12" s="1" t="s">
        <v>1026</v>
      </c>
      <c r="P12" s="1" t="s">
        <v>522</v>
      </c>
      <c r="Q12" s="1" t="s">
        <v>522</v>
      </c>
      <c r="R12" s="1" t="s">
        <v>1031</v>
      </c>
      <c r="S12" s="1" t="s">
        <v>1046</v>
      </c>
      <c r="T12" s="1" t="s">
        <v>1019</v>
      </c>
      <c r="U12" s="1" t="s">
        <v>1035</v>
      </c>
      <c r="V12" s="1" t="s">
        <v>1046</v>
      </c>
      <c r="W12" s="1" t="s">
        <v>1019</v>
      </c>
      <c r="X12" s="1" t="s">
        <v>522</v>
      </c>
      <c r="Y12" s="1" t="s">
        <v>1024</v>
      </c>
      <c r="Z12" s="1" t="s">
        <v>1021</v>
      </c>
      <c r="AA12" s="1" t="s">
        <v>1035</v>
      </c>
      <c r="AB12" s="1" t="s">
        <v>1024</v>
      </c>
      <c r="AC12" s="1" t="s">
        <v>1021</v>
      </c>
      <c r="AD12" s="1" t="s">
        <v>1025</v>
      </c>
      <c r="AE12" s="1" t="s">
        <v>522</v>
      </c>
      <c r="AF12" s="1" t="s">
        <v>1035</v>
      </c>
      <c r="AG12" s="1" t="s">
        <v>1023</v>
      </c>
      <c r="AH12" s="1" t="s">
        <v>1047</v>
      </c>
      <c r="AI12" s="502">
        <v>43056.2297915741</v>
      </c>
    </row>
    <row r="13" spans="1:35">
      <c r="A13" s="1" t="s">
        <v>328</v>
      </c>
      <c r="B13" s="275" t="s">
        <v>920</v>
      </c>
      <c r="C13" s="1" t="s">
        <v>522</v>
      </c>
      <c r="D13" s="1" t="s">
        <v>522</v>
      </c>
      <c r="E13" s="1" t="s">
        <v>1022</v>
      </c>
      <c r="F13" s="1" t="s">
        <v>522</v>
      </c>
      <c r="G13" s="1" t="s">
        <v>1018</v>
      </c>
      <c r="H13" s="1" t="s">
        <v>522</v>
      </c>
      <c r="I13" s="1"/>
      <c r="J13" s="1" t="s">
        <v>522</v>
      </c>
      <c r="K13" s="1" t="s">
        <v>1023</v>
      </c>
      <c r="L13" s="1" t="s">
        <v>1022</v>
      </c>
      <c r="M13" s="1" t="s">
        <v>1018</v>
      </c>
      <c r="N13" s="1" t="s">
        <v>522</v>
      </c>
      <c r="O13" s="1" t="s">
        <v>1018</v>
      </c>
      <c r="P13" s="1" t="s">
        <v>522</v>
      </c>
      <c r="Q13" s="1" t="s">
        <v>522</v>
      </c>
      <c r="R13" s="1" t="s">
        <v>1024</v>
      </c>
      <c r="S13" s="1" t="s">
        <v>522</v>
      </c>
      <c r="T13" s="1" t="s">
        <v>522</v>
      </c>
      <c r="U13" s="1" t="s">
        <v>1023</v>
      </c>
      <c r="V13" s="1" t="s">
        <v>1018</v>
      </c>
      <c r="W13" s="1" t="s">
        <v>1022</v>
      </c>
      <c r="X13" s="1" t="s">
        <v>522</v>
      </c>
      <c r="Y13" s="1" t="s">
        <v>522</v>
      </c>
      <c r="Z13" s="1" t="s">
        <v>1023</v>
      </c>
      <c r="AA13" s="1" t="s">
        <v>522</v>
      </c>
      <c r="AB13" s="1" t="s">
        <v>1022</v>
      </c>
      <c r="AC13" s="1" t="s">
        <v>1022</v>
      </c>
      <c r="AD13" s="1" t="s">
        <v>1029</v>
      </c>
      <c r="AE13" s="1" t="s">
        <v>522</v>
      </c>
      <c r="AF13" s="1" t="s">
        <v>1048</v>
      </c>
      <c r="AG13" s="1" t="s">
        <v>1021</v>
      </c>
      <c r="AH13" s="1" t="s">
        <v>1049</v>
      </c>
      <c r="AI13" s="502">
        <v>43056.2297915741</v>
      </c>
    </row>
    <row r="14" spans="1:35">
      <c r="A14" s="1" t="s">
        <v>328</v>
      </c>
      <c r="B14" s="275" t="s">
        <v>927</v>
      </c>
      <c r="C14" s="1" t="s">
        <v>522</v>
      </c>
      <c r="D14" s="1" t="s">
        <v>522</v>
      </c>
      <c r="E14" s="1" t="s">
        <v>522</v>
      </c>
      <c r="F14" s="1" t="s">
        <v>522</v>
      </c>
      <c r="G14" s="1" t="s">
        <v>522</v>
      </c>
      <c r="H14" s="1" t="s">
        <v>522</v>
      </c>
      <c r="I14" s="1"/>
      <c r="J14" s="1" t="s">
        <v>522</v>
      </c>
      <c r="K14" s="1" t="s">
        <v>522</v>
      </c>
      <c r="L14" s="1" t="s">
        <v>522</v>
      </c>
      <c r="M14" s="1" t="s">
        <v>522</v>
      </c>
      <c r="N14" s="1" t="s">
        <v>522</v>
      </c>
      <c r="O14" s="1" t="s">
        <v>522</v>
      </c>
      <c r="P14" s="1" t="s">
        <v>522</v>
      </c>
      <c r="Q14" s="1" t="s">
        <v>522</v>
      </c>
      <c r="R14" s="1" t="s">
        <v>522</v>
      </c>
      <c r="S14" s="1" t="s">
        <v>522</v>
      </c>
      <c r="T14" s="1" t="s">
        <v>522</v>
      </c>
      <c r="U14" s="1" t="s">
        <v>522</v>
      </c>
      <c r="V14" s="1" t="s">
        <v>522</v>
      </c>
      <c r="W14" s="1" t="s">
        <v>522</v>
      </c>
      <c r="X14" s="1" t="s">
        <v>522</v>
      </c>
      <c r="Y14" s="1" t="s">
        <v>522</v>
      </c>
      <c r="Z14" s="1" t="s">
        <v>522</v>
      </c>
      <c r="AA14" s="1" t="s">
        <v>522</v>
      </c>
      <c r="AB14" s="1" t="s">
        <v>522</v>
      </c>
      <c r="AC14" s="1" t="s">
        <v>522</v>
      </c>
      <c r="AD14" s="1" t="s">
        <v>522</v>
      </c>
      <c r="AE14" s="1" t="s">
        <v>522</v>
      </c>
      <c r="AF14" s="1" t="s">
        <v>522</v>
      </c>
      <c r="AG14" s="1" t="s">
        <v>522</v>
      </c>
      <c r="AH14" s="1" t="s">
        <v>840</v>
      </c>
      <c r="AI14" s="502">
        <v>43056.2297915741</v>
      </c>
    </row>
    <row r="15" spans="1:35">
      <c r="A15" s="1" t="s">
        <v>328</v>
      </c>
      <c r="B15" s="275" t="s">
        <v>961</v>
      </c>
      <c r="C15" s="1" t="s">
        <v>522</v>
      </c>
      <c r="D15" s="1" t="s">
        <v>522</v>
      </c>
      <c r="E15" s="1" t="s">
        <v>522</v>
      </c>
      <c r="F15" s="1" t="s">
        <v>522</v>
      </c>
      <c r="G15" s="1" t="s">
        <v>522</v>
      </c>
      <c r="H15" s="1" t="s">
        <v>522</v>
      </c>
      <c r="I15" s="1"/>
      <c r="J15" s="1" t="s">
        <v>522</v>
      </c>
      <c r="K15" s="1" t="s">
        <v>522</v>
      </c>
      <c r="L15" s="1" t="s">
        <v>522</v>
      </c>
      <c r="M15" s="1" t="s">
        <v>522</v>
      </c>
      <c r="N15" s="1" t="s">
        <v>522</v>
      </c>
      <c r="O15" s="1" t="s">
        <v>522</v>
      </c>
      <c r="P15" s="1" t="s">
        <v>522</v>
      </c>
      <c r="Q15" s="1" t="s">
        <v>522</v>
      </c>
      <c r="R15" s="1" t="s">
        <v>522</v>
      </c>
      <c r="S15" s="1" t="s">
        <v>522</v>
      </c>
      <c r="T15" s="1" t="s">
        <v>522</v>
      </c>
      <c r="U15" s="1" t="s">
        <v>522</v>
      </c>
      <c r="V15" s="1" t="s">
        <v>522</v>
      </c>
      <c r="W15" s="1" t="s">
        <v>522</v>
      </c>
      <c r="X15" s="1" t="s">
        <v>522</v>
      </c>
      <c r="Y15" s="1" t="s">
        <v>522</v>
      </c>
      <c r="Z15" s="1" t="s">
        <v>522</v>
      </c>
      <c r="AA15" s="1" t="s">
        <v>522</v>
      </c>
      <c r="AB15" s="1" t="s">
        <v>522</v>
      </c>
      <c r="AC15" s="1" t="s">
        <v>522</v>
      </c>
      <c r="AD15" s="1" t="s">
        <v>522</v>
      </c>
      <c r="AE15" s="1" t="s">
        <v>522</v>
      </c>
      <c r="AF15" s="1" t="s">
        <v>522</v>
      </c>
      <c r="AG15" s="1" t="s">
        <v>522</v>
      </c>
      <c r="AH15" s="1" t="s">
        <v>840</v>
      </c>
      <c r="AI15" s="502">
        <v>43056.2297915741</v>
      </c>
    </row>
    <row r="16" spans="1:35">
      <c r="A16" s="1" t="s">
        <v>328</v>
      </c>
      <c r="B16" s="275" t="s">
        <v>962</v>
      </c>
      <c r="C16" s="1" t="s">
        <v>522</v>
      </c>
      <c r="D16" s="1" t="s">
        <v>522</v>
      </c>
      <c r="E16" s="1" t="s">
        <v>522</v>
      </c>
      <c r="F16" s="1" t="s">
        <v>522</v>
      </c>
      <c r="G16" s="1" t="s">
        <v>522</v>
      </c>
      <c r="H16" s="1" t="s">
        <v>522</v>
      </c>
      <c r="I16" s="1"/>
      <c r="J16" s="1" t="s">
        <v>522</v>
      </c>
      <c r="K16" s="1" t="s">
        <v>522</v>
      </c>
      <c r="L16" s="1" t="s">
        <v>522</v>
      </c>
      <c r="M16" s="1" t="s">
        <v>522</v>
      </c>
      <c r="N16" s="1" t="s">
        <v>522</v>
      </c>
      <c r="O16" s="1" t="s">
        <v>522</v>
      </c>
      <c r="P16" s="1" t="s">
        <v>522</v>
      </c>
      <c r="Q16" s="1" t="s">
        <v>522</v>
      </c>
      <c r="R16" s="1" t="s">
        <v>522</v>
      </c>
      <c r="S16" s="1" t="s">
        <v>522</v>
      </c>
      <c r="T16" s="1" t="s">
        <v>522</v>
      </c>
      <c r="U16" s="1" t="s">
        <v>522</v>
      </c>
      <c r="V16" s="1" t="s">
        <v>522</v>
      </c>
      <c r="W16" s="1" t="s">
        <v>522</v>
      </c>
      <c r="X16" s="1" t="s">
        <v>522</v>
      </c>
      <c r="Y16" s="1" t="s">
        <v>522</v>
      </c>
      <c r="Z16" s="1" t="s">
        <v>522</v>
      </c>
      <c r="AA16" s="1" t="s">
        <v>522</v>
      </c>
      <c r="AB16" s="1" t="s">
        <v>522</v>
      </c>
      <c r="AC16" s="1" t="s">
        <v>522</v>
      </c>
      <c r="AD16" s="1" t="s">
        <v>522</v>
      </c>
      <c r="AE16" s="1" t="s">
        <v>522</v>
      </c>
      <c r="AF16" s="1" t="s">
        <v>522</v>
      </c>
      <c r="AG16" s="1" t="s">
        <v>522</v>
      </c>
      <c r="AH16" s="1" t="s">
        <v>840</v>
      </c>
      <c r="AI16" s="502">
        <v>43056.2297915741</v>
      </c>
    </row>
    <row r="17" spans="1:35">
      <c r="A17" s="1" t="s">
        <v>328</v>
      </c>
      <c r="B17" s="275" t="s">
        <v>963</v>
      </c>
      <c r="C17" s="1" t="s">
        <v>522</v>
      </c>
      <c r="D17" s="1" t="s">
        <v>522</v>
      </c>
      <c r="E17" s="1" t="s">
        <v>522</v>
      </c>
      <c r="F17" s="1" t="s">
        <v>522</v>
      </c>
      <c r="G17" s="1" t="s">
        <v>522</v>
      </c>
      <c r="H17" s="1" t="s">
        <v>522</v>
      </c>
      <c r="I17" s="1"/>
      <c r="J17" s="1" t="s">
        <v>522</v>
      </c>
      <c r="K17" s="1" t="s">
        <v>522</v>
      </c>
      <c r="L17" s="1" t="s">
        <v>522</v>
      </c>
      <c r="M17" s="1" t="s">
        <v>522</v>
      </c>
      <c r="N17" s="1" t="s">
        <v>522</v>
      </c>
      <c r="O17" s="1" t="s">
        <v>522</v>
      </c>
      <c r="P17" s="1" t="s">
        <v>522</v>
      </c>
      <c r="Q17" s="1" t="s">
        <v>522</v>
      </c>
      <c r="R17" s="1" t="s">
        <v>522</v>
      </c>
      <c r="S17" s="1" t="s">
        <v>522</v>
      </c>
      <c r="T17" s="1" t="s">
        <v>522</v>
      </c>
      <c r="U17" s="1" t="s">
        <v>522</v>
      </c>
      <c r="V17" s="1" t="s">
        <v>522</v>
      </c>
      <c r="W17" s="1" t="s">
        <v>522</v>
      </c>
      <c r="X17" s="1" t="s">
        <v>522</v>
      </c>
      <c r="Y17" s="1" t="s">
        <v>522</v>
      </c>
      <c r="Z17" s="1" t="s">
        <v>522</v>
      </c>
      <c r="AA17" s="1" t="s">
        <v>522</v>
      </c>
      <c r="AB17" s="1" t="s">
        <v>522</v>
      </c>
      <c r="AC17" s="1" t="s">
        <v>522</v>
      </c>
      <c r="AD17" s="1" t="s">
        <v>522</v>
      </c>
      <c r="AE17" s="1" t="s">
        <v>522</v>
      </c>
      <c r="AF17" s="1" t="s">
        <v>522</v>
      </c>
      <c r="AG17" s="1" t="s">
        <v>522</v>
      </c>
      <c r="AH17" s="1" t="s">
        <v>840</v>
      </c>
      <c r="AI17" s="502">
        <v>43056.2297915741</v>
      </c>
    </row>
    <row r="18" spans="1:35">
      <c r="A18" s="1" t="s">
        <v>328</v>
      </c>
      <c r="B18" s="275" t="s">
        <v>964</v>
      </c>
      <c r="C18" s="1" t="s">
        <v>522</v>
      </c>
      <c r="D18" s="1" t="s">
        <v>522</v>
      </c>
      <c r="E18" s="1" t="s">
        <v>522</v>
      </c>
      <c r="F18" s="1" t="s">
        <v>522</v>
      </c>
      <c r="G18" s="1" t="s">
        <v>522</v>
      </c>
      <c r="H18" s="1" t="s">
        <v>522</v>
      </c>
      <c r="I18" s="1"/>
      <c r="J18" s="1" t="s">
        <v>522</v>
      </c>
      <c r="K18" s="1" t="s">
        <v>522</v>
      </c>
      <c r="L18" s="1" t="s">
        <v>522</v>
      </c>
      <c r="M18" s="1" t="s">
        <v>522</v>
      </c>
      <c r="N18" s="1" t="s">
        <v>522</v>
      </c>
      <c r="O18" s="1" t="s">
        <v>522</v>
      </c>
      <c r="P18" s="1" t="s">
        <v>522</v>
      </c>
      <c r="Q18" s="1" t="s">
        <v>522</v>
      </c>
      <c r="R18" s="1" t="s">
        <v>522</v>
      </c>
      <c r="S18" s="1" t="s">
        <v>522</v>
      </c>
      <c r="T18" s="1" t="s">
        <v>522</v>
      </c>
      <c r="U18" s="1" t="s">
        <v>522</v>
      </c>
      <c r="V18" s="1" t="s">
        <v>522</v>
      </c>
      <c r="W18" s="1" t="s">
        <v>522</v>
      </c>
      <c r="X18" s="1" t="s">
        <v>522</v>
      </c>
      <c r="Y18" s="1" t="s">
        <v>522</v>
      </c>
      <c r="Z18" s="1" t="s">
        <v>522</v>
      </c>
      <c r="AA18" s="1" t="s">
        <v>522</v>
      </c>
      <c r="AB18" s="1" t="s">
        <v>522</v>
      </c>
      <c r="AC18" s="1" t="s">
        <v>522</v>
      </c>
      <c r="AD18" s="1" t="s">
        <v>522</v>
      </c>
      <c r="AE18" s="1" t="s">
        <v>522</v>
      </c>
      <c r="AF18" s="1" t="s">
        <v>522</v>
      </c>
      <c r="AG18" s="1" t="s">
        <v>522</v>
      </c>
      <c r="AH18" s="1" t="s">
        <v>840</v>
      </c>
      <c r="AI18" s="502">
        <v>43056.2297915741</v>
      </c>
    </row>
    <row r="19" spans="1:35">
      <c r="A19" s="1" t="s">
        <v>328</v>
      </c>
      <c r="B19" s="275" t="s">
        <v>965</v>
      </c>
      <c r="C19" s="1" t="s">
        <v>522</v>
      </c>
      <c r="D19" s="1" t="s">
        <v>522</v>
      </c>
      <c r="E19" s="1" t="s">
        <v>522</v>
      </c>
      <c r="F19" s="1" t="s">
        <v>522</v>
      </c>
      <c r="G19" s="1" t="s">
        <v>522</v>
      </c>
      <c r="H19" s="1" t="s">
        <v>522</v>
      </c>
      <c r="I19" s="1"/>
      <c r="J19" s="1" t="s">
        <v>522</v>
      </c>
      <c r="K19" s="1" t="s">
        <v>522</v>
      </c>
      <c r="L19" s="1" t="s">
        <v>522</v>
      </c>
      <c r="M19" s="1" t="s">
        <v>522</v>
      </c>
      <c r="N19" s="1" t="s">
        <v>522</v>
      </c>
      <c r="O19" s="1" t="s">
        <v>522</v>
      </c>
      <c r="P19" s="1" t="s">
        <v>522</v>
      </c>
      <c r="Q19" s="1" t="s">
        <v>522</v>
      </c>
      <c r="R19" s="1" t="s">
        <v>522</v>
      </c>
      <c r="S19" s="1" t="s">
        <v>522</v>
      </c>
      <c r="T19" s="1" t="s">
        <v>522</v>
      </c>
      <c r="U19" s="1" t="s">
        <v>522</v>
      </c>
      <c r="V19" s="1" t="s">
        <v>522</v>
      </c>
      <c r="W19" s="1" t="s">
        <v>522</v>
      </c>
      <c r="X19" s="1" t="s">
        <v>522</v>
      </c>
      <c r="Y19" s="1" t="s">
        <v>522</v>
      </c>
      <c r="Z19" s="1" t="s">
        <v>522</v>
      </c>
      <c r="AA19" s="1" t="s">
        <v>522</v>
      </c>
      <c r="AB19" s="1" t="s">
        <v>522</v>
      </c>
      <c r="AC19" s="1" t="s">
        <v>522</v>
      </c>
      <c r="AD19" s="1" t="s">
        <v>522</v>
      </c>
      <c r="AE19" s="1" t="s">
        <v>522</v>
      </c>
      <c r="AF19" s="1" t="s">
        <v>522</v>
      </c>
      <c r="AG19" s="1" t="s">
        <v>522</v>
      </c>
      <c r="AH19" s="1" t="s">
        <v>840</v>
      </c>
      <c r="AI19" s="502">
        <v>43056.2297915741</v>
      </c>
    </row>
    <row r="20" spans="1:35">
      <c r="A20" s="503" t="s">
        <v>328</v>
      </c>
      <c r="B20" s="275" t="s">
        <v>966</v>
      </c>
      <c r="C20" s="503" t="s">
        <v>522</v>
      </c>
      <c r="D20" s="503" t="s">
        <v>996</v>
      </c>
      <c r="E20" s="503" t="s">
        <v>1037</v>
      </c>
      <c r="F20" s="503" t="s">
        <v>1050</v>
      </c>
      <c r="G20" s="503" t="s">
        <v>1051</v>
      </c>
      <c r="H20" s="503" t="s">
        <v>1052</v>
      </c>
      <c r="I20" s="503"/>
      <c r="J20" s="503" t="s">
        <v>522</v>
      </c>
      <c r="K20" s="503" t="s">
        <v>1053</v>
      </c>
      <c r="L20" s="503" t="s">
        <v>1054</v>
      </c>
      <c r="M20" s="503" t="s">
        <v>1016</v>
      </c>
      <c r="N20" s="503" t="s">
        <v>1013</v>
      </c>
      <c r="O20" s="503" t="s">
        <v>1055</v>
      </c>
      <c r="P20" s="503" t="s">
        <v>522</v>
      </c>
      <c r="Q20" s="503" t="s">
        <v>522</v>
      </c>
      <c r="R20" s="503" t="s">
        <v>1056</v>
      </c>
      <c r="S20" s="503" t="s">
        <v>1039</v>
      </c>
      <c r="T20" s="503" t="s">
        <v>1057</v>
      </c>
      <c r="U20" s="503" t="s">
        <v>1042</v>
      </c>
      <c r="V20" s="503" t="s">
        <v>1058</v>
      </c>
      <c r="W20" s="503" t="s">
        <v>1028</v>
      </c>
      <c r="X20" s="503" t="s">
        <v>522</v>
      </c>
      <c r="Y20" s="503" t="s">
        <v>1001</v>
      </c>
      <c r="Z20" s="503" t="s">
        <v>1042</v>
      </c>
      <c r="AA20" s="503" t="s">
        <v>1053</v>
      </c>
      <c r="AB20" s="503" t="s">
        <v>1001</v>
      </c>
      <c r="AC20" s="503" t="s">
        <v>1053</v>
      </c>
      <c r="AD20" s="503" t="s">
        <v>1059</v>
      </c>
      <c r="AE20" s="503" t="s">
        <v>522</v>
      </c>
      <c r="AF20" s="503" t="s">
        <v>1058</v>
      </c>
      <c r="AG20" s="503" t="s">
        <v>1059</v>
      </c>
      <c r="AH20" s="503" t="s">
        <v>1060</v>
      </c>
    </row>
    <row r="21" spans="1:35">
      <c r="B21" s="275"/>
    </row>
    <row r="22" spans="1:35">
      <c r="B22" s="275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I5"/>
  <sheetViews>
    <sheetView workbookViewId="0">
      <selection activeCell="J19" sqref="J19"/>
    </sheetView>
  </sheetViews>
  <sheetFormatPr defaultRowHeight="17.100000000000001"/>
  <cols>
    <col min="3" max="7" width="10.5" bestFit="1" customWidth="1"/>
    <col min="8" max="8" width="10.25" customWidth="1"/>
    <col min="34" max="34" width="9.5" bestFit="1" customWidth="1"/>
    <col min="35" max="35" width="11" customWidth="1"/>
  </cols>
  <sheetData>
    <row r="1" spans="1:35" ht="18" customHeight="1">
      <c r="A1" s="1" t="s">
        <v>294</v>
      </c>
      <c r="B1" s="1" t="s">
        <v>949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304</v>
      </c>
      <c r="L1" s="1" t="s">
        <v>305</v>
      </c>
      <c r="M1" s="1" t="s">
        <v>306</v>
      </c>
      <c r="N1" s="1" t="s">
        <v>307</v>
      </c>
      <c r="O1" s="1" t="s">
        <v>308</v>
      </c>
      <c r="P1" s="1" t="s">
        <v>309</v>
      </c>
      <c r="Q1" s="1" t="s">
        <v>310</v>
      </c>
      <c r="R1" s="1" t="s">
        <v>311</v>
      </c>
      <c r="S1" s="1" t="s">
        <v>312</v>
      </c>
      <c r="T1" s="1" t="s">
        <v>313</v>
      </c>
      <c r="U1" s="1" t="s">
        <v>314</v>
      </c>
      <c r="V1" s="1" t="s">
        <v>315</v>
      </c>
      <c r="W1" s="1" t="s">
        <v>316</v>
      </c>
      <c r="X1" s="1" t="s">
        <v>317</v>
      </c>
      <c r="Y1" s="1" t="s">
        <v>318</v>
      </c>
      <c r="Z1" s="1" t="s">
        <v>319</v>
      </c>
      <c r="AA1" s="1" t="s">
        <v>320</v>
      </c>
      <c r="AB1" s="1" t="s">
        <v>321</v>
      </c>
      <c r="AC1" s="1" t="s">
        <v>322</v>
      </c>
      <c r="AD1" s="1" t="s">
        <v>323</v>
      </c>
      <c r="AE1" s="1" t="s">
        <v>324</v>
      </c>
      <c r="AF1" s="1" t="s">
        <v>325</v>
      </c>
      <c r="AG1" s="1" t="s">
        <v>326</v>
      </c>
      <c r="AH1" s="1" t="s">
        <v>363</v>
      </c>
    </row>
    <row r="2" spans="1:35">
      <c r="A2" s="1" t="s">
        <v>328</v>
      </c>
      <c r="B2" s="1" t="s">
        <v>236</v>
      </c>
      <c r="C2" s="1" t="s">
        <v>1061</v>
      </c>
      <c r="D2" s="1" t="s">
        <v>1062</v>
      </c>
      <c r="E2" s="1" t="s">
        <v>1063</v>
      </c>
      <c r="F2" s="1" t="s">
        <v>1064</v>
      </c>
      <c r="G2" s="1" t="s">
        <v>1065</v>
      </c>
      <c r="H2" s="1" t="s">
        <v>1066</v>
      </c>
      <c r="I2" s="1" t="s">
        <v>1067</v>
      </c>
      <c r="J2" s="1" t="s">
        <v>1068</v>
      </c>
      <c r="K2" s="1" t="s">
        <v>1069</v>
      </c>
      <c r="L2" s="1" t="s">
        <v>1070</v>
      </c>
      <c r="M2" s="1" t="s">
        <v>1071</v>
      </c>
      <c r="N2" s="1" t="s">
        <v>1072</v>
      </c>
      <c r="O2" s="1" t="s">
        <v>1073</v>
      </c>
      <c r="P2" s="1" t="s">
        <v>1074</v>
      </c>
      <c r="Q2" s="1" t="s">
        <v>1075</v>
      </c>
      <c r="R2" s="1" t="s">
        <v>1076</v>
      </c>
      <c r="S2" s="1" t="s">
        <v>1077</v>
      </c>
      <c r="T2" s="1" t="s">
        <v>1078</v>
      </c>
      <c r="U2" s="1" t="s">
        <v>1079</v>
      </c>
      <c r="V2" s="1" t="s">
        <v>1080</v>
      </c>
      <c r="W2" s="1" t="s">
        <v>1081</v>
      </c>
      <c r="X2" s="1" t="s">
        <v>1082</v>
      </c>
      <c r="Y2" s="1" t="s">
        <v>1083</v>
      </c>
      <c r="Z2" s="1" t="s">
        <v>1084</v>
      </c>
      <c r="AA2" s="1" t="s">
        <v>1085</v>
      </c>
      <c r="AB2" s="1" t="s">
        <v>1086</v>
      </c>
      <c r="AC2" s="1" t="s">
        <v>1087</v>
      </c>
      <c r="AD2" s="1" t="s">
        <v>1088</v>
      </c>
      <c r="AE2" s="1" t="s">
        <v>1089</v>
      </c>
      <c r="AF2" s="1" t="s">
        <v>1090</v>
      </c>
      <c r="AG2" s="1" t="s">
        <v>1091</v>
      </c>
      <c r="AH2" s="1" t="s">
        <v>1092</v>
      </c>
      <c r="AI2" s="502">
        <v>43056.229888680602</v>
      </c>
    </row>
    <row r="3" spans="1:35">
      <c r="A3" s="1" t="s">
        <v>328</v>
      </c>
      <c r="B3" s="1" t="s">
        <v>237</v>
      </c>
      <c r="C3" s="1" t="s">
        <v>1093</v>
      </c>
      <c r="D3" s="1" t="s">
        <v>1094</v>
      </c>
      <c r="E3" s="1" t="s">
        <v>1095</v>
      </c>
      <c r="F3" s="1" t="s">
        <v>1096</v>
      </c>
      <c r="G3" s="1" t="s">
        <v>1097</v>
      </c>
      <c r="H3" s="1" t="s">
        <v>1098</v>
      </c>
      <c r="I3" s="1" t="s">
        <v>1099</v>
      </c>
      <c r="J3" s="1" t="s">
        <v>1100</v>
      </c>
      <c r="K3" s="1" t="s">
        <v>1101</v>
      </c>
      <c r="L3" s="1" t="s">
        <v>1102</v>
      </c>
      <c r="M3" s="1" t="s">
        <v>1103</v>
      </c>
      <c r="N3" s="1" t="s">
        <v>1104</v>
      </c>
      <c r="O3" s="1" t="s">
        <v>1105</v>
      </c>
      <c r="P3" s="1" t="s">
        <v>1106</v>
      </c>
      <c r="Q3" s="1" t="s">
        <v>1107</v>
      </c>
      <c r="R3" s="1" t="s">
        <v>1108</v>
      </c>
      <c r="S3" s="1" t="s">
        <v>1109</v>
      </c>
      <c r="T3" s="1" t="s">
        <v>1110</v>
      </c>
      <c r="U3" s="1" t="s">
        <v>1111</v>
      </c>
      <c r="V3" s="1" t="s">
        <v>1112</v>
      </c>
      <c r="W3" s="1" t="s">
        <v>1113</v>
      </c>
      <c r="X3" s="1" t="s">
        <v>1114</v>
      </c>
      <c r="Y3" s="1" t="s">
        <v>1115</v>
      </c>
      <c r="Z3" s="1" t="s">
        <v>1116</v>
      </c>
      <c r="AA3" s="1" t="s">
        <v>1117</v>
      </c>
      <c r="AB3" s="1" t="s">
        <v>1118</v>
      </c>
      <c r="AC3" s="1" t="s">
        <v>1119</v>
      </c>
      <c r="AD3" s="1" t="s">
        <v>1120</v>
      </c>
      <c r="AE3" s="1" t="s">
        <v>1121</v>
      </c>
      <c r="AF3" s="1" t="s">
        <v>1122</v>
      </c>
      <c r="AG3" s="1" t="s">
        <v>1123</v>
      </c>
      <c r="AH3" s="1" t="s">
        <v>1124</v>
      </c>
      <c r="AI3" s="502">
        <v>43056.229888680602</v>
      </c>
    </row>
    <row r="4" spans="1:35">
      <c r="A4" s="1" t="s">
        <v>328</v>
      </c>
      <c r="B4" s="1" t="s">
        <v>950</v>
      </c>
      <c r="C4" s="1" t="s">
        <v>1125</v>
      </c>
      <c r="D4" s="1" t="s">
        <v>1126</v>
      </c>
      <c r="E4" s="1" t="s">
        <v>1127</v>
      </c>
      <c r="F4" s="1" t="s">
        <v>1128</v>
      </c>
      <c r="G4" s="1" t="s">
        <v>1129</v>
      </c>
      <c r="H4" s="1" t="s">
        <v>1130</v>
      </c>
      <c r="I4" s="1" t="s">
        <v>1131</v>
      </c>
      <c r="J4" s="1" t="s">
        <v>1132</v>
      </c>
      <c r="K4" s="1" t="s">
        <v>1133</v>
      </c>
      <c r="L4" s="1" t="s">
        <v>1134</v>
      </c>
      <c r="M4" s="1" t="s">
        <v>1135</v>
      </c>
      <c r="N4" s="1" t="s">
        <v>1136</v>
      </c>
      <c r="O4" s="1" t="s">
        <v>1137</v>
      </c>
      <c r="P4" s="1" t="s">
        <v>1137</v>
      </c>
      <c r="Q4" s="1" t="s">
        <v>1138</v>
      </c>
      <c r="R4" s="1" t="s">
        <v>1139</v>
      </c>
      <c r="S4" s="1" t="s">
        <v>1140</v>
      </c>
      <c r="T4" s="1" t="s">
        <v>1141</v>
      </c>
      <c r="U4" s="1" t="s">
        <v>1142</v>
      </c>
      <c r="V4" s="1" t="s">
        <v>1143</v>
      </c>
      <c r="W4" s="1" t="s">
        <v>1144</v>
      </c>
      <c r="X4" s="1" t="s">
        <v>1145</v>
      </c>
      <c r="Y4" s="1" t="s">
        <v>1146</v>
      </c>
      <c r="Z4" s="1" t="s">
        <v>1147</v>
      </c>
      <c r="AA4" s="306" t="s">
        <v>1148</v>
      </c>
      <c r="AB4" s="1" t="s">
        <v>1149</v>
      </c>
      <c r="AC4" s="1" t="s">
        <v>1150</v>
      </c>
      <c r="AD4" s="1" t="s">
        <v>1151</v>
      </c>
      <c r="AE4" s="1" t="s">
        <v>1152</v>
      </c>
      <c r="AF4" s="1" t="s">
        <v>1153</v>
      </c>
      <c r="AG4" s="1" t="s">
        <v>1154</v>
      </c>
      <c r="AH4" s="1" t="s">
        <v>1155</v>
      </c>
      <c r="AI4" s="502">
        <v>43056.229888680602</v>
      </c>
    </row>
    <row r="5" spans="1:35">
      <c r="AH5" s="307" t="e">
        <f>AVERAGE(C4:AE4)</f>
        <v>#DIV/0!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J21"/>
  <sheetViews>
    <sheetView workbookViewId="0">
      <selection activeCell="K20" sqref="K20"/>
    </sheetView>
  </sheetViews>
  <sheetFormatPr defaultRowHeight="17.100000000000001"/>
  <sheetData>
    <row r="1" spans="1:36">
      <c r="A1" s="1" t="s">
        <v>294</v>
      </c>
      <c r="B1" s="1" t="s">
        <v>361</v>
      </c>
      <c r="C1" s="1" t="s">
        <v>949</v>
      </c>
      <c r="D1" s="1" t="s">
        <v>296</v>
      </c>
      <c r="E1" s="1" t="s">
        <v>297</v>
      </c>
      <c r="F1" s="1" t="s">
        <v>298</v>
      </c>
      <c r="G1" s="1" t="s">
        <v>299</v>
      </c>
      <c r="H1" s="1" t="s">
        <v>300</v>
      </c>
      <c r="I1" s="1" t="s">
        <v>301</v>
      </c>
      <c r="J1" s="1" t="s">
        <v>302</v>
      </c>
      <c r="K1" s="1" t="s">
        <v>303</v>
      </c>
      <c r="L1" s="1" t="s">
        <v>304</v>
      </c>
      <c r="M1" s="1" t="s">
        <v>305</v>
      </c>
      <c r="N1" s="1" t="s">
        <v>306</v>
      </c>
      <c r="O1" s="1" t="s">
        <v>307</v>
      </c>
      <c r="P1" s="1" t="s">
        <v>308</v>
      </c>
      <c r="Q1" s="1" t="s">
        <v>309</v>
      </c>
      <c r="R1" s="1" t="s">
        <v>310</v>
      </c>
      <c r="S1" s="1" t="s">
        <v>311</v>
      </c>
      <c r="T1" s="1" t="s">
        <v>312</v>
      </c>
      <c r="U1" s="1" t="s">
        <v>313</v>
      </c>
      <c r="V1" s="1" t="s">
        <v>314</v>
      </c>
      <c r="W1" s="1" t="s">
        <v>315</v>
      </c>
      <c r="X1" s="1" t="s">
        <v>316</v>
      </c>
      <c r="Y1" s="1" t="s">
        <v>317</v>
      </c>
      <c r="Z1" s="1" t="s">
        <v>318</v>
      </c>
      <c r="AA1" s="1" t="s">
        <v>319</v>
      </c>
      <c r="AB1" s="1" t="s">
        <v>320</v>
      </c>
      <c r="AC1" s="1" t="s">
        <v>321</v>
      </c>
      <c r="AD1" s="1" t="s">
        <v>322</v>
      </c>
      <c r="AE1" s="1" t="s">
        <v>323</v>
      </c>
      <c r="AF1" s="1" t="s">
        <v>324</v>
      </c>
      <c r="AG1" s="1" t="s">
        <v>325</v>
      </c>
      <c r="AH1" s="1" t="s">
        <v>326</v>
      </c>
      <c r="AI1" s="1" t="s">
        <v>363</v>
      </c>
    </row>
    <row r="2" spans="1:36">
      <c r="A2" s="1" t="s">
        <v>328</v>
      </c>
      <c r="B2" s="1" t="s">
        <v>72</v>
      </c>
      <c r="C2" s="1" t="s">
        <v>236</v>
      </c>
      <c r="D2" s="1" t="s">
        <v>1156</v>
      </c>
      <c r="E2" s="1" t="s">
        <v>1157</v>
      </c>
      <c r="F2" s="1" t="s">
        <v>1158</v>
      </c>
      <c r="G2" s="1" t="s">
        <v>1159</v>
      </c>
      <c r="H2" s="1" t="s">
        <v>1160</v>
      </c>
      <c r="I2" s="1" t="s">
        <v>1161</v>
      </c>
      <c r="J2" s="1" t="s">
        <v>1162</v>
      </c>
      <c r="K2" s="1" t="s">
        <v>1162</v>
      </c>
      <c r="L2" s="1" t="s">
        <v>1163</v>
      </c>
      <c r="M2" s="1" t="s">
        <v>1164</v>
      </c>
      <c r="N2" s="1" t="s">
        <v>1165</v>
      </c>
      <c r="O2" s="1" t="s">
        <v>1166</v>
      </c>
      <c r="P2" s="1" t="s">
        <v>1167</v>
      </c>
      <c r="Q2" s="1" t="s">
        <v>1167</v>
      </c>
      <c r="R2" s="1" t="s">
        <v>1167</v>
      </c>
      <c r="S2" s="1" t="s">
        <v>1168</v>
      </c>
      <c r="T2" s="1" t="s">
        <v>1169</v>
      </c>
      <c r="U2" s="1" t="s">
        <v>1170</v>
      </c>
      <c r="V2" s="1" t="s">
        <v>1171</v>
      </c>
      <c r="W2" s="1" t="s">
        <v>1172</v>
      </c>
      <c r="X2" s="1" t="s">
        <v>1173</v>
      </c>
      <c r="Y2" s="1" t="s">
        <v>1173</v>
      </c>
      <c r="Z2" s="1" t="s">
        <v>1174</v>
      </c>
      <c r="AA2" s="1" t="s">
        <v>1175</v>
      </c>
      <c r="AB2" s="1" t="s">
        <v>1176</v>
      </c>
      <c r="AC2" s="1" t="s">
        <v>1177</v>
      </c>
      <c r="AD2" s="1" t="s">
        <v>1178</v>
      </c>
      <c r="AE2" s="1" t="s">
        <v>1179</v>
      </c>
      <c r="AF2" s="1" t="s">
        <v>1179</v>
      </c>
      <c r="AG2" s="1" t="s">
        <v>1180</v>
      </c>
      <c r="AH2" s="1" t="s">
        <v>1181</v>
      </c>
      <c r="AI2" s="1" t="s">
        <v>1182</v>
      </c>
      <c r="AJ2" s="502">
        <v>43056.229889050897</v>
      </c>
    </row>
    <row r="3" spans="1:36">
      <c r="A3" s="1" t="s">
        <v>328</v>
      </c>
      <c r="B3" s="1" t="s">
        <v>72</v>
      </c>
      <c r="C3" s="1" t="s">
        <v>237</v>
      </c>
      <c r="D3" s="1" t="s">
        <v>1183</v>
      </c>
      <c r="E3" s="1" t="s">
        <v>1184</v>
      </c>
      <c r="F3" s="1" t="s">
        <v>1185</v>
      </c>
      <c r="G3" s="1" t="s">
        <v>1186</v>
      </c>
      <c r="H3" s="1" t="s">
        <v>1187</v>
      </c>
      <c r="I3" s="1" t="s">
        <v>1188</v>
      </c>
      <c r="J3" s="1" t="s">
        <v>1189</v>
      </c>
      <c r="K3" s="1" t="s">
        <v>1189</v>
      </c>
      <c r="L3" s="1" t="s">
        <v>1190</v>
      </c>
      <c r="M3" s="1" t="s">
        <v>1191</v>
      </c>
      <c r="N3" s="1" t="s">
        <v>1192</v>
      </c>
      <c r="O3" s="1" t="s">
        <v>1193</v>
      </c>
      <c r="P3" s="1" t="s">
        <v>1194</v>
      </c>
      <c r="Q3" s="1" t="s">
        <v>1194</v>
      </c>
      <c r="R3" s="1" t="s">
        <v>1194</v>
      </c>
      <c r="S3" s="1" t="s">
        <v>1195</v>
      </c>
      <c r="T3" s="1" t="s">
        <v>1196</v>
      </c>
      <c r="U3" s="1" t="s">
        <v>1197</v>
      </c>
      <c r="V3" s="1" t="s">
        <v>1198</v>
      </c>
      <c r="W3" s="1" t="s">
        <v>1199</v>
      </c>
      <c r="X3" s="1" t="s">
        <v>1200</v>
      </c>
      <c r="Y3" s="1" t="s">
        <v>1200</v>
      </c>
      <c r="Z3" s="1" t="s">
        <v>1201</v>
      </c>
      <c r="AA3" s="1" t="s">
        <v>1202</v>
      </c>
      <c r="AB3" s="1" t="s">
        <v>1203</v>
      </c>
      <c r="AC3" s="1" t="s">
        <v>1204</v>
      </c>
      <c r="AD3" s="1" t="s">
        <v>1205</v>
      </c>
      <c r="AE3" s="1" t="s">
        <v>1206</v>
      </c>
      <c r="AF3" s="1" t="s">
        <v>1206</v>
      </c>
      <c r="AG3" s="1" t="s">
        <v>1207</v>
      </c>
      <c r="AH3" s="1" t="s">
        <v>1208</v>
      </c>
      <c r="AI3" s="1" t="s">
        <v>1209</v>
      </c>
      <c r="AJ3" s="502">
        <v>43056.229889050897</v>
      </c>
    </row>
    <row r="4" spans="1:36">
      <c r="A4" s="1" t="s">
        <v>328</v>
      </c>
      <c r="B4" s="1" t="s">
        <v>72</v>
      </c>
      <c r="C4" s="1" t="s">
        <v>950</v>
      </c>
      <c r="D4" s="1" t="s">
        <v>1210</v>
      </c>
      <c r="E4" s="1" t="s">
        <v>1211</v>
      </c>
      <c r="F4" s="1" t="s">
        <v>1212</v>
      </c>
      <c r="G4" s="1" t="s">
        <v>1213</v>
      </c>
      <c r="H4" s="1" t="s">
        <v>1214</v>
      </c>
      <c r="I4" s="1" t="s">
        <v>1215</v>
      </c>
      <c r="J4" s="1" t="s">
        <v>1214</v>
      </c>
      <c r="K4" s="1" t="s">
        <v>1214</v>
      </c>
      <c r="L4" s="1" t="s">
        <v>1216</v>
      </c>
      <c r="M4" s="1" t="s">
        <v>1217</v>
      </c>
      <c r="N4" s="1" t="s">
        <v>1218</v>
      </c>
      <c r="O4" s="1" t="s">
        <v>1219</v>
      </c>
      <c r="P4" s="1" t="s">
        <v>1220</v>
      </c>
      <c r="Q4" s="1" t="s">
        <v>1220</v>
      </c>
      <c r="R4" s="1" t="s">
        <v>1220</v>
      </c>
      <c r="S4" s="1" t="s">
        <v>1221</v>
      </c>
      <c r="T4" s="1" t="s">
        <v>1222</v>
      </c>
      <c r="U4" s="1" t="s">
        <v>1223</v>
      </c>
      <c r="V4" s="1" t="s">
        <v>1224</v>
      </c>
      <c r="W4" s="1" t="s">
        <v>1225</v>
      </c>
      <c r="X4" s="1" t="s">
        <v>1226</v>
      </c>
      <c r="Y4" s="1" t="s">
        <v>1226</v>
      </c>
      <c r="Z4" s="1" t="s">
        <v>1227</v>
      </c>
      <c r="AA4" s="1" t="s">
        <v>1228</v>
      </c>
      <c r="AB4" s="1" t="s">
        <v>1229</v>
      </c>
      <c r="AC4" s="1" t="s">
        <v>1230</v>
      </c>
      <c r="AD4" s="1" t="s">
        <v>1231</v>
      </c>
      <c r="AE4" s="1" t="s">
        <v>1232</v>
      </c>
      <c r="AF4" s="1" t="s">
        <v>1232</v>
      </c>
      <c r="AG4" s="1" t="s">
        <v>1233</v>
      </c>
      <c r="AH4" s="1" t="s">
        <v>1234</v>
      </c>
      <c r="AI4" s="1" t="s">
        <v>1235</v>
      </c>
      <c r="AJ4" s="502">
        <v>43056.229889050897</v>
      </c>
    </row>
    <row r="5" spans="1:36">
      <c r="A5" s="1" t="s">
        <v>328</v>
      </c>
      <c r="B5" s="1" t="s">
        <v>238</v>
      </c>
      <c r="C5" s="1" t="s">
        <v>236</v>
      </c>
      <c r="D5" s="1" t="s">
        <v>522</v>
      </c>
      <c r="E5" s="1" t="s">
        <v>522</v>
      </c>
      <c r="F5" s="1" t="s">
        <v>522</v>
      </c>
      <c r="G5" s="1" t="s">
        <v>522</v>
      </c>
      <c r="H5" s="1" t="s">
        <v>522</v>
      </c>
      <c r="I5" s="1" t="s">
        <v>522</v>
      </c>
      <c r="J5" s="1" t="s">
        <v>522</v>
      </c>
      <c r="K5" s="1" t="s">
        <v>522</v>
      </c>
      <c r="L5" s="1" t="s">
        <v>522</v>
      </c>
      <c r="M5" s="1" t="s">
        <v>522</v>
      </c>
      <c r="N5" s="1" t="s">
        <v>522</v>
      </c>
      <c r="O5" s="1" t="s">
        <v>522</v>
      </c>
      <c r="P5" s="1" t="s">
        <v>522</v>
      </c>
      <c r="Q5" s="1" t="s">
        <v>522</v>
      </c>
      <c r="R5" s="1" t="s">
        <v>522</v>
      </c>
      <c r="S5" s="1" t="s">
        <v>522</v>
      </c>
      <c r="T5" s="1" t="s">
        <v>522</v>
      </c>
      <c r="U5" s="1" t="s">
        <v>522</v>
      </c>
      <c r="V5" s="1" t="s">
        <v>522</v>
      </c>
      <c r="W5" s="1" t="s">
        <v>522</v>
      </c>
      <c r="X5" s="1" t="s">
        <v>522</v>
      </c>
      <c r="Y5" s="1" t="s">
        <v>522</v>
      </c>
      <c r="Z5" s="1" t="s">
        <v>522</v>
      </c>
      <c r="AA5" s="1" t="s">
        <v>522</v>
      </c>
      <c r="AB5" s="1" t="s">
        <v>522</v>
      </c>
      <c r="AC5" s="1" t="s">
        <v>522</v>
      </c>
      <c r="AD5" s="1" t="s">
        <v>522</v>
      </c>
      <c r="AE5" s="1" t="s">
        <v>522</v>
      </c>
      <c r="AF5" s="1" t="s">
        <v>522</v>
      </c>
      <c r="AG5" s="1" t="s">
        <v>522</v>
      </c>
      <c r="AH5" s="1" t="s">
        <v>522</v>
      </c>
      <c r="AI5" s="1" t="s">
        <v>522</v>
      </c>
      <c r="AJ5" s="502">
        <v>43056.229889050897</v>
      </c>
    </row>
    <row r="6" spans="1:36">
      <c r="A6" s="1" t="s">
        <v>328</v>
      </c>
      <c r="B6" s="1" t="s">
        <v>238</v>
      </c>
      <c r="C6" s="1" t="s">
        <v>237</v>
      </c>
      <c r="D6" s="1" t="s">
        <v>522</v>
      </c>
      <c r="E6" s="1" t="s">
        <v>522</v>
      </c>
      <c r="F6" s="1" t="s">
        <v>522</v>
      </c>
      <c r="G6" s="1" t="s">
        <v>522</v>
      </c>
      <c r="H6" s="1" t="s">
        <v>522</v>
      </c>
      <c r="I6" s="1" t="s">
        <v>522</v>
      </c>
      <c r="J6" s="1" t="s">
        <v>522</v>
      </c>
      <c r="K6" s="1" t="s">
        <v>522</v>
      </c>
      <c r="L6" s="1" t="s">
        <v>522</v>
      </c>
      <c r="M6" s="1" t="s">
        <v>522</v>
      </c>
      <c r="N6" s="1" t="s">
        <v>522</v>
      </c>
      <c r="O6" s="1" t="s">
        <v>522</v>
      </c>
      <c r="P6" s="1" t="s">
        <v>522</v>
      </c>
      <c r="Q6" s="1" t="s">
        <v>522</v>
      </c>
      <c r="R6" s="1" t="s">
        <v>522</v>
      </c>
      <c r="S6" s="1" t="s">
        <v>522</v>
      </c>
      <c r="T6" s="1" t="s">
        <v>522</v>
      </c>
      <c r="U6" s="1" t="s">
        <v>522</v>
      </c>
      <c r="V6" s="1" t="s">
        <v>522</v>
      </c>
      <c r="W6" s="1" t="s">
        <v>522</v>
      </c>
      <c r="X6" s="1" t="s">
        <v>522</v>
      </c>
      <c r="Y6" s="1" t="s">
        <v>522</v>
      </c>
      <c r="Z6" s="1" t="s">
        <v>522</v>
      </c>
      <c r="AA6" s="1" t="s">
        <v>522</v>
      </c>
      <c r="AB6" s="1" t="s">
        <v>522</v>
      </c>
      <c r="AC6" s="1" t="s">
        <v>522</v>
      </c>
      <c r="AD6" s="1" t="s">
        <v>522</v>
      </c>
      <c r="AE6" s="1" t="s">
        <v>522</v>
      </c>
      <c r="AF6" s="1" t="s">
        <v>522</v>
      </c>
      <c r="AG6" s="1" t="s">
        <v>522</v>
      </c>
      <c r="AH6" s="1" t="s">
        <v>522</v>
      </c>
      <c r="AI6" s="1" t="s">
        <v>522</v>
      </c>
      <c r="AJ6" s="502">
        <v>43056.229889050897</v>
      </c>
    </row>
    <row r="7" spans="1:36">
      <c r="A7" s="1" t="s">
        <v>328</v>
      </c>
      <c r="B7" s="1" t="s">
        <v>245</v>
      </c>
      <c r="C7" s="1" t="s">
        <v>236</v>
      </c>
      <c r="D7" s="1" t="s">
        <v>1236</v>
      </c>
      <c r="E7" s="1" t="s">
        <v>1237</v>
      </c>
      <c r="F7" s="1" t="s">
        <v>1238</v>
      </c>
      <c r="G7" s="1" t="s">
        <v>1239</v>
      </c>
      <c r="H7" s="1" t="s">
        <v>1240</v>
      </c>
      <c r="I7" s="1" t="s">
        <v>1241</v>
      </c>
      <c r="J7" s="1" t="s">
        <v>1242</v>
      </c>
      <c r="K7" s="1" t="s">
        <v>1242</v>
      </c>
      <c r="L7" s="1" t="s">
        <v>1243</v>
      </c>
      <c r="M7" s="1" t="s">
        <v>1244</v>
      </c>
      <c r="N7" s="1" t="s">
        <v>1245</v>
      </c>
      <c r="O7" s="1" t="s">
        <v>1246</v>
      </c>
      <c r="P7" s="1" t="s">
        <v>1247</v>
      </c>
      <c r="Q7" s="1" t="s">
        <v>1247</v>
      </c>
      <c r="R7" s="1" t="s">
        <v>1247</v>
      </c>
      <c r="S7" s="1" t="s">
        <v>1248</v>
      </c>
      <c r="T7" s="1" t="s">
        <v>1249</v>
      </c>
      <c r="U7" s="1" t="s">
        <v>1250</v>
      </c>
      <c r="V7" s="1" t="s">
        <v>1251</v>
      </c>
      <c r="W7" s="1" t="s">
        <v>1252</v>
      </c>
      <c r="X7" s="1" t="s">
        <v>1253</v>
      </c>
      <c r="Y7" s="1" t="s">
        <v>1253</v>
      </c>
      <c r="Z7" s="1" t="s">
        <v>1254</v>
      </c>
      <c r="AA7" s="1" t="s">
        <v>1255</v>
      </c>
      <c r="AB7" s="1" t="s">
        <v>1256</v>
      </c>
      <c r="AC7" s="1" t="s">
        <v>1257</v>
      </c>
      <c r="AD7" s="1" t="s">
        <v>1258</v>
      </c>
      <c r="AE7" s="1" t="s">
        <v>1259</v>
      </c>
      <c r="AF7" s="1" t="s">
        <v>1259</v>
      </c>
      <c r="AG7" s="1" t="s">
        <v>1260</v>
      </c>
      <c r="AH7" s="1" t="s">
        <v>1261</v>
      </c>
      <c r="AI7" s="1" t="s">
        <v>1262</v>
      </c>
      <c r="AJ7" s="502">
        <v>43056.229889050897</v>
      </c>
    </row>
    <row r="8" spans="1:36">
      <c r="A8" s="1" t="s">
        <v>328</v>
      </c>
      <c r="B8" s="1" t="s">
        <v>239</v>
      </c>
      <c r="C8" s="1" t="s">
        <v>236</v>
      </c>
      <c r="D8" s="1" t="s">
        <v>522</v>
      </c>
      <c r="E8" s="1" t="s">
        <v>522</v>
      </c>
      <c r="F8" s="1" t="s">
        <v>522</v>
      </c>
      <c r="G8" s="1" t="s">
        <v>522</v>
      </c>
      <c r="H8" s="1" t="s">
        <v>522</v>
      </c>
      <c r="I8" s="1" t="s">
        <v>522</v>
      </c>
      <c r="J8" s="1" t="s">
        <v>522</v>
      </c>
      <c r="K8" s="1" t="s">
        <v>522</v>
      </c>
      <c r="L8" s="1" t="s">
        <v>522</v>
      </c>
      <c r="M8" s="1" t="s">
        <v>522</v>
      </c>
      <c r="N8" s="1" t="s">
        <v>522</v>
      </c>
      <c r="O8" s="1" t="s">
        <v>522</v>
      </c>
      <c r="P8" s="1" t="s">
        <v>522</v>
      </c>
      <c r="Q8" s="1" t="s">
        <v>522</v>
      </c>
      <c r="R8" s="1" t="s">
        <v>522</v>
      </c>
      <c r="S8" s="1" t="s">
        <v>522</v>
      </c>
      <c r="T8" s="1" t="s">
        <v>522</v>
      </c>
      <c r="U8" s="1" t="s">
        <v>522</v>
      </c>
      <c r="V8" s="1" t="s">
        <v>522</v>
      </c>
      <c r="W8" s="1" t="s">
        <v>522</v>
      </c>
      <c r="X8" s="1" t="s">
        <v>522</v>
      </c>
      <c r="Y8" s="1" t="s">
        <v>522</v>
      </c>
      <c r="Z8" s="1" t="s">
        <v>522</v>
      </c>
      <c r="AA8" s="1" t="s">
        <v>522</v>
      </c>
      <c r="AB8" s="1" t="s">
        <v>522</v>
      </c>
      <c r="AC8" s="1" t="s">
        <v>522</v>
      </c>
      <c r="AD8" s="1" t="s">
        <v>522</v>
      </c>
      <c r="AE8" s="1" t="s">
        <v>522</v>
      </c>
      <c r="AF8" s="1" t="s">
        <v>522</v>
      </c>
      <c r="AG8" s="1" t="s">
        <v>522</v>
      </c>
      <c r="AH8" s="1" t="s">
        <v>522</v>
      </c>
      <c r="AI8" s="1" t="s">
        <v>522</v>
      </c>
      <c r="AJ8" s="502">
        <v>43056.229889050897</v>
      </c>
    </row>
    <row r="9" spans="1:36">
      <c r="A9" s="1" t="s">
        <v>328</v>
      </c>
      <c r="B9" s="1" t="s">
        <v>239</v>
      </c>
      <c r="C9" s="1" t="s">
        <v>237</v>
      </c>
      <c r="D9" s="1" t="s">
        <v>522</v>
      </c>
      <c r="E9" s="1" t="s">
        <v>522</v>
      </c>
      <c r="F9" s="1" t="s">
        <v>522</v>
      </c>
      <c r="G9" s="1" t="s">
        <v>522</v>
      </c>
      <c r="H9" s="1" t="s">
        <v>522</v>
      </c>
      <c r="I9" s="1" t="s">
        <v>522</v>
      </c>
      <c r="J9" s="1" t="s">
        <v>522</v>
      </c>
      <c r="K9" s="1" t="s">
        <v>522</v>
      </c>
      <c r="L9" s="1" t="s">
        <v>522</v>
      </c>
      <c r="M9" s="1" t="s">
        <v>522</v>
      </c>
      <c r="N9" s="1" t="s">
        <v>522</v>
      </c>
      <c r="O9" s="1" t="s">
        <v>522</v>
      </c>
      <c r="P9" s="1" t="s">
        <v>522</v>
      </c>
      <c r="Q9" s="1" t="s">
        <v>522</v>
      </c>
      <c r="R9" s="1" t="s">
        <v>522</v>
      </c>
      <c r="S9" s="1" t="s">
        <v>522</v>
      </c>
      <c r="T9" s="1" t="s">
        <v>522</v>
      </c>
      <c r="U9" s="1" t="s">
        <v>522</v>
      </c>
      <c r="V9" s="1" t="s">
        <v>522</v>
      </c>
      <c r="W9" s="1" t="s">
        <v>522</v>
      </c>
      <c r="X9" s="1" t="s">
        <v>522</v>
      </c>
      <c r="Y9" s="1" t="s">
        <v>522</v>
      </c>
      <c r="Z9" s="1" t="s">
        <v>522</v>
      </c>
      <c r="AA9" s="1" t="s">
        <v>522</v>
      </c>
      <c r="AB9" s="1" t="s">
        <v>522</v>
      </c>
      <c r="AC9" s="1" t="s">
        <v>522</v>
      </c>
      <c r="AD9" s="1" t="s">
        <v>522</v>
      </c>
      <c r="AE9" s="1" t="s">
        <v>522</v>
      </c>
      <c r="AF9" s="1" t="s">
        <v>522</v>
      </c>
      <c r="AG9" s="1" t="s">
        <v>522</v>
      </c>
      <c r="AH9" s="1" t="s">
        <v>522</v>
      </c>
      <c r="AI9" s="1" t="s">
        <v>522</v>
      </c>
      <c r="AJ9" s="502">
        <v>43056.229889050897</v>
      </c>
    </row>
    <row r="10" spans="1:36">
      <c r="A10" s="1" t="s">
        <v>328</v>
      </c>
      <c r="B10" s="1" t="s">
        <v>240</v>
      </c>
      <c r="C10" s="1" t="s">
        <v>236</v>
      </c>
      <c r="D10" s="1" t="s">
        <v>522</v>
      </c>
      <c r="E10" s="1" t="s">
        <v>522</v>
      </c>
      <c r="F10" s="1" t="s">
        <v>522</v>
      </c>
      <c r="G10" s="1" t="s">
        <v>522</v>
      </c>
      <c r="H10" s="1" t="s">
        <v>522</v>
      </c>
      <c r="I10" s="1" t="s">
        <v>522</v>
      </c>
      <c r="J10" s="1" t="s">
        <v>522</v>
      </c>
      <c r="K10" s="1" t="s">
        <v>522</v>
      </c>
      <c r="L10" s="1" t="s">
        <v>522</v>
      </c>
      <c r="M10" s="1" t="s">
        <v>522</v>
      </c>
      <c r="N10" s="1" t="s">
        <v>522</v>
      </c>
      <c r="O10" s="1" t="s">
        <v>522</v>
      </c>
      <c r="P10" s="1" t="s">
        <v>522</v>
      </c>
      <c r="Q10" s="1" t="s">
        <v>522</v>
      </c>
      <c r="R10" s="1" t="s">
        <v>522</v>
      </c>
      <c r="S10" s="1" t="s">
        <v>522</v>
      </c>
      <c r="T10" s="1" t="s">
        <v>522</v>
      </c>
      <c r="U10" s="1" t="s">
        <v>522</v>
      </c>
      <c r="V10" s="1" t="s">
        <v>522</v>
      </c>
      <c r="W10" s="1" t="s">
        <v>522</v>
      </c>
      <c r="X10" s="1" t="s">
        <v>522</v>
      </c>
      <c r="Y10" s="1" t="s">
        <v>522</v>
      </c>
      <c r="Z10" s="1" t="s">
        <v>522</v>
      </c>
      <c r="AA10" s="1" t="s">
        <v>522</v>
      </c>
      <c r="AB10" s="1" t="s">
        <v>522</v>
      </c>
      <c r="AC10" s="1" t="s">
        <v>522</v>
      </c>
      <c r="AD10" s="1" t="s">
        <v>522</v>
      </c>
      <c r="AE10" s="1" t="s">
        <v>522</v>
      </c>
      <c r="AF10" s="1" t="s">
        <v>522</v>
      </c>
      <c r="AG10" s="1" t="s">
        <v>522</v>
      </c>
      <c r="AH10" s="1" t="s">
        <v>522</v>
      </c>
      <c r="AI10" s="1" t="s">
        <v>522</v>
      </c>
      <c r="AJ10" s="502">
        <v>43056.229889050897</v>
      </c>
    </row>
    <row r="11" spans="1:36">
      <c r="A11" s="1" t="s">
        <v>328</v>
      </c>
      <c r="B11" s="1" t="s">
        <v>240</v>
      </c>
      <c r="C11" s="1" t="s">
        <v>237</v>
      </c>
      <c r="D11" s="1" t="s">
        <v>522</v>
      </c>
      <c r="E11" s="1" t="s">
        <v>522</v>
      </c>
      <c r="F11" s="1" t="s">
        <v>522</v>
      </c>
      <c r="G11" s="1" t="s">
        <v>522</v>
      </c>
      <c r="H11" s="1" t="s">
        <v>522</v>
      </c>
      <c r="I11" s="1" t="s">
        <v>522</v>
      </c>
      <c r="J11" s="1" t="s">
        <v>522</v>
      </c>
      <c r="K11" s="1" t="s">
        <v>522</v>
      </c>
      <c r="L11" s="1" t="s">
        <v>522</v>
      </c>
      <c r="M11" s="1" t="s">
        <v>522</v>
      </c>
      <c r="N11" s="1" t="s">
        <v>522</v>
      </c>
      <c r="O11" s="1" t="s">
        <v>522</v>
      </c>
      <c r="P11" s="1" t="s">
        <v>522</v>
      </c>
      <c r="Q11" s="1" t="s">
        <v>522</v>
      </c>
      <c r="R11" s="1" t="s">
        <v>522</v>
      </c>
      <c r="S11" s="1" t="s">
        <v>522</v>
      </c>
      <c r="T11" s="1" t="s">
        <v>522</v>
      </c>
      <c r="U11" s="1" t="s">
        <v>522</v>
      </c>
      <c r="V11" s="1" t="s">
        <v>522</v>
      </c>
      <c r="W11" s="1" t="s">
        <v>522</v>
      </c>
      <c r="X11" s="1" t="s">
        <v>522</v>
      </c>
      <c r="Y11" s="1" t="s">
        <v>522</v>
      </c>
      <c r="Z11" s="1" t="s">
        <v>1263</v>
      </c>
      <c r="AA11" s="1" t="s">
        <v>522</v>
      </c>
      <c r="AB11" s="1" t="s">
        <v>522</v>
      </c>
      <c r="AC11" s="1" t="s">
        <v>522</v>
      </c>
      <c r="AD11" s="1" t="s">
        <v>522</v>
      </c>
      <c r="AE11" s="1" t="s">
        <v>522</v>
      </c>
      <c r="AF11" s="1" t="s">
        <v>522</v>
      </c>
      <c r="AG11" s="1" t="s">
        <v>522</v>
      </c>
      <c r="AH11" s="1" t="s">
        <v>522</v>
      </c>
      <c r="AI11" s="1" t="s">
        <v>1264</v>
      </c>
      <c r="AJ11" s="502">
        <v>43056.229889050897</v>
      </c>
    </row>
    <row r="12" spans="1:36">
      <c r="A12" s="1" t="s">
        <v>328</v>
      </c>
      <c r="B12" s="1" t="s">
        <v>241</v>
      </c>
      <c r="C12" s="1" t="s">
        <v>237</v>
      </c>
      <c r="D12" s="1" t="s">
        <v>522</v>
      </c>
      <c r="E12" s="1" t="s">
        <v>522</v>
      </c>
      <c r="F12" s="1" t="s">
        <v>522</v>
      </c>
      <c r="G12" s="1" t="s">
        <v>522</v>
      </c>
      <c r="H12" s="1" t="s">
        <v>522</v>
      </c>
      <c r="I12" s="1" t="s">
        <v>522</v>
      </c>
      <c r="J12" s="1" t="s">
        <v>522</v>
      </c>
      <c r="K12" s="1" t="s">
        <v>522</v>
      </c>
      <c r="L12" s="1" t="s">
        <v>522</v>
      </c>
      <c r="M12" s="1" t="s">
        <v>522</v>
      </c>
      <c r="N12" s="1" t="s">
        <v>522</v>
      </c>
      <c r="O12" s="1" t="s">
        <v>522</v>
      </c>
      <c r="P12" s="1" t="s">
        <v>522</v>
      </c>
      <c r="Q12" s="1" t="s">
        <v>522</v>
      </c>
      <c r="R12" s="1" t="s">
        <v>522</v>
      </c>
      <c r="S12" s="1" t="s">
        <v>522</v>
      </c>
      <c r="T12" s="1" t="s">
        <v>522</v>
      </c>
      <c r="U12" s="1" t="s">
        <v>522</v>
      </c>
      <c r="V12" s="1" t="s">
        <v>522</v>
      </c>
      <c r="W12" s="1" t="s">
        <v>522</v>
      </c>
      <c r="X12" s="1" t="s">
        <v>522</v>
      </c>
      <c r="Y12" s="1" t="s">
        <v>522</v>
      </c>
      <c r="Z12" s="1" t="s">
        <v>522</v>
      </c>
      <c r="AA12" s="1" t="s">
        <v>522</v>
      </c>
      <c r="AB12" s="1" t="s">
        <v>522</v>
      </c>
      <c r="AC12" s="1" t="s">
        <v>522</v>
      </c>
      <c r="AD12" s="1" t="s">
        <v>522</v>
      </c>
      <c r="AE12" s="1" t="s">
        <v>522</v>
      </c>
      <c r="AF12" s="1" t="s">
        <v>522</v>
      </c>
      <c r="AG12" s="1" t="s">
        <v>522</v>
      </c>
      <c r="AH12" s="1" t="s">
        <v>522</v>
      </c>
      <c r="AI12" s="1" t="s">
        <v>522</v>
      </c>
      <c r="AJ12" s="502">
        <v>43056.229889050897</v>
      </c>
    </row>
    <row r="13" spans="1:36">
      <c r="A13" s="1" t="s">
        <v>328</v>
      </c>
      <c r="B13" s="1" t="s">
        <v>242</v>
      </c>
      <c r="C13" s="1" t="s">
        <v>237</v>
      </c>
      <c r="D13" s="1" t="s">
        <v>522</v>
      </c>
      <c r="E13" s="1" t="s">
        <v>522</v>
      </c>
      <c r="F13" s="1" t="s">
        <v>522</v>
      </c>
      <c r="G13" s="1" t="s">
        <v>522</v>
      </c>
      <c r="H13" s="1" t="s">
        <v>522</v>
      </c>
      <c r="I13" s="1" t="s">
        <v>522</v>
      </c>
      <c r="J13" s="1" t="s">
        <v>522</v>
      </c>
      <c r="K13" s="1" t="s">
        <v>522</v>
      </c>
      <c r="L13" s="1" t="s">
        <v>522</v>
      </c>
      <c r="M13" s="1" t="s">
        <v>522</v>
      </c>
      <c r="N13" s="1" t="s">
        <v>522</v>
      </c>
      <c r="O13" s="1" t="s">
        <v>522</v>
      </c>
      <c r="P13" s="1" t="s">
        <v>522</v>
      </c>
      <c r="Q13" s="1" t="s">
        <v>522</v>
      </c>
      <c r="R13" s="1" t="s">
        <v>522</v>
      </c>
      <c r="S13" s="1" t="s">
        <v>522</v>
      </c>
      <c r="T13" s="1" t="s">
        <v>522</v>
      </c>
      <c r="U13" s="1" t="s">
        <v>522</v>
      </c>
      <c r="V13" s="1" t="s">
        <v>522</v>
      </c>
      <c r="W13" s="1" t="s">
        <v>522</v>
      </c>
      <c r="X13" s="1" t="s">
        <v>522</v>
      </c>
      <c r="Y13" s="1" t="s">
        <v>522</v>
      </c>
      <c r="Z13" s="1" t="s">
        <v>522</v>
      </c>
      <c r="AA13" s="1" t="s">
        <v>522</v>
      </c>
      <c r="AB13" s="1" t="s">
        <v>522</v>
      </c>
      <c r="AC13" s="1" t="s">
        <v>522</v>
      </c>
      <c r="AD13" s="1" t="s">
        <v>522</v>
      </c>
      <c r="AE13" s="1" t="s">
        <v>522</v>
      </c>
      <c r="AF13" s="1" t="s">
        <v>522</v>
      </c>
      <c r="AG13" s="1" t="s">
        <v>522</v>
      </c>
      <c r="AH13" s="1" t="s">
        <v>522</v>
      </c>
      <c r="AI13" s="1" t="s">
        <v>522</v>
      </c>
      <c r="AJ13" s="502">
        <v>43056.229889050897</v>
      </c>
    </row>
    <row r="14" spans="1:36">
      <c r="A14" s="1" t="s">
        <v>328</v>
      </c>
      <c r="B14" s="1" t="s">
        <v>1265</v>
      </c>
      <c r="C14" s="1" t="s">
        <v>237</v>
      </c>
      <c r="D14" s="1" t="s">
        <v>522</v>
      </c>
      <c r="E14" s="1" t="s">
        <v>522</v>
      </c>
      <c r="F14" s="1" t="s">
        <v>522</v>
      </c>
      <c r="G14" s="1" t="s">
        <v>522</v>
      </c>
      <c r="H14" s="1" t="s">
        <v>522</v>
      </c>
      <c r="I14" s="1" t="s">
        <v>522</v>
      </c>
      <c r="J14" s="1" t="s">
        <v>522</v>
      </c>
      <c r="K14" s="1" t="s">
        <v>522</v>
      </c>
      <c r="L14" s="1" t="s">
        <v>522</v>
      </c>
      <c r="M14" s="1" t="s">
        <v>522</v>
      </c>
      <c r="N14" s="1" t="s">
        <v>522</v>
      </c>
      <c r="O14" s="1" t="s">
        <v>522</v>
      </c>
      <c r="P14" s="1" t="s">
        <v>522</v>
      </c>
      <c r="Q14" s="1" t="s">
        <v>522</v>
      </c>
      <c r="R14" s="1" t="s">
        <v>522</v>
      </c>
      <c r="S14" s="1" t="s">
        <v>522</v>
      </c>
      <c r="T14" s="1" t="s">
        <v>522</v>
      </c>
      <c r="U14" s="1" t="s">
        <v>522</v>
      </c>
      <c r="V14" s="1" t="s">
        <v>522</v>
      </c>
      <c r="W14" s="1" t="s">
        <v>522</v>
      </c>
      <c r="X14" s="1" t="s">
        <v>522</v>
      </c>
      <c r="Y14" s="1" t="s">
        <v>522</v>
      </c>
      <c r="Z14" s="1" t="s">
        <v>522</v>
      </c>
      <c r="AA14" s="1" t="s">
        <v>522</v>
      </c>
      <c r="AB14" s="1" t="s">
        <v>522</v>
      </c>
      <c r="AC14" s="1" t="s">
        <v>522</v>
      </c>
      <c r="AD14" s="1" t="s">
        <v>522</v>
      </c>
      <c r="AE14" s="1" t="s">
        <v>522</v>
      </c>
      <c r="AF14" s="1" t="s">
        <v>522</v>
      </c>
      <c r="AG14" s="1" t="s">
        <v>522</v>
      </c>
      <c r="AH14" s="1" t="s">
        <v>522</v>
      </c>
      <c r="AI14" s="1" t="s">
        <v>522</v>
      </c>
      <c r="AJ14" s="502">
        <v>43056.229889050897</v>
      </c>
    </row>
    <row r="15" spans="1:36">
      <c r="A15" s="1" t="s">
        <v>328</v>
      </c>
      <c r="B15" s="1" t="s">
        <v>243</v>
      </c>
      <c r="C15" s="1" t="s">
        <v>237</v>
      </c>
      <c r="D15" s="1" t="s">
        <v>1266</v>
      </c>
      <c r="E15" s="1" t="s">
        <v>1266</v>
      </c>
      <c r="F15" s="1" t="s">
        <v>1267</v>
      </c>
      <c r="G15" s="1" t="s">
        <v>1268</v>
      </c>
      <c r="H15" s="1" t="s">
        <v>522</v>
      </c>
      <c r="I15" s="1" t="s">
        <v>1269</v>
      </c>
      <c r="J15" s="1" t="s">
        <v>1270</v>
      </c>
      <c r="K15" s="1" t="s">
        <v>1270</v>
      </c>
      <c r="L15" s="1" t="s">
        <v>1270</v>
      </c>
      <c r="M15" s="1" t="s">
        <v>1271</v>
      </c>
      <c r="N15" s="1" t="s">
        <v>1271</v>
      </c>
      <c r="O15" s="1" t="s">
        <v>1271</v>
      </c>
      <c r="P15" s="1" t="s">
        <v>1271</v>
      </c>
      <c r="Q15" s="1" t="s">
        <v>1271</v>
      </c>
      <c r="R15" s="1" t="s">
        <v>1271</v>
      </c>
      <c r="S15" s="1" t="s">
        <v>1272</v>
      </c>
      <c r="T15" s="1" t="s">
        <v>1272</v>
      </c>
      <c r="U15" s="1" t="s">
        <v>1272</v>
      </c>
      <c r="V15" s="1" t="s">
        <v>1272</v>
      </c>
      <c r="W15" s="1" t="s">
        <v>1272</v>
      </c>
      <c r="X15" s="1" t="s">
        <v>1272</v>
      </c>
      <c r="Y15" s="1" t="s">
        <v>1272</v>
      </c>
      <c r="Z15" s="1" t="s">
        <v>1273</v>
      </c>
      <c r="AA15" s="1" t="s">
        <v>1274</v>
      </c>
      <c r="AB15" s="1" t="s">
        <v>1274</v>
      </c>
      <c r="AC15" s="1" t="s">
        <v>1274</v>
      </c>
      <c r="AD15" s="1" t="s">
        <v>1275</v>
      </c>
      <c r="AE15" s="1" t="s">
        <v>1275</v>
      </c>
      <c r="AF15" s="1" t="s">
        <v>1275</v>
      </c>
      <c r="AG15" s="1" t="s">
        <v>1275</v>
      </c>
      <c r="AH15" s="1" t="s">
        <v>1275</v>
      </c>
      <c r="AI15" s="1" t="s">
        <v>1276</v>
      </c>
      <c r="AJ15" s="502">
        <v>43056.229889050897</v>
      </c>
    </row>
    <row r="16" spans="1:36">
      <c r="A16" s="1" t="s">
        <v>328</v>
      </c>
      <c r="B16" s="1" t="s">
        <v>244</v>
      </c>
      <c r="C16" s="1" t="s">
        <v>237</v>
      </c>
      <c r="D16" s="1" t="s">
        <v>522</v>
      </c>
      <c r="E16" s="1" t="s">
        <v>522</v>
      </c>
      <c r="F16" s="1" t="s">
        <v>522</v>
      </c>
      <c r="G16" s="1" t="s">
        <v>522</v>
      </c>
      <c r="H16" s="1" t="s">
        <v>522</v>
      </c>
      <c r="I16" s="1" t="s">
        <v>522</v>
      </c>
      <c r="J16" s="1" t="s">
        <v>522</v>
      </c>
      <c r="K16" s="1" t="s">
        <v>522</v>
      </c>
      <c r="L16" s="1" t="s">
        <v>522</v>
      </c>
      <c r="M16" s="1" t="s">
        <v>522</v>
      </c>
      <c r="N16" s="1" t="s">
        <v>522</v>
      </c>
      <c r="O16" s="1" t="s">
        <v>522</v>
      </c>
      <c r="P16" s="1" t="s">
        <v>522</v>
      </c>
      <c r="Q16" s="1" t="s">
        <v>522</v>
      </c>
      <c r="R16" s="1" t="s">
        <v>522</v>
      </c>
      <c r="S16" s="1" t="s">
        <v>522</v>
      </c>
      <c r="T16" s="1" t="s">
        <v>522</v>
      </c>
      <c r="U16" s="1" t="s">
        <v>522</v>
      </c>
      <c r="V16" s="1" t="s">
        <v>522</v>
      </c>
      <c r="W16" s="1" t="s">
        <v>522</v>
      </c>
      <c r="X16" s="1" t="s">
        <v>522</v>
      </c>
      <c r="Y16" s="1" t="s">
        <v>522</v>
      </c>
      <c r="Z16" s="1" t="s">
        <v>522</v>
      </c>
      <c r="AA16" s="1" t="s">
        <v>522</v>
      </c>
      <c r="AB16" s="1" t="s">
        <v>522</v>
      </c>
      <c r="AC16" s="1" t="s">
        <v>522</v>
      </c>
      <c r="AD16" s="1" t="s">
        <v>522</v>
      </c>
      <c r="AE16" s="1" t="s">
        <v>522</v>
      </c>
      <c r="AF16" s="1" t="s">
        <v>522</v>
      </c>
      <c r="AG16" s="1" t="s">
        <v>522</v>
      </c>
      <c r="AH16" s="1" t="s">
        <v>522</v>
      </c>
      <c r="AI16" s="1" t="s">
        <v>522</v>
      </c>
      <c r="AJ16" s="502">
        <v>43056.229889050897</v>
      </c>
    </row>
    <row r="17" spans="1:36">
      <c r="A17" s="1" t="s">
        <v>328</v>
      </c>
      <c r="B17" s="1" t="s">
        <v>249</v>
      </c>
      <c r="C17" s="1" t="s">
        <v>236</v>
      </c>
      <c r="D17" s="1" t="s">
        <v>522</v>
      </c>
      <c r="E17" s="1" t="s">
        <v>522</v>
      </c>
      <c r="F17" s="1" t="s">
        <v>522</v>
      </c>
      <c r="G17" s="1" t="s">
        <v>522</v>
      </c>
      <c r="H17" s="1" t="s">
        <v>522</v>
      </c>
      <c r="I17" s="1" t="s">
        <v>522</v>
      </c>
      <c r="J17" s="1" t="s">
        <v>522</v>
      </c>
      <c r="K17" s="1" t="s">
        <v>522</v>
      </c>
      <c r="L17" s="1" t="s">
        <v>522</v>
      </c>
      <c r="M17" s="1" t="s">
        <v>522</v>
      </c>
      <c r="N17" s="1" t="s">
        <v>522</v>
      </c>
      <c r="O17" s="1" t="s">
        <v>522</v>
      </c>
      <c r="P17" s="1" t="s">
        <v>522</v>
      </c>
      <c r="Q17" s="1" t="s">
        <v>522</v>
      </c>
      <c r="R17" s="1" t="s">
        <v>522</v>
      </c>
      <c r="S17" s="1" t="s">
        <v>522</v>
      </c>
      <c r="T17" s="1" t="s">
        <v>522</v>
      </c>
      <c r="U17" s="1" t="s">
        <v>522</v>
      </c>
      <c r="V17" s="1" t="s">
        <v>522</v>
      </c>
      <c r="W17" s="1" t="s">
        <v>522</v>
      </c>
      <c r="X17" s="1" t="s">
        <v>522</v>
      </c>
      <c r="Y17" s="1" t="s">
        <v>522</v>
      </c>
      <c r="Z17" s="1" t="s">
        <v>522</v>
      </c>
      <c r="AA17" s="1" t="s">
        <v>522</v>
      </c>
      <c r="AB17" s="1" t="s">
        <v>522</v>
      </c>
      <c r="AC17" s="1" t="s">
        <v>522</v>
      </c>
      <c r="AD17" s="1" t="s">
        <v>522</v>
      </c>
      <c r="AE17" s="1" t="s">
        <v>522</v>
      </c>
      <c r="AF17" s="1" t="s">
        <v>522</v>
      </c>
      <c r="AG17" s="1" t="s">
        <v>522</v>
      </c>
      <c r="AH17" s="1" t="s">
        <v>522</v>
      </c>
      <c r="AI17" s="1" t="s">
        <v>522</v>
      </c>
      <c r="AJ17" s="502">
        <v>43056.229889050897</v>
      </c>
    </row>
    <row r="18" spans="1:36">
      <c r="A18" s="1" t="s">
        <v>328</v>
      </c>
      <c r="B18" s="1" t="s">
        <v>250</v>
      </c>
      <c r="C18" s="1" t="s">
        <v>237</v>
      </c>
      <c r="D18" s="1" t="s">
        <v>522</v>
      </c>
      <c r="E18" s="1" t="s">
        <v>522</v>
      </c>
      <c r="F18" s="1" t="s">
        <v>522</v>
      </c>
      <c r="G18" s="1" t="s">
        <v>522</v>
      </c>
      <c r="H18" s="1" t="s">
        <v>522</v>
      </c>
      <c r="I18" s="1" t="s">
        <v>522</v>
      </c>
      <c r="J18" s="1" t="s">
        <v>522</v>
      </c>
      <c r="K18" s="1" t="s">
        <v>522</v>
      </c>
      <c r="L18" s="1" t="s">
        <v>522</v>
      </c>
      <c r="M18" s="1" t="s">
        <v>522</v>
      </c>
      <c r="N18" s="1" t="s">
        <v>522</v>
      </c>
      <c r="O18" s="1" t="s">
        <v>522</v>
      </c>
      <c r="P18" s="1" t="s">
        <v>522</v>
      </c>
      <c r="Q18" s="1" t="s">
        <v>522</v>
      </c>
      <c r="R18" s="1" t="s">
        <v>522</v>
      </c>
      <c r="S18" s="1" t="s">
        <v>522</v>
      </c>
      <c r="T18" s="1" t="s">
        <v>522</v>
      </c>
      <c r="U18" s="1" t="s">
        <v>522</v>
      </c>
      <c r="V18" s="1" t="s">
        <v>522</v>
      </c>
      <c r="W18" s="1" t="s">
        <v>522</v>
      </c>
      <c r="X18" s="1" t="s">
        <v>522</v>
      </c>
      <c r="Y18" s="1" t="s">
        <v>522</v>
      </c>
      <c r="Z18" s="1" t="s">
        <v>522</v>
      </c>
      <c r="AA18" s="1" t="s">
        <v>522</v>
      </c>
      <c r="AB18" s="1" t="s">
        <v>522</v>
      </c>
      <c r="AC18" s="1" t="s">
        <v>522</v>
      </c>
      <c r="AD18" s="1" t="s">
        <v>522</v>
      </c>
      <c r="AE18" s="1" t="s">
        <v>522</v>
      </c>
      <c r="AF18" s="1" t="s">
        <v>522</v>
      </c>
      <c r="AG18" s="1" t="s">
        <v>522</v>
      </c>
      <c r="AH18" s="1" t="s">
        <v>522</v>
      </c>
      <c r="AI18" s="1" t="s">
        <v>522</v>
      </c>
      <c r="AJ18" s="502">
        <v>43056.229889050897</v>
      </c>
    </row>
    <row r="19" spans="1:36">
      <c r="A19" s="1" t="s">
        <v>328</v>
      </c>
      <c r="B19" s="1" t="s">
        <v>246</v>
      </c>
      <c r="C19" s="1" t="s">
        <v>237</v>
      </c>
      <c r="D19" s="1" t="s">
        <v>522</v>
      </c>
      <c r="E19" s="1" t="s">
        <v>522</v>
      </c>
      <c r="F19" s="1" t="s">
        <v>522</v>
      </c>
      <c r="G19" s="1" t="s">
        <v>522</v>
      </c>
      <c r="H19" s="1" t="s">
        <v>522</v>
      </c>
      <c r="I19" s="1" t="s">
        <v>522</v>
      </c>
      <c r="J19" s="1" t="s">
        <v>522</v>
      </c>
      <c r="K19" s="1" t="s">
        <v>522</v>
      </c>
      <c r="L19" s="1" t="s">
        <v>522</v>
      </c>
      <c r="M19" s="1" t="s">
        <v>522</v>
      </c>
      <c r="N19" s="1" t="s">
        <v>522</v>
      </c>
      <c r="O19" s="1" t="s">
        <v>522</v>
      </c>
      <c r="P19" s="1" t="s">
        <v>522</v>
      </c>
      <c r="Q19" s="1" t="s">
        <v>522</v>
      </c>
      <c r="R19" s="1" t="s">
        <v>522</v>
      </c>
      <c r="S19" s="1" t="s">
        <v>522</v>
      </c>
      <c r="T19" s="1" t="s">
        <v>522</v>
      </c>
      <c r="U19" s="1" t="s">
        <v>522</v>
      </c>
      <c r="V19" s="1" t="s">
        <v>522</v>
      </c>
      <c r="W19" s="1" t="s">
        <v>522</v>
      </c>
      <c r="X19" s="1" t="s">
        <v>522</v>
      </c>
      <c r="Y19" s="1" t="s">
        <v>522</v>
      </c>
      <c r="Z19" s="1" t="s">
        <v>522</v>
      </c>
      <c r="AA19" s="1" t="s">
        <v>522</v>
      </c>
      <c r="AB19" s="1" t="s">
        <v>522</v>
      </c>
      <c r="AC19" s="1" t="s">
        <v>522</v>
      </c>
      <c r="AD19" s="1" t="s">
        <v>522</v>
      </c>
      <c r="AE19" s="1" t="s">
        <v>522</v>
      </c>
      <c r="AF19" s="1" t="s">
        <v>522</v>
      </c>
      <c r="AG19" s="1" t="s">
        <v>522</v>
      </c>
      <c r="AH19" s="1" t="s">
        <v>522</v>
      </c>
      <c r="AI19" s="1" t="s">
        <v>522</v>
      </c>
      <c r="AJ19" s="502">
        <v>43056.229889050897</v>
      </c>
    </row>
    <row r="20" spans="1:36">
      <c r="A20" s="1" t="s">
        <v>328</v>
      </c>
      <c r="B20" s="1" t="s">
        <v>248</v>
      </c>
      <c r="C20" s="1" t="s">
        <v>237</v>
      </c>
      <c r="D20" s="1" t="s">
        <v>522</v>
      </c>
      <c r="E20" s="1" t="s">
        <v>522</v>
      </c>
      <c r="F20" s="1" t="s">
        <v>522</v>
      </c>
      <c r="G20" s="1" t="s">
        <v>522</v>
      </c>
      <c r="H20" s="1" t="s">
        <v>522</v>
      </c>
      <c r="I20" s="1" t="s">
        <v>522</v>
      </c>
      <c r="J20" s="1" t="s">
        <v>522</v>
      </c>
      <c r="K20" s="1" t="s">
        <v>522</v>
      </c>
      <c r="L20" s="1" t="s">
        <v>522</v>
      </c>
      <c r="M20" s="1" t="s">
        <v>522</v>
      </c>
      <c r="N20" s="1" t="s">
        <v>522</v>
      </c>
      <c r="O20" s="1" t="s">
        <v>522</v>
      </c>
      <c r="P20" s="1" t="s">
        <v>522</v>
      </c>
      <c r="Q20" s="1" t="s">
        <v>522</v>
      </c>
      <c r="R20" s="1" t="s">
        <v>522</v>
      </c>
      <c r="S20" s="1" t="s">
        <v>522</v>
      </c>
      <c r="T20" s="1" t="s">
        <v>522</v>
      </c>
      <c r="U20" s="1" t="s">
        <v>522</v>
      </c>
      <c r="V20" s="1" t="s">
        <v>522</v>
      </c>
      <c r="W20" s="1" t="s">
        <v>522</v>
      </c>
      <c r="X20" s="1" t="s">
        <v>522</v>
      </c>
      <c r="Y20" s="1" t="s">
        <v>522</v>
      </c>
      <c r="Z20" s="1" t="s">
        <v>522</v>
      </c>
      <c r="AA20" s="1" t="s">
        <v>522</v>
      </c>
      <c r="AB20" s="1" t="s">
        <v>522</v>
      </c>
      <c r="AC20" s="1" t="s">
        <v>522</v>
      </c>
      <c r="AD20" s="1" t="s">
        <v>522</v>
      </c>
      <c r="AE20" s="1" t="s">
        <v>522</v>
      </c>
      <c r="AF20" s="1" t="s">
        <v>522</v>
      </c>
      <c r="AG20" s="1" t="s">
        <v>522</v>
      </c>
      <c r="AH20" s="1" t="s">
        <v>522</v>
      </c>
      <c r="AI20" s="1" t="s">
        <v>522</v>
      </c>
      <c r="AJ20" s="502">
        <v>43056.229889050897</v>
      </c>
    </row>
    <row r="21" spans="1:36">
      <c r="A21" s="1" t="s">
        <v>328</v>
      </c>
      <c r="B21" s="1" t="s">
        <v>247</v>
      </c>
      <c r="C21" s="1" t="s">
        <v>237</v>
      </c>
      <c r="D21" s="1" t="s">
        <v>522</v>
      </c>
      <c r="E21" s="1" t="s">
        <v>522</v>
      </c>
      <c r="F21" s="1" t="s">
        <v>522</v>
      </c>
      <c r="G21" s="1" t="s">
        <v>522</v>
      </c>
      <c r="H21" s="1" t="s">
        <v>522</v>
      </c>
      <c r="I21" s="1" t="s">
        <v>522</v>
      </c>
      <c r="J21" s="1" t="s">
        <v>522</v>
      </c>
      <c r="K21" s="1" t="s">
        <v>522</v>
      </c>
      <c r="L21" s="1" t="s">
        <v>522</v>
      </c>
      <c r="M21" s="1" t="s">
        <v>522</v>
      </c>
      <c r="N21" s="1" t="s">
        <v>522</v>
      </c>
      <c r="O21" s="1" t="s">
        <v>522</v>
      </c>
      <c r="P21" s="1" t="s">
        <v>522</v>
      </c>
      <c r="Q21" s="1" t="s">
        <v>522</v>
      </c>
      <c r="R21" s="1" t="s">
        <v>522</v>
      </c>
      <c r="S21" s="1" t="s">
        <v>522</v>
      </c>
      <c r="T21" s="1" t="s">
        <v>522</v>
      </c>
      <c r="U21" s="1" t="s">
        <v>522</v>
      </c>
      <c r="V21" s="1" t="s">
        <v>522</v>
      </c>
      <c r="W21" s="1" t="s">
        <v>522</v>
      </c>
      <c r="X21" s="1" t="s">
        <v>522</v>
      </c>
      <c r="Y21" s="1" t="s">
        <v>522</v>
      </c>
      <c r="Z21" s="1" t="s">
        <v>522</v>
      </c>
      <c r="AA21" s="1" t="s">
        <v>522</v>
      </c>
      <c r="AB21" s="1" t="s">
        <v>522</v>
      </c>
      <c r="AC21" s="1" t="s">
        <v>522</v>
      </c>
      <c r="AD21" s="1" t="s">
        <v>522</v>
      </c>
      <c r="AE21" s="1" t="s">
        <v>522</v>
      </c>
      <c r="AF21" s="1" t="s">
        <v>522</v>
      </c>
      <c r="AG21" s="1" t="s">
        <v>522</v>
      </c>
      <c r="AH21" s="1" t="s">
        <v>522</v>
      </c>
      <c r="AI21" s="1" t="s">
        <v>522</v>
      </c>
      <c r="AJ21" s="502">
        <v>43056.229889050897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C1351"/>
  <sheetViews>
    <sheetView workbookViewId="0">
      <selection activeCell="K17" sqref="K17"/>
    </sheetView>
  </sheetViews>
  <sheetFormatPr defaultRowHeight="17.100000000000001"/>
  <cols>
    <col min="1" max="1" width="9" style="1"/>
    <col min="3" max="15" width="9" style="1"/>
    <col min="16" max="16" width="10.75" style="1" customWidth="1"/>
    <col min="17" max="17" width="11.75" style="1" customWidth="1"/>
    <col min="18" max="20" width="9" style="1"/>
    <col min="21" max="21" width="16.125" style="1" customWidth="1"/>
    <col min="22" max="28" width="9" style="1"/>
  </cols>
  <sheetData>
    <row r="1" spans="1:29">
      <c r="A1" s="1" t="s">
        <v>1277</v>
      </c>
      <c r="B1" s="1" t="s">
        <v>361</v>
      </c>
      <c r="C1" s="1" t="s">
        <v>1278</v>
      </c>
      <c r="D1" s="1" t="s">
        <v>1279</v>
      </c>
      <c r="E1" s="1" t="s">
        <v>1280</v>
      </c>
      <c r="F1" s="1" t="s">
        <v>1281</v>
      </c>
      <c r="G1" s="1" t="s">
        <v>1282</v>
      </c>
      <c r="H1" s="1" t="s">
        <v>1283</v>
      </c>
      <c r="I1" s="1" t="s">
        <v>1284</v>
      </c>
      <c r="J1" s="1" t="s">
        <v>1285</v>
      </c>
      <c r="K1" s="1" t="s">
        <v>1286</v>
      </c>
      <c r="L1" s="1" t="s">
        <v>1287</v>
      </c>
      <c r="M1" s="1" t="s">
        <v>1288</v>
      </c>
      <c r="N1" s="1" t="s">
        <v>1289</v>
      </c>
      <c r="O1" s="1" t="s">
        <v>363</v>
      </c>
      <c r="P1" s="1" t="s">
        <v>1290</v>
      </c>
      <c r="Q1" s="1" t="s">
        <v>1291</v>
      </c>
      <c r="R1" s="1" t="s">
        <v>1292</v>
      </c>
      <c r="S1" s="1" t="s">
        <v>1293</v>
      </c>
      <c r="T1" s="1" t="s">
        <v>1294</v>
      </c>
      <c r="U1" s="1" t="s">
        <v>1295</v>
      </c>
      <c r="V1" s="1" t="s">
        <v>1296</v>
      </c>
      <c r="W1" s="1" t="s">
        <v>1297</v>
      </c>
      <c r="X1" s="1" t="s">
        <v>1298</v>
      </c>
      <c r="Y1" s="1" t="s">
        <v>1299</v>
      </c>
      <c r="Z1" s="1" t="s">
        <v>1300</v>
      </c>
      <c r="AA1" s="1" t="s">
        <v>1301</v>
      </c>
      <c r="AB1" s="1" t="s">
        <v>1302</v>
      </c>
    </row>
    <row r="2" spans="1:29">
      <c r="A2" s="1" t="s">
        <v>1303</v>
      </c>
      <c r="B2" s="1" t="s">
        <v>364</v>
      </c>
      <c r="C2" s="1" t="s">
        <v>1304</v>
      </c>
      <c r="D2" s="1" t="s">
        <v>1305</v>
      </c>
      <c r="E2" s="1" t="s">
        <v>1306</v>
      </c>
      <c r="F2" s="1" t="s">
        <v>1307</v>
      </c>
      <c r="G2" s="1" t="s">
        <v>1308</v>
      </c>
      <c r="H2" s="1" t="s">
        <v>1309</v>
      </c>
      <c r="I2" s="1" t="s">
        <v>1310</v>
      </c>
      <c r="J2" s="1" t="s">
        <v>1311</v>
      </c>
      <c r="K2" s="1" t="s">
        <v>1312</v>
      </c>
      <c r="L2" s="1" t="s">
        <v>1313</v>
      </c>
      <c r="M2" s="1" t="s">
        <v>1314</v>
      </c>
      <c r="N2" s="1" t="s">
        <v>522</v>
      </c>
      <c r="O2" s="1" t="s">
        <v>1315</v>
      </c>
      <c r="P2" s="1" t="s">
        <v>1316</v>
      </c>
      <c r="Q2" s="1" t="s">
        <v>1317</v>
      </c>
      <c r="R2" s="1" t="s">
        <v>1318</v>
      </c>
      <c r="S2" s="1" t="s">
        <v>1319</v>
      </c>
      <c r="T2" s="1" t="s">
        <v>1320</v>
      </c>
      <c r="U2" s="1" t="s">
        <v>1321</v>
      </c>
      <c r="V2" s="1" t="s">
        <v>1322</v>
      </c>
      <c r="W2" s="1" t="s">
        <v>1323</v>
      </c>
      <c r="X2" s="1" t="s">
        <v>1324</v>
      </c>
      <c r="Y2" s="1" t="s">
        <v>1325</v>
      </c>
      <c r="Z2" s="1" t="s">
        <v>1326</v>
      </c>
      <c r="AA2" s="1" t="s">
        <v>522</v>
      </c>
      <c r="AB2" s="1" t="s">
        <v>1327</v>
      </c>
      <c r="AC2" s="502">
        <v>43045.229882731503</v>
      </c>
    </row>
    <row r="3" spans="1:29">
      <c r="A3" s="1" t="s">
        <v>1303</v>
      </c>
      <c r="B3" s="1" t="s">
        <v>398</v>
      </c>
      <c r="C3" s="1" t="s">
        <v>1328</v>
      </c>
      <c r="D3" s="1" t="s">
        <v>1329</v>
      </c>
      <c r="E3" s="1" t="s">
        <v>1330</v>
      </c>
      <c r="F3" s="1" t="s">
        <v>1331</v>
      </c>
      <c r="G3" s="1" t="s">
        <v>1332</v>
      </c>
      <c r="H3" s="1" t="s">
        <v>1333</v>
      </c>
      <c r="I3" s="1" t="s">
        <v>1334</v>
      </c>
      <c r="J3" s="1" t="s">
        <v>1335</v>
      </c>
      <c r="K3" s="1" t="s">
        <v>1336</v>
      </c>
      <c r="L3" s="1" t="s">
        <v>1337</v>
      </c>
      <c r="M3" s="1" t="s">
        <v>1338</v>
      </c>
      <c r="N3" s="1" t="s">
        <v>522</v>
      </c>
      <c r="O3" s="1" t="s">
        <v>1339</v>
      </c>
      <c r="P3" s="1" t="s">
        <v>1340</v>
      </c>
      <c r="Q3" s="1" t="s">
        <v>1341</v>
      </c>
      <c r="R3" s="1" t="s">
        <v>1342</v>
      </c>
      <c r="S3" s="1" t="s">
        <v>1343</v>
      </c>
      <c r="T3" s="1" t="s">
        <v>1344</v>
      </c>
      <c r="U3" s="1" t="s">
        <v>1345</v>
      </c>
      <c r="V3" s="1" t="s">
        <v>1346</v>
      </c>
      <c r="W3" s="1" t="s">
        <v>1347</v>
      </c>
      <c r="X3" s="1" t="s">
        <v>1348</v>
      </c>
      <c r="Y3" s="1" t="s">
        <v>1349</v>
      </c>
      <c r="Z3" s="1" t="s">
        <v>1350</v>
      </c>
      <c r="AA3" s="1" t="s">
        <v>522</v>
      </c>
      <c r="AB3" s="1" t="s">
        <v>1351</v>
      </c>
      <c r="AC3" s="502">
        <v>43045.229882731503</v>
      </c>
    </row>
    <row r="4" spans="1:29">
      <c r="A4" s="1" t="s">
        <v>1303</v>
      </c>
      <c r="B4" s="1" t="s">
        <v>429</v>
      </c>
      <c r="C4" s="1" t="s">
        <v>1352</v>
      </c>
      <c r="D4" s="1" t="s">
        <v>1353</v>
      </c>
      <c r="E4" s="1" t="s">
        <v>1354</v>
      </c>
      <c r="F4" s="1" t="s">
        <v>1355</v>
      </c>
      <c r="G4" s="1" t="s">
        <v>1356</v>
      </c>
      <c r="H4" s="1" t="s">
        <v>1357</v>
      </c>
      <c r="I4" s="1" t="s">
        <v>1358</v>
      </c>
      <c r="J4" s="1" t="s">
        <v>1359</v>
      </c>
      <c r="K4" s="1" t="s">
        <v>1360</v>
      </c>
      <c r="L4" s="1" t="s">
        <v>1361</v>
      </c>
      <c r="M4" s="1" t="s">
        <v>1362</v>
      </c>
      <c r="N4" s="1" t="s">
        <v>522</v>
      </c>
      <c r="O4" s="1" t="s">
        <v>1363</v>
      </c>
      <c r="P4" s="1" t="s">
        <v>1364</v>
      </c>
      <c r="Q4" s="1" t="s">
        <v>1365</v>
      </c>
      <c r="R4" s="1" t="s">
        <v>1366</v>
      </c>
      <c r="S4" s="1" t="s">
        <v>1367</v>
      </c>
      <c r="T4" s="1" t="s">
        <v>1368</v>
      </c>
      <c r="U4" s="1" t="s">
        <v>1369</v>
      </c>
      <c r="V4" s="1" t="s">
        <v>1370</v>
      </c>
      <c r="W4" s="1" t="s">
        <v>1371</v>
      </c>
      <c r="X4" s="1" t="s">
        <v>1372</v>
      </c>
      <c r="Y4" s="1" t="s">
        <v>1373</v>
      </c>
      <c r="Z4" s="1" t="s">
        <v>430</v>
      </c>
      <c r="AA4" s="1" t="s">
        <v>522</v>
      </c>
      <c r="AB4" s="1" t="s">
        <v>1374</v>
      </c>
      <c r="AC4" s="502">
        <v>43045.229882731503</v>
      </c>
    </row>
    <row r="5" spans="1:29">
      <c r="A5" s="1" t="s">
        <v>1303</v>
      </c>
      <c r="B5" s="1" t="s">
        <v>458</v>
      </c>
      <c r="C5" s="1" t="s">
        <v>1375</v>
      </c>
      <c r="D5" s="1" t="s">
        <v>1376</v>
      </c>
      <c r="E5" s="1" t="s">
        <v>1377</v>
      </c>
      <c r="F5" s="1" t="s">
        <v>1378</v>
      </c>
      <c r="G5" s="1" t="s">
        <v>1379</v>
      </c>
      <c r="H5" s="1" t="s">
        <v>1380</v>
      </c>
      <c r="I5" s="1" t="s">
        <v>1381</v>
      </c>
      <c r="J5" s="1" t="s">
        <v>1382</v>
      </c>
      <c r="K5" s="1" t="s">
        <v>1383</v>
      </c>
      <c r="L5" s="1" t="s">
        <v>1384</v>
      </c>
      <c r="M5" s="1" t="s">
        <v>1385</v>
      </c>
      <c r="N5" s="1" t="s">
        <v>522</v>
      </c>
      <c r="O5" s="1" t="s">
        <v>1386</v>
      </c>
      <c r="P5" s="1" t="s">
        <v>1387</v>
      </c>
      <c r="Q5" s="1" t="s">
        <v>1388</v>
      </c>
      <c r="R5" s="1" t="s">
        <v>1389</v>
      </c>
      <c r="S5" s="1" t="s">
        <v>1390</v>
      </c>
      <c r="T5" s="1" t="s">
        <v>1391</v>
      </c>
      <c r="U5" s="1" t="s">
        <v>1392</v>
      </c>
      <c r="V5" s="1" t="s">
        <v>1393</v>
      </c>
      <c r="W5" s="1" t="s">
        <v>1394</v>
      </c>
      <c r="X5" s="1" t="s">
        <v>1395</v>
      </c>
      <c r="Y5" s="1" t="s">
        <v>1396</v>
      </c>
      <c r="Z5" s="1" t="s">
        <v>459</v>
      </c>
      <c r="AA5" s="1" t="s">
        <v>522</v>
      </c>
      <c r="AB5" s="1" t="s">
        <v>1397</v>
      </c>
      <c r="AC5" s="502">
        <v>43045.229882731503</v>
      </c>
    </row>
    <row r="6" spans="1:29">
      <c r="A6" s="1" t="s">
        <v>1303</v>
      </c>
      <c r="B6" s="1" t="s">
        <v>488</v>
      </c>
      <c r="C6" s="1" t="s">
        <v>1398</v>
      </c>
      <c r="D6" s="1" t="s">
        <v>1399</v>
      </c>
      <c r="E6" s="1" t="s">
        <v>1400</v>
      </c>
      <c r="F6" s="1" t="s">
        <v>1401</v>
      </c>
      <c r="G6" s="1" t="s">
        <v>1402</v>
      </c>
      <c r="H6" s="1" t="s">
        <v>1403</v>
      </c>
      <c r="I6" s="1" t="s">
        <v>1404</v>
      </c>
      <c r="J6" s="1" t="s">
        <v>1405</v>
      </c>
      <c r="K6" s="1" t="s">
        <v>1406</v>
      </c>
      <c r="L6" s="1" t="s">
        <v>1407</v>
      </c>
      <c r="M6" s="1" t="s">
        <v>1408</v>
      </c>
      <c r="N6" s="1" t="s">
        <v>522</v>
      </c>
      <c r="O6" s="1" t="s">
        <v>1409</v>
      </c>
      <c r="P6" s="1" t="s">
        <v>1410</v>
      </c>
      <c r="Q6" s="1" t="s">
        <v>1411</v>
      </c>
      <c r="R6" s="1" t="s">
        <v>1412</v>
      </c>
      <c r="S6" s="1" t="s">
        <v>1413</v>
      </c>
      <c r="T6" s="1" t="s">
        <v>1414</v>
      </c>
      <c r="U6" s="1" t="s">
        <v>1415</v>
      </c>
      <c r="V6" s="1" t="s">
        <v>1416</v>
      </c>
      <c r="W6" s="1" t="s">
        <v>1417</v>
      </c>
      <c r="X6" s="1" t="s">
        <v>1418</v>
      </c>
      <c r="Y6" s="1" t="s">
        <v>1419</v>
      </c>
      <c r="Z6" s="1" t="s">
        <v>489</v>
      </c>
      <c r="AA6" s="1" t="s">
        <v>522</v>
      </c>
      <c r="AB6" s="1" t="s">
        <v>1420</v>
      </c>
      <c r="AC6" s="502">
        <v>43045.229882731503</v>
      </c>
    </row>
    <row r="7" spans="1:29">
      <c r="A7" s="1" t="s">
        <v>1303</v>
      </c>
      <c r="B7" s="1" t="s">
        <v>521</v>
      </c>
      <c r="C7" s="1" t="s">
        <v>522</v>
      </c>
      <c r="D7" s="1" t="s">
        <v>522</v>
      </c>
      <c r="E7" s="1" t="s">
        <v>522</v>
      </c>
      <c r="F7" s="1" t="s">
        <v>522</v>
      </c>
      <c r="G7" s="1" t="s">
        <v>522</v>
      </c>
      <c r="H7" s="1" t="s">
        <v>522</v>
      </c>
      <c r="I7" s="1" t="s">
        <v>522</v>
      </c>
      <c r="J7" s="1" t="s">
        <v>522</v>
      </c>
      <c r="K7" s="1" t="s">
        <v>522</v>
      </c>
      <c r="L7" s="1" t="s">
        <v>522</v>
      </c>
      <c r="M7" s="1" t="s">
        <v>522</v>
      </c>
      <c r="N7" s="1" t="s">
        <v>522</v>
      </c>
      <c r="O7" s="1" t="s">
        <v>522</v>
      </c>
      <c r="P7" s="1" t="s">
        <v>522</v>
      </c>
      <c r="Q7" s="1" t="s">
        <v>522</v>
      </c>
      <c r="R7" s="1" t="s">
        <v>522</v>
      </c>
      <c r="S7" s="1" t="s">
        <v>522</v>
      </c>
      <c r="T7" s="1" t="s">
        <v>522</v>
      </c>
      <c r="U7" s="1" t="s">
        <v>522</v>
      </c>
      <c r="V7" s="1" t="s">
        <v>522</v>
      </c>
      <c r="W7" s="1" t="s">
        <v>522</v>
      </c>
      <c r="X7" s="1" t="s">
        <v>522</v>
      </c>
      <c r="Y7" s="1" t="s">
        <v>522</v>
      </c>
      <c r="Z7" s="1" t="s">
        <v>522</v>
      </c>
      <c r="AA7" s="1" t="s">
        <v>522</v>
      </c>
      <c r="AB7" s="1" t="s">
        <v>522</v>
      </c>
      <c r="AC7" s="502">
        <v>43045.229882731503</v>
      </c>
    </row>
    <row r="8" spans="1:29">
      <c r="A8" s="1" t="s">
        <v>1303</v>
      </c>
      <c r="B8" s="1" t="s">
        <v>523</v>
      </c>
      <c r="C8" s="1" t="s">
        <v>1421</v>
      </c>
      <c r="D8" s="1" t="s">
        <v>1422</v>
      </c>
      <c r="E8" s="1" t="s">
        <v>1423</v>
      </c>
      <c r="F8" s="1" t="s">
        <v>1424</v>
      </c>
      <c r="G8" s="1" t="s">
        <v>1425</v>
      </c>
      <c r="H8" s="1" t="s">
        <v>1426</v>
      </c>
      <c r="I8" s="1" t="s">
        <v>1427</v>
      </c>
      <c r="J8" s="1" t="s">
        <v>1428</v>
      </c>
      <c r="K8" s="1" t="s">
        <v>1429</v>
      </c>
      <c r="L8" s="1" t="s">
        <v>1430</v>
      </c>
      <c r="M8" s="1" t="s">
        <v>1431</v>
      </c>
      <c r="N8" s="1" t="s">
        <v>522</v>
      </c>
      <c r="O8" s="1" t="s">
        <v>1432</v>
      </c>
      <c r="P8" s="1" t="s">
        <v>1433</v>
      </c>
      <c r="Q8" s="1" t="s">
        <v>1434</v>
      </c>
      <c r="R8" s="1" t="s">
        <v>1435</v>
      </c>
      <c r="S8" s="1" t="s">
        <v>1436</v>
      </c>
      <c r="T8" s="1" t="s">
        <v>1437</v>
      </c>
      <c r="U8" s="1" t="s">
        <v>1438</v>
      </c>
      <c r="V8" s="1" t="s">
        <v>1439</v>
      </c>
      <c r="W8" s="1" t="s">
        <v>1440</v>
      </c>
      <c r="X8" s="1" t="s">
        <v>1441</v>
      </c>
      <c r="Y8" s="1" t="s">
        <v>1442</v>
      </c>
      <c r="Z8" s="1" t="s">
        <v>524</v>
      </c>
      <c r="AA8" s="1" t="s">
        <v>522</v>
      </c>
      <c r="AB8" s="1" t="s">
        <v>1443</v>
      </c>
      <c r="AC8" s="502">
        <v>43045.229882731503</v>
      </c>
    </row>
    <row r="9" spans="1:29">
      <c r="A9" s="1" t="s">
        <v>1303</v>
      </c>
      <c r="B9" s="1" t="s">
        <v>553</v>
      </c>
      <c r="C9" s="1" t="s">
        <v>522</v>
      </c>
      <c r="D9" s="1" t="s">
        <v>522</v>
      </c>
      <c r="E9" s="1" t="s">
        <v>522</v>
      </c>
      <c r="F9" s="1" t="s">
        <v>522</v>
      </c>
      <c r="G9" s="1" t="s">
        <v>522</v>
      </c>
      <c r="H9" s="1" t="s">
        <v>522</v>
      </c>
      <c r="I9" s="1" t="s">
        <v>522</v>
      </c>
      <c r="J9" s="1" t="s">
        <v>522</v>
      </c>
      <c r="K9" s="1" t="s">
        <v>522</v>
      </c>
      <c r="L9" s="1" t="s">
        <v>522</v>
      </c>
      <c r="M9" s="1" t="s">
        <v>522</v>
      </c>
      <c r="N9" s="1" t="s">
        <v>522</v>
      </c>
      <c r="O9" s="1" t="s">
        <v>522</v>
      </c>
      <c r="P9" s="1" t="s">
        <v>522</v>
      </c>
      <c r="Q9" s="1" t="s">
        <v>522</v>
      </c>
      <c r="R9" s="1" t="s">
        <v>522</v>
      </c>
      <c r="S9" s="1" t="s">
        <v>522</v>
      </c>
      <c r="T9" s="1" t="s">
        <v>522</v>
      </c>
      <c r="U9" s="1" t="s">
        <v>522</v>
      </c>
      <c r="V9" s="1" t="s">
        <v>522</v>
      </c>
      <c r="W9" s="1" t="s">
        <v>522</v>
      </c>
      <c r="X9" s="1" t="s">
        <v>522</v>
      </c>
      <c r="Y9" s="1" t="s">
        <v>522</v>
      </c>
      <c r="Z9" s="1" t="s">
        <v>522</v>
      </c>
      <c r="AA9" s="1" t="s">
        <v>522</v>
      </c>
      <c r="AB9" s="1" t="s">
        <v>522</v>
      </c>
      <c r="AC9" s="502">
        <v>43045.229882731503</v>
      </c>
    </row>
    <row r="10" spans="1:29">
      <c r="A10" s="1" t="s">
        <v>1303</v>
      </c>
      <c r="B10" s="1" t="s">
        <v>554</v>
      </c>
      <c r="C10" s="1" t="s">
        <v>1444</v>
      </c>
      <c r="D10" s="1" t="s">
        <v>1445</v>
      </c>
      <c r="E10" s="1" t="s">
        <v>1446</v>
      </c>
      <c r="F10" s="1" t="s">
        <v>1447</v>
      </c>
      <c r="G10" s="1" t="s">
        <v>1448</v>
      </c>
      <c r="H10" s="1" t="s">
        <v>1449</v>
      </c>
      <c r="I10" s="1" t="s">
        <v>1450</v>
      </c>
      <c r="J10" s="1" t="s">
        <v>1451</v>
      </c>
      <c r="K10" s="1" t="s">
        <v>1452</v>
      </c>
      <c r="L10" s="1" t="s">
        <v>1453</v>
      </c>
      <c r="M10" s="1" t="s">
        <v>1454</v>
      </c>
      <c r="N10" s="1" t="s">
        <v>522</v>
      </c>
      <c r="O10" s="1" t="s">
        <v>1455</v>
      </c>
      <c r="P10" s="1" t="s">
        <v>1456</v>
      </c>
      <c r="Q10" s="1" t="s">
        <v>1457</v>
      </c>
      <c r="R10" s="1" t="s">
        <v>1458</v>
      </c>
      <c r="S10" s="1" t="s">
        <v>1459</v>
      </c>
      <c r="T10" s="1" t="s">
        <v>1460</v>
      </c>
      <c r="U10" s="1" t="s">
        <v>1461</v>
      </c>
      <c r="V10" s="1" t="s">
        <v>1462</v>
      </c>
      <c r="W10" s="1" t="s">
        <v>1463</v>
      </c>
      <c r="X10" s="1" t="s">
        <v>1464</v>
      </c>
      <c r="Y10" s="1" t="s">
        <v>1465</v>
      </c>
      <c r="Z10" s="1" t="s">
        <v>555</v>
      </c>
      <c r="AA10" s="1" t="s">
        <v>522</v>
      </c>
      <c r="AB10" s="1" t="s">
        <v>1466</v>
      </c>
      <c r="AC10" s="502">
        <v>43045.229882731503</v>
      </c>
    </row>
    <row r="11" spans="1:29">
      <c r="A11" s="1" t="s">
        <v>1303</v>
      </c>
      <c r="B11" s="1" t="s">
        <v>583</v>
      </c>
      <c r="C11" s="1" t="s">
        <v>1467</v>
      </c>
      <c r="D11" s="1" t="s">
        <v>584</v>
      </c>
      <c r="E11" s="1" t="s">
        <v>1468</v>
      </c>
      <c r="F11" s="1" t="s">
        <v>1469</v>
      </c>
      <c r="G11" s="1" t="s">
        <v>1470</v>
      </c>
      <c r="H11" s="1" t="s">
        <v>1471</v>
      </c>
      <c r="I11" s="1" t="s">
        <v>584</v>
      </c>
      <c r="J11" s="1" t="s">
        <v>1472</v>
      </c>
      <c r="K11" s="1" t="s">
        <v>584</v>
      </c>
      <c r="L11" s="1" t="s">
        <v>584</v>
      </c>
      <c r="M11" s="1" t="s">
        <v>1473</v>
      </c>
      <c r="N11" s="1" t="s">
        <v>522</v>
      </c>
      <c r="O11" s="1" t="s">
        <v>1474</v>
      </c>
      <c r="P11" s="1" t="s">
        <v>584</v>
      </c>
      <c r="Q11" s="1" t="s">
        <v>584</v>
      </c>
      <c r="R11" s="1" t="s">
        <v>1475</v>
      </c>
      <c r="S11" s="1" t="s">
        <v>584</v>
      </c>
      <c r="T11" s="1" t="s">
        <v>1475</v>
      </c>
      <c r="U11" s="1" t="s">
        <v>584</v>
      </c>
      <c r="V11" s="1" t="s">
        <v>584</v>
      </c>
      <c r="W11" s="1" t="s">
        <v>584</v>
      </c>
      <c r="X11" s="1" t="s">
        <v>584</v>
      </c>
      <c r="Y11" s="1" t="s">
        <v>584</v>
      </c>
      <c r="Z11" s="1" t="s">
        <v>584</v>
      </c>
      <c r="AA11" s="1" t="s">
        <v>522</v>
      </c>
      <c r="AB11" s="1" t="s">
        <v>1476</v>
      </c>
      <c r="AC11" s="502">
        <v>43045.229882731503</v>
      </c>
    </row>
    <row r="12" spans="1:29">
      <c r="A12" s="1" t="s">
        <v>1303</v>
      </c>
      <c r="B12" s="1" t="s">
        <v>587</v>
      </c>
      <c r="C12" s="1" t="s">
        <v>522</v>
      </c>
      <c r="D12" s="1" t="s">
        <v>522</v>
      </c>
      <c r="E12" s="1" t="s">
        <v>522</v>
      </c>
      <c r="F12" s="1" t="s">
        <v>522</v>
      </c>
      <c r="G12" s="1" t="s">
        <v>522</v>
      </c>
      <c r="H12" s="1" t="s">
        <v>522</v>
      </c>
      <c r="I12" s="1" t="s">
        <v>522</v>
      </c>
      <c r="J12" s="1" t="s">
        <v>522</v>
      </c>
      <c r="K12" s="1" t="s">
        <v>522</v>
      </c>
      <c r="L12" s="1" t="s">
        <v>522</v>
      </c>
      <c r="M12" s="1" t="s">
        <v>522</v>
      </c>
      <c r="N12" s="1" t="s">
        <v>522</v>
      </c>
      <c r="O12" s="1" t="s">
        <v>522</v>
      </c>
      <c r="P12" s="1" t="s">
        <v>522</v>
      </c>
      <c r="Q12" s="1" t="s">
        <v>522</v>
      </c>
      <c r="R12" s="1" t="s">
        <v>522</v>
      </c>
      <c r="S12" s="1" t="s">
        <v>522</v>
      </c>
      <c r="T12" s="1" t="s">
        <v>522</v>
      </c>
      <c r="U12" s="1" t="s">
        <v>522</v>
      </c>
      <c r="V12" s="1" t="s">
        <v>522</v>
      </c>
      <c r="W12" s="1" t="s">
        <v>522</v>
      </c>
      <c r="X12" s="1" t="s">
        <v>522</v>
      </c>
      <c r="Y12" s="1" t="s">
        <v>522</v>
      </c>
      <c r="Z12" s="1" t="s">
        <v>522</v>
      </c>
      <c r="AA12" s="1" t="s">
        <v>522</v>
      </c>
      <c r="AB12" s="1" t="s">
        <v>522</v>
      </c>
      <c r="AC12" s="502">
        <v>43045.229882731503</v>
      </c>
    </row>
    <row r="13" spans="1:29">
      <c r="A13" s="1" t="s">
        <v>1303</v>
      </c>
      <c r="B13" s="1" t="s">
        <v>588</v>
      </c>
      <c r="C13" s="1" t="s">
        <v>1477</v>
      </c>
      <c r="D13" s="1" t="s">
        <v>1478</v>
      </c>
      <c r="E13" s="1" t="s">
        <v>1479</v>
      </c>
      <c r="F13" s="1" t="s">
        <v>1480</v>
      </c>
      <c r="G13" s="1" t="s">
        <v>1481</v>
      </c>
      <c r="H13" s="1" t="s">
        <v>1482</v>
      </c>
      <c r="I13" s="1" t="s">
        <v>1483</v>
      </c>
      <c r="J13" s="1" t="s">
        <v>1484</v>
      </c>
      <c r="K13" s="1" t="s">
        <v>1485</v>
      </c>
      <c r="L13" s="1" t="s">
        <v>1486</v>
      </c>
      <c r="M13" s="1" t="s">
        <v>1487</v>
      </c>
      <c r="N13" s="1" t="s">
        <v>522</v>
      </c>
      <c r="O13" s="1" t="s">
        <v>1488</v>
      </c>
      <c r="P13" s="1" t="s">
        <v>1489</v>
      </c>
      <c r="Q13" s="1" t="s">
        <v>1490</v>
      </c>
      <c r="R13" s="1" t="s">
        <v>1491</v>
      </c>
      <c r="S13" s="1" t="s">
        <v>1492</v>
      </c>
      <c r="T13" s="1" t="s">
        <v>1493</v>
      </c>
      <c r="U13" s="1" t="s">
        <v>1494</v>
      </c>
      <c r="V13" s="1" t="s">
        <v>1495</v>
      </c>
      <c r="W13" s="1" t="s">
        <v>1496</v>
      </c>
      <c r="X13" s="1" t="s">
        <v>1497</v>
      </c>
      <c r="Y13" s="1" t="s">
        <v>1498</v>
      </c>
      <c r="Z13" s="1" t="s">
        <v>589</v>
      </c>
      <c r="AA13" s="1" t="s">
        <v>522</v>
      </c>
      <c r="AB13" s="1" t="s">
        <v>1499</v>
      </c>
      <c r="AC13" s="502">
        <v>43045.229882731503</v>
      </c>
    </row>
    <row r="14" spans="1:29">
      <c r="A14" s="1" t="s">
        <v>1303</v>
      </c>
      <c r="B14" s="1" t="s">
        <v>618</v>
      </c>
      <c r="C14" s="1" t="s">
        <v>1500</v>
      </c>
      <c r="D14" s="1" t="s">
        <v>1501</v>
      </c>
      <c r="E14" s="1" t="s">
        <v>1502</v>
      </c>
      <c r="F14" s="1" t="s">
        <v>1503</v>
      </c>
      <c r="G14" s="1" t="s">
        <v>1504</v>
      </c>
      <c r="H14" s="1" t="s">
        <v>1505</v>
      </c>
      <c r="I14" s="1" t="s">
        <v>1506</v>
      </c>
      <c r="J14" s="1" t="s">
        <v>1507</v>
      </c>
      <c r="K14" s="1" t="s">
        <v>1508</v>
      </c>
      <c r="L14" s="1" t="s">
        <v>1509</v>
      </c>
      <c r="M14" s="1" t="s">
        <v>1510</v>
      </c>
      <c r="N14" s="1" t="s">
        <v>522</v>
      </c>
      <c r="O14" s="1" t="s">
        <v>1511</v>
      </c>
      <c r="P14" s="1" t="s">
        <v>1512</v>
      </c>
      <c r="Q14" s="1" t="s">
        <v>1513</v>
      </c>
      <c r="R14" s="1" t="s">
        <v>1514</v>
      </c>
      <c r="S14" s="1" t="s">
        <v>1515</v>
      </c>
      <c r="T14" s="1" t="s">
        <v>1516</v>
      </c>
      <c r="U14" s="1" t="s">
        <v>1517</v>
      </c>
      <c r="V14" s="1" t="s">
        <v>1518</v>
      </c>
      <c r="W14" s="1" t="s">
        <v>1519</v>
      </c>
      <c r="X14" s="1" t="s">
        <v>1520</v>
      </c>
      <c r="Y14" s="1" t="s">
        <v>1521</v>
      </c>
      <c r="Z14" s="1" t="s">
        <v>619</v>
      </c>
      <c r="AA14" s="1" t="s">
        <v>522</v>
      </c>
      <c r="AB14" s="1" t="s">
        <v>1522</v>
      </c>
      <c r="AC14" s="502">
        <v>43045.229882731503</v>
      </c>
    </row>
    <row r="15" spans="1:29">
      <c r="A15" s="1" t="s">
        <v>1303</v>
      </c>
      <c r="B15" s="1" t="s">
        <v>646</v>
      </c>
      <c r="C15" s="1" t="s">
        <v>1523</v>
      </c>
      <c r="D15" s="1" t="s">
        <v>1524</v>
      </c>
      <c r="E15" s="1" t="s">
        <v>1525</v>
      </c>
      <c r="F15" s="1" t="s">
        <v>1526</v>
      </c>
      <c r="G15" s="1" t="s">
        <v>1527</v>
      </c>
      <c r="H15" s="1" t="s">
        <v>1528</v>
      </c>
      <c r="I15" s="1" t="s">
        <v>1529</v>
      </c>
      <c r="J15" s="1" t="s">
        <v>1530</v>
      </c>
      <c r="K15" s="1" t="s">
        <v>1531</v>
      </c>
      <c r="L15" s="1" t="s">
        <v>1532</v>
      </c>
      <c r="M15" s="1" t="s">
        <v>1533</v>
      </c>
      <c r="N15" s="1" t="s">
        <v>522</v>
      </c>
      <c r="O15" s="1" t="s">
        <v>1534</v>
      </c>
      <c r="P15" s="1" t="s">
        <v>1535</v>
      </c>
      <c r="Q15" s="1" t="s">
        <v>1536</v>
      </c>
      <c r="R15" s="1" t="s">
        <v>1526</v>
      </c>
      <c r="S15" s="1" t="s">
        <v>1526</v>
      </c>
      <c r="T15" s="1" t="s">
        <v>1535</v>
      </c>
      <c r="U15" s="1" t="s">
        <v>1537</v>
      </c>
      <c r="V15" s="1" t="s">
        <v>1538</v>
      </c>
      <c r="W15" s="1" t="s">
        <v>1539</v>
      </c>
      <c r="X15" s="1" t="s">
        <v>1540</v>
      </c>
      <c r="Y15" s="1" t="s">
        <v>1541</v>
      </c>
      <c r="Z15" s="1" t="s">
        <v>647</v>
      </c>
      <c r="AA15" s="1" t="s">
        <v>522</v>
      </c>
      <c r="AB15" s="1" t="s">
        <v>1542</v>
      </c>
      <c r="AC15" s="502">
        <v>43045.229882731503</v>
      </c>
    </row>
    <row r="16" spans="1:29">
      <c r="A16" s="1" t="s">
        <v>1303</v>
      </c>
      <c r="B16" s="1" t="s">
        <v>1543</v>
      </c>
      <c r="C16" s="1" t="s">
        <v>522</v>
      </c>
      <c r="D16" s="1" t="s">
        <v>522</v>
      </c>
      <c r="E16" s="1" t="s">
        <v>522</v>
      </c>
      <c r="F16" s="1" t="s">
        <v>522</v>
      </c>
      <c r="G16" s="1" t="s">
        <v>522</v>
      </c>
      <c r="H16" s="1" t="s">
        <v>522</v>
      </c>
      <c r="I16" s="1" t="s">
        <v>522</v>
      </c>
      <c r="J16" s="1" t="s">
        <v>522</v>
      </c>
      <c r="K16" s="1" t="s">
        <v>522</v>
      </c>
      <c r="L16" s="1" t="s">
        <v>522</v>
      </c>
      <c r="M16" s="1" t="s">
        <v>522</v>
      </c>
      <c r="N16" s="1" t="s">
        <v>522</v>
      </c>
      <c r="O16" s="1" t="s">
        <v>522</v>
      </c>
      <c r="P16" s="1" t="s">
        <v>522</v>
      </c>
      <c r="Q16" s="1" t="s">
        <v>522</v>
      </c>
      <c r="R16" s="1" t="s">
        <v>522</v>
      </c>
      <c r="S16" s="1" t="s">
        <v>522</v>
      </c>
      <c r="T16" s="1" t="s">
        <v>522</v>
      </c>
      <c r="U16" s="1" t="s">
        <v>522</v>
      </c>
      <c r="V16" s="1" t="s">
        <v>522</v>
      </c>
      <c r="W16" s="1" t="s">
        <v>522</v>
      </c>
      <c r="X16" s="1" t="s">
        <v>522</v>
      </c>
      <c r="Y16" s="1" t="s">
        <v>522</v>
      </c>
      <c r="Z16" s="1" t="s">
        <v>522</v>
      </c>
      <c r="AA16" s="1" t="s">
        <v>522</v>
      </c>
      <c r="AB16" s="1" t="s">
        <v>522</v>
      </c>
      <c r="AC16" s="502">
        <v>43045.229882731503</v>
      </c>
    </row>
    <row r="17" spans="1:29">
      <c r="A17" s="1" t="s">
        <v>1303</v>
      </c>
      <c r="B17" s="1" t="s">
        <v>676</v>
      </c>
      <c r="C17" s="1" t="s">
        <v>1544</v>
      </c>
      <c r="D17" s="1" t="s">
        <v>1545</v>
      </c>
      <c r="E17" s="1" t="s">
        <v>1546</v>
      </c>
      <c r="F17" s="1" t="s">
        <v>1547</v>
      </c>
      <c r="G17" s="1" t="s">
        <v>1548</v>
      </c>
      <c r="H17" s="1" t="s">
        <v>1549</v>
      </c>
      <c r="I17" s="1" t="s">
        <v>1550</v>
      </c>
      <c r="J17" s="1" t="s">
        <v>1551</v>
      </c>
      <c r="K17" s="1" t="s">
        <v>1552</v>
      </c>
      <c r="L17" s="1" t="s">
        <v>1553</v>
      </c>
      <c r="M17" s="1" t="s">
        <v>1554</v>
      </c>
      <c r="N17" s="1" t="s">
        <v>522</v>
      </c>
      <c r="O17" s="1" t="s">
        <v>1555</v>
      </c>
      <c r="P17" s="1" t="s">
        <v>1556</v>
      </c>
      <c r="Q17" s="1" t="s">
        <v>1557</v>
      </c>
      <c r="R17" s="1" t="s">
        <v>1558</v>
      </c>
      <c r="S17" s="1" t="s">
        <v>1559</v>
      </c>
      <c r="T17" s="1" t="s">
        <v>1560</v>
      </c>
      <c r="U17" s="1" t="s">
        <v>1561</v>
      </c>
      <c r="V17" s="1" t="s">
        <v>1562</v>
      </c>
      <c r="W17" s="1" t="s">
        <v>1563</v>
      </c>
      <c r="X17" s="1" t="s">
        <v>1564</v>
      </c>
      <c r="Y17" s="1" t="s">
        <v>1565</v>
      </c>
      <c r="Z17" s="1" t="s">
        <v>677</v>
      </c>
      <c r="AA17" s="1" t="s">
        <v>522</v>
      </c>
      <c r="AB17" s="1" t="s">
        <v>1566</v>
      </c>
      <c r="AC17" s="502">
        <v>43045.229882731503</v>
      </c>
    </row>
    <row r="18" spans="1:29">
      <c r="A18" s="1" t="s">
        <v>1303</v>
      </c>
      <c r="B18" s="501" t="s">
        <v>706</v>
      </c>
      <c r="C18" s="1" t="s">
        <v>1567</v>
      </c>
      <c r="D18" s="1" t="s">
        <v>1568</v>
      </c>
      <c r="E18" s="1" t="s">
        <v>1569</v>
      </c>
      <c r="F18" s="1" t="s">
        <v>1570</v>
      </c>
      <c r="G18" s="1" t="s">
        <v>1571</v>
      </c>
      <c r="H18" s="1" t="s">
        <v>1572</v>
      </c>
      <c r="I18" s="1" t="s">
        <v>1573</v>
      </c>
      <c r="J18" s="1" t="s">
        <v>1574</v>
      </c>
      <c r="K18" s="1" t="s">
        <v>1575</v>
      </c>
      <c r="L18" s="1" t="s">
        <v>1576</v>
      </c>
      <c r="M18" s="1" t="s">
        <v>1577</v>
      </c>
      <c r="N18" s="1" t="s">
        <v>522</v>
      </c>
      <c r="O18" s="1" t="s">
        <v>1578</v>
      </c>
      <c r="P18" s="1" t="s">
        <v>1579</v>
      </c>
      <c r="Q18" s="1" t="s">
        <v>1580</v>
      </c>
      <c r="R18" s="1" t="s">
        <v>1581</v>
      </c>
      <c r="S18" s="1" t="s">
        <v>1582</v>
      </c>
      <c r="T18" s="1" t="s">
        <v>1583</v>
      </c>
      <c r="U18" s="1" t="s">
        <v>1584</v>
      </c>
      <c r="V18" s="1" t="s">
        <v>1585</v>
      </c>
      <c r="W18" s="1" t="s">
        <v>1586</v>
      </c>
      <c r="X18" s="1" t="s">
        <v>1587</v>
      </c>
      <c r="Y18" s="1" t="s">
        <v>1588</v>
      </c>
      <c r="Z18" s="1" t="s">
        <v>707</v>
      </c>
      <c r="AA18" s="1" t="s">
        <v>522</v>
      </c>
      <c r="AB18" s="1" t="s">
        <v>1589</v>
      </c>
      <c r="AC18" s="502">
        <v>43045.229882731503</v>
      </c>
    </row>
    <row r="19" spans="1:29">
      <c r="A19" s="1" t="s">
        <v>1303</v>
      </c>
      <c r="B19" s="1" t="s">
        <v>737</v>
      </c>
      <c r="C19" s="1" t="s">
        <v>1590</v>
      </c>
      <c r="D19" s="1" t="s">
        <v>1591</v>
      </c>
      <c r="E19" s="1" t="s">
        <v>1592</v>
      </c>
      <c r="F19" s="1" t="s">
        <v>1593</v>
      </c>
      <c r="G19" s="1" t="s">
        <v>1594</v>
      </c>
      <c r="H19" s="1" t="s">
        <v>1595</v>
      </c>
      <c r="I19" s="1" t="s">
        <v>1596</v>
      </c>
      <c r="J19" s="1" t="s">
        <v>1597</v>
      </c>
      <c r="K19" s="1" t="s">
        <v>1598</v>
      </c>
      <c r="L19" s="1" t="s">
        <v>1599</v>
      </c>
      <c r="M19" s="1" t="s">
        <v>1600</v>
      </c>
      <c r="N19" s="1" t="s">
        <v>522</v>
      </c>
      <c r="O19" s="1" t="s">
        <v>1601</v>
      </c>
      <c r="P19" s="1" t="s">
        <v>1602</v>
      </c>
      <c r="Q19" s="1" t="s">
        <v>1603</v>
      </c>
      <c r="R19" s="1" t="s">
        <v>1604</v>
      </c>
      <c r="S19" s="1" t="s">
        <v>1605</v>
      </c>
      <c r="T19" s="1" t="s">
        <v>1606</v>
      </c>
      <c r="U19" s="1" t="s">
        <v>1607</v>
      </c>
      <c r="V19" s="1" t="s">
        <v>1608</v>
      </c>
      <c r="W19" s="1" t="s">
        <v>1609</v>
      </c>
      <c r="X19" s="1" t="s">
        <v>1610</v>
      </c>
      <c r="Y19" s="1" t="s">
        <v>1611</v>
      </c>
      <c r="Z19" s="1" t="s">
        <v>738</v>
      </c>
      <c r="AA19" s="1" t="s">
        <v>522</v>
      </c>
      <c r="AB19" s="1" t="s">
        <v>1612</v>
      </c>
      <c r="AC19" s="502">
        <v>43045.229882731503</v>
      </c>
    </row>
    <row r="20" spans="1:29">
      <c r="A20" s="1" t="s">
        <v>1303</v>
      </c>
      <c r="B20" s="1" t="s">
        <v>767</v>
      </c>
      <c r="C20" s="1" t="s">
        <v>768</v>
      </c>
      <c r="D20" s="1" t="s">
        <v>768</v>
      </c>
      <c r="E20" s="1" t="s">
        <v>768</v>
      </c>
      <c r="F20" s="1" t="s">
        <v>768</v>
      </c>
      <c r="G20" s="1" t="s">
        <v>768</v>
      </c>
      <c r="H20" s="1" t="s">
        <v>768</v>
      </c>
      <c r="I20" s="1" t="s">
        <v>768</v>
      </c>
      <c r="J20" s="1" t="s">
        <v>768</v>
      </c>
      <c r="K20" s="1" t="s">
        <v>768</v>
      </c>
      <c r="L20" s="1" t="s">
        <v>768</v>
      </c>
      <c r="M20" s="1" t="s">
        <v>768</v>
      </c>
      <c r="N20" s="1" t="s">
        <v>522</v>
      </c>
      <c r="O20" s="1" t="s">
        <v>768</v>
      </c>
      <c r="P20" s="1" t="s">
        <v>768</v>
      </c>
      <c r="Q20" s="1" t="s">
        <v>768</v>
      </c>
      <c r="R20" s="1" t="s">
        <v>768</v>
      </c>
      <c r="S20" s="1" t="s">
        <v>768</v>
      </c>
      <c r="T20" s="1" t="s">
        <v>768</v>
      </c>
      <c r="U20" s="1" t="s">
        <v>768</v>
      </c>
      <c r="V20" s="1" t="s">
        <v>768</v>
      </c>
      <c r="W20" s="1" t="s">
        <v>768</v>
      </c>
      <c r="X20" s="1" t="s">
        <v>768</v>
      </c>
      <c r="Y20" s="1" t="s">
        <v>768</v>
      </c>
      <c r="Z20" s="1" t="s">
        <v>768</v>
      </c>
      <c r="AA20" s="1" t="s">
        <v>522</v>
      </c>
      <c r="AB20" s="1" t="s">
        <v>768</v>
      </c>
      <c r="AC20" s="502">
        <v>43045.229882731503</v>
      </c>
    </row>
    <row r="21" spans="1:29">
      <c r="A21" s="1" t="s">
        <v>1303</v>
      </c>
      <c r="B21" s="1" t="s">
        <v>769</v>
      </c>
      <c r="C21" s="1" t="s">
        <v>770</v>
      </c>
      <c r="D21" s="1" t="s">
        <v>770</v>
      </c>
      <c r="E21" s="1" t="s">
        <v>770</v>
      </c>
      <c r="F21" s="1" t="s">
        <v>770</v>
      </c>
      <c r="G21" s="1" t="s">
        <v>770</v>
      </c>
      <c r="H21" s="1" t="s">
        <v>770</v>
      </c>
      <c r="I21" s="1" t="s">
        <v>770</v>
      </c>
      <c r="J21" s="1" t="s">
        <v>770</v>
      </c>
      <c r="K21" s="1" t="s">
        <v>770</v>
      </c>
      <c r="L21" s="1" t="s">
        <v>770</v>
      </c>
      <c r="M21" s="1" t="s">
        <v>770</v>
      </c>
      <c r="N21" s="1" t="s">
        <v>522</v>
      </c>
      <c r="O21" s="1" t="s">
        <v>770</v>
      </c>
      <c r="P21" s="1" t="s">
        <v>770</v>
      </c>
      <c r="Q21" s="1" t="s">
        <v>770</v>
      </c>
      <c r="R21" s="1" t="s">
        <v>770</v>
      </c>
      <c r="S21" s="1" t="s">
        <v>770</v>
      </c>
      <c r="T21" s="1" t="s">
        <v>770</v>
      </c>
      <c r="U21" s="1" t="s">
        <v>770</v>
      </c>
      <c r="V21" s="1" t="s">
        <v>770</v>
      </c>
      <c r="W21" s="1" t="s">
        <v>770</v>
      </c>
      <c r="X21" s="1" t="s">
        <v>770</v>
      </c>
      <c r="Y21" s="1" t="s">
        <v>770</v>
      </c>
      <c r="Z21" s="1" t="s">
        <v>770</v>
      </c>
      <c r="AA21" s="1" t="s">
        <v>522</v>
      </c>
      <c r="AB21" s="1" t="s">
        <v>770</v>
      </c>
      <c r="AC21" s="502">
        <v>43045.229882731503</v>
      </c>
    </row>
    <row r="22" spans="1:29">
      <c r="A22" s="1" t="s">
        <v>1303</v>
      </c>
      <c r="B22" s="1" t="s">
        <v>771</v>
      </c>
      <c r="C22" s="1" t="s">
        <v>1613</v>
      </c>
      <c r="D22" s="1" t="s">
        <v>1614</v>
      </c>
      <c r="E22" s="1" t="s">
        <v>1615</v>
      </c>
      <c r="F22" s="1" t="s">
        <v>1616</v>
      </c>
      <c r="G22" s="1" t="s">
        <v>1617</v>
      </c>
      <c r="H22" s="1" t="s">
        <v>1618</v>
      </c>
      <c r="I22" s="1" t="s">
        <v>1619</v>
      </c>
      <c r="J22" s="1" t="s">
        <v>1620</v>
      </c>
      <c r="K22" s="1" t="s">
        <v>1621</v>
      </c>
      <c r="L22" s="1" t="s">
        <v>1622</v>
      </c>
      <c r="M22" s="1" t="s">
        <v>1623</v>
      </c>
      <c r="N22" s="1" t="s">
        <v>522</v>
      </c>
      <c r="O22" s="1" t="s">
        <v>1624</v>
      </c>
      <c r="P22" s="1" t="s">
        <v>1625</v>
      </c>
      <c r="Q22" s="1" t="s">
        <v>1626</v>
      </c>
      <c r="R22" s="1" t="s">
        <v>1627</v>
      </c>
      <c r="S22" s="1" t="s">
        <v>1628</v>
      </c>
      <c r="T22" s="1" t="s">
        <v>1629</v>
      </c>
      <c r="U22" s="1" t="s">
        <v>772</v>
      </c>
      <c r="V22" s="1" t="s">
        <v>1630</v>
      </c>
      <c r="W22" s="1" t="s">
        <v>1621</v>
      </c>
      <c r="X22" s="1" t="s">
        <v>1621</v>
      </c>
      <c r="Y22" s="1" t="s">
        <v>1631</v>
      </c>
      <c r="Z22" s="1" t="s">
        <v>772</v>
      </c>
      <c r="AA22" s="1" t="s">
        <v>522</v>
      </c>
      <c r="AB22" s="1" t="s">
        <v>1632</v>
      </c>
      <c r="AC22" s="502">
        <v>43045.229882731503</v>
      </c>
    </row>
    <row r="23" spans="1:29">
      <c r="A23" s="1" t="s">
        <v>1303</v>
      </c>
      <c r="B23" s="501" t="s">
        <v>778</v>
      </c>
      <c r="C23" s="1" t="s">
        <v>522</v>
      </c>
      <c r="D23" s="1" t="s">
        <v>522</v>
      </c>
      <c r="E23" s="1" t="s">
        <v>522</v>
      </c>
      <c r="F23" s="1" t="s">
        <v>522</v>
      </c>
      <c r="G23" s="1" t="s">
        <v>522</v>
      </c>
      <c r="H23" s="1" t="s">
        <v>522</v>
      </c>
      <c r="I23" s="1" t="s">
        <v>522</v>
      </c>
      <c r="J23" s="1" t="s">
        <v>522</v>
      </c>
      <c r="K23" s="1" t="s">
        <v>522</v>
      </c>
      <c r="L23" s="1" t="s">
        <v>522</v>
      </c>
      <c r="M23" s="1" t="s">
        <v>522</v>
      </c>
      <c r="N23" s="1" t="s">
        <v>522</v>
      </c>
      <c r="O23" s="1" t="s">
        <v>522</v>
      </c>
      <c r="P23" s="1" t="s">
        <v>522</v>
      </c>
      <c r="Q23" s="1" t="s">
        <v>522</v>
      </c>
      <c r="R23" s="1" t="s">
        <v>522</v>
      </c>
      <c r="S23" s="1" t="s">
        <v>522</v>
      </c>
      <c r="T23" s="1" t="s">
        <v>522</v>
      </c>
      <c r="U23" s="1" t="s">
        <v>522</v>
      </c>
      <c r="V23" s="1" t="s">
        <v>522</v>
      </c>
      <c r="W23" s="1" t="s">
        <v>522</v>
      </c>
      <c r="X23" s="1" t="s">
        <v>522</v>
      </c>
      <c r="Y23" s="1" t="s">
        <v>522</v>
      </c>
      <c r="Z23" s="1" t="s">
        <v>522</v>
      </c>
      <c r="AA23" s="1" t="s">
        <v>522</v>
      </c>
      <c r="AB23" s="1" t="s">
        <v>522</v>
      </c>
      <c r="AC23" s="502">
        <v>43045.229882731503</v>
      </c>
    </row>
    <row r="24" spans="1:29">
      <c r="A24" s="1" t="s">
        <v>1303</v>
      </c>
      <c r="B24" s="501" t="s">
        <v>779</v>
      </c>
      <c r="C24" s="1" t="s">
        <v>522</v>
      </c>
      <c r="D24" s="1" t="s">
        <v>522</v>
      </c>
      <c r="E24" s="1" t="s">
        <v>522</v>
      </c>
      <c r="F24" s="1" t="s">
        <v>522</v>
      </c>
      <c r="G24" s="1" t="s">
        <v>522</v>
      </c>
      <c r="H24" s="1" t="s">
        <v>522</v>
      </c>
      <c r="I24" s="1" t="s">
        <v>522</v>
      </c>
      <c r="J24" s="1" t="s">
        <v>522</v>
      </c>
      <c r="K24" s="1" t="s">
        <v>522</v>
      </c>
      <c r="L24" s="1" t="s">
        <v>522</v>
      </c>
      <c r="M24" s="1" t="s">
        <v>522</v>
      </c>
      <c r="N24" s="1" t="s">
        <v>522</v>
      </c>
      <c r="O24" s="1" t="s">
        <v>522</v>
      </c>
      <c r="P24" s="1" t="s">
        <v>522</v>
      </c>
      <c r="Q24" s="1" t="s">
        <v>522</v>
      </c>
      <c r="R24" s="1" t="s">
        <v>522</v>
      </c>
      <c r="S24" s="1" t="s">
        <v>522</v>
      </c>
      <c r="T24" s="1" t="s">
        <v>522</v>
      </c>
      <c r="U24" s="1" t="s">
        <v>522</v>
      </c>
      <c r="V24" s="1" t="s">
        <v>522</v>
      </c>
      <c r="W24" s="1" t="s">
        <v>522</v>
      </c>
      <c r="X24" s="1" t="s">
        <v>522</v>
      </c>
      <c r="Y24" s="1" t="s">
        <v>522</v>
      </c>
      <c r="Z24" s="1" t="s">
        <v>522</v>
      </c>
      <c r="AA24" s="1" t="s">
        <v>522</v>
      </c>
      <c r="AB24" s="1" t="s">
        <v>522</v>
      </c>
      <c r="AC24" s="502">
        <v>43045.229882731503</v>
      </c>
    </row>
    <row r="25" spans="1:29">
      <c r="A25" s="1" t="s">
        <v>1303</v>
      </c>
      <c r="B25" s="501" t="s">
        <v>780</v>
      </c>
      <c r="C25" s="1" t="s">
        <v>1633</v>
      </c>
      <c r="D25" s="1" t="s">
        <v>1634</v>
      </c>
      <c r="E25" s="1" t="s">
        <v>1635</v>
      </c>
      <c r="F25" s="1" t="s">
        <v>1636</v>
      </c>
      <c r="G25" s="1" t="s">
        <v>1637</v>
      </c>
      <c r="H25" s="1" t="s">
        <v>1638</v>
      </c>
      <c r="I25" s="1" t="s">
        <v>1639</v>
      </c>
      <c r="J25" s="1" t="s">
        <v>1640</v>
      </c>
      <c r="K25" s="1" t="s">
        <v>1641</v>
      </c>
      <c r="L25" s="1" t="s">
        <v>1642</v>
      </c>
      <c r="M25" s="1" t="s">
        <v>1643</v>
      </c>
      <c r="N25" s="1" t="s">
        <v>522</v>
      </c>
      <c r="O25" s="1" t="s">
        <v>1644</v>
      </c>
      <c r="P25" s="1" t="s">
        <v>1645</v>
      </c>
      <c r="Q25" s="1" t="s">
        <v>1646</v>
      </c>
      <c r="R25" s="1" t="s">
        <v>1647</v>
      </c>
      <c r="S25" s="1" t="s">
        <v>1648</v>
      </c>
      <c r="T25" s="1" t="s">
        <v>1649</v>
      </c>
      <c r="U25" s="1" t="s">
        <v>1650</v>
      </c>
      <c r="V25" s="1" t="s">
        <v>1651</v>
      </c>
      <c r="W25" s="1" t="s">
        <v>1652</v>
      </c>
      <c r="X25" s="1" t="s">
        <v>1653</v>
      </c>
      <c r="Y25" s="1" t="s">
        <v>1654</v>
      </c>
      <c r="Z25" s="1" t="s">
        <v>781</v>
      </c>
      <c r="AA25" s="1" t="s">
        <v>522</v>
      </c>
      <c r="AB25" s="1" t="s">
        <v>1655</v>
      </c>
      <c r="AC25" s="502">
        <v>43045.229882731503</v>
      </c>
    </row>
    <row r="26" spans="1:29">
      <c r="A26" s="1" t="s">
        <v>1303</v>
      </c>
      <c r="B26" s="501" t="s">
        <v>810</v>
      </c>
      <c r="C26" s="1" t="s">
        <v>1656</v>
      </c>
      <c r="D26" s="1" t="s">
        <v>1657</v>
      </c>
      <c r="E26" s="1" t="s">
        <v>1658</v>
      </c>
      <c r="F26" s="1" t="s">
        <v>1659</v>
      </c>
      <c r="G26" s="1" t="s">
        <v>1660</v>
      </c>
      <c r="H26" s="1" t="s">
        <v>1661</v>
      </c>
      <c r="I26" s="1" t="s">
        <v>1662</v>
      </c>
      <c r="J26" s="1" t="s">
        <v>1663</v>
      </c>
      <c r="K26" s="1" t="s">
        <v>1664</v>
      </c>
      <c r="L26" s="1" t="s">
        <v>1665</v>
      </c>
      <c r="M26" s="1" t="s">
        <v>1666</v>
      </c>
      <c r="N26" s="1" t="s">
        <v>522</v>
      </c>
      <c r="O26" s="1" t="s">
        <v>1667</v>
      </c>
      <c r="P26" s="1" t="s">
        <v>1668</v>
      </c>
      <c r="Q26" s="1" t="s">
        <v>1669</v>
      </c>
      <c r="R26" s="1" t="s">
        <v>1670</v>
      </c>
      <c r="S26" s="1" t="s">
        <v>1671</v>
      </c>
      <c r="T26" s="1" t="s">
        <v>1672</v>
      </c>
      <c r="U26" s="1" t="s">
        <v>1673</v>
      </c>
      <c r="V26" s="1" t="s">
        <v>1674</v>
      </c>
      <c r="W26" s="1" t="s">
        <v>1675</v>
      </c>
      <c r="X26" s="1" t="s">
        <v>1676</v>
      </c>
      <c r="Y26" s="1" t="s">
        <v>1677</v>
      </c>
      <c r="Z26" s="1" t="s">
        <v>811</v>
      </c>
      <c r="AA26" s="1" t="s">
        <v>522</v>
      </c>
      <c r="AB26" s="1" t="s">
        <v>1678</v>
      </c>
      <c r="AC26" s="502">
        <v>43045.229882731503</v>
      </c>
    </row>
    <row r="27" spans="1:29">
      <c r="B27" s="501"/>
      <c r="AC27" s="502">
        <v>43045.229882731503</v>
      </c>
    </row>
    <row r="28" spans="1:29">
      <c r="B28" s="501"/>
      <c r="AC28" s="502">
        <v>43045.229882731503</v>
      </c>
    </row>
    <row r="29" spans="1:29">
      <c r="B29" s="1"/>
    </row>
    <row r="30" spans="1:29">
      <c r="B30" s="1"/>
    </row>
    <row r="31" spans="1:29">
      <c r="B31" s="1"/>
    </row>
    <row r="32" spans="1:29">
      <c r="B32" s="1"/>
    </row>
    <row r="33" spans="2:2">
      <c r="B33" s="1"/>
    </row>
    <row r="34" spans="2:2">
      <c r="B34" s="1"/>
    </row>
    <row r="35" spans="2:2">
      <c r="B35" s="1"/>
    </row>
    <row r="36" spans="2:2">
      <c r="B36" s="1"/>
    </row>
    <row r="37" spans="2:2">
      <c r="B37" s="1"/>
    </row>
    <row r="38" spans="2:2">
      <c r="B38" s="1"/>
    </row>
    <row r="39" spans="2:2">
      <c r="B39" s="1"/>
    </row>
    <row r="40" spans="2:2">
      <c r="B40" s="1"/>
    </row>
    <row r="41" spans="2:2">
      <c r="B41" s="1"/>
    </row>
    <row r="42" spans="2:2">
      <c r="B42" s="1"/>
    </row>
    <row r="43" spans="2:2">
      <c r="B43" s="1"/>
    </row>
    <row r="44" spans="2:2">
      <c r="B44" s="1"/>
    </row>
    <row r="45" spans="2:2">
      <c r="B45" s="1"/>
    </row>
    <row r="46" spans="2:2">
      <c r="B46" s="1"/>
    </row>
    <row r="47" spans="2:2">
      <c r="B47" s="1"/>
    </row>
    <row r="48" spans="2:2">
      <c r="B48" s="1"/>
    </row>
    <row r="49" spans="2:2">
      <c r="B49" s="1"/>
    </row>
    <row r="50" spans="2:2">
      <c r="B50" s="1"/>
    </row>
    <row r="51" spans="2:2">
      <c r="B51" s="1"/>
    </row>
    <row r="52" spans="2:2">
      <c r="B52" s="1"/>
    </row>
    <row r="53" spans="2:2">
      <c r="B53" s="1"/>
    </row>
    <row r="54" spans="2:2">
      <c r="B54" s="1"/>
    </row>
    <row r="55" spans="2:2">
      <c r="B55" s="1"/>
    </row>
    <row r="56" spans="2:2">
      <c r="B56" s="1"/>
    </row>
    <row r="57" spans="2:2">
      <c r="B57" s="1"/>
    </row>
    <row r="58" spans="2:2">
      <c r="B58" s="1"/>
    </row>
    <row r="59" spans="2:2">
      <c r="B59" s="1"/>
    </row>
    <row r="60" spans="2:2">
      <c r="B60" s="1"/>
    </row>
    <row r="61" spans="2:2">
      <c r="B61" s="1"/>
    </row>
    <row r="62" spans="2:2">
      <c r="B62" s="1"/>
    </row>
    <row r="63" spans="2:2">
      <c r="B63" s="1"/>
    </row>
    <row r="64" spans="2:2">
      <c r="B64" s="1"/>
    </row>
    <row r="65" spans="2:2">
      <c r="B65" s="1"/>
    </row>
    <row r="66" spans="2:2">
      <c r="B66" s="1"/>
    </row>
    <row r="67" spans="2:2">
      <c r="B67" s="1"/>
    </row>
    <row r="68" spans="2:2">
      <c r="B68" s="1"/>
    </row>
    <row r="69" spans="2:2">
      <c r="B69" s="1"/>
    </row>
    <row r="70" spans="2:2">
      <c r="B70" s="1"/>
    </row>
    <row r="71" spans="2:2">
      <c r="B71" s="1"/>
    </row>
    <row r="72" spans="2:2">
      <c r="B72" s="1"/>
    </row>
    <row r="73" spans="2:2">
      <c r="B73" s="1"/>
    </row>
    <row r="74" spans="2:2">
      <c r="B74" s="1"/>
    </row>
    <row r="75" spans="2:2">
      <c r="B75" s="1"/>
    </row>
    <row r="76" spans="2:2">
      <c r="B76" s="1"/>
    </row>
    <row r="77" spans="2:2">
      <c r="B77" s="1"/>
    </row>
    <row r="78" spans="2:2">
      <c r="B78" s="1"/>
    </row>
    <row r="79" spans="2:2">
      <c r="B79" s="1"/>
    </row>
    <row r="80" spans="2:2">
      <c r="B80" s="1"/>
    </row>
    <row r="81" spans="2:2">
      <c r="B81" s="1"/>
    </row>
    <row r="82" spans="2:2">
      <c r="B82" s="1"/>
    </row>
    <row r="83" spans="2:2">
      <c r="B83" s="1"/>
    </row>
    <row r="84" spans="2:2">
      <c r="B84" s="1"/>
    </row>
    <row r="85" spans="2:2">
      <c r="B85" s="1"/>
    </row>
    <row r="86" spans="2:2">
      <c r="B86" s="1"/>
    </row>
    <row r="87" spans="2:2">
      <c r="B87" s="1"/>
    </row>
    <row r="88" spans="2:2">
      <c r="B88" s="1"/>
    </row>
    <row r="89" spans="2:2">
      <c r="B89" s="1"/>
    </row>
    <row r="90" spans="2:2">
      <c r="B90" s="1"/>
    </row>
    <row r="91" spans="2:2">
      <c r="B91" s="1"/>
    </row>
    <row r="92" spans="2:2">
      <c r="B92" s="1"/>
    </row>
    <row r="93" spans="2:2">
      <c r="B93" s="1"/>
    </row>
    <row r="94" spans="2:2">
      <c r="B94" s="1"/>
    </row>
    <row r="95" spans="2:2">
      <c r="B95" s="1"/>
    </row>
    <row r="96" spans="2:2">
      <c r="B96" s="1"/>
    </row>
    <row r="97" spans="2:2">
      <c r="B97" s="1"/>
    </row>
    <row r="98" spans="2:2">
      <c r="B98" s="1"/>
    </row>
    <row r="99" spans="2:2">
      <c r="B99" s="1"/>
    </row>
    <row r="100" spans="2:2">
      <c r="B100" s="1"/>
    </row>
    <row r="101" spans="2:2">
      <c r="B101" s="1"/>
    </row>
    <row r="102" spans="2:2">
      <c r="B102" s="1"/>
    </row>
    <row r="103" spans="2:2">
      <c r="B103" s="1"/>
    </row>
    <row r="104" spans="2:2">
      <c r="B104" s="1"/>
    </row>
    <row r="105" spans="2:2">
      <c r="B105" s="1"/>
    </row>
    <row r="106" spans="2:2">
      <c r="B106" s="1"/>
    </row>
    <row r="107" spans="2:2">
      <c r="B107" s="1"/>
    </row>
    <row r="108" spans="2:2">
      <c r="B108" s="1"/>
    </row>
    <row r="109" spans="2:2">
      <c r="B109" s="1"/>
    </row>
    <row r="110" spans="2:2">
      <c r="B110" s="1"/>
    </row>
    <row r="111" spans="2:2">
      <c r="B111" s="1"/>
    </row>
    <row r="112" spans="2:2">
      <c r="B112" s="1"/>
    </row>
    <row r="113" spans="2:2">
      <c r="B113" s="1"/>
    </row>
    <row r="114" spans="2:2">
      <c r="B114" s="1"/>
    </row>
    <row r="115" spans="2:2">
      <c r="B115" s="1"/>
    </row>
    <row r="116" spans="2:2">
      <c r="B116" s="1"/>
    </row>
    <row r="117" spans="2:2">
      <c r="B117" s="1"/>
    </row>
    <row r="118" spans="2:2">
      <c r="B118" s="1"/>
    </row>
    <row r="119" spans="2:2">
      <c r="B119" s="1"/>
    </row>
    <row r="120" spans="2:2">
      <c r="B120" s="1"/>
    </row>
    <row r="121" spans="2:2">
      <c r="B121" s="1"/>
    </row>
    <row r="122" spans="2:2">
      <c r="B122" s="1"/>
    </row>
    <row r="123" spans="2:2">
      <c r="B123" s="1"/>
    </row>
    <row r="124" spans="2:2">
      <c r="B124" s="1"/>
    </row>
    <row r="125" spans="2:2">
      <c r="B125" s="1"/>
    </row>
    <row r="126" spans="2:2">
      <c r="B126" s="1"/>
    </row>
    <row r="127" spans="2:2">
      <c r="B127" s="1"/>
    </row>
    <row r="128" spans="2:2">
      <c r="B128" s="1"/>
    </row>
    <row r="129" spans="2:2">
      <c r="B129" s="1"/>
    </row>
    <row r="130" spans="2:2">
      <c r="B130" s="1"/>
    </row>
    <row r="131" spans="2:2">
      <c r="B131" s="1"/>
    </row>
    <row r="132" spans="2:2">
      <c r="B132" s="1"/>
    </row>
    <row r="133" spans="2:2">
      <c r="B133" s="1"/>
    </row>
    <row r="134" spans="2:2">
      <c r="B134" s="1"/>
    </row>
    <row r="135" spans="2:2">
      <c r="B135" s="1"/>
    </row>
    <row r="136" spans="2:2">
      <c r="B136" s="1"/>
    </row>
    <row r="137" spans="2:2">
      <c r="B137" s="1"/>
    </row>
    <row r="138" spans="2:2">
      <c r="B138" s="1"/>
    </row>
    <row r="139" spans="2:2">
      <c r="B139" s="1"/>
    </row>
    <row r="140" spans="2:2">
      <c r="B140" s="1"/>
    </row>
    <row r="141" spans="2:2">
      <c r="B141" s="1"/>
    </row>
    <row r="142" spans="2:2">
      <c r="B142" s="1"/>
    </row>
    <row r="143" spans="2:2">
      <c r="B143" s="1"/>
    </row>
    <row r="144" spans="2:2">
      <c r="B144" s="1"/>
    </row>
    <row r="145" spans="2:2">
      <c r="B145" s="1"/>
    </row>
    <row r="146" spans="2:2">
      <c r="B146" s="1"/>
    </row>
    <row r="147" spans="2:2">
      <c r="B147" s="1"/>
    </row>
    <row r="148" spans="2:2">
      <c r="B148" s="1"/>
    </row>
    <row r="149" spans="2:2">
      <c r="B149" s="1"/>
    </row>
    <row r="150" spans="2:2">
      <c r="B150" s="1"/>
    </row>
    <row r="151" spans="2:2">
      <c r="B151" s="1"/>
    </row>
    <row r="152" spans="2:2">
      <c r="B152" s="1"/>
    </row>
    <row r="153" spans="2:2">
      <c r="B153" s="1"/>
    </row>
    <row r="154" spans="2:2">
      <c r="B154" s="1"/>
    </row>
    <row r="155" spans="2:2">
      <c r="B155" s="1"/>
    </row>
    <row r="156" spans="2:2">
      <c r="B156" s="1"/>
    </row>
    <row r="157" spans="2:2">
      <c r="B157" s="1"/>
    </row>
    <row r="158" spans="2:2">
      <c r="B158" s="1"/>
    </row>
    <row r="159" spans="2:2">
      <c r="B159" s="1"/>
    </row>
    <row r="160" spans="2:2">
      <c r="B160" s="1"/>
    </row>
    <row r="161" spans="2:2">
      <c r="B161" s="1"/>
    </row>
    <row r="162" spans="2:2">
      <c r="B162" s="1"/>
    </row>
    <row r="163" spans="2:2">
      <c r="B163" s="1"/>
    </row>
    <row r="164" spans="2:2">
      <c r="B164" s="1"/>
    </row>
    <row r="165" spans="2:2">
      <c r="B165" s="1"/>
    </row>
    <row r="166" spans="2:2">
      <c r="B166" s="1"/>
    </row>
    <row r="167" spans="2:2">
      <c r="B167" s="1"/>
    </row>
    <row r="168" spans="2:2">
      <c r="B168" s="1"/>
    </row>
    <row r="169" spans="2:2">
      <c r="B169" s="1"/>
    </row>
    <row r="170" spans="2:2">
      <c r="B170" s="1"/>
    </row>
    <row r="171" spans="2:2">
      <c r="B171" s="1"/>
    </row>
    <row r="172" spans="2:2">
      <c r="B172" s="1"/>
    </row>
    <row r="173" spans="2:2">
      <c r="B173" s="1"/>
    </row>
    <row r="174" spans="2:2">
      <c r="B174" s="1"/>
    </row>
    <row r="175" spans="2:2">
      <c r="B175" s="1"/>
    </row>
    <row r="176" spans="2:2">
      <c r="B176" s="1"/>
    </row>
    <row r="177" spans="2:2">
      <c r="B177" s="1"/>
    </row>
    <row r="178" spans="2:2">
      <c r="B178" s="1"/>
    </row>
    <row r="179" spans="2:2">
      <c r="B179" s="1"/>
    </row>
    <row r="180" spans="2:2">
      <c r="B180" s="1"/>
    </row>
    <row r="181" spans="2:2">
      <c r="B181" s="1"/>
    </row>
    <row r="182" spans="2:2">
      <c r="B182" s="1"/>
    </row>
    <row r="183" spans="2:2">
      <c r="B183" s="1"/>
    </row>
    <row r="184" spans="2:2">
      <c r="B184" s="1"/>
    </row>
    <row r="185" spans="2:2">
      <c r="B185" s="1"/>
    </row>
    <row r="186" spans="2:2">
      <c r="B186" s="1"/>
    </row>
    <row r="187" spans="2:2">
      <c r="B187" s="1"/>
    </row>
    <row r="188" spans="2:2">
      <c r="B188" s="1"/>
    </row>
    <row r="189" spans="2:2">
      <c r="B189" s="1"/>
    </row>
    <row r="190" spans="2:2">
      <c r="B190" s="1"/>
    </row>
    <row r="191" spans="2:2">
      <c r="B191" s="1"/>
    </row>
    <row r="192" spans="2:2">
      <c r="B192" s="1"/>
    </row>
    <row r="193" spans="2:2">
      <c r="B193" s="1"/>
    </row>
    <row r="194" spans="2:2">
      <c r="B194" s="1"/>
    </row>
    <row r="195" spans="2:2">
      <c r="B195" s="1"/>
    </row>
    <row r="196" spans="2:2">
      <c r="B196" s="1"/>
    </row>
    <row r="197" spans="2:2">
      <c r="B197" s="1"/>
    </row>
    <row r="198" spans="2:2">
      <c r="B198" s="1"/>
    </row>
    <row r="199" spans="2:2">
      <c r="B199" s="1"/>
    </row>
    <row r="200" spans="2:2">
      <c r="B200" s="1"/>
    </row>
    <row r="201" spans="2:2">
      <c r="B201" s="1"/>
    </row>
    <row r="202" spans="2:2">
      <c r="B202" s="1"/>
    </row>
    <row r="203" spans="2:2">
      <c r="B203" s="1"/>
    </row>
    <row r="204" spans="2:2">
      <c r="B204" s="1"/>
    </row>
    <row r="205" spans="2:2">
      <c r="B205" s="1"/>
    </row>
    <row r="206" spans="2:2">
      <c r="B206" s="1"/>
    </row>
    <row r="207" spans="2:2">
      <c r="B207" s="1"/>
    </row>
    <row r="208" spans="2:2">
      <c r="B208" s="1"/>
    </row>
    <row r="209" spans="2:2">
      <c r="B209" s="1"/>
    </row>
    <row r="210" spans="2:2">
      <c r="B210" s="1"/>
    </row>
    <row r="211" spans="2:2">
      <c r="B211" s="1"/>
    </row>
    <row r="212" spans="2:2">
      <c r="B212" s="1"/>
    </row>
    <row r="213" spans="2:2">
      <c r="B213" s="1"/>
    </row>
    <row r="214" spans="2:2">
      <c r="B214" s="1"/>
    </row>
    <row r="215" spans="2:2">
      <c r="B215" s="1"/>
    </row>
    <row r="216" spans="2:2">
      <c r="B216" s="1"/>
    </row>
    <row r="217" spans="2:2">
      <c r="B217" s="1"/>
    </row>
    <row r="218" spans="2:2">
      <c r="B218" s="1"/>
    </row>
    <row r="219" spans="2:2">
      <c r="B219" s="1"/>
    </row>
    <row r="220" spans="2:2">
      <c r="B220" s="1"/>
    </row>
    <row r="221" spans="2:2">
      <c r="B221" s="1"/>
    </row>
    <row r="222" spans="2:2">
      <c r="B222" s="1"/>
    </row>
    <row r="223" spans="2:2">
      <c r="B223" s="1"/>
    </row>
    <row r="224" spans="2:2">
      <c r="B224" s="1"/>
    </row>
    <row r="225" spans="2:2">
      <c r="B225" s="1"/>
    </row>
    <row r="226" spans="2:2">
      <c r="B226" s="1"/>
    </row>
    <row r="227" spans="2:2">
      <c r="B227" s="1"/>
    </row>
    <row r="228" spans="2:2">
      <c r="B228" s="1"/>
    </row>
    <row r="229" spans="2:2">
      <c r="B229" s="1"/>
    </row>
    <row r="230" spans="2:2">
      <c r="B230" s="1"/>
    </row>
    <row r="231" spans="2:2">
      <c r="B231" s="1"/>
    </row>
    <row r="232" spans="2:2">
      <c r="B232" s="1"/>
    </row>
    <row r="233" spans="2:2">
      <c r="B233" s="1"/>
    </row>
    <row r="234" spans="2:2">
      <c r="B234" s="1"/>
    </row>
    <row r="235" spans="2:2">
      <c r="B235" s="1"/>
    </row>
    <row r="236" spans="2:2">
      <c r="B236" s="1"/>
    </row>
    <row r="237" spans="2:2">
      <c r="B237" s="1"/>
    </row>
    <row r="238" spans="2:2">
      <c r="B238" s="1"/>
    </row>
    <row r="239" spans="2:2">
      <c r="B239" s="1"/>
    </row>
    <row r="240" spans="2:2">
      <c r="B240" s="1"/>
    </row>
    <row r="241" spans="2:2">
      <c r="B241" s="1"/>
    </row>
    <row r="242" spans="2:2">
      <c r="B242" s="1"/>
    </row>
    <row r="243" spans="2:2">
      <c r="B243" s="1"/>
    </row>
    <row r="244" spans="2:2">
      <c r="B244" s="1"/>
    </row>
    <row r="245" spans="2:2">
      <c r="B245" s="1"/>
    </row>
    <row r="246" spans="2:2">
      <c r="B246" s="1"/>
    </row>
    <row r="247" spans="2:2">
      <c r="B247" s="1"/>
    </row>
    <row r="248" spans="2:2">
      <c r="B248" s="1"/>
    </row>
    <row r="249" spans="2:2">
      <c r="B249" s="1"/>
    </row>
    <row r="250" spans="2:2">
      <c r="B250" s="1"/>
    </row>
    <row r="251" spans="2:2">
      <c r="B251" s="1"/>
    </row>
    <row r="252" spans="2:2">
      <c r="B252" s="1"/>
    </row>
    <row r="253" spans="2:2">
      <c r="B253" s="1"/>
    </row>
    <row r="254" spans="2:2">
      <c r="B254" s="1"/>
    </row>
    <row r="255" spans="2:2">
      <c r="B255" s="1"/>
    </row>
    <row r="256" spans="2:2">
      <c r="B256" s="1"/>
    </row>
    <row r="257" spans="2:2">
      <c r="B257" s="1"/>
    </row>
    <row r="258" spans="2:2">
      <c r="B258" s="1"/>
    </row>
    <row r="259" spans="2:2">
      <c r="B259" s="1"/>
    </row>
    <row r="260" spans="2:2">
      <c r="B260" s="1"/>
    </row>
    <row r="261" spans="2:2">
      <c r="B261" s="1"/>
    </row>
    <row r="262" spans="2:2">
      <c r="B262" s="1"/>
    </row>
    <row r="263" spans="2:2">
      <c r="B263" s="1"/>
    </row>
    <row r="264" spans="2:2">
      <c r="B264" s="1"/>
    </row>
    <row r="265" spans="2:2">
      <c r="B265" s="1"/>
    </row>
    <row r="266" spans="2:2">
      <c r="B266" s="1"/>
    </row>
    <row r="267" spans="2:2">
      <c r="B267" s="1"/>
    </row>
    <row r="268" spans="2:2">
      <c r="B268" s="1"/>
    </row>
    <row r="269" spans="2:2">
      <c r="B269" s="1"/>
    </row>
    <row r="270" spans="2:2">
      <c r="B270" s="1"/>
    </row>
    <row r="271" spans="2:2">
      <c r="B271" s="1"/>
    </row>
    <row r="272" spans="2:2">
      <c r="B272" s="1"/>
    </row>
    <row r="273" spans="2:2">
      <c r="B273" s="1"/>
    </row>
    <row r="274" spans="2:2">
      <c r="B274" s="1"/>
    </row>
    <row r="275" spans="2:2">
      <c r="B275" s="1"/>
    </row>
    <row r="276" spans="2:2">
      <c r="B276" s="1"/>
    </row>
    <row r="277" spans="2:2">
      <c r="B277" s="1"/>
    </row>
    <row r="278" spans="2:2">
      <c r="B278" s="1"/>
    </row>
    <row r="279" spans="2:2">
      <c r="B279" s="1"/>
    </row>
    <row r="280" spans="2:2">
      <c r="B280" s="1"/>
    </row>
    <row r="281" spans="2:2">
      <c r="B281" s="1"/>
    </row>
    <row r="282" spans="2:2">
      <c r="B282" s="1"/>
    </row>
    <row r="283" spans="2:2">
      <c r="B283" s="1"/>
    </row>
    <row r="284" spans="2:2">
      <c r="B284" s="1"/>
    </row>
    <row r="285" spans="2:2">
      <c r="B285" s="1"/>
    </row>
    <row r="286" spans="2:2">
      <c r="B286" s="1"/>
    </row>
    <row r="287" spans="2:2">
      <c r="B287" s="1"/>
    </row>
    <row r="288" spans="2:2">
      <c r="B288" s="1"/>
    </row>
    <row r="289" spans="2:2">
      <c r="B289" s="1"/>
    </row>
    <row r="290" spans="2:2">
      <c r="B290" s="1"/>
    </row>
    <row r="291" spans="2:2">
      <c r="B291" s="1"/>
    </row>
    <row r="292" spans="2:2">
      <c r="B292" s="1"/>
    </row>
    <row r="293" spans="2:2">
      <c r="B293" s="1"/>
    </row>
    <row r="294" spans="2:2">
      <c r="B294" s="1"/>
    </row>
    <row r="295" spans="2:2">
      <c r="B295" s="1"/>
    </row>
    <row r="296" spans="2:2">
      <c r="B296" s="1"/>
    </row>
    <row r="297" spans="2:2">
      <c r="B297" s="1"/>
    </row>
    <row r="298" spans="2:2">
      <c r="B298" s="1"/>
    </row>
    <row r="299" spans="2:2">
      <c r="B299" s="1"/>
    </row>
    <row r="300" spans="2:2">
      <c r="B300" s="1"/>
    </row>
    <row r="301" spans="2:2">
      <c r="B301" s="1"/>
    </row>
    <row r="302" spans="2:2">
      <c r="B302" s="1"/>
    </row>
    <row r="303" spans="2:2">
      <c r="B303" s="1"/>
    </row>
    <row r="304" spans="2:2">
      <c r="B304" s="1"/>
    </row>
    <row r="305" spans="2:2">
      <c r="B305" s="1"/>
    </row>
    <row r="306" spans="2:2">
      <c r="B306" s="1"/>
    </row>
    <row r="307" spans="2:2">
      <c r="B307" s="1"/>
    </row>
    <row r="308" spans="2:2">
      <c r="B308" s="1"/>
    </row>
    <row r="309" spans="2:2">
      <c r="B309" s="1"/>
    </row>
    <row r="310" spans="2:2">
      <c r="B310" s="1"/>
    </row>
    <row r="311" spans="2:2">
      <c r="B311" s="1"/>
    </row>
    <row r="312" spans="2:2">
      <c r="B312" s="1"/>
    </row>
    <row r="313" spans="2:2">
      <c r="B313" s="1"/>
    </row>
    <row r="314" spans="2:2">
      <c r="B314" s="1"/>
    </row>
    <row r="315" spans="2:2">
      <c r="B315" s="1"/>
    </row>
    <row r="316" spans="2:2">
      <c r="B316" s="1"/>
    </row>
    <row r="317" spans="2:2">
      <c r="B317" s="1"/>
    </row>
    <row r="318" spans="2:2">
      <c r="B318" s="1"/>
    </row>
    <row r="319" spans="2:2">
      <c r="B319" s="1"/>
    </row>
    <row r="320" spans="2:2">
      <c r="B320" s="1"/>
    </row>
    <row r="321" spans="2:2">
      <c r="B321" s="1"/>
    </row>
    <row r="322" spans="2:2">
      <c r="B322" s="1"/>
    </row>
    <row r="323" spans="2:2">
      <c r="B323" s="1"/>
    </row>
    <row r="324" spans="2:2">
      <c r="B324" s="1"/>
    </row>
    <row r="325" spans="2:2">
      <c r="B325" s="1"/>
    </row>
    <row r="326" spans="2:2">
      <c r="B326" s="1"/>
    </row>
    <row r="327" spans="2:2">
      <c r="B327" s="1"/>
    </row>
    <row r="328" spans="2:2">
      <c r="B328" s="1"/>
    </row>
    <row r="329" spans="2:2">
      <c r="B329" s="1"/>
    </row>
    <row r="330" spans="2:2">
      <c r="B330" s="1"/>
    </row>
    <row r="331" spans="2:2">
      <c r="B331" s="1"/>
    </row>
    <row r="332" spans="2:2">
      <c r="B332" s="1"/>
    </row>
    <row r="333" spans="2:2">
      <c r="B333" s="1"/>
    </row>
    <row r="334" spans="2:2">
      <c r="B334" s="1"/>
    </row>
    <row r="335" spans="2:2">
      <c r="B335" s="1"/>
    </row>
    <row r="336" spans="2:2">
      <c r="B336" s="1"/>
    </row>
    <row r="337" spans="2:2">
      <c r="B337" s="1"/>
    </row>
    <row r="338" spans="2:2">
      <c r="B338" s="1"/>
    </row>
    <row r="339" spans="2:2">
      <c r="B339" s="1"/>
    </row>
    <row r="340" spans="2:2">
      <c r="B340" s="1"/>
    </row>
    <row r="341" spans="2:2">
      <c r="B341" s="1"/>
    </row>
    <row r="342" spans="2:2">
      <c r="B342" s="1"/>
    </row>
    <row r="343" spans="2:2">
      <c r="B343" s="1"/>
    </row>
    <row r="344" spans="2:2">
      <c r="B344" s="1"/>
    </row>
    <row r="345" spans="2:2">
      <c r="B345" s="1"/>
    </row>
    <row r="346" spans="2:2">
      <c r="B346" s="1"/>
    </row>
    <row r="347" spans="2:2">
      <c r="B347" s="1"/>
    </row>
    <row r="348" spans="2:2">
      <c r="B348" s="1"/>
    </row>
    <row r="349" spans="2:2">
      <c r="B349" s="1"/>
    </row>
    <row r="350" spans="2:2">
      <c r="B350" s="1"/>
    </row>
    <row r="351" spans="2:2">
      <c r="B351" s="1"/>
    </row>
    <row r="352" spans="2:2">
      <c r="B352" s="1"/>
    </row>
    <row r="353" spans="2:2">
      <c r="B353" s="1"/>
    </row>
    <row r="354" spans="2:2">
      <c r="B354" s="1"/>
    </row>
    <row r="355" spans="2:2">
      <c r="B355" s="1"/>
    </row>
    <row r="356" spans="2:2">
      <c r="B356" s="1"/>
    </row>
    <row r="357" spans="2:2">
      <c r="B357" s="1"/>
    </row>
    <row r="358" spans="2:2">
      <c r="B358" s="1"/>
    </row>
    <row r="359" spans="2:2">
      <c r="B359" s="1"/>
    </row>
    <row r="360" spans="2:2">
      <c r="B360" s="1"/>
    </row>
    <row r="361" spans="2:2">
      <c r="B361" s="1"/>
    </row>
    <row r="362" spans="2:2">
      <c r="B362" s="1"/>
    </row>
    <row r="363" spans="2:2">
      <c r="B363" s="1"/>
    </row>
    <row r="364" spans="2:2">
      <c r="B364" s="1"/>
    </row>
    <row r="365" spans="2:2">
      <c r="B365" s="1"/>
    </row>
    <row r="366" spans="2:2">
      <c r="B366" s="1"/>
    </row>
    <row r="367" spans="2:2">
      <c r="B367" s="1"/>
    </row>
    <row r="368" spans="2:2">
      <c r="B368" s="1"/>
    </row>
    <row r="369" spans="2:2">
      <c r="B369" s="1"/>
    </row>
    <row r="370" spans="2:2">
      <c r="B370" s="1"/>
    </row>
    <row r="371" spans="2:2">
      <c r="B371" s="1"/>
    </row>
    <row r="372" spans="2:2">
      <c r="B372" s="1"/>
    </row>
    <row r="373" spans="2:2">
      <c r="B373" s="1"/>
    </row>
    <row r="374" spans="2:2">
      <c r="B374" s="1"/>
    </row>
    <row r="375" spans="2:2">
      <c r="B375" s="1"/>
    </row>
    <row r="376" spans="2:2">
      <c r="B376" s="1"/>
    </row>
    <row r="377" spans="2:2">
      <c r="B377" s="1"/>
    </row>
    <row r="378" spans="2:2">
      <c r="B378" s="1"/>
    </row>
    <row r="379" spans="2:2">
      <c r="B379" s="1"/>
    </row>
    <row r="380" spans="2:2">
      <c r="B380" s="1"/>
    </row>
    <row r="381" spans="2:2">
      <c r="B381" s="1"/>
    </row>
    <row r="382" spans="2:2">
      <c r="B382" s="1"/>
    </row>
    <row r="383" spans="2:2">
      <c r="B383" s="1"/>
    </row>
    <row r="384" spans="2:2">
      <c r="B384" s="1"/>
    </row>
    <row r="385" spans="2:2">
      <c r="B385" s="1"/>
    </row>
    <row r="386" spans="2:2">
      <c r="B386" s="1"/>
    </row>
    <row r="387" spans="2:2">
      <c r="B387" s="1"/>
    </row>
    <row r="388" spans="2:2">
      <c r="B388" s="1"/>
    </row>
    <row r="389" spans="2:2">
      <c r="B389" s="1"/>
    </row>
    <row r="390" spans="2:2">
      <c r="B390" s="1"/>
    </row>
    <row r="391" spans="2:2">
      <c r="B391" s="1"/>
    </row>
    <row r="392" spans="2:2">
      <c r="B392" s="1"/>
    </row>
    <row r="393" spans="2:2">
      <c r="B393" s="1"/>
    </row>
    <row r="394" spans="2:2">
      <c r="B394" s="1"/>
    </row>
    <row r="395" spans="2:2">
      <c r="B395" s="1"/>
    </row>
    <row r="396" spans="2:2">
      <c r="B396" s="1"/>
    </row>
    <row r="397" spans="2:2">
      <c r="B397" s="1"/>
    </row>
    <row r="398" spans="2:2">
      <c r="B398" s="1"/>
    </row>
    <row r="399" spans="2:2">
      <c r="B399" s="1"/>
    </row>
    <row r="400" spans="2:2">
      <c r="B400" s="1"/>
    </row>
    <row r="401" spans="2:2">
      <c r="B401" s="1"/>
    </row>
    <row r="402" spans="2:2">
      <c r="B402" s="1"/>
    </row>
    <row r="403" spans="2:2">
      <c r="B403" s="1"/>
    </row>
    <row r="404" spans="2:2">
      <c r="B404" s="1"/>
    </row>
    <row r="405" spans="2:2">
      <c r="B405" s="1"/>
    </row>
    <row r="406" spans="2:2">
      <c r="B406" s="1"/>
    </row>
    <row r="407" spans="2:2">
      <c r="B407" s="1"/>
    </row>
    <row r="408" spans="2:2">
      <c r="B408" s="1"/>
    </row>
    <row r="409" spans="2:2">
      <c r="B409" s="1"/>
    </row>
    <row r="410" spans="2:2">
      <c r="B410" s="1"/>
    </row>
    <row r="411" spans="2:2">
      <c r="B411" s="1"/>
    </row>
    <row r="412" spans="2:2">
      <c r="B412" s="1"/>
    </row>
    <row r="413" spans="2:2">
      <c r="B413" s="1"/>
    </row>
    <row r="414" spans="2:2">
      <c r="B414" s="1"/>
    </row>
    <row r="415" spans="2:2">
      <c r="B415" s="1"/>
    </row>
    <row r="416" spans="2:2">
      <c r="B416" s="1"/>
    </row>
    <row r="417" spans="2:2">
      <c r="B417" s="1"/>
    </row>
    <row r="418" spans="2:2">
      <c r="B418" s="1"/>
    </row>
    <row r="419" spans="2:2">
      <c r="B419" s="1"/>
    </row>
    <row r="420" spans="2:2">
      <c r="B420" s="1"/>
    </row>
    <row r="421" spans="2:2">
      <c r="B421" s="1"/>
    </row>
    <row r="422" spans="2:2">
      <c r="B422" s="1"/>
    </row>
    <row r="423" spans="2:2">
      <c r="B423" s="1"/>
    </row>
    <row r="424" spans="2:2">
      <c r="B424" s="1"/>
    </row>
    <row r="425" spans="2:2">
      <c r="B425" s="1"/>
    </row>
    <row r="426" spans="2:2">
      <c r="B426" s="1"/>
    </row>
    <row r="427" spans="2:2">
      <c r="B427" s="1"/>
    </row>
    <row r="428" spans="2:2">
      <c r="B428" s="1"/>
    </row>
    <row r="429" spans="2:2">
      <c r="B429" s="1"/>
    </row>
    <row r="430" spans="2:2">
      <c r="B430" s="1"/>
    </row>
    <row r="431" spans="2:2">
      <c r="B431" s="1"/>
    </row>
    <row r="432" spans="2:2">
      <c r="B432" s="1"/>
    </row>
    <row r="433" spans="2:2">
      <c r="B433" s="1"/>
    </row>
    <row r="434" spans="2:2">
      <c r="B434" s="1"/>
    </row>
    <row r="435" spans="2:2">
      <c r="B435" s="1"/>
    </row>
    <row r="436" spans="2:2">
      <c r="B436" s="1"/>
    </row>
    <row r="437" spans="2:2">
      <c r="B437" s="1"/>
    </row>
    <row r="438" spans="2:2">
      <c r="B438" s="1"/>
    </row>
    <row r="439" spans="2:2">
      <c r="B439" s="1"/>
    </row>
    <row r="440" spans="2:2">
      <c r="B440" s="1"/>
    </row>
    <row r="441" spans="2:2">
      <c r="B441" s="1"/>
    </row>
    <row r="442" spans="2:2">
      <c r="B442" s="1"/>
    </row>
    <row r="443" spans="2:2">
      <c r="B443" s="1"/>
    </row>
    <row r="444" spans="2:2">
      <c r="B444" s="1"/>
    </row>
    <row r="445" spans="2:2">
      <c r="B445" s="1"/>
    </row>
    <row r="446" spans="2:2">
      <c r="B446" s="1"/>
    </row>
    <row r="447" spans="2:2">
      <c r="B447" s="1"/>
    </row>
    <row r="448" spans="2:2">
      <c r="B448" s="1"/>
    </row>
    <row r="449" spans="2:2">
      <c r="B449" s="1"/>
    </row>
    <row r="450" spans="2:2">
      <c r="B450" s="1"/>
    </row>
    <row r="451" spans="2:2">
      <c r="B451" s="1"/>
    </row>
    <row r="452" spans="2:2">
      <c r="B452" s="1"/>
    </row>
    <row r="453" spans="2:2">
      <c r="B453" s="1"/>
    </row>
    <row r="454" spans="2:2">
      <c r="B454" s="1"/>
    </row>
    <row r="455" spans="2:2">
      <c r="B455" s="1"/>
    </row>
    <row r="456" spans="2:2">
      <c r="B456" s="1"/>
    </row>
    <row r="457" spans="2:2">
      <c r="B457" s="1"/>
    </row>
    <row r="458" spans="2:2">
      <c r="B458" s="1"/>
    </row>
    <row r="459" spans="2:2">
      <c r="B459" s="1"/>
    </row>
    <row r="460" spans="2:2">
      <c r="B460" s="1"/>
    </row>
    <row r="461" spans="2:2">
      <c r="B461" s="1"/>
    </row>
    <row r="462" spans="2:2">
      <c r="B462" s="1"/>
    </row>
    <row r="463" spans="2:2">
      <c r="B463" s="1"/>
    </row>
    <row r="464" spans="2:2">
      <c r="B464" s="1"/>
    </row>
    <row r="465" spans="2:2">
      <c r="B465" s="1"/>
    </row>
    <row r="466" spans="2:2">
      <c r="B466" s="1"/>
    </row>
    <row r="467" spans="2:2">
      <c r="B467" s="1"/>
    </row>
    <row r="468" spans="2:2">
      <c r="B468" s="1"/>
    </row>
    <row r="469" spans="2:2">
      <c r="B469" s="1"/>
    </row>
    <row r="470" spans="2:2">
      <c r="B470" s="1"/>
    </row>
    <row r="471" spans="2:2">
      <c r="B471" s="1"/>
    </row>
    <row r="472" spans="2:2">
      <c r="B472" s="1"/>
    </row>
    <row r="473" spans="2:2">
      <c r="B473" s="1"/>
    </row>
    <row r="474" spans="2:2">
      <c r="B474" s="1"/>
    </row>
    <row r="475" spans="2:2">
      <c r="B475" s="1"/>
    </row>
    <row r="476" spans="2:2">
      <c r="B476" s="1"/>
    </row>
    <row r="477" spans="2:2">
      <c r="B477" s="1"/>
    </row>
    <row r="478" spans="2:2">
      <c r="B478" s="1"/>
    </row>
    <row r="479" spans="2:2">
      <c r="B479" s="1"/>
    </row>
    <row r="480" spans="2:2">
      <c r="B480" s="1"/>
    </row>
    <row r="481" spans="2:2">
      <c r="B481" s="1"/>
    </row>
    <row r="482" spans="2:2">
      <c r="B482" s="1"/>
    </row>
    <row r="483" spans="2:2">
      <c r="B483" s="1"/>
    </row>
    <row r="484" spans="2:2">
      <c r="B484" s="1"/>
    </row>
    <row r="485" spans="2:2">
      <c r="B485" s="1"/>
    </row>
    <row r="486" spans="2:2">
      <c r="B486" s="1"/>
    </row>
    <row r="487" spans="2:2">
      <c r="B487" s="1"/>
    </row>
    <row r="488" spans="2:2">
      <c r="B488" s="1"/>
    </row>
    <row r="489" spans="2:2">
      <c r="B489" s="1"/>
    </row>
    <row r="490" spans="2:2">
      <c r="B490" s="1"/>
    </row>
    <row r="491" spans="2:2">
      <c r="B491" s="1"/>
    </row>
    <row r="492" spans="2:2">
      <c r="B492" s="1"/>
    </row>
    <row r="493" spans="2:2">
      <c r="B493" s="1"/>
    </row>
    <row r="494" spans="2:2">
      <c r="B494" s="1"/>
    </row>
    <row r="495" spans="2:2">
      <c r="B495" s="1"/>
    </row>
    <row r="496" spans="2:2">
      <c r="B496" s="1"/>
    </row>
    <row r="497" spans="2:2">
      <c r="B497" s="1"/>
    </row>
    <row r="498" spans="2:2">
      <c r="B498" s="1"/>
    </row>
    <row r="499" spans="2:2">
      <c r="B499" s="1"/>
    </row>
    <row r="500" spans="2:2">
      <c r="B500" s="1"/>
    </row>
    <row r="501" spans="2:2">
      <c r="B501" s="1"/>
    </row>
    <row r="502" spans="2:2">
      <c r="B502" s="1"/>
    </row>
    <row r="503" spans="2:2">
      <c r="B503" s="1"/>
    </row>
    <row r="504" spans="2:2">
      <c r="B504" s="1"/>
    </row>
    <row r="505" spans="2:2">
      <c r="B505" s="1"/>
    </row>
    <row r="506" spans="2:2">
      <c r="B506" s="1"/>
    </row>
    <row r="507" spans="2:2">
      <c r="B507" s="1"/>
    </row>
    <row r="508" spans="2:2">
      <c r="B508" s="1"/>
    </row>
    <row r="509" spans="2:2">
      <c r="B509" s="1"/>
    </row>
    <row r="510" spans="2:2">
      <c r="B510" s="1"/>
    </row>
    <row r="511" spans="2:2">
      <c r="B511" s="1"/>
    </row>
    <row r="512" spans="2:2">
      <c r="B512" s="1"/>
    </row>
    <row r="513" spans="2:2">
      <c r="B513" s="1"/>
    </row>
    <row r="514" spans="2:2">
      <c r="B514" s="1"/>
    </row>
    <row r="515" spans="2:2">
      <c r="B515" s="1"/>
    </row>
    <row r="516" spans="2:2">
      <c r="B516" s="1"/>
    </row>
    <row r="517" spans="2:2">
      <c r="B517" s="1"/>
    </row>
    <row r="518" spans="2:2">
      <c r="B518" s="1"/>
    </row>
    <row r="519" spans="2:2">
      <c r="B519" s="1"/>
    </row>
    <row r="520" spans="2:2">
      <c r="B520" s="1"/>
    </row>
    <row r="521" spans="2:2">
      <c r="B521" s="1"/>
    </row>
    <row r="522" spans="2:2">
      <c r="B522" s="1"/>
    </row>
    <row r="523" spans="2:2">
      <c r="B523" s="1"/>
    </row>
    <row r="524" spans="2:2">
      <c r="B524" s="1"/>
    </row>
    <row r="525" spans="2:2">
      <c r="B525" s="1"/>
    </row>
    <row r="526" spans="2:2">
      <c r="B526" s="1"/>
    </row>
    <row r="527" spans="2:2">
      <c r="B527" s="1"/>
    </row>
    <row r="528" spans="2:2">
      <c r="B528" s="1"/>
    </row>
    <row r="529" spans="2:2">
      <c r="B529" s="1"/>
    </row>
    <row r="530" spans="2:2">
      <c r="B530" s="1"/>
    </row>
    <row r="531" spans="2:2">
      <c r="B531" s="1"/>
    </row>
    <row r="532" spans="2:2">
      <c r="B532" s="1"/>
    </row>
    <row r="533" spans="2:2">
      <c r="B533" s="1"/>
    </row>
    <row r="534" spans="2:2">
      <c r="B534" s="1"/>
    </row>
    <row r="535" spans="2:2">
      <c r="B535" s="1"/>
    </row>
    <row r="536" spans="2:2">
      <c r="B536" s="1"/>
    </row>
    <row r="537" spans="2:2">
      <c r="B537" s="1"/>
    </row>
    <row r="538" spans="2:2">
      <c r="B538" s="1"/>
    </row>
    <row r="539" spans="2:2">
      <c r="B539" s="1"/>
    </row>
    <row r="540" spans="2:2">
      <c r="B540" s="1"/>
    </row>
    <row r="541" spans="2:2">
      <c r="B541" s="1"/>
    </row>
    <row r="542" spans="2:2">
      <c r="B542" s="1"/>
    </row>
    <row r="543" spans="2:2">
      <c r="B543" s="1"/>
    </row>
    <row r="544" spans="2:2">
      <c r="B544" s="1"/>
    </row>
    <row r="545" spans="2:2">
      <c r="B545" s="1"/>
    </row>
    <row r="546" spans="2:2">
      <c r="B546" s="1"/>
    </row>
    <row r="547" spans="2:2">
      <c r="B547" s="1"/>
    </row>
    <row r="548" spans="2:2">
      <c r="B548" s="1"/>
    </row>
    <row r="549" spans="2:2">
      <c r="B549" s="1"/>
    </row>
    <row r="550" spans="2:2">
      <c r="B550" s="1"/>
    </row>
    <row r="551" spans="2:2">
      <c r="B551" s="1"/>
    </row>
    <row r="552" spans="2:2">
      <c r="B552" s="1"/>
    </row>
    <row r="553" spans="2:2">
      <c r="B553" s="1"/>
    </row>
    <row r="554" spans="2:2">
      <c r="B554" s="1"/>
    </row>
    <row r="555" spans="2:2">
      <c r="B555" s="1"/>
    </row>
    <row r="556" spans="2:2">
      <c r="B556" s="1"/>
    </row>
    <row r="557" spans="2:2">
      <c r="B557" s="1"/>
    </row>
    <row r="558" spans="2:2">
      <c r="B558" s="1"/>
    </row>
    <row r="559" spans="2:2">
      <c r="B559" s="1"/>
    </row>
    <row r="560" spans="2:2">
      <c r="B560" s="1"/>
    </row>
    <row r="561" spans="2:2">
      <c r="B561" s="1"/>
    </row>
    <row r="562" spans="2:2">
      <c r="B562" s="1"/>
    </row>
    <row r="563" spans="2:2">
      <c r="B563" s="1"/>
    </row>
    <row r="564" spans="2:2">
      <c r="B564" s="1"/>
    </row>
    <row r="565" spans="2:2">
      <c r="B565" s="1"/>
    </row>
    <row r="566" spans="2:2">
      <c r="B566" s="1"/>
    </row>
    <row r="567" spans="2:2">
      <c r="B567" s="1"/>
    </row>
    <row r="568" spans="2:2">
      <c r="B568" s="1"/>
    </row>
    <row r="569" spans="2:2">
      <c r="B569" s="1"/>
    </row>
    <row r="570" spans="2:2">
      <c r="B570" s="1"/>
    </row>
    <row r="571" spans="2:2">
      <c r="B571" s="1"/>
    </row>
    <row r="572" spans="2:2">
      <c r="B572" s="1"/>
    </row>
    <row r="573" spans="2:2">
      <c r="B573" s="1"/>
    </row>
    <row r="574" spans="2:2">
      <c r="B574" s="1"/>
    </row>
    <row r="575" spans="2:2">
      <c r="B575" s="1"/>
    </row>
    <row r="576" spans="2:2">
      <c r="B576" s="1"/>
    </row>
    <row r="577" spans="2:2">
      <c r="B577" s="1"/>
    </row>
    <row r="578" spans="2:2">
      <c r="B578" s="1"/>
    </row>
    <row r="579" spans="2:2">
      <c r="B579" s="1"/>
    </row>
    <row r="580" spans="2:2">
      <c r="B580" s="1"/>
    </row>
    <row r="581" spans="2:2">
      <c r="B581" s="1"/>
    </row>
    <row r="582" spans="2:2">
      <c r="B582" s="1"/>
    </row>
    <row r="583" spans="2:2">
      <c r="B583" s="1"/>
    </row>
    <row r="584" spans="2:2">
      <c r="B584" s="1"/>
    </row>
    <row r="585" spans="2:2">
      <c r="B585" s="1"/>
    </row>
    <row r="586" spans="2:2">
      <c r="B586" s="1"/>
    </row>
    <row r="587" spans="2:2">
      <c r="B587" s="1"/>
    </row>
    <row r="588" spans="2:2">
      <c r="B588" s="1"/>
    </row>
    <row r="589" spans="2:2">
      <c r="B589" s="1"/>
    </row>
    <row r="590" spans="2:2">
      <c r="B590" s="1"/>
    </row>
    <row r="591" spans="2:2">
      <c r="B591" s="1"/>
    </row>
    <row r="592" spans="2:2">
      <c r="B592" s="1"/>
    </row>
    <row r="593" spans="2:2">
      <c r="B593" s="1"/>
    </row>
    <row r="594" spans="2:2">
      <c r="B594" s="1"/>
    </row>
    <row r="595" spans="2:2">
      <c r="B595" s="1"/>
    </row>
    <row r="596" spans="2:2">
      <c r="B596" s="1"/>
    </row>
    <row r="597" spans="2:2">
      <c r="B597" s="1"/>
    </row>
    <row r="598" spans="2:2">
      <c r="B598" s="1"/>
    </row>
    <row r="599" spans="2:2">
      <c r="B599" s="1"/>
    </row>
    <row r="600" spans="2:2">
      <c r="B600" s="1"/>
    </row>
    <row r="601" spans="2:2">
      <c r="B601" s="1"/>
    </row>
    <row r="602" spans="2:2">
      <c r="B602" s="1"/>
    </row>
    <row r="603" spans="2:2">
      <c r="B603" s="1"/>
    </row>
    <row r="604" spans="2:2">
      <c r="B604" s="1"/>
    </row>
    <row r="605" spans="2:2">
      <c r="B605" s="1"/>
    </row>
    <row r="606" spans="2:2">
      <c r="B606" s="1"/>
    </row>
    <row r="607" spans="2:2">
      <c r="B607" s="1"/>
    </row>
    <row r="608" spans="2:2">
      <c r="B608" s="1"/>
    </row>
    <row r="609" spans="2:2">
      <c r="B609" s="1"/>
    </row>
    <row r="610" spans="2:2">
      <c r="B610" s="1"/>
    </row>
    <row r="611" spans="2:2">
      <c r="B611" s="1"/>
    </row>
    <row r="612" spans="2:2">
      <c r="B612" s="1"/>
    </row>
    <row r="613" spans="2:2">
      <c r="B613" s="1"/>
    </row>
    <row r="614" spans="2:2">
      <c r="B614" s="1"/>
    </row>
    <row r="615" spans="2:2">
      <c r="B615" s="1"/>
    </row>
    <row r="616" spans="2:2">
      <c r="B616" s="1"/>
    </row>
    <row r="617" spans="2:2">
      <c r="B617" s="1"/>
    </row>
    <row r="618" spans="2:2">
      <c r="B618" s="1"/>
    </row>
    <row r="619" spans="2:2">
      <c r="B619" s="1"/>
    </row>
    <row r="620" spans="2:2">
      <c r="B620" s="1"/>
    </row>
    <row r="621" spans="2:2">
      <c r="B621" s="1"/>
    </row>
    <row r="622" spans="2:2">
      <c r="B622" s="1"/>
    </row>
    <row r="623" spans="2:2">
      <c r="B623" s="1"/>
    </row>
    <row r="624" spans="2:2">
      <c r="B624" s="1"/>
    </row>
    <row r="625" spans="2:2">
      <c r="B625" s="1"/>
    </row>
    <row r="626" spans="2:2">
      <c r="B626" s="1"/>
    </row>
    <row r="627" spans="2:2">
      <c r="B627" s="1"/>
    </row>
    <row r="628" spans="2:2">
      <c r="B628" s="1"/>
    </row>
    <row r="629" spans="2:2">
      <c r="B629" s="1"/>
    </row>
    <row r="630" spans="2:2">
      <c r="B630" s="1"/>
    </row>
    <row r="631" spans="2:2">
      <c r="B631" s="1"/>
    </row>
    <row r="632" spans="2:2">
      <c r="B632" s="1"/>
    </row>
    <row r="633" spans="2:2">
      <c r="B633" s="1"/>
    </row>
    <row r="634" spans="2:2">
      <c r="B634" s="1"/>
    </row>
    <row r="635" spans="2:2">
      <c r="B635" s="1"/>
    </row>
    <row r="636" spans="2:2">
      <c r="B636" s="1"/>
    </row>
    <row r="637" spans="2:2">
      <c r="B637" s="1"/>
    </row>
    <row r="638" spans="2:2">
      <c r="B638" s="1"/>
    </row>
    <row r="639" spans="2:2">
      <c r="B639" s="1"/>
    </row>
    <row r="640" spans="2:2">
      <c r="B640" s="1"/>
    </row>
    <row r="641" spans="2:2">
      <c r="B641" s="1"/>
    </row>
    <row r="642" spans="2:2">
      <c r="B642" s="1"/>
    </row>
    <row r="643" spans="2:2">
      <c r="B643" s="1"/>
    </row>
    <row r="644" spans="2:2">
      <c r="B644" s="1"/>
    </row>
    <row r="645" spans="2:2">
      <c r="B645" s="1"/>
    </row>
    <row r="646" spans="2:2">
      <c r="B646" s="1"/>
    </row>
    <row r="647" spans="2:2">
      <c r="B647" s="1"/>
    </row>
    <row r="648" spans="2:2">
      <c r="B648" s="1"/>
    </row>
    <row r="649" spans="2:2">
      <c r="B649" s="1"/>
    </row>
    <row r="650" spans="2:2">
      <c r="B650" s="1"/>
    </row>
    <row r="651" spans="2:2">
      <c r="B651" s="1"/>
    </row>
    <row r="652" spans="2:2">
      <c r="B652" s="1"/>
    </row>
    <row r="653" spans="2:2">
      <c r="B653" s="1"/>
    </row>
    <row r="654" spans="2:2">
      <c r="B654" s="1"/>
    </row>
    <row r="655" spans="2:2">
      <c r="B655" s="1"/>
    </row>
    <row r="656" spans="2:2">
      <c r="B656" s="1"/>
    </row>
    <row r="657" spans="2:2">
      <c r="B657" s="1"/>
    </row>
    <row r="658" spans="2:2">
      <c r="B658" s="1"/>
    </row>
    <row r="659" spans="2:2">
      <c r="B659" s="1"/>
    </row>
    <row r="660" spans="2:2">
      <c r="B660" s="1"/>
    </row>
    <row r="661" spans="2:2">
      <c r="B661" s="1"/>
    </row>
    <row r="662" spans="2:2">
      <c r="B662" s="1"/>
    </row>
    <row r="663" spans="2:2">
      <c r="B663" s="1"/>
    </row>
    <row r="664" spans="2:2">
      <c r="B664" s="1"/>
    </row>
    <row r="665" spans="2:2">
      <c r="B665" s="1"/>
    </row>
    <row r="666" spans="2:2">
      <c r="B666" s="1"/>
    </row>
    <row r="667" spans="2:2">
      <c r="B667" s="1"/>
    </row>
    <row r="668" spans="2:2">
      <c r="B668" s="1"/>
    </row>
    <row r="669" spans="2:2">
      <c r="B669" s="1"/>
    </row>
    <row r="670" spans="2:2">
      <c r="B670" s="1"/>
    </row>
    <row r="671" spans="2:2">
      <c r="B671" s="1"/>
    </row>
    <row r="672" spans="2:2">
      <c r="B672" s="1"/>
    </row>
    <row r="673" spans="2:2">
      <c r="B673" s="1"/>
    </row>
    <row r="674" spans="2:2">
      <c r="B674" s="1"/>
    </row>
    <row r="675" spans="2:2">
      <c r="B675" s="1"/>
    </row>
    <row r="676" spans="2:2">
      <c r="B676" s="1"/>
    </row>
    <row r="677" spans="2:2">
      <c r="B677" s="1"/>
    </row>
    <row r="678" spans="2:2">
      <c r="B678" s="1"/>
    </row>
    <row r="679" spans="2:2">
      <c r="B679" s="1"/>
    </row>
    <row r="680" spans="2:2">
      <c r="B680" s="1"/>
    </row>
    <row r="681" spans="2:2">
      <c r="B681" s="1"/>
    </row>
    <row r="682" spans="2:2">
      <c r="B682" s="1"/>
    </row>
    <row r="683" spans="2:2">
      <c r="B683" s="1"/>
    </row>
    <row r="684" spans="2:2">
      <c r="B684" s="1"/>
    </row>
    <row r="685" spans="2:2">
      <c r="B685" s="1"/>
    </row>
    <row r="686" spans="2:2">
      <c r="B686" s="1"/>
    </row>
    <row r="687" spans="2:2">
      <c r="B687" s="1"/>
    </row>
    <row r="688" spans="2:2">
      <c r="B688" s="1"/>
    </row>
    <row r="689" spans="2:2">
      <c r="B689" s="1"/>
    </row>
    <row r="690" spans="2:2">
      <c r="B690" s="1"/>
    </row>
    <row r="691" spans="2:2">
      <c r="B691" s="1"/>
    </row>
    <row r="692" spans="2:2">
      <c r="B692" s="1"/>
    </row>
    <row r="693" spans="2:2">
      <c r="B693" s="1"/>
    </row>
    <row r="694" spans="2:2">
      <c r="B694" s="1"/>
    </row>
    <row r="695" spans="2:2">
      <c r="B695" s="1"/>
    </row>
    <row r="696" spans="2:2">
      <c r="B696" s="1"/>
    </row>
    <row r="697" spans="2:2">
      <c r="B697" s="1"/>
    </row>
    <row r="698" spans="2:2">
      <c r="B698" s="1"/>
    </row>
    <row r="699" spans="2:2">
      <c r="B699" s="1"/>
    </row>
    <row r="700" spans="2:2">
      <c r="B700" s="1"/>
    </row>
    <row r="701" spans="2:2">
      <c r="B701" s="1"/>
    </row>
    <row r="702" spans="2:2">
      <c r="B702" s="1"/>
    </row>
    <row r="703" spans="2:2">
      <c r="B703" s="1"/>
    </row>
    <row r="704" spans="2:2">
      <c r="B704" s="1"/>
    </row>
    <row r="705" spans="2:2">
      <c r="B705" s="1"/>
    </row>
    <row r="706" spans="2:2">
      <c r="B706" s="1"/>
    </row>
    <row r="707" spans="2:2">
      <c r="B707" s="1"/>
    </row>
    <row r="708" spans="2:2">
      <c r="B708" s="1"/>
    </row>
    <row r="709" spans="2:2">
      <c r="B709" s="1"/>
    </row>
    <row r="710" spans="2:2">
      <c r="B710" s="1"/>
    </row>
    <row r="711" spans="2:2">
      <c r="B711" s="1"/>
    </row>
    <row r="712" spans="2:2">
      <c r="B712" s="1"/>
    </row>
    <row r="713" spans="2:2">
      <c r="B713" s="1"/>
    </row>
    <row r="714" spans="2:2">
      <c r="B714" s="1"/>
    </row>
    <row r="715" spans="2:2">
      <c r="B715" s="1"/>
    </row>
    <row r="716" spans="2:2">
      <c r="B716" s="1"/>
    </row>
    <row r="717" spans="2:2">
      <c r="B717" s="1"/>
    </row>
    <row r="718" spans="2:2">
      <c r="B718" s="1"/>
    </row>
    <row r="719" spans="2:2">
      <c r="B719" s="1"/>
    </row>
    <row r="720" spans="2:2">
      <c r="B720" s="1"/>
    </row>
    <row r="721" spans="2:2">
      <c r="B721" s="1"/>
    </row>
    <row r="722" spans="2:2">
      <c r="B722" s="1"/>
    </row>
    <row r="723" spans="2:2">
      <c r="B723" s="1"/>
    </row>
    <row r="724" spans="2:2">
      <c r="B724" s="1"/>
    </row>
    <row r="725" spans="2:2">
      <c r="B725" s="1"/>
    </row>
    <row r="726" spans="2:2">
      <c r="B726" s="1"/>
    </row>
    <row r="727" spans="2:2">
      <c r="B727" s="1"/>
    </row>
    <row r="728" spans="2:2">
      <c r="B728" s="1"/>
    </row>
    <row r="729" spans="2:2">
      <c r="B729" s="1"/>
    </row>
    <row r="730" spans="2:2">
      <c r="B730" s="1"/>
    </row>
    <row r="731" spans="2:2">
      <c r="B731" s="1"/>
    </row>
    <row r="732" spans="2:2">
      <c r="B732" s="1"/>
    </row>
    <row r="733" spans="2:2">
      <c r="B733" s="1"/>
    </row>
    <row r="734" spans="2:2">
      <c r="B734" s="1"/>
    </row>
    <row r="735" spans="2:2">
      <c r="B735" s="1"/>
    </row>
    <row r="736" spans="2:2">
      <c r="B736" s="1"/>
    </row>
    <row r="737" spans="2:2">
      <c r="B737" s="1"/>
    </row>
    <row r="738" spans="2:2">
      <c r="B738" s="1"/>
    </row>
    <row r="739" spans="2:2">
      <c r="B739" s="1"/>
    </row>
    <row r="740" spans="2:2">
      <c r="B740" s="1"/>
    </row>
    <row r="741" spans="2:2">
      <c r="B741" s="1"/>
    </row>
    <row r="742" spans="2:2">
      <c r="B742" s="1"/>
    </row>
    <row r="743" spans="2:2">
      <c r="B743" s="1"/>
    </row>
    <row r="744" spans="2:2">
      <c r="B744" s="1"/>
    </row>
    <row r="745" spans="2:2">
      <c r="B745" s="1"/>
    </row>
    <row r="746" spans="2:2">
      <c r="B746" s="1"/>
    </row>
    <row r="747" spans="2:2">
      <c r="B747" s="1"/>
    </row>
    <row r="748" spans="2:2">
      <c r="B748" s="1"/>
    </row>
    <row r="749" spans="2:2">
      <c r="B749" s="1"/>
    </row>
    <row r="750" spans="2:2">
      <c r="B750" s="1"/>
    </row>
    <row r="751" spans="2:2">
      <c r="B751" s="1"/>
    </row>
    <row r="752" spans="2:2">
      <c r="B752" s="1"/>
    </row>
    <row r="753" spans="2:2">
      <c r="B753" s="1"/>
    </row>
    <row r="754" spans="2:2">
      <c r="B754" s="1"/>
    </row>
    <row r="755" spans="2:2">
      <c r="B755" s="1"/>
    </row>
    <row r="756" spans="2:2">
      <c r="B756" s="1"/>
    </row>
    <row r="757" spans="2:2">
      <c r="B757" s="1"/>
    </row>
    <row r="758" spans="2:2">
      <c r="B758" s="1"/>
    </row>
    <row r="759" spans="2:2">
      <c r="B759" s="1"/>
    </row>
    <row r="760" spans="2:2">
      <c r="B760" s="1"/>
    </row>
    <row r="761" spans="2:2">
      <c r="B761" s="1"/>
    </row>
    <row r="762" spans="2:2">
      <c r="B762" s="1"/>
    </row>
    <row r="763" spans="2:2">
      <c r="B763" s="1"/>
    </row>
    <row r="764" spans="2:2">
      <c r="B764" s="1"/>
    </row>
    <row r="765" spans="2:2">
      <c r="B765" s="1"/>
    </row>
    <row r="766" spans="2:2">
      <c r="B766" s="1"/>
    </row>
    <row r="767" spans="2:2">
      <c r="B767" s="1"/>
    </row>
    <row r="768" spans="2:2">
      <c r="B768" s="1"/>
    </row>
    <row r="769" spans="2:2">
      <c r="B769" s="1"/>
    </row>
    <row r="770" spans="2:2">
      <c r="B770" s="1"/>
    </row>
    <row r="771" spans="2:2">
      <c r="B771" s="1"/>
    </row>
    <row r="772" spans="2:2">
      <c r="B772" s="1"/>
    </row>
    <row r="773" spans="2:2">
      <c r="B773" s="1"/>
    </row>
    <row r="774" spans="2:2">
      <c r="B774" s="1"/>
    </row>
    <row r="775" spans="2:2">
      <c r="B775" s="1"/>
    </row>
    <row r="776" spans="2:2">
      <c r="B776" s="1"/>
    </row>
    <row r="777" spans="2:2">
      <c r="B777" s="1"/>
    </row>
    <row r="778" spans="2:2">
      <c r="B778" s="1"/>
    </row>
    <row r="779" spans="2:2">
      <c r="B779" s="1"/>
    </row>
    <row r="780" spans="2:2">
      <c r="B780" s="1"/>
    </row>
    <row r="781" spans="2:2">
      <c r="B781" s="1"/>
    </row>
    <row r="782" spans="2:2">
      <c r="B782" s="1"/>
    </row>
    <row r="783" spans="2:2">
      <c r="B783" s="1"/>
    </row>
    <row r="784" spans="2:2">
      <c r="B784" s="1"/>
    </row>
    <row r="785" spans="2:2">
      <c r="B785" s="1"/>
    </row>
    <row r="786" spans="2:2">
      <c r="B786" s="1"/>
    </row>
    <row r="787" spans="2:2">
      <c r="B787" s="1"/>
    </row>
    <row r="788" spans="2:2">
      <c r="B788" s="1"/>
    </row>
    <row r="789" spans="2:2">
      <c r="B789" s="1"/>
    </row>
    <row r="790" spans="2:2">
      <c r="B790" s="1"/>
    </row>
    <row r="791" spans="2:2">
      <c r="B791" s="1"/>
    </row>
    <row r="792" spans="2:2">
      <c r="B792" s="1"/>
    </row>
    <row r="793" spans="2:2">
      <c r="B793" s="1"/>
    </row>
    <row r="794" spans="2:2">
      <c r="B794" s="1"/>
    </row>
    <row r="795" spans="2:2">
      <c r="B795" s="1"/>
    </row>
    <row r="796" spans="2:2">
      <c r="B796" s="1"/>
    </row>
    <row r="797" spans="2:2">
      <c r="B797" s="1"/>
    </row>
    <row r="798" spans="2:2">
      <c r="B798" s="1"/>
    </row>
    <row r="799" spans="2:2">
      <c r="B799" s="1"/>
    </row>
    <row r="800" spans="2:2">
      <c r="B800" s="1"/>
    </row>
    <row r="801" spans="2:2">
      <c r="B801" s="1"/>
    </row>
    <row r="802" spans="2:2">
      <c r="B802" s="1"/>
    </row>
    <row r="803" spans="2:2">
      <c r="B803" s="1"/>
    </row>
    <row r="804" spans="2:2">
      <c r="B804" s="1"/>
    </row>
    <row r="805" spans="2:2">
      <c r="B805" s="1"/>
    </row>
    <row r="806" spans="2:2">
      <c r="B806" s="1"/>
    </row>
    <row r="807" spans="2:2">
      <c r="B807" s="1"/>
    </row>
    <row r="808" spans="2:2">
      <c r="B808" s="1"/>
    </row>
    <row r="809" spans="2:2">
      <c r="B809" s="1"/>
    </row>
    <row r="810" spans="2:2">
      <c r="B810" s="1"/>
    </row>
    <row r="811" spans="2:2">
      <c r="B811" s="1"/>
    </row>
    <row r="812" spans="2:2">
      <c r="B812" s="1"/>
    </row>
    <row r="813" spans="2:2">
      <c r="B813" s="1"/>
    </row>
    <row r="814" spans="2:2">
      <c r="B814" s="1"/>
    </row>
    <row r="815" spans="2:2">
      <c r="B815" s="1"/>
    </row>
    <row r="816" spans="2:2">
      <c r="B816" s="1"/>
    </row>
    <row r="817" spans="2:2">
      <c r="B817" s="1"/>
    </row>
    <row r="818" spans="2:2">
      <c r="B818" s="1"/>
    </row>
    <row r="819" spans="2:2">
      <c r="B819" s="1"/>
    </row>
    <row r="820" spans="2:2">
      <c r="B820" s="1"/>
    </row>
    <row r="821" spans="2:2">
      <c r="B821" s="1"/>
    </row>
    <row r="822" spans="2:2">
      <c r="B822" s="1"/>
    </row>
    <row r="823" spans="2:2">
      <c r="B823" s="1"/>
    </row>
    <row r="824" spans="2:2">
      <c r="B824" s="1"/>
    </row>
    <row r="825" spans="2:2">
      <c r="B825" s="1"/>
    </row>
    <row r="826" spans="2:2">
      <c r="B826" s="1"/>
    </row>
    <row r="827" spans="2:2">
      <c r="B827" s="1"/>
    </row>
    <row r="828" spans="2:2">
      <c r="B828" s="1"/>
    </row>
    <row r="829" spans="2:2">
      <c r="B829" s="1"/>
    </row>
    <row r="830" spans="2:2">
      <c r="B830" s="1"/>
    </row>
    <row r="831" spans="2:2">
      <c r="B831" s="1"/>
    </row>
    <row r="832" spans="2:2">
      <c r="B832" s="1"/>
    </row>
    <row r="833" spans="2:2">
      <c r="B833" s="1"/>
    </row>
    <row r="834" spans="2:2">
      <c r="B834" s="1"/>
    </row>
    <row r="835" spans="2:2">
      <c r="B835" s="1"/>
    </row>
    <row r="836" spans="2:2">
      <c r="B836" s="1"/>
    </row>
    <row r="837" spans="2:2">
      <c r="B837" s="1"/>
    </row>
    <row r="838" spans="2:2">
      <c r="B838" s="1"/>
    </row>
    <row r="839" spans="2:2">
      <c r="B839" s="1"/>
    </row>
    <row r="840" spans="2:2">
      <c r="B840" s="1"/>
    </row>
    <row r="841" spans="2:2">
      <c r="B841" s="1"/>
    </row>
    <row r="842" spans="2:2">
      <c r="B842" s="1"/>
    </row>
    <row r="843" spans="2:2">
      <c r="B843" s="1"/>
    </row>
    <row r="844" spans="2:2">
      <c r="B844" s="1"/>
    </row>
    <row r="845" spans="2:2">
      <c r="B845" s="1"/>
    </row>
    <row r="846" spans="2:2">
      <c r="B846" s="1"/>
    </row>
    <row r="847" spans="2:2">
      <c r="B847" s="1"/>
    </row>
    <row r="848" spans="2:2">
      <c r="B848" s="1"/>
    </row>
    <row r="849" spans="2:2">
      <c r="B849" s="1"/>
    </row>
    <row r="850" spans="2:2">
      <c r="B850" s="1"/>
    </row>
    <row r="851" spans="2:2">
      <c r="B851" s="1"/>
    </row>
    <row r="852" spans="2:2">
      <c r="B852" s="1"/>
    </row>
    <row r="853" spans="2:2">
      <c r="B853" s="1"/>
    </row>
    <row r="854" spans="2:2">
      <c r="B854" s="1"/>
    </row>
    <row r="855" spans="2:2">
      <c r="B855" s="1"/>
    </row>
    <row r="856" spans="2:2">
      <c r="B856" s="1"/>
    </row>
    <row r="857" spans="2:2">
      <c r="B857" s="1"/>
    </row>
    <row r="858" spans="2:2">
      <c r="B858" s="1"/>
    </row>
    <row r="859" spans="2:2">
      <c r="B859" s="1"/>
    </row>
    <row r="860" spans="2:2">
      <c r="B860" s="1"/>
    </row>
    <row r="861" spans="2:2">
      <c r="B861" s="1"/>
    </row>
    <row r="862" spans="2:2">
      <c r="B862" s="1"/>
    </row>
    <row r="863" spans="2:2">
      <c r="B863" s="1"/>
    </row>
    <row r="864" spans="2:2">
      <c r="B864" s="1"/>
    </row>
    <row r="865" spans="2:2">
      <c r="B865" s="1"/>
    </row>
    <row r="866" spans="2:2">
      <c r="B866" s="1"/>
    </row>
    <row r="867" spans="2:2">
      <c r="B867" s="1"/>
    </row>
    <row r="868" spans="2:2">
      <c r="B868" s="1"/>
    </row>
    <row r="869" spans="2:2">
      <c r="B869" s="1"/>
    </row>
    <row r="870" spans="2:2">
      <c r="B870" s="1"/>
    </row>
    <row r="871" spans="2:2">
      <c r="B871" s="1"/>
    </row>
    <row r="872" spans="2:2">
      <c r="B872" s="1"/>
    </row>
    <row r="873" spans="2:2">
      <c r="B873" s="1"/>
    </row>
    <row r="874" spans="2:2">
      <c r="B874" s="1"/>
    </row>
    <row r="875" spans="2:2">
      <c r="B875" s="1"/>
    </row>
    <row r="876" spans="2:2">
      <c r="B876" s="1"/>
    </row>
    <row r="877" spans="2:2">
      <c r="B877" s="1"/>
    </row>
    <row r="878" spans="2:2">
      <c r="B878" s="1"/>
    </row>
    <row r="879" spans="2:2">
      <c r="B879" s="1"/>
    </row>
    <row r="880" spans="2:2">
      <c r="B880" s="1"/>
    </row>
    <row r="881" spans="2:2">
      <c r="B881" s="1"/>
    </row>
    <row r="882" spans="2:2">
      <c r="B882" s="1"/>
    </row>
    <row r="883" spans="2:2">
      <c r="B883" s="1"/>
    </row>
    <row r="884" spans="2:2">
      <c r="B884" s="1"/>
    </row>
    <row r="885" spans="2:2">
      <c r="B885" s="1"/>
    </row>
    <row r="886" spans="2:2">
      <c r="B886" s="1"/>
    </row>
    <row r="887" spans="2:2">
      <c r="B887" s="1"/>
    </row>
    <row r="888" spans="2:2">
      <c r="B888" s="1"/>
    </row>
    <row r="889" spans="2:2">
      <c r="B889" s="1"/>
    </row>
    <row r="890" spans="2:2">
      <c r="B890" s="1"/>
    </row>
    <row r="891" spans="2:2">
      <c r="B891" s="1"/>
    </row>
    <row r="892" spans="2:2">
      <c r="B892" s="1"/>
    </row>
    <row r="893" spans="2:2">
      <c r="B893" s="1"/>
    </row>
    <row r="894" spans="2:2">
      <c r="B894" s="1"/>
    </row>
    <row r="895" spans="2:2">
      <c r="B895" s="1"/>
    </row>
    <row r="896" spans="2:2">
      <c r="B896" s="1"/>
    </row>
    <row r="897" spans="2:2">
      <c r="B897" s="1"/>
    </row>
    <row r="898" spans="2:2">
      <c r="B898" s="1"/>
    </row>
    <row r="899" spans="2:2">
      <c r="B899" s="1"/>
    </row>
    <row r="900" spans="2:2">
      <c r="B900" s="1"/>
    </row>
    <row r="901" spans="2:2">
      <c r="B901" s="1"/>
    </row>
    <row r="902" spans="2:2">
      <c r="B902" s="1"/>
    </row>
    <row r="903" spans="2:2">
      <c r="B903" s="1"/>
    </row>
    <row r="904" spans="2:2">
      <c r="B904" s="1"/>
    </row>
    <row r="905" spans="2:2">
      <c r="B905" s="1"/>
    </row>
    <row r="906" spans="2:2">
      <c r="B906" s="1"/>
    </row>
    <row r="907" spans="2:2">
      <c r="B907" s="1"/>
    </row>
    <row r="908" spans="2:2">
      <c r="B908" s="1"/>
    </row>
    <row r="909" spans="2:2">
      <c r="B909" s="1"/>
    </row>
    <row r="910" spans="2:2">
      <c r="B910" s="1"/>
    </row>
    <row r="911" spans="2:2">
      <c r="B911" s="1"/>
    </row>
    <row r="912" spans="2:2">
      <c r="B912" s="1"/>
    </row>
    <row r="913" spans="2:2">
      <c r="B913" s="1"/>
    </row>
    <row r="914" spans="2:2">
      <c r="B914" s="1"/>
    </row>
    <row r="915" spans="2:2">
      <c r="B915" s="1"/>
    </row>
    <row r="916" spans="2:2">
      <c r="B916" s="1"/>
    </row>
    <row r="917" spans="2:2">
      <c r="B917" s="1"/>
    </row>
    <row r="918" spans="2:2">
      <c r="B918" s="1"/>
    </row>
    <row r="919" spans="2:2">
      <c r="B919" s="1"/>
    </row>
    <row r="920" spans="2:2">
      <c r="B920" s="1"/>
    </row>
    <row r="921" spans="2:2">
      <c r="B921" s="1"/>
    </row>
    <row r="922" spans="2:2">
      <c r="B922" s="1"/>
    </row>
    <row r="923" spans="2:2">
      <c r="B923" s="1"/>
    </row>
    <row r="924" spans="2:2">
      <c r="B924" s="1"/>
    </row>
    <row r="925" spans="2:2">
      <c r="B925" s="1"/>
    </row>
    <row r="926" spans="2:2">
      <c r="B926" s="1"/>
    </row>
    <row r="927" spans="2:2">
      <c r="B927" s="1"/>
    </row>
    <row r="928" spans="2:2">
      <c r="B928" s="1"/>
    </row>
    <row r="929" spans="2:2">
      <c r="B929" s="1"/>
    </row>
    <row r="930" spans="2:2">
      <c r="B930" s="1"/>
    </row>
    <row r="931" spans="2:2">
      <c r="B931" s="1"/>
    </row>
    <row r="932" spans="2:2">
      <c r="B932" s="1"/>
    </row>
    <row r="933" spans="2:2">
      <c r="B933" s="1"/>
    </row>
    <row r="934" spans="2:2">
      <c r="B934" s="1"/>
    </row>
    <row r="935" spans="2:2">
      <c r="B935" s="1"/>
    </row>
    <row r="936" spans="2:2">
      <c r="B936" s="1"/>
    </row>
    <row r="937" spans="2:2">
      <c r="B937" s="1"/>
    </row>
    <row r="938" spans="2:2">
      <c r="B938" s="1"/>
    </row>
    <row r="939" spans="2:2">
      <c r="B939" s="1"/>
    </row>
    <row r="940" spans="2:2">
      <c r="B940" s="1"/>
    </row>
    <row r="941" spans="2:2">
      <c r="B941" s="1"/>
    </row>
    <row r="942" spans="2:2">
      <c r="B942" s="1"/>
    </row>
    <row r="943" spans="2:2">
      <c r="B943" s="1"/>
    </row>
    <row r="944" spans="2:2">
      <c r="B944" s="1"/>
    </row>
    <row r="945" spans="2:2">
      <c r="B945" s="1"/>
    </row>
    <row r="946" spans="2:2">
      <c r="B946" s="1"/>
    </row>
    <row r="947" spans="2:2">
      <c r="B947" s="1"/>
    </row>
    <row r="948" spans="2:2">
      <c r="B948" s="1"/>
    </row>
    <row r="949" spans="2:2">
      <c r="B949" s="1"/>
    </row>
    <row r="950" spans="2:2">
      <c r="B950" s="1"/>
    </row>
    <row r="951" spans="2:2">
      <c r="B951" s="1"/>
    </row>
    <row r="952" spans="2:2">
      <c r="B952" s="1"/>
    </row>
    <row r="953" spans="2:2">
      <c r="B953" s="1"/>
    </row>
    <row r="954" spans="2:2">
      <c r="B954" s="1"/>
    </row>
    <row r="955" spans="2:2">
      <c r="B955" s="1"/>
    </row>
    <row r="956" spans="2:2">
      <c r="B956" s="1"/>
    </row>
    <row r="957" spans="2:2">
      <c r="B957" s="1"/>
    </row>
    <row r="958" spans="2:2">
      <c r="B958" s="1"/>
    </row>
    <row r="959" spans="2:2">
      <c r="B959" s="1"/>
    </row>
    <row r="960" spans="2:2">
      <c r="B960" s="1"/>
    </row>
    <row r="961" spans="2:2">
      <c r="B961" s="1"/>
    </row>
    <row r="962" spans="2:2">
      <c r="B962" s="1"/>
    </row>
    <row r="963" spans="2:2">
      <c r="B963" s="1"/>
    </row>
    <row r="964" spans="2:2">
      <c r="B964" s="1"/>
    </row>
    <row r="965" spans="2:2">
      <c r="B965" s="1"/>
    </row>
    <row r="966" spans="2:2">
      <c r="B966" s="1"/>
    </row>
    <row r="967" spans="2:2">
      <c r="B967" s="1"/>
    </row>
    <row r="968" spans="2:2">
      <c r="B968" s="1"/>
    </row>
    <row r="969" spans="2:2">
      <c r="B969" s="1"/>
    </row>
    <row r="970" spans="2:2">
      <c r="B970" s="1"/>
    </row>
    <row r="971" spans="2:2">
      <c r="B971" s="1"/>
    </row>
    <row r="972" spans="2:2">
      <c r="B972" s="1"/>
    </row>
    <row r="973" spans="2:2">
      <c r="B973" s="1"/>
    </row>
    <row r="974" spans="2:2">
      <c r="B974" s="1"/>
    </row>
    <row r="975" spans="2:2">
      <c r="B975" s="1"/>
    </row>
    <row r="976" spans="2:2">
      <c r="B976" s="1"/>
    </row>
    <row r="977" spans="2:2">
      <c r="B977" s="1"/>
    </row>
    <row r="978" spans="2:2">
      <c r="B978" s="1"/>
    </row>
    <row r="979" spans="2:2">
      <c r="B979" s="1"/>
    </row>
    <row r="980" spans="2:2">
      <c r="B980" s="1"/>
    </row>
    <row r="981" spans="2:2">
      <c r="B981" s="1"/>
    </row>
    <row r="982" spans="2:2">
      <c r="B982" s="1"/>
    </row>
    <row r="983" spans="2:2">
      <c r="B983" s="1"/>
    </row>
    <row r="984" spans="2:2">
      <c r="B984" s="1"/>
    </row>
    <row r="985" spans="2:2">
      <c r="B985" s="1"/>
    </row>
    <row r="986" spans="2:2">
      <c r="B986" s="1"/>
    </row>
    <row r="987" spans="2:2">
      <c r="B987" s="1"/>
    </row>
    <row r="988" spans="2:2">
      <c r="B988" s="1"/>
    </row>
    <row r="989" spans="2:2">
      <c r="B989" s="1"/>
    </row>
    <row r="990" spans="2:2">
      <c r="B990" s="1"/>
    </row>
    <row r="991" spans="2:2">
      <c r="B991" s="1"/>
    </row>
    <row r="992" spans="2:2">
      <c r="B992" s="1"/>
    </row>
    <row r="993" spans="2:2">
      <c r="B993" s="1"/>
    </row>
    <row r="994" spans="2:2">
      <c r="B994" s="1"/>
    </row>
    <row r="995" spans="2:2">
      <c r="B995" s="1"/>
    </row>
    <row r="996" spans="2:2">
      <c r="B996" s="1"/>
    </row>
    <row r="997" spans="2:2">
      <c r="B997" s="1"/>
    </row>
    <row r="998" spans="2:2">
      <c r="B998" s="1"/>
    </row>
    <row r="999" spans="2:2">
      <c r="B999" s="1"/>
    </row>
    <row r="1000" spans="2:2">
      <c r="B1000" s="1"/>
    </row>
    <row r="1001" spans="2:2">
      <c r="B1001" s="1"/>
    </row>
    <row r="1002" spans="2:2">
      <c r="B1002" s="1"/>
    </row>
    <row r="1003" spans="2:2">
      <c r="B1003" s="1"/>
    </row>
    <row r="1004" spans="2:2">
      <c r="B1004" s="1"/>
    </row>
    <row r="1005" spans="2:2">
      <c r="B1005" s="1"/>
    </row>
    <row r="1006" spans="2:2">
      <c r="B1006" s="1"/>
    </row>
    <row r="1007" spans="2:2">
      <c r="B1007" s="1"/>
    </row>
    <row r="1008" spans="2:2">
      <c r="B1008" s="1"/>
    </row>
    <row r="1009" spans="2:2">
      <c r="B1009" s="1"/>
    </row>
    <row r="1010" spans="2:2">
      <c r="B1010" s="1"/>
    </row>
    <row r="1011" spans="2:2">
      <c r="B1011" s="1"/>
    </row>
    <row r="1012" spans="2:2">
      <c r="B1012" s="1"/>
    </row>
    <row r="1013" spans="2:2">
      <c r="B1013" s="1"/>
    </row>
    <row r="1014" spans="2:2">
      <c r="B1014" s="1"/>
    </row>
    <row r="1015" spans="2:2">
      <c r="B1015" s="1"/>
    </row>
    <row r="1016" spans="2:2">
      <c r="B1016" s="1"/>
    </row>
    <row r="1017" spans="2:2">
      <c r="B1017" s="1"/>
    </row>
    <row r="1018" spans="2:2">
      <c r="B1018" s="1"/>
    </row>
    <row r="1019" spans="2:2">
      <c r="B1019" s="1"/>
    </row>
    <row r="1020" spans="2:2">
      <c r="B1020" s="1"/>
    </row>
    <row r="1021" spans="2:2">
      <c r="B1021" s="1"/>
    </row>
    <row r="1022" spans="2:2">
      <c r="B1022" s="1"/>
    </row>
    <row r="1023" spans="2:2">
      <c r="B1023" s="1"/>
    </row>
    <row r="1024" spans="2:2">
      <c r="B1024" s="1"/>
    </row>
    <row r="1025" spans="2:2">
      <c r="B1025" s="1"/>
    </row>
    <row r="1026" spans="2:2">
      <c r="B1026" s="1"/>
    </row>
    <row r="1027" spans="2:2">
      <c r="B1027" s="1"/>
    </row>
    <row r="1028" spans="2:2">
      <c r="B1028" s="1"/>
    </row>
    <row r="1029" spans="2:2">
      <c r="B1029" s="1"/>
    </row>
    <row r="1030" spans="2:2">
      <c r="B1030" s="1"/>
    </row>
    <row r="1031" spans="2:2">
      <c r="B1031" s="1"/>
    </row>
    <row r="1032" spans="2:2">
      <c r="B1032" s="1"/>
    </row>
    <row r="1033" spans="2:2">
      <c r="B1033" s="1"/>
    </row>
    <row r="1034" spans="2:2">
      <c r="B1034" s="1"/>
    </row>
    <row r="1035" spans="2:2">
      <c r="B1035" s="1"/>
    </row>
    <row r="1036" spans="2:2">
      <c r="B1036" s="1"/>
    </row>
    <row r="1037" spans="2:2">
      <c r="B1037" s="1"/>
    </row>
    <row r="1038" spans="2:2">
      <c r="B1038" s="1"/>
    </row>
    <row r="1039" spans="2:2">
      <c r="B1039" s="1"/>
    </row>
    <row r="1040" spans="2:2">
      <c r="B1040" s="1"/>
    </row>
    <row r="1041" spans="2:2">
      <c r="B1041" s="1"/>
    </row>
    <row r="1042" spans="2:2">
      <c r="B1042" s="1"/>
    </row>
    <row r="1043" spans="2:2">
      <c r="B1043" s="1"/>
    </row>
    <row r="1044" spans="2:2">
      <c r="B1044" s="1"/>
    </row>
    <row r="1045" spans="2:2">
      <c r="B1045" s="1"/>
    </row>
    <row r="1046" spans="2:2">
      <c r="B1046" s="1"/>
    </row>
    <row r="1047" spans="2:2">
      <c r="B1047" s="1"/>
    </row>
    <row r="1048" spans="2:2">
      <c r="B1048" s="1"/>
    </row>
    <row r="1049" spans="2:2">
      <c r="B1049" s="1"/>
    </row>
    <row r="1050" spans="2:2">
      <c r="B1050" s="1"/>
    </row>
    <row r="1051" spans="2:2">
      <c r="B1051" s="1"/>
    </row>
    <row r="1052" spans="2:2">
      <c r="B1052" s="1"/>
    </row>
    <row r="1053" spans="2:2">
      <c r="B1053" s="1"/>
    </row>
    <row r="1054" spans="2:2">
      <c r="B1054" s="1"/>
    </row>
    <row r="1055" spans="2:2">
      <c r="B1055" s="1"/>
    </row>
    <row r="1056" spans="2:2">
      <c r="B1056" s="1"/>
    </row>
    <row r="1057" spans="2:2">
      <c r="B1057" s="1"/>
    </row>
    <row r="1058" spans="2:2">
      <c r="B1058" s="1"/>
    </row>
    <row r="1059" spans="2:2">
      <c r="B1059" s="1"/>
    </row>
    <row r="1060" spans="2:2">
      <c r="B1060" s="1"/>
    </row>
    <row r="1061" spans="2:2">
      <c r="B1061" s="1"/>
    </row>
    <row r="1062" spans="2:2">
      <c r="B1062" s="1"/>
    </row>
    <row r="1063" spans="2:2">
      <c r="B1063" s="1"/>
    </row>
    <row r="1064" spans="2:2">
      <c r="B1064" s="1"/>
    </row>
    <row r="1065" spans="2:2">
      <c r="B1065" s="1"/>
    </row>
    <row r="1066" spans="2:2">
      <c r="B1066" s="1"/>
    </row>
    <row r="1067" spans="2:2">
      <c r="B1067" s="1"/>
    </row>
    <row r="1068" spans="2:2">
      <c r="B1068" s="1"/>
    </row>
    <row r="1069" spans="2:2">
      <c r="B1069" s="1"/>
    </row>
    <row r="1070" spans="2:2">
      <c r="B1070" s="1"/>
    </row>
    <row r="1071" spans="2:2">
      <c r="B1071" s="1"/>
    </row>
    <row r="1072" spans="2:2">
      <c r="B1072" s="1"/>
    </row>
    <row r="1073" spans="2:2">
      <c r="B1073" s="1"/>
    </row>
    <row r="1074" spans="2:2">
      <c r="B1074" s="1"/>
    </row>
    <row r="1075" spans="2:2">
      <c r="B1075" s="1"/>
    </row>
    <row r="1076" spans="2:2">
      <c r="B1076" s="1"/>
    </row>
    <row r="1077" spans="2:2">
      <c r="B1077" s="1"/>
    </row>
    <row r="1078" spans="2:2">
      <c r="B1078" s="1"/>
    </row>
    <row r="1079" spans="2:2">
      <c r="B1079" s="1"/>
    </row>
    <row r="1080" spans="2:2">
      <c r="B1080" s="1"/>
    </row>
    <row r="1081" spans="2:2">
      <c r="B1081" s="1"/>
    </row>
    <row r="1082" spans="2:2">
      <c r="B1082" s="1"/>
    </row>
    <row r="1083" spans="2:2">
      <c r="B1083" s="1"/>
    </row>
    <row r="1084" spans="2:2">
      <c r="B1084" s="1"/>
    </row>
    <row r="1085" spans="2:2">
      <c r="B1085" s="1"/>
    </row>
    <row r="1086" spans="2:2">
      <c r="B1086" s="1"/>
    </row>
    <row r="1087" spans="2:2">
      <c r="B1087" s="1"/>
    </row>
    <row r="1088" spans="2:2">
      <c r="B1088" s="1"/>
    </row>
    <row r="1089" spans="2:2">
      <c r="B1089" s="1"/>
    </row>
    <row r="1090" spans="2:2">
      <c r="B1090" s="1"/>
    </row>
    <row r="1091" spans="2:2">
      <c r="B1091" s="1"/>
    </row>
    <row r="1092" spans="2:2">
      <c r="B1092" s="1"/>
    </row>
    <row r="1093" spans="2:2">
      <c r="B1093" s="1"/>
    </row>
    <row r="1094" spans="2:2">
      <c r="B1094" s="1"/>
    </row>
    <row r="1095" spans="2:2">
      <c r="B1095" s="1"/>
    </row>
    <row r="1096" spans="2:2">
      <c r="B1096" s="1"/>
    </row>
    <row r="1097" spans="2:2">
      <c r="B1097" s="1"/>
    </row>
    <row r="1098" spans="2:2">
      <c r="B1098" s="1"/>
    </row>
    <row r="1099" spans="2:2">
      <c r="B1099" s="1"/>
    </row>
    <row r="1100" spans="2:2">
      <c r="B1100" s="1"/>
    </row>
    <row r="1101" spans="2:2">
      <c r="B1101" s="1"/>
    </row>
    <row r="1102" spans="2:2">
      <c r="B1102" s="1"/>
    </row>
    <row r="1103" spans="2:2">
      <c r="B1103" s="1"/>
    </row>
    <row r="1104" spans="2:2">
      <c r="B1104" s="1"/>
    </row>
    <row r="1105" spans="2:2">
      <c r="B1105" s="1"/>
    </row>
    <row r="1106" spans="2:2">
      <c r="B1106" s="1"/>
    </row>
    <row r="1107" spans="2:2">
      <c r="B1107" s="1"/>
    </row>
    <row r="1108" spans="2:2">
      <c r="B1108" s="1"/>
    </row>
    <row r="1109" spans="2:2">
      <c r="B1109" s="1"/>
    </row>
    <row r="1110" spans="2:2">
      <c r="B1110" s="1"/>
    </row>
    <row r="1111" spans="2:2">
      <c r="B1111" s="1"/>
    </row>
    <row r="1112" spans="2:2">
      <c r="B1112" s="1"/>
    </row>
    <row r="1113" spans="2:2">
      <c r="B1113" s="1"/>
    </row>
    <row r="1114" spans="2:2">
      <c r="B1114" s="1"/>
    </row>
    <row r="1115" spans="2:2">
      <c r="B1115" s="1"/>
    </row>
    <row r="1116" spans="2:2">
      <c r="B1116" s="1"/>
    </row>
    <row r="1117" spans="2:2">
      <c r="B1117" s="1"/>
    </row>
    <row r="1118" spans="2:2">
      <c r="B1118" s="1"/>
    </row>
    <row r="1119" spans="2:2">
      <c r="B1119" s="1"/>
    </row>
    <row r="1120" spans="2:2">
      <c r="B1120" s="1"/>
    </row>
    <row r="1121" spans="2:2">
      <c r="B1121" s="1"/>
    </row>
    <row r="1122" spans="2:2">
      <c r="B1122" s="1"/>
    </row>
    <row r="1123" spans="2:2">
      <c r="B1123" s="1"/>
    </row>
    <row r="1124" spans="2:2">
      <c r="B1124" s="1"/>
    </row>
    <row r="1125" spans="2:2">
      <c r="B1125" s="1"/>
    </row>
    <row r="1126" spans="2:2">
      <c r="B1126" s="1"/>
    </row>
    <row r="1127" spans="2:2">
      <c r="B1127" s="1"/>
    </row>
    <row r="1128" spans="2:2">
      <c r="B1128" s="1"/>
    </row>
    <row r="1129" spans="2:2">
      <c r="B1129" s="1"/>
    </row>
    <row r="1130" spans="2:2">
      <c r="B1130" s="1"/>
    </row>
    <row r="1131" spans="2:2">
      <c r="B1131" s="1"/>
    </row>
    <row r="1132" spans="2:2">
      <c r="B1132" s="1"/>
    </row>
    <row r="1133" spans="2:2">
      <c r="B1133" s="1"/>
    </row>
    <row r="1134" spans="2:2">
      <c r="B1134" s="1"/>
    </row>
    <row r="1135" spans="2:2">
      <c r="B1135" s="1"/>
    </row>
    <row r="1136" spans="2:2">
      <c r="B1136" s="1"/>
    </row>
    <row r="1137" spans="2:2">
      <c r="B1137" s="1"/>
    </row>
    <row r="1138" spans="2:2">
      <c r="B1138" s="1"/>
    </row>
    <row r="1139" spans="2:2">
      <c r="B1139" s="1"/>
    </row>
    <row r="1140" spans="2:2">
      <c r="B1140" s="1"/>
    </row>
    <row r="1141" spans="2:2">
      <c r="B1141" s="1"/>
    </row>
    <row r="1142" spans="2:2">
      <c r="B1142" s="1"/>
    </row>
    <row r="1143" spans="2:2">
      <c r="B1143" s="1"/>
    </row>
    <row r="1144" spans="2:2">
      <c r="B1144" s="1"/>
    </row>
    <row r="1145" spans="2:2">
      <c r="B1145" s="1"/>
    </row>
    <row r="1146" spans="2:2">
      <c r="B1146" s="1"/>
    </row>
    <row r="1147" spans="2:2">
      <c r="B1147" s="1"/>
    </row>
    <row r="1148" spans="2:2">
      <c r="B1148" s="1"/>
    </row>
    <row r="1149" spans="2:2">
      <c r="B1149" s="1"/>
    </row>
    <row r="1150" spans="2:2">
      <c r="B1150" s="1"/>
    </row>
    <row r="1151" spans="2:2">
      <c r="B1151" s="1"/>
    </row>
    <row r="1152" spans="2:2">
      <c r="B1152" s="1"/>
    </row>
    <row r="1153" spans="2:2">
      <c r="B1153" s="1"/>
    </row>
    <row r="1154" spans="2:2">
      <c r="B1154" s="1"/>
    </row>
    <row r="1155" spans="2:2">
      <c r="B1155" s="1"/>
    </row>
    <row r="1156" spans="2:2">
      <c r="B1156" s="1"/>
    </row>
    <row r="1157" spans="2:2">
      <c r="B1157" s="1"/>
    </row>
    <row r="1158" spans="2:2">
      <c r="B1158" s="1"/>
    </row>
    <row r="1159" spans="2:2">
      <c r="B1159" s="1"/>
    </row>
    <row r="1160" spans="2:2">
      <c r="B1160" s="1"/>
    </row>
    <row r="1161" spans="2:2">
      <c r="B1161" s="1"/>
    </row>
    <row r="1162" spans="2:2">
      <c r="B1162" s="1"/>
    </row>
    <row r="1163" spans="2:2">
      <c r="B1163" s="1"/>
    </row>
    <row r="1164" spans="2:2">
      <c r="B1164" s="1"/>
    </row>
    <row r="1165" spans="2:2">
      <c r="B1165" s="1"/>
    </row>
    <row r="1166" spans="2:2">
      <c r="B1166" s="1"/>
    </row>
    <row r="1167" spans="2:2">
      <c r="B1167" s="1"/>
    </row>
    <row r="1168" spans="2:2">
      <c r="B1168" s="1"/>
    </row>
    <row r="1169" spans="2:2">
      <c r="B1169" s="1"/>
    </row>
    <row r="1170" spans="2:2">
      <c r="B1170" s="1"/>
    </row>
    <row r="1171" spans="2:2">
      <c r="B1171" s="1"/>
    </row>
    <row r="1172" spans="2:2">
      <c r="B1172" s="1"/>
    </row>
    <row r="1173" spans="2:2">
      <c r="B1173" s="1"/>
    </row>
    <row r="1174" spans="2:2">
      <c r="B1174" s="1"/>
    </row>
    <row r="1175" spans="2:2">
      <c r="B1175" s="1"/>
    </row>
    <row r="1176" spans="2:2">
      <c r="B1176" s="1"/>
    </row>
    <row r="1177" spans="2:2">
      <c r="B1177" s="1"/>
    </row>
    <row r="1178" spans="2:2">
      <c r="B1178" s="1"/>
    </row>
    <row r="1179" spans="2:2">
      <c r="B1179" s="1"/>
    </row>
    <row r="1180" spans="2:2">
      <c r="B1180" s="1"/>
    </row>
    <row r="1181" spans="2:2">
      <c r="B1181" s="1"/>
    </row>
    <row r="1182" spans="2:2">
      <c r="B1182" s="1"/>
    </row>
    <row r="1183" spans="2:2">
      <c r="B1183" s="1"/>
    </row>
    <row r="1184" spans="2:2">
      <c r="B1184" s="1"/>
    </row>
    <row r="1185" spans="2:2">
      <c r="B1185" s="1"/>
    </row>
    <row r="1186" spans="2:2">
      <c r="B1186" s="1"/>
    </row>
    <row r="1187" spans="2:2">
      <c r="B1187" s="1"/>
    </row>
    <row r="1188" spans="2:2">
      <c r="B1188" s="1"/>
    </row>
    <row r="1189" spans="2:2">
      <c r="B1189" s="1"/>
    </row>
    <row r="1190" spans="2:2">
      <c r="B1190" s="1"/>
    </row>
    <row r="1191" spans="2:2">
      <c r="B1191" s="1"/>
    </row>
    <row r="1192" spans="2:2">
      <c r="B1192" s="1"/>
    </row>
    <row r="1193" spans="2:2">
      <c r="B1193" s="1"/>
    </row>
    <row r="1194" spans="2:2">
      <c r="B1194" s="1"/>
    </row>
    <row r="1195" spans="2:2">
      <c r="B1195" s="1"/>
    </row>
    <row r="1196" spans="2:2">
      <c r="B1196" s="1"/>
    </row>
    <row r="1197" spans="2:2">
      <c r="B1197" s="1"/>
    </row>
    <row r="1198" spans="2:2">
      <c r="B1198" s="1"/>
    </row>
    <row r="1199" spans="2:2">
      <c r="B1199" s="1"/>
    </row>
    <row r="1200" spans="2:2">
      <c r="B1200" s="1"/>
    </row>
    <row r="1201" spans="2:2">
      <c r="B1201" s="1"/>
    </row>
    <row r="1202" spans="2:2">
      <c r="B1202" s="1"/>
    </row>
    <row r="1203" spans="2:2">
      <c r="B1203" s="1"/>
    </row>
    <row r="1204" spans="2:2">
      <c r="B1204" s="1"/>
    </row>
    <row r="1205" spans="2:2">
      <c r="B1205" s="1"/>
    </row>
    <row r="1206" spans="2:2">
      <c r="B1206" s="1"/>
    </row>
    <row r="1207" spans="2:2">
      <c r="B1207" s="1"/>
    </row>
    <row r="1208" spans="2:2">
      <c r="B1208" s="1"/>
    </row>
    <row r="1209" spans="2:2">
      <c r="B1209" s="1"/>
    </row>
    <row r="1210" spans="2:2">
      <c r="B1210" s="1"/>
    </row>
    <row r="1211" spans="2:2">
      <c r="B1211" s="1"/>
    </row>
    <row r="1212" spans="2:2">
      <c r="B1212" s="1"/>
    </row>
    <row r="1213" spans="2:2">
      <c r="B1213" s="1"/>
    </row>
    <row r="1214" spans="2:2">
      <c r="B1214" s="1"/>
    </row>
    <row r="1215" spans="2:2">
      <c r="B1215" s="1"/>
    </row>
    <row r="1216" spans="2:2">
      <c r="B1216" s="1"/>
    </row>
    <row r="1217" spans="2:2">
      <c r="B1217" s="1"/>
    </row>
    <row r="1218" spans="2:2">
      <c r="B1218" s="1"/>
    </row>
    <row r="1219" spans="2:2">
      <c r="B1219" s="1"/>
    </row>
    <row r="1220" spans="2:2">
      <c r="B1220" s="1"/>
    </row>
    <row r="1221" spans="2:2">
      <c r="B1221" s="1"/>
    </row>
    <row r="1222" spans="2:2">
      <c r="B1222" s="1"/>
    </row>
    <row r="1223" spans="2:2">
      <c r="B1223" s="1"/>
    </row>
    <row r="1224" spans="2:2">
      <c r="B1224" s="1"/>
    </row>
    <row r="1225" spans="2:2">
      <c r="B1225" s="1"/>
    </row>
    <row r="1226" spans="2:2">
      <c r="B1226" s="1"/>
    </row>
    <row r="1227" spans="2:2">
      <c r="B1227" s="1"/>
    </row>
    <row r="1228" spans="2:2">
      <c r="B1228" s="1"/>
    </row>
    <row r="1229" spans="2:2">
      <c r="B1229" s="1"/>
    </row>
    <row r="1230" spans="2:2">
      <c r="B1230" s="1"/>
    </row>
    <row r="1231" spans="2:2">
      <c r="B1231" s="1"/>
    </row>
    <row r="1232" spans="2:2">
      <c r="B1232" s="1"/>
    </row>
    <row r="1233" spans="2:2">
      <c r="B1233" s="1"/>
    </row>
    <row r="1234" spans="2:2">
      <c r="B1234" s="1"/>
    </row>
    <row r="1235" spans="2:2">
      <c r="B1235" s="1"/>
    </row>
    <row r="1236" spans="2:2">
      <c r="B1236" s="1"/>
    </row>
    <row r="1237" spans="2:2">
      <c r="B1237" s="1"/>
    </row>
    <row r="1238" spans="2:2">
      <c r="B1238" s="1"/>
    </row>
    <row r="1239" spans="2:2">
      <c r="B1239" s="1"/>
    </row>
    <row r="1240" spans="2:2">
      <c r="B1240" s="1"/>
    </row>
    <row r="1241" spans="2:2">
      <c r="B1241" s="1"/>
    </row>
    <row r="1242" spans="2:2">
      <c r="B1242" s="1"/>
    </row>
    <row r="1243" spans="2:2">
      <c r="B1243" s="1"/>
    </row>
    <row r="1244" spans="2:2">
      <c r="B1244" s="1"/>
    </row>
    <row r="1245" spans="2:2">
      <c r="B1245" s="1"/>
    </row>
    <row r="1246" spans="2:2">
      <c r="B1246" s="1"/>
    </row>
    <row r="1247" spans="2:2">
      <c r="B1247" s="1"/>
    </row>
    <row r="1248" spans="2:2">
      <c r="B1248" s="1"/>
    </row>
    <row r="1249" spans="2:2">
      <c r="B1249" s="1"/>
    </row>
    <row r="1250" spans="2:2">
      <c r="B1250" s="1"/>
    </row>
    <row r="1251" spans="2:2">
      <c r="B1251" s="1"/>
    </row>
    <row r="1252" spans="2:2">
      <c r="B1252" s="1"/>
    </row>
    <row r="1253" spans="2:2">
      <c r="B1253" s="1"/>
    </row>
    <row r="1254" spans="2:2">
      <c r="B1254" s="1"/>
    </row>
    <row r="1255" spans="2:2">
      <c r="B1255" s="1"/>
    </row>
    <row r="1256" spans="2:2">
      <c r="B1256" s="1"/>
    </row>
    <row r="1257" spans="2:2">
      <c r="B1257" s="1"/>
    </row>
    <row r="1258" spans="2:2">
      <c r="B1258" s="1"/>
    </row>
    <row r="1259" spans="2:2">
      <c r="B1259" s="1"/>
    </row>
    <row r="1260" spans="2:2">
      <c r="B1260" s="1"/>
    </row>
    <row r="1261" spans="2:2">
      <c r="B1261" s="1"/>
    </row>
    <row r="1262" spans="2:2">
      <c r="B1262" s="1"/>
    </row>
    <row r="1263" spans="2:2">
      <c r="B1263" s="1"/>
    </row>
    <row r="1264" spans="2:2">
      <c r="B1264" s="1"/>
    </row>
    <row r="1265" spans="2:2">
      <c r="B1265" s="1"/>
    </row>
    <row r="1266" spans="2:2">
      <c r="B1266" s="1"/>
    </row>
    <row r="1267" spans="2:2">
      <c r="B1267" s="1"/>
    </row>
    <row r="1268" spans="2:2">
      <c r="B1268" s="1"/>
    </row>
    <row r="1269" spans="2:2">
      <c r="B1269" s="1"/>
    </row>
    <row r="1270" spans="2:2">
      <c r="B1270" s="1"/>
    </row>
    <row r="1271" spans="2:2">
      <c r="B1271" s="1"/>
    </row>
    <row r="1272" spans="2:2">
      <c r="B1272" s="1"/>
    </row>
    <row r="1273" spans="2:2">
      <c r="B1273" s="1"/>
    </row>
    <row r="1274" spans="2:2">
      <c r="B1274" s="1"/>
    </row>
    <row r="1275" spans="2:2">
      <c r="B1275" s="1"/>
    </row>
    <row r="1276" spans="2:2">
      <c r="B1276" s="1"/>
    </row>
    <row r="1277" spans="2:2">
      <c r="B1277" s="1"/>
    </row>
    <row r="1278" spans="2:2">
      <c r="B1278" s="1"/>
    </row>
    <row r="1279" spans="2:2">
      <c r="B1279" s="1"/>
    </row>
    <row r="1280" spans="2:2">
      <c r="B1280" s="1"/>
    </row>
    <row r="1281" spans="2:2">
      <c r="B1281" s="1"/>
    </row>
    <row r="1282" spans="2:2">
      <c r="B1282" s="1"/>
    </row>
    <row r="1283" spans="2:2">
      <c r="B1283" s="1"/>
    </row>
    <row r="1284" spans="2:2">
      <c r="B1284" s="1"/>
    </row>
    <row r="1285" spans="2:2">
      <c r="B1285" s="1"/>
    </row>
    <row r="1286" spans="2:2">
      <c r="B1286" s="1"/>
    </row>
    <row r="1287" spans="2:2">
      <c r="B1287" s="1"/>
    </row>
    <row r="1288" spans="2:2">
      <c r="B1288" s="1"/>
    </row>
    <row r="1289" spans="2:2">
      <c r="B1289" s="1"/>
    </row>
    <row r="1290" spans="2:2">
      <c r="B1290" s="1"/>
    </row>
    <row r="1291" spans="2:2">
      <c r="B1291" s="1"/>
    </row>
    <row r="1292" spans="2:2">
      <c r="B1292" s="1"/>
    </row>
    <row r="1293" spans="2:2">
      <c r="B1293" s="1"/>
    </row>
    <row r="1294" spans="2:2">
      <c r="B1294" s="1"/>
    </row>
    <row r="1295" spans="2:2">
      <c r="B1295" s="1"/>
    </row>
    <row r="1296" spans="2:2">
      <c r="B1296" s="1"/>
    </row>
    <row r="1297" spans="2:2">
      <c r="B1297" s="1"/>
    </row>
    <row r="1298" spans="2:2">
      <c r="B1298" s="1"/>
    </row>
    <row r="1299" spans="2:2">
      <c r="B1299" s="1"/>
    </row>
    <row r="1300" spans="2:2">
      <c r="B1300" s="1"/>
    </row>
    <row r="1301" spans="2:2">
      <c r="B1301" s="1"/>
    </row>
    <row r="1302" spans="2:2">
      <c r="B1302" s="1"/>
    </row>
    <row r="1303" spans="2:2">
      <c r="B1303" s="1"/>
    </row>
    <row r="1304" spans="2:2">
      <c r="B1304" s="1"/>
    </row>
    <row r="1305" spans="2:2">
      <c r="B1305" s="1"/>
    </row>
    <row r="1306" spans="2:2">
      <c r="B1306" s="1"/>
    </row>
    <row r="1307" spans="2:2">
      <c r="B1307" s="1"/>
    </row>
    <row r="1308" spans="2:2">
      <c r="B1308" s="1"/>
    </row>
    <row r="1309" spans="2:2">
      <c r="B1309" s="1"/>
    </row>
    <row r="1310" spans="2:2">
      <c r="B1310" s="1"/>
    </row>
    <row r="1311" spans="2:2">
      <c r="B1311" s="1"/>
    </row>
    <row r="1312" spans="2:2">
      <c r="B1312" s="1"/>
    </row>
    <row r="1313" spans="2:2">
      <c r="B1313" s="1"/>
    </row>
    <row r="1314" spans="2:2">
      <c r="B1314" s="1"/>
    </row>
    <row r="1315" spans="2:2">
      <c r="B1315" s="1"/>
    </row>
    <row r="1316" spans="2:2">
      <c r="B1316" s="1"/>
    </row>
    <row r="1317" spans="2:2">
      <c r="B1317" s="1"/>
    </row>
    <row r="1318" spans="2:2">
      <c r="B1318" s="1"/>
    </row>
    <row r="1319" spans="2:2">
      <c r="B1319" s="1"/>
    </row>
    <row r="1320" spans="2:2">
      <c r="B1320" s="1"/>
    </row>
    <row r="1321" spans="2:2">
      <c r="B1321" s="1"/>
    </row>
    <row r="1322" spans="2:2">
      <c r="B1322" s="1"/>
    </row>
    <row r="1323" spans="2:2">
      <c r="B1323" s="1"/>
    </row>
    <row r="1324" spans="2:2">
      <c r="B1324" s="1"/>
    </row>
    <row r="1325" spans="2:2">
      <c r="B1325" s="1"/>
    </row>
    <row r="1326" spans="2:2">
      <c r="B1326" s="1"/>
    </row>
    <row r="1327" spans="2:2">
      <c r="B1327" s="1"/>
    </row>
    <row r="1328" spans="2:2">
      <c r="B1328" s="1"/>
    </row>
    <row r="1329" spans="2:2">
      <c r="B1329" s="1"/>
    </row>
    <row r="1330" spans="2:2">
      <c r="B1330" s="1"/>
    </row>
    <row r="1331" spans="2:2">
      <c r="B1331" s="1"/>
    </row>
    <row r="1332" spans="2:2">
      <c r="B1332" s="1"/>
    </row>
    <row r="1333" spans="2:2">
      <c r="B1333" s="1"/>
    </row>
    <row r="1334" spans="2:2">
      <c r="B1334" s="1"/>
    </row>
    <row r="1335" spans="2:2">
      <c r="B1335" s="1"/>
    </row>
    <row r="1336" spans="2:2">
      <c r="B1336" s="1"/>
    </row>
    <row r="1337" spans="2:2">
      <c r="B1337" s="1"/>
    </row>
    <row r="1338" spans="2:2">
      <c r="B1338" s="1"/>
    </row>
    <row r="1339" spans="2:2">
      <c r="B1339" s="1"/>
    </row>
    <row r="1340" spans="2:2">
      <c r="B1340" s="1"/>
    </row>
    <row r="1341" spans="2:2">
      <c r="B1341" s="1"/>
    </row>
    <row r="1342" spans="2:2">
      <c r="B1342" s="1"/>
    </row>
    <row r="1343" spans="2:2">
      <c r="B1343" s="1"/>
    </row>
    <row r="1344" spans="2:2">
      <c r="B1344" s="1"/>
    </row>
    <row r="1345" spans="2:2">
      <c r="B1345" s="1"/>
    </row>
    <row r="1346" spans="2:2">
      <c r="B1346" s="1"/>
    </row>
    <row r="1347" spans="2:2">
      <c r="B1347" s="1"/>
    </row>
    <row r="1348" spans="2:2">
      <c r="B1348" s="1"/>
    </row>
    <row r="1349" spans="2:2">
      <c r="B1349" s="1"/>
    </row>
    <row r="1350" spans="2:2">
      <c r="B1350" s="1"/>
    </row>
    <row r="1351" spans="2:2">
      <c r="B1351" s="1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23"/>
  <sheetViews>
    <sheetView workbookViewId="0">
      <selection activeCell="J14" sqref="J14"/>
    </sheetView>
  </sheetViews>
  <sheetFormatPr defaultRowHeight="17.100000000000001"/>
  <cols>
    <col min="1" max="1" width="9" style="1"/>
    <col min="2" max="2" width="9" style="275"/>
    <col min="3" max="3" width="11.875" style="1" customWidth="1"/>
    <col min="4" max="9" width="9" style="1"/>
    <col min="10" max="10" width="11.25" style="1" customWidth="1"/>
    <col min="11" max="15" width="9" style="1"/>
  </cols>
  <sheetData>
    <row r="1" spans="1:17">
      <c r="A1" s="1" t="s">
        <v>1277</v>
      </c>
      <c r="B1" s="1" t="s">
        <v>361</v>
      </c>
      <c r="C1" s="1" t="s">
        <v>1278</v>
      </c>
      <c r="D1" s="1" t="s">
        <v>1279</v>
      </c>
      <c r="E1" s="1" t="s">
        <v>1280</v>
      </c>
      <c r="F1" s="1" t="s">
        <v>1281</v>
      </c>
      <c r="G1" s="1" t="s">
        <v>1282</v>
      </c>
      <c r="H1" s="1" t="s">
        <v>1283</v>
      </c>
      <c r="I1" s="1" t="s">
        <v>1284</v>
      </c>
      <c r="J1" s="1" t="s">
        <v>1285</v>
      </c>
      <c r="K1" s="1" t="s">
        <v>1286</v>
      </c>
      <c r="L1" s="1" t="s">
        <v>1287</v>
      </c>
      <c r="M1" s="1" t="s">
        <v>1288</v>
      </c>
      <c r="N1" s="1" t="s">
        <v>1289</v>
      </c>
      <c r="O1" s="1" t="s">
        <v>839</v>
      </c>
    </row>
    <row r="2" spans="1:17">
      <c r="A2" s="1" t="s">
        <v>1303</v>
      </c>
      <c r="B2" s="275" t="s">
        <v>364</v>
      </c>
      <c r="C2" s="1" t="s">
        <v>908</v>
      </c>
      <c r="D2" s="1" t="s">
        <v>852</v>
      </c>
      <c r="E2" s="1" t="s">
        <v>841</v>
      </c>
      <c r="F2" s="1" t="s">
        <v>846</v>
      </c>
      <c r="G2" s="1" t="s">
        <v>908</v>
      </c>
      <c r="H2" s="1" t="s">
        <v>846</v>
      </c>
      <c r="I2" s="1" t="s">
        <v>850</v>
      </c>
      <c r="J2" s="1" t="s">
        <v>848</v>
      </c>
      <c r="K2" s="1" t="s">
        <v>842</v>
      </c>
      <c r="L2" s="1" t="s">
        <v>864</v>
      </c>
      <c r="M2" s="1" t="s">
        <v>842</v>
      </c>
      <c r="N2" s="1" t="s">
        <v>840</v>
      </c>
      <c r="O2" s="1" t="s">
        <v>841</v>
      </c>
      <c r="P2" s="502"/>
      <c r="Q2" s="502"/>
    </row>
    <row r="3" spans="1:17">
      <c r="A3" s="1" t="s">
        <v>1303</v>
      </c>
      <c r="B3" s="275" t="s">
        <v>398</v>
      </c>
      <c r="C3" s="1" t="s">
        <v>848</v>
      </c>
      <c r="D3" s="1" t="s">
        <v>842</v>
      </c>
      <c r="E3" s="1" t="s">
        <v>841</v>
      </c>
      <c r="F3" s="1" t="s">
        <v>841</v>
      </c>
      <c r="G3" s="1" t="s">
        <v>852</v>
      </c>
      <c r="H3" s="1" t="s">
        <v>841</v>
      </c>
      <c r="I3" s="1" t="s">
        <v>844</v>
      </c>
      <c r="J3" s="1" t="s">
        <v>844</v>
      </c>
      <c r="K3" s="1" t="s">
        <v>857</v>
      </c>
      <c r="L3" s="1" t="s">
        <v>848</v>
      </c>
      <c r="M3" s="1" t="s">
        <v>842</v>
      </c>
      <c r="N3" s="1" t="s">
        <v>840</v>
      </c>
      <c r="O3" s="1" t="s">
        <v>851</v>
      </c>
      <c r="P3" s="502"/>
      <c r="Q3" s="502"/>
    </row>
    <row r="4" spans="1:17">
      <c r="A4" s="1" t="s">
        <v>1303</v>
      </c>
      <c r="B4" s="275" t="s">
        <v>429</v>
      </c>
      <c r="C4" s="1" t="s">
        <v>867</v>
      </c>
      <c r="D4" s="1" t="s">
        <v>893</v>
      </c>
      <c r="E4" s="1" t="s">
        <v>867</v>
      </c>
      <c r="F4" s="1" t="s">
        <v>867</v>
      </c>
      <c r="G4" s="1" t="s">
        <v>867</v>
      </c>
      <c r="H4" s="1" t="s">
        <v>891</v>
      </c>
      <c r="I4" s="1" t="s">
        <v>868</v>
      </c>
      <c r="J4" s="1" t="s">
        <v>867</v>
      </c>
      <c r="K4" s="1" t="s">
        <v>867</v>
      </c>
      <c r="L4" s="1" t="s">
        <v>867</v>
      </c>
      <c r="M4" s="1" t="s">
        <v>869</v>
      </c>
      <c r="N4" s="1" t="s">
        <v>840</v>
      </c>
      <c r="O4" s="1" t="s">
        <v>868</v>
      </c>
      <c r="P4" s="502"/>
      <c r="Q4" s="502"/>
    </row>
    <row r="5" spans="1:17">
      <c r="A5" s="1" t="s">
        <v>1303</v>
      </c>
      <c r="B5" s="275" t="s">
        <v>458</v>
      </c>
      <c r="C5" s="1" t="s">
        <v>888</v>
      </c>
      <c r="D5" s="1" t="s">
        <v>948</v>
      </c>
      <c r="E5" s="1" t="s">
        <v>1679</v>
      </c>
      <c r="F5" s="1" t="s">
        <v>1680</v>
      </c>
      <c r="G5" s="1" t="s">
        <v>856</v>
      </c>
      <c r="H5" s="1" t="s">
        <v>849</v>
      </c>
      <c r="I5" s="1" t="s">
        <v>898</v>
      </c>
      <c r="J5" s="1" t="s">
        <v>968</v>
      </c>
      <c r="K5" s="1" t="s">
        <v>860</v>
      </c>
      <c r="L5" s="1" t="s">
        <v>948</v>
      </c>
      <c r="M5" s="1" t="s">
        <v>944</v>
      </c>
      <c r="N5" s="1" t="s">
        <v>840</v>
      </c>
      <c r="O5" s="1" t="s">
        <v>1681</v>
      </c>
      <c r="P5" s="502"/>
      <c r="Q5" s="502"/>
    </row>
    <row r="6" spans="1:17">
      <c r="A6" s="1" t="s">
        <v>1303</v>
      </c>
      <c r="B6" s="275" t="s">
        <v>488</v>
      </c>
      <c r="C6" s="1" t="s">
        <v>890</v>
      </c>
      <c r="D6" s="1" t="s">
        <v>895</v>
      </c>
      <c r="E6" s="1" t="s">
        <v>890</v>
      </c>
      <c r="F6" s="1" t="s">
        <v>891</v>
      </c>
      <c r="G6" s="1" t="s">
        <v>895</v>
      </c>
      <c r="H6" s="1" t="s">
        <v>890</v>
      </c>
      <c r="I6" s="1" t="s">
        <v>893</v>
      </c>
      <c r="J6" s="1" t="s">
        <v>895</v>
      </c>
      <c r="K6" s="1" t="s">
        <v>895</v>
      </c>
      <c r="L6" s="1" t="s">
        <v>896</v>
      </c>
      <c r="M6" s="1" t="s">
        <v>895</v>
      </c>
      <c r="N6" s="1" t="s">
        <v>840</v>
      </c>
      <c r="O6" s="1" t="s">
        <v>890</v>
      </c>
      <c r="P6" s="502"/>
      <c r="Q6" s="502"/>
    </row>
    <row r="7" spans="1:17">
      <c r="A7" s="1" t="s">
        <v>1303</v>
      </c>
      <c r="B7" s="275" t="s">
        <v>521</v>
      </c>
      <c r="C7" s="1" t="s">
        <v>840</v>
      </c>
      <c r="D7" s="1" t="s">
        <v>840</v>
      </c>
      <c r="E7" s="1" t="s">
        <v>840</v>
      </c>
      <c r="F7" s="1" t="s">
        <v>840</v>
      </c>
      <c r="G7" s="1" t="s">
        <v>840</v>
      </c>
      <c r="H7" s="1" t="s">
        <v>840</v>
      </c>
      <c r="I7" s="1" t="s">
        <v>840</v>
      </c>
      <c r="J7" s="1" t="s">
        <v>840</v>
      </c>
      <c r="K7" s="1" t="s">
        <v>840</v>
      </c>
      <c r="L7" s="1" t="s">
        <v>840</v>
      </c>
      <c r="M7" s="1" t="s">
        <v>840</v>
      </c>
      <c r="N7" s="1" t="s">
        <v>840</v>
      </c>
      <c r="O7" s="1" t="s">
        <v>840</v>
      </c>
      <c r="P7" s="502"/>
      <c r="Q7" s="502"/>
    </row>
    <row r="8" spans="1:17">
      <c r="A8" s="1" t="s">
        <v>1303</v>
      </c>
      <c r="B8" s="275" t="s">
        <v>523</v>
      </c>
      <c r="C8" s="1" t="s">
        <v>865</v>
      </c>
      <c r="D8" s="1" t="s">
        <v>847</v>
      </c>
      <c r="E8" s="1" t="s">
        <v>865</v>
      </c>
      <c r="F8" s="1" t="s">
        <v>845</v>
      </c>
      <c r="G8" s="1" t="s">
        <v>850</v>
      </c>
      <c r="H8" s="1" t="s">
        <v>852</v>
      </c>
      <c r="I8" s="1" t="s">
        <v>860</v>
      </c>
      <c r="J8" s="1" t="s">
        <v>908</v>
      </c>
      <c r="K8" s="1" t="s">
        <v>856</v>
      </c>
      <c r="L8" s="1" t="s">
        <v>908</v>
      </c>
      <c r="M8" s="1" t="s">
        <v>893</v>
      </c>
      <c r="N8" s="1" t="s">
        <v>840</v>
      </c>
      <c r="O8" s="1" t="s">
        <v>844</v>
      </c>
      <c r="P8" s="502"/>
      <c r="Q8" s="502"/>
    </row>
    <row r="9" spans="1:17">
      <c r="A9" s="1" t="s">
        <v>1303</v>
      </c>
      <c r="B9" s="275" t="s">
        <v>901</v>
      </c>
      <c r="C9" s="1" t="s">
        <v>857</v>
      </c>
      <c r="D9" s="1" t="s">
        <v>1682</v>
      </c>
      <c r="E9" s="1" t="s">
        <v>1683</v>
      </c>
      <c r="F9" s="1" t="s">
        <v>1684</v>
      </c>
      <c r="G9" s="1" t="s">
        <v>863</v>
      </c>
      <c r="H9" s="1" t="s">
        <v>865</v>
      </c>
      <c r="I9" s="1" t="s">
        <v>1681</v>
      </c>
      <c r="J9" s="1" t="s">
        <v>895</v>
      </c>
      <c r="K9" s="1" t="s">
        <v>853</v>
      </c>
      <c r="L9" s="1" t="s">
        <v>849</v>
      </c>
      <c r="M9" s="1" t="s">
        <v>851</v>
      </c>
      <c r="N9" s="1" t="s">
        <v>840</v>
      </c>
      <c r="O9" s="1" t="s">
        <v>936</v>
      </c>
      <c r="P9" s="502"/>
      <c r="Q9" s="502"/>
    </row>
    <row r="10" spans="1:17">
      <c r="A10" s="1" t="s">
        <v>1303</v>
      </c>
      <c r="B10" s="275" t="s">
        <v>907</v>
      </c>
      <c r="C10" s="1" t="s">
        <v>852</v>
      </c>
      <c r="D10" s="1" t="s">
        <v>850</v>
      </c>
      <c r="E10" s="1" t="s">
        <v>841</v>
      </c>
      <c r="F10" s="1" t="s">
        <v>908</v>
      </c>
      <c r="G10" s="1" t="s">
        <v>852</v>
      </c>
      <c r="H10" s="1" t="s">
        <v>908</v>
      </c>
      <c r="I10" s="1" t="s">
        <v>841</v>
      </c>
      <c r="J10" s="1" t="s">
        <v>851</v>
      </c>
      <c r="K10" s="1" t="s">
        <v>844</v>
      </c>
      <c r="L10" s="1" t="s">
        <v>855</v>
      </c>
      <c r="M10" s="1" t="s">
        <v>844</v>
      </c>
      <c r="N10" s="1" t="s">
        <v>840</v>
      </c>
      <c r="O10" s="1" t="s">
        <v>844</v>
      </c>
      <c r="P10" s="502"/>
      <c r="Q10" s="502"/>
    </row>
    <row r="11" spans="1:17">
      <c r="A11" s="1" t="s">
        <v>1303</v>
      </c>
      <c r="B11" s="275" t="s">
        <v>909</v>
      </c>
      <c r="C11" s="1" t="s">
        <v>846</v>
      </c>
      <c r="D11" s="1" t="s">
        <v>891</v>
      </c>
      <c r="E11" s="1" t="s">
        <v>868</v>
      </c>
      <c r="F11" s="1" t="s">
        <v>867</v>
      </c>
      <c r="G11" s="1" t="s">
        <v>867</v>
      </c>
      <c r="H11" s="1" t="s">
        <v>868</v>
      </c>
      <c r="I11" s="1" t="s">
        <v>867</v>
      </c>
      <c r="J11" s="1" t="s">
        <v>869</v>
      </c>
      <c r="K11" s="1" t="s">
        <v>867</v>
      </c>
      <c r="L11" s="1" t="s">
        <v>867</v>
      </c>
      <c r="M11" s="1" t="s">
        <v>868</v>
      </c>
      <c r="N11" s="1" t="s">
        <v>840</v>
      </c>
      <c r="O11" s="1" t="s">
        <v>892</v>
      </c>
      <c r="P11" s="502"/>
      <c r="Q11" s="502"/>
    </row>
    <row r="12" spans="1:17">
      <c r="A12" s="1" t="s">
        <v>1303</v>
      </c>
      <c r="B12" s="275" t="s">
        <v>910</v>
      </c>
      <c r="C12" s="1" t="s">
        <v>842</v>
      </c>
      <c r="D12" s="1" t="s">
        <v>956</v>
      </c>
      <c r="E12" s="1" t="s">
        <v>897</v>
      </c>
      <c r="F12" s="1" t="s">
        <v>968</v>
      </c>
      <c r="G12" s="1" t="s">
        <v>1685</v>
      </c>
      <c r="H12" s="1" t="s">
        <v>873</v>
      </c>
      <c r="I12" s="1" t="s">
        <v>1686</v>
      </c>
      <c r="J12" s="1" t="s">
        <v>1681</v>
      </c>
      <c r="K12" s="1" t="s">
        <v>1687</v>
      </c>
      <c r="L12" s="1" t="s">
        <v>1688</v>
      </c>
      <c r="M12" s="1" t="s">
        <v>914</v>
      </c>
      <c r="N12" s="1" t="s">
        <v>840</v>
      </c>
      <c r="O12" s="1" t="s">
        <v>948</v>
      </c>
      <c r="P12" s="502"/>
      <c r="Q12" s="502"/>
    </row>
    <row r="13" spans="1:17">
      <c r="A13" s="1" t="s">
        <v>1303</v>
      </c>
      <c r="B13" s="275" t="s">
        <v>918</v>
      </c>
      <c r="C13" s="1" t="s">
        <v>970</v>
      </c>
      <c r="D13" s="1" t="s">
        <v>921</v>
      </c>
      <c r="E13" s="1" t="s">
        <v>849</v>
      </c>
      <c r="F13" s="1" t="s">
        <v>857</v>
      </c>
      <c r="G13" s="1" t="s">
        <v>849</v>
      </c>
      <c r="H13" s="1" t="s">
        <v>853</v>
      </c>
      <c r="I13" s="1" t="s">
        <v>849</v>
      </c>
      <c r="J13" s="1" t="s">
        <v>856</v>
      </c>
      <c r="K13" s="1" t="s">
        <v>843</v>
      </c>
      <c r="L13" s="1" t="s">
        <v>862</v>
      </c>
      <c r="M13" s="1" t="s">
        <v>849</v>
      </c>
      <c r="N13" s="1" t="s">
        <v>840</v>
      </c>
      <c r="O13" s="1" t="s">
        <v>854</v>
      </c>
      <c r="P13" s="502"/>
      <c r="Q13" s="502"/>
    </row>
    <row r="14" spans="1:17">
      <c r="A14" s="1" t="s">
        <v>1303</v>
      </c>
      <c r="B14" s="275" t="s">
        <v>920</v>
      </c>
      <c r="C14" s="1" t="s">
        <v>864</v>
      </c>
      <c r="D14" s="1" t="s">
        <v>1689</v>
      </c>
      <c r="E14" s="1" t="s">
        <v>844</v>
      </c>
      <c r="F14" s="1" t="s">
        <v>1690</v>
      </c>
      <c r="G14" s="1" t="s">
        <v>860</v>
      </c>
      <c r="H14" s="1" t="s">
        <v>860</v>
      </c>
      <c r="I14" s="1" t="s">
        <v>859</v>
      </c>
      <c r="J14" s="1" t="s">
        <v>923</v>
      </c>
      <c r="K14" s="1" t="s">
        <v>1691</v>
      </c>
      <c r="L14" s="1" t="s">
        <v>843</v>
      </c>
      <c r="M14" s="1" t="s">
        <v>845</v>
      </c>
      <c r="N14" s="1" t="s">
        <v>840</v>
      </c>
      <c r="O14" s="1" t="s">
        <v>921</v>
      </c>
      <c r="P14" s="502"/>
      <c r="Q14" s="502"/>
    </row>
    <row r="15" spans="1:17">
      <c r="A15" s="1" t="s">
        <v>1303</v>
      </c>
      <c r="B15" s="275" t="s">
        <v>927</v>
      </c>
      <c r="C15" s="1" t="s">
        <v>840</v>
      </c>
      <c r="D15" s="1" t="s">
        <v>840</v>
      </c>
      <c r="E15" s="1" t="s">
        <v>1692</v>
      </c>
      <c r="F15" s="1" t="s">
        <v>840</v>
      </c>
      <c r="G15" s="1" t="s">
        <v>867</v>
      </c>
      <c r="H15" s="1" t="s">
        <v>840</v>
      </c>
      <c r="I15" s="1" t="s">
        <v>840</v>
      </c>
      <c r="J15" s="1" t="s">
        <v>1693</v>
      </c>
      <c r="K15" s="1" t="s">
        <v>840</v>
      </c>
      <c r="L15" s="1" t="s">
        <v>840</v>
      </c>
      <c r="M15" s="1" t="s">
        <v>840</v>
      </c>
      <c r="N15" s="1" t="s">
        <v>840</v>
      </c>
      <c r="O15" s="1" t="s">
        <v>1694</v>
      </c>
      <c r="P15" s="502"/>
      <c r="Q15" s="502"/>
    </row>
    <row r="16" spans="1:17">
      <c r="A16" s="1" t="s">
        <v>1303</v>
      </c>
      <c r="B16" s="275" t="s">
        <v>928</v>
      </c>
      <c r="C16" s="1" t="s">
        <v>855</v>
      </c>
      <c r="D16" s="1" t="s">
        <v>849</v>
      </c>
      <c r="E16" s="1" t="s">
        <v>842</v>
      </c>
      <c r="F16" s="1" t="s">
        <v>851</v>
      </c>
      <c r="G16" s="1" t="s">
        <v>842</v>
      </c>
      <c r="H16" s="1" t="s">
        <v>851</v>
      </c>
      <c r="I16" s="1" t="s">
        <v>847</v>
      </c>
      <c r="J16" s="1" t="s">
        <v>864</v>
      </c>
      <c r="K16" s="1" t="s">
        <v>853</v>
      </c>
      <c r="L16" s="1" t="s">
        <v>843</v>
      </c>
      <c r="M16" s="1" t="s">
        <v>848</v>
      </c>
      <c r="N16" s="1" t="s">
        <v>840</v>
      </c>
      <c r="O16" s="1" t="s">
        <v>843</v>
      </c>
      <c r="P16" s="502"/>
      <c r="Q16" s="502"/>
    </row>
    <row r="17" spans="1:17">
      <c r="A17" s="1" t="s">
        <v>1303</v>
      </c>
      <c r="B17" s="275" t="s">
        <v>929</v>
      </c>
      <c r="C17" s="1" t="s">
        <v>840</v>
      </c>
      <c r="D17" s="1" t="s">
        <v>840</v>
      </c>
      <c r="E17" s="1" t="s">
        <v>840</v>
      </c>
      <c r="F17" s="1" t="s">
        <v>840</v>
      </c>
      <c r="G17" s="1" t="s">
        <v>840</v>
      </c>
      <c r="H17" s="1" t="s">
        <v>840</v>
      </c>
      <c r="I17" s="1" t="s">
        <v>840</v>
      </c>
      <c r="J17" s="1" t="s">
        <v>840</v>
      </c>
      <c r="K17" s="1" t="s">
        <v>840</v>
      </c>
      <c r="L17" s="1" t="s">
        <v>840</v>
      </c>
      <c r="M17" s="1" t="s">
        <v>840</v>
      </c>
      <c r="N17" s="1" t="s">
        <v>840</v>
      </c>
      <c r="O17" s="1" t="s">
        <v>840</v>
      </c>
      <c r="P17" s="502"/>
      <c r="Q17" s="502"/>
    </row>
    <row r="18" spans="1:17">
      <c r="A18" s="1" t="s">
        <v>1303</v>
      </c>
      <c r="B18" s="275" t="s">
        <v>930</v>
      </c>
      <c r="C18" s="1" t="s">
        <v>840</v>
      </c>
      <c r="D18" s="1" t="s">
        <v>840</v>
      </c>
      <c r="E18" s="1" t="s">
        <v>840</v>
      </c>
      <c r="F18" s="1" t="s">
        <v>840</v>
      </c>
      <c r="G18" s="1" t="s">
        <v>840</v>
      </c>
      <c r="H18" s="1" t="s">
        <v>840</v>
      </c>
      <c r="I18" s="1" t="s">
        <v>840</v>
      </c>
      <c r="J18" s="1" t="s">
        <v>840</v>
      </c>
      <c r="K18" s="1" t="s">
        <v>840</v>
      </c>
      <c r="L18" s="1" t="s">
        <v>840</v>
      </c>
      <c r="M18" s="1" t="s">
        <v>840</v>
      </c>
      <c r="N18" s="1" t="s">
        <v>840</v>
      </c>
      <c r="O18" s="1" t="s">
        <v>840</v>
      </c>
      <c r="P18" s="502"/>
      <c r="Q18" s="502"/>
    </row>
    <row r="19" spans="1:17">
      <c r="A19" s="1" t="s">
        <v>1303</v>
      </c>
      <c r="B19" s="275" t="s">
        <v>931</v>
      </c>
      <c r="C19" s="1" t="s">
        <v>840</v>
      </c>
      <c r="D19" s="1" t="s">
        <v>840</v>
      </c>
      <c r="E19" s="1" t="s">
        <v>840</v>
      </c>
      <c r="F19" s="1" t="s">
        <v>840</v>
      </c>
      <c r="G19" s="1" t="s">
        <v>840</v>
      </c>
      <c r="H19" s="1" t="s">
        <v>840</v>
      </c>
      <c r="I19" s="1" t="s">
        <v>840</v>
      </c>
      <c r="J19" s="1" t="s">
        <v>840</v>
      </c>
      <c r="K19" s="1" t="s">
        <v>840</v>
      </c>
      <c r="L19" s="1" t="s">
        <v>840</v>
      </c>
      <c r="M19" s="1" t="s">
        <v>840</v>
      </c>
      <c r="N19" s="1" t="s">
        <v>840</v>
      </c>
      <c r="O19" s="1" t="s">
        <v>840</v>
      </c>
      <c r="P19" s="502"/>
      <c r="Q19" s="502"/>
    </row>
    <row r="20" spans="1:17">
      <c r="A20" s="1" t="s">
        <v>1303</v>
      </c>
      <c r="B20" s="275" t="s">
        <v>932</v>
      </c>
      <c r="C20" s="1" t="s">
        <v>840</v>
      </c>
      <c r="D20" s="1" t="s">
        <v>840</v>
      </c>
      <c r="E20" s="1" t="s">
        <v>840</v>
      </c>
      <c r="F20" s="1" t="s">
        <v>840</v>
      </c>
      <c r="G20" s="1" t="s">
        <v>840</v>
      </c>
      <c r="H20" s="1" t="s">
        <v>840</v>
      </c>
      <c r="I20" s="1" t="s">
        <v>840</v>
      </c>
      <c r="J20" s="1" t="s">
        <v>840</v>
      </c>
      <c r="K20" s="1" t="s">
        <v>840</v>
      </c>
      <c r="L20" s="1" t="s">
        <v>840</v>
      </c>
      <c r="M20" s="1" t="s">
        <v>840</v>
      </c>
      <c r="N20" s="1" t="s">
        <v>840</v>
      </c>
      <c r="O20" s="1" t="s">
        <v>840</v>
      </c>
      <c r="P20" s="502"/>
      <c r="Q20" s="502"/>
    </row>
    <row r="21" spans="1:17">
      <c r="A21" s="1" t="s">
        <v>1303</v>
      </c>
      <c r="B21" s="275" t="s">
        <v>933</v>
      </c>
      <c r="C21" s="1" t="s">
        <v>867</v>
      </c>
      <c r="D21" s="1" t="s">
        <v>867</v>
      </c>
      <c r="E21" s="1" t="s">
        <v>867</v>
      </c>
      <c r="F21" s="1" t="s">
        <v>867</v>
      </c>
      <c r="G21" s="1" t="s">
        <v>867</v>
      </c>
      <c r="H21" s="1" t="s">
        <v>867</v>
      </c>
      <c r="I21" s="1" t="s">
        <v>867</v>
      </c>
      <c r="J21" s="1" t="s">
        <v>880</v>
      </c>
      <c r="K21" s="1" t="s">
        <v>1695</v>
      </c>
      <c r="L21" s="1" t="s">
        <v>892</v>
      </c>
      <c r="M21" s="1" t="s">
        <v>1696</v>
      </c>
      <c r="N21" s="1" t="s">
        <v>840</v>
      </c>
      <c r="O21" s="1" t="s">
        <v>957</v>
      </c>
      <c r="P21" s="502"/>
      <c r="Q21" s="502"/>
    </row>
    <row r="22" spans="1:17">
      <c r="A22" s="1" t="s">
        <v>1303</v>
      </c>
      <c r="B22" s="275" t="s">
        <v>934</v>
      </c>
      <c r="C22" s="1" t="s">
        <v>840</v>
      </c>
      <c r="D22" s="1" t="s">
        <v>840</v>
      </c>
      <c r="E22" s="1" t="s">
        <v>840</v>
      </c>
      <c r="F22" s="1" t="s">
        <v>840</v>
      </c>
      <c r="G22" s="1" t="s">
        <v>840</v>
      </c>
      <c r="H22" s="1" t="s">
        <v>840</v>
      </c>
      <c r="I22" s="1" t="s">
        <v>840</v>
      </c>
      <c r="J22" s="1" t="s">
        <v>840</v>
      </c>
      <c r="K22" s="1" t="s">
        <v>840</v>
      </c>
      <c r="L22" s="1" t="s">
        <v>840</v>
      </c>
      <c r="M22" s="1" t="s">
        <v>840</v>
      </c>
      <c r="N22" s="1" t="s">
        <v>840</v>
      </c>
      <c r="O22" s="1" t="s">
        <v>840</v>
      </c>
      <c r="P22" s="502"/>
    </row>
    <row r="23" spans="1:17">
      <c r="A23" s="1" t="s">
        <v>1303</v>
      </c>
      <c r="B23" s="275" t="s">
        <v>935</v>
      </c>
      <c r="C23" s="1" t="s">
        <v>1697</v>
      </c>
      <c r="D23" s="1" t="s">
        <v>939</v>
      </c>
      <c r="E23" s="1" t="s">
        <v>916</v>
      </c>
      <c r="F23" s="1" t="s">
        <v>939</v>
      </c>
      <c r="G23" s="1" t="s">
        <v>938</v>
      </c>
      <c r="H23" s="1" t="s">
        <v>1698</v>
      </c>
      <c r="I23" s="1" t="s">
        <v>1699</v>
      </c>
      <c r="J23" s="1" t="s">
        <v>1699</v>
      </c>
      <c r="K23" s="1" t="s">
        <v>917</v>
      </c>
      <c r="L23" s="1" t="s">
        <v>1700</v>
      </c>
      <c r="M23" s="1" t="s">
        <v>1690</v>
      </c>
      <c r="N23" s="1" t="s">
        <v>840</v>
      </c>
      <c r="O23" s="1" t="s">
        <v>1701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22"/>
  <sheetViews>
    <sheetView workbookViewId="0">
      <selection activeCell="D6" sqref="D6"/>
    </sheetView>
  </sheetViews>
  <sheetFormatPr defaultRowHeight="17.100000000000001"/>
  <cols>
    <col min="1" max="1" width="9" style="1"/>
    <col min="2" max="2" width="9" style="275"/>
    <col min="3" max="16" width="9" style="1"/>
  </cols>
  <sheetData>
    <row r="1" spans="1:17">
      <c r="A1" s="1" t="s">
        <v>1277</v>
      </c>
      <c r="B1" s="1" t="s">
        <v>361</v>
      </c>
      <c r="C1" s="1" t="s">
        <v>949</v>
      </c>
      <c r="D1" s="1" t="s">
        <v>1278</v>
      </c>
      <c r="E1" s="1" t="s">
        <v>1279</v>
      </c>
      <c r="F1" s="1" t="s">
        <v>1280</v>
      </c>
      <c r="G1" s="1" t="s">
        <v>1281</v>
      </c>
      <c r="H1" s="1" t="s">
        <v>1282</v>
      </c>
      <c r="I1" s="1" t="s">
        <v>1283</v>
      </c>
      <c r="J1" s="1" t="s">
        <v>1284</v>
      </c>
      <c r="K1" s="1" t="s">
        <v>1285</v>
      </c>
      <c r="L1" s="1" t="s">
        <v>1286</v>
      </c>
      <c r="M1" s="1" t="s">
        <v>1287</v>
      </c>
      <c r="N1" s="1" t="s">
        <v>1288</v>
      </c>
      <c r="O1" s="1" t="s">
        <v>1289</v>
      </c>
      <c r="P1" s="1" t="s">
        <v>839</v>
      </c>
    </row>
    <row r="2" spans="1:17">
      <c r="A2" s="1" t="s">
        <v>1303</v>
      </c>
      <c r="B2" s="275" t="s">
        <v>364</v>
      </c>
      <c r="C2" s="1" t="s">
        <v>236</v>
      </c>
      <c r="D2" s="1" t="s">
        <v>908</v>
      </c>
      <c r="E2" s="1" t="s">
        <v>845</v>
      </c>
      <c r="F2" s="1" t="s">
        <v>908</v>
      </c>
      <c r="G2" s="1" t="s">
        <v>846</v>
      </c>
      <c r="H2" s="1" t="s">
        <v>845</v>
      </c>
      <c r="I2" s="1" t="s">
        <v>846</v>
      </c>
      <c r="J2" s="1" t="s">
        <v>852</v>
      </c>
      <c r="K2" s="1" t="s">
        <v>842</v>
      </c>
      <c r="L2" s="1" t="s">
        <v>851</v>
      </c>
      <c r="M2" s="1" t="s">
        <v>843</v>
      </c>
      <c r="N2" s="1" t="s">
        <v>841</v>
      </c>
      <c r="O2" s="1" t="s">
        <v>840</v>
      </c>
      <c r="P2" s="1" t="s">
        <v>850</v>
      </c>
      <c r="Q2" s="502">
        <v>43045.229883090302</v>
      </c>
    </row>
    <row r="3" spans="1:17">
      <c r="A3" s="1" t="s">
        <v>1303</v>
      </c>
      <c r="B3" s="275" t="s">
        <v>364</v>
      </c>
      <c r="C3" s="1" t="s">
        <v>237</v>
      </c>
      <c r="D3" s="1" t="s">
        <v>865</v>
      </c>
      <c r="E3" s="1" t="s">
        <v>852</v>
      </c>
      <c r="F3" s="1" t="s">
        <v>841</v>
      </c>
      <c r="G3" s="1" t="s">
        <v>896</v>
      </c>
      <c r="H3" s="1" t="s">
        <v>846</v>
      </c>
      <c r="I3" s="1" t="s">
        <v>865</v>
      </c>
      <c r="J3" s="1" t="s">
        <v>846</v>
      </c>
      <c r="K3" s="1" t="s">
        <v>848</v>
      </c>
      <c r="L3" s="1" t="s">
        <v>850</v>
      </c>
      <c r="M3" s="1" t="s">
        <v>849</v>
      </c>
      <c r="N3" s="1" t="s">
        <v>842</v>
      </c>
      <c r="O3" s="1" t="s">
        <v>840</v>
      </c>
      <c r="P3" s="1" t="s">
        <v>850</v>
      </c>
      <c r="Q3" s="502">
        <v>43045.229883090302</v>
      </c>
    </row>
    <row r="4" spans="1:17">
      <c r="A4" s="1" t="s">
        <v>1303</v>
      </c>
      <c r="B4" s="275" t="s">
        <v>364</v>
      </c>
      <c r="C4" s="1" t="s">
        <v>950</v>
      </c>
      <c r="D4" s="1" t="s">
        <v>893</v>
      </c>
      <c r="E4" s="1" t="s">
        <v>893</v>
      </c>
      <c r="F4" s="1" t="s">
        <v>893</v>
      </c>
      <c r="G4" s="1" t="s">
        <v>890</v>
      </c>
      <c r="H4" s="1" t="s">
        <v>893</v>
      </c>
      <c r="I4" s="1" t="s">
        <v>894</v>
      </c>
      <c r="J4" s="1" t="s">
        <v>900</v>
      </c>
      <c r="K4" s="1" t="s">
        <v>896</v>
      </c>
      <c r="L4" s="1" t="s">
        <v>900</v>
      </c>
      <c r="M4" s="1" t="s">
        <v>865</v>
      </c>
      <c r="N4" s="1" t="s">
        <v>896</v>
      </c>
      <c r="O4" s="1" t="s">
        <v>840</v>
      </c>
      <c r="P4" s="1" t="s">
        <v>894</v>
      </c>
      <c r="Q4" s="502">
        <v>43045.229883090302</v>
      </c>
    </row>
    <row r="5" spans="1:17">
      <c r="A5" s="1" t="s">
        <v>1303</v>
      </c>
      <c r="B5" s="275" t="s">
        <v>364</v>
      </c>
      <c r="C5" s="1" t="s">
        <v>951</v>
      </c>
      <c r="D5" s="1" t="s">
        <v>845</v>
      </c>
      <c r="E5" s="1" t="s">
        <v>846</v>
      </c>
      <c r="F5" s="1" t="s">
        <v>852</v>
      </c>
      <c r="G5" s="1" t="s">
        <v>865</v>
      </c>
      <c r="H5" s="1" t="s">
        <v>845</v>
      </c>
      <c r="I5" s="1" t="s">
        <v>865</v>
      </c>
      <c r="J5" s="1" t="s">
        <v>908</v>
      </c>
      <c r="K5" s="1" t="s">
        <v>842</v>
      </c>
      <c r="L5" s="1" t="s">
        <v>841</v>
      </c>
      <c r="M5" s="1" t="s">
        <v>843</v>
      </c>
      <c r="N5" s="1" t="s">
        <v>841</v>
      </c>
      <c r="O5" s="1" t="s">
        <v>840</v>
      </c>
      <c r="P5" s="1" t="s">
        <v>852</v>
      </c>
      <c r="Q5" s="502">
        <v>43045.229883090302</v>
      </c>
    </row>
    <row r="6" spans="1:17">
      <c r="A6" s="1" t="s">
        <v>1303</v>
      </c>
      <c r="B6" s="275" t="s">
        <v>398</v>
      </c>
      <c r="C6" s="1" t="s">
        <v>951</v>
      </c>
      <c r="D6" s="1" t="s">
        <v>841</v>
      </c>
      <c r="E6" s="1" t="s">
        <v>908</v>
      </c>
      <c r="F6" s="1" t="s">
        <v>865</v>
      </c>
      <c r="G6" s="1" t="s">
        <v>865</v>
      </c>
      <c r="H6" s="1" t="s">
        <v>896</v>
      </c>
      <c r="I6" s="1" t="s">
        <v>865</v>
      </c>
      <c r="J6" s="1" t="s">
        <v>845</v>
      </c>
      <c r="K6" s="1" t="s">
        <v>865</v>
      </c>
      <c r="L6" s="1" t="s">
        <v>848</v>
      </c>
      <c r="M6" s="1" t="s">
        <v>841</v>
      </c>
      <c r="N6" s="1" t="s">
        <v>908</v>
      </c>
      <c r="O6" s="1" t="s">
        <v>840</v>
      </c>
      <c r="P6" s="1" t="s">
        <v>908</v>
      </c>
      <c r="Q6" s="502">
        <v>43045.229883090302</v>
      </c>
    </row>
    <row r="7" spans="1:17">
      <c r="A7" s="1" t="s">
        <v>1303</v>
      </c>
      <c r="B7" s="275" t="s">
        <v>429</v>
      </c>
      <c r="C7" s="1" t="s">
        <v>951</v>
      </c>
      <c r="D7" s="1" t="s">
        <v>869</v>
      </c>
      <c r="E7" s="1" t="s">
        <v>893</v>
      </c>
      <c r="F7" s="1" t="s">
        <v>867</v>
      </c>
      <c r="G7" s="1" t="s">
        <v>867</v>
      </c>
      <c r="H7" s="1" t="s">
        <v>869</v>
      </c>
      <c r="I7" s="1" t="s">
        <v>895</v>
      </c>
      <c r="J7" s="1" t="s">
        <v>892</v>
      </c>
      <c r="K7" s="1" t="s">
        <v>867</v>
      </c>
      <c r="L7" s="1" t="s">
        <v>869</v>
      </c>
      <c r="M7" s="1" t="s">
        <v>869</v>
      </c>
      <c r="N7" s="1" t="s">
        <v>868</v>
      </c>
      <c r="O7" s="1" t="s">
        <v>840</v>
      </c>
      <c r="P7" s="1" t="s">
        <v>868</v>
      </c>
      <c r="Q7" s="502">
        <v>43045.229883090302</v>
      </c>
    </row>
    <row r="8" spans="1:17">
      <c r="A8" s="1" t="s">
        <v>1303</v>
      </c>
      <c r="B8" s="275" t="s">
        <v>458</v>
      </c>
      <c r="C8" s="1" t="s">
        <v>951</v>
      </c>
      <c r="D8" s="1" t="s">
        <v>1702</v>
      </c>
      <c r="E8" s="1" t="s">
        <v>887</v>
      </c>
      <c r="F8" s="1" t="s">
        <v>1703</v>
      </c>
      <c r="G8" s="1" t="s">
        <v>1684</v>
      </c>
      <c r="H8" s="1" t="s">
        <v>862</v>
      </c>
      <c r="I8" s="1" t="s">
        <v>864</v>
      </c>
      <c r="J8" s="1" t="s">
        <v>911</v>
      </c>
      <c r="K8" s="1" t="s">
        <v>941</v>
      </c>
      <c r="L8" s="1" t="s">
        <v>926</v>
      </c>
      <c r="M8" s="1" t="s">
        <v>944</v>
      </c>
      <c r="N8" s="1" t="s">
        <v>1686</v>
      </c>
      <c r="O8" s="1" t="s">
        <v>840</v>
      </c>
      <c r="P8" s="1" t="s">
        <v>944</v>
      </c>
      <c r="Q8" s="502">
        <v>43045.229883090302</v>
      </c>
    </row>
    <row r="9" spans="1:17">
      <c r="A9" s="1" t="s">
        <v>1303</v>
      </c>
      <c r="B9" s="275" t="s">
        <v>488</v>
      </c>
      <c r="C9" s="1" t="s">
        <v>951</v>
      </c>
      <c r="D9" s="1" t="s">
        <v>890</v>
      </c>
      <c r="E9" s="1" t="s">
        <v>895</v>
      </c>
      <c r="F9" s="1" t="s">
        <v>890</v>
      </c>
      <c r="G9" s="1" t="s">
        <v>895</v>
      </c>
      <c r="H9" s="1" t="s">
        <v>895</v>
      </c>
      <c r="I9" s="1" t="s">
        <v>890</v>
      </c>
      <c r="J9" s="1" t="s">
        <v>893</v>
      </c>
      <c r="K9" s="1" t="s">
        <v>895</v>
      </c>
      <c r="L9" s="1" t="s">
        <v>895</v>
      </c>
      <c r="M9" s="1" t="s">
        <v>896</v>
      </c>
      <c r="N9" s="1" t="s">
        <v>895</v>
      </c>
      <c r="O9" s="1" t="s">
        <v>840</v>
      </c>
      <c r="P9" s="1" t="s">
        <v>890</v>
      </c>
      <c r="Q9" s="502">
        <v>43045.229883090302</v>
      </c>
    </row>
    <row r="10" spans="1:17">
      <c r="A10" s="1" t="s">
        <v>1303</v>
      </c>
      <c r="B10" s="275" t="s">
        <v>521</v>
      </c>
      <c r="C10" s="1" t="s">
        <v>951</v>
      </c>
      <c r="D10" s="1" t="s">
        <v>840</v>
      </c>
      <c r="E10" s="1" t="s">
        <v>840</v>
      </c>
      <c r="F10" s="1" t="s">
        <v>840</v>
      </c>
      <c r="G10" s="1" t="s">
        <v>840</v>
      </c>
      <c r="H10" s="1" t="s">
        <v>840</v>
      </c>
      <c r="I10" s="1" t="s">
        <v>840</v>
      </c>
      <c r="J10" s="1" t="s">
        <v>840</v>
      </c>
      <c r="K10" s="1" t="s">
        <v>840</v>
      </c>
      <c r="L10" s="1" t="s">
        <v>840</v>
      </c>
      <c r="M10" s="1" t="s">
        <v>840</v>
      </c>
      <c r="N10" s="1" t="s">
        <v>840</v>
      </c>
      <c r="O10" s="1" t="s">
        <v>840</v>
      </c>
      <c r="P10" s="1" t="s">
        <v>840</v>
      </c>
      <c r="Q10" s="502">
        <v>43045.229883090302</v>
      </c>
    </row>
    <row r="11" spans="1:17">
      <c r="A11" s="1" t="s">
        <v>1303</v>
      </c>
      <c r="B11" s="275" t="s">
        <v>523</v>
      </c>
      <c r="C11" s="1" t="s">
        <v>951</v>
      </c>
      <c r="D11" s="1" t="s">
        <v>845</v>
      </c>
      <c r="E11" s="1" t="s">
        <v>847</v>
      </c>
      <c r="F11" s="1" t="s">
        <v>865</v>
      </c>
      <c r="G11" s="1" t="s">
        <v>846</v>
      </c>
      <c r="H11" s="1" t="s">
        <v>850</v>
      </c>
      <c r="I11" s="1" t="s">
        <v>850</v>
      </c>
      <c r="J11" s="1" t="s">
        <v>860</v>
      </c>
      <c r="K11" s="1" t="s">
        <v>908</v>
      </c>
      <c r="L11" s="1" t="s">
        <v>856</v>
      </c>
      <c r="M11" s="1" t="s">
        <v>908</v>
      </c>
      <c r="N11" s="1" t="s">
        <v>893</v>
      </c>
      <c r="O11" s="1" t="s">
        <v>840</v>
      </c>
      <c r="P11" s="1" t="s">
        <v>844</v>
      </c>
      <c r="Q11" s="502">
        <v>43045.229883090302</v>
      </c>
    </row>
    <row r="12" spans="1:17">
      <c r="A12" s="1" t="s">
        <v>1303</v>
      </c>
      <c r="B12" s="275" t="s">
        <v>909</v>
      </c>
      <c r="C12" s="1" t="s">
        <v>951</v>
      </c>
      <c r="D12" s="1" t="s">
        <v>846</v>
      </c>
      <c r="E12" s="1" t="s">
        <v>895</v>
      </c>
      <c r="F12" s="1" t="s">
        <v>868</v>
      </c>
      <c r="G12" s="1" t="s">
        <v>867</v>
      </c>
      <c r="H12" s="1" t="s">
        <v>867</v>
      </c>
      <c r="I12" s="1" t="s">
        <v>868</v>
      </c>
      <c r="J12" s="1" t="s">
        <v>867</v>
      </c>
      <c r="K12" s="1" t="s">
        <v>868</v>
      </c>
      <c r="L12" s="1" t="s">
        <v>867</v>
      </c>
      <c r="M12" s="1" t="s">
        <v>867</v>
      </c>
      <c r="N12" s="1" t="s">
        <v>868</v>
      </c>
      <c r="O12" s="1" t="s">
        <v>840</v>
      </c>
      <c r="P12" s="1" t="s">
        <v>892</v>
      </c>
      <c r="Q12" s="502">
        <v>43045.229883090302</v>
      </c>
    </row>
    <row r="13" spans="1:17">
      <c r="A13" s="1" t="s">
        <v>1303</v>
      </c>
      <c r="B13" s="275" t="s">
        <v>910</v>
      </c>
      <c r="C13" s="1" t="s">
        <v>951</v>
      </c>
      <c r="D13" s="1" t="s">
        <v>851</v>
      </c>
      <c r="E13" s="1" t="s">
        <v>959</v>
      </c>
      <c r="F13" s="1" t="s">
        <v>921</v>
      </c>
      <c r="G13" s="1" t="s">
        <v>873</v>
      </c>
      <c r="H13" s="1" t="s">
        <v>1704</v>
      </c>
      <c r="I13" s="1" t="s">
        <v>969</v>
      </c>
      <c r="J13" s="1" t="s">
        <v>946</v>
      </c>
      <c r="K13" s="1" t="s">
        <v>1705</v>
      </c>
      <c r="L13" s="1" t="s">
        <v>1706</v>
      </c>
      <c r="M13" s="1" t="s">
        <v>1707</v>
      </c>
      <c r="N13" s="1" t="s">
        <v>922</v>
      </c>
      <c r="O13" s="1" t="s">
        <v>840</v>
      </c>
      <c r="P13" s="1" t="s">
        <v>1686</v>
      </c>
      <c r="Q13" s="502">
        <v>43045.229883090302</v>
      </c>
    </row>
    <row r="14" spans="1:17">
      <c r="A14" s="1" t="s">
        <v>1303</v>
      </c>
      <c r="B14" s="275" t="s">
        <v>918</v>
      </c>
      <c r="C14" s="1" t="s">
        <v>951</v>
      </c>
      <c r="D14" s="1" t="s">
        <v>919</v>
      </c>
      <c r="E14" s="1" t="s">
        <v>860</v>
      </c>
      <c r="F14" s="1" t="s">
        <v>855</v>
      </c>
      <c r="G14" s="1" t="s">
        <v>864</v>
      </c>
      <c r="H14" s="1" t="s">
        <v>843</v>
      </c>
      <c r="I14" s="1" t="s">
        <v>862</v>
      </c>
      <c r="J14" s="1" t="s">
        <v>848</v>
      </c>
      <c r="K14" s="1" t="s">
        <v>854</v>
      </c>
      <c r="L14" s="1" t="s">
        <v>851</v>
      </c>
      <c r="M14" s="1" t="s">
        <v>849</v>
      </c>
      <c r="N14" s="1" t="s">
        <v>843</v>
      </c>
      <c r="O14" s="1" t="s">
        <v>840</v>
      </c>
      <c r="P14" s="1" t="s">
        <v>857</v>
      </c>
      <c r="Q14" s="502">
        <v>43045.229883090302</v>
      </c>
    </row>
    <row r="15" spans="1:17">
      <c r="A15" s="1" t="s">
        <v>1303</v>
      </c>
      <c r="B15" s="275" t="s">
        <v>920</v>
      </c>
      <c r="C15" s="1" t="s">
        <v>951</v>
      </c>
      <c r="D15" s="1" t="s">
        <v>864</v>
      </c>
      <c r="E15" s="1" t="s">
        <v>1708</v>
      </c>
      <c r="F15" s="1" t="s">
        <v>850</v>
      </c>
      <c r="G15" s="1" t="s">
        <v>911</v>
      </c>
      <c r="H15" s="1" t="s">
        <v>856</v>
      </c>
      <c r="I15" s="1" t="s">
        <v>863</v>
      </c>
      <c r="J15" s="1" t="s">
        <v>919</v>
      </c>
      <c r="K15" s="1" t="s">
        <v>945</v>
      </c>
      <c r="L15" s="1" t="s">
        <v>1691</v>
      </c>
      <c r="M15" s="1" t="s">
        <v>843</v>
      </c>
      <c r="N15" s="1" t="s">
        <v>846</v>
      </c>
      <c r="O15" s="1" t="s">
        <v>840</v>
      </c>
      <c r="P15" s="1" t="s">
        <v>926</v>
      </c>
      <c r="Q15" s="502">
        <v>43045.229883090302</v>
      </c>
    </row>
    <row r="16" spans="1:17">
      <c r="A16" s="1" t="s">
        <v>1303</v>
      </c>
      <c r="B16" s="275" t="s">
        <v>927</v>
      </c>
      <c r="C16" s="1" t="s">
        <v>951</v>
      </c>
      <c r="D16" s="1" t="s">
        <v>840</v>
      </c>
      <c r="E16" s="1" t="s">
        <v>840</v>
      </c>
      <c r="F16" s="1" t="s">
        <v>840</v>
      </c>
      <c r="G16" s="1" t="s">
        <v>840</v>
      </c>
      <c r="H16" s="1" t="s">
        <v>867</v>
      </c>
      <c r="I16" s="1" t="s">
        <v>840</v>
      </c>
      <c r="J16" s="1" t="s">
        <v>840</v>
      </c>
      <c r="K16" s="1" t="s">
        <v>867</v>
      </c>
      <c r="L16" s="1" t="s">
        <v>840</v>
      </c>
      <c r="M16" s="1" t="s">
        <v>840</v>
      </c>
      <c r="N16" s="1" t="s">
        <v>840</v>
      </c>
      <c r="O16" s="1" t="s">
        <v>840</v>
      </c>
      <c r="P16" s="1" t="s">
        <v>1709</v>
      </c>
      <c r="Q16" s="502">
        <v>43045.229883090302</v>
      </c>
    </row>
    <row r="17" spans="1:17">
      <c r="A17" s="1" t="s">
        <v>1303</v>
      </c>
      <c r="B17" s="275" t="s">
        <v>961</v>
      </c>
      <c r="C17" s="1" t="s">
        <v>951</v>
      </c>
      <c r="D17" s="1" t="s">
        <v>840</v>
      </c>
      <c r="E17" s="1" t="s">
        <v>840</v>
      </c>
      <c r="F17" s="1" t="s">
        <v>840</v>
      </c>
      <c r="G17" s="1" t="s">
        <v>840</v>
      </c>
      <c r="H17" s="1" t="s">
        <v>840</v>
      </c>
      <c r="I17" s="1" t="s">
        <v>840</v>
      </c>
      <c r="J17" s="1" t="s">
        <v>840</v>
      </c>
      <c r="K17" s="1" t="s">
        <v>840</v>
      </c>
      <c r="L17" s="1" t="s">
        <v>840</v>
      </c>
      <c r="M17" s="1" t="s">
        <v>840</v>
      </c>
      <c r="N17" s="1" t="s">
        <v>840</v>
      </c>
      <c r="O17" s="1" t="s">
        <v>840</v>
      </c>
      <c r="P17" s="1" t="s">
        <v>840</v>
      </c>
      <c r="Q17" s="502">
        <v>43045.229883090302</v>
      </c>
    </row>
    <row r="18" spans="1:17">
      <c r="A18" s="1" t="s">
        <v>1303</v>
      </c>
      <c r="B18" s="275" t="s">
        <v>962</v>
      </c>
      <c r="C18" s="1" t="s">
        <v>951</v>
      </c>
      <c r="D18" s="1" t="s">
        <v>840</v>
      </c>
      <c r="E18" s="1" t="s">
        <v>840</v>
      </c>
      <c r="F18" s="1" t="s">
        <v>840</v>
      </c>
      <c r="G18" s="1" t="s">
        <v>840</v>
      </c>
      <c r="H18" s="1" t="s">
        <v>840</v>
      </c>
      <c r="I18" s="1" t="s">
        <v>840</v>
      </c>
      <c r="J18" s="1" t="s">
        <v>840</v>
      </c>
      <c r="K18" s="1" t="s">
        <v>840</v>
      </c>
      <c r="L18" s="1" t="s">
        <v>840</v>
      </c>
      <c r="M18" s="1" t="s">
        <v>840</v>
      </c>
      <c r="N18" s="1" t="s">
        <v>840</v>
      </c>
      <c r="O18" s="1" t="s">
        <v>840</v>
      </c>
      <c r="P18" s="1" t="s">
        <v>840</v>
      </c>
      <c r="Q18" s="502">
        <v>43045.229883090302</v>
      </c>
    </row>
    <row r="19" spans="1:17">
      <c r="A19" s="1" t="s">
        <v>1303</v>
      </c>
      <c r="B19" s="275" t="s">
        <v>963</v>
      </c>
      <c r="C19" s="1" t="s">
        <v>951</v>
      </c>
      <c r="D19" s="1" t="s">
        <v>840</v>
      </c>
      <c r="E19" s="1" t="s">
        <v>840</v>
      </c>
      <c r="F19" s="1" t="s">
        <v>840</v>
      </c>
      <c r="G19" s="1" t="s">
        <v>840</v>
      </c>
      <c r="H19" s="1" t="s">
        <v>840</v>
      </c>
      <c r="I19" s="1" t="s">
        <v>840</v>
      </c>
      <c r="J19" s="1" t="s">
        <v>840</v>
      </c>
      <c r="K19" s="1" t="s">
        <v>840</v>
      </c>
      <c r="L19" s="1" t="s">
        <v>840</v>
      </c>
      <c r="M19" s="1" t="s">
        <v>840</v>
      </c>
      <c r="N19" s="1" t="s">
        <v>840</v>
      </c>
      <c r="O19" s="1" t="s">
        <v>840</v>
      </c>
      <c r="P19" s="1" t="s">
        <v>840</v>
      </c>
      <c r="Q19" s="502">
        <v>43045.229883090302</v>
      </c>
    </row>
    <row r="20" spans="1:17">
      <c r="A20" s="1" t="s">
        <v>1303</v>
      </c>
      <c r="B20" s="275" t="s">
        <v>964</v>
      </c>
      <c r="C20" s="1" t="s">
        <v>951</v>
      </c>
      <c r="D20" s="1" t="s">
        <v>840</v>
      </c>
      <c r="E20" s="1" t="s">
        <v>840</v>
      </c>
      <c r="F20" s="1" t="s">
        <v>840</v>
      </c>
      <c r="G20" s="1" t="s">
        <v>840</v>
      </c>
      <c r="H20" s="1" t="s">
        <v>840</v>
      </c>
      <c r="I20" s="1" t="s">
        <v>840</v>
      </c>
      <c r="J20" s="1" t="s">
        <v>840</v>
      </c>
      <c r="K20" s="1" t="s">
        <v>840</v>
      </c>
      <c r="L20" s="1" t="s">
        <v>840</v>
      </c>
      <c r="M20" s="1" t="s">
        <v>840</v>
      </c>
      <c r="N20" s="1" t="s">
        <v>840</v>
      </c>
      <c r="O20" s="1" t="s">
        <v>840</v>
      </c>
      <c r="P20" s="1" t="s">
        <v>840</v>
      </c>
      <c r="Q20" s="502">
        <v>43045.229883090302</v>
      </c>
    </row>
    <row r="21" spans="1:17">
      <c r="A21" s="1" t="s">
        <v>1303</v>
      </c>
      <c r="B21" s="275" t="s">
        <v>965</v>
      </c>
      <c r="C21" s="1" t="s">
        <v>951</v>
      </c>
      <c r="D21" s="1" t="s">
        <v>840</v>
      </c>
      <c r="E21" s="1" t="s">
        <v>840</v>
      </c>
      <c r="F21" s="1" t="s">
        <v>840</v>
      </c>
      <c r="G21" s="1" t="s">
        <v>840</v>
      </c>
      <c r="H21" s="1" t="s">
        <v>840</v>
      </c>
      <c r="I21" s="1" t="s">
        <v>840</v>
      </c>
      <c r="J21" s="1" t="s">
        <v>840</v>
      </c>
      <c r="K21" s="1" t="s">
        <v>840</v>
      </c>
      <c r="L21" s="1" t="s">
        <v>840</v>
      </c>
      <c r="M21" s="1" t="s">
        <v>840</v>
      </c>
      <c r="N21" s="1" t="s">
        <v>840</v>
      </c>
      <c r="O21" s="1" t="s">
        <v>840</v>
      </c>
      <c r="P21" s="1" t="s">
        <v>840</v>
      </c>
      <c r="Q21" s="502">
        <v>43045.229883090302</v>
      </c>
    </row>
    <row r="22" spans="1:17">
      <c r="A22" s="1" t="s">
        <v>1303</v>
      </c>
      <c r="B22" s="275" t="s">
        <v>966</v>
      </c>
      <c r="C22" s="1" t="s">
        <v>951</v>
      </c>
      <c r="D22" s="1" t="s">
        <v>906</v>
      </c>
      <c r="E22" s="1" t="s">
        <v>899</v>
      </c>
      <c r="F22" s="1" t="s">
        <v>957</v>
      </c>
      <c r="G22" s="1" t="s">
        <v>899</v>
      </c>
      <c r="H22" s="1" t="s">
        <v>1710</v>
      </c>
      <c r="I22" s="1" t="s">
        <v>897</v>
      </c>
      <c r="J22" s="1" t="s">
        <v>922</v>
      </c>
      <c r="K22" s="1" t="s">
        <v>922</v>
      </c>
      <c r="L22" s="1" t="s">
        <v>947</v>
      </c>
      <c r="M22" s="1" t="s">
        <v>1697</v>
      </c>
      <c r="N22" s="1" t="s">
        <v>916</v>
      </c>
      <c r="O22" s="1" t="s">
        <v>840</v>
      </c>
      <c r="P22" s="1" t="s">
        <v>940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20"/>
  <sheetViews>
    <sheetView workbookViewId="0">
      <selection activeCell="U27" sqref="U27"/>
    </sheetView>
  </sheetViews>
  <sheetFormatPr defaultRowHeight="17.100000000000001"/>
  <sheetData>
    <row r="1" spans="1:15">
      <c r="A1" s="503" t="s">
        <v>1277</v>
      </c>
      <c r="B1" s="503" t="s">
        <v>361</v>
      </c>
      <c r="C1" s="503" t="s">
        <v>1278</v>
      </c>
      <c r="D1" s="503" t="s">
        <v>1279</v>
      </c>
      <c r="E1" s="503" t="s">
        <v>1280</v>
      </c>
      <c r="F1" s="503" t="s">
        <v>1281</v>
      </c>
      <c r="G1" s="503" t="s">
        <v>1282</v>
      </c>
      <c r="H1" s="503" t="s">
        <v>1283</v>
      </c>
      <c r="I1" s="503" t="s">
        <v>1284</v>
      </c>
      <c r="J1" s="503" t="s">
        <v>1285</v>
      </c>
      <c r="K1" s="503" t="s">
        <v>1286</v>
      </c>
      <c r="L1" s="503" t="s">
        <v>1287</v>
      </c>
      <c r="M1" s="503" t="s">
        <v>1288</v>
      </c>
      <c r="N1" s="503" t="s">
        <v>1289</v>
      </c>
      <c r="O1" s="503" t="s">
        <v>1711</v>
      </c>
    </row>
    <row r="2" spans="1:15">
      <c r="A2" s="503" t="s">
        <v>1303</v>
      </c>
      <c r="B2" s="503" t="s">
        <v>364</v>
      </c>
      <c r="C2" s="503" t="s">
        <v>1712</v>
      </c>
      <c r="D2" s="503" t="s">
        <v>1713</v>
      </c>
      <c r="E2" s="503" t="s">
        <v>1714</v>
      </c>
      <c r="F2" s="503" t="s">
        <v>1715</v>
      </c>
      <c r="G2" s="503" t="s">
        <v>1716</v>
      </c>
      <c r="H2" s="503" t="s">
        <v>1717</v>
      </c>
      <c r="I2" s="503" t="s">
        <v>1718</v>
      </c>
      <c r="J2" s="503" t="s">
        <v>1719</v>
      </c>
      <c r="K2" s="503" t="s">
        <v>1720</v>
      </c>
      <c r="L2" s="503" t="s">
        <v>1721</v>
      </c>
      <c r="M2" s="503" t="s">
        <v>1722</v>
      </c>
      <c r="N2" s="503" t="s">
        <v>840</v>
      </c>
      <c r="O2" s="503" t="s">
        <v>1723</v>
      </c>
    </row>
    <row r="3" spans="1:15">
      <c r="A3" s="503" t="s">
        <v>1303</v>
      </c>
      <c r="B3" s="503" t="s">
        <v>398</v>
      </c>
      <c r="C3" s="503" t="s">
        <v>1724</v>
      </c>
      <c r="D3" s="503" t="s">
        <v>1725</v>
      </c>
      <c r="E3" s="503" t="s">
        <v>1726</v>
      </c>
      <c r="F3" s="503" t="s">
        <v>1727</v>
      </c>
      <c r="G3" s="503" t="s">
        <v>1728</v>
      </c>
      <c r="H3" s="503" t="s">
        <v>1729</v>
      </c>
      <c r="I3" s="503" t="s">
        <v>1730</v>
      </c>
      <c r="J3" s="503" t="s">
        <v>1731</v>
      </c>
      <c r="K3" s="503" t="s">
        <v>1732</v>
      </c>
      <c r="L3" s="503" t="s">
        <v>1733</v>
      </c>
      <c r="M3" s="503" t="s">
        <v>1734</v>
      </c>
      <c r="N3" s="503" t="s">
        <v>840</v>
      </c>
      <c r="O3" s="503" t="s">
        <v>1735</v>
      </c>
    </row>
    <row r="4" spans="1:15">
      <c r="A4" s="503" t="s">
        <v>1303</v>
      </c>
      <c r="B4" s="503" t="s">
        <v>429</v>
      </c>
      <c r="C4" s="503" t="s">
        <v>236</v>
      </c>
      <c r="D4" s="503" t="s">
        <v>1736</v>
      </c>
      <c r="E4" s="503" t="s">
        <v>840</v>
      </c>
      <c r="F4" s="503" t="s">
        <v>236</v>
      </c>
      <c r="G4" s="503" t="s">
        <v>236</v>
      </c>
      <c r="H4" s="503" t="s">
        <v>1737</v>
      </c>
      <c r="I4" s="503" t="s">
        <v>1738</v>
      </c>
      <c r="J4" s="503" t="s">
        <v>840</v>
      </c>
      <c r="K4" s="503" t="s">
        <v>237</v>
      </c>
      <c r="L4" s="503" t="s">
        <v>236</v>
      </c>
      <c r="M4" s="503" t="s">
        <v>1739</v>
      </c>
      <c r="N4" s="503" t="s">
        <v>840</v>
      </c>
      <c r="O4" s="503" t="s">
        <v>1740</v>
      </c>
    </row>
    <row r="5" spans="1:15">
      <c r="A5" s="503" t="s">
        <v>1303</v>
      </c>
      <c r="B5" s="503" t="s">
        <v>458</v>
      </c>
      <c r="C5" s="503" t="s">
        <v>1741</v>
      </c>
      <c r="D5" s="503" t="s">
        <v>926</v>
      </c>
      <c r="E5" s="503" t="s">
        <v>1742</v>
      </c>
      <c r="F5" s="503" t="s">
        <v>1743</v>
      </c>
      <c r="G5" s="503" t="s">
        <v>1744</v>
      </c>
      <c r="H5" s="503" t="s">
        <v>1745</v>
      </c>
      <c r="I5" s="503" t="s">
        <v>1746</v>
      </c>
      <c r="J5" s="503" t="s">
        <v>1747</v>
      </c>
      <c r="K5" s="503" t="s">
        <v>1748</v>
      </c>
      <c r="L5" s="503" t="s">
        <v>1749</v>
      </c>
      <c r="M5" s="503" t="s">
        <v>1750</v>
      </c>
      <c r="N5" s="503" t="s">
        <v>840</v>
      </c>
      <c r="O5" s="503" t="s">
        <v>1751</v>
      </c>
    </row>
    <row r="6" spans="1:15">
      <c r="A6" s="503" t="s">
        <v>1303</v>
      </c>
      <c r="B6" s="503" t="s">
        <v>488</v>
      </c>
      <c r="C6" s="503" t="s">
        <v>1752</v>
      </c>
      <c r="D6" s="503" t="s">
        <v>1753</v>
      </c>
      <c r="E6" s="503" t="s">
        <v>1754</v>
      </c>
      <c r="F6" s="503" t="s">
        <v>1755</v>
      </c>
      <c r="G6" s="503" t="s">
        <v>1756</v>
      </c>
      <c r="H6" s="503" t="s">
        <v>1757</v>
      </c>
      <c r="I6" s="503" t="s">
        <v>1758</v>
      </c>
      <c r="J6" s="503" t="s">
        <v>1759</v>
      </c>
      <c r="K6" s="503" t="s">
        <v>1760</v>
      </c>
      <c r="L6" s="503" t="s">
        <v>1761</v>
      </c>
      <c r="M6" s="503" t="s">
        <v>1762</v>
      </c>
      <c r="N6" s="503" t="s">
        <v>840</v>
      </c>
      <c r="O6" s="503" t="s">
        <v>1763</v>
      </c>
    </row>
    <row r="7" spans="1:15">
      <c r="A7" s="503" t="s">
        <v>1303</v>
      </c>
      <c r="B7" s="503" t="s">
        <v>521</v>
      </c>
      <c r="C7" s="503" t="s">
        <v>840</v>
      </c>
      <c r="D7" s="503" t="s">
        <v>840</v>
      </c>
      <c r="E7" s="503" t="s">
        <v>840</v>
      </c>
      <c r="F7" s="503" t="s">
        <v>840</v>
      </c>
      <c r="G7" s="503" t="s">
        <v>840</v>
      </c>
      <c r="H7" s="503" t="s">
        <v>840</v>
      </c>
      <c r="I7" s="503" t="s">
        <v>840</v>
      </c>
      <c r="J7" s="503" t="s">
        <v>840</v>
      </c>
      <c r="K7" s="503" t="s">
        <v>840</v>
      </c>
      <c r="L7" s="503" t="s">
        <v>840</v>
      </c>
      <c r="M7" s="503" t="s">
        <v>840</v>
      </c>
      <c r="N7" s="503" t="s">
        <v>840</v>
      </c>
      <c r="O7" s="503" t="s">
        <v>840</v>
      </c>
    </row>
    <row r="8" spans="1:15">
      <c r="A8" s="503" t="s">
        <v>1303</v>
      </c>
      <c r="B8" s="503" t="s">
        <v>523</v>
      </c>
      <c r="C8" s="503" t="s">
        <v>1764</v>
      </c>
      <c r="D8" s="503" t="s">
        <v>1765</v>
      </c>
      <c r="E8" s="503" t="s">
        <v>1766</v>
      </c>
      <c r="F8" s="503" t="s">
        <v>1767</v>
      </c>
      <c r="G8" s="503" t="s">
        <v>1768</v>
      </c>
      <c r="H8" s="503" t="s">
        <v>1769</v>
      </c>
      <c r="I8" s="503" t="s">
        <v>1770</v>
      </c>
      <c r="J8" s="503" t="s">
        <v>1771</v>
      </c>
      <c r="K8" s="503" t="s">
        <v>1772</v>
      </c>
      <c r="L8" s="503" t="s">
        <v>1773</v>
      </c>
      <c r="M8" s="503" t="s">
        <v>1774</v>
      </c>
      <c r="N8" s="503" t="s">
        <v>840</v>
      </c>
      <c r="O8" s="503" t="s">
        <v>1775</v>
      </c>
    </row>
    <row r="9" spans="1:15">
      <c r="A9" s="503" t="s">
        <v>1303</v>
      </c>
      <c r="B9" s="503" t="s">
        <v>901</v>
      </c>
      <c r="C9" s="503" t="s">
        <v>1776</v>
      </c>
      <c r="D9" s="503" t="s">
        <v>1777</v>
      </c>
      <c r="E9" s="503" t="s">
        <v>1778</v>
      </c>
      <c r="F9" s="503" t="s">
        <v>1779</v>
      </c>
      <c r="G9" s="503" t="s">
        <v>1780</v>
      </c>
      <c r="H9" s="503" t="s">
        <v>1776</v>
      </c>
      <c r="I9" s="503" t="s">
        <v>1781</v>
      </c>
      <c r="J9" s="503" t="s">
        <v>237</v>
      </c>
      <c r="K9" s="503" t="s">
        <v>1740</v>
      </c>
      <c r="L9" s="503" t="s">
        <v>1782</v>
      </c>
      <c r="M9" s="503" t="s">
        <v>1783</v>
      </c>
      <c r="N9" s="503" t="s">
        <v>840</v>
      </c>
      <c r="O9" s="503" t="s">
        <v>1784</v>
      </c>
    </row>
    <row r="10" spans="1:15">
      <c r="A10" s="503" t="s">
        <v>1303</v>
      </c>
      <c r="B10" s="503" t="s">
        <v>909</v>
      </c>
      <c r="C10" s="503" t="s">
        <v>1020</v>
      </c>
      <c r="D10" s="503" t="s">
        <v>360</v>
      </c>
      <c r="E10" s="503" t="s">
        <v>236</v>
      </c>
      <c r="F10" s="503" t="s">
        <v>840</v>
      </c>
      <c r="G10" s="503" t="s">
        <v>840</v>
      </c>
      <c r="H10" s="503" t="s">
        <v>236</v>
      </c>
      <c r="I10" s="503" t="s">
        <v>840</v>
      </c>
      <c r="J10" s="503" t="s">
        <v>236</v>
      </c>
      <c r="K10" s="503" t="s">
        <v>840</v>
      </c>
      <c r="L10" s="503" t="s">
        <v>840</v>
      </c>
      <c r="M10" s="503" t="s">
        <v>236</v>
      </c>
      <c r="N10" s="503" t="s">
        <v>840</v>
      </c>
      <c r="O10" s="503" t="s">
        <v>236</v>
      </c>
    </row>
    <row r="11" spans="1:15">
      <c r="A11" s="503" t="s">
        <v>1303</v>
      </c>
      <c r="B11" s="503" t="s">
        <v>910</v>
      </c>
      <c r="C11" s="503" t="s">
        <v>1785</v>
      </c>
      <c r="D11" s="503" t="s">
        <v>1786</v>
      </c>
      <c r="E11" s="503" t="s">
        <v>1787</v>
      </c>
      <c r="F11" s="503" t="s">
        <v>1788</v>
      </c>
      <c r="G11" s="503" t="s">
        <v>1789</v>
      </c>
      <c r="H11" s="503" t="s">
        <v>1790</v>
      </c>
      <c r="I11" s="503" t="s">
        <v>1791</v>
      </c>
      <c r="J11" s="503" t="s">
        <v>1792</v>
      </c>
      <c r="K11" s="503" t="s">
        <v>1755</v>
      </c>
      <c r="L11" s="503" t="s">
        <v>1793</v>
      </c>
      <c r="M11" s="503" t="s">
        <v>1745</v>
      </c>
      <c r="N11" s="503" t="s">
        <v>840</v>
      </c>
      <c r="O11" s="503" t="s">
        <v>1794</v>
      </c>
    </row>
    <row r="12" spans="1:15">
      <c r="A12" s="503" t="s">
        <v>1303</v>
      </c>
      <c r="B12" s="503" t="s">
        <v>918</v>
      </c>
      <c r="C12" s="503" t="s">
        <v>1795</v>
      </c>
      <c r="D12" s="503" t="s">
        <v>1796</v>
      </c>
      <c r="E12" s="503" t="s">
        <v>1797</v>
      </c>
      <c r="F12" s="503" t="s">
        <v>1798</v>
      </c>
      <c r="G12" s="503" t="s">
        <v>1754</v>
      </c>
      <c r="H12" s="503" t="s">
        <v>1799</v>
      </c>
      <c r="I12" s="503" t="s">
        <v>1800</v>
      </c>
      <c r="J12" s="503" t="s">
        <v>1752</v>
      </c>
      <c r="K12" s="503" t="s">
        <v>1801</v>
      </c>
      <c r="L12" s="503" t="s">
        <v>1802</v>
      </c>
      <c r="M12" s="503" t="s">
        <v>1759</v>
      </c>
      <c r="N12" s="503" t="s">
        <v>840</v>
      </c>
      <c r="O12" s="503" t="s">
        <v>1803</v>
      </c>
    </row>
    <row r="13" spans="1:15">
      <c r="A13" s="503" t="s">
        <v>1303</v>
      </c>
      <c r="B13" s="503" t="s">
        <v>920</v>
      </c>
      <c r="C13" s="503" t="s">
        <v>1804</v>
      </c>
      <c r="D13" s="503" t="s">
        <v>1805</v>
      </c>
      <c r="E13" s="503" t="s">
        <v>1784</v>
      </c>
      <c r="F13" s="503" t="s">
        <v>1806</v>
      </c>
      <c r="G13" s="503" t="s">
        <v>1793</v>
      </c>
      <c r="H13" s="503" t="s">
        <v>1807</v>
      </c>
      <c r="I13" s="503" t="s">
        <v>1745</v>
      </c>
      <c r="J13" s="503" t="s">
        <v>1808</v>
      </c>
      <c r="K13" s="503" t="s">
        <v>1809</v>
      </c>
      <c r="L13" s="503" t="s">
        <v>1810</v>
      </c>
      <c r="M13" s="503" t="s">
        <v>1811</v>
      </c>
      <c r="N13" s="503" t="s">
        <v>840</v>
      </c>
      <c r="O13" s="503" t="s">
        <v>1736</v>
      </c>
    </row>
    <row r="14" spans="1:15">
      <c r="A14" s="503" t="s">
        <v>1303</v>
      </c>
      <c r="B14" s="503" t="s">
        <v>927</v>
      </c>
      <c r="C14" s="503" t="s">
        <v>360</v>
      </c>
      <c r="D14" s="503" t="s">
        <v>360</v>
      </c>
      <c r="E14" s="503" t="s">
        <v>236</v>
      </c>
      <c r="F14" s="503" t="s">
        <v>840</v>
      </c>
      <c r="G14" s="503" t="s">
        <v>840</v>
      </c>
      <c r="H14" s="503" t="s">
        <v>840</v>
      </c>
      <c r="I14" s="503" t="s">
        <v>840</v>
      </c>
      <c r="J14" s="503" t="s">
        <v>237</v>
      </c>
      <c r="K14" s="503" t="s">
        <v>236</v>
      </c>
      <c r="L14" s="503" t="s">
        <v>840</v>
      </c>
      <c r="M14" s="503" t="s">
        <v>236</v>
      </c>
      <c r="N14" s="503" t="s">
        <v>840</v>
      </c>
      <c r="O14" s="503" t="s">
        <v>236</v>
      </c>
    </row>
    <row r="15" spans="1:15">
      <c r="A15" s="503" t="s">
        <v>1303</v>
      </c>
      <c r="B15" s="503" t="s">
        <v>961</v>
      </c>
      <c r="C15" s="503" t="s">
        <v>840</v>
      </c>
      <c r="D15" s="503" t="s">
        <v>840</v>
      </c>
      <c r="E15" s="503" t="s">
        <v>840</v>
      </c>
      <c r="F15" s="503" t="s">
        <v>840</v>
      </c>
      <c r="G15" s="503" t="s">
        <v>840</v>
      </c>
      <c r="H15" s="503" t="s">
        <v>840</v>
      </c>
      <c r="I15" s="503" t="s">
        <v>840</v>
      </c>
      <c r="J15" s="503" t="s">
        <v>840</v>
      </c>
      <c r="K15" s="503" t="s">
        <v>840</v>
      </c>
      <c r="L15" s="503" t="s">
        <v>840</v>
      </c>
      <c r="M15" s="503" t="s">
        <v>840</v>
      </c>
      <c r="N15" s="503" t="s">
        <v>840</v>
      </c>
      <c r="O15" s="503" t="s">
        <v>840</v>
      </c>
    </row>
    <row r="16" spans="1:15">
      <c r="A16" s="503" t="s">
        <v>1303</v>
      </c>
      <c r="B16" s="503" t="s">
        <v>962</v>
      </c>
      <c r="C16" s="503" t="s">
        <v>840</v>
      </c>
      <c r="D16" s="503" t="s">
        <v>840</v>
      </c>
      <c r="E16" s="503" t="s">
        <v>840</v>
      </c>
      <c r="F16" s="503" t="s">
        <v>840</v>
      </c>
      <c r="G16" s="503" t="s">
        <v>840</v>
      </c>
      <c r="H16" s="503" t="s">
        <v>840</v>
      </c>
      <c r="I16" s="503" t="s">
        <v>840</v>
      </c>
      <c r="J16" s="503" t="s">
        <v>840</v>
      </c>
      <c r="K16" s="503" t="s">
        <v>840</v>
      </c>
      <c r="L16" s="503" t="s">
        <v>840</v>
      </c>
      <c r="M16" s="503" t="s">
        <v>840</v>
      </c>
      <c r="N16" s="503" t="s">
        <v>840</v>
      </c>
      <c r="O16" s="503" t="s">
        <v>840</v>
      </c>
    </row>
    <row r="17" spans="1:15">
      <c r="A17" s="503" t="s">
        <v>1303</v>
      </c>
      <c r="B17" s="503" t="s">
        <v>963</v>
      </c>
      <c r="C17" s="503" t="s">
        <v>840</v>
      </c>
      <c r="D17" s="503" t="s">
        <v>840</v>
      </c>
      <c r="E17" s="503" t="s">
        <v>840</v>
      </c>
      <c r="F17" s="503" t="s">
        <v>840</v>
      </c>
      <c r="G17" s="503" t="s">
        <v>840</v>
      </c>
      <c r="H17" s="503" t="s">
        <v>840</v>
      </c>
      <c r="I17" s="503" t="s">
        <v>840</v>
      </c>
      <c r="J17" s="503" t="s">
        <v>840</v>
      </c>
      <c r="K17" s="503" t="s">
        <v>840</v>
      </c>
      <c r="L17" s="503" t="s">
        <v>840</v>
      </c>
      <c r="M17" s="503" t="s">
        <v>840</v>
      </c>
      <c r="N17" s="503" t="s">
        <v>840</v>
      </c>
      <c r="O17" s="503" t="s">
        <v>840</v>
      </c>
    </row>
    <row r="18" spans="1:15">
      <c r="A18" s="503" t="s">
        <v>1303</v>
      </c>
      <c r="B18" s="503" t="s">
        <v>964</v>
      </c>
      <c r="C18" s="503" t="s">
        <v>840</v>
      </c>
      <c r="D18" s="503" t="s">
        <v>840</v>
      </c>
      <c r="E18" s="503" t="s">
        <v>840</v>
      </c>
      <c r="F18" s="503" t="s">
        <v>840</v>
      </c>
      <c r="G18" s="503" t="s">
        <v>840</v>
      </c>
      <c r="H18" s="503" t="s">
        <v>840</v>
      </c>
      <c r="I18" s="503" t="s">
        <v>840</v>
      </c>
      <c r="J18" s="503" t="s">
        <v>840</v>
      </c>
      <c r="K18" s="503" t="s">
        <v>840</v>
      </c>
      <c r="L18" s="503" t="s">
        <v>840</v>
      </c>
      <c r="M18" s="503" t="s">
        <v>840</v>
      </c>
      <c r="N18" s="503" t="s">
        <v>840</v>
      </c>
      <c r="O18" s="503" t="s">
        <v>840</v>
      </c>
    </row>
    <row r="19" spans="1:15">
      <c r="A19" s="503" t="s">
        <v>1303</v>
      </c>
      <c r="B19" s="503" t="s">
        <v>965</v>
      </c>
      <c r="C19" s="503" t="s">
        <v>840</v>
      </c>
      <c r="D19" s="503" t="s">
        <v>840</v>
      </c>
      <c r="E19" s="503" t="s">
        <v>840</v>
      </c>
      <c r="F19" s="503" t="s">
        <v>840</v>
      </c>
      <c r="G19" s="503" t="s">
        <v>840</v>
      </c>
      <c r="H19" s="503" t="s">
        <v>840</v>
      </c>
      <c r="I19" s="503" t="s">
        <v>840</v>
      </c>
      <c r="J19" s="503" t="s">
        <v>840</v>
      </c>
      <c r="K19" s="503" t="s">
        <v>840</v>
      </c>
      <c r="L19" s="503" t="s">
        <v>840</v>
      </c>
      <c r="M19" s="503" t="s">
        <v>840</v>
      </c>
      <c r="N19" s="503" t="s">
        <v>840</v>
      </c>
      <c r="O19" s="503" t="s">
        <v>840</v>
      </c>
    </row>
    <row r="20" spans="1:15">
      <c r="A20" s="503" t="s">
        <v>1303</v>
      </c>
      <c r="B20" s="503" t="s">
        <v>966</v>
      </c>
      <c r="C20" s="503" t="s">
        <v>1812</v>
      </c>
      <c r="D20" s="503" t="s">
        <v>1813</v>
      </c>
      <c r="E20" s="503" t="s">
        <v>1814</v>
      </c>
      <c r="F20" s="503" t="s">
        <v>1815</v>
      </c>
      <c r="G20" s="503" t="s">
        <v>1816</v>
      </c>
      <c r="H20" s="503" t="s">
        <v>1817</v>
      </c>
      <c r="I20" s="503" t="s">
        <v>1818</v>
      </c>
      <c r="J20" s="503" t="s">
        <v>1819</v>
      </c>
      <c r="K20" s="503" t="s">
        <v>1820</v>
      </c>
      <c r="L20" s="503" t="s">
        <v>1821</v>
      </c>
      <c r="M20" s="503" t="s">
        <v>1822</v>
      </c>
      <c r="N20" s="503" t="s">
        <v>840</v>
      </c>
      <c r="O20" s="503" t="s">
        <v>1823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e44524b-bcf3-47c2-b7f6-4a5bfab68ce7">
      <Terms xmlns="http://schemas.microsoft.com/office/infopath/2007/PartnerControls"/>
    </lcf76f155ced4ddcb4097134ff3c332f>
    <TaxCatchAll xmlns="5bb1daa6-2aaa-478b-9e26-ccd9af7e486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4C256DE0E3AA449A7F57A285BB1BD9F" ma:contentTypeVersion="16" ma:contentTypeDescription="建立新的文件。" ma:contentTypeScope="" ma:versionID="240b026b1a3f4888d997f55bfd557ff2">
  <xsd:schema xmlns:xsd="http://www.w3.org/2001/XMLSchema" xmlns:xs="http://www.w3.org/2001/XMLSchema" xmlns:p="http://schemas.microsoft.com/office/2006/metadata/properties" xmlns:ns2="fe44524b-bcf3-47c2-b7f6-4a5bfab68ce7" xmlns:ns3="5bb1daa6-2aaa-478b-9e26-ccd9af7e4865" targetNamespace="http://schemas.microsoft.com/office/2006/metadata/properties" ma:root="true" ma:fieldsID="8e910b6f72def880f15e5005c1ed47e4" ns2:_="" ns3:_="">
    <xsd:import namespace="fe44524b-bcf3-47c2-b7f6-4a5bfab68ce7"/>
    <xsd:import namespace="5bb1daa6-2aaa-478b-9e26-ccd9af7e48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44524b-bcf3-47c2-b7f6-4a5bfab68c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影像標籤" ma:readOnly="false" ma:fieldId="{5cf76f15-5ced-4ddc-b409-7134ff3c332f}" ma:taxonomyMulti="true" ma:sspId="b60dcb24-d21b-48a4-ac29-734dc8d43e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b1daa6-2aaa-478b-9e26-ccd9af7e486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710ce12-a609-40cd-a6a1-6a90610554c6}" ma:internalName="TaxCatchAll" ma:showField="CatchAllData" ma:web="5bb1daa6-2aaa-478b-9e26-ccd9af7e48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C39957D-8F25-4C5A-A3A8-28652AEF8862}"/>
</file>

<file path=customXml/itemProps2.xml><?xml version="1.0" encoding="utf-8"?>
<ds:datastoreItem xmlns:ds="http://schemas.openxmlformats.org/officeDocument/2006/customXml" ds:itemID="{7F37239D-59F0-4EEF-ACF2-57D62CF26EBC}"/>
</file>

<file path=customXml/itemProps3.xml><?xml version="1.0" encoding="utf-8"?>
<ds:datastoreItem xmlns:ds="http://schemas.openxmlformats.org/officeDocument/2006/customXml" ds:itemID="{20ACCD88-9362-4B12-88CC-22F6471B1A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hyw</dc:creator>
  <cp:keywords/>
  <dc:description/>
  <cp:lastModifiedBy>洪雯宇</cp:lastModifiedBy>
  <cp:revision/>
  <dcterms:created xsi:type="dcterms:W3CDTF">2010-08-05T03:30:00Z</dcterms:created>
  <dcterms:modified xsi:type="dcterms:W3CDTF">2025-04-09T02:44:12Z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b308d542-fa52-4ef0-b402-cca80eeef17a</vt:lpwstr>
  </property>
  <property fmtid="{D5CDD505-2E9C-101B-9397-08002B2CF9AE}" pid="3" name="ContentTypeId">
    <vt:lpwstr>0x010100F4C256DE0E3AA449A7F57A285BB1BD9F</vt:lpwstr>
  </property>
  <property fmtid="{D5CDD505-2E9C-101B-9397-08002B2CF9AE}" pid="4" name="MediaServiceImageTags">
    <vt:lpwstr/>
  </property>
  <property fmtid="{D5CDD505-2E9C-101B-9397-08002B2CF9AE}" pid="5" name="MSIP_Label_4bb0dd02-bb18-45a0-9e0a-c2d0648dd377_Enabled">
    <vt:lpwstr>true</vt:lpwstr>
  </property>
  <property fmtid="{D5CDD505-2E9C-101B-9397-08002B2CF9AE}" pid="6" name="MSIP_Label_4bb0dd02-bb18-45a0-9e0a-c2d0648dd377_SetDate">
    <vt:lpwstr>2025-04-09T02:42:33Z</vt:lpwstr>
  </property>
  <property fmtid="{D5CDD505-2E9C-101B-9397-08002B2CF9AE}" pid="7" name="MSIP_Label_4bb0dd02-bb18-45a0-9e0a-c2d0648dd377_Method">
    <vt:lpwstr>Standard</vt:lpwstr>
  </property>
  <property fmtid="{D5CDD505-2E9C-101B-9397-08002B2CF9AE}" pid="8" name="MSIP_Label_4bb0dd02-bb18-45a0-9e0a-c2d0648dd377_Name">
    <vt:lpwstr>0310maas測試</vt:lpwstr>
  </property>
  <property fmtid="{D5CDD505-2E9C-101B-9397-08002B2CF9AE}" pid="9" name="MSIP_Label_4bb0dd02-bb18-45a0-9e0a-c2d0648dd377_SiteId">
    <vt:lpwstr>953deb22-c3f6-4a45-9c51-06e32ff88bf6</vt:lpwstr>
  </property>
  <property fmtid="{D5CDD505-2E9C-101B-9397-08002B2CF9AE}" pid="10" name="MSIP_Label_4bb0dd02-bb18-45a0-9e0a-c2d0648dd377_ActionId">
    <vt:lpwstr>bb50efd9-3dd7-4bd8-bbb0-ed09025f6147</vt:lpwstr>
  </property>
  <property fmtid="{D5CDD505-2E9C-101B-9397-08002B2CF9AE}" pid="11" name="MSIP_Label_4bb0dd02-bb18-45a0-9e0a-c2d0648dd377_ContentBits">
    <vt:lpwstr>0</vt:lpwstr>
  </property>
  <property fmtid="{D5CDD505-2E9C-101B-9397-08002B2CF9AE}" pid="12" name="MSIP_Label_4bb0dd02-bb18-45a0-9e0a-c2d0648dd377_Tag">
    <vt:lpwstr>10, 3, 0, 2</vt:lpwstr>
  </property>
</Properties>
</file>